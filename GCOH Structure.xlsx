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rre\Documents\WORK\GCOH\GCOH-Tickets-for-Processing\"/>
    </mc:Choice>
  </mc:AlternateContent>
  <xr:revisionPtr revIDLastSave="0" documentId="13_ncr:1_{79EF6174-5AC6-4778-A166-A914773E56E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vt" sheetId="17" r:id="rId1"/>
    <sheet name="Okey" sheetId="10" r:id="rId2"/>
    <sheet name="STUCT1" sheetId="1" r:id="rId3"/>
    <sheet name="Sheet3" sheetId="30" r:id="rId4"/>
    <sheet name="Sheet2" sheetId="29" r:id="rId5"/>
    <sheet name="Sheet1" sheetId="28" r:id="rId6"/>
    <sheet name="Names" sheetId="5" r:id="rId7"/>
    <sheet name="NEW NODES" sheetId="6" r:id="rId8"/>
    <sheet name="People" sheetId="7" r:id="rId9"/>
    <sheet name="2023" sheetId="8" state="hidden" r:id="rId10"/>
    <sheet name="2024" sheetId="19" state="hidden" r:id="rId11"/>
    <sheet name="old" sheetId="27" state="hidden" r:id="rId12"/>
    <sheet name="Sectors" sheetId="9" r:id="rId13"/>
    <sheet name="KPI" sheetId="12" r:id="rId14"/>
  </sheets>
  <definedNames>
    <definedName name="_xlnm._FilterDatabase" localSheetId="9">'2023'!$A$1:$M$1</definedName>
    <definedName name="_xlnm._FilterDatabase" localSheetId="6">Names!$A$237:$G$388</definedName>
    <definedName name="_xlnm._FilterDatabase" localSheetId="8">People!$A$1:$B$1</definedName>
    <definedName name="_xlnm._FilterDatabase" localSheetId="2">STUCT1!#REF!</definedName>
  </definedNames>
  <calcPr calcId="181029"/>
  <pivotCaches>
    <pivotCache cacheId="17" r:id="rId1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00" i="1" l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00" i="1"/>
  <c r="A1598" i="1"/>
  <c r="A1599" i="1" s="1"/>
  <c r="H1598" i="1"/>
  <c r="H1599" i="1"/>
  <c r="A1597" i="1"/>
  <c r="H1597" i="1"/>
  <c r="A1591" i="1"/>
  <c r="A1592" i="1" s="1"/>
  <c r="A1593" i="1" s="1"/>
  <c r="A1594" i="1" s="1"/>
  <c r="A1595" i="1" s="1"/>
  <c r="A1596" i="1" s="1"/>
  <c r="H1591" i="1"/>
  <c r="H1592" i="1"/>
  <c r="H1593" i="1"/>
  <c r="H1594" i="1"/>
  <c r="H1595" i="1"/>
  <c r="H1596" i="1"/>
  <c r="A1559" i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56" i="1"/>
  <c r="H1557" i="1"/>
  <c r="H1558" i="1"/>
  <c r="H1555" i="1"/>
  <c r="H1554" i="1"/>
  <c r="H1551" i="1"/>
  <c r="H1552" i="1"/>
  <c r="H1553" i="1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D3" i="28"/>
  <c r="D4" i="28" s="1"/>
  <c r="D5" i="28" s="1"/>
  <c r="D6" i="28" s="1"/>
  <c r="D7" i="28" s="1"/>
  <c r="D8" i="28" s="1"/>
  <c r="D9" i="28" s="1"/>
  <c r="D10" i="28" s="1"/>
  <c r="D11" i="28" s="1"/>
  <c r="D12" i="28" s="1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2" i="28"/>
  <c r="E1" i="28"/>
  <c r="H1550" i="1"/>
  <c r="H1549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27" i="1"/>
  <c r="H1524" i="1"/>
  <c r="H1525" i="1"/>
  <c r="H1526" i="1"/>
  <c r="H1523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00" i="1"/>
  <c r="H1490" i="1"/>
  <c r="H1491" i="1"/>
  <c r="H1492" i="1"/>
  <c r="H1493" i="1"/>
  <c r="H1494" i="1"/>
  <c r="H1495" i="1"/>
  <c r="H1496" i="1"/>
  <c r="H1497" i="1"/>
  <c r="H1498" i="1"/>
  <c r="H1499" i="1"/>
  <c r="H1486" i="1"/>
  <c r="H1487" i="1"/>
  <c r="H1488" i="1"/>
  <c r="H1489" i="1"/>
  <c r="H1481" i="1"/>
  <c r="H1482" i="1"/>
  <c r="H1483" i="1"/>
  <c r="H1484" i="1"/>
  <c r="H1485" i="1"/>
  <c r="H1480" i="1"/>
  <c r="H1479" i="1"/>
  <c r="H1468" i="1"/>
  <c r="H1469" i="1"/>
  <c r="H1470" i="1"/>
  <c r="H1471" i="1"/>
  <c r="H1472" i="1"/>
  <c r="H1473" i="1"/>
  <c r="H1474" i="1"/>
  <c r="H1475" i="1"/>
  <c r="H1476" i="1"/>
  <c r="H1477" i="1"/>
  <c r="H1478" i="1"/>
  <c r="H1467" i="1" l="1"/>
  <c r="H1465" i="1"/>
  <c r="H1466" i="1"/>
  <c r="H1459" i="1"/>
  <c r="H1460" i="1"/>
  <c r="H1461" i="1"/>
  <c r="H1462" i="1"/>
  <c r="H1463" i="1"/>
  <c r="H1464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 l="1"/>
  <c r="H1712" i="27"/>
  <c r="H1711" i="27"/>
  <c r="H1710" i="27"/>
  <c r="H1709" i="27"/>
  <c r="H1708" i="27"/>
  <c r="H1707" i="27"/>
  <c r="H1706" i="27"/>
  <c r="H1705" i="27"/>
  <c r="H1704" i="27"/>
  <c r="H1703" i="27"/>
  <c r="H1702" i="27"/>
  <c r="H1701" i="27"/>
  <c r="H1700" i="27"/>
  <c r="H1699" i="27"/>
  <c r="H1698" i="27"/>
  <c r="H1697" i="27"/>
  <c r="H1696" i="27"/>
  <c r="H1695" i="27"/>
  <c r="H1694" i="27"/>
  <c r="H1693" i="27"/>
  <c r="H1692" i="27"/>
  <c r="H1691" i="27"/>
  <c r="H1690" i="27"/>
  <c r="H1689" i="27"/>
  <c r="H1688" i="27"/>
  <c r="H1687" i="27"/>
  <c r="H1686" i="27"/>
  <c r="H1685" i="27"/>
  <c r="H1684" i="27"/>
  <c r="J1683" i="27"/>
  <c r="H1683" i="27"/>
  <c r="J1682" i="27"/>
  <c r="H1682" i="27"/>
  <c r="J1681" i="27"/>
  <c r="H1681" i="27"/>
  <c r="J1680" i="27"/>
  <c r="H1680" i="27"/>
  <c r="J1679" i="27"/>
  <c r="H1679" i="27"/>
  <c r="J1678" i="27"/>
  <c r="H1678" i="27"/>
  <c r="L1677" i="27"/>
  <c r="J1677" i="27"/>
  <c r="H1677" i="27"/>
  <c r="L1676" i="27"/>
  <c r="J1676" i="27"/>
  <c r="H1676" i="27"/>
  <c r="L1675" i="27"/>
  <c r="J1675" i="27"/>
  <c r="H1675" i="27"/>
  <c r="L1674" i="27"/>
  <c r="J1674" i="27"/>
  <c r="H1674" i="27"/>
  <c r="L1673" i="27"/>
  <c r="J1673" i="27"/>
  <c r="H1673" i="27"/>
  <c r="L1672" i="27"/>
  <c r="J1672" i="27"/>
  <c r="H1672" i="27"/>
  <c r="L1671" i="27"/>
  <c r="J1671" i="27"/>
  <c r="H1671" i="27"/>
  <c r="L1670" i="27"/>
  <c r="J1670" i="27"/>
  <c r="H1670" i="27"/>
  <c r="L1669" i="27"/>
  <c r="J1669" i="27"/>
  <c r="H1669" i="27"/>
  <c r="L1668" i="27"/>
  <c r="J1668" i="27"/>
  <c r="H1668" i="27"/>
  <c r="L1667" i="27"/>
  <c r="J1667" i="27"/>
  <c r="H1667" i="27"/>
  <c r="L1666" i="27"/>
  <c r="J1666" i="27"/>
  <c r="H1666" i="27"/>
  <c r="L1665" i="27"/>
  <c r="J1665" i="27"/>
  <c r="H1665" i="27"/>
  <c r="L1664" i="27"/>
  <c r="J1664" i="27"/>
  <c r="H1664" i="27"/>
  <c r="L1663" i="27"/>
  <c r="J1663" i="27"/>
  <c r="H1663" i="27"/>
  <c r="L1662" i="27"/>
  <c r="J1662" i="27"/>
  <c r="H1662" i="27"/>
  <c r="L1661" i="27"/>
  <c r="J1661" i="27"/>
  <c r="H1661" i="27"/>
  <c r="L1660" i="27"/>
  <c r="J1660" i="27"/>
  <c r="H1660" i="27"/>
  <c r="L1659" i="27"/>
  <c r="J1659" i="27"/>
  <c r="H1659" i="27"/>
  <c r="L1658" i="27"/>
  <c r="J1658" i="27"/>
  <c r="H1658" i="27"/>
  <c r="L1657" i="27"/>
  <c r="J1657" i="27"/>
  <c r="H1657" i="27"/>
  <c r="L1656" i="27"/>
  <c r="J1656" i="27"/>
  <c r="H1656" i="27"/>
  <c r="L1655" i="27"/>
  <c r="J1655" i="27"/>
  <c r="H1655" i="27"/>
  <c r="L1654" i="27"/>
  <c r="J1654" i="27"/>
  <c r="H1654" i="27"/>
  <c r="L1653" i="27"/>
  <c r="J1653" i="27"/>
  <c r="H1653" i="27"/>
  <c r="L1652" i="27"/>
  <c r="J1652" i="27"/>
  <c r="H1652" i="27"/>
  <c r="L1651" i="27"/>
  <c r="J1651" i="27"/>
  <c r="H1651" i="27"/>
  <c r="L1650" i="27"/>
  <c r="J1650" i="27"/>
  <c r="H1650" i="27"/>
  <c r="L1649" i="27"/>
  <c r="J1649" i="27"/>
  <c r="H1649" i="27"/>
  <c r="L1648" i="27"/>
  <c r="J1648" i="27"/>
  <c r="H1648" i="27"/>
  <c r="L1647" i="27"/>
  <c r="J1647" i="27"/>
  <c r="H1647" i="27"/>
  <c r="L1646" i="27"/>
  <c r="J1646" i="27"/>
  <c r="H1646" i="27"/>
  <c r="L1645" i="27"/>
  <c r="J1645" i="27"/>
  <c r="H1645" i="27"/>
  <c r="L1644" i="27"/>
  <c r="J1644" i="27"/>
  <c r="H1644" i="27"/>
  <c r="L1643" i="27"/>
  <c r="J1643" i="27"/>
  <c r="H1643" i="27"/>
  <c r="L1642" i="27"/>
  <c r="J1642" i="27"/>
  <c r="H1642" i="27"/>
  <c r="L1641" i="27"/>
  <c r="J1641" i="27"/>
  <c r="H1641" i="27"/>
  <c r="L1640" i="27"/>
  <c r="J1640" i="27"/>
  <c r="H1640" i="27"/>
  <c r="L1639" i="27"/>
  <c r="J1639" i="27"/>
  <c r="H1639" i="27"/>
  <c r="L1638" i="27"/>
  <c r="J1638" i="27"/>
  <c r="H1638" i="27"/>
  <c r="L1637" i="27"/>
  <c r="J1637" i="27"/>
  <c r="H1637" i="27"/>
  <c r="L1636" i="27"/>
  <c r="J1636" i="27"/>
  <c r="H1636" i="27"/>
  <c r="L1635" i="27"/>
  <c r="J1635" i="27"/>
  <c r="H1635" i="27"/>
  <c r="L1634" i="27"/>
  <c r="J1634" i="27"/>
  <c r="H1634" i="27"/>
  <c r="L1633" i="27"/>
  <c r="J1633" i="27"/>
  <c r="H1633" i="27"/>
  <c r="L1632" i="27"/>
  <c r="J1632" i="27"/>
  <c r="H1632" i="27"/>
  <c r="L1631" i="27"/>
  <c r="J1631" i="27"/>
  <c r="H1631" i="27"/>
  <c r="L1630" i="27"/>
  <c r="J1630" i="27"/>
  <c r="H1630" i="27"/>
  <c r="L1629" i="27"/>
  <c r="J1629" i="27"/>
  <c r="H1629" i="27"/>
  <c r="L1628" i="27"/>
  <c r="J1628" i="27"/>
  <c r="H1628" i="27"/>
  <c r="L1627" i="27"/>
  <c r="J1627" i="27"/>
  <c r="H1627" i="27"/>
  <c r="L1626" i="27"/>
  <c r="J1626" i="27"/>
  <c r="H1626" i="27"/>
  <c r="L1625" i="27"/>
  <c r="J1625" i="27"/>
  <c r="H1625" i="27"/>
  <c r="L1624" i="27"/>
  <c r="J1624" i="27"/>
  <c r="H1624" i="27"/>
  <c r="L1623" i="27"/>
  <c r="J1623" i="27"/>
  <c r="H1623" i="27"/>
  <c r="L1622" i="27"/>
  <c r="J1622" i="27"/>
  <c r="H1622" i="27"/>
  <c r="L1621" i="27"/>
  <c r="J1621" i="27"/>
  <c r="H1621" i="27"/>
  <c r="J1620" i="27"/>
  <c r="H1620" i="27"/>
  <c r="J1619" i="27"/>
  <c r="H1619" i="27"/>
  <c r="J1618" i="27"/>
  <c r="H1618" i="27"/>
  <c r="J1617" i="27"/>
  <c r="H1617" i="27"/>
  <c r="J1616" i="27"/>
  <c r="H1616" i="27"/>
  <c r="J1615" i="27"/>
  <c r="H1615" i="27"/>
  <c r="J1614" i="27"/>
  <c r="H1614" i="27"/>
  <c r="J1613" i="27"/>
  <c r="H1613" i="27"/>
  <c r="J1612" i="27"/>
  <c r="H1612" i="27"/>
  <c r="J1611" i="27"/>
  <c r="H1611" i="27"/>
  <c r="J1610" i="27"/>
  <c r="H1610" i="27"/>
  <c r="J1609" i="27"/>
  <c r="H1609" i="27"/>
  <c r="J1608" i="27"/>
  <c r="H1608" i="27"/>
  <c r="J1607" i="27"/>
  <c r="H1607" i="27"/>
  <c r="J1606" i="27"/>
  <c r="H1606" i="27"/>
  <c r="J1605" i="27"/>
  <c r="H1605" i="27"/>
  <c r="J1604" i="27"/>
  <c r="H1604" i="27"/>
  <c r="J1603" i="27"/>
  <c r="H1603" i="27"/>
  <c r="J1602" i="27"/>
  <c r="H1602" i="27"/>
  <c r="J1601" i="27"/>
  <c r="H1601" i="27"/>
  <c r="J1600" i="27"/>
  <c r="H1600" i="27"/>
  <c r="J1599" i="27"/>
  <c r="H1599" i="27"/>
  <c r="J1598" i="27"/>
  <c r="H1598" i="27"/>
  <c r="J1597" i="27"/>
  <c r="H1597" i="27"/>
  <c r="J1596" i="27"/>
  <c r="H1596" i="27"/>
  <c r="J1595" i="27"/>
  <c r="H1595" i="27"/>
  <c r="J1594" i="27"/>
  <c r="H1594" i="27"/>
  <c r="J1593" i="27"/>
  <c r="H1593" i="27"/>
  <c r="J1592" i="27"/>
  <c r="H1592" i="27"/>
  <c r="J1591" i="27"/>
  <c r="H1591" i="27"/>
  <c r="J1590" i="27"/>
  <c r="H1590" i="27"/>
  <c r="J1589" i="27"/>
  <c r="H1589" i="27"/>
  <c r="J1588" i="27"/>
  <c r="H1588" i="27"/>
  <c r="J1587" i="27"/>
  <c r="H1587" i="27"/>
  <c r="J1586" i="27"/>
  <c r="H1586" i="27"/>
  <c r="J1585" i="27"/>
  <c r="H1585" i="27"/>
  <c r="J1584" i="27"/>
  <c r="H1584" i="27"/>
  <c r="J1583" i="27"/>
  <c r="H1583" i="27"/>
  <c r="J1582" i="27"/>
  <c r="H1582" i="27"/>
  <c r="J1581" i="27"/>
  <c r="H1581" i="27"/>
  <c r="J1580" i="27"/>
  <c r="H1580" i="27"/>
  <c r="J1579" i="27"/>
  <c r="H1579" i="27"/>
  <c r="J1578" i="27"/>
  <c r="H1578" i="27"/>
  <c r="J1577" i="27"/>
  <c r="H1577" i="27"/>
  <c r="J1576" i="27"/>
  <c r="H1576" i="27"/>
  <c r="J1575" i="27"/>
  <c r="H1575" i="27"/>
  <c r="J1574" i="27"/>
  <c r="H1574" i="27"/>
  <c r="J1573" i="27"/>
  <c r="H1573" i="27"/>
  <c r="J1572" i="27"/>
  <c r="H1572" i="27"/>
  <c r="J1571" i="27"/>
  <c r="H1571" i="27"/>
  <c r="J1570" i="27"/>
  <c r="H1570" i="27"/>
  <c r="J1569" i="27"/>
  <c r="H1569" i="27"/>
  <c r="J1568" i="27"/>
  <c r="H1568" i="27"/>
  <c r="J1567" i="27"/>
  <c r="H1567" i="27"/>
  <c r="J1566" i="27"/>
  <c r="H1566" i="27"/>
  <c r="J1565" i="27"/>
  <c r="H1565" i="27"/>
  <c r="L1564" i="27"/>
  <c r="J1564" i="27"/>
  <c r="H1564" i="27"/>
  <c r="L1563" i="27"/>
  <c r="J1563" i="27"/>
  <c r="H1563" i="27"/>
  <c r="L1562" i="27"/>
  <c r="J1562" i="27"/>
  <c r="H1562" i="27"/>
  <c r="L1561" i="27"/>
  <c r="J1561" i="27"/>
  <c r="H1561" i="27"/>
  <c r="L1560" i="27"/>
  <c r="J1560" i="27"/>
  <c r="H1560" i="27"/>
  <c r="L1559" i="27"/>
  <c r="J1559" i="27"/>
  <c r="H1559" i="27"/>
  <c r="L1558" i="27"/>
  <c r="J1558" i="27"/>
  <c r="H1558" i="27"/>
  <c r="L1557" i="27"/>
  <c r="J1557" i="27"/>
  <c r="H1557" i="27"/>
  <c r="L1556" i="27"/>
  <c r="J1556" i="27"/>
  <c r="H1556" i="27"/>
  <c r="L1555" i="27"/>
  <c r="J1555" i="27"/>
  <c r="H1555" i="27"/>
  <c r="L1554" i="27"/>
  <c r="J1554" i="27"/>
  <c r="H1554" i="27"/>
  <c r="L1553" i="27"/>
  <c r="J1553" i="27"/>
  <c r="H1553" i="27"/>
  <c r="L1552" i="27"/>
  <c r="J1552" i="27"/>
  <c r="H1552" i="27"/>
  <c r="L1551" i="27"/>
  <c r="J1551" i="27"/>
  <c r="H1551" i="27"/>
  <c r="L1550" i="27"/>
  <c r="J1550" i="27"/>
  <c r="H1550" i="27"/>
  <c r="J1549" i="27"/>
  <c r="H1549" i="27"/>
  <c r="J1548" i="27"/>
  <c r="H1548" i="27"/>
  <c r="J1547" i="27"/>
  <c r="H1547" i="27"/>
  <c r="J1546" i="27"/>
  <c r="H1546" i="27"/>
  <c r="J1545" i="27"/>
  <c r="H1545" i="27"/>
  <c r="J1544" i="27"/>
  <c r="H1544" i="27"/>
  <c r="J1543" i="27"/>
  <c r="H1543" i="27"/>
  <c r="J1542" i="27"/>
  <c r="H1542" i="27"/>
  <c r="L1541" i="27"/>
  <c r="J1541" i="27"/>
  <c r="H1541" i="27"/>
  <c r="J1540" i="27"/>
  <c r="H1540" i="27"/>
  <c r="J1539" i="27"/>
  <c r="H1539" i="27"/>
  <c r="J1538" i="27"/>
  <c r="H1538" i="27"/>
  <c r="J1537" i="27"/>
  <c r="H1537" i="27"/>
  <c r="J1536" i="27"/>
  <c r="H1536" i="27"/>
  <c r="J1535" i="27"/>
  <c r="H1535" i="27"/>
  <c r="J1534" i="27"/>
  <c r="H1534" i="27"/>
  <c r="J1533" i="27"/>
  <c r="H1533" i="27"/>
  <c r="J1532" i="27"/>
  <c r="H1532" i="27"/>
  <c r="J1531" i="27"/>
  <c r="H1531" i="27"/>
  <c r="J1530" i="27"/>
  <c r="H1530" i="27"/>
  <c r="J1529" i="27"/>
  <c r="H1529" i="27"/>
  <c r="J1528" i="27"/>
  <c r="H1528" i="27"/>
  <c r="J1527" i="27"/>
  <c r="H1527" i="27"/>
  <c r="J1526" i="27"/>
  <c r="H1526" i="27"/>
  <c r="J1525" i="27"/>
  <c r="H1525" i="27"/>
  <c r="L1524" i="27"/>
  <c r="J1524" i="27"/>
  <c r="H1524" i="27"/>
  <c r="L1523" i="27"/>
  <c r="J1523" i="27"/>
  <c r="H1523" i="27"/>
  <c r="L1522" i="27"/>
  <c r="J1522" i="27"/>
  <c r="H1522" i="27"/>
  <c r="L1521" i="27"/>
  <c r="J1521" i="27"/>
  <c r="H1521" i="27"/>
  <c r="L1520" i="27"/>
  <c r="J1520" i="27"/>
  <c r="H1520" i="27"/>
  <c r="L1519" i="27"/>
  <c r="J1519" i="27"/>
  <c r="H1519" i="27"/>
  <c r="L1518" i="27"/>
  <c r="J1518" i="27"/>
  <c r="H1518" i="27"/>
  <c r="J1517" i="27"/>
  <c r="H1517" i="27"/>
  <c r="J1516" i="27"/>
  <c r="H1516" i="27"/>
  <c r="J1515" i="27"/>
  <c r="H1515" i="27"/>
  <c r="J1514" i="27"/>
  <c r="H1514" i="27"/>
  <c r="J1513" i="27"/>
  <c r="H1513" i="27"/>
  <c r="J1512" i="27"/>
  <c r="H1512" i="27"/>
  <c r="J1511" i="27"/>
  <c r="H1511" i="27"/>
  <c r="J1510" i="27"/>
  <c r="H1510" i="27"/>
  <c r="J1509" i="27"/>
  <c r="H1509" i="27"/>
  <c r="J1508" i="27"/>
  <c r="H1508" i="27"/>
  <c r="J1507" i="27"/>
  <c r="H1507" i="27"/>
  <c r="J1506" i="27"/>
  <c r="H1506" i="27"/>
  <c r="J1505" i="27"/>
  <c r="H1505" i="27"/>
  <c r="J1504" i="27"/>
  <c r="H1504" i="27"/>
  <c r="J1503" i="27"/>
  <c r="H1503" i="27"/>
  <c r="J1502" i="27"/>
  <c r="H1502" i="27"/>
  <c r="J1501" i="27"/>
  <c r="H1501" i="27"/>
  <c r="J1500" i="27"/>
  <c r="H1500" i="27"/>
  <c r="J1499" i="27"/>
  <c r="H1499" i="27"/>
  <c r="J1498" i="27"/>
  <c r="H1498" i="27"/>
  <c r="J1497" i="27"/>
  <c r="J1496" i="27"/>
  <c r="J1495" i="27"/>
  <c r="J1494" i="27"/>
  <c r="J1493" i="27"/>
  <c r="J1492" i="27"/>
  <c r="J1491" i="27"/>
  <c r="J1490" i="27"/>
  <c r="J1489" i="27"/>
  <c r="J1488" i="27"/>
  <c r="J1487" i="27"/>
  <c r="J1486" i="27"/>
  <c r="J1485" i="27"/>
  <c r="J1484" i="27"/>
  <c r="J1483" i="27"/>
  <c r="J1482" i="27"/>
  <c r="J1481" i="27"/>
  <c r="J1480" i="27"/>
  <c r="J1479" i="27"/>
  <c r="J1478" i="27"/>
  <c r="J1477" i="27"/>
  <c r="J1476" i="27"/>
  <c r="J1475" i="27"/>
  <c r="J1474" i="27"/>
  <c r="J1473" i="27"/>
  <c r="J1472" i="27"/>
  <c r="J1471" i="27"/>
  <c r="J1470" i="27"/>
  <c r="J1469" i="27"/>
  <c r="J1468" i="27"/>
  <c r="J1467" i="27"/>
  <c r="J1466" i="27"/>
  <c r="J1465" i="27"/>
  <c r="J1464" i="27"/>
  <c r="J1463" i="27"/>
  <c r="J1462" i="27"/>
  <c r="J1461" i="27"/>
  <c r="J1460" i="27"/>
  <c r="J1459" i="27"/>
  <c r="J1458" i="27"/>
  <c r="J1457" i="27"/>
  <c r="J1456" i="27"/>
  <c r="J1455" i="27"/>
  <c r="J1454" i="27"/>
  <c r="J1453" i="27"/>
  <c r="J1452" i="27"/>
  <c r="J1451" i="27"/>
  <c r="J1450" i="27"/>
  <c r="J1449" i="27"/>
  <c r="J1448" i="27"/>
  <c r="J1447" i="27"/>
  <c r="J1446" i="27"/>
  <c r="J1445" i="27"/>
  <c r="J1444" i="27"/>
  <c r="J1443" i="27"/>
  <c r="J1442" i="27"/>
  <c r="J1441" i="27"/>
  <c r="J1440" i="27"/>
  <c r="J1439" i="27"/>
  <c r="J1438" i="27"/>
  <c r="J1437" i="27"/>
  <c r="J1436" i="27"/>
  <c r="J1435" i="27"/>
  <c r="J1434" i="27"/>
  <c r="J1433" i="27"/>
  <c r="J1432" i="27"/>
  <c r="J1431" i="27"/>
  <c r="J1430" i="27"/>
  <c r="J1429" i="27"/>
  <c r="J1428" i="27"/>
  <c r="J1427" i="27"/>
  <c r="J1426" i="27"/>
  <c r="J1425" i="27"/>
  <c r="J1424" i="27"/>
  <c r="J1423" i="27"/>
  <c r="J1422" i="27"/>
  <c r="J1421" i="27"/>
  <c r="J1420" i="27"/>
  <c r="J1419" i="27"/>
  <c r="J1418" i="27"/>
  <c r="J1417" i="27"/>
  <c r="J1416" i="27"/>
  <c r="J1415" i="27"/>
  <c r="J1414" i="27"/>
  <c r="J1413" i="27"/>
  <c r="J1412" i="27"/>
  <c r="J1411" i="27"/>
  <c r="J1410" i="27"/>
  <c r="J1409" i="27"/>
  <c r="J1408" i="27"/>
  <c r="J1407" i="27"/>
  <c r="J1406" i="27"/>
  <c r="J1405" i="27"/>
  <c r="J1404" i="27"/>
  <c r="J1403" i="27"/>
  <c r="J1402" i="27"/>
  <c r="J1401" i="27"/>
  <c r="J1400" i="27"/>
  <c r="J1399" i="27"/>
  <c r="J1398" i="27"/>
  <c r="J1397" i="27"/>
  <c r="J1396" i="27"/>
  <c r="J1395" i="27"/>
  <c r="J1394" i="27"/>
  <c r="J1393" i="27"/>
  <c r="J1392" i="27"/>
  <c r="J1391" i="27"/>
  <c r="J1390" i="27"/>
  <c r="J1389" i="27"/>
  <c r="J1388" i="27"/>
  <c r="J1387" i="27"/>
  <c r="J1386" i="27"/>
  <c r="J1385" i="27"/>
  <c r="J1384" i="27"/>
  <c r="J1383" i="27"/>
  <c r="J1382" i="27"/>
  <c r="J1381" i="27"/>
  <c r="J1380" i="27"/>
  <c r="J1379" i="27"/>
  <c r="J1378" i="27"/>
  <c r="J1377" i="27"/>
  <c r="J1376" i="27"/>
  <c r="J1375" i="27"/>
  <c r="J1374" i="27"/>
  <c r="J1373" i="27"/>
  <c r="J1372" i="27"/>
  <c r="J1371" i="27"/>
  <c r="J1370" i="27"/>
  <c r="J1369" i="27"/>
  <c r="J1368" i="27"/>
  <c r="J1367" i="27"/>
  <c r="J1366" i="27"/>
  <c r="J1365" i="27"/>
  <c r="J1364" i="27"/>
  <c r="J1363" i="27"/>
  <c r="J1362" i="27"/>
  <c r="J1361" i="27"/>
  <c r="J1360" i="27"/>
  <c r="J1359" i="27"/>
  <c r="J1358" i="27"/>
  <c r="J1357" i="27"/>
  <c r="J1356" i="27"/>
  <c r="J1355" i="27"/>
  <c r="J1354" i="27"/>
  <c r="J1353" i="27"/>
  <c r="J1352" i="27"/>
  <c r="J1351" i="27"/>
  <c r="J1350" i="27"/>
  <c r="J1349" i="27"/>
  <c r="J1348" i="27"/>
  <c r="J1347" i="27"/>
  <c r="J1346" i="27"/>
  <c r="J1345" i="27"/>
  <c r="J1344" i="27"/>
  <c r="J1343" i="27"/>
  <c r="J1342" i="27"/>
  <c r="J1341" i="27"/>
  <c r="J1340" i="27"/>
  <c r="J1339" i="27"/>
  <c r="J1338" i="27"/>
  <c r="J1337" i="27"/>
  <c r="J1336" i="27"/>
  <c r="J1335" i="27"/>
  <c r="J1334" i="27"/>
  <c r="J1333" i="27"/>
  <c r="J1332" i="27"/>
  <c r="J1331" i="27"/>
  <c r="J1330" i="27"/>
  <c r="J1329" i="27"/>
  <c r="J1328" i="27"/>
  <c r="J1327" i="27"/>
  <c r="J1326" i="27"/>
  <c r="J1325" i="27"/>
  <c r="J1324" i="27"/>
  <c r="J1323" i="27"/>
  <c r="J1322" i="27"/>
  <c r="J1321" i="27"/>
  <c r="J1320" i="27"/>
  <c r="J1319" i="27"/>
  <c r="J1318" i="27"/>
  <c r="J1317" i="27"/>
  <c r="J1316" i="27"/>
  <c r="J1315" i="27"/>
  <c r="J1314" i="27"/>
  <c r="J1313" i="27"/>
  <c r="J1312" i="27"/>
  <c r="J1311" i="27"/>
  <c r="J1310" i="27"/>
  <c r="J1309" i="27"/>
  <c r="J1308" i="27"/>
  <c r="J1307" i="27"/>
  <c r="J1306" i="27"/>
  <c r="J1305" i="27"/>
  <c r="J1304" i="27"/>
  <c r="J1303" i="27"/>
  <c r="J1302" i="27"/>
  <c r="J1301" i="27"/>
  <c r="J1300" i="27"/>
  <c r="J1299" i="27"/>
  <c r="J1298" i="27"/>
  <c r="J1297" i="27"/>
  <c r="J1296" i="27"/>
  <c r="J1295" i="27"/>
  <c r="J1294" i="27"/>
  <c r="J1293" i="27"/>
  <c r="J1292" i="27"/>
  <c r="J1291" i="27"/>
  <c r="J1290" i="27"/>
  <c r="J1289" i="27"/>
  <c r="J1288" i="27"/>
  <c r="J1287" i="27"/>
  <c r="J1286" i="27"/>
  <c r="J1285" i="27"/>
  <c r="J1284" i="27"/>
  <c r="J1283" i="27"/>
  <c r="J1282" i="27"/>
  <c r="J1281" i="27"/>
  <c r="J1280" i="27"/>
  <c r="J1279" i="27"/>
  <c r="J1278" i="27"/>
  <c r="J1277" i="27"/>
  <c r="J1276" i="27"/>
  <c r="J1275" i="27"/>
  <c r="J1274" i="27"/>
  <c r="J1273" i="27"/>
  <c r="J1272" i="27"/>
  <c r="J1271" i="27"/>
  <c r="J1270" i="27"/>
  <c r="J1269" i="27"/>
  <c r="J1268" i="27"/>
  <c r="J1267" i="27"/>
  <c r="J1266" i="27"/>
  <c r="J1265" i="27"/>
  <c r="J1264" i="27"/>
  <c r="J1263" i="27"/>
  <c r="J1262" i="27"/>
  <c r="J1261" i="27"/>
  <c r="J1260" i="27"/>
  <c r="J1259" i="27"/>
  <c r="J1258" i="27"/>
  <c r="J1257" i="27"/>
  <c r="J1256" i="27"/>
  <c r="J1255" i="27"/>
  <c r="J1254" i="27"/>
  <c r="J1253" i="27"/>
  <c r="J1252" i="27"/>
  <c r="J1251" i="27"/>
  <c r="J1250" i="27"/>
  <c r="J1249" i="27"/>
  <c r="J1248" i="27"/>
  <c r="J1247" i="27"/>
  <c r="J1246" i="27"/>
  <c r="J1245" i="27"/>
  <c r="J1244" i="27"/>
  <c r="J1243" i="27"/>
  <c r="J1242" i="27"/>
  <c r="J1241" i="27"/>
  <c r="J1240" i="27"/>
  <c r="J1239" i="27"/>
  <c r="J1238" i="27"/>
  <c r="J1237" i="27"/>
  <c r="J1236" i="27"/>
  <c r="J1235" i="27"/>
  <c r="J1234" i="27"/>
  <c r="J1233" i="27"/>
  <c r="J1232" i="27"/>
  <c r="J1231" i="27"/>
  <c r="J1230" i="27"/>
  <c r="J1229" i="27"/>
  <c r="J1228" i="27"/>
  <c r="J1227" i="27"/>
  <c r="J1226" i="27"/>
  <c r="J1225" i="27"/>
  <c r="J1224" i="27"/>
  <c r="J1223" i="27"/>
  <c r="J1222" i="27"/>
  <c r="J1221" i="27"/>
  <c r="J1220" i="27"/>
  <c r="J1219" i="27"/>
  <c r="J1218" i="27"/>
  <c r="J1217" i="27"/>
  <c r="J1216" i="27"/>
  <c r="J1215" i="27"/>
  <c r="J1214" i="27"/>
  <c r="J1213" i="27"/>
  <c r="J1212" i="27"/>
  <c r="J1211" i="27"/>
  <c r="J1210" i="27"/>
  <c r="J1209" i="27"/>
  <c r="J1208" i="27"/>
  <c r="J1207" i="27"/>
  <c r="J1206" i="27"/>
  <c r="J1205" i="27"/>
  <c r="J1204" i="27"/>
  <c r="J1203" i="27"/>
  <c r="J1202" i="27"/>
  <c r="J1201" i="27"/>
  <c r="J1200" i="27"/>
  <c r="J1199" i="27"/>
  <c r="J1198" i="27"/>
  <c r="J1197" i="27"/>
  <c r="J1196" i="27"/>
  <c r="J1195" i="27"/>
  <c r="J1194" i="27"/>
  <c r="J1193" i="27"/>
  <c r="J1192" i="27"/>
  <c r="J1191" i="27"/>
  <c r="J1190" i="27"/>
  <c r="J1189" i="27"/>
  <c r="J1188" i="27"/>
  <c r="J1187" i="27"/>
  <c r="J1186" i="27"/>
  <c r="J1185" i="27"/>
  <c r="J1184" i="27"/>
  <c r="J1183" i="27"/>
  <c r="J1182" i="27"/>
  <c r="J1181" i="27"/>
  <c r="J1180" i="27"/>
  <c r="J1179" i="27"/>
  <c r="J1178" i="27"/>
  <c r="J1177" i="27"/>
  <c r="J1176" i="27"/>
  <c r="J1175" i="27"/>
  <c r="J1174" i="27"/>
  <c r="J1173" i="27"/>
  <c r="J1172" i="27"/>
  <c r="J1171" i="27"/>
  <c r="J1170" i="27"/>
  <c r="J1169" i="27"/>
  <c r="J1168" i="27"/>
  <c r="J1167" i="27"/>
  <c r="J1166" i="27"/>
  <c r="J1165" i="27"/>
  <c r="J1164" i="27"/>
  <c r="J1163" i="27"/>
  <c r="J1162" i="27"/>
  <c r="J1161" i="27"/>
  <c r="J1160" i="27"/>
  <c r="J1159" i="27"/>
  <c r="J1158" i="27"/>
  <c r="J1157" i="27"/>
  <c r="J1156" i="27"/>
  <c r="J1155" i="27"/>
  <c r="J1154" i="27"/>
  <c r="J1153" i="27"/>
  <c r="J1152" i="27"/>
  <c r="J1151" i="27"/>
  <c r="J1150" i="27"/>
  <c r="J1149" i="27"/>
  <c r="J1148" i="27"/>
  <c r="J1147" i="27"/>
  <c r="J1146" i="27"/>
  <c r="J1145" i="27"/>
  <c r="J1144" i="27"/>
  <c r="J1143" i="27"/>
  <c r="J1142" i="27"/>
  <c r="J1141" i="27"/>
  <c r="J1140" i="27"/>
  <c r="J1139" i="27"/>
  <c r="J1138" i="27"/>
  <c r="J1137" i="27"/>
  <c r="J1136" i="27"/>
  <c r="J1135" i="27"/>
  <c r="J1134" i="27"/>
  <c r="J1133" i="27"/>
  <c r="J1132" i="27"/>
  <c r="J1131" i="27"/>
  <c r="J1130" i="27"/>
  <c r="J1129" i="27"/>
  <c r="J1128" i="27"/>
  <c r="J1127" i="27"/>
  <c r="J1126" i="27"/>
  <c r="J1125" i="27"/>
  <c r="J1124" i="27"/>
  <c r="J1123" i="27"/>
  <c r="J1122" i="27"/>
  <c r="J1121" i="27"/>
  <c r="J1120" i="27"/>
  <c r="J1119" i="27"/>
  <c r="J1118" i="27"/>
  <c r="J1117" i="27"/>
  <c r="J1116" i="27"/>
  <c r="J1115" i="27"/>
  <c r="J1114" i="27"/>
  <c r="J1113" i="27"/>
  <c r="J1112" i="27"/>
  <c r="J1111" i="27"/>
  <c r="J1110" i="27"/>
  <c r="J1109" i="27"/>
  <c r="J1108" i="27"/>
  <c r="J1107" i="27"/>
  <c r="J1106" i="27"/>
  <c r="J1105" i="27"/>
  <c r="J1104" i="27"/>
  <c r="J1103" i="27"/>
  <c r="J1102" i="27"/>
  <c r="J1101" i="27"/>
  <c r="J1100" i="27"/>
  <c r="J1099" i="27"/>
  <c r="J1098" i="27"/>
  <c r="J1097" i="27"/>
  <c r="J1096" i="27"/>
  <c r="J1095" i="27"/>
  <c r="J1094" i="27"/>
  <c r="J1093" i="27"/>
  <c r="J1092" i="27"/>
  <c r="J1091" i="27"/>
  <c r="J1090" i="27"/>
  <c r="J1089" i="27"/>
  <c r="J1088" i="27"/>
  <c r="J1087" i="27"/>
  <c r="J1086" i="27"/>
  <c r="J1085" i="27"/>
  <c r="J1084" i="27"/>
  <c r="J1083" i="27"/>
  <c r="J1082" i="27"/>
  <c r="J1081" i="27"/>
  <c r="J1080" i="27"/>
  <c r="J1079" i="27"/>
  <c r="J1078" i="27"/>
  <c r="J1077" i="27"/>
  <c r="J1076" i="27"/>
  <c r="H1076" i="27"/>
  <c r="J1075" i="27"/>
  <c r="H1075" i="27"/>
  <c r="J1074" i="27"/>
  <c r="H1074" i="27"/>
  <c r="J1073" i="27"/>
  <c r="H1073" i="27"/>
  <c r="J1072" i="27"/>
  <c r="H1072" i="27"/>
  <c r="J1071" i="27"/>
  <c r="H1071" i="27"/>
  <c r="J1070" i="27"/>
  <c r="H1070" i="27"/>
  <c r="J1069" i="27"/>
  <c r="H1069" i="27"/>
  <c r="J1068" i="27"/>
  <c r="H1068" i="27"/>
  <c r="J1067" i="27"/>
  <c r="H1067" i="27"/>
  <c r="J1066" i="27"/>
  <c r="H1066" i="27"/>
  <c r="J1065" i="27"/>
  <c r="H1065" i="27"/>
  <c r="J1064" i="27"/>
  <c r="H1064" i="27"/>
  <c r="J1063" i="27"/>
  <c r="H1063" i="27"/>
  <c r="J1062" i="27"/>
  <c r="H1062" i="27"/>
  <c r="J1061" i="27"/>
  <c r="H1061" i="27"/>
  <c r="J1060" i="27"/>
  <c r="H1060" i="27"/>
  <c r="J1059" i="27"/>
  <c r="H1059" i="27"/>
  <c r="J1058" i="27"/>
  <c r="H1058" i="27"/>
  <c r="J1057" i="27"/>
  <c r="H1057" i="27"/>
  <c r="J1056" i="27"/>
  <c r="H1056" i="27"/>
  <c r="J1055" i="27"/>
  <c r="H1055" i="27"/>
  <c r="J1054" i="27"/>
  <c r="H1054" i="27"/>
  <c r="J1053" i="27"/>
  <c r="H1053" i="27"/>
  <c r="J1052" i="27"/>
  <c r="H1052" i="27"/>
  <c r="J1051" i="27"/>
  <c r="H1051" i="27"/>
  <c r="J1050" i="27"/>
  <c r="H1050" i="27"/>
  <c r="J1049" i="27"/>
  <c r="H1049" i="27"/>
  <c r="J1048" i="27"/>
  <c r="H1048" i="27"/>
  <c r="J1047" i="27"/>
  <c r="H1047" i="27"/>
  <c r="J1046" i="27"/>
  <c r="H1046" i="27"/>
  <c r="J1045" i="27"/>
  <c r="H1045" i="27"/>
  <c r="J1044" i="27"/>
  <c r="H1044" i="27"/>
  <c r="J1043" i="27"/>
  <c r="H1043" i="27"/>
  <c r="J1042" i="27"/>
  <c r="H1042" i="27"/>
  <c r="J1041" i="27"/>
  <c r="H1041" i="27"/>
  <c r="J1040" i="27"/>
  <c r="H1040" i="27"/>
  <c r="J1039" i="27"/>
  <c r="H1039" i="27"/>
  <c r="J1038" i="27"/>
  <c r="H1038" i="27"/>
  <c r="J1037" i="27"/>
  <c r="H1037" i="27"/>
  <c r="J1036" i="27"/>
  <c r="H1036" i="27"/>
  <c r="J1035" i="27"/>
  <c r="H1035" i="27"/>
  <c r="J1034" i="27"/>
  <c r="H1034" i="27"/>
  <c r="J1033" i="27"/>
  <c r="H1033" i="27"/>
  <c r="J1032" i="27"/>
  <c r="H1032" i="27"/>
  <c r="J1031" i="27"/>
  <c r="H1031" i="27"/>
  <c r="J1030" i="27"/>
  <c r="H1030" i="27"/>
  <c r="J1029" i="27"/>
  <c r="H1029" i="27"/>
  <c r="J1028" i="27"/>
  <c r="H1028" i="27"/>
  <c r="J1027" i="27"/>
  <c r="H1027" i="27"/>
  <c r="J1026" i="27"/>
  <c r="H1026" i="27"/>
  <c r="J1025" i="27"/>
  <c r="H1025" i="27"/>
  <c r="J1024" i="27"/>
  <c r="H1024" i="27"/>
  <c r="J1023" i="27"/>
  <c r="H1023" i="27"/>
  <c r="J1022" i="27"/>
  <c r="H1022" i="27"/>
  <c r="J1021" i="27"/>
  <c r="H1021" i="27"/>
  <c r="J1020" i="27"/>
  <c r="H1020" i="27"/>
  <c r="J1019" i="27"/>
  <c r="H1019" i="27"/>
  <c r="J1018" i="27"/>
  <c r="H1018" i="27"/>
  <c r="J1017" i="27"/>
  <c r="H1017" i="27"/>
  <c r="J1016" i="27"/>
  <c r="H1016" i="27"/>
  <c r="J1015" i="27"/>
  <c r="H1015" i="27"/>
  <c r="J1014" i="27"/>
  <c r="H1014" i="27"/>
  <c r="J1013" i="27"/>
  <c r="H1013" i="27"/>
  <c r="J1012" i="27"/>
  <c r="H1012" i="27"/>
  <c r="J1011" i="27"/>
  <c r="H1011" i="27"/>
  <c r="J1010" i="27"/>
  <c r="H1010" i="27"/>
  <c r="J1009" i="27"/>
  <c r="H1009" i="27"/>
  <c r="J1008" i="27"/>
  <c r="H1008" i="27"/>
  <c r="J1007" i="27"/>
  <c r="H1007" i="27"/>
  <c r="J1006" i="27"/>
  <c r="H1006" i="27"/>
  <c r="J1005" i="27"/>
  <c r="H1005" i="27"/>
  <c r="J1004" i="27"/>
  <c r="H1004" i="27"/>
  <c r="J1003" i="27"/>
  <c r="H1003" i="27"/>
  <c r="J1002" i="27"/>
  <c r="H1002" i="27"/>
  <c r="J1001" i="27"/>
  <c r="H1001" i="27"/>
  <c r="J1000" i="27"/>
  <c r="H1000" i="27"/>
  <c r="J999" i="27"/>
  <c r="H999" i="27"/>
  <c r="J998" i="27"/>
  <c r="H998" i="27"/>
  <c r="J997" i="27"/>
  <c r="H997" i="27"/>
  <c r="J996" i="27"/>
  <c r="H996" i="27"/>
  <c r="J995" i="27"/>
  <c r="H995" i="27"/>
  <c r="J994" i="27"/>
  <c r="H994" i="27"/>
  <c r="J993" i="27"/>
  <c r="H993" i="27"/>
  <c r="J992" i="27"/>
  <c r="H992" i="27"/>
  <c r="J991" i="27"/>
  <c r="H991" i="27"/>
  <c r="J990" i="27"/>
  <c r="H990" i="27"/>
  <c r="J989" i="27"/>
  <c r="H989" i="27"/>
  <c r="J988" i="27"/>
  <c r="H988" i="27"/>
  <c r="J987" i="27"/>
  <c r="H987" i="27"/>
  <c r="J986" i="27"/>
  <c r="H986" i="27"/>
  <c r="J985" i="27"/>
  <c r="H985" i="27"/>
  <c r="J984" i="27"/>
  <c r="H984" i="27"/>
  <c r="J983" i="27"/>
  <c r="H983" i="27"/>
  <c r="J982" i="27"/>
  <c r="H982" i="27"/>
  <c r="J981" i="27"/>
  <c r="H981" i="27"/>
  <c r="J980" i="27"/>
  <c r="H980" i="27"/>
  <c r="J979" i="27"/>
  <c r="H979" i="27"/>
  <c r="J978" i="27"/>
  <c r="H978" i="27"/>
  <c r="J977" i="27"/>
  <c r="H977" i="27"/>
  <c r="J976" i="27"/>
  <c r="H976" i="27"/>
  <c r="J975" i="27"/>
  <c r="H975" i="27"/>
  <c r="J974" i="27"/>
  <c r="H974" i="27"/>
  <c r="J973" i="27"/>
  <c r="H973" i="27"/>
  <c r="J972" i="27"/>
  <c r="H972" i="27"/>
  <c r="J971" i="27"/>
  <c r="H971" i="27"/>
  <c r="J970" i="27"/>
  <c r="H970" i="27"/>
  <c r="J969" i="27"/>
  <c r="H969" i="27"/>
  <c r="J968" i="27"/>
  <c r="H968" i="27"/>
  <c r="J967" i="27"/>
  <c r="H967" i="27"/>
  <c r="J966" i="27"/>
  <c r="H966" i="27"/>
  <c r="J965" i="27"/>
  <c r="H965" i="27"/>
  <c r="J964" i="27"/>
  <c r="H964" i="27"/>
  <c r="J963" i="27"/>
  <c r="H963" i="27"/>
  <c r="J962" i="27"/>
  <c r="H962" i="27"/>
  <c r="J961" i="27"/>
  <c r="H961" i="27"/>
  <c r="J960" i="27"/>
  <c r="H960" i="27"/>
  <c r="J959" i="27"/>
  <c r="H959" i="27"/>
  <c r="J958" i="27"/>
  <c r="H958" i="27"/>
  <c r="J957" i="27"/>
  <c r="H957" i="27"/>
  <c r="J956" i="27"/>
  <c r="H956" i="27"/>
  <c r="J955" i="27"/>
  <c r="H955" i="27"/>
  <c r="J954" i="27"/>
  <c r="H954" i="27"/>
  <c r="J953" i="27"/>
  <c r="H953" i="27"/>
  <c r="J952" i="27"/>
  <c r="H952" i="27"/>
  <c r="J951" i="27"/>
  <c r="H951" i="27"/>
  <c r="J950" i="27"/>
  <c r="H950" i="27"/>
  <c r="J949" i="27"/>
  <c r="H949" i="27"/>
  <c r="J948" i="27"/>
  <c r="H948" i="27"/>
  <c r="J947" i="27"/>
  <c r="H947" i="27"/>
  <c r="J946" i="27"/>
  <c r="H946" i="27"/>
  <c r="J945" i="27"/>
  <c r="H945" i="27"/>
  <c r="J944" i="27"/>
  <c r="H944" i="27"/>
  <c r="J943" i="27"/>
  <c r="H943" i="27"/>
  <c r="J942" i="27"/>
  <c r="H942" i="27"/>
  <c r="J941" i="27"/>
  <c r="H941" i="27"/>
  <c r="J940" i="27"/>
  <c r="H940" i="27"/>
  <c r="J939" i="27"/>
  <c r="H939" i="27"/>
  <c r="J938" i="27"/>
  <c r="H938" i="27"/>
  <c r="J937" i="27"/>
  <c r="H937" i="27"/>
  <c r="J936" i="27"/>
  <c r="H936" i="27"/>
  <c r="J935" i="27"/>
  <c r="H935" i="27"/>
  <c r="J934" i="27"/>
  <c r="H934" i="27"/>
  <c r="J933" i="27"/>
  <c r="H933" i="27"/>
  <c r="J932" i="27"/>
  <c r="H932" i="27"/>
  <c r="J931" i="27"/>
  <c r="H931" i="27"/>
  <c r="J930" i="27"/>
  <c r="H930" i="27"/>
  <c r="J929" i="27"/>
  <c r="H929" i="27"/>
  <c r="J928" i="27"/>
  <c r="H928" i="27"/>
  <c r="J927" i="27"/>
  <c r="H927" i="27"/>
  <c r="J926" i="27"/>
  <c r="H926" i="27"/>
  <c r="J925" i="27"/>
  <c r="H925" i="27"/>
  <c r="J924" i="27"/>
  <c r="H924" i="27"/>
  <c r="J923" i="27"/>
  <c r="H923" i="27"/>
  <c r="J922" i="27"/>
  <c r="H922" i="27"/>
  <c r="J921" i="27"/>
  <c r="H921" i="27"/>
  <c r="J920" i="27"/>
  <c r="H920" i="27"/>
  <c r="J919" i="27"/>
  <c r="H919" i="27"/>
  <c r="J918" i="27"/>
  <c r="H918" i="27"/>
  <c r="J917" i="27"/>
  <c r="H917" i="27"/>
  <c r="J916" i="27"/>
  <c r="H916" i="27"/>
  <c r="J915" i="27"/>
  <c r="H915" i="27"/>
  <c r="J914" i="27"/>
  <c r="H914" i="27"/>
  <c r="J913" i="27"/>
  <c r="H913" i="27"/>
  <c r="J912" i="27"/>
  <c r="H912" i="27"/>
  <c r="J911" i="27"/>
  <c r="H911" i="27"/>
  <c r="J910" i="27"/>
  <c r="H910" i="27"/>
  <c r="J909" i="27"/>
  <c r="H909" i="27"/>
  <c r="J908" i="27"/>
  <c r="H908" i="27"/>
  <c r="J907" i="27"/>
  <c r="H907" i="27"/>
  <c r="J906" i="27"/>
  <c r="H906" i="27"/>
  <c r="J905" i="27"/>
  <c r="H905" i="27"/>
  <c r="J904" i="27"/>
  <c r="H904" i="27"/>
  <c r="J903" i="27"/>
  <c r="H903" i="27"/>
  <c r="J902" i="27"/>
  <c r="H902" i="27"/>
  <c r="J901" i="27"/>
  <c r="H901" i="27"/>
  <c r="J900" i="27"/>
  <c r="H900" i="27"/>
  <c r="J899" i="27"/>
  <c r="H899" i="27"/>
  <c r="J898" i="27"/>
  <c r="H898" i="27"/>
  <c r="J897" i="27"/>
  <c r="H897" i="27"/>
  <c r="J896" i="27"/>
  <c r="H896" i="27"/>
  <c r="J895" i="27"/>
  <c r="H895" i="27"/>
  <c r="J894" i="27"/>
  <c r="H894" i="27"/>
  <c r="J893" i="27"/>
  <c r="H893" i="27"/>
  <c r="J892" i="27"/>
  <c r="H892" i="27"/>
  <c r="J891" i="27"/>
  <c r="H891" i="27"/>
  <c r="J890" i="27"/>
  <c r="H890" i="27"/>
  <c r="J889" i="27"/>
  <c r="H889" i="27"/>
  <c r="J888" i="27"/>
  <c r="H888" i="27"/>
  <c r="J887" i="27"/>
  <c r="H887" i="27"/>
  <c r="J886" i="27"/>
  <c r="H886" i="27"/>
  <c r="J885" i="27"/>
  <c r="H885" i="27"/>
  <c r="J884" i="27"/>
  <c r="H884" i="27"/>
  <c r="J883" i="27"/>
  <c r="H883" i="27"/>
  <c r="J882" i="27"/>
  <c r="H882" i="27"/>
  <c r="J881" i="27"/>
  <c r="H881" i="27"/>
  <c r="J880" i="27"/>
  <c r="H880" i="27"/>
  <c r="J879" i="27"/>
  <c r="H879" i="27"/>
  <c r="J878" i="27"/>
  <c r="H878" i="27"/>
  <c r="J877" i="27"/>
  <c r="H877" i="27"/>
  <c r="J876" i="27"/>
  <c r="H876" i="27"/>
  <c r="J875" i="27"/>
  <c r="H875" i="27"/>
  <c r="J874" i="27"/>
  <c r="H874" i="27"/>
  <c r="J873" i="27"/>
  <c r="H873" i="27"/>
  <c r="J872" i="27"/>
  <c r="H872" i="27"/>
  <c r="J871" i="27"/>
  <c r="H871" i="27"/>
  <c r="J870" i="27"/>
  <c r="H870" i="27"/>
  <c r="J869" i="27"/>
  <c r="H869" i="27"/>
  <c r="J868" i="27"/>
  <c r="H868" i="27"/>
  <c r="H867" i="27"/>
  <c r="H866" i="27"/>
  <c r="H865" i="27"/>
  <c r="H864" i="27"/>
  <c r="H863" i="27"/>
  <c r="H862" i="27"/>
  <c r="H861" i="27"/>
  <c r="H860" i="27"/>
  <c r="H859" i="27"/>
  <c r="H858" i="27"/>
  <c r="H857" i="27"/>
  <c r="H856" i="27"/>
  <c r="H855" i="27"/>
  <c r="H854" i="27"/>
  <c r="H853" i="27"/>
  <c r="H852" i="27"/>
  <c r="H851" i="27"/>
  <c r="H850" i="27"/>
  <c r="H849" i="27"/>
  <c r="H848" i="27"/>
  <c r="H847" i="27"/>
  <c r="H846" i="27"/>
  <c r="H845" i="27"/>
  <c r="H844" i="27"/>
  <c r="H843" i="27"/>
  <c r="H842" i="27"/>
  <c r="H841" i="27"/>
  <c r="H840" i="27"/>
  <c r="H839" i="27"/>
  <c r="H838" i="27"/>
  <c r="H837" i="27"/>
  <c r="H836" i="27"/>
  <c r="H835" i="27"/>
  <c r="H834" i="27"/>
  <c r="H833" i="27"/>
  <c r="H832" i="27"/>
  <c r="H831" i="27"/>
  <c r="H830" i="27"/>
  <c r="H829" i="27"/>
  <c r="H828" i="27"/>
  <c r="H827" i="27"/>
  <c r="H826" i="27"/>
  <c r="H825" i="27"/>
  <c r="H824" i="27"/>
  <c r="H823" i="27"/>
  <c r="H822" i="27"/>
  <c r="H821" i="27"/>
  <c r="H820" i="27"/>
  <c r="H819" i="27"/>
  <c r="H818" i="27"/>
  <c r="H817" i="27"/>
  <c r="H816" i="27"/>
  <c r="H815" i="27"/>
  <c r="H814" i="27"/>
  <c r="H813" i="27"/>
  <c r="H812" i="27"/>
  <c r="H811" i="27"/>
  <c r="H810" i="27"/>
  <c r="H809" i="27"/>
  <c r="H808" i="27"/>
  <c r="H807" i="27"/>
  <c r="H806" i="27"/>
  <c r="H805" i="27"/>
  <c r="H804" i="27"/>
  <c r="H803" i="27"/>
  <c r="H802" i="27"/>
  <c r="H801" i="27"/>
  <c r="H800" i="27"/>
  <c r="H799" i="27"/>
  <c r="H798" i="27"/>
  <c r="H797" i="27"/>
  <c r="H796" i="27"/>
  <c r="H795" i="27"/>
  <c r="H794" i="27"/>
  <c r="H793" i="27"/>
  <c r="H792" i="27"/>
  <c r="H791" i="27"/>
  <c r="H790" i="27"/>
  <c r="H789" i="27"/>
  <c r="H788" i="27"/>
  <c r="H787" i="27"/>
  <c r="H786" i="27"/>
  <c r="H785" i="27"/>
  <c r="H784" i="27"/>
  <c r="H783" i="27"/>
  <c r="H782" i="27"/>
  <c r="H781" i="27"/>
  <c r="H780" i="27"/>
  <c r="H779" i="27"/>
  <c r="H778" i="27"/>
  <c r="H777" i="27"/>
  <c r="H776" i="27"/>
  <c r="H775" i="27"/>
  <c r="H774" i="27"/>
  <c r="H773" i="27"/>
  <c r="H772" i="27"/>
  <c r="H771" i="27"/>
  <c r="H770" i="27"/>
  <c r="H769" i="27"/>
  <c r="H768" i="27"/>
  <c r="H767" i="27"/>
  <c r="H766" i="27"/>
  <c r="H765" i="27"/>
  <c r="H764" i="27"/>
  <c r="H763" i="27"/>
  <c r="H762" i="27"/>
  <c r="H761" i="27"/>
  <c r="H760" i="27"/>
  <c r="H759" i="27"/>
  <c r="H758" i="27"/>
  <c r="H757" i="27"/>
  <c r="H756" i="27"/>
  <c r="H755" i="27"/>
  <c r="H754" i="27"/>
  <c r="H753" i="27"/>
  <c r="H752" i="27"/>
  <c r="H751" i="27"/>
  <c r="H750" i="27"/>
  <c r="H749" i="27"/>
  <c r="H748" i="27"/>
  <c r="H747" i="27"/>
  <c r="H746" i="27"/>
  <c r="H745" i="27"/>
  <c r="H744" i="27"/>
  <c r="H743" i="27"/>
  <c r="H742" i="27"/>
  <c r="H741" i="27"/>
  <c r="H740" i="27"/>
  <c r="H739" i="27"/>
  <c r="H738" i="27"/>
  <c r="H737" i="27"/>
  <c r="H736" i="27"/>
  <c r="H735" i="27"/>
  <c r="H734" i="27"/>
  <c r="H733" i="27"/>
  <c r="H732" i="27"/>
  <c r="H731" i="27"/>
  <c r="H730" i="27"/>
  <c r="H729" i="27"/>
  <c r="H728" i="27"/>
  <c r="H727" i="27"/>
  <c r="H726" i="27"/>
  <c r="H725" i="27"/>
  <c r="H724" i="27"/>
  <c r="H723" i="27"/>
  <c r="H722" i="27"/>
  <c r="H721" i="27"/>
  <c r="H720" i="27"/>
  <c r="H719" i="27"/>
  <c r="H718" i="27"/>
  <c r="H717" i="27"/>
  <c r="H716" i="27"/>
  <c r="H715" i="27"/>
  <c r="H714" i="27"/>
  <c r="H713" i="27"/>
  <c r="H712" i="27"/>
  <c r="H711" i="27"/>
  <c r="H710" i="27"/>
  <c r="H709" i="27"/>
  <c r="H708" i="27"/>
  <c r="H707" i="27"/>
  <c r="H706" i="27"/>
  <c r="H705" i="27"/>
  <c r="H704" i="27"/>
  <c r="H703" i="27"/>
  <c r="H702" i="27"/>
  <c r="H701" i="27"/>
  <c r="H700" i="27"/>
  <c r="H699" i="27"/>
  <c r="H698" i="27"/>
  <c r="H697" i="27"/>
  <c r="H696" i="27"/>
  <c r="H695" i="27"/>
  <c r="H694" i="27"/>
  <c r="H693" i="27"/>
  <c r="H692" i="27"/>
  <c r="H691" i="27"/>
  <c r="H690" i="27"/>
  <c r="H689" i="27"/>
  <c r="H688" i="27"/>
  <c r="H687" i="27"/>
  <c r="H686" i="27"/>
  <c r="H685" i="27"/>
  <c r="H684" i="27"/>
  <c r="H683" i="27"/>
  <c r="H682" i="27"/>
  <c r="H681" i="27"/>
  <c r="H680" i="27"/>
  <c r="H679" i="27"/>
  <c r="H678" i="27"/>
  <c r="H677" i="27"/>
  <c r="H676" i="27"/>
  <c r="H675" i="27"/>
  <c r="H674" i="27"/>
  <c r="H673" i="27"/>
  <c r="H672" i="27"/>
  <c r="H671" i="27"/>
  <c r="H670" i="27"/>
  <c r="H669" i="27"/>
  <c r="H668" i="27"/>
  <c r="H667" i="27"/>
  <c r="H666" i="27"/>
  <c r="H665" i="27"/>
  <c r="H664" i="27"/>
  <c r="H663" i="27"/>
  <c r="H662" i="27"/>
  <c r="H661" i="27"/>
  <c r="H660" i="27"/>
  <c r="H659" i="27"/>
  <c r="H658" i="27"/>
  <c r="H657" i="27"/>
  <c r="H656" i="27"/>
  <c r="H655" i="27"/>
  <c r="H654" i="27"/>
  <c r="H653" i="27"/>
  <c r="H652" i="27"/>
  <c r="H651" i="27"/>
  <c r="H650" i="27"/>
  <c r="H649" i="27"/>
  <c r="H648" i="27"/>
  <c r="H647" i="27"/>
  <c r="H646" i="27"/>
  <c r="H645" i="27"/>
  <c r="H644" i="27"/>
  <c r="H643" i="27"/>
  <c r="H642" i="27"/>
  <c r="H641" i="27"/>
  <c r="H640" i="27"/>
  <c r="H639" i="27"/>
  <c r="H638" i="27"/>
  <c r="H637" i="27"/>
  <c r="H636" i="27"/>
  <c r="H635" i="27"/>
  <c r="H634" i="27"/>
  <c r="H633" i="27"/>
  <c r="H632" i="27"/>
  <c r="H631" i="27"/>
  <c r="H630" i="27"/>
  <c r="H629" i="27"/>
  <c r="H628" i="27"/>
  <c r="H627" i="27"/>
  <c r="H626" i="27"/>
  <c r="H625" i="27"/>
  <c r="H624" i="27"/>
  <c r="H623" i="27"/>
  <c r="H622" i="27"/>
  <c r="H621" i="27"/>
  <c r="H620" i="27"/>
  <c r="H619" i="27"/>
  <c r="H618" i="27"/>
  <c r="H617" i="27"/>
  <c r="H616" i="27"/>
  <c r="H615" i="27"/>
  <c r="H614" i="27"/>
  <c r="H613" i="27"/>
  <c r="H612" i="27"/>
  <c r="H611" i="27"/>
  <c r="H610" i="27"/>
  <c r="H609" i="27"/>
  <c r="H608" i="27"/>
  <c r="H607" i="27"/>
  <c r="H606" i="27"/>
  <c r="H605" i="27"/>
  <c r="H604" i="27"/>
  <c r="H603" i="27"/>
  <c r="H602" i="27"/>
  <c r="H601" i="27"/>
  <c r="H600" i="27"/>
  <c r="H599" i="27"/>
  <c r="H598" i="27"/>
  <c r="H597" i="27"/>
  <c r="H596" i="27"/>
  <c r="H595" i="27"/>
  <c r="H594" i="27"/>
  <c r="H593" i="27"/>
  <c r="H592" i="27"/>
  <c r="H591" i="27"/>
  <c r="H590" i="27"/>
  <c r="H589" i="27"/>
  <c r="H588" i="27"/>
  <c r="H587" i="27"/>
  <c r="H586" i="27"/>
  <c r="H585" i="27"/>
  <c r="H584" i="27"/>
  <c r="H583" i="27"/>
  <c r="H582" i="27"/>
  <c r="H581" i="27"/>
  <c r="H580" i="27"/>
  <c r="H579" i="27"/>
  <c r="H578" i="27"/>
  <c r="H577" i="27"/>
  <c r="H576" i="27"/>
  <c r="H575" i="27"/>
  <c r="H574" i="27"/>
  <c r="H573" i="27"/>
  <c r="H572" i="27"/>
  <c r="H571" i="27"/>
  <c r="H570" i="27"/>
  <c r="H569" i="27"/>
  <c r="H568" i="27"/>
  <c r="H567" i="27"/>
  <c r="H566" i="27"/>
  <c r="H565" i="27"/>
  <c r="H564" i="27"/>
  <c r="H563" i="27"/>
  <c r="H562" i="27"/>
  <c r="H561" i="27"/>
  <c r="H560" i="27"/>
  <c r="H559" i="27"/>
  <c r="H558" i="27"/>
  <c r="H557" i="27"/>
  <c r="H556" i="27"/>
  <c r="H555" i="27"/>
  <c r="H554" i="27"/>
  <c r="H553" i="27"/>
  <c r="H552" i="27"/>
  <c r="H551" i="27"/>
  <c r="H550" i="27"/>
  <c r="H549" i="27"/>
  <c r="H548" i="27"/>
  <c r="H547" i="27"/>
  <c r="H546" i="27"/>
  <c r="H545" i="27"/>
  <c r="H544" i="27"/>
  <c r="H543" i="27"/>
  <c r="H542" i="27"/>
  <c r="H541" i="27"/>
  <c r="H540" i="27"/>
  <c r="H539" i="27"/>
  <c r="H538" i="27"/>
  <c r="H537" i="27"/>
  <c r="H536" i="27"/>
  <c r="H535" i="27"/>
  <c r="H534" i="27"/>
  <c r="H533" i="27"/>
  <c r="H532" i="27"/>
  <c r="H531" i="27"/>
  <c r="H530" i="27"/>
  <c r="H529" i="27"/>
  <c r="H528" i="27"/>
  <c r="H527" i="27"/>
  <c r="H526" i="27"/>
  <c r="H525" i="27"/>
  <c r="H524" i="27"/>
  <c r="H523" i="27"/>
  <c r="H522" i="27"/>
  <c r="H521" i="27"/>
  <c r="H520" i="27"/>
  <c r="H519" i="27"/>
  <c r="H518" i="27"/>
  <c r="H517" i="27"/>
  <c r="H516" i="27"/>
  <c r="H515" i="27"/>
  <c r="H514" i="27"/>
  <c r="H513" i="27"/>
  <c r="H512" i="27"/>
  <c r="H511" i="27"/>
  <c r="H510" i="27"/>
  <c r="H509" i="27"/>
  <c r="H508" i="27"/>
  <c r="H507" i="27"/>
  <c r="H506" i="27"/>
  <c r="H505" i="27"/>
  <c r="H504" i="27"/>
  <c r="H503" i="27"/>
  <c r="H502" i="27"/>
  <c r="H501" i="27"/>
  <c r="H500" i="27"/>
  <c r="H499" i="27"/>
  <c r="H498" i="27"/>
  <c r="H497" i="27"/>
  <c r="H496" i="27"/>
  <c r="H495" i="27"/>
  <c r="H494" i="27"/>
  <c r="H493" i="27"/>
  <c r="H492" i="27"/>
  <c r="H491" i="27"/>
  <c r="H490" i="27"/>
  <c r="H489" i="27"/>
  <c r="H488" i="27"/>
  <c r="H487" i="27"/>
  <c r="H486" i="27"/>
  <c r="H485" i="27"/>
  <c r="H484" i="27"/>
  <c r="H483" i="27"/>
  <c r="H482" i="27"/>
  <c r="H481" i="27"/>
  <c r="H480" i="27"/>
  <c r="H479" i="27"/>
  <c r="H478" i="27"/>
  <c r="H477" i="27"/>
  <c r="H476" i="27"/>
  <c r="H475" i="27"/>
  <c r="H474" i="27"/>
  <c r="H473" i="27"/>
  <c r="H472" i="27"/>
  <c r="H471" i="27"/>
  <c r="H470" i="27"/>
  <c r="H469" i="27"/>
  <c r="H468" i="27"/>
  <c r="H467" i="27"/>
  <c r="H466" i="27"/>
  <c r="H465" i="27"/>
  <c r="H464" i="27"/>
  <c r="H463" i="27"/>
  <c r="H462" i="27"/>
  <c r="H461" i="27"/>
  <c r="H460" i="27"/>
  <c r="H459" i="27"/>
  <c r="H458" i="27"/>
  <c r="H457" i="27"/>
  <c r="H456" i="27"/>
  <c r="H455" i="27"/>
  <c r="H454" i="27"/>
  <c r="H453" i="27"/>
  <c r="H452" i="27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A283" i="27" s="1"/>
  <c r="A284" i="27" s="1"/>
  <c r="A285" i="27" s="1"/>
  <c r="A286" i="27" s="1"/>
  <c r="A287" i="27" s="1"/>
  <c r="A288" i="27" s="1"/>
  <c r="A289" i="27" s="1"/>
  <c r="A290" i="27" s="1"/>
  <c r="A291" i="27" s="1"/>
  <c r="A292" i="27" s="1"/>
  <c r="A293" i="27" s="1"/>
  <c r="A294" i="27" s="1"/>
  <c r="A295" i="27" s="1"/>
  <c r="A296" i="27" s="1"/>
  <c r="A297" i="27" s="1"/>
  <c r="A298" i="27" s="1"/>
  <c r="A299" i="27" s="1"/>
  <c r="A300" i="27" s="1"/>
  <c r="A301" i="27" s="1"/>
  <c r="A302" i="27" s="1"/>
  <c r="A303" i="27" s="1"/>
  <c r="A304" i="27" s="1"/>
  <c r="A305" i="27" s="1"/>
  <c r="A306" i="27" s="1"/>
  <c r="A307" i="27" s="1"/>
  <c r="A308" i="27" s="1"/>
  <c r="A309" i="27" s="1"/>
  <c r="A310" i="27" s="1"/>
  <c r="A311" i="27" s="1"/>
  <c r="A312" i="27" s="1"/>
  <c r="A313" i="27" s="1"/>
  <c r="A314" i="27" s="1"/>
  <c r="A315" i="27" s="1"/>
  <c r="A316" i="27" s="1"/>
  <c r="A317" i="27" s="1"/>
  <c r="A318" i="27" s="1"/>
  <c r="A319" i="27" s="1"/>
  <c r="A320" i="27" s="1"/>
  <c r="A321" i="27" s="1"/>
  <c r="A322" i="27" s="1"/>
  <c r="A323" i="27" s="1"/>
  <c r="A324" i="27" s="1"/>
  <c r="A325" i="27" s="1"/>
  <c r="A326" i="27" s="1"/>
  <c r="A327" i="27" s="1"/>
  <c r="A328" i="27" s="1"/>
  <c r="A329" i="27" s="1"/>
  <c r="A330" i="27" s="1"/>
  <c r="A331" i="27" s="1"/>
  <c r="A332" i="27" s="1"/>
  <c r="A333" i="27" s="1"/>
  <c r="A334" i="27" s="1"/>
  <c r="A335" i="27" s="1"/>
  <c r="A336" i="27" s="1"/>
  <c r="A337" i="27" s="1"/>
  <c r="A338" i="27" s="1"/>
  <c r="A339" i="27" s="1"/>
  <c r="A340" i="27" s="1"/>
  <c r="A341" i="27" s="1"/>
  <c r="A342" i="27" s="1"/>
  <c r="A343" i="27" s="1"/>
  <c r="A344" i="27" s="1"/>
  <c r="A345" i="27" s="1"/>
  <c r="A346" i="27" s="1"/>
  <c r="A347" i="27" s="1"/>
  <c r="A348" i="27" s="1"/>
  <c r="A349" i="27" s="1"/>
  <c r="A350" i="27" s="1"/>
  <c r="A351" i="27" s="1"/>
  <c r="A352" i="27" s="1"/>
  <c r="A353" i="27" s="1"/>
  <c r="A354" i="27" s="1"/>
  <c r="A355" i="27" s="1"/>
  <c r="A356" i="27" s="1"/>
  <c r="A357" i="27" s="1"/>
  <c r="A358" i="27" s="1"/>
  <c r="A359" i="27" s="1"/>
  <c r="A360" i="27" s="1"/>
  <c r="A361" i="27" s="1"/>
  <c r="A362" i="27" s="1"/>
  <c r="A363" i="27" s="1"/>
  <c r="A364" i="27" s="1"/>
  <c r="A365" i="27" s="1"/>
  <c r="A366" i="27" s="1"/>
  <c r="A367" i="27" s="1"/>
  <c r="A368" i="27" s="1"/>
  <c r="A369" i="27" s="1"/>
  <c r="A370" i="27" s="1"/>
  <c r="A371" i="27" s="1"/>
  <c r="A372" i="27" s="1"/>
  <c r="A373" i="27" s="1"/>
  <c r="A374" i="27" s="1"/>
  <c r="A375" i="27" s="1"/>
  <c r="A376" i="27" s="1"/>
  <c r="A377" i="27" s="1"/>
  <c r="A378" i="27" s="1"/>
  <c r="A379" i="27" s="1"/>
  <c r="A380" i="27" s="1"/>
  <c r="A381" i="27" s="1"/>
  <c r="A382" i="27" s="1"/>
  <c r="A383" i="27" s="1"/>
  <c r="A384" i="27" s="1"/>
  <c r="A385" i="27" s="1"/>
  <c r="A386" i="27" s="1"/>
  <c r="A387" i="27" s="1"/>
  <c r="A388" i="27" s="1"/>
  <c r="A389" i="27" s="1"/>
  <c r="A390" i="27" s="1"/>
  <c r="A391" i="27" s="1"/>
  <c r="A392" i="27" s="1"/>
  <c r="A393" i="27" s="1"/>
  <c r="A394" i="27" s="1"/>
  <c r="A395" i="27" s="1"/>
  <c r="A396" i="27" s="1"/>
  <c r="A397" i="27" s="1"/>
  <c r="A398" i="27" s="1"/>
  <c r="A399" i="27" s="1"/>
  <c r="A400" i="27" s="1"/>
  <c r="A401" i="27" s="1"/>
  <c r="A402" i="27" s="1"/>
  <c r="A403" i="27" s="1"/>
  <c r="A404" i="27" s="1"/>
  <c r="A405" i="27" s="1"/>
  <c r="A406" i="27" s="1"/>
  <c r="A407" i="27" s="1"/>
  <c r="A408" i="27" s="1"/>
  <c r="A409" i="27" s="1"/>
  <c r="A410" i="27" s="1"/>
  <c r="A411" i="27" s="1"/>
  <c r="A412" i="27" s="1"/>
  <c r="A413" i="27" s="1"/>
  <c r="A414" i="27" s="1"/>
  <c r="A415" i="27" s="1"/>
  <c r="A416" i="27" s="1"/>
  <c r="A417" i="27" s="1"/>
  <c r="A418" i="27" s="1"/>
  <c r="A419" i="27" s="1"/>
  <c r="A420" i="27" s="1"/>
  <c r="A421" i="27" s="1"/>
  <c r="A422" i="27" s="1"/>
  <c r="A423" i="27" s="1"/>
  <c r="A424" i="27" s="1"/>
  <c r="A425" i="27" s="1"/>
  <c r="A426" i="27" s="1"/>
  <c r="A427" i="27" s="1"/>
  <c r="A428" i="27" s="1"/>
  <c r="A429" i="27" s="1"/>
  <c r="A430" i="27" s="1"/>
  <c r="A431" i="27" s="1"/>
  <c r="A432" i="27" s="1"/>
  <c r="A433" i="27" s="1"/>
  <c r="A434" i="27" s="1"/>
  <c r="A435" i="27" s="1"/>
  <c r="A436" i="27" s="1"/>
  <c r="A437" i="27" s="1"/>
  <c r="A438" i="27" s="1"/>
  <c r="A439" i="27" s="1"/>
  <c r="A440" i="27" s="1"/>
  <c r="A441" i="27" s="1"/>
  <c r="A442" i="27" s="1"/>
  <c r="A443" i="27" s="1"/>
  <c r="A444" i="27" s="1"/>
  <c r="A445" i="27" s="1"/>
  <c r="A446" i="27" s="1"/>
  <c r="A447" i="27" s="1"/>
  <c r="A448" i="27" s="1"/>
  <c r="A449" i="27" s="1"/>
  <c r="A450" i="27" s="1"/>
  <c r="A451" i="27" s="1"/>
  <c r="A452" i="27" s="1"/>
  <c r="A453" i="27" s="1"/>
  <c r="A454" i="27" s="1"/>
  <c r="A455" i="27" s="1"/>
  <c r="A456" i="27" s="1"/>
  <c r="A457" i="27" s="1"/>
  <c r="A458" i="27" s="1"/>
  <c r="A459" i="27" s="1"/>
  <c r="A460" i="27" s="1"/>
  <c r="A461" i="27" s="1"/>
  <c r="A462" i="27" s="1"/>
  <c r="A463" i="27" s="1"/>
  <c r="A464" i="27" s="1"/>
  <c r="A465" i="27" s="1"/>
  <c r="A466" i="27" s="1"/>
  <c r="A467" i="27" s="1"/>
  <c r="A468" i="27" s="1"/>
  <c r="A469" i="27" s="1"/>
  <c r="A470" i="27" s="1"/>
  <c r="A471" i="27" s="1"/>
  <c r="A472" i="27" s="1"/>
  <c r="A473" i="27" s="1"/>
  <c r="A474" i="27" s="1"/>
  <c r="A475" i="27" s="1"/>
  <c r="A476" i="27" s="1"/>
  <c r="A477" i="27" s="1"/>
  <c r="A478" i="27" s="1"/>
  <c r="A479" i="27" s="1"/>
  <c r="A480" i="27" s="1"/>
  <c r="A481" i="27" s="1"/>
  <c r="A482" i="27" s="1"/>
  <c r="A483" i="27" s="1"/>
  <c r="A484" i="27" s="1"/>
  <c r="A485" i="27" s="1"/>
  <c r="A486" i="27" s="1"/>
  <c r="A487" i="27" s="1"/>
  <c r="A488" i="27" s="1"/>
  <c r="A489" i="27" s="1"/>
  <c r="A490" i="27" s="1"/>
  <c r="A491" i="27" s="1"/>
  <c r="A492" i="27" s="1"/>
  <c r="A493" i="27" s="1"/>
  <c r="A494" i="27" s="1"/>
  <c r="A495" i="27" s="1"/>
  <c r="A496" i="27" s="1"/>
  <c r="A497" i="27" s="1"/>
  <c r="A498" i="27" s="1"/>
  <c r="A499" i="27" s="1"/>
  <c r="A500" i="27" s="1"/>
  <c r="A501" i="27" s="1"/>
  <c r="A502" i="27" s="1"/>
  <c r="A503" i="27" s="1"/>
  <c r="A504" i="27" s="1"/>
  <c r="A505" i="27" s="1"/>
  <c r="A506" i="27" s="1"/>
  <c r="A507" i="27" s="1"/>
  <c r="A508" i="27" s="1"/>
  <c r="A509" i="27" s="1"/>
  <c r="A510" i="27" s="1"/>
  <c r="A511" i="27" s="1"/>
  <c r="A512" i="27" s="1"/>
  <c r="A513" i="27" s="1"/>
  <c r="A514" i="27" s="1"/>
  <c r="A515" i="27" s="1"/>
  <c r="A516" i="27" s="1"/>
  <c r="A517" i="27" s="1"/>
  <c r="A518" i="27" s="1"/>
  <c r="A519" i="27" s="1"/>
  <c r="A520" i="27" s="1"/>
  <c r="A521" i="27" s="1"/>
  <c r="A522" i="27" s="1"/>
  <c r="A523" i="27" s="1"/>
  <c r="A524" i="27" s="1"/>
  <c r="A525" i="27" s="1"/>
  <c r="A526" i="27" s="1"/>
  <c r="A527" i="27" s="1"/>
  <c r="A528" i="27" s="1"/>
  <c r="A529" i="27" s="1"/>
  <c r="A530" i="27" s="1"/>
  <c r="A531" i="27" s="1"/>
  <c r="A532" i="27" s="1"/>
  <c r="A533" i="27" s="1"/>
  <c r="A534" i="27" s="1"/>
  <c r="A535" i="27" s="1"/>
  <c r="A536" i="27" s="1"/>
  <c r="A537" i="27" s="1"/>
  <c r="A538" i="27" s="1"/>
  <c r="A539" i="27" s="1"/>
  <c r="A540" i="27" s="1"/>
  <c r="A541" i="27" s="1"/>
  <c r="A542" i="27" s="1"/>
  <c r="A543" i="27" s="1"/>
  <c r="A544" i="27" s="1"/>
  <c r="A545" i="27" s="1"/>
  <c r="A546" i="27" s="1"/>
  <c r="A547" i="27" s="1"/>
  <c r="A548" i="27" s="1"/>
  <c r="A549" i="27" s="1"/>
  <c r="A550" i="27" s="1"/>
  <c r="A551" i="27" s="1"/>
  <c r="A552" i="27" s="1"/>
  <c r="A553" i="27" s="1"/>
  <c r="A554" i="27" s="1"/>
  <c r="A555" i="27" s="1"/>
  <c r="A556" i="27" s="1"/>
  <c r="A557" i="27" s="1"/>
  <c r="A558" i="27" s="1"/>
  <c r="A559" i="27" s="1"/>
  <c r="A560" i="27" s="1"/>
  <c r="A561" i="27" s="1"/>
  <c r="A562" i="27" s="1"/>
  <c r="A563" i="27" s="1"/>
  <c r="A564" i="27" s="1"/>
  <c r="A565" i="27" s="1"/>
  <c r="A566" i="27" s="1"/>
  <c r="A567" i="27" s="1"/>
  <c r="A568" i="27" s="1"/>
  <c r="A569" i="27" s="1"/>
  <c r="A570" i="27" s="1"/>
  <c r="A571" i="27" s="1"/>
  <c r="A572" i="27" s="1"/>
  <c r="A573" i="27" s="1"/>
  <c r="A574" i="27" s="1"/>
  <c r="A575" i="27" s="1"/>
  <c r="A576" i="27" s="1"/>
  <c r="A577" i="27" s="1"/>
  <c r="A578" i="27" s="1"/>
  <c r="A579" i="27" s="1"/>
  <c r="A580" i="27" s="1"/>
  <c r="A581" i="27" s="1"/>
  <c r="A582" i="27" s="1"/>
  <c r="A583" i="27" s="1"/>
  <c r="A584" i="27" s="1"/>
  <c r="A585" i="27" s="1"/>
  <c r="A586" i="27" s="1"/>
  <c r="A587" i="27" s="1"/>
  <c r="A588" i="27" s="1"/>
  <c r="A589" i="27" s="1"/>
  <c r="A590" i="27" s="1"/>
  <c r="A591" i="27" s="1"/>
  <c r="A592" i="27" s="1"/>
  <c r="A593" i="27" s="1"/>
  <c r="A594" i="27" s="1"/>
  <c r="A595" i="27" s="1"/>
  <c r="A596" i="27" s="1"/>
  <c r="A597" i="27" s="1"/>
  <c r="A598" i="27" s="1"/>
  <c r="A599" i="27" s="1"/>
  <c r="A600" i="27" s="1"/>
  <c r="A601" i="27" s="1"/>
  <c r="A602" i="27" s="1"/>
  <c r="A603" i="27" s="1"/>
  <c r="A604" i="27" s="1"/>
  <c r="A605" i="27" s="1"/>
  <c r="A606" i="27" s="1"/>
  <c r="A607" i="27" s="1"/>
  <c r="A608" i="27" s="1"/>
  <c r="A609" i="27" s="1"/>
  <c r="A610" i="27" s="1"/>
  <c r="A611" i="27" s="1"/>
  <c r="A612" i="27" s="1"/>
  <c r="A613" i="27" s="1"/>
  <c r="A614" i="27" s="1"/>
  <c r="A615" i="27" s="1"/>
  <c r="A616" i="27" s="1"/>
  <c r="A617" i="27" s="1"/>
  <c r="A618" i="27" s="1"/>
  <c r="A619" i="27" s="1"/>
  <c r="A620" i="27" s="1"/>
  <c r="A621" i="27" s="1"/>
  <c r="A622" i="27" s="1"/>
  <c r="A623" i="27" s="1"/>
  <c r="A624" i="27" s="1"/>
  <c r="A625" i="27" s="1"/>
  <c r="A626" i="27" s="1"/>
  <c r="A627" i="27" s="1"/>
  <c r="A628" i="27" s="1"/>
  <c r="A629" i="27" s="1"/>
  <c r="A630" i="27" s="1"/>
  <c r="A631" i="27" s="1"/>
  <c r="A632" i="27" s="1"/>
  <c r="A633" i="27" s="1"/>
  <c r="A634" i="27" s="1"/>
  <c r="A635" i="27" s="1"/>
  <c r="A636" i="27" s="1"/>
  <c r="A637" i="27" s="1"/>
  <c r="A638" i="27" s="1"/>
  <c r="A639" i="27" s="1"/>
  <c r="A640" i="27" s="1"/>
  <c r="A641" i="27" s="1"/>
  <c r="A642" i="27" s="1"/>
  <c r="A643" i="27" s="1"/>
  <c r="A644" i="27" s="1"/>
  <c r="A645" i="27" s="1"/>
  <c r="A646" i="27" s="1"/>
  <c r="A647" i="27" s="1"/>
  <c r="A648" i="27" s="1"/>
  <c r="A649" i="27" s="1"/>
  <c r="A650" i="27" s="1"/>
  <c r="A651" i="27" s="1"/>
  <c r="A652" i="27" s="1"/>
  <c r="A653" i="27" s="1"/>
  <c r="A654" i="27" s="1"/>
  <c r="A655" i="27" s="1"/>
  <c r="A656" i="27" s="1"/>
  <c r="A657" i="27" s="1"/>
  <c r="A658" i="27" s="1"/>
  <c r="A659" i="27" s="1"/>
  <c r="A660" i="27" s="1"/>
  <c r="A661" i="27" s="1"/>
  <c r="A662" i="27" s="1"/>
  <c r="A663" i="27" s="1"/>
  <c r="A664" i="27" s="1"/>
  <c r="A665" i="27" s="1"/>
  <c r="A666" i="27" s="1"/>
  <c r="A667" i="27" s="1"/>
  <c r="A668" i="27" s="1"/>
  <c r="A669" i="27" s="1"/>
  <c r="A670" i="27" s="1"/>
  <c r="A671" i="27" s="1"/>
  <c r="A672" i="27" s="1"/>
  <c r="A673" i="27" s="1"/>
  <c r="A674" i="27" s="1"/>
  <c r="A675" i="27" s="1"/>
  <c r="A676" i="27" s="1"/>
  <c r="A677" i="27" s="1"/>
  <c r="A678" i="27" s="1"/>
  <c r="A679" i="27" s="1"/>
  <c r="A680" i="27" s="1"/>
  <c r="A681" i="27" s="1"/>
  <c r="A682" i="27" s="1"/>
  <c r="A683" i="27" s="1"/>
  <c r="A684" i="27" s="1"/>
  <c r="A685" i="27" s="1"/>
  <c r="A686" i="27" s="1"/>
  <c r="A687" i="27" s="1"/>
  <c r="A688" i="27" s="1"/>
  <c r="A689" i="27" s="1"/>
  <c r="A690" i="27" s="1"/>
  <c r="A691" i="27" s="1"/>
  <c r="A692" i="27" s="1"/>
  <c r="A693" i="27" s="1"/>
  <c r="A694" i="27" s="1"/>
  <c r="A695" i="27" s="1"/>
  <c r="A696" i="27" s="1"/>
  <c r="A697" i="27" s="1"/>
  <c r="A698" i="27" s="1"/>
  <c r="A699" i="27" s="1"/>
  <c r="A700" i="27" s="1"/>
  <c r="A701" i="27" s="1"/>
  <c r="A702" i="27" s="1"/>
  <c r="A703" i="27" s="1"/>
  <c r="A704" i="27" s="1"/>
  <c r="A705" i="27" s="1"/>
  <c r="A706" i="27" s="1"/>
  <c r="A707" i="27" s="1"/>
  <c r="A708" i="27" s="1"/>
  <c r="A709" i="27" s="1"/>
  <c r="A710" i="27" s="1"/>
  <c r="A711" i="27" s="1"/>
  <c r="A712" i="27" s="1"/>
  <c r="A713" i="27" s="1"/>
  <c r="A714" i="27" s="1"/>
  <c r="A715" i="27" s="1"/>
  <c r="A716" i="27" s="1"/>
  <c r="A717" i="27" s="1"/>
  <c r="A718" i="27" s="1"/>
  <c r="A719" i="27" s="1"/>
  <c r="A720" i="27" s="1"/>
  <c r="A721" i="27" s="1"/>
  <c r="A722" i="27" s="1"/>
  <c r="A723" i="27" s="1"/>
  <c r="A724" i="27" s="1"/>
  <c r="A725" i="27" s="1"/>
  <c r="A726" i="27" s="1"/>
  <c r="A727" i="27" s="1"/>
  <c r="A728" i="27" s="1"/>
  <c r="A729" i="27" s="1"/>
  <c r="A730" i="27" s="1"/>
  <c r="A731" i="27" s="1"/>
  <c r="A732" i="27" s="1"/>
  <c r="A733" i="27" s="1"/>
  <c r="A734" i="27" s="1"/>
  <c r="A735" i="27" s="1"/>
  <c r="A736" i="27" s="1"/>
  <c r="A737" i="27" s="1"/>
  <c r="A738" i="27" s="1"/>
  <c r="A739" i="27" s="1"/>
  <c r="A740" i="27" s="1"/>
  <c r="A741" i="27" s="1"/>
  <c r="A742" i="27" s="1"/>
  <c r="A743" i="27" s="1"/>
  <c r="A744" i="27" s="1"/>
  <c r="A745" i="27" s="1"/>
  <c r="A746" i="27" s="1"/>
  <c r="A747" i="27" s="1"/>
  <c r="A748" i="27" s="1"/>
  <c r="A749" i="27" s="1"/>
  <c r="A750" i="27" s="1"/>
  <c r="A751" i="27" s="1"/>
  <c r="A752" i="27" s="1"/>
  <c r="A753" i="27" s="1"/>
  <c r="A754" i="27" s="1"/>
  <c r="A755" i="27" s="1"/>
  <c r="A756" i="27" s="1"/>
  <c r="A757" i="27" s="1"/>
  <c r="A758" i="27" s="1"/>
  <c r="A759" i="27" s="1"/>
  <c r="A760" i="27" s="1"/>
  <c r="A761" i="27" s="1"/>
  <c r="A762" i="27" s="1"/>
  <c r="A763" i="27" s="1"/>
  <c r="A764" i="27" s="1"/>
  <c r="A765" i="27" s="1"/>
  <c r="A766" i="27" s="1"/>
  <c r="A767" i="27" s="1"/>
  <c r="A768" i="27" s="1"/>
  <c r="A769" i="27" s="1"/>
  <c r="A770" i="27" s="1"/>
  <c r="A771" i="27" s="1"/>
  <c r="A772" i="27" s="1"/>
  <c r="A773" i="27" s="1"/>
  <c r="A774" i="27" s="1"/>
  <c r="A775" i="27" s="1"/>
  <c r="A776" i="27" s="1"/>
  <c r="A777" i="27" s="1"/>
  <c r="A778" i="27" s="1"/>
  <c r="A779" i="27" s="1"/>
  <c r="A780" i="27" s="1"/>
  <c r="A781" i="27" s="1"/>
  <c r="A782" i="27" s="1"/>
  <c r="A783" i="27" s="1"/>
  <c r="A784" i="27" s="1"/>
  <c r="A785" i="27" s="1"/>
  <c r="A786" i="27" s="1"/>
  <c r="A787" i="27" s="1"/>
  <c r="A788" i="27" s="1"/>
  <c r="A789" i="27" s="1"/>
  <c r="A790" i="27" s="1"/>
  <c r="A791" i="27" s="1"/>
  <c r="A792" i="27" s="1"/>
  <c r="A793" i="27" s="1"/>
  <c r="A794" i="27" s="1"/>
  <c r="A795" i="27" s="1"/>
  <c r="A796" i="27" s="1"/>
  <c r="A797" i="27" s="1"/>
  <c r="A798" i="27" s="1"/>
  <c r="A799" i="27" s="1"/>
  <c r="A800" i="27" s="1"/>
  <c r="A801" i="27" s="1"/>
  <c r="A802" i="27" s="1"/>
  <c r="A803" i="27" s="1"/>
  <c r="A804" i="27" s="1"/>
  <c r="A805" i="27" s="1"/>
  <c r="A806" i="27" s="1"/>
  <c r="A807" i="27" s="1"/>
  <c r="A808" i="27" s="1"/>
  <c r="A809" i="27" s="1"/>
  <c r="A810" i="27" s="1"/>
  <c r="A811" i="27" s="1"/>
  <c r="A812" i="27" s="1"/>
  <c r="A813" i="27" s="1"/>
  <c r="A814" i="27" s="1"/>
  <c r="A815" i="27" s="1"/>
  <c r="A816" i="27" s="1"/>
  <c r="A817" i="27" s="1"/>
  <c r="A818" i="27" s="1"/>
  <c r="A819" i="27" s="1"/>
  <c r="A820" i="27" s="1"/>
  <c r="A821" i="27" s="1"/>
  <c r="A822" i="27" s="1"/>
  <c r="A823" i="27" s="1"/>
  <c r="A824" i="27" s="1"/>
  <c r="A825" i="27" s="1"/>
  <c r="A826" i="27" s="1"/>
  <c r="A827" i="27" s="1"/>
  <c r="A828" i="27" s="1"/>
  <c r="A829" i="27" s="1"/>
  <c r="A830" i="27" s="1"/>
  <c r="A831" i="27" s="1"/>
  <c r="A832" i="27" s="1"/>
  <c r="A833" i="27" s="1"/>
  <c r="A834" i="27" s="1"/>
  <c r="A835" i="27" s="1"/>
  <c r="A836" i="27" s="1"/>
  <c r="A837" i="27" s="1"/>
  <c r="A838" i="27" s="1"/>
  <c r="A839" i="27" s="1"/>
  <c r="A840" i="27" s="1"/>
  <c r="A841" i="27" s="1"/>
  <c r="A842" i="27" s="1"/>
  <c r="A843" i="27" s="1"/>
  <c r="A844" i="27" s="1"/>
  <c r="A845" i="27" s="1"/>
  <c r="A846" i="27" s="1"/>
  <c r="A847" i="27" s="1"/>
  <c r="A848" i="27" s="1"/>
  <c r="A849" i="27" s="1"/>
  <c r="A850" i="27" s="1"/>
  <c r="A851" i="27" s="1"/>
  <c r="A852" i="27" s="1"/>
  <c r="A853" i="27" s="1"/>
  <c r="A854" i="27" s="1"/>
  <c r="A855" i="27" s="1"/>
  <c r="A856" i="27" s="1"/>
  <c r="A857" i="27" s="1"/>
  <c r="A858" i="27" s="1"/>
  <c r="A859" i="27" s="1"/>
  <c r="A860" i="27" s="1"/>
  <c r="A861" i="27" s="1"/>
  <c r="A862" i="27" s="1"/>
  <c r="A863" i="27" s="1"/>
  <c r="A864" i="27" s="1"/>
  <c r="A865" i="27" s="1"/>
  <c r="A866" i="27" s="1"/>
  <c r="A867" i="27" s="1"/>
  <c r="A868" i="27" s="1"/>
  <c r="A869" i="27" s="1"/>
  <c r="A870" i="27" s="1"/>
  <c r="A871" i="27" s="1"/>
  <c r="A872" i="27" s="1"/>
  <c r="A873" i="27" s="1"/>
  <c r="A874" i="27" s="1"/>
  <c r="A875" i="27" s="1"/>
  <c r="A876" i="27" s="1"/>
  <c r="A877" i="27" s="1"/>
  <c r="A878" i="27" s="1"/>
  <c r="A879" i="27" s="1"/>
  <c r="A880" i="27" s="1"/>
  <c r="A881" i="27" s="1"/>
  <c r="A882" i="27" s="1"/>
  <c r="A883" i="27" s="1"/>
  <c r="A884" i="27" s="1"/>
  <c r="A885" i="27" s="1"/>
  <c r="A886" i="27" s="1"/>
  <c r="A887" i="27" s="1"/>
  <c r="A888" i="27" s="1"/>
  <c r="A889" i="27" s="1"/>
  <c r="A890" i="27" s="1"/>
  <c r="A891" i="27" s="1"/>
  <c r="A892" i="27" s="1"/>
  <c r="A893" i="27" s="1"/>
  <c r="A894" i="27" s="1"/>
  <c r="A895" i="27" s="1"/>
  <c r="A896" i="27" s="1"/>
  <c r="A897" i="27" s="1"/>
  <c r="A898" i="27" s="1"/>
  <c r="A899" i="27" s="1"/>
  <c r="A900" i="27" s="1"/>
  <c r="A901" i="27" s="1"/>
  <c r="A902" i="27" s="1"/>
  <c r="A903" i="27" s="1"/>
  <c r="A904" i="27" s="1"/>
  <c r="A905" i="27" s="1"/>
  <c r="A906" i="27" s="1"/>
  <c r="A907" i="27" s="1"/>
  <c r="A908" i="27" s="1"/>
  <c r="A909" i="27" s="1"/>
  <c r="A910" i="27" s="1"/>
  <c r="A911" i="27" s="1"/>
  <c r="A912" i="27" s="1"/>
  <c r="A913" i="27" s="1"/>
  <c r="A914" i="27" s="1"/>
  <c r="A915" i="27" s="1"/>
  <c r="A916" i="27" s="1"/>
  <c r="A917" i="27" s="1"/>
  <c r="A918" i="27" s="1"/>
  <c r="A919" i="27" s="1"/>
  <c r="A920" i="27" s="1"/>
  <c r="A921" i="27" s="1"/>
  <c r="A922" i="27" s="1"/>
  <c r="A923" i="27" s="1"/>
  <c r="A924" i="27" s="1"/>
  <c r="A925" i="27" s="1"/>
  <c r="A926" i="27" s="1"/>
  <c r="A927" i="27" s="1"/>
  <c r="A928" i="27" s="1"/>
  <c r="A929" i="27" s="1"/>
  <c r="A930" i="27" s="1"/>
  <c r="A931" i="27" s="1"/>
  <c r="A932" i="27" s="1"/>
  <c r="A933" i="27" s="1"/>
  <c r="A934" i="27" s="1"/>
  <c r="A935" i="27" s="1"/>
  <c r="A936" i="27" s="1"/>
  <c r="A937" i="27" s="1"/>
  <c r="A938" i="27" s="1"/>
  <c r="A939" i="27" s="1"/>
  <c r="A940" i="27" s="1"/>
  <c r="A941" i="27" s="1"/>
  <c r="A942" i="27" s="1"/>
  <c r="A943" i="27" s="1"/>
  <c r="A944" i="27" s="1"/>
  <c r="A945" i="27" s="1"/>
  <c r="A946" i="27" s="1"/>
  <c r="A947" i="27" s="1"/>
  <c r="A948" i="27" s="1"/>
  <c r="A949" i="27" s="1"/>
  <c r="A950" i="27" s="1"/>
  <c r="A951" i="27" s="1"/>
  <c r="A952" i="27" s="1"/>
  <c r="A953" i="27" s="1"/>
  <c r="A954" i="27" s="1"/>
  <c r="A955" i="27" s="1"/>
  <c r="A956" i="27" s="1"/>
  <c r="A957" i="27" s="1"/>
  <c r="A958" i="27" s="1"/>
  <c r="A959" i="27" s="1"/>
  <c r="A960" i="27" s="1"/>
  <c r="A961" i="27" s="1"/>
  <c r="A962" i="27" s="1"/>
  <c r="A963" i="27" s="1"/>
  <c r="A964" i="27" s="1"/>
  <c r="A965" i="27" s="1"/>
  <c r="A966" i="27" s="1"/>
  <c r="A967" i="27" s="1"/>
  <c r="A968" i="27" s="1"/>
  <c r="A969" i="27" s="1"/>
  <c r="A970" i="27" s="1"/>
  <c r="A971" i="27" s="1"/>
  <c r="A972" i="27" s="1"/>
  <c r="A973" i="27" s="1"/>
  <c r="A974" i="27" s="1"/>
  <c r="A975" i="27" s="1"/>
  <c r="A976" i="27" s="1"/>
  <c r="A977" i="27" s="1"/>
  <c r="A978" i="27" s="1"/>
  <c r="A979" i="27" s="1"/>
  <c r="A980" i="27" s="1"/>
  <c r="A981" i="27" s="1"/>
  <c r="A982" i="27" s="1"/>
  <c r="A983" i="27" s="1"/>
  <c r="A984" i="27" s="1"/>
  <c r="A985" i="27" s="1"/>
  <c r="A986" i="27" s="1"/>
  <c r="A987" i="27" s="1"/>
  <c r="A988" i="27" s="1"/>
  <c r="A989" i="27" s="1"/>
  <c r="A990" i="27" s="1"/>
  <c r="A991" i="27" s="1"/>
  <c r="A992" i="27" s="1"/>
  <c r="A993" i="27" s="1"/>
  <c r="A994" i="27" s="1"/>
  <c r="A995" i="27" s="1"/>
  <c r="A996" i="27" s="1"/>
  <c r="A997" i="27" s="1"/>
  <c r="A998" i="27" s="1"/>
  <c r="A999" i="27" s="1"/>
  <c r="A1000" i="27" s="1"/>
  <c r="A1001" i="27" s="1"/>
  <c r="A1002" i="27" s="1"/>
  <c r="A1003" i="27" s="1"/>
  <c r="A1004" i="27" s="1"/>
  <c r="A1005" i="27" s="1"/>
  <c r="A1006" i="27" s="1"/>
  <c r="A1007" i="27" s="1"/>
  <c r="A1008" i="27" s="1"/>
  <c r="A1009" i="27" s="1"/>
  <c r="A1010" i="27" s="1"/>
  <c r="A1011" i="27" s="1"/>
  <c r="A1012" i="27" s="1"/>
  <c r="A1013" i="27" s="1"/>
  <c r="A1014" i="27" s="1"/>
  <c r="A1015" i="27" s="1"/>
  <c r="A1016" i="27" s="1"/>
  <c r="A1017" i="27" s="1"/>
  <c r="A1018" i="27" s="1"/>
  <c r="A1019" i="27" s="1"/>
  <c r="A1020" i="27" s="1"/>
  <c r="A1021" i="27" s="1"/>
  <c r="A1022" i="27" s="1"/>
  <c r="A1023" i="27" s="1"/>
  <c r="A1024" i="27" s="1"/>
  <c r="A1025" i="27" s="1"/>
  <c r="A1026" i="27" s="1"/>
  <c r="A1027" i="27" s="1"/>
  <c r="A1028" i="27" s="1"/>
  <c r="A1029" i="27" s="1"/>
  <c r="A1030" i="27" s="1"/>
  <c r="A1031" i="27" s="1"/>
  <c r="A1032" i="27" s="1"/>
  <c r="A1033" i="27" s="1"/>
  <c r="A1034" i="27" s="1"/>
  <c r="A1035" i="27" s="1"/>
  <c r="A1036" i="27" s="1"/>
  <c r="A1037" i="27" s="1"/>
  <c r="A1038" i="27" s="1"/>
  <c r="A1039" i="27" s="1"/>
  <c r="A1040" i="27" s="1"/>
  <c r="A1041" i="27" s="1"/>
  <c r="A1042" i="27" s="1"/>
  <c r="A1043" i="27" s="1"/>
  <c r="A1044" i="27" s="1"/>
  <c r="A1045" i="27" s="1"/>
  <c r="A1046" i="27" s="1"/>
  <c r="A1047" i="27" s="1"/>
  <c r="A1048" i="27" s="1"/>
  <c r="A1049" i="27" s="1"/>
  <c r="A1050" i="27" s="1"/>
  <c r="A1051" i="27" s="1"/>
  <c r="A1052" i="27" s="1"/>
  <c r="A1053" i="27" s="1"/>
  <c r="A1054" i="27" s="1"/>
  <c r="A1055" i="27" s="1"/>
  <c r="A1056" i="27" s="1"/>
  <c r="A1057" i="27" s="1"/>
  <c r="A1058" i="27" s="1"/>
  <c r="A1059" i="27" s="1"/>
  <c r="A1060" i="27" s="1"/>
  <c r="A1061" i="27" s="1"/>
  <c r="A1062" i="27" s="1"/>
  <c r="A1063" i="27" s="1"/>
  <c r="A1064" i="27" s="1"/>
  <c r="A1065" i="27" s="1"/>
  <c r="A1066" i="27" s="1"/>
  <c r="A1067" i="27" s="1"/>
  <c r="A1068" i="27" s="1"/>
  <c r="A1069" i="27" s="1"/>
  <c r="A1070" i="27" s="1"/>
  <c r="A1071" i="27" s="1"/>
  <c r="A1072" i="27" s="1"/>
  <c r="A1073" i="27" s="1"/>
  <c r="A1074" i="27" s="1"/>
  <c r="A1075" i="27" s="1"/>
  <c r="A1076" i="27" s="1"/>
  <c r="A1077" i="27" s="1"/>
  <c r="A1078" i="27" s="1"/>
  <c r="A1079" i="27" s="1"/>
  <c r="A1080" i="27" s="1"/>
  <c r="A1081" i="27" s="1"/>
  <c r="A1082" i="27" s="1"/>
  <c r="A1083" i="27" s="1"/>
  <c r="A1084" i="27" s="1"/>
  <c r="A1085" i="27" s="1"/>
  <c r="A1086" i="27" s="1"/>
  <c r="A1087" i="27" s="1"/>
  <c r="A1088" i="27" s="1"/>
  <c r="A1089" i="27" s="1"/>
  <c r="A1090" i="27" s="1"/>
  <c r="A1091" i="27" s="1"/>
  <c r="A1092" i="27" s="1"/>
  <c r="A1093" i="27" s="1"/>
  <c r="A1094" i="27" s="1"/>
  <c r="A1095" i="27" s="1"/>
  <c r="A1096" i="27" s="1"/>
  <c r="A1097" i="27" s="1"/>
  <c r="A1098" i="27" s="1"/>
  <c r="A1099" i="27" s="1"/>
  <c r="A1100" i="27" s="1"/>
  <c r="A1101" i="27" s="1"/>
  <c r="A1102" i="27" s="1"/>
  <c r="A1103" i="27" s="1"/>
  <c r="A1104" i="27" s="1"/>
  <c r="A1105" i="27" s="1"/>
  <c r="A1106" i="27" s="1"/>
  <c r="A1107" i="27" s="1"/>
  <c r="A1108" i="27" s="1"/>
  <c r="A1109" i="27" s="1"/>
  <c r="A1110" i="27" s="1"/>
  <c r="A1111" i="27" s="1"/>
  <c r="A1112" i="27" s="1"/>
  <c r="A1113" i="27" s="1"/>
  <c r="A1114" i="27" s="1"/>
  <c r="A1115" i="27" s="1"/>
  <c r="A1116" i="27" s="1"/>
  <c r="A1117" i="27" s="1"/>
  <c r="A1118" i="27" s="1"/>
  <c r="A1119" i="27" s="1"/>
  <c r="A1120" i="27" s="1"/>
  <c r="A1121" i="27" s="1"/>
  <c r="A1122" i="27" s="1"/>
  <c r="A1123" i="27" s="1"/>
  <c r="A1124" i="27" s="1"/>
  <c r="A1125" i="27" s="1"/>
  <c r="A1126" i="27" s="1"/>
  <c r="A1127" i="27" s="1"/>
  <c r="A1128" i="27" s="1"/>
  <c r="A1129" i="27" s="1"/>
  <c r="A1130" i="27" s="1"/>
  <c r="A1131" i="27" s="1"/>
  <c r="A1132" i="27" s="1"/>
  <c r="A1133" i="27" s="1"/>
  <c r="A1134" i="27" s="1"/>
  <c r="A1135" i="27" s="1"/>
  <c r="A1136" i="27" s="1"/>
  <c r="A1137" i="27" s="1"/>
  <c r="A1138" i="27" s="1"/>
  <c r="A1139" i="27" s="1"/>
  <c r="A1140" i="27" s="1"/>
  <c r="A1141" i="27" s="1"/>
  <c r="A1142" i="27" s="1"/>
  <c r="A1143" i="27" s="1"/>
  <c r="A1144" i="27" s="1"/>
  <c r="A1145" i="27" s="1"/>
  <c r="A1146" i="27" s="1"/>
  <c r="A1147" i="27" s="1"/>
  <c r="A1148" i="27" s="1"/>
  <c r="A1149" i="27" s="1"/>
  <c r="A1150" i="27" s="1"/>
  <c r="A1151" i="27" s="1"/>
  <c r="A1152" i="27" s="1"/>
  <c r="A1153" i="27" s="1"/>
  <c r="A1154" i="27" s="1"/>
  <c r="A1155" i="27" s="1"/>
  <c r="A1156" i="27" s="1"/>
  <c r="A1157" i="27" s="1"/>
  <c r="A1158" i="27" s="1"/>
  <c r="A1159" i="27" s="1"/>
  <c r="A1160" i="27" s="1"/>
  <c r="A1161" i="27" s="1"/>
  <c r="A1162" i="27" s="1"/>
  <c r="A1163" i="27" s="1"/>
  <c r="A1164" i="27" s="1"/>
  <c r="A1165" i="27" s="1"/>
  <c r="A1166" i="27" s="1"/>
  <c r="A1167" i="27" s="1"/>
  <c r="A1168" i="27" s="1"/>
  <c r="A1169" i="27" s="1"/>
  <c r="A1170" i="27" s="1"/>
  <c r="A1171" i="27" s="1"/>
  <c r="A1172" i="27" s="1"/>
  <c r="A1173" i="27" s="1"/>
  <c r="A1174" i="27" s="1"/>
  <c r="A1175" i="27" s="1"/>
  <c r="A1176" i="27" s="1"/>
  <c r="A1177" i="27" s="1"/>
  <c r="A1178" i="27" s="1"/>
  <c r="A1179" i="27" s="1"/>
  <c r="A1180" i="27" s="1"/>
  <c r="A1181" i="27" s="1"/>
  <c r="A1182" i="27" s="1"/>
  <c r="A1183" i="27" s="1"/>
  <c r="A1184" i="27" s="1"/>
  <c r="A1185" i="27" s="1"/>
  <c r="A1186" i="27" s="1"/>
  <c r="A1187" i="27" s="1"/>
  <c r="A1188" i="27" s="1"/>
  <c r="A1189" i="27" s="1"/>
  <c r="A1190" i="27" s="1"/>
  <c r="A1191" i="27" s="1"/>
  <c r="A1192" i="27" s="1"/>
  <c r="A1193" i="27" s="1"/>
  <c r="A1194" i="27" s="1"/>
  <c r="A1195" i="27" s="1"/>
  <c r="A1196" i="27" s="1"/>
  <c r="A1197" i="27" s="1"/>
  <c r="A1198" i="27" s="1"/>
  <c r="A1199" i="27" s="1"/>
  <c r="A1200" i="27" s="1"/>
  <c r="A1201" i="27" s="1"/>
  <c r="A1202" i="27" s="1"/>
  <c r="A1203" i="27" s="1"/>
  <c r="A1204" i="27" s="1"/>
  <c r="A1205" i="27" s="1"/>
  <c r="A1206" i="27" s="1"/>
  <c r="A1207" i="27" s="1"/>
  <c r="A1208" i="27" s="1"/>
  <c r="A1209" i="27" s="1"/>
  <c r="A1210" i="27" s="1"/>
  <c r="A1211" i="27" s="1"/>
  <c r="A1212" i="27" s="1"/>
  <c r="A1213" i="27" s="1"/>
  <c r="A1214" i="27" s="1"/>
  <c r="A1215" i="27" s="1"/>
  <c r="A1216" i="27" s="1"/>
  <c r="A1217" i="27" s="1"/>
  <c r="A1218" i="27" s="1"/>
  <c r="A1219" i="27" s="1"/>
  <c r="A1220" i="27" s="1"/>
  <c r="A1221" i="27" s="1"/>
  <c r="A1222" i="27" s="1"/>
  <c r="A1223" i="27" s="1"/>
  <c r="A1224" i="27" s="1"/>
  <c r="A1225" i="27" s="1"/>
  <c r="A1226" i="27" s="1"/>
  <c r="A1227" i="27" s="1"/>
  <c r="A1228" i="27" s="1"/>
  <c r="A1229" i="27" s="1"/>
  <c r="A1230" i="27" s="1"/>
  <c r="A1231" i="27" s="1"/>
  <c r="A1232" i="27" s="1"/>
  <c r="A1233" i="27" s="1"/>
  <c r="A1234" i="27" s="1"/>
  <c r="A1235" i="27" s="1"/>
  <c r="A1236" i="27" s="1"/>
  <c r="A1237" i="27" s="1"/>
  <c r="A1238" i="27" s="1"/>
  <c r="A1239" i="27" s="1"/>
  <c r="A1240" i="27" s="1"/>
  <c r="A1241" i="27" s="1"/>
  <c r="A1242" i="27" s="1"/>
  <c r="A1243" i="27" s="1"/>
  <c r="A1244" i="27" s="1"/>
  <c r="A1245" i="27" s="1"/>
  <c r="A1246" i="27" s="1"/>
  <c r="A1247" i="27" s="1"/>
  <c r="A1248" i="27" s="1"/>
  <c r="A1249" i="27" s="1"/>
  <c r="A1250" i="27" s="1"/>
  <c r="A1251" i="27" s="1"/>
  <c r="A1252" i="27" s="1"/>
  <c r="A1253" i="27" s="1"/>
  <c r="A1254" i="27" s="1"/>
  <c r="A1255" i="27" s="1"/>
  <c r="A1256" i="27" s="1"/>
  <c r="A1257" i="27" s="1"/>
  <c r="A1258" i="27" s="1"/>
  <c r="A1259" i="27" s="1"/>
  <c r="A1260" i="27" s="1"/>
  <c r="A1261" i="27" s="1"/>
  <c r="A1262" i="27" s="1"/>
  <c r="A1263" i="27" s="1"/>
  <c r="A1264" i="27" s="1"/>
  <c r="A1265" i="27" s="1"/>
  <c r="A1266" i="27" s="1"/>
  <c r="A1267" i="27" s="1"/>
  <c r="A1268" i="27" s="1"/>
  <c r="A1269" i="27" s="1"/>
  <c r="A1270" i="27" s="1"/>
  <c r="A1271" i="27" s="1"/>
  <c r="A1272" i="27" s="1"/>
  <c r="A1273" i="27" s="1"/>
  <c r="A1274" i="27" s="1"/>
  <c r="A1275" i="27" s="1"/>
  <c r="A1276" i="27" s="1"/>
  <c r="A1277" i="27" s="1"/>
  <c r="A1278" i="27" s="1"/>
  <c r="A1279" i="27" s="1"/>
  <c r="A1280" i="27" s="1"/>
  <c r="A1281" i="27" s="1"/>
  <c r="A1282" i="27" s="1"/>
  <c r="A1283" i="27" s="1"/>
  <c r="A1284" i="27" s="1"/>
  <c r="A1285" i="27" s="1"/>
  <c r="A1286" i="27" s="1"/>
  <c r="A1287" i="27" s="1"/>
  <c r="A1288" i="27" s="1"/>
  <c r="A1289" i="27" s="1"/>
  <c r="A1290" i="27" s="1"/>
  <c r="A1291" i="27" s="1"/>
  <c r="A1292" i="27" s="1"/>
  <c r="A1293" i="27" s="1"/>
  <c r="A1294" i="27" s="1"/>
  <c r="A1295" i="27" s="1"/>
  <c r="A1296" i="27" s="1"/>
  <c r="A1297" i="27" s="1"/>
  <c r="A1298" i="27" s="1"/>
  <c r="A1299" i="27" s="1"/>
  <c r="A1300" i="27" s="1"/>
  <c r="A1301" i="27" s="1"/>
  <c r="A1302" i="27" s="1"/>
  <c r="A1303" i="27" s="1"/>
  <c r="A1304" i="27" s="1"/>
  <c r="A1305" i="27" s="1"/>
  <c r="A1306" i="27" s="1"/>
  <c r="A1307" i="27" s="1"/>
  <c r="A1308" i="27" s="1"/>
  <c r="A1309" i="27" s="1"/>
  <c r="A1310" i="27" s="1"/>
  <c r="A1311" i="27" s="1"/>
  <c r="A1312" i="27" s="1"/>
  <c r="A1313" i="27" s="1"/>
  <c r="A1314" i="27" s="1"/>
  <c r="A1315" i="27" s="1"/>
  <c r="A1316" i="27" s="1"/>
  <c r="A1317" i="27" s="1"/>
  <c r="A1318" i="27" s="1"/>
  <c r="A1319" i="27" s="1"/>
  <c r="A1320" i="27" s="1"/>
  <c r="A1321" i="27" s="1"/>
  <c r="A1322" i="27" s="1"/>
  <c r="A1323" i="27" s="1"/>
  <c r="A1324" i="27" s="1"/>
  <c r="A1325" i="27" s="1"/>
  <c r="A1326" i="27" s="1"/>
  <c r="A1327" i="27" s="1"/>
  <c r="A1328" i="27" s="1"/>
  <c r="A1329" i="27" s="1"/>
  <c r="A1330" i="27" s="1"/>
  <c r="A1331" i="27" s="1"/>
  <c r="A1332" i="27" s="1"/>
  <c r="A1333" i="27" s="1"/>
  <c r="A1334" i="27" s="1"/>
  <c r="A1335" i="27" s="1"/>
  <c r="A1336" i="27" s="1"/>
  <c r="A1337" i="27" s="1"/>
  <c r="A1338" i="27" s="1"/>
  <c r="A1339" i="27" s="1"/>
  <c r="A1340" i="27" s="1"/>
  <c r="A1341" i="27" s="1"/>
  <c r="A1342" i="27" s="1"/>
  <c r="A1343" i="27" s="1"/>
  <c r="A1344" i="27" s="1"/>
  <c r="A1345" i="27" s="1"/>
  <c r="A1346" i="27" s="1"/>
  <c r="A1347" i="27" s="1"/>
  <c r="A1348" i="27" s="1"/>
  <c r="A1349" i="27" s="1"/>
  <c r="A1350" i="27" s="1"/>
  <c r="A1351" i="27" s="1"/>
  <c r="A1352" i="27" s="1"/>
  <c r="A1353" i="27" s="1"/>
  <c r="A1354" i="27" s="1"/>
  <c r="A1355" i="27" s="1"/>
  <c r="A1356" i="27" s="1"/>
  <c r="A1357" i="27" s="1"/>
  <c r="A1358" i="27" s="1"/>
  <c r="A1359" i="27" s="1"/>
  <c r="A1360" i="27" s="1"/>
  <c r="A1361" i="27" s="1"/>
  <c r="A1362" i="27" s="1"/>
  <c r="A1363" i="27" s="1"/>
  <c r="A1364" i="27" s="1"/>
  <c r="A1365" i="27" s="1"/>
  <c r="A1366" i="27" s="1"/>
  <c r="A1367" i="27" s="1"/>
  <c r="A1368" i="27" s="1"/>
  <c r="A1369" i="27" s="1"/>
  <c r="A1370" i="27" s="1"/>
  <c r="A1371" i="27" s="1"/>
  <c r="A1372" i="27" s="1"/>
  <c r="A1373" i="27" s="1"/>
  <c r="A1374" i="27" s="1"/>
  <c r="A1375" i="27" s="1"/>
  <c r="A1376" i="27" s="1"/>
  <c r="A1377" i="27" s="1"/>
  <c r="A1378" i="27" s="1"/>
  <c r="A1379" i="27" s="1"/>
  <c r="A1380" i="27" s="1"/>
  <c r="A1381" i="27" s="1"/>
  <c r="A1382" i="27" s="1"/>
  <c r="A1383" i="27" s="1"/>
  <c r="A1384" i="27" s="1"/>
  <c r="A1385" i="27" s="1"/>
  <c r="A1386" i="27" s="1"/>
  <c r="A1387" i="27" s="1"/>
  <c r="A1388" i="27" s="1"/>
  <c r="A1389" i="27" s="1"/>
  <c r="A1390" i="27" s="1"/>
  <c r="A1391" i="27" s="1"/>
  <c r="A1392" i="27" s="1"/>
  <c r="A1393" i="27" s="1"/>
  <c r="A1394" i="27" s="1"/>
  <c r="A1395" i="27" s="1"/>
  <c r="A1396" i="27" s="1"/>
  <c r="A1397" i="27" s="1"/>
  <c r="A1398" i="27" s="1"/>
  <c r="A1399" i="27" s="1"/>
  <c r="A1400" i="27" s="1"/>
  <c r="A1401" i="27" s="1"/>
  <c r="A1402" i="27" s="1"/>
  <c r="A1403" i="27" s="1"/>
  <c r="A1404" i="27" s="1"/>
  <c r="A1405" i="27" s="1"/>
  <c r="A1406" i="27" s="1"/>
  <c r="A1407" i="27" s="1"/>
  <c r="A1408" i="27" s="1"/>
  <c r="A1409" i="27" s="1"/>
  <c r="A1410" i="27" s="1"/>
  <c r="A1411" i="27" s="1"/>
  <c r="A1412" i="27" s="1"/>
  <c r="A1413" i="27" s="1"/>
  <c r="A1414" i="27" s="1"/>
  <c r="A1415" i="27" s="1"/>
  <c r="A1416" i="27" s="1"/>
  <c r="A1417" i="27" s="1"/>
  <c r="A1418" i="27" s="1"/>
  <c r="A1419" i="27" s="1"/>
  <c r="A1420" i="27" s="1"/>
  <c r="A1421" i="27" s="1"/>
  <c r="A1422" i="27" s="1"/>
  <c r="A1423" i="27" s="1"/>
  <c r="A1424" i="27" s="1"/>
  <c r="A1425" i="27" s="1"/>
  <c r="A1426" i="27" s="1"/>
  <c r="A1427" i="27" s="1"/>
  <c r="A1428" i="27" s="1"/>
  <c r="A1429" i="27" s="1"/>
  <c r="A1430" i="27" s="1"/>
  <c r="A1431" i="27" s="1"/>
  <c r="A1432" i="27" s="1"/>
  <c r="A1433" i="27" s="1"/>
  <c r="A1434" i="27" s="1"/>
  <c r="A1435" i="27" s="1"/>
  <c r="A1436" i="27" s="1"/>
  <c r="A1437" i="27" s="1"/>
  <c r="A1438" i="27" s="1"/>
  <c r="A1439" i="27" s="1"/>
  <c r="A1440" i="27" s="1"/>
  <c r="A1441" i="27" s="1"/>
  <c r="A1442" i="27" s="1"/>
  <c r="A1443" i="27" s="1"/>
  <c r="A1444" i="27" s="1"/>
  <c r="A1445" i="27" s="1"/>
  <c r="A1446" i="27" s="1"/>
  <c r="A1447" i="27" s="1"/>
  <c r="A1448" i="27" s="1"/>
  <c r="A1449" i="27" s="1"/>
  <c r="A1450" i="27" s="1"/>
  <c r="A1451" i="27" s="1"/>
  <c r="A1452" i="27" s="1"/>
  <c r="A1453" i="27" s="1"/>
  <c r="A1454" i="27" s="1"/>
  <c r="A1455" i="27" s="1"/>
  <c r="A1456" i="27" s="1"/>
  <c r="A1457" i="27" s="1"/>
  <c r="A1458" i="27" s="1"/>
  <c r="A1459" i="27" s="1"/>
  <c r="A1460" i="27" s="1"/>
  <c r="A1461" i="27" s="1"/>
  <c r="A1462" i="27" s="1"/>
  <c r="A1463" i="27" s="1"/>
  <c r="A1464" i="27" s="1"/>
  <c r="A1465" i="27" s="1"/>
  <c r="A1466" i="27" s="1"/>
  <c r="A1467" i="27" s="1"/>
  <c r="A1468" i="27" s="1"/>
  <c r="A1469" i="27" s="1"/>
  <c r="A1470" i="27" s="1"/>
  <c r="A1471" i="27" s="1"/>
  <c r="A1472" i="27" s="1"/>
  <c r="A1473" i="27" s="1"/>
  <c r="A1474" i="27" s="1"/>
  <c r="A1475" i="27" s="1"/>
  <c r="A1476" i="27" s="1"/>
  <c r="A1477" i="27" s="1"/>
  <c r="A1478" i="27" s="1"/>
  <c r="A1479" i="27" s="1"/>
  <c r="A1480" i="27" s="1"/>
  <c r="A1481" i="27" s="1"/>
  <c r="A1482" i="27" s="1"/>
  <c r="A1483" i="27" s="1"/>
  <c r="A1484" i="27" s="1"/>
  <c r="A1485" i="27" s="1"/>
  <c r="A1486" i="27" s="1"/>
  <c r="A1487" i="27" s="1"/>
  <c r="A1488" i="27" s="1"/>
  <c r="A1489" i="27" s="1"/>
  <c r="A1490" i="27" s="1"/>
  <c r="A1491" i="27" s="1"/>
  <c r="A1492" i="27" s="1"/>
  <c r="A1493" i="27" s="1"/>
  <c r="A1494" i="27" s="1"/>
  <c r="A1495" i="27" s="1"/>
  <c r="A1496" i="27" s="1"/>
  <c r="A1497" i="27" s="1"/>
  <c r="A1498" i="27" s="1"/>
  <c r="A1499" i="27" s="1"/>
  <c r="A1500" i="27" s="1"/>
  <c r="A1501" i="27" s="1"/>
  <c r="A1502" i="27" s="1"/>
  <c r="A1503" i="27" s="1"/>
  <c r="A1504" i="27" s="1"/>
  <c r="A1505" i="27" s="1"/>
  <c r="A1506" i="27" s="1"/>
  <c r="A1507" i="27" s="1"/>
  <c r="A1508" i="27" s="1"/>
  <c r="A1509" i="27" s="1"/>
  <c r="A1510" i="27" s="1"/>
  <c r="A1511" i="27" s="1"/>
  <c r="A1512" i="27" s="1"/>
  <c r="A1513" i="27" s="1"/>
  <c r="A1514" i="27" s="1"/>
  <c r="A1515" i="27" s="1"/>
  <c r="A1516" i="27" s="1"/>
  <c r="A1517" i="27" s="1"/>
  <c r="A1518" i="27" s="1"/>
  <c r="A1519" i="27" s="1"/>
  <c r="A1520" i="27" s="1"/>
  <c r="A1521" i="27" s="1"/>
  <c r="A1522" i="27" s="1"/>
  <c r="A1523" i="27" s="1"/>
  <c r="A1524" i="27" s="1"/>
  <c r="A1525" i="27" s="1"/>
  <c r="A1526" i="27" s="1"/>
  <c r="A1527" i="27" s="1"/>
  <c r="A1528" i="27" s="1"/>
  <c r="A1529" i="27" s="1"/>
  <c r="A1530" i="27" s="1"/>
  <c r="A1531" i="27" s="1"/>
  <c r="A1532" i="27" s="1"/>
  <c r="A1533" i="27" s="1"/>
  <c r="A1534" i="27" s="1"/>
  <c r="A1535" i="27" s="1"/>
  <c r="A1536" i="27" s="1"/>
  <c r="A1537" i="27" s="1"/>
  <c r="A1538" i="27" s="1"/>
  <c r="A1539" i="27" s="1"/>
  <c r="A1540" i="27" s="1"/>
  <c r="A1541" i="27" s="1"/>
  <c r="A1542" i="27" s="1"/>
  <c r="A1543" i="27" s="1"/>
  <c r="A1544" i="27" s="1"/>
  <c r="A1545" i="27" s="1"/>
  <c r="A1546" i="27" s="1"/>
  <c r="A1547" i="27" s="1"/>
  <c r="A1548" i="27" s="1"/>
  <c r="A1549" i="27" s="1"/>
  <c r="A1550" i="27" s="1"/>
  <c r="A1551" i="27" s="1"/>
  <c r="A1552" i="27" s="1"/>
  <c r="A1553" i="27" s="1"/>
  <c r="A1554" i="27" s="1"/>
  <c r="A1555" i="27" s="1"/>
  <c r="A1556" i="27" s="1"/>
  <c r="A1557" i="27" s="1"/>
  <c r="A1558" i="27" s="1"/>
  <c r="A1559" i="27" s="1"/>
  <c r="A1560" i="27" s="1"/>
  <c r="A1561" i="27" s="1"/>
  <c r="A1562" i="27" s="1"/>
  <c r="A1563" i="27" s="1"/>
  <c r="A1564" i="27" s="1"/>
  <c r="A1565" i="27" s="1"/>
  <c r="A1566" i="27" s="1"/>
  <c r="A1567" i="27" s="1"/>
  <c r="A1568" i="27" s="1"/>
  <c r="A1569" i="27" s="1"/>
  <c r="A1570" i="27" s="1"/>
  <c r="A1571" i="27" s="1"/>
  <c r="A1572" i="27" s="1"/>
  <c r="A1573" i="27" s="1"/>
  <c r="A1574" i="27" s="1"/>
  <c r="A1575" i="27" s="1"/>
  <c r="A1576" i="27" s="1"/>
  <c r="A1577" i="27" s="1"/>
  <c r="A1578" i="27" s="1"/>
  <c r="A1579" i="27" s="1"/>
  <c r="A1580" i="27" s="1"/>
  <c r="A1581" i="27" s="1"/>
  <c r="A1582" i="27" s="1"/>
  <c r="A1583" i="27" s="1"/>
  <c r="A1584" i="27" s="1"/>
  <c r="A1585" i="27" s="1"/>
  <c r="A1586" i="27" s="1"/>
  <c r="A1587" i="27" s="1"/>
  <c r="A1588" i="27" s="1"/>
  <c r="A1589" i="27" s="1"/>
  <c r="A1590" i="27" s="1"/>
  <c r="A1591" i="27" s="1"/>
  <c r="A1592" i="27" s="1"/>
  <c r="A1593" i="27" s="1"/>
  <c r="A1594" i="27" s="1"/>
  <c r="A1595" i="27" s="1"/>
  <c r="A1596" i="27" s="1"/>
  <c r="A1597" i="27" s="1"/>
  <c r="A1598" i="27" s="1"/>
  <c r="A1599" i="27" s="1"/>
  <c r="A1600" i="27" s="1"/>
  <c r="A1601" i="27" s="1"/>
  <c r="A1602" i="27" s="1"/>
  <c r="A1603" i="27" s="1"/>
  <c r="A1604" i="27" s="1"/>
  <c r="A1605" i="27" s="1"/>
  <c r="A1606" i="27" s="1"/>
  <c r="A1607" i="27" s="1"/>
  <c r="A1608" i="27" s="1"/>
  <c r="A1609" i="27" s="1"/>
  <c r="A1610" i="27" s="1"/>
  <c r="A1611" i="27" s="1"/>
  <c r="A1612" i="27" s="1"/>
  <c r="A1613" i="27" s="1"/>
  <c r="A1614" i="27" s="1"/>
  <c r="A1615" i="27" s="1"/>
  <c r="A1616" i="27" s="1"/>
  <c r="A1617" i="27" s="1"/>
  <c r="A1618" i="27" s="1"/>
  <c r="A1619" i="27" s="1"/>
  <c r="A1620" i="27" s="1"/>
  <c r="A1621" i="27" s="1"/>
  <c r="A1622" i="27" s="1"/>
  <c r="A1623" i="27" s="1"/>
  <c r="A1624" i="27" s="1"/>
  <c r="A1625" i="27" s="1"/>
  <c r="A1626" i="27" s="1"/>
  <c r="A1627" i="27" s="1"/>
  <c r="A1628" i="27" s="1"/>
  <c r="A1629" i="27" s="1"/>
  <c r="A1630" i="27" s="1"/>
  <c r="A1631" i="27" s="1"/>
  <c r="A1632" i="27" s="1"/>
  <c r="A1633" i="27" s="1"/>
  <c r="A1634" i="27" s="1"/>
  <c r="A1635" i="27" s="1"/>
  <c r="A1636" i="27" s="1"/>
  <c r="A1637" i="27" s="1"/>
  <c r="A1638" i="27" s="1"/>
  <c r="A1639" i="27" s="1"/>
  <c r="A1640" i="27" s="1"/>
  <c r="A1641" i="27" s="1"/>
  <c r="A1642" i="27" s="1"/>
  <c r="A1643" i="27" s="1"/>
  <c r="A1644" i="27" s="1"/>
  <c r="A1645" i="27" s="1"/>
  <c r="A1646" i="27" s="1"/>
  <c r="A1647" i="27" s="1"/>
  <c r="A1648" i="27" s="1"/>
  <c r="A1649" i="27" s="1"/>
  <c r="A1650" i="27" s="1"/>
  <c r="A1651" i="27" s="1"/>
  <c r="A1652" i="27" s="1"/>
  <c r="A1653" i="27" s="1"/>
  <c r="A1654" i="27" s="1"/>
  <c r="A1655" i="27" s="1"/>
  <c r="A1656" i="27" s="1"/>
  <c r="A1657" i="27" s="1"/>
  <c r="A1658" i="27" s="1"/>
  <c r="A1659" i="27" s="1"/>
  <c r="A1660" i="27" s="1"/>
  <c r="A1661" i="27" s="1"/>
  <c r="A1662" i="27" s="1"/>
  <c r="A1663" i="27" s="1"/>
  <c r="A1664" i="27" s="1"/>
  <c r="A1665" i="27" s="1"/>
  <c r="A1666" i="27" s="1"/>
  <c r="A1667" i="27" s="1"/>
  <c r="A1668" i="27" s="1"/>
  <c r="A1669" i="27" s="1"/>
  <c r="A1670" i="27" s="1"/>
  <c r="A1671" i="27" s="1"/>
  <c r="A1672" i="27" s="1"/>
  <c r="A1673" i="27" s="1"/>
  <c r="A1674" i="27" s="1"/>
  <c r="A1675" i="27" s="1"/>
  <c r="A1676" i="27" s="1"/>
  <c r="A1677" i="27" s="1"/>
  <c r="A1678" i="27" s="1"/>
  <c r="A1679" i="27" s="1"/>
  <c r="A1680" i="27" s="1"/>
  <c r="A1681" i="27" s="1"/>
  <c r="A1682" i="27" s="1"/>
  <c r="A1683" i="27" s="1"/>
  <c r="A1684" i="27" s="1"/>
  <c r="A1685" i="27" s="1"/>
  <c r="A1686" i="27" s="1"/>
  <c r="A1687" i="27" s="1"/>
  <c r="A1688" i="27" s="1"/>
  <c r="A1689" i="27" s="1"/>
  <c r="A1690" i="27" s="1"/>
  <c r="A1691" i="27" s="1"/>
  <c r="A1692" i="27" s="1"/>
  <c r="A1693" i="27" s="1"/>
  <c r="A1694" i="27" s="1"/>
  <c r="A1695" i="27" s="1"/>
  <c r="A1696" i="27" s="1"/>
  <c r="A1697" i="27" s="1"/>
  <c r="A1698" i="27" s="1"/>
  <c r="A1699" i="27" s="1"/>
  <c r="A1700" i="27" s="1"/>
  <c r="A1701" i="27" s="1"/>
  <c r="A1702" i="27" s="1"/>
  <c r="A1703" i="27" s="1"/>
  <c r="A1704" i="27" s="1"/>
  <c r="A1705" i="27" s="1"/>
  <c r="A1706" i="27" s="1"/>
  <c r="A1707" i="27" s="1"/>
  <c r="A1708" i="27" s="1"/>
  <c r="A1709" i="27" s="1"/>
  <c r="A1710" i="27" s="1"/>
  <c r="A1711" i="27" s="1"/>
  <c r="A1712" i="27" s="1"/>
  <c r="H3" i="27"/>
  <c r="A3" i="27"/>
  <c r="H2" i="27"/>
  <c r="H290" i="19" l="1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H2" i="19"/>
  <c r="J2782" i="8" l="1"/>
  <c r="H2782" i="8"/>
  <c r="J2781" i="8"/>
  <c r="H2781" i="8"/>
  <c r="J2780" i="8"/>
  <c r="H2780" i="8"/>
  <c r="J2779" i="8"/>
  <c r="H2779" i="8"/>
  <c r="J2778" i="8"/>
  <c r="H2778" i="8"/>
  <c r="J2777" i="8"/>
  <c r="H2777" i="8"/>
  <c r="J2776" i="8"/>
  <c r="H2776" i="8"/>
  <c r="J2775" i="8"/>
  <c r="H2775" i="8"/>
  <c r="J2774" i="8"/>
  <c r="H2774" i="8"/>
  <c r="J2773" i="8"/>
  <c r="H2773" i="8"/>
  <c r="J2772" i="8"/>
  <c r="H2772" i="8"/>
  <c r="J2771" i="8"/>
  <c r="H2771" i="8"/>
  <c r="J2770" i="8"/>
  <c r="H2770" i="8"/>
  <c r="J2769" i="8"/>
  <c r="H2769" i="8"/>
  <c r="J2768" i="8"/>
  <c r="H2768" i="8"/>
  <c r="J2767" i="8"/>
  <c r="H2767" i="8"/>
  <c r="J2766" i="8"/>
  <c r="H2766" i="8"/>
  <c r="J2765" i="8"/>
  <c r="H2765" i="8"/>
  <c r="J2764" i="8"/>
  <c r="H2764" i="8"/>
  <c r="J2763" i="8"/>
  <c r="H2763" i="8"/>
  <c r="J2762" i="8"/>
  <c r="H2762" i="8"/>
  <c r="J2761" i="8"/>
  <c r="H2761" i="8"/>
  <c r="J2760" i="8"/>
  <c r="H2760" i="8"/>
  <c r="J2759" i="8"/>
  <c r="H2759" i="8"/>
  <c r="J2758" i="8"/>
  <c r="H2758" i="8"/>
  <c r="J2757" i="8"/>
  <c r="H2757" i="8"/>
  <c r="J2756" i="8"/>
  <c r="H2756" i="8"/>
  <c r="J2755" i="8"/>
  <c r="H2755" i="8"/>
  <c r="J2754" i="8"/>
  <c r="H2754" i="8"/>
  <c r="J2753" i="8"/>
  <c r="H2753" i="8"/>
  <c r="J2752" i="8"/>
  <c r="H2752" i="8"/>
  <c r="J2751" i="8"/>
  <c r="H2751" i="8"/>
  <c r="J2750" i="8"/>
  <c r="H2750" i="8"/>
  <c r="J2749" i="8"/>
  <c r="H2749" i="8"/>
  <c r="J2748" i="8"/>
  <c r="H2748" i="8"/>
  <c r="J2747" i="8"/>
  <c r="H2747" i="8"/>
  <c r="J2746" i="8"/>
  <c r="H2746" i="8"/>
  <c r="J2745" i="8"/>
  <c r="H2745" i="8"/>
  <c r="J2744" i="8"/>
  <c r="H2744" i="8"/>
  <c r="J2743" i="8"/>
  <c r="H2743" i="8"/>
  <c r="J2742" i="8"/>
  <c r="H2742" i="8"/>
  <c r="J2741" i="8"/>
  <c r="H2741" i="8"/>
  <c r="J2740" i="8"/>
  <c r="H2740" i="8"/>
  <c r="J2739" i="8"/>
  <c r="H2739" i="8"/>
  <c r="J2738" i="8"/>
  <c r="H2738" i="8"/>
  <c r="J2737" i="8"/>
  <c r="H2737" i="8"/>
  <c r="J2736" i="8"/>
  <c r="H2736" i="8"/>
  <c r="J2735" i="8"/>
  <c r="H2735" i="8"/>
  <c r="J2734" i="8"/>
  <c r="H2734" i="8"/>
  <c r="J2733" i="8"/>
  <c r="H2733" i="8"/>
  <c r="J2732" i="8"/>
  <c r="H2732" i="8"/>
  <c r="J2731" i="8"/>
  <c r="H2731" i="8"/>
  <c r="J2730" i="8"/>
  <c r="H2730" i="8"/>
  <c r="J2729" i="8"/>
  <c r="H2729" i="8"/>
  <c r="J2728" i="8"/>
  <c r="H2728" i="8"/>
  <c r="J2727" i="8"/>
  <c r="H2727" i="8"/>
  <c r="J2726" i="8"/>
  <c r="H2726" i="8"/>
  <c r="J2725" i="8"/>
  <c r="H2725" i="8"/>
  <c r="J2724" i="8"/>
  <c r="H2724" i="8"/>
  <c r="J2723" i="8"/>
  <c r="H2723" i="8"/>
  <c r="J2722" i="8"/>
  <c r="H2722" i="8"/>
  <c r="J2721" i="8"/>
  <c r="H2721" i="8"/>
  <c r="J2720" i="8"/>
  <c r="H2720" i="8"/>
  <c r="J2719" i="8"/>
  <c r="H2719" i="8"/>
  <c r="J2718" i="8"/>
  <c r="H2718" i="8"/>
  <c r="J2717" i="8"/>
  <c r="H2717" i="8"/>
  <c r="J2716" i="8"/>
  <c r="H2716" i="8"/>
  <c r="J2715" i="8"/>
  <c r="H2715" i="8"/>
  <c r="J2714" i="8"/>
  <c r="H2714" i="8"/>
  <c r="J2713" i="8"/>
  <c r="H2713" i="8"/>
  <c r="J2712" i="8"/>
  <c r="H2712" i="8"/>
  <c r="J2711" i="8"/>
  <c r="H2711" i="8"/>
  <c r="J2710" i="8"/>
  <c r="H2710" i="8"/>
  <c r="J2709" i="8"/>
  <c r="H2709" i="8"/>
  <c r="J2708" i="8"/>
  <c r="H2708" i="8"/>
  <c r="J2707" i="8"/>
  <c r="H2707" i="8"/>
  <c r="J2706" i="8"/>
  <c r="H2706" i="8"/>
  <c r="J2705" i="8"/>
  <c r="H2705" i="8"/>
  <c r="J2704" i="8"/>
  <c r="H2704" i="8"/>
  <c r="J2703" i="8"/>
  <c r="H2703" i="8"/>
  <c r="J2702" i="8"/>
  <c r="H2702" i="8"/>
  <c r="J2701" i="8"/>
  <c r="H2701" i="8"/>
  <c r="J2700" i="8"/>
  <c r="H2700" i="8"/>
  <c r="J2699" i="8"/>
  <c r="H2699" i="8"/>
  <c r="J2698" i="8"/>
  <c r="H2698" i="8"/>
  <c r="J2697" i="8"/>
  <c r="H2697" i="8"/>
  <c r="J2696" i="8"/>
  <c r="H2696" i="8"/>
  <c r="J2695" i="8"/>
  <c r="H2695" i="8"/>
  <c r="J2694" i="8"/>
  <c r="H2694" i="8"/>
  <c r="J2693" i="8"/>
  <c r="H2693" i="8"/>
  <c r="J2692" i="8"/>
  <c r="H2692" i="8"/>
  <c r="J2691" i="8"/>
  <c r="H2691" i="8"/>
  <c r="J2690" i="8"/>
  <c r="H2690" i="8"/>
  <c r="J2689" i="8"/>
  <c r="H2689" i="8"/>
  <c r="J2688" i="8"/>
  <c r="H2688" i="8"/>
  <c r="J2687" i="8"/>
  <c r="H2687" i="8"/>
  <c r="J2686" i="8"/>
  <c r="H2686" i="8"/>
  <c r="J2685" i="8"/>
  <c r="H2685" i="8"/>
  <c r="J2684" i="8"/>
  <c r="H2684" i="8"/>
  <c r="J2683" i="8"/>
  <c r="H2683" i="8"/>
  <c r="J2682" i="8"/>
  <c r="H2682" i="8"/>
  <c r="J2681" i="8"/>
  <c r="H2681" i="8"/>
  <c r="J2680" i="8"/>
  <c r="H2680" i="8"/>
  <c r="J2679" i="8"/>
  <c r="H2679" i="8"/>
  <c r="J2678" i="8"/>
  <c r="H2678" i="8"/>
  <c r="J2677" i="8"/>
  <c r="H2677" i="8"/>
  <c r="J2676" i="8"/>
  <c r="H2676" i="8"/>
  <c r="J2675" i="8"/>
  <c r="H2675" i="8"/>
  <c r="J2674" i="8"/>
  <c r="H2674" i="8"/>
  <c r="J2673" i="8"/>
  <c r="H2673" i="8"/>
  <c r="J2672" i="8"/>
  <c r="H2672" i="8"/>
  <c r="J2671" i="8"/>
  <c r="H2671" i="8"/>
  <c r="J2670" i="8"/>
  <c r="H2670" i="8"/>
  <c r="J2669" i="8"/>
  <c r="H2669" i="8"/>
  <c r="J2668" i="8"/>
  <c r="H2668" i="8"/>
  <c r="J2667" i="8"/>
  <c r="H2667" i="8"/>
  <c r="J2666" i="8"/>
  <c r="H2666" i="8"/>
  <c r="J2665" i="8"/>
  <c r="H2665" i="8"/>
  <c r="J2664" i="8"/>
  <c r="H2664" i="8"/>
  <c r="J2663" i="8"/>
  <c r="H2663" i="8"/>
  <c r="J2662" i="8"/>
  <c r="H2662" i="8"/>
  <c r="J2661" i="8"/>
  <c r="H2661" i="8"/>
  <c r="J2660" i="8"/>
  <c r="H2660" i="8"/>
  <c r="J2659" i="8"/>
  <c r="H2659" i="8"/>
  <c r="J2658" i="8"/>
  <c r="H2658" i="8"/>
  <c r="J2657" i="8"/>
  <c r="H2657" i="8"/>
  <c r="J2656" i="8"/>
  <c r="H2656" i="8"/>
  <c r="J2655" i="8"/>
  <c r="H2655" i="8"/>
  <c r="J2654" i="8"/>
  <c r="H2654" i="8"/>
  <c r="J2653" i="8"/>
  <c r="H2653" i="8"/>
  <c r="J2652" i="8"/>
  <c r="H2652" i="8"/>
  <c r="J2651" i="8"/>
  <c r="H2651" i="8"/>
  <c r="J2650" i="8"/>
  <c r="H2650" i="8"/>
  <c r="J2649" i="8"/>
  <c r="H2649" i="8"/>
  <c r="J2648" i="8"/>
  <c r="H2648" i="8"/>
  <c r="J2647" i="8"/>
  <c r="H2647" i="8"/>
  <c r="J2646" i="8"/>
  <c r="H2646" i="8"/>
  <c r="J2645" i="8"/>
  <c r="H2645" i="8"/>
  <c r="J2644" i="8"/>
  <c r="H2644" i="8"/>
  <c r="J2643" i="8"/>
  <c r="H2643" i="8"/>
  <c r="J2642" i="8"/>
  <c r="H2642" i="8"/>
  <c r="J2641" i="8"/>
  <c r="H2641" i="8"/>
  <c r="J2640" i="8"/>
  <c r="H2640" i="8"/>
  <c r="J2639" i="8"/>
  <c r="H2639" i="8"/>
  <c r="J2638" i="8"/>
  <c r="H2638" i="8"/>
  <c r="J2637" i="8"/>
  <c r="H2637" i="8"/>
  <c r="J2636" i="8"/>
  <c r="H2636" i="8"/>
  <c r="J2635" i="8"/>
  <c r="H2635" i="8"/>
  <c r="J2634" i="8"/>
  <c r="H2634" i="8"/>
  <c r="J2633" i="8"/>
  <c r="H2633" i="8"/>
  <c r="J2632" i="8"/>
  <c r="H2632" i="8"/>
  <c r="J2631" i="8"/>
  <c r="H2631" i="8"/>
  <c r="J2630" i="8"/>
  <c r="H2630" i="8"/>
  <c r="J2629" i="8"/>
  <c r="H2629" i="8"/>
  <c r="J2628" i="8"/>
  <c r="H2628" i="8"/>
  <c r="J2627" i="8"/>
  <c r="H2627" i="8"/>
  <c r="J2626" i="8"/>
  <c r="H2626" i="8"/>
  <c r="J2625" i="8"/>
  <c r="H2625" i="8"/>
  <c r="J2624" i="8"/>
  <c r="H2624" i="8"/>
  <c r="J2623" i="8"/>
  <c r="H2623" i="8"/>
  <c r="J2622" i="8"/>
  <c r="H2622" i="8"/>
  <c r="J2621" i="8"/>
  <c r="H2621" i="8"/>
  <c r="J2620" i="8"/>
  <c r="H2620" i="8"/>
  <c r="J2619" i="8"/>
  <c r="H2619" i="8"/>
  <c r="J2618" i="8"/>
  <c r="H2618" i="8"/>
  <c r="J2617" i="8"/>
  <c r="H2617" i="8"/>
  <c r="J2616" i="8"/>
  <c r="H2616" i="8"/>
  <c r="J2615" i="8"/>
  <c r="H2615" i="8"/>
  <c r="J2614" i="8"/>
  <c r="H2614" i="8"/>
  <c r="J2613" i="8"/>
  <c r="H2613" i="8"/>
  <c r="J2612" i="8"/>
  <c r="H2612" i="8"/>
  <c r="J2611" i="8"/>
  <c r="H2611" i="8"/>
  <c r="J2610" i="8"/>
  <c r="H2610" i="8"/>
  <c r="J2609" i="8"/>
  <c r="H2609" i="8"/>
  <c r="J2608" i="8"/>
  <c r="H2608" i="8"/>
  <c r="J2607" i="8"/>
  <c r="H2607" i="8"/>
  <c r="J2606" i="8"/>
  <c r="H2606" i="8"/>
  <c r="J2605" i="8"/>
  <c r="H2605" i="8"/>
  <c r="J2604" i="8"/>
  <c r="H2604" i="8"/>
  <c r="J2603" i="8"/>
  <c r="H2603" i="8"/>
  <c r="J2602" i="8"/>
  <c r="H2602" i="8"/>
  <c r="J2601" i="8"/>
  <c r="H2601" i="8"/>
  <c r="J2600" i="8"/>
  <c r="H2600" i="8"/>
  <c r="J2599" i="8"/>
  <c r="H2599" i="8"/>
  <c r="J2598" i="8"/>
  <c r="H2598" i="8"/>
  <c r="J2597" i="8"/>
  <c r="H2597" i="8"/>
  <c r="J2596" i="8"/>
  <c r="H2596" i="8"/>
  <c r="J2595" i="8"/>
  <c r="H2595" i="8"/>
  <c r="J2594" i="8"/>
  <c r="H2594" i="8"/>
  <c r="J2593" i="8"/>
  <c r="H2593" i="8"/>
  <c r="J2592" i="8"/>
  <c r="H2592" i="8"/>
  <c r="J2591" i="8"/>
  <c r="H2591" i="8"/>
  <c r="J2590" i="8"/>
  <c r="H2590" i="8"/>
  <c r="J2589" i="8"/>
  <c r="H2589" i="8"/>
  <c r="J2588" i="8"/>
  <c r="H2588" i="8"/>
  <c r="J2587" i="8"/>
  <c r="H2587" i="8"/>
  <c r="J2586" i="8"/>
  <c r="H2586" i="8"/>
  <c r="J2585" i="8"/>
  <c r="H2585" i="8"/>
  <c r="J2584" i="8"/>
  <c r="H2584" i="8"/>
  <c r="J2583" i="8"/>
  <c r="H2583" i="8"/>
  <c r="J2582" i="8"/>
  <c r="H2582" i="8"/>
  <c r="J2581" i="8"/>
  <c r="H2581" i="8"/>
  <c r="J2580" i="8"/>
  <c r="H2580" i="8"/>
  <c r="J2579" i="8"/>
  <c r="H2579" i="8"/>
  <c r="J2578" i="8"/>
  <c r="H2578" i="8"/>
  <c r="J2577" i="8"/>
  <c r="H2577" i="8"/>
  <c r="J2576" i="8"/>
  <c r="H2576" i="8"/>
  <c r="J2575" i="8"/>
  <c r="H2575" i="8"/>
  <c r="J2574" i="8"/>
  <c r="H2574" i="8"/>
  <c r="J2573" i="8"/>
  <c r="H2573" i="8"/>
  <c r="J2572" i="8"/>
  <c r="H2572" i="8"/>
  <c r="J2571" i="8"/>
  <c r="H2571" i="8"/>
  <c r="J2570" i="8"/>
  <c r="H2570" i="8"/>
  <c r="J2569" i="8"/>
  <c r="H2569" i="8"/>
  <c r="J2568" i="8"/>
  <c r="H2568" i="8"/>
  <c r="J2567" i="8"/>
  <c r="H2567" i="8"/>
  <c r="J2566" i="8"/>
  <c r="H2566" i="8"/>
  <c r="J2565" i="8"/>
  <c r="H2565" i="8"/>
  <c r="J2564" i="8"/>
  <c r="H2564" i="8"/>
  <c r="J2563" i="8"/>
  <c r="H2563" i="8"/>
  <c r="J2562" i="8"/>
  <c r="H2562" i="8"/>
  <c r="J2561" i="8"/>
  <c r="H2561" i="8"/>
  <c r="J2560" i="8"/>
  <c r="H2560" i="8"/>
  <c r="J2559" i="8"/>
  <c r="H2559" i="8"/>
  <c r="J2558" i="8"/>
  <c r="H2558" i="8"/>
  <c r="J2557" i="8"/>
  <c r="H2557" i="8"/>
  <c r="J2556" i="8"/>
  <c r="H2556" i="8"/>
  <c r="J2555" i="8"/>
  <c r="H2555" i="8"/>
  <c r="J2554" i="8"/>
  <c r="H2554" i="8"/>
  <c r="J2553" i="8"/>
  <c r="H2553" i="8"/>
  <c r="J2552" i="8"/>
  <c r="H2552" i="8"/>
  <c r="J2551" i="8"/>
  <c r="H2551" i="8"/>
  <c r="J2550" i="8"/>
  <c r="H2550" i="8"/>
  <c r="J2549" i="8"/>
  <c r="H2549" i="8"/>
  <c r="J2548" i="8"/>
  <c r="H2548" i="8"/>
  <c r="J2547" i="8"/>
  <c r="H2547" i="8"/>
  <c r="J2546" i="8"/>
  <c r="H2546" i="8"/>
  <c r="J2545" i="8"/>
  <c r="H2545" i="8"/>
  <c r="J2544" i="8"/>
  <c r="H2544" i="8"/>
  <c r="J2543" i="8"/>
  <c r="H2543" i="8"/>
  <c r="J2542" i="8"/>
  <c r="H2542" i="8"/>
  <c r="J2541" i="8"/>
  <c r="H2541" i="8"/>
  <c r="J2540" i="8"/>
  <c r="H2540" i="8"/>
  <c r="J2539" i="8"/>
  <c r="H2539" i="8"/>
  <c r="J2538" i="8"/>
  <c r="H2538" i="8"/>
  <c r="J2537" i="8"/>
  <c r="H2537" i="8"/>
  <c r="J2536" i="8"/>
  <c r="H2536" i="8"/>
  <c r="J2535" i="8"/>
  <c r="H2535" i="8"/>
  <c r="J2534" i="8"/>
  <c r="H2534" i="8"/>
  <c r="J2533" i="8"/>
  <c r="H2533" i="8"/>
  <c r="J2532" i="8"/>
  <c r="H2532" i="8"/>
  <c r="J2531" i="8"/>
  <c r="H2531" i="8"/>
  <c r="J2530" i="8"/>
  <c r="H2530" i="8"/>
  <c r="J2529" i="8"/>
  <c r="H2529" i="8"/>
  <c r="J2528" i="8"/>
  <c r="H2528" i="8"/>
  <c r="J2527" i="8"/>
  <c r="H2527" i="8"/>
  <c r="J2526" i="8"/>
  <c r="H2526" i="8"/>
  <c r="J2525" i="8"/>
  <c r="H2525" i="8"/>
  <c r="J2524" i="8"/>
  <c r="H2524" i="8"/>
  <c r="J2523" i="8"/>
  <c r="H2523" i="8"/>
  <c r="J2522" i="8"/>
  <c r="H2522" i="8"/>
  <c r="J2521" i="8"/>
  <c r="H2521" i="8"/>
  <c r="J2520" i="8"/>
  <c r="H2520" i="8"/>
  <c r="J2519" i="8"/>
  <c r="H2519" i="8"/>
  <c r="J2518" i="8"/>
  <c r="H2518" i="8"/>
  <c r="J2517" i="8"/>
  <c r="H2517" i="8"/>
  <c r="J2516" i="8"/>
  <c r="H2516" i="8"/>
  <c r="J2515" i="8"/>
  <c r="H2515" i="8"/>
  <c r="J2514" i="8"/>
  <c r="H2514" i="8"/>
  <c r="J2513" i="8"/>
  <c r="H2513" i="8"/>
  <c r="J2512" i="8"/>
  <c r="H2512" i="8"/>
  <c r="J2511" i="8"/>
  <c r="H2511" i="8"/>
  <c r="J2510" i="8"/>
  <c r="H2510" i="8"/>
  <c r="J2509" i="8"/>
  <c r="H2509" i="8"/>
  <c r="J2508" i="8"/>
  <c r="H2508" i="8"/>
  <c r="J2507" i="8"/>
  <c r="H2507" i="8"/>
  <c r="J2506" i="8"/>
  <c r="H2506" i="8"/>
  <c r="J2505" i="8"/>
  <c r="H2505" i="8"/>
  <c r="J2504" i="8"/>
  <c r="H2504" i="8"/>
  <c r="J2503" i="8"/>
  <c r="H2503" i="8"/>
  <c r="J2502" i="8"/>
  <c r="H2502" i="8"/>
  <c r="J2501" i="8"/>
  <c r="H2501" i="8"/>
  <c r="J2500" i="8"/>
  <c r="H2500" i="8"/>
  <c r="J2499" i="8"/>
  <c r="H2499" i="8"/>
  <c r="J2498" i="8"/>
  <c r="H2498" i="8"/>
  <c r="J2497" i="8"/>
  <c r="H2497" i="8"/>
  <c r="J2496" i="8"/>
  <c r="H2496" i="8"/>
  <c r="J2495" i="8"/>
  <c r="H2495" i="8"/>
  <c r="J2494" i="8"/>
  <c r="H2494" i="8"/>
  <c r="J2493" i="8"/>
  <c r="H2493" i="8"/>
  <c r="J2492" i="8"/>
  <c r="H2492" i="8"/>
  <c r="J2491" i="8"/>
  <c r="H2491" i="8"/>
  <c r="J2490" i="8"/>
  <c r="H2490" i="8"/>
  <c r="J2489" i="8"/>
  <c r="H2489" i="8"/>
  <c r="J2488" i="8"/>
  <c r="H2488" i="8"/>
  <c r="J2487" i="8"/>
  <c r="H2487" i="8"/>
  <c r="J2486" i="8"/>
  <c r="H2486" i="8"/>
  <c r="J2485" i="8"/>
  <c r="H2485" i="8"/>
  <c r="J2484" i="8"/>
  <c r="H2484" i="8"/>
  <c r="J2483" i="8"/>
  <c r="H2483" i="8"/>
  <c r="J2482" i="8"/>
  <c r="H2482" i="8"/>
  <c r="J2481" i="8"/>
  <c r="H2481" i="8"/>
  <c r="J2480" i="8"/>
  <c r="H2480" i="8"/>
  <c r="J2479" i="8"/>
  <c r="H2479" i="8"/>
  <c r="J2478" i="8"/>
  <c r="H2478" i="8"/>
  <c r="J2477" i="8"/>
  <c r="H2477" i="8"/>
  <c r="J2476" i="8"/>
  <c r="H2476" i="8"/>
  <c r="J2475" i="8"/>
  <c r="H2475" i="8"/>
  <c r="J2474" i="8"/>
  <c r="H2474" i="8"/>
  <c r="J2473" i="8"/>
  <c r="H2473" i="8"/>
  <c r="J2472" i="8"/>
  <c r="H2472" i="8"/>
  <c r="J2471" i="8"/>
  <c r="H2471" i="8"/>
  <c r="J2470" i="8"/>
  <c r="H2470" i="8"/>
  <c r="J2469" i="8"/>
  <c r="H2469" i="8"/>
  <c r="J2468" i="8"/>
  <c r="H2468" i="8"/>
  <c r="J2467" i="8"/>
  <c r="H2467" i="8"/>
  <c r="J2466" i="8"/>
  <c r="H2466" i="8"/>
  <c r="J2465" i="8"/>
  <c r="H2465" i="8"/>
  <c r="J2464" i="8"/>
  <c r="H2464" i="8"/>
  <c r="J2463" i="8"/>
  <c r="H2463" i="8"/>
  <c r="J2462" i="8"/>
  <c r="H2462" i="8"/>
  <c r="J2461" i="8"/>
  <c r="H2461" i="8"/>
  <c r="J2460" i="8"/>
  <c r="H2460" i="8"/>
  <c r="J2459" i="8"/>
  <c r="H2459" i="8"/>
  <c r="J2458" i="8"/>
  <c r="H2458" i="8"/>
  <c r="J2457" i="8"/>
  <c r="H2457" i="8"/>
  <c r="J2456" i="8"/>
  <c r="H2456" i="8"/>
  <c r="J2455" i="8"/>
  <c r="H2455" i="8"/>
  <c r="J2454" i="8"/>
  <c r="H2454" i="8"/>
  <c r="J2453" i="8"/>
  <c r="H2453" i="8"/>
  <c r="J2452" i="8"/>
  <c r="H2452" i="8"/>
  <c r="J2451" i="8"/>
  <c r="H2451" i="8"/>
  <c r="J2450" i="8"/>
  <c r="H2450" i="8"/>
  <c r="J2449" i="8"/>
  <c r="H2449" i="8"/>
  <c r="J2448" i="8"/>
  <c r="H2448" i="8"/>
  <c r="J2447" i="8"/>
  <c r="H2447" i="8"/>
  <c r="J2446" i="8"/>
  <c r="H2446" i="8"/>
  <c r="J2445" i="8"/>
  <c r="H2445" i="8"/>
  <c r="J2444" i="8"/>
  <c r="H2444" i="8"/>
  <c r="J2443" i="8"/>
  <c r="H2443" i="8"/>
  <c r="J2442" i="8"/>
  <c r="H2442" i="8"/>
  <c r="J2441" i="8"/>
  <c r="H2441" i="8"/>
  <c r="J2440" i="8"/>
  <c r="H2440" i="8"/>
  <c r="J2439" i="8"/>
  <c r="H2439" i="8"/>
  <c r="J2438" i="8"/>
  <c r="H2438" i="8"/>
  <c r="J2437" i="8"/>
  <c r="H2437" i="8"/>
  <c r="J2436" i="8"/>
  <c r="H2436" i="8"/>
  <c r="J2435" i="8"/>
  <c r="H2435" i="8"/>
  <c r="J2434" i="8"/>
  <c r="H2434" i="8"/>
  <c r="J2433" i="8"/>
  <c r="H2433" i="8"/>
  <c r="J2432" i="8"/>
  <c r="H2432" i="8"/>
  <c r="J2431" i="8"/>
  <c r="H2431" i="8"/>
  <c r="J2430" i="8"/>
  <c r="H2430" i="8"/>
  <c r="J2429" i="8"/>
  <c r="H2429" i="8"/>
  <c r="J2428" i="8"/>
  <c r="H2428" i="8"/>
  <c r="J2427" i="8"/>
  <c r="H2427" i="8"/>
  <c r="J2426" i="8"/>
  <c r="H2426" i="8"/>
  <c r="J2425" i="8"/>
  <c r="H2425" i="8"/>
  <c r="J2424" i="8"/>
  <c r="H2424" i="8"/>
  <c r="J2423" i="8"/>
  <c r="H2423" i="8"/>
  <c r="J2422" i="8"/>
  <c r="H2422" i="8"/>
  <c r="J2421" i="8"/>
  <c r="H2421" i="8"/>
  <c r="J2420" i="8"/>
  <c r="H2420" i="8"/>
  <c r="J2419" i="8"/>
  <c r="H2419" i="8"/>
  <c r="J2418" i="8"/>
  <c r="H2418" i="8"/>
  <c r="J2417" i="8"/>
  <c r="H2417" i="8"/>
  <c r="J2416" i="8"/>
  <c r="H2416" i="8"/>
  <c r="J2415" i="8"/>
  <c r="H2415" i="8"/>
  <c r="J2414" i="8"/>
  <c r="H2414" i="8"/>
  <c r="J2413" i="8"/>
  <c r="H2413" i="8"/>
  <c r="J2412" i="8"/>
  <c r="H2412" i="8"/>
  <c r="J2411" i="8"/>
  <c r="H2411" i="8"/>
  <c r="J2410" i="8"/>
  <c r="H2410" i="8"/>
  <c r="J2409" i="8"/>
  <c r="H2409" i="8"/>
  <c r="J2408" i="8"/>
  <c r="H2408" i="8"/>
  <c r="J2407" i="8"/>
  <c r="H2407" i="8"/>
  <c r="J2406" i="8"/>
  <c r="H2406" i="8"/>
  <c r="J2405" i="8"/>
  <c r="H2405" i="8"/>
  <c r="J2404" i="8"/>
  <c r="H2404" i="8"/>
  <c r="J2403" i="8"/>
  <c r="H2403" i="8"/>
  <c r="J2402" i="8"/>
  <c r="H2402" i="8"/>
  <c r="J2401" i="8"/>
  <c r="H2401" i="8"/>
  <c r="J2400" i="8"/>
  <c r="H2400" i="8"/>
  <c r="J2399" i="8"/>
  <c r="H2399" i="8"/>
  <c r="J2398" i="8"/>
  <c r="H2398" i="8"/>
  <c r="J2397" i="8"/>
  <c r="H2397" i="8"/>
  <c r="J2396" i="8"/>
  <c r="H2396" i="8"/>
  <c r="J2395" i="8"/>
  <c r="H2395" i="8"/>
  <c r="J2394" i="8"/>
  <c r="H2394" i="8"/>
  <c r="J2393" i="8"/>
  <c r="H2393" i="8"/>
  <c r="J2392" i="8"/>
  <c r="H2392" i="8"/>
  <c r="J2391" i="8"/>
  <c r="H2391" i="8"/>
  <c r="J2390" i="8"/>
  <c r="H2390" i="8"/>
  <c r="J2389" i="8"/>
  <c r="H2389" i="8"/>
  <c r="J2388" i="8"/>
  <c r="H2388" i="8"/>
  <c r="J2387" i="8"/>
  <c r="H2387" i="8"/>
  <c r="J2386" i="8"/>
  <c r="H2386" i="8"/>
  <c r="J2385" i="8"/>
  <c r="H2385" i="8"/>
  <c r="J2384" i="8"/>
  <c r="H2384" i="8"/>
  <c r="J2383" i="8"/>
  <c r="H2383" i="8"/>
  <c r="J2382" i="8"/>
  <c r="H2382" i="8"/>
  <c r="J2381" i="8"/>
  <c r="H2381" i="8"/>
  <c r="J2380" i="8"/>
  <c r="H2380" i="8"/>
  <c r="J2379" i="8"/>
  <c r="H2379" i="8"/>
  <c r="J2378" i="8"/>
  <c r="H2378" i="8"/>
  <c r="J2377" i="8"/>
  <c r="H2377" i="8"/>
  <c r="J2376" i="8"/>
  <c r="H2376" i="8"/>
  <c r="J2375" i="8"/>
  <c r="H2375" i="8"/>
  <c r="J2374" i="8"/>
  <c r="H2374" i="8"/>
  <c r="J2373" i="8"/>
  <c r="H2373" i="8"/>
  <c r="J2372" i="8"/>
  <c r="H2372" i="8"/>
  <c r="J2371" i="8"/>
  <c r="H2371" i="8"/>
  <c r="J2370" i="8"/>
  <c r="H2370" i="8"/>
  <c r="J2369" i="8"/>
  <c r="H2369" i="8"/>
  <c r="J2368" i="8"/>
  <c r="H2368" i="8"/>
  <c r="J2367" i="8"/>
  <c r="H2367" i="8"/>
  <c r="J2366" i="8"/>
  <c r="H2366" i="8"/>
  <c r="J2365" i="8"/>
  <c r="H2365" i="8"/>
  <c r="J2364" i="8"/>
  <c r="H2364" i="8"/>
  <c r="J2363" i="8"/>
  <c r="H2363" i="8"/>
  <c r="J2362" i="8"/>
  <c r="H2362" i="8"/>
  <c r="J2361" i="8"/>
  <c r="H2361" i="8"/>
  <c r="J2360" i="8"/>
  <c r="H2360" i="8"/>
  <c r="J2359" i="8"/>
  <c r="H2359" i="8"/>
  <c r="J2358" i="8"/>
  <c r="H2358" i="8"/>
  <c r="J2357" i="8"/>
  <c r="H2357" i="8"/>
  <c r="J2356" i="8"/>
  <c r="H2356" i="8"/>
  <c r="J2355" i="8"/>
  <c r="H2355" i="8"/>
  <c r="J2354" i="8"/>
  <c r="H2354" i="8"/>
  <c r="J2353" i="8"/>
  <c r="H2353" i="8"/>
  <c r="J2352" i="8"/>
  <c r="H2352" i="8"/>
  <c r="J2351" i="8"/>
  <c r="H2351" i="8"/>
  <c r="J2350" i="8"/>
  <c r="H2350" i="8"/>
  <c r="J2349" i="8"/>
  <c r="H2349" i="8"/>
  <c r="J2348" i="8"/>
  <c r="H2348" i="8"/>
  <c r="J2347" i="8"/>
  <c r="H2347" i="8"/>
  <c r="J2346" i="8"/>
  <c r="H2346" i="8"/>
  <c r="J2345" i="8"/>
  <c r="H2345" i="8"/>
  <c r="J2344" i="8"/>
  <c r="H2344" i="8"/>
  <c r="J2343" i="8"/>
  <c r="H2343" i="8"/>
  <c r="J2342" i="8"/>
  <c r="H2342" i="8"/>
  <c r="J2341" i="8"/>
  <c r="H2341" i="8"/>
  <c r="J2340" i="8"/>
  <c r="H2340" i="8"/>
  <c r="J2339" i="8"/>
  <c r="H2339" i="8"/>
  <c r="J2338" i="8"/>
  <c r="H2338" i="8"/>
  <c r="J2337" i="8"/>
  <c r="H2337" i="8"/>
  <c r="J2336" i="8"/>
  <c r="H2336" i="8"/>
  <c r="J2335" i="8"/>
  <c r="H2335" i="8"/>
  <c r="J2334" i="8"/>
  <c r="H2334" i="8"/>
  <c r="J2333" i="8"/>
  <c r="H2333" i="8"/>
  <c r="J2332" i="8"/>
  <c r="H2332" i="8"/>
  <c r="J2331" i="8"/>
  <c r="H2331" i="8"/>
  <c r="J2330" i="8"/>
  <c r="H2330" i="8"/>
  <c r="J2329" i="8"/>
  <c r="H2329" i="8"/>
  <c r="J2328" i="8"/>
  <c r="H2328" i="8"/>
  <c r="J2327" i="8"/>
  <c r="H2327" i="8"/>
  <c r="J2326" i="8"/>
  <c r="H2326" i="8"/>
  <c r="J2325" i="8"/>
  <c r="H2325" i="8"/>
  <c r="J2324" i="8"/>
  <c r="H2324" i="8"/>
  <c r="J2323" i="8"/>
  <c r="H2323" i="8"/>
  <c r="J2322" i="8"/>
  <c r="H2322" i="8"/>
  <c r="J2321" i="8"/>
  <c r="H2321" i="8"/>
  <c r="J2320" i="8"/>
  <c r="H2320" i="8"/>
  <c r="J2319" i="8"/>
  <c r="H2319" i="8"/>
  <c r="J2318" i="8"/>
  <c r="H2318" i="8"/>
  <c r="J2317" i="8"/>
  <c r="H2317" i="8"/>
  <c r="J2316" i="8"/>
  <c r="H2316" i="8"/>
  <c r="J2315" i="8"/>
  <c r="H2315" i="8"/>
  <c r="J2314" i="8"/>
  <c r="H2314" i="8"/>
  <c r="J2313" i="8"/>
  <c r="H2313" i="8"/>
  <c r="J2312" i="8"/>
  <c r="H2312" i="8"/>
  <c r="J2311" i="8"/>
  <c r="H2311" i="8"/>
  <c r="J2310" i="8"/>
  <c r="H2310" i="8"/>
  <c r="J2309" i="8"/>
  <c r="H2309" i="8"/>
  <c r="J2308" i="8"/>
  <c r="H2308" i="8"/>
  <c r="J2307" i="8"/>
  <c r="H2307" i="8"/>
  <c r="J2306" i="8"/>
  <c r="H2306" i="8"/>
  <c r="J2305" i="8"/>
  <c r="H2305" i="8"/>
  <c r="J2304" i="8"/>
  <c r="H2304" i="8"/>
  <c r="J2303" i="8"/>
  <c r="H2303" i="8"/>
  <c r="J2302" i="8"/>
  <c r="H2302" i="8"/>
  <c r="J2301" i="8"/>
  <c r="H2301" i="8"/>
  <c r="J2300" i="8"/>
  <c r="H2300" i="8"/>
  <c r="J2299" i="8"/>
  <c r="H2299" i="8"/>
  <c r="J2298" i="8"/>
  <c r="H2298" i="8"/>
  <c r="J2297" i="8"/>
  <c r="H2297" i="8"/>
  <c r="J2296" i="8"/>
  <c r="H2296" i="8"/>
  <c r="J2295" i="8"/>
  <c r="H2295" i="8"/>
  <c r="J2294" i="8"/>
  <c r="H2294" i="8"/>
  <c r="J2293" i="8"/>
  <c r="H2293" i="8"/>
  <c r="J2292" i="8"/>
  <c r="H2292" i="8"/>
  <c r="J2291" i="8"/>
  <c r="H2291" i="8"/>
  <c r="J2290" i="8"/>
  <c r="H2290" i="8"/>
  <c r="J2289" i="8"/>
  <c r="H2289" i="8"/>
  <c r="J2288" i="8"/>
  <c r="H2288" i="8"/>
  <c r="J2287" i="8"/>
  <c r="H2287" i="8"/>
  <c r="J2286" i="8"/>
  <c r="H2286" i="8"/>
  <c r="J2285" i="8"/>
  <c r="H2285" i="8"/>
  <c r="J2284" i="8"/>
  <c r="H2284" i="8"/>
  <c r="J2283" i="8"/>
  <c r="H2283" i="8"/>
  <c r="J2282" i="8"/>
  <c r="H2282" i="8"/>
  <c r="J2281" i="8"/>
  <c r="H2281" i="8"/>
  <c r="J2280" i="8"/>
  <c r="H2280" i="8"/>
  <c r="J2279" i="8"/>
  <c r="H2279" i="8"/>
  <c r="J2278" i="8"/>
  <c r="H2278" i="8"/>
  <c r="J2277" i="8"/>
  <c r="H2277" i="8"/>
  <c r="J2276" i="8"/>
  <c r="H2276" i="8"/>
  <c r="J2275" i="8"/>
  <c r="H2275" i="8"/>
  <c r="J2274" i="8"/>
  <c r="H2274" i="8"/>
  <c r="J2273" i="8"/>
  <c r="H2273" i="8"/>
  <c r="J2272" i="8"/>
  <c r="H2272" i="8"/>
  <c r="J2271" i="8"/>
  <c r="H2271" i="8"/>
  <c r="J2270" i="8"/>
  <c r="H2270" i="8"/>
  <c r="J2269" i="8"/>
  <c r="H2269" i="8"/>
  <c r="J2268" i="8"/>
  <c r="H2268" i="8"/>
  <c r="J2267" i="8"/>
  <c r="H2267" i="8"/>
  <c r="J2266" i="8"/>
  <c r="H2266" i="8"/>
  <c r="J2265" i="8"/>
  <c r="H2265" i="8"/>
  <c r="J2264" i="8"/>
  <c r="H2264" i="8"/>
  <c r="J2263" i="8"/>
  <c r="H2263" i="8"/>
  <c r="J2262" i="8"/>
  <c r="H2262" i="8"/>
  <c r="J2261" i="8"/>
  <c r="H2261" i="8"/>
  <c r="J2260" i="8"/>
  <c r="H2260" i="8"/>
  <c r="J2259" i="8"/>
  <c r="H2259" i="8"/>
  <c r="J2258" i="8"/>
  <c r="H2258" i="8"/>
  <c r="J2257" i="8"/>
  <c r="H2257" i="8"/>
  <c r="J2256" i="8"/>
  <c r="H2256" i="8"/>
  <c r="J2255" i="8"/>
  <c r="H2255" i="8"/>
  <c r="J2254" i="8"/>
  <c r="H2254" i="8"/>
  <c r="J2253" i="8"/>
  <c r="H2253" i="8"/>
  <c r="J2252" i="8"/>
  <c r="H2252" i="8"/>
  <c r="J2251" i="8"/>
  <c r="H2251" i="8"/>
  <c r="J2250" i="8"/>
  <c r="H2250" i="8"/>
  <c r="J2249" i="8"/>
  <c r="H2249" i="8"/>
  <c r="J2248" i="8"/>
  <c r="H2248" i="8"/>
  <c r="J2247" i="8"/>
  <c r="H2247" i="8"/>
  <c r="J2246" i="8"/>
  <c r="H2246" i="8"/>
  <c r="J2245" i="8"/>
  <c r="H2245" i="8"/>
  <c r="J2244" i="8"/>
  <c r="H2244" i="8"/>
  <c r="J2243" i="8"/>
  <c r="H2243" i="8"/>
  <c r="J2242" i="8"/>
  <c r="H2242" i="8"/>
  <c r="J2241" i="8"/>
  <c r="H2241" i="8"/>
  <c r="J2240" i="8"/>
  <c r="H2240" i="8"/>
  <c r="J2239" i="8"/>
  <c r="H2239" i="8"/>
  <c r="J2238" i="8"/>
  <c r="H2238" i="8"/>
  <c r="J2237" i="8"/>
  <c r="H2237" i="8"/>
  <c r="J2236" i="8"/>
  <c r="H2236" i="8"/>
  <c r="J2235" i="8"/>
  <c r="H2235" i="8"/>
  <c r="J2234" i="8"/>
  <c r="H2234" i="8"/>
  <c r="J2233" i="8"/>
  <c r="H2233" i="8"/>
  <c r="J2232" i="8"/>
  <c r="H2232" i="8"/>
  <c r="J2231" i="8"/>
  <c r="H2231" i="8"/>
  <c r="J2230" i="8"/>
  <c r="H2230" i="8"/>
  <c r="J2229" i="8"/>
  <c r="H2229" i="8"/>
  <c r="J2228" i="8"/>
  <c r="H2228" i="8"/>
  <c r="J2227" i="8"/>
  <c r="H2227" i="8"/>
  <c r="J2226" i="8"/>
  <c r="H2226" i="8"/>
  <c r="J2225" i="8"/>
  <c r="H2225" i="8"/>
  <c r="J2224" i="8"/>
  <c r="H2224" i="8"/>
  <c r="J2223" i="8"/>
  <c r="H2223" i="8"/>
  <c r="J2222" i="8"/>
  <c r="H2222" i="8"/>
  <c r="J2221" i="8"/>
  <c r="H2221" i="8"/>
  <c r="J2220" i="8"/>
  <c r="H2220" i="8"/>
  <c r="J2219" i="8"/>
  <c r="H2219" i="8"/>
  <c r="J2218" i="8"/>
  <c r="H2218" i="8"/>
  <c r="J2217" i="8"/>
  <c r="H2217" i="8"/>
  <c r="J2216" i="8"/>
  <c r="H2216" i="8"/>
  <c r="J2215" i="8"/>
  <c r="H2215" i="8"/>
  <c r="J2214" i="8"/>
  <c r="H2214" i="8"/>
  <c r="J2213" i="8"/>
  <c r="H2213" i="8"/>
  <c r="J2212" i="8"/>
  <c r="H2212" i="8"/>
  <c r="J2211" i="8"/>
  <c r="H2211" i="8"/>
  <c r="J2210" i="8"/>
  <c r="H2210" i="8"/>
  <c r="J2209" i="8"/>
  <c r="H2209" i="8"/>
  <c r="J2208" i="8"/>
  <c r="H2208" i="8"/>
  <c r="J2207" i="8"/>
  <c r="H2207" i="8"/>
  <c r="J2206" i="8"/>
  <c r="H2206" i="8"/>
  <c r="J2205" i="8"/>
  <c r="H2205" i="8"/>
  <c r="J2204" i="8"/>
  <c r="H2204" i="8"/>
  <c r="J2203" i="8"/>
  <c r="H2203" i="8"/>
  <c r="J2202" i="8"/>
  <c r="H2202" i="8"/>
  <c r="J2201" i="8"/>
  <c r="H2201" i="8"/>
  <c r="J2200" i="8"/>
  <c r="H2200" i="8"/>
  <c r="J2199" i="8"/>
  <c r="H2199" i="8"/>
  <c r="J2198" i="8"/>
  <c r="H2198" i="8"/>
  <c r="J2197" i="8"/>
  <c r="H2197" i="8"/>
  <c r="J2196" i="8"/>
  <c r="H2196" i="8"/>
  <c r="J2195" i="8"/>
  <c r="H2195" i="8"/>
  <c r="J2194" i="8"/>
  <c r="H2194" i="8"/>
  <c r="J2193" i="8"/>
  <c r="H2193" i="8"/>
  <c r="J2192" i="8"/>
  <c r="H2192" i="8"/>
  <c r="J2191" i="8"/>
  <c r="H2191" i="8"/>
  <c r="J2190" i="8"/>
  <c r="H2190" i="8"/>
  <c r="J2189" i="8"/>
  <c r="H2189" i="8"/>
  <c r="J2188" i="8"/>
  <c r="H2188" i="8"/>
  <c r="J2187" i="8"/>
  <c r="H2187" i="8"/>
  <c r="J2186" i="8"/>
  <c r="H2186" i="8"/>
  <c r="J2185" i="8"/>
  <c r="H2185" i="8"/>
  <c r="J2184" i="8"/>
  <c r="H2184" i="8"/>
  <c r="J2183" i="8"/>
  <c r="H2183" i="8"/>
  <c r="J2182" i="8"/>
  <c r="H2182" i="8"/>
  <c r="J2181" i="8"/>
  <c r="H2181" i="8"/>
  <c r="J2180" i="8"/>
  <c r="H2180" i="8"/>
  <c r="J2179" i="8"/>
  <c r="H2179" i="8"/>
  <c r="J2178" i="8"/>
  <c r="H2178" i="8"/>
  <c r="J2177" i="8"/>
  <c r="H2177" i="8"/>
  <c r="J2176" i="8"/>
  <c r="H2176" i="8"/>
  <c r="J2175" i="8"/>
  <c r="H2175" i="8"/>
  <c r="J2174" i="8"/>
  <c r="H2174" i="8"/>
  <c r="J2173" i="8"/>
  <c r="H2173" i="8"/>
  <c r="J2172" i="8"/>
  <c r="H2172" i="8"/>
  <c r="J2171" i="8"/>
  <c r="H2171" i="8"/>
  <c r="J2170" i="8"/>
  <c r="H2170" i="8"/>
  <c r="J2169" i="8"/>
  <c r="H2169" i="8"/>
  <c r="J2168" i="8"/>
  <c r="H2168" i="8"/>
  <c r="J2167" i="8"/>
  <c r="H2167" i="8"/>
  <c r="J2166" i="8"/>
  <c r="H2166" i="8"/>
  <c r="J2165" i="8"/>
  <c r="H2165" i="8"/>
  <c r="J2164" i="8"/>
  <c r="H2164" i="8"/>
  <c r="J2163" i="8"/>
  <c r="H2163" i="8"/>
  <c r="J2162" i="8"/>
  <c r="H2162" i="8"/>
  <c r="J2161" i="8"/>
  <c r="H2161" i="8"/>
  <c r="J2160" i="8"/>
  <c r="H2160" i="8"/>
  <c r="J2159" i="8"/>
  <c r="H2159" i="8"/>
  <c r="J2158" i="8"/>
  <c r="H2158" i="8"/>
  <c r="J2157" i="8"/>
  <c r="H2157" i="8"/>
  <c r="J2156" i="8"/>
  <c r="H2156" i="8"/>
  <c r="J2155" i="8"/>
  <c r="H2155" i="8"/>
  <c r="J2154" i="8"/>
  <c r="H2154" i="8"/>
  <c r="J2153" i="8"/>
  <c r="H2153" i="8"/>
  <c r="J2152" i="8"/>
  <c r="H2152" i="8"/>
  <c r="J2151" i="8"/>
  <c r="H2151" i="8"/>
  <c r="J2150" i="8"/>
  <c r="H2150" i="8"/>
  <c r="J2149" i="8"/>
  <c r="H2149" i="8"/>
  <c r="J2148" i="8"/>
  <c r="H2148" i="8"/>
  <c r="J2147" i="8"/>
  <c r="H2147" i="8"/>
  <c r="J2146" i="8"/>
  <c r="H2146" i="8"/>
  <c r="J2145" i="8"/>
  <c r="H2145" i="8"/>
  <c r="J2144" i="8"/>
  <c r="H2144" i="8"/>
  <c r="J2143" i="8"/>
  <c r="H2143" i="8"/>
  <c r="J2142" i="8"/>
  <c r="H2142" i="8"/>
  <c r="J2141" i="8"/>
  <c r="H2141" i="8"/>
  <c r="J2140" i="8"/>
  <c r="H2140" i="8"/>
  <c r="J2139" i="8"/>
  <c r="H2139" i="8"/>
  <c r="J2138" i="8"/>
  <c r="H2138" i="8"/>
  <c r="J2137" i="8"/>
  <c r="H2137" i="8"/>
  <c r="J2136" i="8"/>
  <c r="H2136" i="8"/>
  <c r="J2135" i="8"/>
  <c r="H2135" i="8"/>
  <c r="J2134" i="8"/>
  <c r="H2134" i="8"/>
  <c r="J2133" i="8"/>
  <c r="H2133" i="8"/>
  <c r="J2132" i="8"/>
  <c r="H2132" i="8"/>
  <c r="J2131" i="8"/>
  <c r="H2131" i="8"/>
  <c r="J2130" i="8"/>
  <c r="H2130" i="8"/>
  <c r="J2129" i="8"/>
  <c r="H2129" i="8"/>
  <c r="J2128" i="8"/>
  <c r="H2128" i="8"/>
  <c r="J2127" i="8"/>
  <c r="H2127" i="8"/>
  <c r="J2126" i="8"/>
  <c r="H2126" i="8"/>
  <c r="J2125" i="8"/>
  <c r="H2125" i="8"/>
  <c r="J2124" i="8"/>
  <c r="H2124" i="8"/>
  <c r="J2123" i="8"/>
  <c r="H2123" i="8"/>
  <c r="J2122" i="8"/>
  <c r="H2122" i="8"/>
  <c r="J2121" i="8"/>
  <c r="H2121" i="8"/>
  <c r="J2120" i="8"/>
  <c r="H2120" i="8"/>
  <c r="J2119" i="8"/>
  <c r="H2119" i="8"/>
  <c r="J2118" i="8"/>
  <c r="H2118" i="8"/>
  <c r="J2117" i="8"/>
  <c r="H2117" i="8"/>
  <c r="J2116" i="8"/>
  <c r="H2116" i="8"/>
  <c r="J2115" i="8"/>
  <c r="H2115" i="8"/>
  <c r="J2114" i="8"/>
  <c r="H2114" i="8"/>
  <c r="J2113" i="8"/>
  <c r="H2113" i="8"/>
  <c r="J2112" i="8"/>
  <c r="H2112" i="8"/>
  <c r="J2111" i="8"/>
  <c r="H2111" i="8"/>
  <c r="J2110" i="8"/>
  <c r="H2110" i="8"/>
  <c r="J2109" i="8"/>
  <c r="H2109" i="8"/>
  <c r="J2108" i="8"/>
  <c r="H2108" i="8"/>
  <c r="J2107" i="8"/>
  <c r="H2107" i="8"/>
  <c r="J2106" i="8"/>
  <c r="H2106" i="8"/>
  <c r="J2105" i="8"/>
  <c r="H2105" i="8"/>
  <c r="J2104" i="8"/>
  <c r="H2104" i="8"/>
  <c r="J2103" i="8"/>
  <c r="H2103" i="8"/>
  <c r="J2102" i="8"/>
  <c r="H2102" i="8"/>
  <c r="J2101" i="8"/>
  <c r="H2101" i="8"/>
  <c r="J2100" i="8"/>
  <c r="H2100" i="8"/>
  <c r="J2099" i="8"/>
  <c r="H2099" i="8"/>
  <c r="J2098" i="8"/>
  <c r="H2098" i="8"/>
  <c r="J2097" i="8"/>
  <c r="H2097" i="8"/>
  <c r="J2096" i="8"/>
  <c r="H2096" i="8"/>
  <c r="J2095" i="8"/>
  <c r="H2095" i="8"/>
  <c r="J2094" i="8"/>
  <c r="H2094" i="8"/>
  <c r="J2093" i="8"/>
  <c r="H2093" i="8"/>
  <c r="J2092" i="8"/>
  <c r="H2092" i="8"/>
  <c r="J2091" i="8"/>
  <c r="H2091" i="8"/>
  <c r="J2090" i="8"/>
  <c r="H2090" i="8"/>
  <c r="J2089" i="8"/>
  <c r="H2089" i="8"/>
  <c r="J2088" i="8"/>
  <c r="H2088" i="8"/>
  <c r="J2087" i="8"/>
  <c r="H2087" i="8"/>
  <c r="J2086" i="8"/>
  <c r="H2086" i="8"/>
  <c r="J2085" i="8"/>
  <c r="H2085" i="8"/>
  <c r="J2084" i="8"/>
  <c r="H2084" i="8"/>
  <c r="J2083" i="8"/>
  <c r="H2083" i="8"/>
  <c r="J2082" i="8"/>
  <c r="H2082" i="8"/>
  <c r="J2081" i="8"/>
  <c r="H2081" i="8"/>
  <c r="J2080" i="8"/>
  <c r="H2080" i="8"/>
  <c r="J2079" i="8"/>
  <c r="H2079" i="8"/>
  <c r="J2078" i="8"/>
  <c r="H2078" i="8"/>
  <c r="J2077" i="8"/>
  <c r="H2077" i="8"/>
  <c r="J2076" i="8"/>
  <c r="H2076" i="8"/>
  <c r="J2075" i="8"/>
  <c r="H2075" i="8"/>
  <c r="J2074" i="8"/>
  <c r="H2074" i="8"/>
  <c r="J2073" i="8"/>
  <c r="H2073" i="8"/>
  <c r="J2072" i="8"/>
  <c r="H2072" i="8"/>
  <c r="J2071" i="8"/>
  <c r="H2071" i="8"/>
  <c r="J2070" i="8"/>
  <c r="H2070" i="8"/>
  <c r="J2069" i="8"/>
  <c r="H2069" i="8"/>
  <c r="J2068" i="8"/>
  <c r="H2068" i="8"/>
  <c r="J2067" i="8"/>
  <c r="H2067" i="8"/>
  <c r="J2066" i="8"/>
  <c r="H2066" i="8"/>
  <c r="J2065" i="8"/>
  <c r="H2065" i="8"/>
  <c r="J2064" i="8"/>
  <c r="H2064" i="8"/>
  <c r="J2063" i="8"/>
  <c r="H2063" i="8"/>
  <c r="J2062" i="8"/>
  <c r="H2062" i="8"/>
  <c r="J2061" i="8"/>
  <c r="H2061" i="8"/>
  <c r="J2060" i="8"/>
  <c r="H2060" i="8"/>
  <c r="J2059" i="8"/>
  <c r="H2059" i="8"/>
  <c r="J2058" i="8"/>
  <c r="H2058" i="8"/>
  <c r="J2057" i="8"/>
  <c r="H2057" i="8"/>
  <c r="J2056" i="8"/>
  <c r="H2056" i="8"/>
  <c r="J2055" i="8"/>
  <c r="H2055" i="8"/>
  <c r="J2054" i="8"/>
  <c r="H2054" i="8"/>
  <c r="J2053" i="8"/>
  <c r="H2053" i="8"/>
  <c r="J2052" i="8"/>
  <c r="H2052" i="8"/>
  <c r="J2051" i="8"/>
  <c r="H2051" i="8"/>
  <c r="J2050" i="8"/>
  <c r="H2050" i="8"/>
  <c r="J2049" i="8"/>
  <c r="H2049" i="8"/>
  <c r="J2048" i="8"/>
  <c r="H2048" i="8"/>
  <c r="J2047" i="8"/>
  <c r="H2047" i="8"/>
  <c r="J2046" i="8"/>
  <c r="H2046" i="8"/>
  <c r="J2045" i="8"/>
  <c r="H2045" i="8"/>
  <c r="J2044" i="8"/>
  <c r="H2044" i="8"/>
  <c r="J2043" i="8"/>
  <c r="H2043" i="8"/>
  <c r="J2042" i="8"/>
  <c r="H2042" i="8"/>
  <c r="J2041" i="8"/>
  <c r="H2041" i="8"/>
  <c r="J2040" i="8"/>
  <c r="H2040" i="8"/>
  <c r="J2039" i="8"/>
  <c r="H2039" i="8"/>
  <c r="J2038" i="8"/>
  <c r="H2038" i="8"/>
  <c r="J2037" i="8"/>
  <c r="H2037" i="8"/>
  <c r="J2036" i="8"/>
  <c r="H2036" i="8"/>
  <c r="J2035" i="8"/>
  <c r="H2035" i="8"/>
  <c r="J2034" i="8"/>
  <c r="H2034" i="8"/>
  <c r="J2033" i="8"/>
  <c r="H2033" i="8"/>
  <c r="J2032" i="8"/>
  <c r="H2032" i="8"/>
  <c r="J2031" i="8"/>
  <c r="H2031" i="8"/>
  <c r="J2030" i="8"/>
  <c r="H2030" i="8"/>
  <c r="J2029" i="8"/>
  <c r="H2029" i="8"/>
  <c r="J2028" i="8"/>
  <c r="H2028" i="8"/>
  <c r="J2027" i="8"/>
  <c r="H2027" i="8"/>
  <c r="J2026" i="8"/>
  <c r="H2026" i="8"/>
  <c r="J2025" i="8"/>
  <c r="H2025" i="8"/>
  <c r="J2024" i="8"/>
  <c r="H2024" i="8"/>
  <c r="J2023" i="8"/>
  <c r="H2023" i="8"/>
  <c r="J2022" i="8"/>
  <c r="H2022" i="8"/>
  <c r="J2021" i="8"/>
  <c r="H2021" i="8"/>
  <c r="J2020" i="8"/>
  <c r="H2020" i="8"/>
  <c r="J2019" i="8"/>
  <c r="H2019" i="8"/>
  <c r="J2018" i="8"/>
  <c r="H2018" i="8"/>
  <c r="J2017" i="8"/>
  <c r="H2017" i="8"/>
  <c r="J2016" i="8"/>
  <c r="H2016" i="8"/>
  <c r="J2015" i="8"/>
  <c r="H2015" i="8"/>
  <c r="J2014" i="8"/>
  <c r="H2014" i="8"/>
  <c r="J2013" i="8"/>
  <c r="H2013" i="8"/>
  <c r="J2012" i="8"/>
  <c r="H2012" i="8"/>
  <c r="J2011" i="8"/>
  <c r="H2011" i="8"/>
  <c r="J2010" i="8"/>
  <c r="H2010" i="8"/>
  <c r="J2009" i="8"/>
  <c r="H2009" i="8"/>
  <c r="J2008" i="8"/>
  <c r="H2008" i="8"/>
  <c r="J2007" i="8"/>
  <c r="H2007" i="8"/>
  <c r="J2006" i="8"/>
  <c r="H2006" i="8"/>
  <c r="J2005" i="8"/>
  <c r="H2005" i="8"/>
  <c r="J2004" i="8"/>
  <c r="H2004" i="8"/>
  <c r="J2003" i="8"/>
  <c r="H2003" i="8"/>
  <c r="J2002" i="8"/>
  <c r="H2002" i="8"/>
  <c r="J2001" i="8"/>
  <c r="H2001" i="8"/>
  <c r="J2000" i="8"/>
  <c r="H2000" i="8"/>
  <c r="J1999" i="8"/>
  <c r="H1999" i="8"/>
  <c r="J1998" i="8"/>
  <c r="H1998" i="8"/>
  <c r="J1997" i="8"/>
  <c r="H1997" i="8"/>
  <c r="J1996" i="8"/>
  <c r="H1996" i="8"/>
  <c r="J1995" i="8"/>
  <c r="H1995" i="8"/>
  <c r="J1994" i="8"/>
  <c r="H1994" i="8"/>
  <c r="J1993" i="8"/>
  <c r="H1993" i="8"/>
  <c r="J1992" i="8"/>
  <c r="H1992" i="8"/>
  <c r="J1991" i="8"/>
  <c r="H1991" i="8"/>
  <c r="J1990" i="8"/>
  <c r="H1990" i="8"/>
  <c r="J1989" i="8"/>
  <c r="H1989" i="8"/>
  <c r="J1988" i="8"/>
  <c r="H1988" i="8"/>
  <c r="J1987" i="8"/>
  <c r="H1987" i="8"/>
  <c r="J1986" i="8"/>
  <c r="H1986" i="8"/>
  <c r="J1985" i="8"/>
  <c r="H1985" i="8"/>
  <c r="J1984" i="8"/>
  <c r="H1984" i="8"/>
  <c r="J1983" i="8"/>
  <c r="H1983" i="8"/>
  <c r="J1982" i="8"/>
  <c r="H1982" i="8"/>
  <c r="J1981" i="8"/>
  <c r="H1981" i="8"/>
  <c r="J1980" i="8"/>
  <c r="H1980" i="8"/>
  <c r="J1979" i="8"/>
  <c r="H1979" i="8"/>
  <c r="J1978" i="8"/>
  <c r="H1978" i="8"/>
  <c r="J1977" i="8"/>
  <c r="H1977" i="8"/>
  <c r="J1976" i="8"/>
  <c r="H1976" i="8"/>
  <c r="J1975" i="8"/>
  <c r="H1975" i="8"/>
  <c r="J1974" i="8"/>
  <c r="H1974" i="8"/>
  <c r="J1973" i="8"/>
  <c r="H1973" i="8"/>
  <c r="J1972" i="8"/>
  <c r="H1972" i="8"/>
  <c r="J1971" i="8"/>
  <c r="H1971" i="8"/>
  <c r="J1970" i="8"/>
  <c r="H1970" i="8"/>
  <c r="J1969" i="8"/>
  <c r="H1969" i="8"/>
  <c r="J1968" i="8"/>
  <c r="H1968" i="8"/>
  <c r="J1967" i="8"/>
  <c r="H1967" i="8"/>
  <c r="J1966" i="8"/>
  <c r="H1966" i="8"/>
  <c r="J1965" i="8"/>
  <c r="H1965" i="8"/>
  <c r="J1964" i="8"/>
  <c r="H1964" i="8"/>
  <c r="J1963" i="8"/>
  <c r="H1963" i="8"/>
  <c r="J1962" i="8"/>
  <c r="H1962" i="8"/>
  <c r="J1961" i="8"/>
  <c r="H1961" i="8"/>
  <c r="J1960" i="8"/>
  <c r="H1960" i="8"/>
  <c r="J1959" i="8"/>
  <c r="H1959" i="8"/>
  <c r="J1958" i="8"/>
  <c r="H1958" i="8"/>
  <c r="J1957" i="8"/>
  <c r="H1957" i="8"/>
  <c r="J1956" i="8"/>
  <c r="H1956" i="8"/>
  <c r="J1955" i="8"/>
  <c r="H1955" i="8"/>
  <c r="J1954" i="8"/>
  <c r="H1954" i="8"/>
  <c r="J1953" i="8"/>
  <c r="H1953" i="8"/>
  <c r="J1952" i="8"/>
  <c r="H1952" i="8"/>
  <c r="J1951" i="8"/>
  <c r="H1951" i="8"/>
  <c r="J1950" i="8"/>
  <c r="H1950" i="8"/>
  <c r="J1949" i="8"/>
  <c r="H1949" i="8"/>
  <c r="J1948" i="8"/>
  <c r="H1948" i="8"/>
  <c r="J1947" i="8"/>
  <c r="H1947" i="8"/>
  <c r="J1946" i="8"/>
  <c r="H1946" i="8"/>
  <c r="J1945" i="8"/>
  <c r="H1945" i="8"/>
  <c r="J1944" i="8"/>
  <c r="H1944" i="8"/>
  <c r="J1943" i="8"/>
  <c r="H1943" i="8"/>
  <c r="J1942" i="8"/>
  <c r="H1942" i="8"/>
  <c r="J1941" i="8"/>
  <c r="H1941" i="8"/>
  <c r="J1940" i="8"/>
  <c r="H1940" i="8"/>
  <c r="J1939" i="8"/>
  <c r="H1939" i="8"/>
  <c r="J1938" i="8"/>
  <c r="H1938" i="8"/>
  <c r="J1937" i="8"/>
  <c r="H1937" i="8"/>
  <c r="J1936" i="8"/>
  <c r="H1936" i="8"/>
  <c r="J1935" i="8"/>
  <c r="H1935" i="8"/>
  <c r="J1934" i="8"/>
  <c r="H1934" i="8"/>
  <c r="J1933" i="8"/>
  <c r="H1933" i="8"/>
  <c r="J1932" i="8"/>
  <c r="H1932" i="8"/>
  <c r="J1931" i="8"/>
  <c r="H1931" i="8"/>
  <c r="J1930" i="8"/>
  <c r="H1930" i="8"/>
  <c r="J1929" i="8"/>
  <c r="H1929" i="8"/>
  <c r="J1928" i="8"/>
  <c r="H1928" i="8"/>
  <c r="J1927" i="8"/>
  <c r="H1927" i="8"/>
  <c r="J1926" i="8"/>
  <c r="H1926" i="8"/>
  <c r="J1925" i="8"/>
  <c r="H1925" i="8"/>
  <c r="J1924" i="8"/>
  <c r="H1924" i="8"/>
  <c r="J1923" i="8"/>
  <c r="H1923" i="8"/>
  <c r="J1922" i="8"/>
  <c r="H1922" i="8"/>
  <c r="J1921" i="8"/>
  <c r="H1921" i="8"/>
  <c r="J1920" i="8"/>
  <c r="H1920" i="8"/>
  <c r="J1919" i="8"/>
  <c r="H1919" i="8"/>
  <c r="J1918" i="8"/>
  <c r="H1918" i="8"/>
  <c r="J1917" i="8"/>
  <c r="H1917" i="8"/>
  <c r="J1916" i="8"/>
  <c r="H1916" i="8"/>
  <c r="J1915" i="8"/>
  <c r="H1915" i="8"/>
  <c r="J1914" i="8"/>
  <c r="H1914" i="8"/>
  <c r="J1913" i="8"/>
  <c r="H1913" i="8"/>
  <c r="J1912" i="8"/>
  <c r="H1912" i="8"/>
  <c r="J1911" i="8"/>
  <c r="H1911" i="8"/>
  <c r="J1910" i="8"/>
  <c r="H1910" i="8"/>
  <c r="J1909" i="8"/>
  <c r="H1909" i="8"/>
  <c r="J1908" i="8"/>
  <c r="H1908" i="8"/>
  <c r="J1907" i="8"/>
  <c r="H1907" i="8"/>
  <c r="J1906" i="8"/>
  <c r="H1906" i="8"/>
  <c r="J1905" i="8"/>
  <c r="H1905" i="8"/>
  <c r="J1904" i="8"/>
  <c r="H1904" i="8"/>
  <c r="J1903" i="8"/>
  <c r="H1903" i="8"/>
  <c r="J1902" i="8"/>
  <c r="H1902" i="8"/>
  <c r="J1901" i="8"/>
  <c r="H1901" i="8"/>
  <c r="J1900" i="8"/>
  <c r="H1900" i="8"/>
  <c r="J1899" i="8"/>
  <c r="H1899" i="8"/>
  <c r="J1898" i="8"/>
  <c r="H1898" i="8"/>
  <c r="J1897" i="8"/>
  <c r="H1897" i="8"/>
  <c r="J1896" i="8"/>
  <c r="H1896" i="8"/>
  <c r="J1895" i="8"/>
  <c r="H1895" i="8"/>
  <c r="J1894" i="8"/>
  <c r="H1894" i="8"/>
  <c r="J1893" i="8"/>
  <c r="H1893" i="8"/>
  <c r="J1892" i="8"/>
  <c r="H1892" i="8"/>
  <c r="J1891" i="8"/>
  <c r="H1891" i="8"/>
  <c r="J1890" i="8"/>
  <c r="H1890" i="8"/>
  <c r="J1889" i="8"/>
  <c r="H1889" i="8"/>
  <c r="J1888" i="8"/>
  <c r="H1888" i="8"/>
  <c r="J1887" i="8"/>
  <c r="H1887" i="8"/>
  <c r="J1886" i="8"/>
  <c r="H1886" i="8"/>
  <c r="J1885" i="8"/>
  <c r="H1885" i="8"/>
  <c r="J1884" i="8"/>
  <c r="H1884" i="8"/>
  <c r="J1883" i="8"/>
  <c r="H1883" i="8"/>
  <c r="J1882" i="8"/>
  <c r="H1882" i="8"/>
  <c r="J1881" i="8"/>
  <c r="H1881" i="8"/>
  <c r="J1880" i="8"/>
  <c r="H1880" i="8"/>
  <c r="J1879" i="8"/>
  <c r="H1879" i="8"/>
  <c r="J1878" i="8"/>
  <c r="H1878" i="8"/>
  <c r="J1877" i="8"/>
  <c r="H1877" i="8"/>
  <c r="J1876" i="8"/>
  <c r="H1876" i="8"/>
  <c r="J1875" i="8"/>
  <c r="H1875" i="8"/>
  <c r="J1874" i="8"/>
  <c r="H1874" i="8"/>
  <c r="J1873" i="8"/>
  <c r="H1873" i="8"/>
  <c r="J1872" i="8"/>
  <c r="H1872" i="8"/>
  <c r="J1871" i="8"/>
  <c r="H1871" i="8"/>
  <c r="J1870" i="8"/>
  <c r="H1870" i="8"/>
  <c r="J1869" i="8"/>
  <c r="H1869" i="8"/>
  <c r="J1868" i="8"/>
  <c r="H1868" i="8"/>
  <c r="J1867" i="8"/>
  <c r="H1867" i="8"/>
  <c r="J1866" i="8"/>
  <c r="H1866" i="8"/>
  <c r="J1865" i="8"/>
  <c r="H1865" i="8"/>
  <c r="J1864" i="8"/>
  <c r="H1864" i="8"/>
  <c r="J1863" i="8"/>
  <c r="H1863" i="8"/>
  <c r="J1862" i="8"/>
  <c r="H1862" i="8"/>
  <c r="J1861" i="8"/>
  <c r="H1861" i="8"/>
  <c r="J1860" i="8"/>
  <c r="H1860" i="8"/>
  <c r="J1859" i="8"/>
  <c r="H1859" i="8"/>
  <c r="J1858" i="8"/>
  <c r="H1858" i="8"/>
  <c r="J1857" i="8"/>
  <c r="H1857" i="8"/>
  <c r="J1856" i="8"/>
  <c r="H1856" i="8"/>
  <c r="J1855" i="8"/>
  <c r="H1855" i="8"/>
  <c r="J1854" i="8"/>
  <c r="H1854" i="8"/>
  <c r="J1853" i="8"/>
  <c r="H1853" i="8"/>
  <c r="J1852" i="8"/>
  <c r="H1852" i="8"/>
  <c r="J1851" i="8"/>
  <c r="H1851" i="8"/>
  <c r="J1850" i="8"/>
  <c r="H1850" i="8"/>
  <c r="J1849" i="8"/>
  <c r="H1849" i="8"/>
  <c r="J1848" i="8"/>
  <c r="H1848" i="8"/>
  <c r="J1847" i="8"/>
  <c r="H1847" i="8"/>
  <c r="J1846" i="8"/>
  <c r="H1846" i="8"/>
  <c r="J1845" i="8"/>
  <c r="H1845" i="8"/>
  <c r="J1844" i="8"/>
  <c r="H1844" i="8"/>
  <c r="J1843" i="8"/>
  <c r="H1843" i="8"/>
  <c r="J1842" i="8"/>
  <c r="H1842" i="8"/>
  <c r="J1841" i="8"/>
  <c r="H1841" i="8"/>
  <c r="J1840" i="8"/>
  <c r="H1840" i="8"/>
  <c r="J1839" i="8"/>
  <c r="H1839" i="8"/>
  <c r="J1838" i="8"/>
  <c r="H1838" i="8"/>
  <c r="J1837" i="8"/>
  <c r="H1837" i="8"/>
  <c r="J1836" i="8"/>
  <c r="H1836" i="8"/>
  <c r="J1835" i="8"/>
  <c r="H1835" i="8"/>
  <c r="J1834" i="8"/>
  <c r="H1834" i="8"/>
  <c r="J1833" i="8"/>
  <c r="H1833" i="8"/>
  <c r="J1832" i="8"/>
  <c r="H1832" i="8"/>
  <c r="J1831" i="8"/>
  <c r="H1831" i="8"/>
  <c r="J1830" i="8"/>
  <c r="H1830" i="8"/>
  <c r="J1829" i="8"/>
  <c r="H1829" i="8"/>
  <c r="J1828" i="8"/>
  <c r="H1828" i="8"/>
  <c r="J1827" i="8"/>
  <c r="H1827" i="8"/>
  <c r="J1826" i="8"/>
  <c r="H1826" i="8"/>
  <c r="J1825" i="8"/>
  <c r="H1825" i="8"/>
  <c r="J1824" i="8"/>
  <c r="H1824" i="8"/>
  <c r="J1823" i="8"/>
  <c r="H1823" i="8"/>
  <c r="J1822" i="8"/>
  <c r="H1822" i="8"/>
  <c r="J1821" i="8"/>
  <c r="H1821" i="8"/>
  <c r="J1820" i="8"/>
  <c r="H1820" i="8"/>
  <c r="J1819" i="8"/>
  <c r="H1819" i="8"/>
  <c r="J1818" i="8"/>
  <c r="H1818" i="8"/>
  <c r="J1817" i="8"/>
  <c r="H1817" i="8"/>
  <c r="J1816" i="8"/>
  <c r="H1816" i="8"/>
  <c r="J1815" i="8"/>
  <c r="H1815" i="8"/>
  <c r="J1814" i="8"/>
  <c r="H1814" i="8"/>
  <c r="J1813" i="8"/>
  <c r="H1813" i="8"/>
  <c r="J1812" i="8"/>
  <c r="H1812" i="8"/>
  <c r="J1811" i="8"/>
  <c r="H1811" i="8"/>
  <c r="J1810" i="8"/>
  <c r="H1810" i="8"/>
  <c r="J1809" i="8"/>
  <c r="H1809" i="8"/>
  <c r="J1808" i="8"/>
  <c r="H1808" i="8"/>
  <c r="J1807" i="8"/>
  <c r="H1807" i="8"/>
  <c r="J1806" i="8"/>
  <c r="H1806" i="8"/>
  <c r="J1805" i="8"/>
  <c r="H1805" i="8"/>
  <c r="J1804" i="8"/>
  <c r="H1804" i="8"/>
  <c r="J1803" i="8"/>
  <c r="H1803" i="8"/>
  <c r="J1802" i="8"/>
  <c r="H1802" i="8"/>
  <c r="J1801" i="8"/>
  <c r="H1801" i="8"/>
  <c r="J1800" i="8"/>
  <c r="H1800" i="8"/>
  <c r="J1799" i="8"/>
  <c r="H1799" i="8"/>
  <c r="J1798" i="8"/>
  <c r="H1798" i="8"/>
  <c r="J1797" i="8"/>
  <c r="H1797" i="8"/>
  <c r="J1796" i="8"/>
  <c r="H1796" i="8"/>
  <c r="J1795" i="8"/>
  <c r="H1795" i="8"/>
  <c r="J1794" i="8"/>
  <c r="H1794" i="8"/>
  <c r="J1793" i="8"/>
  <c r="H1793" i="8"/>
  <c r="J1792" i="8"/>
  <c r="H1792" i="8"/>
  <c r="J1791" i="8"/>
  <c r="H1791" i="8"/>
  <c r="J1790" i="8"/>
  <c r="H1790" i="8"/>
  <c r="J1789" i="8"/>
  <c r="H1789" i="8"/>
  <c r="J1788" i="8"/>
  <c r="H1788" i="8"/>
  <c r="J1787" i="8"/>
  <c r="H1787" i="8"/>
  <c r="J1786" i="8"/>
  <c r="H1786" i="8"/>
  <c r="J1785" i="8"/>
  <c r="H1785" i="8"/>
  <c r="J1784" i="8"/>
  <c r="H1784" i="8"/>
  <c r="J1783" i="8"/>
  <c r="H1783" i="8"/>
  <c r="J1782" i="8"/>
  <c r="H1782" i="8"/>
  <c r="J1781" i="8"/>
  <c r="H1781" i="8"/>
  <c r="J1780" i="8"/>
  <c r="H1780" i="8"/>
  <c r="J1779" i="8"/>
  <c r="H1779" i="8"/>
  <c r="J1778" i="8"/>
  <c r="H1778" i="8"/>
  <c r="J1777" i="8"/>
  <c r="H1777" i="8"/>
  <c r="J1776" i="8"/>
  <c r="H1776" i="8"/>
  <c r="J1775" i="8"/>
  <c r="H1775" i="8"/>
  <c r="J1774" i="8"/>
  <c r="H1774" i="8"/>
  <c r="J1773" i="8"/>
  <c r="H1773" i="8"/>
  <c r="J1772" i="8"/>
  <c r="H1772" i="8"/>
  <c r="J1771" i="8"/>
  <c r="H1771" i="8"/>
  <c r="J1770" i="8"/>
  <c r="H1770" i="8"/>
  <c r="J1769" i="8"/>
  <c r="H1769" i="8"/>
  <c r="J1768" i="8"/>
  <c r="H1768" i="8"/>
  <c r="J1767" i="8"/>
  <c r="H1767" i="8"/>
  <c r="J1766" i="8"/>
  <c r="H1766" i="8"/>
  <c r="J1765" i="8"/>
  <c r="H1765" i="8"/>
  <c r="J1764" i="8"/>
  <c r="H1764" i="8"/>
  <c r="J1763" i="8"/>
  <c r="H1763" i="8"/>
  <c r="J1762" i="8"/>
  <c r="H1762" i="8"/>
  <c r="J1761" i="8"/>
  <c r="H1761" i="8"/>
  <c r="J1760" i="8"/>
  <c r="H1760" i="8"/>
  <c r="J1759" i="8"/>
  <c r="H1759" i="8"/>
  <c r="J1758" i="8"/>
  <c r="H1758" i="8"/>
  <c r="J1757" i="8"/>
  <c r="H1757" i="8"/>
  <c r="J1756" i="8"/>
  <c r="H1756" i="8"/>
  <c r="J1755" i="8"/>
  <c r="H1755" i="8"/>
  <c r="J1754" i="8"/>
  <c r="H1754" i="8"/>
  <c r="J1753" i="8"/>
  <c r="H1753" i="8"/>
  <c r="J1752" i="8"/>
  <c r="H1752" i="8"/>
  <c r="J1751" i="8"/>
  <c r="H1751" i="8"/>
  <c r="J1750" i="8"/>
  <c r="H1750" i="8"/>
  <c r="J1749" i="8"/>
  <c r="H1749" i="8"/>
  <c r="J1748" i="8"/>
  <c r="H1748" i="8"/>
  <c r="J1747" i="8"/>
  <c r="H1747" i="8"/>
  <c r="J1746" i="8"/>
  <c r="H1746" i="8"/>
  <c r="J1745" i="8"/>
  <c r="H1745" i="8"/>
  <c r="J1744" i="8"/>
  <c r="H1744" i="8"/>
  <c r="J1743" i="8"/>
  <c r="H1743" i="8"/>
  <c r="J1742" i="8"/>
  <c r="H1742" i="8"/>
  <c r="J1741" i="8"/>
  <c r="H1741" i="8"/>
  <c r="J1740" i="8"/>
  <c r="H1740" i="8"/>
  <c r="J1739" i="8"/>
  <c r="H1739" i="8"/>
  <c r="J1738" i="8"/>
  <c r="H1738" i="8"/>
  <c r="J1737" i="8"/>
  <c r="H1737" i="8"/>
  <c r="J1736" i="8"/>
  <c r="H1736" i="8"/>
  <c r="J1735" i="8"/>
  <c r="H1735" i="8"/>
  <c r="J1734" i="8"/>
  <c r="H1734" i="8"/>
  <c r="J1733" i="8"/>
  <c r="H1733" i="8"/>
  <c r="J1732" i="8"/>
  <c r="H1732" i="8"/>
  <c r="J1731" i="8"/>
  <c r="H1731" i="8"/>
  <c r="J1730" i="8"/>
  <c r="H1730" i="8"/>
  <c r="J1729" i="8"/>
  <c r="H1729" i="8"/>
  <c r="J1728" i="8"/>
  <c r="H1728" i="8"/>
  <c r="J1727" i="8"/>
  <c r="H1727" i="8"/>
  <c r="J1726" i="8"/>
  <c r="H1726" i="8"/>
  <c r="J1725" i="8"/>
  <c r="H1725" i="8"/>
  <c r="J1724" i="8"/>
  <c r="H1724" i="8"/>
  <c r="J1723" i="8"/>
  <c r="H1723" i="8"/>
  <c r="J1722" i="8"/>
  <c r="H1722" i="8"/>
  <c r="J1721" i="8"/>
  <c r="H1721" i="8"/>
  <c r="J1720" i="8"/>
  <c r="H1720" i="8"/>
  <c r="J1719" i="8"/>
  <c r="H1719" i="8"/>
  <c r="J1718" i="8"/>
  <c r="H1718" i="8"/>
  <c r="J1717" i="8"/>
  <c r="H1717" i="8"/>
  <c r="J1716" i="8"/>
  <c r="H1716" i="8"/>
  <c r="J1715" i="8"/>
  <c r="H1715" i="8"/>
  <c r="J1714" i="8"/>
  <c r="H1714" i="8"/>
  <c r="J1713" i="8"/>
  <c r="H1713" i="8"/>
  <c r="J1712" i="8"/>
  <c r="H1712" i="8"/>
  <c r="J1711" i="8"/>
  <c r="H1711" i="8"/>
  <c r="J1710" i="8"/>
  <c r="H1710" i="8"/>
  <c r="J1709" i="8"/>
  <c r="H1709" i="8"/>
  <c r="J1708" i="8"/>
  <c r="H1708" i="8"/>
  <c r="J1707" i="8"/>
  <c r="H1707" i="8"/>
  <c r="J1706" i="8"/>
  <c r="H1706" i="8"/>
  <c r="J1705" i="8"/>
  <c r="H1705" i="8"/>
  <c r="J1704" i="8"/>
  <c r="H1704" i="8"/>
  <c r="J1703" i="8"/>
  <c r="H1703" i="8"/>
  <c r="J1702" i="8"/>
  <c r="H1702" i="8"/>
  <c r="J1701" i="8"/>
  <c r="H1701" i="8"/>
  <c r="J1700" i="8"/>
  <c r="H1700" i="8"/>
  <c r="J1699" i="8"/>
  <c r="H1699" i="8"/>
  <c r="J1698" i="8"/>
  <c r="H1698" i="8"/>
  <c r="J1697" i="8"/>
  <c r="H1697" i="8"/>
  <c r="J1696" i="8"/>
  <c r="H1696" i="8"/>
  <c r="J1695" i="8"/>
  <c r="H1695" i="8"/>
  <c r="J1694" i="8"/>
  <c r="H1694" i="8"/>
  <c r="J1693" i="8"/>
  <c r="H1693" i="8"/>
  <c r="J1692" i="8"/>
  <c r="H1692" i="8"/>
  <c r="J1691" i="8"/>
  <c r="H1691" i="8"/>
  <c r="J1690" i="8"/>
  <c r="H1690" i="8"/>
  <c r="J1689" i="8"/>
  <c r="H1689" i="8"/>
  <c r="J1688" i="8"/>
  <c r="H1688" i="8"/>
  <c r="J1687" i="8"/>
  <c r="H1687" i="8"/>
  <c r="J1686" i="8"/>
  <c r="H1686" i="8"/>
  <c r="J1685" i="8"/>
  <c r="H1685" i="8"/>
  <c r="J1684" i="8"/>
  <c r="H1684" i="8"/>
  <c r="J1683" i="8"/>
  <c r="H1683" i="8"/>
  <c r="J1682" i="8"/>
  <c r="H1682" i="8"/>
  <c r="J1681" i="8"/>
  <c r="H1681" i="8"/>
  <c r="J1680" i="8"/>
  <c r="H1680" i="8"/>
  <c r="J1679" i="8"/>
  <c r="H1679" i="8"/>
  <c r="J1678" i="8"/>
  <c r="H1678" i="8"/>
  <c r="J1677" i="8"/>
  <c r="H1677" i="8"/>
  <c r="J1676" i="8"/>
  <c r="H1676" i="8"/>
  <c r="J1675" i="8"/>
  <c r="H1675" i="8"/>
  <c r="J1674" i="8"/>
  <c r="H1674" i="8"/>
  <c r="J1673" i="8"/>
  <c r="H1673" i="8"/>
  <c r="J1672" i="8"/>
  <c r="H1672" i="8"/>
  <c r="J1671" i="8"/>
  <c r="H1671" i="8"/>
  <c r="J1670" i="8"/>
  <c r="H1670" i="8"/>
  <c r="J1669" i="8"/>
  <c r="H1669" i="8"/>
  <c r="J1668" i="8"/>
  <c r="H1668" i="8"/>
  <c r="J1667" i="8"/>
  <c r="H1667" i="8"/>
  <c r="J1666" i="8"/>
  <c r="H1666" i="8"/>
  <c r="J1665" i="8"/>
  <c r="H1665" i="8"/>
  <c r="J1664" i="8"/>
  <c r="H1664" i="8"/>
  <c r="J1663" i="8"/>
  <c r="H1663" i="8"/>
  <c r="J1662" i="8"/>
  <c r="H1662" i="8"/>
  <c r="J1661" i="8"/>
  <c r="H1661" i="8"/>
  <c r="J1660" i="8"/>
  <c r="H1660" i="8"/>
  <c r="J1659" i="8"/>
  <c r="H1659" i="8"/>
  <c r="J1658" i="8"/>
  <c r="H1658" i="8"/>
  <c r="J1657" i="8"/>
  <c r="H1657" i="8"/>
  <c r="J1656" i="8"/>
  <c r="H1656" i="8"/>
  <c r="J1655" i="8"/>
  <c r="H1655" i="8"/>
  <c r="J1654" i="8"/>
  <c r="H1654" i="8"/>
  <c r="J1653" i="8"/>
  <c r="H1653" i="8"/>
  <c r="J1652" i="8"/>
  <c r="H1652" i="8"/>
  <c r="J1651" i="8"/>
  <c r="H1651" i="8"/>
  <c r="J1650" i="8"/>
  <c r="H1650" i="8"/>
  <c r="J1649" i="8"/>
  <c r="H1649" i="8"/>
  <c r="J1648" i="8"/>
  <c r="H1648" i="8"/>
  <c r="J1647" i="8"/>
  <c r="H1647" i="8"/>
  <c r="J1646" i="8"/>
  <c r="H1646" i="8"/>
  <c r="J1645" i="8"/>
  <c r="H1645" i="8"/>
  <c r="J1644" i="8"/>
  <c r="H1644" i="8"/>
  <c r="J1643" i="8"/>
  <c r="H1643" i="8"/>
  <c r="J1642" i="8"/>
  <c r="H1642" i="8"/>
  <c r="J1641" i="8"/>
  <c r="H1641" i="8"/>
  <c r="J1640" i="8"/>
  <c r="H1640" i="8"/>
  <c r="J1639" i="8"/>
  <c r="H1639" i="8"/>
  <c r="J1638" i="8"/>
  <c r="H1638" i="8"/>
  <c r="J1637" i="8"/>
  <c r="H1637" i="8"/>
  <c r="J1636" i="8"/>
  <c r="H1636" i="8"/>
  <c r="J1635" i="8"/>
  <c r="H1635" i="8"/>
  <c r="J1634" i="8"/>
  <c r="H1634" i="8"/>
  <c r="J1633" i="8"/>
  <c r="H1633" i="8"/>
  <c r="J1632" i="8"/>
  <c r="H1632" i="8"/>
  <c r="J1631" i="8"/>
  <c r="H1631" i="8"/>
  <c r="J1630" i="8"/>
  <c r="H1630" i="8"/>
  <c r="J1629" i="8"/>
  <c r="H1629" i="8"/>
  <c r="J1628" i="8"/>
  <c r="H1628" i="8"/>
  <c r="J1627" i="8"/>
  <c r="H1627" i="8"/>
  <c r="J1626" i="8"/>
  <c r="H1626" i="8"/>
  <c r="J1625" i="8"/>
  <c r="H1625" i="8"/>
  <c r="J1624" i="8"/>
  <c r="H1624" i="8"/>
  <c r="J1623" i="8"/>
  <c r="H1623" i="8"/>
  <c r="J1622" i="8"/>
  <c r="H1622" i="8"/>
  <c r="J1621" i="8"/>
  <c r="H1621" i="8"/>
  <c r="J1620" i="8"/>
  <c r="H1620" i="8"/>
  <c r="J1619" i="8"/>
  <c r="H1619" i="8"/>
  <c r="J1618" i="8"/>
  <c r="H1618" i="8"/>
  <c r="J1617" i="8"/>
  <c r="H1617" i="8"/>
  <c r="J1616" i="8"/>
  <c r="H1616" i="8"/>
  <c r="J1615" i="8"/>
  <c r="H1615" i="8"/>
  <c r="J1614" i="8"/>
  <c r="H1614" i="8"/>
  <c r="J1613" i="8"/>
  <c r="H1613" i="8"/>
  <c r="J1612" i="8"/>
  <c r="H1612" i="8"/>
  <c r="J1611" i="8"/>
  <c r="H1611" i="8"/>
  <c r="J1610" i="8"/>
  <c r="H1610" i="8"/>
  <c r="J1609" i="8"/>
  <c r="H1609" i="8"/>
  <c r="J1608" i="8"/>
  <c r="H1608" i="8"/>
  <c r="J1607" i="8"/>
  <c r="H1607" i="8"/>
  <c r="J1606" i="8"/>
  <c r="H1606" i="8"/>
  <c r="J1605" i="8"/>
  <c r="H1605" i="8"/>
  <c r="J1604" i="8"/>
  <c r="H1604" i="8"/>
  <c r="J1603" i="8"/>
  <c r="H1603" i="8"/>
  <c r="J1602" i="8"/>
  <c r="H1602" i="8"/>
  <c r="J1601" i="8"/>
  <c r="H1601" i="8"/>
  <c r="J1600" i="8"/>
  <c r="H1600" i="8"/>
  <c r="J1599" i="8"/>
  <c r="H1599" i="8"/>
  <c r="J1598" i="8"/>
  <c r="H1598" i="8"/>
  <c r="J1597" i="8"/>
  <c r="H1597" i="8"/>
  <c r="J1596" i="8"/>
  <c r="H1596" i="8"/>
  <c r="J1595" i="8"/>
  <c r="H1595" i="8"/>
  <c r="J1594" i="8"/>
  <c r="H1594" i="8"/>
  <c r="J1593" i="8"/>
  <c r="H1593" i="8"/>
  <c r="J1592" i="8"/>
  <c r="H1592" i="8"/>
  <c r="J1591" i="8"/>
  <c r="H1591" i="8"/>
  <c r="J1590" i="8"/>
  <c r="H1590" i="8"/>
  <c r="J1589" i="8"/>
  <c r="H1589" i="8"/>
  <c r="J1588" i="8"/>
  <c r="H1588" i="8"/>
  <c r="J1587" i="8"/>
  <c r="H1587" i="8"/>
  <c r="J1586" i="8"/>
  <c r="H1586" i="8"/>
  <c r="J1585" i="8"/>
  <c r="H1585" i="8"/>
  <c r="J1584" i="8"/>
  <c r="H1584" i="8"/>
  <c r="J1583" i="8"/>
  <c r="H1583" i="8"/>
  <c r="J1582" i="8"/>
  <c r="H1582" i="8"/>
  <c r="J1581" i="8"/>
  <c r="H1581" i="8"/>
  <c r="J1580" i="8"/>
  <c r="H1580" i="8"/>
  <c r="J1579" i="8"/>
  <c r="H1579" i="8"/>
  <c r="J1578" i="8"/>
  <c r="H1578" i="8"/>
  <c r="J1577" i="8"/>
  <c r="H1577" i="8"/>
  <c r="J1576" i="8"/>
  <c r="H1576" i="8"/>
  <c r="J1575" i="8"/>
  <c r="H1575" i="8"/>
  <c r="J1574" i="8"/>
  <c r="H1574" i="8"/>
  <c r="J1573" i="8"/>
  <c r="H1573" i="8"/>
  <c r="J1572" i="8"/>
  <c r="H1572" i="8"/>
  <c r="J1571" i="8"/>
  <c r="H1571" i="8"/>
  <c r="J1570" i="8"/>
  <c r="H1570" i="8"/>
  <c r="J1569" i="8"/>
  <c r="H1569" i="8"/>
  <c r="J1568" i="8"/>
  <c r="H1568" i="8"/>
  <c r="J1567" i="8"/>
  <c r="H1567" i="8"/>
  <c r="J1566" i="8"/>
  <c r="H1566" i="8"/>
  <c r="J1565" i="8"/>
  <c r="H1565" i="8"/>
  <c r="J1564" i="8"/>
  <c r="H1564" i="8"/>
  <c r="J1563" i="8"/>
  <c r="H1563" i="8"/>
  <c r="J1562" i="8"/>
  <c r="H1562" i="8"/>
  <c r="J1561" i="8"/>
  <c r="H1561" i="8"/>
  <c r="J1560" i="8"/>
  <c r="H1560" i="8"/>
  <c r="J1559" i="8"/>
  <c r="H1559" i="8"/>
  <c r="J1558" i="8"/>
  <c r="H1558" i="8"/>
  <c r="J1557" i="8"/>
  <c r="H1557" i="8"/>
  <c r="J1556" i="8"/>
  <c r="H1556" i="8"/>
  <c r="J1555" i="8"/>
  <c r="H1555" i="8"/>
  <c r="J1554" i="8"/>
  <c r="H1554" i="8"/>
  <c r="J1553" i="8"/>
  <c r="H1553" i="8"/>
  <c r="J1552" i="8"/>
  <c r="H1552" i="8"/>
  <c r="J1551" i="8"/>
  <c r="H1551" i="8"/>
  <c r="J1550" i="8"/>
  <c r="H1550" i="8"/>
  <c r="J1549" i="8"/>
  <c r="H1549" i="8"/>
  <c r="J1548" i="8"/>
  <c r="H1548" i="8"/>
  <c r="J1547" i="8"/>
  <c r="H1547" i="8"/>
  <c r="J1546" i="8"/>
  <c r="H1546" i="8"/>
  <c r="J1545" i="8"/>
  <c r="H1545" i="8"/>
  <c r="J1544" i="8"/>
  <c r="H1544" i="8"/>
  <c r="J1543" i="8"/>
  <c r="H1543" i="8"/>
  <c r="J1542" i="8"/>
  <c r="H1542" i="8"/>
  <c r="J1541" i="8"/>
  <c r="H1541" i="8"/>
  <c r="J1540" i="8"/>
  <c r="H1540" i="8"/>
  <c r="J1539" i="8"/>
  <c r="H1539" i="8"/>
  <c r="J1538" i="8"/>
  <c r="H1538" i="8"/>
  <c r="J1537" i="8"/>
  <c r="H1537" i="8"/>
  <c r="J1536" i="8"/>
  <c r="H1536" i="8"/>
  <c r="J1535" i="8"/>
  <c r="H1535" i="8"/>
  <c r="J1534" i="8"/>
  <c r="H1534" i="8"/>
  <c r="J1533" i="8"/>
  <c r="H1533" i="8"/>
  <c r="J1532" i="8"/>
  <c r="H1532" i="8"/>
  <c r="J1531" i="8"/>
  <c r="H1531" i="8"/>
  <c r="J1530" i="8"/>
  <c r="H1530" i="8"/>
  <c r="J1529" i="8"/>
  <c r="H1529" i="8"/>
  <c r="J1528" i="8"/>
  <c r="H1528" i="8"/>
  <c r="J1527" i="8"/>
  <c r="H1527" i="8"/>
  <c r="J1526" i="8"/>
  <c r="H1526" i="8"/>
  <c r="J1525" i="8"/>
  <c r="H1525" i="8"/>
  <c r="J1524" i="8"/>
  <c r="H1524" i="8"/>
  <c r="J1523" i="8"/>
  <c r="H1523" i="8"/>
  <c r="J1522" i="8"/>
  <c r="H1522" i="8"/>
  <c r="J1521" i="8"/>
  <c r="H1521" i="8"/>
  <c r="J1520" i="8"/>
  <c r="H1520" i="8"/>
  <c r="J1519" i="8"/>
  <c r="H1519" i="8"/>
  <c r="J1518" i="8"/>
  <c r="H1518" i="8"/>
  <c r="J1517" i="8"/>
  <c r="H1517" i="8"/>
  <c r="J1516" i="8"/>
  <c r="H1516" i="8"/>
  <c r="J1515" i="8"/>
  <c r="H1515" i="8"/>
  <c r="J1514" i="8"/>
  <c r="H1514" i="8"/>
  <c r="J1513" i="8"/>
  <c r="H1513" i="8"/>
  <c r="J1512" i="8"/>
  <c r="H1512" i="8"/>
  <c r="J1511" i="8"/>
  <c r="H1511" i="8"/>
  <c r="J1510" i="8"/>
  <c r="H1510" i="8"/>
  <c r="J1509" i="8"/>
  <c r="H1509" i="8"/>
  <c r="J1508" i="8"/>
  <c r="H1508" i="8"/>
  <c r="J1507" i="8"/>
  <c r="H1507" i="8"/>
  <c r="J1506" i="8"/>
  <c r="H1506" i="8"/>
  <c r="J1505" i="8"/>
  <c r="H1505" i="8"/>
  <c r="J1504" i="8"/>
  <c r="H1504" i="8"/>
  <c r="J1503" i="8"/>
  <c r="H1503" i="8"/>
  <c r="J1502" i="8"/>
  <c r="H1502" i="8"/>
  <c r="J1501" i="8"/>
  <c r="H1501" i="8"/>
  <c r="J1500" i="8"/>
  <c r="H1500" i="8"/>
  <c r="J1499" i="8"/>
  <c r="H1499" i="8"/>
  <c r="J1498" i="8"/>
  <c r="H1498" i="8"/>
  <c r="J1497" i="8"/>
  <c r="H1497" i="8"/>
  <c r="J1496" i="8"/>
  <c r="H1496" i="8"/>
  <c r="J1495" i="8"/>
  <c r="H1495" i="8"/>
  <c r="J1494" i="8"/>
  <c r="H1494" i="8"/>
  <c r="J1493" i="8"/>
  <c r="H1493" i="8"/>
  <c r="J1492" i="8"/>
  <c r="H1492" i="8"/>
  <c r="J1491" i="8"/>
  <c r="H1491" i="8"/>
  <c r="J1490" i="8"/>
  <c r="H1490" i="8"/>
  <c r="J1489" i="8"/>
  <c r="H1489" i="8"/>
  <c r="J1488" i="8"/>
  <c r="H1488" i="8"/>
  <c r="J1487" i="8"/>
  <c r="H1487" i="8"/>
  <c r="J1486" i="8"/>
  <c r="H1486" i="8"/>
  <c r="J1485" i="8"/>
  <c r="H1485" i="8"/>
  <c r="J1484" i="8"/>
  <c r="H1484" i="8"/>
  <c r="J1483" i="8"/>
  <c r="H1483" i="8"/>
  <c r="J1482" i="8"/>
  <c r="H1482" i="8"/>
  <c r="J1481" i="8"/>
  <c r="H1481" i="8"/>
  <c r="J1480" i="8"/>
  <c r="H1480" i="8"/>
  <c r="J1479" i="8"/>
  <c r="H1479" i="8"/>
  <c r="J1478" i="8"/>
  <c r="H1478" i="8"/>
  <c r="J1477" i="8"/>
  <c r="H1477" i="8"/>
  <c r="J1476" i="8"/>
  <c r="H1476" i="8"/>
  <c r="J1475" i="8"/>
  <c r="H1475" i="8"/>
  <c r="J1474" i="8"/>
  <c r="H1474" i="8"/>
  <c r="J1473" i="8"/>
  <c r="H1473" i="8"/>
  <c r="J1472" i="8"/>
  <c r="H1472" i="8"/>
  <c r="J1471" i="8"/>
  <c r="H1471" i="8"/>
  <c r="J1470" i="8"/>
  <c r="H1470" i="8"/>
  <c r="J1469" i="8"/>
  <c r="H1469" i="8"/>
  <c r="J1468" i="8"/>
  <c r="H1468" i="8"/>
  <c r="J1467" i="8"/>
  <c r="H1467" i="8"/>
  <c r="J1466" i="8"/>
  <c r="H1466" i="8"/>
  <c r="J1465" i="8"/>
  <c r="H1465" i="8"/>
  <c r="J1464" i="8"/>
  <c r="H1464" i="8"/>
  <c r="J1463" i="8"/>
  <c r="H1463" i="8"/>
  <c r="J1462" i="8"/>
  <c r="H1462" i="8"/>
  <c r="J1461" i="8"/>
  <c r="H1461" i="8"/>
  <c r="J1460" i="8"/>
  <c r="H1460" i="8"/>
  <c r="J1459" i="8"/>
  <c r="H1459" i="8"/>
  <c r="J1458" i="8"/>
  <c r="H1458" i="8"/>
  <c r="J1457" i="8"/>
  <c r="H1457" i="8"/>
  <c r="J1456" i="8"/>
  <c r="H1456" i="8"/>
  <c r="J1455" i="8"/>
  <c r="H1455" i="8"/>
  <c r="J1454" i="8"/>
  <c r="H1454" i="8"/>
  <c r="J1453" i="8"/>
  <c r="H1453" i="8"/>
  <c r="J1452" i="8"/>
  <c r="H1452" i="8"/>
  <c r="J1451" i="8"/>
  <c r="H1451" i="8"/>
  <c r="J1450" i="8"/>
  <c r="H1450" i="8"/>
  <c r="J1449" i="8"/>
  <c r="H1449" i="8"/>
  <c r="J1448" i="8"/>
  <c r="H1448" i="8"/>
  <c r="J1447" i="8"/>
  <c r="H1447" i="8"/>
  <c r="J1446" i="8"/>
  <c r="H1446" i="8"/>
  <c r="J1445" i="8"/>
  <c r="H1445" i="8"/>
  <c r="J1444" i="8"/>
  <c r="H1444" i="8"/>
  <c r="J1443" i="8"/>
  <c r="H1443" i="8"/>
  <c r="J1442" i="8"/>
  <c r="H1442" i="8"/>
  <c r="J1441" i="8"/>
  <c r="H1441" i="8"/>
  <c r="J1440" i="8"/>
  <c r="H1440" i="8"/>
  <c r="J1439" i="8"/>
  <c r="H1439" i="8"/>
  <c r="J1438" i="8"/>
  <c r="H1438" i="8"/>
  <c r="J1437" i="8"/>
  <c r="H1437" i="8"/>
  <c r="J1436" i="8"/>
  <c r="H1436" i="8"/>
  <c r="J1435" i="8"/>
  <c r="H1435" i="8"/>
  <c r="J1434" i="8"/>
  <c r="H1434" i="8"/>
  <c r="J1433" i="8"/>
  <c r="H1433" i="8"/>
  <c r="J1432" i="8"/>
  <c r="H1432" i="8"/>
  <c r="J1431" i="8"/>
  <c r="H1431" i="8"/>
  <c r="J1430" i="8"/>
  <c r="H1430" i="8"/>
  <c r="J1429" i="8"/>
  <c r="H1429" i="8"/>
  <c r="J1428" i="8"/>
  <c r="H1428" i="8"/>
  <c r="J1427" i="8"/>
  <c r="H1427" i="8"/>
  <c r="J1426" i="8"/>
  <c r="H1426" i="8"/>
  <c r="J1425" i="8"/>
  <c r="H1425" i="8"/>
  <c r="J1424" i="8"/>
  <c r="H1424" i="8"/>
  <c r="J1423" i="8"/>
  <c r="H1423" i="8"/>
  <c r="J1422" i="8"/>
  <c r="H1422" i="8"/>
  <c r="J1421" i="8"/>
  <c r="H1421" i="8"/>
  <c r="J1420" i="8"/>
  <c r="H1420" i="8"/>
  <c r="J1419" i="8"/>
  <c r="H1419" i="8"/>
  <c r="J1418" i="8"/>
  <c r="H1418" i="8"/>
  <c r="J1417" i="8"/>
  <c r="H1417" i="8"/>
  <c r="J1416" i="8"/>
  <c r="H1416" i="8"/>
  <c r="J1415" i="8"/>
  <c r="H1415" i="8"/>
  <c r="J1414" i="8"/>
  <c r="H1414" i="8"/>
  <c r="J1413" i="8"/>
  <c r="H1413" i="8"/>
  <c r="J1412" i="8"/>
  <c r="H1412" i="8"/>
  <c r="J1411" i="8"/>
  <c r="H1411" i="8"/>
  <c r="J1410" i="8"/>
  <c r="H1410" i="8"/>
  <c r="J1409" i="8"/>
  <c r="H1409" i="8"/>
  <c r="J1408" i="8"/>
  <c r="H1408" i="8"/>
  <c r="J1407" i="8"/>
  <c r="H1407" i="8"/>
  <c r="J1406" i="8"/>
  <c r="H1406" i="8"/>
  <c r="J1405" i="8"/>
  <c r="H1405" i="8"/>
  <c r="J1404" i="8"/>
  <c r="H1404" i="8"/>
  <c r="J1403" i="8"/>
  <c r="H1403" i="8"/>
  <c r="J1402" i="8"/>
  <c r="H1402" i="8"/>
  <c r="J1401" i="8"/>
  <c r="H1401" i="8"/>
  <c r="J1400" i="8"/>
  <c r="H1400" i="8"/>
  <c r="J1399" i="8"/>
  <c r="H1399" i="8"/>
  <c r="J1398" i="8"/>
  <c r="H1398" i="8"/>
  <c r="J1397" i="8"/>
  <c r="H1397" i="8"/>
  <c r="J1396" i="8"/>
  <c r="H1396" i="8"/>
  <c r="J1395" i="8"/>
  <c r="H1395" i="8"/>
  <c r="J1394" i="8"/>
  <c r="H1394" i="8"/>
  <c r="J1393" i="8"/>
  <c r="H1393" i="8"/>
  <c r="J1392" i="8"/>
  <c r="H1392" i="8"/>
  <c r="J1391" i="8"/>
  <c r="H1391" i="8"/>
  <c r="J1390" i="8"/>
  <c r="H1390" i="8"/>
  <c r="J1389" i="8"/>
  <c r="H1389" i="8"/>
  <c r="J1388" i="8"/>
  <c r="H1388" i="8"/>
  <c r="J1387" i="8"/>
  <c r="H1387" i="8"/>
  <c r="J1386" i="8"/>
  <c r="H1386" i="8"/>
  <c r="J1385" i="8"/>
  <c r="H1385" i="8"/>
  <c r="J1384" i="8"/>
  <c r="H1384" i="8"/>
  <c r="J1383" i="8"/>
  <c r="H1383" i="8"/>
  <c r="J1382" i="8"/>
  <c r="H1382" i="8"/>
  <c r="J1381" i="8"/>
  <c r="H1381" i="8"/>
  <c r="J1380" i="8"/>
  <c r="H1380" i="8"/>
  <c r="J1379" i="8"/>
  <c r="H1379" i="8"/>
  <c r="J1378" i="8"/>
  <c r="H1378" i="8"/>
  <c r="J1377" i="8"/>
  <c r="H1377" i="8"/>
  <c r="J1376" i="8"/>
  <c r="H1376" i="8"/>
  <c r="J1375" i="8"/>
  <c r="H1375" i="8"/>
  <c r="J1374" i="8"/>
  <c r="H1374" i="8"/>
  <c r="J1373" i="8"/>
  <c r="H1373" i="8"/>
  <c r="J1372" i="8"/>
  <c r="H1372" i="8"/>
  <c r="J1371" i="8"/>
  <c r="H1371" i="8"/>
  <c r="J1370" i="8"/>
  <c r="H1370" i="8"/>
  <c r="J1369" i="8"/>
  <c r="H1369" i="8"/>
  <c r="J1368" i="8"/>
  <c r="H1368" i="8"/>
  <c r="J1367" i="8"/>
  <c r="H1367" i="8"/>
  <c r="J1366" i="8"/>
  <c r="H1366" i="8"/>
  <c r="J1365" i="8"/>
  <c r="H1365" i="8"/>
  <c r="J1364" i="8"/>
  <c r="H1364" i="8"/>
  <c r="J1363" i="8"/>
  <c r="H1363" i="8"/>
  <c r="J1362" i="8"/>
  <c r="H1362" i="8"/>
  <c r="J1361" i="8"/>
  <c r="H1361" i="8"/>
  <c r="J1360" i="8"/>
  <c r="H1360" i="8"/>
  <c r="J1359" i="8"/>
  <c r="H1359" i="8"/>
  <c r="J1358" i="8"/>
  <c r="H1358" i="8"/>
  <c r="J1357" i="8"/>
  <c r="H1357" i="8"/>
  <c r="J1356" i="8"/>
  <c r="H1356" i="8"/>
  <c r="J1355" i="8"/>
  <c r="H1355" i="8"/>
  <c r="J1354" i="8"/>
  <c r="H1354" i="8"/>
  <c r="J1353" i="8"/>
  <c r="H1353" i="8"/>
  <c r="J1352" i="8"/>
  <c r="H1352" i="8"/>
  <c r="J1351" i="8"/>
  <c r="H1351" i="8"/>
  <c r="J1350" i="8"/>
  <c r="H1350" i="8"/>
  <c r="J1349" i="8"/>
  <c r="H1349" i="8"/>
  <c r="J1348" i="8"/>
  <c r="H1348" i="8"/>
  <c r="J1347" i="8"/>
  <c r="H1347" i="8"/>
  <c r="J1346" i="8"/>
  <c r="H1346" i="8"/>
  <c r="J1345" i="8"/>
  <c r="H1345" i="8"/>
  <c r="J1344" i="8"/>
  <c r="H1344" i="8"/>
  <c r="J1343" i="8"/>
  <c r="H1343" i="8"/>
  <c r="J1342" i="8"/>
  <c r="H1342" i="8"/>
  <c r="J1341" i="8"/>
  <c r="H1341" i="8"/>
  <c r="J1340" i="8"/>
  <c r="H1340" i="8"/>
  <c r="J1339" i="8"/>
  <c r="H1339" i="8"/>
  <c r="J1338" i="8"/>
  <c r="H1338" i="8"/>
  <c r="J1337" i="8"/>
  <c r="H1337" i="8"/>
  <c r="J1336" i="8"/>
  <c r="H1336" i="8"/>
  <c r="J1335" i="8"/>
  <c r="H1335" i="8"/>
  <c r="J1334" i="8"/>
  <c r="H1334" i="8"/>
  <c r="J1333" i="8"/>
  <c r="H1333" i="8"/>
  <c r="J1332" i="8"/>
  <c r="H1332" i="8"/>
  <c r="J1331" i="8"/>
  <c r="H1331" i="8"/>
  <c r="J1330" i="8"/>
  <c r="H1330" i="8"/>
  <c r="J1329" i="8"/>
  <c r="H1329" i="8"/>
  <c r="J1328" i="8"/>
  <c r="H1328" i="8"/>
  <c r="J1327" i="8"/>
  <c r="H1327" i="8"/>
  <c r="J1326" i="8"/>
  <c r="H1326" i="8"/>
  <c r="J1325" i="8"/>
  <c r="H1325" i="8"/>
  <c r="J1324" i="8"/>
  <c r="H1324" i="8"/>
  <c r="J1323" i="8"/>
  <c r="H1323" i="8"/>
  <c r="J1322" i="8"/>
  <c r="H1322" i="8"/>
  <c r="J1321" i="8"/>
  <c r="H1321" i="8"/>
  <c r="J1320" i="8"/>
  <c r="H1320" i="8"/>
  <c r="J1319" i="8"/>
  <c r="H1319" i="8"/>
  <c r="J1318" i="8"/>
  <c r="H1318" i="8"/>
  <c r="J1317" i="8"/>
  <c r="H1317" i="8"/>
  <c r="J1316" i="8"/>
  <c r="H1316" i="8"/>
  <c r="J1315" i="8"/>
  <c r="H1315" i="8"/>
  <c r="J1314" i="8"/>
  <c r="H1314" i="8"/>
  <c r="J1313" i="8"/>
  <c r="H1313" i="8"/>
  <c r="J1312" i="8"/>
  <c r="H1312" i="8"/>
  <c r="J1311" i="8"/>
  <c r="H1311" i="8"/>
  <c r="J1310" i="8"/>
  <c r="H1310" i="8"/>
  <c r="J1309" i="8"/>
  <c r="H1309" i="8"/>
  <c r="J1308" i="8"/>
  <c r="H1308" i="8"/>
  <c r="J1307" i="8"/>
  <c r="H1307" i="8"/>
  <c r="J1306" i="8"/>
  <c r="H1306" i="8"/>
  <c r="J1305" i="8"/>
  <c r="H1305" i="8"/>
  <c r="J1304" i="8"/>
  <c r="H1304" i="8"/>
  <c r="J1303" i="8"/>
  <c r="H1303" i="8"/>
  <c r="J1302" i="8"/>
  <c r="H1302" i="8"/>
  <c r="J1301" i="8"/>
  <c r="H1301" i="8"/>
  <c r="J1300" i="8"/>
  <c r="H1300" i="8"/>
  <c r="J1299" i="8"/>
  <c r="H1299" i="8"/>
  <c r="J1298" i="8"/>
  <c r="H1298" i="8"/>
  <c r="J1297" i="8"/>
  <c r="H1297" i="8"/>
  <c r="J1296" i="8"/>
  <c r="H1296" i="8"/>
  <c r="J1295" i="8"/>
  <c r="H1295" i="8"/>
  <c r="J1294" i="8"/>
  <c r="H1294" i="8"/>
  <c r="J1293" i="8"/>
  <c r="H1293" i="8"/>
  <c r="J1292" i="8"/>
  <c r="H1292" i="8"/>
  <c r="J1291" i="8"/>
  <c r="H1291" i="8"/>
  <c r="J1290" i="8"/>
  <c r="H1290" i="8"/>
  <c r="J1289" i="8"/>
  <c r="H1289" i="8"/>
  <c r="J1288" i="8"/>
  <c r="H1288" i="8"/>
  <c r="J1287" i="8"/>
  <c r="H1287" i="8"/>
  <c r="J1286" i="8"/>
  <c r="H1286" i="8"/>
  <c r="J1285" i="8"/>
  <c r="H1285" i="8"/>
  <c r="J1284" i="8"/>
  <c r="H1284" i="8"/>
  <c r="J1283" i="8"/>
  <c r="H1283" i="8"/>
  <c r="J1282" i="8"/>
  <c r="H1282" i="8"/>
  <c r="J1281" i="8"/>
  <c r="H1281" i="8"/>
  <c r="J1280" i="8"/>
  <c r="H1280" i="8"/>
  <c r="J1279" i="8"/>
  <c r="H1279" i="8"/>
  <c r="J1278" i="8"/>
  <c r="H1278" i="8"/>
  <c r="J1277" i="8"/>
  <c r="H1277" i="8"/>
  <c r="J1276" i="8"/>
  <c r="H1276" i="8"/>
  <c r="J1275" i="8"/>
  <c r="H1275" i="8"/>
  <c r="J1274" i="8"/>
  <c r="H1274" i="8"/>
  <c r="J1273" i="8"/>
  <c r="H1273" i="8"/>
  <c r="J1272" i="8"/>
  <c r="H1272" i="8"/>
  <c r="J1271" i="8"/>
  <c r="H1271" i="8"/>
  <c r="J1270" i="8"/>
  <c r="H1270" i="8"/>
  <c r="J1269" i="8"/>
  <c r="H1269" i="8"/>
  <c r="J1268" i="8"/>
  <c r="H1268" i="8"/>
  <c r="J1267" i="8"/>
  <c r="H1267" i="8"/>
  <c r="J1266" i="8"/>
  <c r="H1266" i="8"/>
  <c r="J1265" i="8"/>
  <c r="H1265" i="8"/>
  <c r="J1264" i="8"/>
  <c r="H1264" i="8"/>
  <c r="J1263" i="8"/>
  <c r="H1263" i="8"/>
  <c r="J1262" i="8"/>
  <c r="H1262" i="8"/>
  <c r="J1261" i="8"/>
  <c r="H1261" i="8"/>
  <c r="J1260" i="8"/>
  <c r="H1260" i="8"/>
  <c r="J1259" i="8"/>
  <c r="H1259" i="8"/>
  <c r="J1258" i="8"/>
  <c r="H1258" i="8"/>
  <c r="J1257" i="8"/>
  <c r="H1257" i="8"/>
  <c r="J1256" i="8"/>
  <c r="H1256" i="8"/>
  <c r="J1255" i="8"/>
  <c r="H1255" i="8"/>
  <c r="J1254" i="8"/>
  <c r="H1254" i="8"/>
  <c r="J1253" i="8"/>
  <c r="H1253" i="8"/>
  <c r="J1252" i="8"/>
  <c r="H1252" i="8"/>
  <c r="J1251" i="8"/>
  <c r="H1251" i="8"/>
  <c r="J1250" i="8"/>
  <c r="H1250" i="8"/>
  <c r="J1249" i="8"/>
  <c r="H1249" i="8"/>
  <c r="J1248" i="8"/>
  <c r="H1248" i="8"/>
  <c r="J1247" i="8"/>
  <c r="H1247" i="8"/>
  <c r="J1246" i="8"/>
  <c r="H1246" i="8"/>
  <c r="J1245" i="8"/>
  <c r="H1245" i="8"/>
  <c r="J1244" i="8"/>
  <c r="H1244" i="8"/>
  <c r="J1243" i="8"/>
  <c r="H1243" i="8"/>
  <c r="J1242" i="8"/>
  <c r="H1242" i="8"/>
  <c r="J1241" i="8"/>
  <c r="H1241" i="8"/>
  <c r="J1240" i="8"/>
  <c r="H1240" i="8"/>
  <c r="J1239" i="8"/>
  <c r="H1239" i="8"/>
  <c r="J1238" i="8"/>
  <c r="H1238" i="8"/>
  <c r="J1237" i="8"/>
  <c r="H1237" i="8"/>
  <c r="J1236" i="8"/>
  <c r="H1236" i="8"/>
  <c r="J1235" i="8"/>
  <c r="H1235" i="8"/>
  <c r="J1234" i="8"/>
  <c r="H1234" i="8"/>
  <c r="J1233" i="8"/>
  <c r="H1233" i="8"/>
  <c r="J1232" i="8"/>
  <c r="H1232" i="8"/>
  <c r="J1231" i="8"/>
  <c r="H1231" i="8"/>
  <c r="J1230" i="8"/>
  <c r="H1230" i="8"/>
  <c r="J1229" i="8"/>
  <c r="H1229" i="8"/>
  <c r="J1228" i="8"/>
  <c r="H1228" i="8"/>
  <c r="J1227" i="8"/>
  <c r="H1227" i="8"/>
  <c r="J1226" i="8"/>
  <c r="H1226" i="8"/>
  <c r="J1225" i="8"/>
  <c r="H1225" i="8"/>
  <c r="J1224" i="8"/>
  <c r="H1224" i="8"/>
  <c r="J1223" i="8"/>
  <c r="H1223" i="8"/>
  <c r="J1222" i="8"/>
  <c r="H1222" i="8"/>
  <c r="J1221" i="8"/>
  <c r="H1221" i="8"/>
  <c r="J1220" i="8"/>
  <c r="H1220" i="8"/>
  <c r="J1219" i="8"/>
  <c r="H1219" i="8"/>
  <c r="J1218" i="8"/>
  <c r="H1218" i="8"/>
  <c r="J1217" i="8"/>
  <c r="H1217" i="8"/>
  <c r="J1216" i="8"/>
  <c r="H1216" i="8"/>
  <c r="J1215" i="8"/>
  <c r="H1215" i="8"/>
  <c r="J1214" i="8"/>
  <c r="H1214" i="8"/>
  <c r="J1213" i="8"/>
  <c r="H1213" i="8"/>
  <c r="J1212" i="8"/>
  <c r="H1212" i="8"/>
  <c r="J1211" i="8"/>
  <c r="H1211" i="8"/>
  <c r="J1210" i="8"/>
  <c r="H1210" i="8"/>
  <c r="J1209" i="8"/>
  <c r="H1209" i="8"/>
  <c r="J1208" i="8"/>
  <c r="H1208" i="8"/>
  <c r="J1207" i="8"/>
  <c r="H1207" i="8"/>
  <c r="J1206" i="8"/>
  <c r="H1206" i="8"/>
  <c r="J1205" i="8"/>
  <c r="H1205" i="8"/>
  <c r="J1204" i="8"/>
  <c r="H1204" i="8"/>
  <c r="J1203" i="8"/>
  <c r="H1203" i="8"/>
  <c r="J1202" i="8"/>
  <c r="H1202" i="8"/>
  <c r="J1201" i="8"/>
  <c r="H1201" i="8"/>
  <c r="J1200" i="8"/>
  <c r="H1200" i="8"/>
  <c r="J1199" i="8"/>
  <c r="H1199" i="8"/>
  <c r="J1198" i="8"/>
  <c r="H1198" i="8"/>
  <c r="J1197" i="8"/>
  <c r="H1197" i="8"/>
  <c r="J1196" i="8"/>
  <c r="H1196" i="8"/>
  <c r="J1195" i="8"/>
  <c r="H1195" i="8"/>
  <c r="J1194" i="8"/>
  <c r="H1194" i="8"/>
  <c r="J1193" i="8"/>
  <c r="H1193" i="8"/>
  <c r="J1192" i="8"/>
  <c r="H1192" i="8"/>
  <c r="J1191" i="8"/>
  <c r="H1191" i="8"/>
  <c r="J1190" i="8"/>
  <c r="H1190" i="8"/>
  <c r="J1189" i="8"/>
  <c r="H1189" i="8"/>
  <c r="J1188" i="8"/>
  <c r="H1188" i="8"/>
  <c r="J1187" i="8"/>
  <c r="H1187" i="8"/>
  <c r="J1186" i="8"/>
  <c r="H1186" i="8"/>
  <c r="J1185" i="8"/>
  <c r="H1185" i="8"/>
  <c r="J1184" i="8"/>
  <c r="H1184" i="8"/>
  <c r="J1183" i="8"/>
  <c r="H1183" i="8"/>
  <c r="J1182" i="8"/>
  <c r="H1182" i="8"/>
  <c r="J1181" i="8"/>
  <c r="H1181" i="8"/>
  <c r="J1180" i="8"/>
  <c r="H1180" i="8"/>
  <c r="J1179" i="8"/>
  <c r="H1179" i="8"/>
  <c r="J1178" i="8"/>
  <c r="H1178" i="8"/>
  <c r="J1177" i="8"/>
  <c r="H1177" i="8"/>
  <c r="J1176" i="8"/>
  <c r="H1176" i="8"/>
  <c r="J1175" i="8"/>
  <c r="H1175" i="8"/>
  <c r="J1174" i="8"/>
  <c r="H1174" i="8"/>
  <c r="J1173" i="8"/>
  <c r="H1173" i="8"/>
  <c r="J1172" i="8"/>
  <c r="H1172" i="8"/>
  <c r="J1171" i="8"/>
  <c r="H1171" i="8"/>
  <c r="J1170" i="8"/>
  <c r="H1170" i="8"/>
  <c r="J1169" i="8"/>
  <c r="H1169" i="8"/>
  <c r="J1168" i="8"/>
  <c r="H1168" i="8"/>
  <c r="J1167" i="8"/>
  <c r="H1167" i="8"/>
  <c r="J1166" i="8"/>
  <c r="H1166" i="8"/>
  <c r="J1165" i="8"/>
  <c r="H1165" i="8"/>
  <c r="J1164" i="8"/>
  <c r="H1164" i="8"/>
  <c r="J1163" i="8"/>
  <c r="H1163" i="8"/>
  <c r="J1162" i="8"/>
  <c r="H1162" i="8"/>
  <c r="J1161" i="8"/>
  <c r="H1161" i="8"/>
  <c r="J1160" i="8"/>
  <c r="H1160" i="8"/>
  <c r="J1159" i="8"/>
  <c r="H1159" i="8"/>
  <c r="J1158" i="8"/>
  <c r="H1158" i="8"/>
  <c r="J1157" i="8"/>
  <c r="H1157" i="8"/>
  <c r="J1156" i="8"/>
  <c r="H1156" i="8"/>
  <c r="J1155" i="8"/>
  <c r="H1155" i="8"/>
  <c r="J1154" i="8"/>
  <c r="H1154" i="8"/>
  <c r="J1153" i="8"/>
  <c r="H1153" i="8"/>
  <c r="J1152" i="8"/>
  <c r="H1152" i="8"/>
  <c r="J1151" i="8"/>
  <c r="H1151" i="8"/>
  <c r="J1150" i="8"/>
  <c r="H1150" i="8"/>
  <c r="J1149" i="8"/>
  <c r="H1149" i="8"/>
  <c r="J1148" i="8"/>
  <c r="H1148" i="8"/>
  <c r="J1147" i="8"/>
  <c r="H1147" i="8"/>
  <c r="J1146" i="8"/>
  <c r="H1146" i="8"/>
  <c r="J1145" i="8"/>
  <c r="H1145" i="8"/>
  <c r="J1144" i="8"/>
  <c r="H1144" i="8"/>
  <c r="J1143" i="8"/>
  <c r="H1143" i="8"/>
  <c r="J1142" i="8"/>
  <c r="H1142" i="8"/>
  <c r="J1141" i="8"/>
  <c r="H1141" i="8"/>
  <c r="J1140" i="8"/>
  <c r="H1140" i="8"/>
  <c r="J1139" i="8"/>
  <c r="H1139" i="8"/>
  <c r="J1138" i="8"/>
  <c r="H1138" i="8"/>
  <c r="J1137" i="8"/>
  <c r="H1137" i="8"/>
  <c r="J1136" i="8"/>
  <c r="H1136" i="8"/>
  <c r="J1135" i="8"/>
  <c r="H1135" i="8"/>
  <c r="J1134" i="8"/>
  <c r="H1134" i="8"/>
  <c r="J1133" i="8"/>
  <c r="H1133" i="8"/>
  <c r="J1132" i="8"/>
  <c r="H1132" i="8"/>
  <c r="J1131" i="8"/>
  <c r="H1131" i="8"/>
  <c r="J1130" i="8"/>
  <c r="H1130" i="8"/>
  <c r="J1129" i="8"/>
  <c r="H1129" i="8"/>
  <c r="J1128" i="8"/>
  <c r="H1128" i="8"/>
  <c r="J1127" i="8"/>
  <c r="H1127" i="8"/>
  <c r="J1126" i="8"/>
  <c r="H1126" i="8"/>
  <c r="J1125" i="8"/>
  <c r="H1125" i="8"/>
  <c r="J1124" i="8"/>
  <c r="H1124" i="8"/>
  <c r="J1123" i="8"/>
  <c r="H1123" i="8"/>
  <c r="J1122" i="8"/>
  <c r="H1122" i="8"/>
  <c r="J1121" i="8"/>
  <c r="H1121" i="8"/>
  <c r="J1120" i="8"/>
  <c r="H1120" i="8"/>
  <c r="J1119" i="8"/>
  <c r="H1119" i="8"/>
  <c r="J1118" i="8"/>
  <c r="H1118" i="8"/>
  <c r="J1117" i="8"/>
  <c r="H1117" i="8"/>
  <c r="J1116" i="8"/>
  <c r="H1116" i="8"/>
  <c r="J1115" i="8"/>
  <c r="H1115" i="8"/>
  <c r="J1114" i="8"/>
  <c r="H1114" i="8"/>
  <c r="J1113" i="8"/>
  <c r="H1113" i="8"/>
  <c r="J1112" i="8"/>
  <c r="H1112" i="8"/>
  <c r="J1111" i="8"/>
  <c r="H1111" i="8"/>
  <c r="J1110" i="8"/>
  <c r="H1110" i="8"/>
  <c r="J1109" i="8"/>
  <c r="H1109" i="8"/>
  <c r="J1108" i="8"/>
  <c r="H1108" i="8"/>
  <c r="J1107" i="8"/>
  <c r="H1107" i="8"/>
  <c r="J1106" i="8"/>
  <c r="H1106" i="8"/>
  <c r="J1105" i="8"/>
  <c r="H1105" i="8"/>
  <c r="J1104" i="8"/>
  <c r="H1104" i="8"/>
  <c r="J1103" i="8"/>
  <c r="H1103" i="8"/>
  <c r="J1102" i="8"/>
  <c r="H1102" i="8"/>
  <c r="J1101" i="8"/>
  <c r="H1101" i="8"/>
  <c r="J1100" i="8"/>
  <c r="H1100" i="8"/>
  <c r="J1099" i="8"/>
  <c r="H1099" i="8"/>
  <c r="J1098" i="8"/>
  <c r="H1098" i="8"/>
  <c r="J1097" i="8"/>
  <c r="H1097" i="8"/>
  <c r="J1096" i="8"/>
  <c r="H1096" i="8"/>
  <c r="J1095" i="8"/>
  <c r="H1095" i="8"/>
  <c r="J1094" i="8"/>
  <c r="H1094" i="8"/>
  <c r="J1093" i="8"/>
  <c r="H1093" i="8"/>
  <c r="J1092" i="8"/>
  <c r="H1092" i="8"/>
  <c r="J1091" i="8"/>
  <c r="H1091" i="8"/>
  <c r="J1090" i="8"/>
  <c r="H1090" i="8"/>
  <c r="J1089" i="8"/>
  <c r="H1089" i="8"/>
  <c r="J1088" i="8"/>
  <c r="H1088" i="8"/>
  <c r="J1087" i="8"/>
  <c r="H1087" i="8"/>
  <c r="J1086" i="8"/>
  <c r="H1086" i="8"/>
  <c r="J1085" i="8"/>
  <c r="H1085" i="8"/>
  <c r="J1084" i="8"/>
  <c r="H1084" i="8"/>
  <c r="J1083" i="8"/>
  <c r="H1083" i="8"/>
  <c r="J1082" i="8"/>
  <c r="H1082" i="8"/>
  <c r="J1081" i="8"/>
  <c r="H1081" i="8"/>
  <c r="J1080" i="8"/>
  <c r="H1080" i="8"/>
  <c r="J1079" i="8"/>
  <c r="H1079" i="8"/>
  <c r="J1078" i="8"/>
  <c r="H1078" i="8"/>
  <c r="J1077" i="8"/>
  <c r="H1077" i="8"/>
  <c r="J1076" i="8"/>
  <c r="H1076" i="8"/>
  <c r="J1075" i="8"/>
  <c r="H1075" i="8"/>
  <c r="J1074" i="8"/>
  <c r="H1074" i="8"/>
  <c r="J1073" i="8"/>
  <c r="H1073" i="8"/>
  <c r="J1072" i="8"/>
  <c r="H1072" i="8"/>
  <c r="J1071" i="8"/>
  <c r="H1071" i="8"/>
  <c r="J1070" i="8"/>
  <c r="H1070" i="8"/>
  <c r="J1069" i="8"/>
  <c r="H1069" i="8"/>
  <c r="J1068" i="8"/>
  <c r="H1068" i="8"/>
  <c r="J1067" i="8"/>
  <c r="H1067" i="8"/>
  <c r="J1066" i="8"/>
  <c r="H1066" i="8"/>
  <c r="J1065" i="8"/>
  <c r="H1065" i="8"/>
  <c r="J1064" i="8"/>
  <c r="H1064" i="8"/>
  <c r="J1063" i="8"/>
  <c r="H1063" i="8"/>
  <c r="J1062" i="8"/>
  <c r="H1062" i="8"/>
  <c r="J1061" i="8"/>
  <c r="H1061" i="8"/>
  <c r="J1060" i="8"/>
  <c r="H1060" i="8"/>
  <c r="J1059" i="8"/>
  <c r="H1059" i="8"/>
  <c r="J1058" i="8"/>
  <c r="H1058" i="8"/>
  <c r="J1057" i="8"/>
  <c r="H1057" i="8"/>
  <c r="J1056" i="8"/>
  <c r="H1056" i="8"/>
  <c r="J1055" i="8"/>
  <c r="H1055" i="8"/>
  <c r="J1054" i="8"/>
  <c r="H1054" i="8"/>
  <c r="J1053" i="8"/>
  <c r="H1053" i="8"/>
  <c r="J1052" i="8"/>
  <c r="H1052" i="8"/>
  <c r="J1051" i="8"/>
  <c r="H1051" i="8"/>
  <c r="J1050" i="8"/>
  <c r="H1050" i="8"/>
  <c r="J1049" i="8"/>
  <c r="H1049" i="8"/>
  <c r="J1048" i="8"/>
  <c r="H1048" i="8"/>
  <c r="J1047" i="8"/>
  <c r="H1047" i="8"/>
  <c r="J1046" i="8"/>
  <c r="H1046" i="8"/>
  <c r="J1045" i="8"/>
  <c r="H1045" i="8"/>
  <c r="J1044" i="8"/>
  <c r="H1044" i="8"/>
  <c r="J1043" i="8"/>
  <c r="H1043" i="8"/>
  <c r="J1042" i="8"/>
  <c r="H1042" i="8"/>
  <c r="J1041" i="8"/>
  <c r="H1041" i="8"/>
  <c r="J1040" i="8"/>
  <c r="H1040" i="8"/>
  <c r="J1039" i="8"/>
  <c r="H1039" i="8"/>
  <c r="J1038" i="8"/>
  <c r="H1038" i="8"/>
  <c r="J1037" i="8"/>
  <c r="H1037" i="8"/>
  <c r="J1036" i="8"/>
  <c r="H1036" i="8"/>
  <c r="J1035" i="8"/>
  <c r="H1035" i="8"/>
  <c r="J1034" i="8"/>
  <c r="H1034" i="8"/>
  <c r="J1033" i="8"/>
  <c r="H1033" i="8"/>
  <c r="J1032" i="8"/>
  <c r="H1032" i="8"/>
  <c r="J1031" i="8"/>
  <c r="H1031" i="8"/>
  <c r="J1030" i="8"/>
  <c r="H1030" i="8"/>
  <c r="J1029" i="8"/>
  <c r="H1029" i="8"/>
  <c r="J1028" i="8"/>
  <c r="H1028" i="8"/>
  <c r="J1027" i="8"/>
  <c r="H1027" i="8"/>
  <c r="J1026" i="8"/>
  <c r="H1026" i="8"/>
  <c r="J1025" i="8"/>
  <c r="H1025" i="8"/>
  <c r="J1024" i="8"/>
  <c r="H1024" i="8"/>
  <c r="J1023" i="8"/>
  <c r="H1023" i="8"/>
  <c r="J1022" i="8"/>
  <c r="H1022" i="8"/>
  <c r="J1021" i="8"/>
  <c r="H1021" i="8"/>
  <c r="J1020" i="8"/>
  <c r="H1020" i="8"/>
  <c r="J1019" i="8"/>
  <c r="H1019" i="8"/>
  <c r="J1018" i="8"/>
  <c r="H1018" i="8"/>
  <c r="J1017" i="8"/>
  <c r="H1017" i="8"/>
  <c r="J1016" i="8"/>
  <c r="H1016" i="8"/>
  <c r="J1015" i="8"/>
  <c r="H1015" i="8"/>
  <c r="J1014" i="8"/>
  <c r="H1014" i="8"/>
  <c r="J1013" i="8"/>
  <c r="H1013" i="8"/>
  <c r="J1012" i="8"/>
  <c r="H1012" i="8"/>
  <c r="J1011" i="8"/>
  <c r="H1011" i="8"/>
  <c r="J1010" i="8"/>
  <c r="H1010" i="8"/>
  <c r="J1009" i="8"/>
  <c r="H1009" i="8"/>
  <c r="J1008" i="8"/>
  <c r="H1008" i="8"/>
  <c r="J1007" i="8"/>
  <c r="H1007" i="8"/>
  <c r="J1006" i="8"/>
  <c r="H1006" i="8"/>
  <c r="J1005" i="8"/>
  <c r="H1005" i="8"/>
  <c r="J1004" i="8"/>
  <c r="H1004" i="8"/>
  <c r="J1003" i="8"/>
  <c r="H1003" i="8"/>
  <c r="J1002" i="8"/>
  <c r="H1002" i="8"/>
  <c r="J1001" i="8"/>
  <c r="H1001" i="8"/>
  <c r="J1000" i="8"/>
  <c r="H1000" i="8"/>
  <c r="J999" i="8"/>
  <c r="H999" i="8"/>
  <c r="J998" i="8"/>
  <c r="H998" i="8"/>
  <c r="J997" i="8"/>
  <c r="H997" i="8"/>
  <c r="J996" i="8"/>
  <c r="H996" i="8"/>
  <c r="J995" i="8"/>
  <c r="H995" i="8"/>
  <c r="J994" i="8"/>
  <c r="H994" i="8"/>
  <c r="J993" i="8"/>
  <c r="H993" i="8"/>
  <c r="J992" i="8"/>
  <c r="H992" i="8"/>
  <c r="J991" i="8"/>
  <c r="H991" i="8"/>
  <c r="J990" i="8"/>
  <c r="H990" i="8"/>
  <c r="J989" i="8"/>
  <c r="H989" i="8"/>
  <c r="J988" i="8"/>
  <c r="H988" i="8"/>
  <c r="J987" i="8"/>
  <c r="H987" i="8"/>
  <c r="J986" i="8"/>
  <c r="H986" i="8"/>
  <c r="J985" i="8"/>
  <c r="H985" i="8"/>
  <c r="J984" i="8"/>
  <c r="H984" i="8"/>
  <c r="J983" i="8"/>
  <c r="H983" i="8"/>
  <c r="J982" i="8"/>
  <c r="H982" i="8"/>
  <c r="J981" i="8"/>
  <c r="H981" i="8"/>
  <c r="J980" i="8"/>
  <c r="H980" i="8"/>
  <c r="J979" i="8"/>
  <c r="H979" i="8"/>
  <c r="J978" i="8"/>
  <c r="H978" i="8"/>
  <c r="J977" i="8"/>
  <c r="H977" i="8"/>
  <c r="J976" i="8"/>
  <c r="H976" i="8"/>
  <c r="J975" i="8"/>
  <c r="H975" i="8"/>
  <c r="J974" i="8"/>
  <c r="H974" i="8"/>
  <c r="J973" i="8"/>
  <c r="H973" i="8"/>
  <c r="J972" i="8"/>
  <c r="H972" i="8"/>
  <c r="J971" i="8"/>
  <c r="H971" i="8"/>
  <c r="J970" i="8"/>
  <c r="H970" i="8"/>
  <c r="J969" i="8"/>
  <c r="H969" i="8"/>
  <c r="J968" i="8"/>
  <c r="H968" i="8"/>
  <c r="J967" i="8"/>
  <c r="H967" i="8"/>
  <c r="J966" i="8"/>
  <c r="H966" i="8"/>
  <c r="J965" i="8"/>
  <c r="H965" i="8"/>
  <c r="J964" i="8"/>
  <c r="H964" i="8"/>
  <c r="J963" i="8"/>
  <c r="H963" i="8"/>
  <c r="J962" i="8"/>
  <c r="H962" i="8"/>
  <c r="J961" i="8"/>
  <c r="H961" i="8"/>
  <c r="J960" i="8"/>
  <c r="H960" i="8"/>
  <c r="J959" i="8"/>
  <c r="H959" i="8"/>
  <c r="J958" i="8"/>
  <c r="H958" i="8"/>
  <c r="J957" i="8"/>
  <c r="H957" i="8"/>
  <c r="J956" i="8"/>
  <c r="H956" i="8"/>
  <c r="J955" i="8"/>
  <c r="H955" i="8"/>
  <c r="J954" i="8"/>
  <c r="H954" i="8"/>
  <c r="J953" i="8"/>
  <c r="H953" i="8"/>
  <c r="J952" i="8"/>
  <c r="H952" i="8"/>
  <c r="J951" i="8"/>
  <c r="H951" i="8"/>
  <c r="J950" i="8"/>
  <c r="H950" i="8"/>
  <c r="J949" i="8"/>
  <c r="H949" i="8"/>
  <c r="J948" i="8"/>
  <c r="H948" i="8"/>
  <c r="J947" i="8"/>
  <c r="H947" i="8"/>
  <c r="J946" i="8"/>
  <c r="H946" i="8"/>
  <c r="J945" i="8"/>
  <c r="H945" i="8"/>
  <c r="J944" i="8"/>
  <c r="H944" i="8"/>
  <c r="J943" i="8"/>
  <c r="H943" i="8"/>
  <c r="J942" i="8"/>
  <c r="H942" i="8"/>
  <c r="J941" i="8"/>
  <c r="H941" i="8"/>
  <c r="J940" i="8"/>
  <c r="H940" i="8"/>
  <c r="J939" i="8"/>
  <c r="H939" i="8"/>
  <c r="J938" i="8"/>
  <c r="H938" i="8"/>
  <c r="J937" i="8"/>
  <c r="H937" i="8"/>
  <c r="J936" i="8"/>
  <c r="H936" i="8"/>
  <c r="J935" i="8"/>
  <c r="H935" i="8"/>
  <c r="J934" i="8"/>
  <c r="H934" i="8"/>
  <c r="J933" i="8"/>
  <c r="H933" i="8"/>
  <c r="J932" i="8"/>
  <c r="H932" i="8"/>
  <c r="J931" i="8"/>
  <c r="H931" i="8"/>
  <c r="J930" i="8"/>
  <c r="H930" i="8"/>
  <c r="J929" i="8"/>
  <c r="H929" i="8"/>
  <c r="J928" i="8"/>
  <c r="H928" i="8"/>
  <c r="J927" i="8"/>
  <c r="H927" i="8"/>
  <c r="J926" i="8"/>
  <c r="H926" i="8"/>
  <c r="J925" i="8"/>
  <c r="H925" i="8"/>
  <c r="J924" i="8"/>
  <c r="H924" i="8"/>
  <c r="J923" i="8"/>
  <c r="H923" i="8"/>
  <c r="J922" i="8"/>
  <c r="H922" i="8"/>
  <c r="J921" i="8"/>
  <c r="H921" i="8"/>
  <c r="J920" i="8"/>
  <c r="H920" i="8"/>
  <c r="J919" i="8"/>
  <c r="H919" i="8"/>
  <c r="J918" i="8"/>
  <c r="H918" i="8"/>
  <c r="J917" i="8"/>
  <c r="H917" i="8"/>
  <c r="J916" i="8"/>
  <c r="H916" i="8"/>
  <c r="J915" i="8"/>
  <c r="H915" i="8"/>
  <c r="J914" i="8"/>
  <c r="H914" i="8"/>
  <c r="J913" i="8"/>
  <c r="H913" i="8"/>
  <c r="J912" i="8"/>
  <c r="H912" i="8"/>
  <c r="J911" i="8"/>
  <c r="H911" i="8"/>
  <c r="J910" i="8"/>
  <c r="H910" i="8"/>
  <c r="J909" i="8"/>
  <c r="H909" i="8"/>
  <c r="J908" i="8"/>
  <c r="H908" i="8"/>
  <c r="J907" i="8"/>
  <c r="H907" i="8"/>
  <c r="J906" i="8"/>
  <c r="H906" i="8"/>
  <c r="J905" i="8"/>
  <c r="H905" i="8"/>
  <c r="J904" i="8"/>
  <c r="H904" i="8"/>
  <c r="J903" i="8"/>
  <c r="H903" i="8"/>
  <c r="J902" i="8"/>
  <c r="H902" i="8"/>
  <c r="J901" i="8"/>
  <c r="H901" i="8"/>
  <c r="J900" i="8"/>
  <c r="H900" i="8"/>
  <c r="J899" i="8"/>
  <c r="H899" i="8"/>
  <c r="J898" i="8"/>
  <c r="H898" i="8"/>
  <c r="J897" i="8"/>
  <c r="H897" i="8"/>
  <c r="J896" i="8"/>
  <c r="H896" i="8"/>
  <c r="J895" i="8"/>
  <c r="H895" i="8"/>
  <c r="J894" i="8"/>
  <c r="H894" i="8"/>
  <c r="J893" i="8"/>
  <c r="H893" i="8"/>
  <c r="J892" i="8"/>
  <c r="H892" i="8"/>
  <c r="J891" i="8"/>
  <c r="H891" i="8"/>
  <c r="J890" i="8"/>
  <c r="H890" i="8"/>
  <c r="J889" i="8"/>
  <c r="H889" i="8"/>
  <c r="J888" i="8"/>
  <c r="H888" i="8"/>
  <c r="J887" i="8"/>
  <c r="H887" i="8"/>
  <c r="J886" i="8"/>
  <c r="H886" i="8"/>
  <c r="J885" i="8"/>
  <c r="H885" i="8"/>
  <c r="J884" i="8"/>
  <c r="H884" i="8"/>
  <c r="J883" i="8"/>
  <c r="H883" i="8"/>
  <c r="J882" i="8"/>
  <c r="H882" i="8"/>
  <c r="J881" i="8"/>
  <c r="H881" i="8"/>
  <c r="J880" i="8"/>
  <c r="H880" i="8"/>
  <c r="J879" i="8"/>
  <c r="H879" i="8"/>
  <c r="J878" i="8"/>
  <c r="H878" i="8"/>
  <c r="J877" i="8"/>
  <c r="H877" i="8"/>
  <c r="J876" i="8"/>
  <c r="H876" i="8"/>
  <c r="J875" i="8"/>
  <c r="H875" i="8"/>
  <c r="J874" i="8"/>
  <c r="H874" i="8"/>
  <c r="J873" i="8"/>
  <c r="H873" i="8"/>
  <c r="J872" i="8"/>
  <c r="H872" i="8"/>
  <c r="J871" i="8"/>
  <c r="H871" i="8"/>
  <c r="J870" i="8"/>
  <c r="H870" i="8"/>
  <c r="J869" i="8"/>
  <c r="H869" i="8"/>
  <c r="J868" i="8"/>
  <c r="H868" i="8"/>
  <c r="J867" i="8"/>
  <c r="H867" i="8"/>
  <c r="J866" i="8"/>
  <c r="H866" i="8"/>
  <c r="J865" i="8"/>
  <c r="H865" i="8"/>
  <c r="J864" i="8"/>
  <c r="H864" i="8"/>
  <c r="J863" i="8"/>
  <c r="H863" i="8"/>
  <c r="J862" i="8"/>
  <c r="H862" i="8"/>
  <c r="J861" i="8"/>
  <c r="H861" i="8"/>
  <c r="J860" i="8"/>
  <c r="H860" i="8"/>
  <c r="J859" i="8"/>
  <c r="H859" i="8"/>
  <c r="J858" i="8"/>
  <c r="H858" i="8"/>
  <c r="J857" i="8"/>
  <c r="H857" i="8"/>
  <c r="J856" i="8"/>
  <c r="H856" i="8"/>
  <c r="J855" i="8"/>
  <c r="H855" i="8"/>
  <c r="J854" i="8"/>
  <c r="H854" i="8"/>
  <c r="J853" i="8"/>
  <c r="H853" i="8"/>
  <c r="J852" i="8"/>
  <c r="H852" i="8"/>
  <c r="J851" i="8"/>
  <c r="H851" i="8"/>
  <c r="J850" i="8"/>
  <c r="H850" i="8"/>
  <c r="J849" i="8"/>
  <c r="H849" i="8"/>
  <c r="J848" i="8"/>
  <c r="H848" i="8"/>
  <c r="J847" i="8"/>
  <c r="H847" i="8"/>
  <c r="J846" i="8"/>
  <c r="H846" i="8"/>
  <c r="J845" i="8"/>
  <c r="H845" i="8"/>
  <c r="J844" i="8"/>
  <c r="H844" i="8"/>
  <c r="J843" i="8"/>
  <c r="H843" i="8"/>
  <c r="J842" i="8"/>
  <c r="H842" i="8"/>
  <c r="J841" i="8"/>
  <c r="H841" i="8"/>
  <c r="J840" i="8"/>
  <c r="H840" i="8"/>
  <c r="J839" i="8"/>
  <c r="H839" i="8"/>
  <c r="J838" i="8"/>
  <c r="H838" i="8"/>
  <c r="J837" i="8"/>
  <c r="H837" i="8"/>
  <c r="J836" i="8"/>
  <c r="H836" i="8"/>
  <c r="J835" i="8"/>
  <c r="H835" i="8"/>
  <c r="J834" i="8"/>
  <c r="H834" i="8"/>
  <c r="J833" i="8"/>
  <c r="H833" i="8"/>
  <c r="J832" i="8"/>
  <c r="H832" i="8"/>
  <c r="J831" i="8"/>
  <c r="H831" i="8"/>
  <c r="J830" i="8"/>
  <c r="H830" i="8"/>
  <c r="J829" i="8"/>
  <c r="H829" i="8"/>
  <c r="J828" i="8"/>
  <c r="H828" i="8"/>
  <c r="J827" i="8"/>
  <c r="H827" i="8"/>
  <c r="J826" i="8"/>
  <c r="H826" i="8"/>
  <c r="J825" i="8"/>
  <c r="H825" i="8"/>
  <c r="J824" i="8"/>
  <c r="H824" i="8"/>
  <c r="J823" i="8"/>
  <c r="H823" i="8"/>
  <c r="J822" i="8"/>
  <c r="H822" i="8"/>
  <c r="J821" i="8"/>
  <c r="H821" i="8"/>
  <c r="J820" i="8"/>
  <c r="H820" i="8"/>
  <c r="J819" i="8"/>
  <c r="H819" i="8"/>
  <c r="J818" i="8"/>
  <c r="H818" i="8"/>
  <c r="J817" i="8"/>
  <c r="H817" i="8"/>
  <c r="J816" i="8"/>
  <c r="H816" i="8"/>
  <c r="J815" i="8"/>
  <c r="H815" i="8"/>
  <c r="J814" i="8"/>
  <c r="H814" i="8"/>
  <c r="J813" i="8"/>
  <c r="H813" i="8"/>
  <c r="J812" i="8"/>
  <c r="H812" i="8"/>
  <c r="J811" i="8"/>
  <c r="H811" i="8"/>
  <c r="J810" i="8"/>
  <c r="H810" i="8"/>
  <c r="J809" i="8"/>
  <c r="H809" i="8"/>
  <c r="J808" i="8"/>
  <c r="H808" i="8"/>
  <c r="J807" i="8"/>
  <c r="H807" i="8"/>
  <c r="J806" i="8"/>
  <c r="H806" i="8"/>
  <c r="J805" i="8"/>
  <c r="H805" i="8"/>
  <c r="J804" i="8"/>
  <c r="H804" i="8"/>
  <c r="J803" i="8"/>
  <c r="H803" i="8"/>
  <c r="J802" i="8"/>
  <c r="H802" i="8"/>
  <c r="J801" i="8"/>
  <c r="H801" i="8"/>
  <c r="J800" i="8"/>
  <c r="H800" i="8"/>
  <c r="J799" i="8"/>
  <c r="H799" i="8"/>
  <c r="J798" i="8"/>
  <c r="H798" i="8"/>
  <c r="J797" i="8"/>
  <c r="H797" i="8"/>
  <c r="J796" i="8"/>
  <c r="H796" i="8"/>
  <c r="J795" i="8"/>
  <c r="H795" i="8"/>
  <c r="J794" i="8"/>
  <c r="H794" i="8"/>
  <c r="J793" i="8"/>
  <c r="H793" i="8"/>
  <c r="J792" i="8"/>
  <c r="H792" i="8"/>
  <c r="J791" i="8"/>
  <c r="H791" i="8"/>
  <c r="J790" i="8"/>
  <c r="H790" i="8"/>
  <c r="J789" i="8"/>
  <c r="H789" i="8"/>
  <c r="J788" i="8"/>
  <c r="H788" i="8"/>
  <c r="J787" i="8"/>
  <c r="H787" i="8"/>
  <c r="J786" i="8"/>
  <c r="H786" i="8"/>
  <c r="J785" i="8"/>
  <c r="H785" i="8"/>
  <c r="J784" i="8"/>
  <c r="H784" i="8"/>
  <c r="J783" i="8"/>
  <c r="H783" i="8"/>
  <c r="J782" i="8"/>
  <c r="H782" i="8"/>
  <c r="J781" i="8"/>
  <c r="H781" i="8"/>
  <c r="J780" i="8"/>
  <c r="H780" i="8"/>
  <c r="J779" i="8"/>
  <c r="H779" i="8"/>
  <c r="J778" i="8"/>
  <c r="H778" i="8"/>
  <c r="J777" i="8"/>
  <c r="H777" i="8"/>
  <c r="J776" i="8"/>
  <c r="H776" i="8"/>
  <c r="J775" i="8"/>
  <c r="H775" i="8"/>
  <c r="J774" i="8"/>
  <c r="H774" i="8"/>
  <c r="J773" i="8"/>
  <c r="H773" i="8"/>
  <c r="J772" i="8"/>
  <c r="H772" i="8"/>
  <c r="J771" i="8"/>
  <c r="H771" i="8"/>
  <c r="J770" i="8"/>
  <c r="H770" i="8"/>
  <c r="J769" i="8"/>
  <c r="H769" i="8"/>
  <c r="J768" i="8"/>
  <c r="H768" i="8"/>
  <c r="J767" i="8"/>
  <c r="H767" i="8"/>
  <c r="J766" i="8"/>
  <c r="H766" i="8"/>
  <c r="J765" i="8"/>
  <c r="H765" i="8"/>
  <c r="J764" i="8"/>
  <c r="H764" i="8"/>
  <c r="J763" i="8"/>
  <c r="H763" i="8"/>
  <c r="J762" i="8"/>
  <c r="H762" i="8"/>
  <c r="J761" i="8"/>
  <c r="H761" i="8"/>
  <c r="J760" i="8"/>
  <c r="H760" i="8"/>
  <c r="J759" i="8"/>
  <c r="H759" i="8"/>
  <c r="J758" i="8"/>
  <c r="H758" i="8"/>
  <c r="J757" i="8"/>
  <c r="H757" i="8"/>
  <c r="J756" i="8"/>
  <c r="H756" i="8"/>
  <c r="J755" i="8"/>
  <c r="H755" i="8"/>
  <c r="J754" i="8"/>
  <c r="H754" i="8"/>
  <c r="J753" i="8"/>
  <c r="H753" i="8"/>
  <c r="J752" i="8"/>
  <c r="H752" i="8"/>
  <c r="J751" i="8"/>
  <c r="H751" i="8"/>
  <c r="J750" i="8"/>
  <c r="H750" i="8"/>
  <c r="J749" i="8"/>
  <c r="H749" i="8"/>
  <c r="J748" i="8"/>
  <c r="H748" i="8"/>
  <c r="J747" i="8"/>
  <c r="H747" i="8"/>
  <c r="J746" i="8"/>
  <c r="H746" i="8"/>
  <c r="J745" i="8"/>
  <c r="H745" i="8"/>
  <c r="J744" i="8"/>
  <c r="H744" i="8"/>
  <c r="J743" i="8"/>
  <c r="H743" i="8"/>
  <c r="J742" i="8"/>
  <c r="H742" i="8"/>
  <c r="J741" i="8"/>
  <c r="H741" i="8"/>
  <c r="J740" i="8"/>
  <c r="H740" i="8"/>
  <c r="J739" i="8"/>
  <c r="H739" i="8"/>
  <c r="J738" i="8"/>
  <c r="H738" i="8"/>
  <c r="J737" i="8"/>
  <c r="H737" i="8"/>
  <c r="J736" i="8"/>
  <c r="H736" i="8"/>
  <c r="J735" i="8"/>
  <c r="H735" i="8"/>
  <c r="J734" i="8"/>
  <c r="H734" i="8"/>
  <c r="J733" i="8"/>
  <c r="H733" i="8"/>
  <c r="J732" i="8"/>
  <c r="H732" i="8"/>
  <c r="J731" i="8"/>
  <c r="H731" i="8"/>
  <c r="J730" i="8"/>
  <c r="H730" i="8"/>
  <c r="J729" i="8"/>
  <c r="H729" i="8"/>
  <c r="J728" i="8"/>
  <c r="H728" i="8"/>
  <c r="J727" i="8"/>
  <c r="H727" i="8"/>
  <c r="J726" i="8"/>
  <c r="H726" i="8"/>
  <c r="J725" i="8"/>
  <c r="H725" i="8"/>
  <c r="J724" i="8"/>
  <c r="H724" i="8"/>
  <c r="J723" i="8"/>
  <c r="H723" i="8"/>
  <c r="J722" i="8"/>
  <c r="H722" i="8"/>
  <c r="J721" i="8"/>
  <c r="H721" i="8"/>
  <c r="J720" i="8"/>
  <c r="H720" i="8"/>
  <c r="J719" i="8"/>
  <c r="H719" i="8"/>
  <c r="J718" i="8"/>
  <c r="H718" i="8"/>
  <c r="J717" i="8"/>
  <c r="H717" i="8"/>
  <c r="J716" i="8"/>
  <c r="H716" i="8"/>
  <c r="J715" i="8"/>
  <c r="H715" i="8"/>
  <c r="J714" i="8"/>
  <c r="H714" i="8"/>
  <c r="J713" i="8"/>
  <c r="H713" i="8"/>
  <c r="J712" i="8"/>
  <c r="H712" i="8"/>
  <c r="J711" i="8"/>
  <c r="H711" i="8"/>
  <c r="J710" i="8"/>
  <c r="H710" i="8"/>
  <c r="J709" i="8"/>
  <c r="H709" i="8"/>
  <c r="J708" i="8"/>
  <c r="H708" i="8"/>
  <c r="J707" i="8"/>
  <c r="H707" i="8"/>
  <c r="J706" i="8"/>
  <c r="H706" i="8"/>
  <c r="J705" i="8"/>
  <c r="H705" i="8"/>
  <c r="J704" i="8"/>
  <c r="H704" i="8"/>
  <c r="J703" i="8"/>
  <c r="H703" i="8"/>
  <c r="J702" i="8"/>
  <c r="H702" i="8"/>
  <c r="J701" i="8"/>
  <c r="H701" i="8"/>
  <c r="J700" i="8"/>
  <c r="H700" i="8"/>
  <c r="J699" i="8"/>
  <c r="H699" i="8"/>
  <c r="J698" i="8"/>
  <c r="H698" i="8"/>
  <c r="J697" i="8"/>
  <c r="H697" i="8"/>
  <c r="J696" i="8"/>
  <c r="H696" i="8"/>
  <c r="J695" i="8"/>
  <c r="H695" i="8"/>
  <c r="J694" i="8"/>
  <c r="H694" i="8"/>
  <c r="J693" i="8"/>
  <c r="H693" i="8"/>
  <c r="J692" i="8"/>
  <c r="H692" i="8"/>
  <c r="J691" i="8"/>
  <c r="H691" i="8"/>
  <c r="J690" i="8"/>
  <c r="H690" i="8"/>
  <c r="J689" i="8"/>
  <c r="H689" i="8"/>
  <c r="J688" i="8"/>
  <c r="H688" i="8"/>
  <c r="J687" i="8"/>
  <c r="H687" i="8"/>
  <c r="J686" i="8"/>
  <c r="H686" i="8"/>
  <c r="J685" i="8"/>
  <c r="H685" i="8"/>
  <c r="J684" i="8"/>
  <c r="H684" i="8"/>
  <c r="J683" i="8"/>
  <c r="H683" i="8"/>
  <c r="J682" i="8"/>
  <c r="H682" i="8"/>
  <c r="J681" i="8"/>
  <c r="H681" i="8"/>
  <c r="J680" i="8"/>
  <c r="H680" i="8"/>
  <c r="J679" i="8"/>
  <c r="H679" i="8"/>
  <c r="J678" i="8"/>
  <c r="H678" i="8"/>
  <c r="J677" i="8"/>
  <c r="H677" i="8"/>
  <c r="J676" i="8"/>
  <c r="H676" i="8"/>
  <c r="J675" i="8"/>
  <c r="H675" i="8"/>
  <c r="J674" i="8"/>
  <c r="H674" i="8"/>
  <c r="J673" i="8"/>
  <c r="H673" i="8"/>
  <c r="J672" i="8"/>
  <c r="H672" i="8"/>
  <c r="J671" i="8"/>
  <c r="H671" i="8"/>
  <c r="J670" i="8"/>
  <c r="H670" i="8"/>
  <c r="J669" i="8"/>
  <c r="H669" i="8"/>
  <c r="J668" i="8"/>
  <c r="H668" i="8"/>
  <c r="J667" i="8"/>
  <c r="H667" i="8"/>
  <c r="J666" i="8"/>
  <c r="H666" i="8"/>
  <c r="J665" i="8"/>
  <c r="H665" i="8"/>
  <c r="J664" i="8"/>
  <c r="H664" i="8"/>
  <c r="J663" i="8"/>
  <c r="H663" i="8"/>
  <c r="J662" i="8"/>
  <c r="H662" i="8"/>
  <c r="J661" i="8"/>
  <c r="H661" i="8"/>
  <c r="J660" i="8"/>
  <c r="H660" i="8"/>
  <c r="J659" i="8"/>
  <c r="H659" i="8"/>
  <c r="J658" i="8"/>
  <c r="H658" i="8"/>
  <c r="J657" i="8"/>
  <c r="H657" i="8"/>
  <c r="J656" i="8"/>
  <c r="H656" i="8"/>
  <c r="J655" i="8"/>
  <c r="H655" i="8"/>
  <c r="J654" i="8"/>
  <c r="H654" i="8"/>
  <c r="J653" i="8"/>
  <c r="H653" i="8"/>
  <c r="J652" i="8"/>
  <c r="H652" i="8"/>
  <c r="J651" i="8"/>
  <c r="H651" i="8"/>
  <c r="J650" i="8"/>
  <c r="H650" i="8"/>
  <c r="J649" i="8"/>
  <c r="H649" i="8"/>
  <c r="J648" i="8"/>
  <c r="H648" i="8"/>
  <c r="J647" i="8"/>
  <c r="H647" i="8"/>
  <c r="J646" i="8"/>
  <c r="H646" i="8"/>
  <c r="J645" i="8"/>
  <c r="H645" i="8"/>
  <c r="J644" i="8"/>
  <c r="H644" i="8"/>
  <c r="J643" i="8"/>
  <c r="H643" i="8"/>
  <c r="J642" i="8"/>
  <c r="H642" i="8"/>
  <c r="J641" i="8"/>
  <c r="H641" i="8"/>
  <c r="J640" i="8"/>
  <c r="H640" i="8"/>
  <c r="J639" i="8"/>
  <c r="H639" i="8"/>
  <c r="J638" i="8"/>
  <c r="H638" i="8"/>
  <c r="J637" i="8"/>
  <c r="H637" i="8"/>
  <c r="J636" i="8"/>
  <c r="H636" i="8"/>
  <c r="J635" i="8"/>
  <c r="H635" i="8"/>
  <c r="J634" i="8"/>
  <c r="H634" i="8"/>
  <c r="J633" i="8"/>
  <c r="H633" i="8"/>
  <c r="J632" i="8"/>
  <c r="H632" i="8"/>
  <c r="J631" i="8"/>
  <c r="H631" i="8"/>
  <c r="J630" i="8"/>
  <c r="H630" i="8"/>
  <c r="J629" i="8"/>
  <c r="H629" i="8"/>
  <c r="J628" i="8"/>
  <c r="H628" i="8"/>
  <c r="J627" i="8"/>
  <c r="H627" i="8"/>
  <c r="J626" i="8"/>
  <c r="H626" i="8"/>
  <c r="J625" i="8"/>
  <c r="H625" i="8"/>
  <c r="J624" i="8"/>
  <c r="H624" i="8"/>
  <c r="J623" i="8"/>
  <c r="H623" i="8"/>
  <c r="J622" i="8"/>
  <c r="H622" i="8"/>
  <c r="J621" i="8"/>
  <c r="H621" i="8"/>
  <c r="J620" i="8"/>
  <c r="H620" i="8"/>
  <c r="J619" i="8"/>
  <c r="H619" i="8"/>
  <c r="J618" i="8"/>
  <c r="H618" i="8"/>
  <c r="J617" i="8"/>
  <c r="H617" i="8"/>
  <c r="J616" i="8"/>
  <c r="H616" i="8"/>
  <c r="J615" i="8"/>
  <c r="H615" i="8"/>
  <c r="J614" i="8"/>
  <c r="H614" i="8"/>
  <c r="J613" i="8"/>
  <c r="H613" i="8"/>
  <c r="J612" i="8"/>
  <c r="H612" i="8"/>
  <c r="J611" i="8"/>
  <c r="H611" i="8"/>
  <c r="J610" i="8"/>
  <c r="H610" i="8"/>
  <c r="J609" i="8"/>
  <c r="H609" i="8"/>
  <c r="J608" i="8"/>
  <c r="H608" i="8"/>
  <c r="J607" i="8"/>
  <c r="H607" i="8"/>
  <c r="J606" i="8"/>
  <c r="H606" i="8"/>
  <c r="J605" i="8"/>
  <c r="H605" i="8"/>
  <c r="J604" i="8"/>
  <c r="H604" i="8"/>
  <c r="J603" i="8"/>
  <c r="H603" i="8"/>
  <c r="J602" i="8"/>
  <c r="H602" i="8"/>
  <c r="J601" i="8"/>
  <c r="H601" i="8"/>
  <c r="J600" i="8"/>
  <c r="H600" i="8"/>
  <c r="J599" i="8"/>
  <c r="H599" i="8"/>
  <c r="J598" i="8"/>
  <c r="H598" i="8"/>
  <c r="J597" i="8"/>
  <c r="H597" i="8"/>
  <c r="J596" i="8"/>
  <c r="H596" i="8"/>
  <c r="J595" i="8"/>
  <c r="H595" i="8"/>
  <c r="J594" i="8"/>
  <c r="H594" i="8"/>
  <c r="J593" i="8"/>
  <c r="H593" i="8"/>
  <c r="J592" i="8"/>
  <c r="H592" i="8"/>
  <c r="J591" i="8"/>
  <c r="H591" i="8"/>
  <c r="J590" i="8"/>
  <c r="H590" i="8"/>
  <c r="J589" i="8"/>
  <c r="H589" i="8"/>
  <c r="J588" i="8"/>
  <c r="H588" i="8"/>
  <c r="J587" i="8"/>
  <c r="H587" i="8"/>
  <c r="J586" i="8"/>
  <c r="H586" i="8"/>
  <c r="J585" i="8"/>
  <c r="H585" i="8"/>
  <c r="J584" i="8"/>
  <c r="H584" i="8"/>
  <c r="J583" i="8"/>
  <c r="H583" i="8"/>
  <c r="J582" i="8"/>
  <c r="H582" i="8"/>
  <c r="J581" i="8"/>
  <c r="H581" i="8"/>
  <c r="J580" i="8"/>
  <c r="H580" i="8"/>
  <c r="J579" i="8"/>
  <c r="H579" i="8"/>
  <c r="J578" i="8"/>
  <c r="H578" i="8"/>
  <c r="J577" i="8"/>
  <c r="H577" i="8"/>
  <c r="J576" i="8"/>
  <c r="H576" i="8"/>
  <c r="J575" i="8"/>
  <c r="H575" i="8"/>
  <c r="J574" i="8"/>
  <c r="H574" i="8"/>
  <c r="J573" i="8"/>
  <c r="H573" i="8"/>
  <c r="J572" i="8"/>
  <c r="H572" i="8"/>
  <c r="J571" i="8"/>
  <c r="H571" i="8"/>
  <c r="J570" i="8"/>
  <c r="H570" i="8"/>
  <c r="J569" i="8"/>
  <c r="H569" i="8"/>
  <c r="J568" i="8"/>
  <c r="H568" i="8"/>
  <c r="J567" i="8"/>
  <c r="H567" i="8"/>
  <c r="J566" i="8"/>
  <c r="H566" i="8"/>
  <c r="J565" i="8"/>
  <c r="H565" i="8"/>
  <c r="J564" i="8"/>
  <c r="H564" i="8"/>
  <c r="J563" i="8"/>
  <c r="H563" i="8"/>
  <c r="J562" i="8"/>
  <c r="H562" i="8"/>
  <c r="J561" i="8"/>
  <c r="H561" i="8"/>
  <c r="J560" i="8"/>
  <c r="H560" i="8"/>
  <c r="J559" i="8"/>
  <c r="H559" i="8"/>
  <c r="J558" i="8"/>
  <c r="H558" i="8"/>
  <c r="J557" i="8"/>
  <c r="H557" i="8"/>
  <c r="J556" i="8"/>
  <c r="H556" i="8"/>
  <c r="J555" i="8"/>
  <c r="H555" i="8"/>
  <c r="J554" i="8"/>
  <c r="H554" i="8"/>
  <c r="J553" i="8"/>
  <c r="H553" i="8"/>
  <c r="J552" i="8"/>
  <c r="H552" i="8"/>
  <c r="J551" i="8"/>
  <c r="H551" i="8"/>
  <c r="J550" i="8"/>
  <c r="H550" i="8"/>
  <c r="J549" i="8"/>
  <c r="H549" i="8"/>
  <c r="J548" i="8"/>
  <c r="H548" i="8"/>
  <c r="J547" i="8"/>
  <c r="H547" i="8"/>
  <c r="J546" i="8"/>
  <c r="H546" i="8"/>
  <c r="J545" i="8"/>
  <c r="H545" i="8"/>
  <c r="J544" i="8"/>
  <c r="H544" i="8"/>
  <c r="J543" i="8"/>
  <c r="H543" i="8"/>
  <c r="J542" i="8"/>
  <c r="H542" i="8"/>
  <c r="J541" i="8"/>
  <c r="H541" i="8"/>
  <c r="J540" i="8"/>
  <c r="H540" i="8"/>
  <c r="J539" i="8"/>
  <c r="H539" i="8"/>
  <c r="J538" i="8"/>
  <c r="H538" i="8"/>
  <c r="J537" i="8"/>
  <c r="H537" i="8"/>
  <c r="J536" i="8"/>
  <c r="H536" i="8"/>
  <c r="J535" i="8"/>
  <c r="H535" i="8"/>
  <c r="J534" i="8"/>
  <c r="H534" i="8"/>
  <c r="J533" i="8"/>
  <c r="H533" i="8"/>
  <c r="J532" i="8"/>
  <c r="H532" i="8"/>
  <c r="J531" i="8"/>
  <c r="H531" i="8"/>
  <c r="J530" i="8"/>
  <c r="H530" i="8"/>
  <c r="J529" i="8"/>
  <c r="H529" i="8"/>
  <c r="J528" i="8"/>
  <c r="H528" i="8"/>
  <c r="J527" i="8"/>
  <c r="H527" i="8"/>
  <c r="J526" i="8"/>
  <c r="H526" i="8"/>
  <c r="J525" i="8"/>
  <c r="H525" i="8"/>
  <c r="J524" i="8"/>
  <c r="H524" i="8"/>
  <c r="J523" i="8"/>
  <c r="H523" i="8"/>
  <c r="J522" i="8"/>
  <c r="H522" i="8"/>
  <c r="J521" i="8"/>
  <c r="H521" i="8"/>
  <c r="J520" i="8"/>
  <c r="H520" i="8"/>
  <c r="J519" i="8"/>
  <c r="H519" i="8"/>
  <c r="J518" i="8"/>
  <c r="H518" i="8"/>
  <c r="J517" i="8"/>
  <c r="H517" i="8"/>
  <c r="J516" i="8"/>
  <c r="H516" i="8"/>
  <c r="J515" i="8"/>
  <c r="H515" i="8"/>
  <c r="J514" i="8"/>
  <c r="H514" i="8"/>
  <c r="J513" i="8"/>
  <c r="H513" i="8"/>
  <c r="J512" i="8"/>
  <c r="H512" i="8"/>
  <c r="J511" i="8"/>
  <c r="H511" i="8"/>
  <c r="J510" i="8"/>
  <c r="H510" i="8"/>
  <c r="J509" i="8"/>
  <c r="H509" i="8"/>
  <c r="J508" i="8"/>
  <c r="H508" i="8"/>
  <c r="J507" i="8"/>
  <c r="H507" i="8"/>
  <c r="J506" i="8"/>
  <c r="H506" i="8"/>
  <c r="J505" i="8"/>
  <c r="H505" i="8"/>
  <c r="J504" i="8"/>
  <c r="H504" i="8"/>
  <c r="J503" i="8"/>
  <c r="H503" i="8"/>
  <c r="J502" i="8"/>
  <c r="H502" i="8"/>
  <c r="J501" i="8"/>
  <c r="H501" i="8"/>
  <c r="J500" i="8"/>
  <c r="H500" i="8"/>
  <c r="J499" i="8"/>
  <c r="H499" i="8"/>
  <c r="J498" i="8"/>
  <c r="H498" i="8"/>
  <c r="J497" i="8"/>
  <c r="H497" i="8"/>
  <c r="J496" i="8"/>
  <c r="H496" i="8"/>
  <c r="J495" i="8"/>
  <c r="H495" i="8"/>
  <c r="J494" i="8"/>
  <c r="H494" i="8"/>
  <c r="J493" i="8"/>
  <c r="H493" i="8"/>
  <c r="J492" i="8"/>
  <c r="H492" i="8"/>
  <c r="J491" i="8"/>
  <c r="H491" i="8"/>
  <c r="J490" i="8"/>
  <c r="H490" i="8"/>
  <c r="J489" i="8"/>
  <c r="H489" i="8"/>
  <c r="J488" i="8"/>
  <c r="H488" i="8"/>
  <c r="J487" i="8"/>
  <c r="H487" i="8"/>
  <c r="J486" i="8"/>
  <c r="H486" i="8"/>
  <c r="J485" i="8"/>
  <c r="H485" i="8"/>
  <c r="J484" i="8"/>
  <c r="H484" i="8"/>
  <c r="J483" i="8"/>
  <c r="H483" i="8"/>
  <c r="J482" i="8"/>
  <c r="H482" i="8"/>
  <c r="J481" i="8"/>
  <c r="H481" i="8"/>
  <c r="J480" i="8"/>
  <c r="H480" i="8"/>
  <c r="J479" i="8"/>
  <c r="H479" i="8"/>
  <c r="J478" i="8"/>
  <c r="H478" i="8"/>
  <c r="J477" i="8"/>
  <c r="H477" i="8"/>
  <c r="J476" i="8"/>
  <c r="H476" i="8"/>
  <c r="J475" i="8"/>
  <c r="H475" i="8"/>
  <c r="J474" i="8"/>
  <c r="H474" i="8"/>
  <c r="J473" i="8"/>
  <c r="H473" i="8"/>
  <c r="J472" i="8"/>
  <c r="H472" i="8"/>
  <c r="J471" i="8"/>
  <c r="H471" i="8"/>
  <c r="J470" i="8"/>
  <c r="H470" i="8"/>
  <c r="J469" i="8"/>
  <c r="H469" i="8"/>
  <c r="J468" i="8"/>
  <c r="H468" i="8"/>
  <c r="J467" i="8"/>
  <c r="H467" i="8"/>
  <c r="J466" i="8"/>
  <c r="H466" i="8"/>
  <c r="J465" i="8"/>
  <c r="H465" i="8"/>
  <c r="J464" i="8"/>
  <c r="H464" i="8"/>
  <c r="J463" i="8"/>
  <c r="H463" i="8"/>
  <c r="J462" i="8"/>
  <c r="H462" i="8"/>
  <c r="J461" i="8"/>
  <c r="H461" i="8"/>
  <c r="J460" i="8"/>
  <c r="H460" i="8"/>
  <c r="J459" i="8"/>
  <c r="H459" i="8"/>
  <c r="J458" i="8"/>
  <c r="H458" i="8"/>
  <c r="J457" i="8"/>
  <c r="H457" i="8"/>
  <c r="J456" i="8"/>
  <c r="H456" i="8"/>
  <c r="J455" i="8"/>
  <c r="H455" i="8"/>
  <c r="J454" i="8"/>
  <c r="H454" i="8"/>
  <c r="J453" i="8"/>
  <c r="H453" i="8"/>
  <c r="J452" i="8"/>
  <c r="H452" i="8"/>
  <c r="J451" i="8"/>
  <c r="H451" i="8"/>
  <c r="J450" i="8"/>
  <c r="H450" i="8"/>
  <c r="J449" i="8"/>
  <c r="H449" i="8"/>
  <c r="J448" i="8"/>
  <c r="H448" i="8"/>
  <c r="J447" i="8"/>
  <c r="H447" i="8"/>
  <c r="J446" i="8"/>
  <c r="H446" i="8"/>
  <c r="J445" i="8"/>
  <c r="H445" i="8"/>
  <c r="J444" i="8"/>
  <c r="H444" i="8"/>
  <c r="J443" i="8"/>
  <c r="H443" i="8"/>
  <c r="J442" i="8"/>
  <c r="H442" i="8"/>
  <c r="J441" i="8"/>
  <c r="H441" i="8"/>
  <c r="J440" i="8"/>
  <c r="H440" i="8"/>
  <c r="J439" i="8"/>
  <c r="H439" i="8"/>
  <c r="J438" i="8"/>
  <c r="H438" i="8"/>
  <c r="J437" i="8"/>
  <c r="H437" i="8"/>
  <c r="J436" i="8"/>
  <c r="H436" i="8"/>
  <c r="J435" i="8"/>
  <c r="H435" i="8"/>
  <c r="J434" i="8"/>
  <c r="H434" i="8"/>
  <c r="J433" i="8"/>
  <c r="H433" i="8"/>
  <c r="J432" i="8"/>
  <c r="H432" i="8"/>
  <c r="J431" i="8"/>
  <c r="H431" i="8"/>
  <c r="J430" i="8"/>
  <c r="H430" i="8"/>
  <c r="J429" i="8"/>
  <c r="H429" i="8"/>
  <c r="J428" i="8"/>
  <c r="H428" i="8"/>
  <c r="J427" i="8"/>
  <c r="H427" i="8"/>
  <c r="J426" i="8"/>
  <c r="H426" i="8"/>
  <c r="J425" i="8"/>
  <c r="H425" i="8"/>
  <c r="J424" i="8"/>
  <c r="H424" i="8"/>
  <c r="J423" i="8"/>
  <c r="H423" i="8"/>
  <c r="J422" i="8"/>
  <c r="H422" i="8"/>
  <c r="J421" i="8"/>
  <c r="H421" i="8"/>
  <c r="J420" i="8"/>
  <c r="H420" i="8"/>
  <c r="J419" i="8"/>
  <c r="H419" i="8"/>
  <c r="J418" i="8"/>
  <c r="H418" i="8"/>
  <c r="J417" i="8"/>
  <c r="H417" i="8"/>
  <c r="J416" i="8"/>
  <c r="H416" i="8"/>
  <c r="J415" i="8"/>
  <c r="H415" i="8"/>
  <c r="J414" i="8"/>
  <c r="H414" i="8"/>
  <c r="J413" i="8"/>
  <c r="H413" i="8"/>
  <c r="J412" i="8"/>
  <c r="H412" i="8"/>
  <c r="J411" i="8"/>
  <c r="H411" i="8"/>
  <c r="J410" i="8"/>
  <c r="H410" i="8"/>
  <c r="J409" i="8"/>
  <c r="H409" i="8"/>
  <c r="J408" i="8"/>
  <c r="H408" i="8"/>
  <c r="J407" i="8"/>
  <c r="H407" i="8"/>
  <c r="J406" i="8"/>
  <c r="H406" i="8"/>
  <c r="J405" i="8"/>
  <c r="H405" i="8"/>
  <c r="J404" i="8"/>
  <c r="H404" i="8"/>
  <c r="J403" i="8"/>
  <c r="H403" i="8"/>
  <c r="J402" i="8"/>
  <c r="H402" i="8"/>
  <c r="J401" i="8"/>
  <c r="H401" i="8"/>
  <c r="J400" i="8"/>
  <c r="H400" i="8"/>
  <c r="J399" i="8"/>
  <c r="H399" i="8"/>
  <c r="J398" i="8"/>
  <c r="H398" i="8"/>
  <c r="J397" i="8"/>
  <c r="H397" i="8"/>
  <c r="J396" i="8"/>
  <c r="H396" i="8"/>
  <c r="J395" i="8"/>
  <c r="H395" i="8"/>
  <c r="J394" i="8"/>
  <c r="H394" i="8"/>
  <c r="J393" i="8"/>
  <c r="H393" i="8"/>
  <c r="J392" i="8"/>
  <c r="H392" i="8"/>
  <c r="J391" i="8"/>
  <c r="H391" i="8"/>
  <c r="J390" i="8"/>
  <c r="H390" i="8"/>
  <c r="J389" i="8"/>
  <c r="H389" i="8"/>
  <c r="J388" i="8"/>
  <c r="H388" i="8"/>
  <c r="J387" i="8"/>
  <c r="H387" i="8"/>
  <c r="J386" i="8"/>
  <c r="H386" i="8"/>
  <c r="J385" i="8"/>
  <c r="H385" i="8"/>
  <c r="J384" i="8"/>
  <c r="H384" i="8"/>
  <c r="J383" i="8"/>
  <c r="H383" i="8"/>
  <c r="J382" i="8"/>
  <c r="H382" i="8"/>
  <c r="J381" i="8"/>
  <c r="H381" i="8"/>
  <c r="J380" i="8"/>
  <c r="H380" i="8"/>
  <c r="J379" i="8"/>
  <c r="H379" i="8"/>
  <c r="J378" i="8"/>
  <c r="H378" i="8"/>
  <c r="J377" i="8"/>
  <c r="H377" i="8"/>
  <c r="J376" i="8"/>
  <c r="H376" i="8"/>
  <c r="J375" i="8"/>
  <c r="H375" i="8"/>
  <c r="J374" i="8"/>
  <c r="H374" i="8"/>
  <c r="J373" i="8"/>
  <c r="H373" i="8"/>
  <c r="J372" i="8"/>
  <c r="H372" i="8"/>
  <c r="J371" i="8"/>
  <c r="H371" i="8"/>
  <c r="J370" i="8"/>
  <c r="H370" i="8"/>
  <c r="J369" i="8"/>
  <c r="H369" i="8"/>
  <c r="J368" i="8"/>
  <c r="H368" i="8"/>
  <c r="J367" i="8"/>
  <c r="H367" i="8"/>
  <c r="J366" i="8"/>
  <c r="H366" i="8"/>
  <c r="J365" i="8"/>
  <c r="H365" i="8"/>
  <c r="J364" i="8"/>
  <c r="H364" i="8"/>
  <c r="J363" i="8"/>
  <c r="H363" i="8"/>
  <c r="J362" i="8"/>
  <c r="H362" i="8"/>
  <c r="J361" i="8"/>
  <c r="H361" i="8"/>
  <c r="J360" i="8"/>
  <c r="H360" i="8"/>
  <c r="J359" i="8"/>
  <c r="H359" i="8"/>
  <c r="J358" i="8"/>
  <c r="H358" i="8"/>
  <c r="J357" i="8"/>
  <c r="H357" i="8"/>
  <c r="J356" i="8"/>
  <c r="H356" i="8"/>
  <c r="J355" i="8"/>
  <c r="H355" i="8"/>
  <c r="J354" i="8"/>
  <c r="H354" i="8"/>
  <c r="J353" i="8"/>
  <c r="H353" i="8"/>
  <c r="J352" i="8"/>
  <c r="H352" i="8"/>
  <c r="J351" i="8"/>
  <c r="H351" i="8"/>
  <c r="J350" i="8"/>
  <c r="H350" i="8"/>
  <c r="J349" i="8"/>
  <c r="H349" i="8"/>
  <c r="J348" i="8"/>
  <c r="H348" i="8"/>
  <c r="J347" i="8"/>
  <c r="H347" i="8"/>
  <c r="J346" i="8"/>
  <c r="H346" i="8"/>
  <c r="J345" i="8"/>
  <c r="H345" i="8"/>
  <c r="J344" i="8"/>
  <c r="H344" i="8"/>
  <c r="J343" i="8"/>
  <c r="H343" i="8"/>
  <c r="J342" i="8"/>
  <c r="H342" i="8"/>
  <c r="J341" i="8"/>
  <c r="H341" i="8"/>
  <c r="J340" i="8"/>
  <c r="H340" i="8"/>
  <c r="J339" i="8"/>
  <c r="H339" i="8"/>
  <c r="J338" i="8"/>
  <c r="H338" i="8"/>
  <c r="J337" i="8"/>
  <c r="H337" i="8"/>
  <c r="J336" i="8"/>
  <c r="H336" i="8"/>
  <c r="J335" i="8"/>
  <c r="H335" i="8"/>
  <c r="J334" i="8"/>
  <c r="H334" i="8"/>
  <c r="J333" i="8"/>
  <c r="H333" i="8"/>
  <c r="J332" i="8"/>
  <c r="H332" i="8"/>
  <c r="J331" i="8"/>
  <c r="H331" i="8"/>
  <c r="J330" i="8"/>
  <c r="H330" i="8"/>
  <c r="J329" i="8"/>
  <c r="H329" i="8"/>
  <c r="J328" i="8"/>
  <c r="H328" i="8"/>
  <c r="J327" i="8"/>
  <c r="H327" i="8"/>
  <c r="J326" i="8"/>
  <c r="H326" i="8"/>
  <c r="J325" i="8"/>
  <c r="H325" i="8"/>
  <c r="J324" i="8"/>
  <c r="H324" i="8"/>
  <c r="J323" i="8"/>
  <c r="H323" i="8"/>
  <c r="J322" i="8"/>
  <c r="H322" i="8"/>
  <c r="J321" i="8"/>
  <c r="H321" i="8"/>
  <c r="J320" i="8"/>
  <c r="H320" i="8"/>
  <c r="J319" i="8"/>
  <c r="H319" i="8"/>
  <c r="J318" i="8"/>
  <c r="H318" i="8"/>
  <c r="J317" i="8"/>
  <c r="H317" i="8"/>
  <c r="J316" i="8"/>
  <c r="H316" i="8"/>
  <c r="J315" i="8"/>
  <c r="H315" i="8"/>
  <c r="J314" i="8"/>
  <c r="H314" i="8"/>
  <c r="J313" i="8"/>
  <c r="H313" i="8"/>
  <c r="J312" i="8"/>
  <c r="H312" i="8"/>
  <c r="J311" i="8"/>
  <c r="H311" i="8"/>
  <c r="J310" i="8"/>
  <c r="H310" i="8"/>
  <c r="J309" i="8"/>
  <c r="H309" i="8"/>
  <c r="J308" i="8"/>
  <c r="H308" i="8"/>
  <c r="J307" i="8"/>
  <c r="H307" i="8"/>
  <c r="J306" i="8"/>
  <c r="H306" i="8"/>
  <c r="J305" i="8"/>
  <c r="H305" i="8"/>
  <c r="J304" i="8"/>
  <c r="H304" i="8"/>
  <c r="J303" i="8"/>
  <c r="H303" i="8"/>
  <c r="J302" i="8"/>
  <c r="H302" i="8"/>
  <c r="J301" i="8"/>
  <c r="H301" i="8"/>
  <c r="J300" i="8"/>
  <c r="H300" i="8"/>
  <c r="J299" i="8"/>
  <c r="H299" i="8"/>
  <c r="J298" i="8"/>
  <c r="H298" i="8"/>
  <c r="J297" i="8"/>
  <c r="H297" i="8"/>
  <c r="J296" i="8"/>
  <c r="H296" i="8"/>
  <c r="J295" i="8"/>
  <c r="H295" i="8"/>
  <c r="J294" i="8"/>
  <c r="H294" i="8"/>
  <c r="J293" i="8"/>
  <c r="H293" i="8"/>
  <c r="J292" i="8"/>
  <c r="H292" i="8"/>
  <c r="J291" i="8"/>
  <c r="H291" i="8"/>
  <c r="J290" i="8"/>
  <c r="H290" i="8"/>
  <c r="J289" i="8"/>
  <c r="H289" i="8"/>
  <c r="J288" i="8"/>
  <c r="H288" i="8"/>
  <c r="J287" i="8"/>
  <c r="H287" i="8"/>
  <c r="J286" i="8"/>
  <c r="H286" i="8"/>
  <c r="J285" i="8"/>
  <c r="H285" i="8"/>
  <c r="J284" i="8"/>
  <c r="H284" i="8"/>
  <c r="J283" i="8"/>
  <c r="H283" i="8"/>
  <c r="J282" i="8"/>
  <c r="H282" i="8"/>
  <c r="J281" i="8"/>
  <c r="H281" i="8"/>
  <c r="J280" i="8"/>
  <c r="H280" i="8"/>
  <c r="J279" i="8"/>
  <c r="H279" i="8"/>
  <c r="J278" i="8"/>
  <c r="H278" i="8"/>
  <c r="J277" i="8"/>
  <c r="H277" i="8"/>
  <c r="J276" i="8"/>
  <c r="H276" i="8"/>
  <c r="J275" i="8"/>
  <c r="H275" i="8"/>
  <c r="J274" i="8"/>
  <c r="H274" i="8"/>
  <c r="J273" i="8"/>
  <c r="H273" i="8"/>
  <c r="J272" i="8"/>
  <c r="H272" i="8"/>
  <c r="J271" i="8"/>
  <c r="H271" i="8"/>
  <c r="J270" i="8"/>
  <c r="H270" i="8"/>
  <c r="J269" i="8"/>
  <c r="H269" i="8"/>
  <c r="J268" i="8"/>
  <c r="H268" i="8"/>
  <c r="J267" i="8"/>
  <c r="H267" i="8"/>
  <c r="J266" i="8"/>
  <c r="H266" i="8"/>
  <c r="J265" i="8"/>
  <c r="H265" i="8"/>
  <c r="J264" i="8"/>
  <c r="H264" i="8"/>
  <c r="J263" i="8"/>
  <c r="H263" i="8"/>
  <c r="J262" i="8"/>
  <c r="H262" i="8"/>
  <c r="J261" i="8"/>
  <c r="H261" i="8"/>
  <c r="J260" i="8"/>
  <c r="H260" i="8"/>
  <c r="J259" i="8"/>
  <c r="H259" i="8"/>
  <c r="J258" i="8"/>
  <c r="H258" i="8"/>
  <c r="J257" i="8"/>
  <c r="H257" i="8"/>
  <c r="J256" i="8"/>
  <c r="H256" i="8"/>
  <c r="J255" i="8"/>
  <c r="H255" i="8"/>
  <c r="J254" i="8"/>
  <c r="H254" i="8"/>
  <c r="J253" i="8"/>
  <c r="H253" i="8"/>
  <c r="J252" i="8"/>
  <c r="H252" i="8"/>
  <c r="J251" i="8"/>
  <c r="H251" i="8"/>
  <c r="J250" i="8"/>
  <c r="H250" i="8"/>
  <c r="J249" i="8"/>
  <c r="H249" i="8"/>
  <c r="J248" i="8"/>
  <c r="H248" i="8"/>
  <c r="J247" i="8"/>
  <c r="H247" i="8"/>
  <c r="J246" i="8"/>
  <c r="H246" i="8"/>
  <c r="J245" i="8"/>
  <c r="H245" i="8"/>
  <c r="J244" i="8"/>
  <c r="H244" i="8"/>
  <c r="J243" i="8"/>
  <c r="H243" i="8"/>
  <c r="J242" i="8"/>
  <c r="H242" i="8"/>
  <c r="J241" i="8"/>
  <c r="H241" i="8"/>
  <c r="J240" i="8"/>
  <c r="H240" i="8"/>
  <c r="J239" i="8"/>
  <c r="H239" i="8"/>
  <c r="J238" i="8"/>
  <c r="H238" i="8"/>
  <c r="J237" i="8"/>
  <c r="H237" i="8"/>
  <c r="J236" i="8"/>
  <c r="H236" i="8"/>
  <c r="J235" i="8"/>
  <c r="H235" i="8"/>
  <c r="J234" i="8"/>
  <c r="H234" i="8"/>
  <c r="J233" i="8"/>
  <c r="H233" i="8"/>
  <c r="J232" i="8"/>
  <c r="H232" i="8"/>
  <c r="J231" i="8"/>
  <c r="H231" i="8"/>
  <c r="J230" i="8"/>
  <c r="H230" i="8"/>
  <c r="J229" i="8"/>
  <c r="H229" i="8"/>
  <c r="J228" i="8"/>
  <c r="H228" i="8"/>
  <c r="J227" i="8"/>
  <c r="H227" i="8"/>
  <c r="J226" i="8"/>
  <c r="H226" i="8"/>
  <c r="J225" i="8"/>
  <c r="H225" i="8"/>
  <c r="J224" i="8"/>
  <c r="H224" i="8"/>
  <c r="J223" i="8"/>
  <c r="H223" i="8"/>
  <c r="J222" i="8"/>
  <c r="H222" i="8"/>
  <c r="J221" i="8"/>
  <c r="H221" i="8"/>
  <c r="J220" i="8"/>
  <c r="H220" i="8"/>
  <c r="J219" i="8"/>
  <c r="H219" i="8"/>
  <c r="J218" i="8"/>
  <c r="H218" i="8"/>
  <c r="J217" i="8"/>
  <c r="H217" i="8"/>
  <c r="J216" i="8"/>
  <c r="H216" i="8"/>
  <c r="J215" i="8"/>
  <c r="H215" i="8"/>
  <c r="J214" i="8"/>
  <c r="H214" i="8"/>
  <c r="J213" i="8"/>
  <c r="H213" i="8"/>
  <c r="J212" i="8"/>
  <c r="H212" i="8"/>
  <c r="J211" i="8"/>
  <c r="H211" i="8"/>
  <c r="J210" i="8"/>
  <c r="H210" i="8"/>
  <c r="J209" i="8"/>
  <c r="H209" i="8"/>
  <c r="J208" i="8"/>
  <c r="H208" i="8"/>
  <c r="J207" i="8"/>
  <c r="H207" i="8"/>
  <c r="J206" i="8"/>
  <c r="H206" i="8"/>
  <c r="J205" i="8"/>
  <c r="H205" i="8"/>
  <c r="J204" i="8"/>
  <c r="H204" i="8"/>
  <c r="J203" i="8"/>
  <c r="H203" i="8"/>
  <c r="J202" i="8"/>
  <c r="H202" i="8"/>
  <c r="J201" i="8"/>
  <c r="H201" i="8"/>
  <c r="J200" i="8"/>
  <c r="H200" i="8"/>
  <c r="J199" i="8"/>
  <c r="H199" i="8"/>
  <c r="J198" i="8"/>
  <c r="H198" i="8"/>
  <c r="J197" i="8"/>
  <c r="H197" i="8"/>
  <c r="J196" i="8"/>
  <c r="H196" i="8"/>
  <c r="J195" i="8"/>
  <c r="H195" i="8"/>
  <c r="J194" i="8"/>
  <c r="H194" i="8"/>
  <c r="J193" i="8"/>
  <c r="H193" i="8"/>
  <c r="J192" i="8"/>
  <c r="H192" i="8"/>
  <c r="J191" i="8"/>
  <c r="H191" i="8"/>
  <c r="J190" i="8"/>
  <c r="H190" i="8"/>
  <c r="J189" i="8"/>
  <c r="H189" i="8"/>
  <c r="J188" i="8"/>
  <c r="H188" i="8"/>
  <c r="J187" i="8"/>
  <c r="H187" i="8"/>
  <c r="J186" i="8"/>
  <c r="H186" i="8"/>
  <c r="J185" i="8"/>
  <c r="H185" i="8"/>
  <c r="J184" i="8"/>
  <c r="H184" i="8"/>
  <c r="J183" i="8"/>
  <c r="H183" i="8"/>
  <c r="J182" i="8"/>
  <c r="H182" i="8"/>
  <c r="J181" i="8"/>
  <c r="H181" i="8"/>
  <c r="J180" i="8"/>
  <c r="H180" i="8"/>
  <c r="J179" i="8"/>
  <c r="H179" i="8"/>
  <c r="J178" i="8"/>
  <c r="H178" i="8"/>
  <c r="J177" i="8"/>
  <c r="H177" i="8"/>
  <c r="J176" i="8"/>
  <c r="H176" i="8"/>
  <c r="J175" i="8"/>
  <c r="H175" i="8"/>
  <c r="J174" i="8"/>
  <c r="H174" i="8"/>
  <c r="J173" i="8"/>
  <c r="H173" i="8"/>
  <c r="J172" i="8"/>
  <c r="H172" i="8"/>
  <c r="J171" i="8"/>
  <c r="H171" i="8"/>
  <c r="J170" i="8"/>
  <c r="H170" i="8"/>
  <c r="J169" i="8"/>
  <c r="H169" i="8"/>
  <c r="J168" i="8"/>
  <c r="H168" i="8"/>
  <c r="J167" i="8"/>
  <c r="H167" i="8"/>
  <c r="J166" i="8"/>
  <c r="H166" i="8"/>
  <c r="J165" i="8"/>
  <c r="H165" i="8"/>
  <c r="J164" i="8"/>
  <c r="H164" i="8"/>
  <c r="J163" i="8"/>
  <c r="H163" i="8"/>
  <c r="J162" i="8"/>
  <c r="H162" i="8"/>
  <c r="J161" i="8"/>
  <c r="H161" i="8"/>
  <c r="J160" i="8"/>
  <c r="H160" i="8"/>
  <c r="J159" i="8"/>
  <c r="H159" i="8"/>
  <c r="J158" i="8"/>
  <c r="H158" i="8"/>
  <c r="J157" i="8"/>
  <c r="H157" i="8"/>
  <c r="J156" i="8"/>
  <c r="H156" i="8"/>
  <c r="J155" i="8"/>
  <c r="H155" i="8"/>
  <c r="J154" i="8"/>
  <c r="H154" i="8"/>
  <c r="J153" i="8"/>
  <c r="H153" i="8"/>
  <c r="J152" i="8"/>
  <c r="H152" i="8"/>
  <c r="J151" i="8"/>
  <c r="H151" i="8"/>
  <c r="J150" i="8"/>
  <c r="H150" i="8"/>
  <c r="J149" i="8"/>
  <c r="H149" i="8"/>
  <c r="J148" i="8"/>
  <c r="H148" i="8"/>
  <c r="J147" i="8"/>
  <c r="H147" i="8"/>
  <c r="J146" i="8"/>
  <c r="H146" i="8"/>
  <c r="J145" i="8"/>
  <c r="H145" i="8"/>
  <c r="J144" i="8"/>
  <c r="H144" i="8"/>
  <c r="J143" i="8"/>
  <c r="H143" i="8"/>
  <c r="J142" i="8"/>
  <c r="H142" i="8"/>
  <c r="J141" i="8"/>
  <c r="H141" i="8"/>
  <c r="J140" i="8"/>
  <c r="H140" i="8"/>
  <c r="J139" i="8"/>
  <c r="H139" i="8"/>
  <c r="J138" i="8"/>
  <c r="H138" i="8"/>
  <c r="J137" i="8"/>
  <c r="H137" i="8"/>
  <c r="J136" i="8"/>
  <c r="H136" i="8"/>
  <c r="J135" i="8"/>
  <c r="H135" i="8"/>
  <c r="J134" i="8"/>
  <c r="H134" i="8"/>
  <c r="J133" i="8"/>
  <c r="H133" i="8"/>
  <c r="J132" i="8"/>
  <c r="H132" i="8"/>
  <c r="J131" i="8"/>
  <c r="H131" i="8"/>
  <c r="J130" i="8"/>
  <c r="H130" i="8"/>
  <c r="J129" i="8"/>
  <c r="H129" i="8"/>
  <c r="J128" i="8"/>
  <c r="H128" i="8"/>
  <c r="J127" i="8"/>
  <c r="H127" i="8"/>
  <c r="J126" i="8"/>
  <c r="H126" i="8"/>
  <c r="J125" i="8"/>
  <c r="H125" i="8"/>
  <c r="J124" i="8"/>
  <c r="H124" i="8"/>
  <c r="J123" i="8"/>
  <c r="H123" i="8"/>
  <c r="J122" i="8"/>
  <c r="H122" i="8"/>
  <c r="J121" i="8"/>
  <c r="H121" i="8"/>
  <c r="J120" i="8"/>
  <c r="H120" i="8"/>
  <c r="J119" i="8"/>
  <c r="H119" i="8"/>
  <c r="J118" i="8"/>
  <c r="H118" i="8"/>
  <c r="J117" i="8"/>
  <c r="H117" i="8"/>
  <c r="J116" i="8"/>
  <c r="H116" i="8"/>
  <c r="J115" i="8"/>
  <c r="H115" i="8"/>
  <c r="J114" i="8"/>
  <c r="H114" i="8"/>
  <c r="J113" i="8"/>
  <c r="H113" i="8"/>
  <c r="J112" i="8"/>
  <c r="H112" i="8"/>
  <c r="J111" i="8"/>
  <c r="H111" i="8"/>
  <c r="J110" i="8"/>
  <c r="H110" i="8"/>
  <c r="J109" i="8"/>
  <c r="H109" i="8"/>
  <c r="J108" i="8"/>
  <c r="H108" i="8"/>
  <c r="J107" i="8"/>
  <c r="H107" i="8"/>
  <c r="J106" i="8"/>
  <c r="H106" i="8"/>
  <c r="J105" i="8"/>
  <c r="H105" i="8"/>
  <c r="J104" i="8"/>
  <c r="H104" i="8"/>
  <c r="J103" i="8"/>
  <c r="H103" i="8"/>
  <c r="J102" i="8"/>
  <c r="H102" i="8"/>
  <c r="J101" i="8"/>
  <c r="H101" i="8"/>
  <c r="J100" i="8"/>
  <c r="H100" i="8"/>
  <c r="J99" i="8"/>
  <c r="H99" i="8"/>
  <c r="J98" i="8"/>
  <c r="H98" i="8"/>
  <c r="J97" i="8"/>
  <c r="H97" i="8"/>
  <c r="J96" i="8"/>
  <c r="H96" i="8"/>
  <c r="J95" i="8"/>
  <c r="H95" i="8"/>
  <c r="J94" i="8"/>
  <c r="H94" i="8"/>
  <c r="J93" i="8"/>
  <c r="H93" i="8"/>
  <c r="J92" i="8"/>
  <c r="H92" i="8"/>
  <c r="J91" i="8"/>
  <c r="H91" i="8"/>
  <c r="J90" i="8"/>
  <c r="H90" i="8"/>
  <c r="J89" i="8"/>
  <c r="H89" i="8"/>
  <c r="J88" i="8"/>
  <c r="H88" i="8"/>
  <c r="J87" i="8"/>
  <c r="H87" i="8"/>
  <c r="J86" i="8"/>
  <c r="H86" i="8"/>
  <c r="J85" i="8"/>
  <c r="H85" i="8"/>
  <c r="J84" i="8"/>
  <c r="H84" i="8"/>
  <c r="J83" i="8"/>
  <c r="H83" i="8"/>
  <c r="J82" i="8"/>
  <c r="H82" i="8"/>
  <c r="J81" i="8"/>
  <c r="H81" i="8"/>
  <c r="J80" i="8"/>
  <c r="H80" i="8"/>
  <c r="J79" i="8"/>
  <c r="H79" i="8"/>
  <c r="J78" i="8"/>
  <c r="H78" i="8"/>
  <c r="J77" i="8"/>
  <c r="H77" i="8"/>
  <c r="J76" i="8"/>
  <c r="H76" i="8"/>
  <c r="J75" i="8"/>
  <c r="H75" i="8"/>
  <c r="J74" i="8"/>
  <c r="H74" i="8"/>
  <c r="J73" i="8"/>
  <c r="H73" i="8"/>
  <c r="J72" i="8"/>
  <c r="H72" i="8"/>
  <c r="J71" i="8"/>
  <c r="H71" i="8"/>
  <c r="J70" i="8"/>
  <c r="H70" i="8"/>
  <c r="J69" i="8"/>
  <c r="H69" i="8"/>
  <c r="J68" i="8"/>
  <c r="H68" i="8"/>
  <c r="J67" i="8"/>
  <c r="H67" i="8"/>
  <c r="J66" i="8"/>
  <c r="H66" i="8"/>
  <c r="J65" i="8"/>
  <c r="H65" i="8"/>
  <c r="J64" i="8"/>
  <c r="H64" i="8"/>
  <c r="J63" i="8"/>
  <c r="H63" i="8"/>
  <c r="J62" i="8"/>
  <c r="H62" i="8"/>
  <c r="J61" i="8"/>
  <c r="H61" i="8"/>
  <c r="J60" i="8"/>
  <c r="H60" i="8"/>
  <c r="J59" i="8"/>
  <c r="H59" i="8"/>
  <c r="J58" i="8"/>
  <c r="H58" i="8"/>
  <c r="J57" i="8"/>
  <c r="H57" i="8"/>
  <c r="J56" i="8"/>
  <c r="H56" i="8"/>
  <c r="J55" i="8"/>
  <c r="H55" i="8"/>
  <c r="J54" i="8"/>
  <c r="H54" i="8"/>
  <c r="J53" i="8"/>
  <c r="H53" i="8"/>
  <c r="J52" i="8"/>
  <c r="H52" i="8"/>
  <c r="J51" i="8"/>
  <c r="H51" i="8"/>
  <c r="J50" i="8"/>
  <c r="H50" i="8"/>
  <c r="J49" i="8"/>
  <c r="H49" i="8"/>
  <c r="J48" i="8"/>
  <c r="H48" i="8"/>
  <c r="J47" i="8"/>
  <c r="H47" i="8"/>
  <c r="J46" i="8"/>
  <c r="H46" i="8"/>
  <c r="J45" i="8"/>
  <c r="H45" i="8"/>
  <c r="J44" i="8"/>
  <c r="H44" i="8"/>
  <c r="J43" i="8"/>
  <c r="H43" i="8"/>
  <c r="J42" i="8"/>
  <c r="H42" i="8"/>
  <c r="J41" i="8"/>
  <c r="H41" i="8"/>
  <c r="J40" i="8"/>
  <c r="H40" i="8"/>
  <c r="J39" i="8"/>
  <c r="H39" i="8"/>
  <c r="J38" i="8"/>
  <c r="H38" i="8"/>
  <c r="J37" i="8"/>
  <c r="H37" i="8"/>
  <c r="J36" i="8"/>
  <c r="H36" i="8"/>
  <c r="J35" i="8"/>
  <c r="H35" i="8"/>
  <c r="J34" i="8"/>
  <c r="H34" i="8"/>
  <c r="J33" i="8"/>
  <c r="H33" i="8"/>
  <c r="J32" i="8"/>
  <c r="H32" i="8"/>
  <c r="J31" i="8"/>
  <c r="H31" i="8"/>
  <c r="J30" i="8"/>
  <c r="H30" i="8"/>
  <c r="J29" i="8"/>
  <c r="H29" i="8"/>
  <c r="J28" i="8"/>
  <c r="H28" i="8"/>
  <c r="J27" i="8"/>
  <c r="H27" i="8"/>
  <c r="J26" i="8"/>
  <c r="H26" i="8"/>
  <c r="J25" i="8"/>
  <c r="H25" i="8"/>
  <c r="J24" i="8"/>
  <c r="H24" i="8"/>
  <c r="J23" i="8"/>
  <c r="H23" i="8"/>
  <c r="J22" i="8"/>
  <c r="H22" i="8"/>
  <c r="J21" i="8"/>
  <c r="H21" i="8"/>
  <c r="J20" i="8"/>
  <c r="H20" i="8"/>
  <c r="J19" i="8"/>
  <c r="H19" i="8"/>
  <c r="J18" i="8"/>
  <c r="H18" i="8"/>
  <c r="J17" i="8"/>
  <c r="H17" i="8"/>
  <c r="J16" i="8"/>
  <c r="H16" i="8"/>
  <c r="J15" i="8"/>
  <c r="H15" i="8"/>
  <c r="J14" i="8"/>
  <c r="H14" i="8"/>
  <c r="J13" i="8"/>
  <c r="H13" i="8"/>
  <c r="J12" i="8"/>
  <c r="H12" i="8"/>
  <c r="J11" i="8"/>
  <c r="H11" i="8"/>
  <c r="J10" i="8"/>
  <c r="H10" i="8"/>
  <c r="J9" i="8"/>
  <c r="H9" i="8"/>
  <c r="J8" i="8"/>
  <c r="H8" i="8"/>
  <c r="J7" i="8"/>
  <c r="H7" i="8"/>
  <c r="J6" i="8"/>
  <c r="H6" i="8"/>
  <c r="J5" i="8"/>
  <c r="H5" i="8"/>
  <c r="J4" i="8"/>
  <c r="H4" i="8"/>
  <c r="J3" i="8"/>
  <c r="H3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J2" i="8"/>
  <c r="H2" i="8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l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</calcChain>
</file>

<file path=xl/sharedStrings.xml><?xml version="1.0" encoding="utf-8"?>
<sst xmlns="http://schemas.openxmlformats.org/spreadsheetml/2006/main" count="56429" uniqueCount="9892">
  <si>
    <t>STATUS</t>
  </si>
  <si>
    <t>(All)</t>
  </si>
  <si>
    <t>Count of No.</t>
  </si>
  <si>
    <t>Column Labels</t>
  </si>
  <si>
    <t>F0</t>
  </si>
  <si>
    <t>F0 Total</t>
  </si>
  <si>
    <t>F1</t>
  </si>
  <si>
    <t>F1 Total</t>
  </si>
  <si>
    <t>F2</t>
  </si>
  <si>
    <t>F2 Total</t>
  </si>
  <si>
    <t>Grand Total</t>
  </si>
  <si>
    <t>Row Labels</t>
  </si>
  <si>
    <t>Delete</t>
  </si>
  <si>
    <t>Move</t>
  </si>
  <si>
    <t>New</t>
  </si>
  <si>
    <t>Rename</t>
  </si>
  <si>
    <t>Rename/Move</t>
  </si>
  <si>
    <t>MGF</t>
  </si>
  <si>
    <t>LS</t>
  </si>
  <si>
    <t>HC</t>
  </si>
  <si>
    <t>EL</t>
  </si>
  <si>
    <t>FR7079486</t>
  </si>
  <si>
    <t>FR7126424</t>
  </si>
  <si>
    <t>FR7131058</t>
  </si>
  <si>
    <t>FR5208660</t>
  </si>
  <si>
    <t>Ok</t>
  </si>
  <si>
    <t>FR5265964</t>
  </si>
  <si>
    <t>FR5266249</t>
  </si>
  <si>
    <t>FR5267957</t>
  </si>
  <si>
    <t>FR5267969</t>
  </si>
  <si>
    <t>FR5286834</t>
  </si>
  <si>
    <t>FR5068879</t>
  </si>
  <si>
    <t>FR5072548</t>
  </si>
  <si>
    <t>FR5082089</t>
  </si>
  <si>
    <t>FR5092977</t>
  </si>
  <si>
    <t>FR5099062</t>
  </si>
  <si>
    <t>FR5107986</t>
  </si>
  <si>
    <t>FR5109402</t>
  </si>
  <si>
    <t>FR5115101</t>
  </si>
  <si>
    <t>FR5133979</t>
  </si>
  <si>
    <t>FR5134014</t>
  </si>
  <si>
    <t>FR5136045</t>
  </si>
  <si>
    <t>FR5138688</t>
  </si>
  <si>
    <t>FR5140150</t>
  </si>
  <si>
    <t>FR5140253</t>
  </si>
  <si>
    <t>FR5141188</t>
  </si>
  <si>
    <t>FR5142215</t>
  </si>
  <si>
    <t>FR5143016</t>
  </si>
  <si>
    <t>FR5144802</t>
  </si>
  <si>
    <t>No ticket</t>
  </si>
  <si>
    <t>FR5149833</t>
  </si>
  <si>
    <t>FR5150159</t>
  </si>
  <si>
    <t>FR5150282</t>
  </si>
  <si>
    <t>FR5150360</t>
  </si>
  <si>
    <t>FR5146865</t>
  </si>
  <si>
    <t>FR5152454</t>
  </si>
  <si>
    <t>FR5155724</t>
  </si>
  <si>
    <t>FR5288687</t>
  </si>
  <si>
    <t>FR5298363</t>
  </si>
  <si>
    <t>FR5298867</t>
  </si>
  <si>
    <t>FR5303863</t>
  </si>
  <si>
    <t>FR5306213</t>
  </si>
  <si>
    <t>FR5309229</t>
  </si>
  <si>
    <t>FR5313602</t>
  </si>
  <si>
    <t>FR5329157</t>
  </si>
  <si>
    <t>FR5311714</t>
  </si>
  <si>
    <t>FR5341107</t>
  </si>
  <si>
    <t>FR5345539</t>
  </si>
  <si>
    <t>FR5360319</t>
  </si>
  <si>
    <t>FR5359093</t>
  </si>
  <si>
    <t>FR5378808</t>
  </si>
  <si>
    <t>FR5392612</t>
  </si>
  <si>
    <t>FR5418419</t>
  </si>
  <si>
    <t>FR5457427</t>
  </si>
  <si>
    <t>FR5454784</t>
  </si>
  <si>
    <t>FR5455429</t>
  </si>
  <si>
    <t>FR5471868</t>
  </si>
  <si>
    <t>FR5469869</t>
  </si>
  <si>
    <t>FR5485856</t>
  </si>
  <si>
    <t>FR5485864</t>
  </si>
  <si>
    <t>FR5486396</t>
  </si>
  <si>
    <t>FR5485834</t>
  </si>
  <si>
    <t>FR5487119</t>
  </si>
  <si>
    <t>FR5486310</t>
  </si>
  <si>
    <t>FR5506653</t>
  </si>
  <si>
    <t>FR5509971</t>
  </si>
  <si>
    <t>ok</t>
  </si>
  <si>
    <t>FR5523815</t>
  </si>
  <si>
    <t>FR5524207</t>
  </si>
  <si>
    <t>FR5530236</t>
  </si>
  <si>
    <t>FR5537948</t>
  </si>
  <si>
    <t>FR5540183</t>
  </si>
  <si>
    <t>FR5547362</t>
  </si>
  <si>
    <t>FR5548141</t>
  </si>
  <si>
    <t>FR5549054</t>
  </si>
  <si>
    <t>FR5562418</t>
  </si>
  <si>
    <t>FR5561110</t>
  </si>
  <si>
    <t>FR5569348</t>
  </si>
  <si>
    <t>FR5548111</t>
  </si>
  <si>
    <t>FR5581755</t>
  </si>
  <si>
    <t>FR5582986</t>
  </si>
  <si>
    <t>FR5600182</t>
  </si>
  <si>
    <t>FR5617964</t>
  </si>
  <si>
    <t>FR5684840</t>
  </si>
  <si>
    <t>FR5684852</t>
  </si>
  <si>
    <t>FR5620885</t>
  </si>
  <si>
    <t>FR5695335</t>
  </si>
  <si>
    <t>FR5695357</t>
  </si>
  <si>
    <t>FR5714461</t>
  </si>
  <si>
    <t>FR5728795</t>
  </si>
  <si>
    <t>FR5747314</t>
  </si>
  <si>
    <t>FR5761353</t>
  </si>
  <si>
    <t>FR5766051</t>
  </si>
  <si>
    <t>FR5769280</t>
  </si>
  <si>
    <t>FR5780415</t>
  </si>
  <si>
    <t>FR5781138</t>
  </si>
  <si>
    <t>FR5789140</t>
  </si>
  <si>
    <t>FR5789964</t>
  </si>
  <si>
    <t>FR5790099</t>
  </si>
  <si>
    <t>FR5790365</t>
  </si>
  <si>
    <t>FR5798979</t>
  </si>
  <si>
    <t>FR5784418</t>
  </si>
  <si>
    <t>FR5850741</t>
  </si>
  <si>
    <t>FR5824545</t>
  </si>
  <si>
    <t>FR5834316</t>
  </si>
  <si>
    <t>FR5841065</t>
  </si>
  <si>
    <t>FR5841653</t>
  </si>
  <si>
    <t>FR5846566</t>
  </si>
  <si>
    <t>FR5858878</t>
  </si>
  <si>
    <t>FR5894334</t>
  </si>
  <si>
    <t>FR5904869</t>
  </si>
  <si>
    <t>FR5934521</t>
  </si>
  <si>
    <t>FR5938570</t>
  </si>
  <si>
    <t>FR5981341</t>
  </si>
  <si>
    <t>FR5982073</t>
  </si>
  <si>
    <t>FR6013469</t>
  </si>
  <si>
    <t>FR6020975</t>
  </si>
  <si>
    <t>FR6025932</t>
  </si>
  <si>
    <t>FR6030288</t>
  </si>
  <si>
    <t>FR6033131</t>
  </si>
  <si>
    <t>FR6034293</t>
  </si>
  <si>
    <t>FR6034512</t>
  </si>
  <si>
    <t>FR6034758</t>
  </si>
  <si>
    <t>FR6040207</t>
  </si>
  <si>
    <t>FR6059201</t>
  </si>
  <si>
    <t>FR6070826</t>
  </si>
  <si>
    <t>FR6071540</t>
  </si>
  <si>
    <t>FR6087244</t>
  </si>
  <si>
    <t>FR6082937</t>
  </si>
  <si>
    <t>FR6084457</t>
  </si>
  <si>
    <t>no ticket1</t>
  </si>
  <si>
    <t>FR6097204</t>
  </si>
  <si>
    <t>FR6104405</t>
  </si>
  <si>
    <t>FR6113528</t>
  </si>
  <si>
    <t>FR6164724</t>
  </si>
  <si>
    <t>FR6149641</t>
  </si>
  <si>
    <t>FR6156634</t>
  </si>
  <si>
    <t>FR6183808</t>
  </si>
  <si>
    <t>FR6185572</t>
  </si>
  <si>
    <t>FR6201819</t>
  </si>
  <si>
    <t>FR6221005</t>
  </si>
  <si>
    <t>FR5756501</t>
  </si>
  <si>
    <t>FR6271481</t>
  </si>
  <si>
    <t>FR6260066</t>
  </si>
  <si>
    <t>FR6261155</t>
  </si>
  <si>
    <t>FR6273798</t>
  </si>
  <si>
    <t>FR6276559</t>
  </si>
  <si>
    <t>FR6277867</t>
  </si>
  <si>
    <t>FR6281594</t>
  </si>
  <si>
    <t>FR6287321</t>
  </si>
  <si>
    <t>FR6291121</t>
  </si>
  <si>
    <t>FR6297350</t>
  </si>
  <si>
    <t>FR6297579</t>
  </si>
  <si>
    <t>FR6298206</t>
  </si>
  <si>
    <t>FR6303777</t>
  </si>
  <si>
    <t>FR6307328</t>
  </si>
  <si>
    <t>FR6318671</t>
  </si>
  <si>
    <t>FR6320426</t>
  </si>
  <si>
    <t>FR6344410</t>
  </si>
  <si>
    <t>FR6345199</t>
  </si>
  <si>
    <t>FR6350739</t>
  </si>
  <si>
    <t>FR6358340</t>
  </si>
  <si>
    <t>FR6358724</t>
  </si>
  <si>
    <t>FR6358827</t>
  </si>
  <si>
    <t>FR6374897</t>
  </si>
  <si>
    <t>FR6378941</t>
  </si>
  <si>
    <t>FR6418868</t>
  </si>
  <si>
    <t>FR6419418</t>
  </si>
  <si>
    <t>FR6491069</t>
  </si>
  <si>
    <t>FR6462257</t>
  </si>
  <si>
    <t>FR6500928</t>
  </si>
  <si>
    <t>FR6507122</t>
  </si>
  <si>
    <t>FR6509542</t>
  </si>
  <si>
    <t>FR6517307</t>
  </si>
  <si>
    <t>FR6520738</t>
  </si>
  <si>
    <t>FR6525537</t>
  </si>
  <si>
    <t>FR6525718</t>
  </si>
  <si>
    <t>FR6531341</t>
  </si>
  <si>
    <t>FR6532122</t>
  </si>
  <si>
    <t>FR6542923</t>
  </si>
  <si>
    <t>FR6543493</t>
  </si>
  <si>
    <t>FR6550045</t>
  </si>
  <si>
    <t>FR6551472</t>
  </si>
  <si>
    <t>FR6558551</t>
  </si>
  <si>
    <t>FR6562959</t>
  </si>
  <si>
    <t>FR6563274</t>
  </si>
  <si>
    <t>FR6563351</t>
  </si>
  <si>
    <t>FR6563591</t>
  </si>
  <si>
    <t>FR6572448</t>
  </si>
  <si>
    <t>FR6582420</t>
  </si>
  <si>
    <t>FR6582309</t>
  </si>
  <si>
    <t>FR6582463</t>
  </si>
  <si>
    <t>FR6581861</t>
  </si>
  <si>
    <t>FR6581922</t>
  </si>
  <si>
    <t>FR6584184</t>
  </si>
  <si>
    <t>FR6614862</t>
  </si>
  <si>
    <t>FR6620738</t>
  </si>
  <si>
    <t>FR6639914</t>
  </si>
  <si>
    <t>FR6644413</t>
  </si>
  <si>
    <t>FR6700341</t>
  </si>
  <si>
    <t>FR6711984</t>
  </si>
  <si>
    <t>FR6712079</t>
  </si>
  <si>
    <t>FR6736844</t>
  </si>
  <si>
    <t>FR6737570</t>
  </si>
  <si>
    <t>FR6762200</t>
  </si>
  <si>
    <t>FR6797793</t>
  </si>
  <si>
    <t>FR6799262</t>
  </si>
  <si>
    <t>FR6803608</t>
  </si>
  <si>
    <t>FR6808342</t>
  </si>
  <si>
    <t>FR6821884</t>
  </si>
  <si>
    <t>FR6801039</t>
  </si>
  <si>
    <t>FR6837097</t>
  </si>
  <si>
    <t>FR6831903</t>
  </si>
  <si>
    <t>FR6853680</t>
  </si>
  <si>
    <t>FR6855390</t>
  </si>
  <si>
    <t>FR6879588</t>
  </si>
  <si>
    <t>FR6884110</t>
  </si>
  <si>
    <t>FR6894527</t>
  </si>
  <si>
    <t>FR6914320</t>
  </si>
  <si>
    <t>FR6934915</t>
  </si>
  <si>
    <t>FR6952137</t>
  </si>
  <si>
    <t>FR6995596</t>
  </si>
  <si>
    <t>FR7010885</t>
  </si>
  <si>
    <t>FR7015139</t>
  </si>
  <si>
    <t>FR7037412</t>
  </si>
  <si>
    <t>FR7040358</t>
  </si>
  <si>
    <t>FR7040888</t>
  </si>
  <si>
    <t>FR7047478</t>
  </si>
  <si>
    <t>FR7049853</t>
  </si>
  <si>
    <t>FR7052523</t>
  </si>
  <si>
    <t>FR7052768</t>
  </si>
  <si>
    <t>FR7060566</t>
  </si>
  <si>
    <t>FR7064446</t>
  </si>
  <si>
    <t>P</t>
  </si>
  <si>
    <t>Electronics</t>
  </si>
  <si>
    <t>L</t>
  </si>
  <si>
    <t>Life Science</t>
  </si>
  <si>
    <t>H</t>
  </si>
  <si>
    <t>Healthcare</t>
  </si>
  <si>
    <t>G</t>
  </si>
  <si>
    <t>O</t>
  </si>
  <si>
    <t>No known</t>
  </si>
  <si>
    <t>No.</t>
  </si>
  <si>
    <t>Forecast?</t>
  </si>
  <si>
    <t>Ticket</t>
  </si>
  <si>
    <t>Node</t>
  </si>
  <si>
    <t>Name</t>
  </si>
  <si>
    <t>Parent</t>
  </si>
  <si>
    <t>Action</t>
  </si>
  <si>
    <t>STATUS Check</t>
  </si>
  <si>
    <t>Sector</t>
  </si>
  <si>
    <t>Comments</t>
  </si>
  <si>
    <t>SANITY</t>
  </si>
  <si>
    <t>Author</t>
  </si>
  <si>
    <t>L000011515</t>
  </si>
  <si>
    <t>O000000009</t>
  </si>
  <si>
    <t>Closed</t>
  </si>
  <si>
    <t>Phoebe Anne Fortaleza</t>
  </si>
  <si>
    <t>L000013398</t>
  </si>
  <si>
    <t>BioVV - Quality &amp; Regulatory -G</t>
  </si>
  <si>
    <t>L000006935</t>
  </si>
  <si>
    <t>G000000958</t>
  </si>
  <si>
    <t>G000000955</t>
  </si>
  <si>
    <t>Nadine Anic</t>
  </si>
  <si>
    <t>G000000959</t>
  </si>
  <si>
    <t>G000000960</t>
  </si>
  <si>
    <t>G000000961</t>
  </si>
  <si>
    <t>G000000962</t>
  </si>
  <si>
    <t>G000000963</t>
  </si>
  <si>
    <t>G000000964</t>
  </si>
  <si>
    <t>G000000965</t>
  </si>
  <si>
    <t>G000000966</t>
  </si>
  <si>
    <t>G000000967</t>
  </si>
  <si>
    <t>G000000956</t>
  </si>
  <si>
    <t>G000000968</t>
  </si>
  <si>
    <t>G000000969</t>
  </si>
  <si>
    <t>G000000970</t>
  </si>
  <si>
    <t>G000000971</t>
  </si>
  <si>
    <t>G000000972</t>
  </si>
  <si>
    <t>G000000973</t>
  </si>
  <si>
    <t>G000000974</t>
  </si>
  <si>
    <t>G000000975</t>
  </si>
  <si>
    <t>G000000976</t>
  </si>
  <si>
    <t>G000000977</t>
  </si>
  <si>
    <t>G000000957</t>
  </si>
  <si>
    <t>G000000978</t>
  </si>
  <si>
    <t>G000000979</t>
  </si>
  <si>
    <t>G000000980</t>
  </si>
  <si>
    <t>G000000981</t>
  </si>
  <si>
    <t>G000000982</t>
  </si>
  <si>
    <t>G000000983</t>
  </si>
  <si>
    <t>G000000984</t>
  </si>
  <si>
    <t>G000000985</t>
  </si>
  <si>
    <t>G000000986</t>
  </si>
  <si>
    <t>G000000987</t>
  </si>
  <si>
    <t>G000000988</t>
  </si>
  <si>
    <t>G000000989</t>
  </si>
  <si>
    <t>G000000990</t>
  </si>
  <si>
    <t>G000000991</t>
  </si>
  <si>
    <t>G000000529</t>
  </si>
  <si>
    <t>G000000992</t>
  </si>
  <si>
    <t>G000000993</t>
  </si>
  <si>
    <t>G000000994</t>
  </si>
  <si>
    <t>G000000995</t>
  </si>
  <si>
    <t>G000000461</t>
  </si>
  <si>
    <t>SM-B Strategy Realization &amp; Enablement</t>
  </si>
  <si>
    <t>Sybille Rogmans</t>
  </si>
  <si>
    <t>G000000462</t>
  </si>
  <si>
    <t>G000000463</t>
  </si>
  <si>
    <t>SM-BB Business Excellence</t>
  </si>
  <si>
    <t>G000000464</t>
  </si>
  <si>
    <t>SM-BS Strategy Realization</t>
  </si>
  <si>
    <t>G000000466</t>
  </si>
  <si>
    <t>SM-BC Strategic Contracting</t>
  </si>
  <si>
    <t>G000000470</t>
  </si>
  <si>
    <t>SM-BQ dummy 6</t>
  </si>
  <si>
    <t>G000000473</t>
  </si>
  <si>
    <t>SM-BD Data &amp; Digital Enablement</t>
  </si>
  <si>
    <t>G000000868</t>
  </si>
  <si>
    <t>SM-BP People, Change &amp; Comms</t>
  </si>
  <si>
    <t>G000000471</t>
  </si>
  <si>
    <t>SM-BQ Quality Management</t>
  </si>
  <si>
    <t>G000000355</t>
  </si>
  <si>
    <t>SM Site Management</t>
  </si>
  <si>
    <t>Nicolas Trautmann</t>
  </si>
  <si>
    <t>G000000359</t>
  </si>
  <si>
    <t>SM-H Strategy &amp; Transform.</t>
  </si>
  <si>
    <t>G000000365</t>
  </si>
  <si>
    <t>SM-A Analytical Services</t>
  </si>
  <si>
    <t>G000000372</t>
  </si>
  <si>
    <t>SM-E Engineering Services</t>
  </si>
  <si>
    <t>G000000410</t>
  </si>
  <si>
    <t>SM-U</t>
  </si>
  <si>
    <t>G000000439</t>
  </si>
  <si>
    <t>SM-Verrechnungen / Sachkosten</t>
  </si>
  <si>
    <t>G000000890</t>
  </si>
  <si>
    <t>SM-HG Fluxum</t>
  </si>
  <si>
    <t>G000000360</t>
  </si>
  <si>
    <t>SM-HF Future</t>
  </si>
  <si>
    <t>G000000361</t>
  </si>
  <si>
    <t>DA Goes Global</t>
  </si>
  <si>
    <t>G000000362</t>
  </si>
  <si>
    <t>SM-HM Marketing&amp;Dialog</t>
  </si>
  <si>
    <t>G000000888</t>
  </si>
  <si>
    <t>SM-HR HQ Relations &amp; Mgmt of</t>
  </si>
  <si>
    <t>G000000889</t>
  </si>
  <si>
    <t>SM-HP Plattforms</t>
  </si>
  <si>
    <t>G000000366</t>
  </si>
  <si>
    <t>SM-A Analytical Services_I</t>
  </si>
  <si>
    <t>G000000367</t>
  </si>
  <si>
    <t>SM-A Quality &amp; Support</t>
  </si>
  <si>
    <t>G000000370</t>
  </si>
  <si>
    <t>SM-A Laboratory</t>
  </si>
  <si>
    <t>G000000371</t>
  </si>
  <si>
    <t>SM-A cc-charge</t>
  </si>
  <si>
    <t>G000000374</t>
  </si>
  <si>
    <t>SM-E Material Costs</t>
  </si>
  <si>
    <t>G000000397</t>
  </si>
  <si>
    <t>SM-E Allocations</t>
  </si>
  <si>
    <t>G000000356</t>
  </si>
  <si>
    <t>SM Site Management_I</t>
  </si>
  <si>
    <t>G000000357</t>
  </si>
  <si>
    <t>DA2030 Implementation</t>
  </si>
  <si>
    <t>G000000358</t>
  </si>
  <si>
    <t>ERP &amp; OPI Transparency</t>
  </si>
  <si>
    <t>G000000399</t>
  </si>
  <si>
    <t>SM-S Site Services_I</t>
  </si>
  <si>
    <t>G000000400</t>
  </si>
  <si>
    <t>SM-S Verrechnungs-KST</t>
  </si>
  <si>
    <t>G000000401</t>
  </si>
  <si>
    <t>SM-S Sachkosten</t>
  </si>
  <si>
    <t>G000000433</t>
  </si>
  <si>
    <t>SM-SE Environment &amp; Safety_I</t>
  </si>
  <si>
    <t>G000000434</t>
  </si>
  <si>
    <t>SM-SH Health Services</t>
  </si>
  <si>
    <t>G000000435</t>
  </si>
  <si>
    <t>SM-SF Fire Protect.Site Sec.</t>
  </si>
  <si>
    <t>G000000436</t>
  </si>
  <si>
    <t>SM-SF Fire Protect. Sec.&amp; H.</t>
  </si>
  <si>
    <t>G000000437</t>
  </si>
  <si>
    <t>SM-SP Permits &amp; Envirionment</t>
  </si>
  <si>
    <t>G000000438</t>
  </si>
  <si>
    <t>SM-SO Occupa.&amp;Process Safety</t>
  </si>
  <si>
    <t>G000000878</t>
  </si>
  <si>
    <t>SM-SR Risk Control</t>
  </si>
  <si>
    <t>G000000440</t>
  </si>
  <si>
    <t>SM-Verrechn. / Sachkosten_I</t>
  </si>
  <si>
    <t>G000000441</t>
  </si>
  <si>
    <t>SiteMgmt CO cc-collectors</t>
  </si>
  <si>
    <t>G000000442</t>
  </si>
  <si>
    <t>General Infra. Darmstadt</t>
  </si>
  <si>
    <t>G000000443</t>
  </si>
  <si>
    <t>General Infra. Gernsheim</t>
  </si>
  <si>
    <t>G000000444</t>
  </si>
  <si>
    <t>General Affairs KGaA</t>
  </si>
  <si>
    <t>G000000445</t>
  </si>
  <si>
    <t>Production specific Infra.</t>
  </si>
  <si>
    <t>G000000446</t>
  </si>
  <si>
    <t>HQ Infrastrukture Darmstadt</t>
  </si>
  <si>
    <t>G000000447</t>
  </si>
  <si>
    <t>SM Projekt-KST</t>
  </si>
  <si>
    <t>G000000363</t>
  </si>
  <si>
    <t>SM-TC Communcat. Relations_I</t>
  </si>
  <si>
    <t>G000000364</t>
  </si>
  <si>
    <t>SM-TC costs Sponsoring</t>
  </si>
  <si>
    <t>G000000368</t>
  </si>
  <si>
    <t>SM-A Quality &amp; Support_I</t>
  </si>
  <si>
    <t>G000000369</t>
  </si>
  <si>
    <t>SM-AS Analytical Support</t>
  </si>
  <si>
    <t>G000000863</t>
  </si>
  <si>
    <t>SM-AM Environmental Analytics</t>
  </si>
  <si>
    <t>G000000864</t>
  </si>
  <si>
    <t>SM-AL Life Science</t>
  </si>
  <si>
    <t>G000000865</t>
  </si>
  <si>
    <t>SM-AE Electronics</t>
  </si>
  <si>
    <t>G000000376</t>
  </si>
  <si>
    <t>SM-EG Group Engineering</t>
  </si>
  <si>
    <t>G000000377</t>
  </si>
  <si>
    <t>SM-ED Digit.Eng.&amp;Project Exe.</t>
  </si>
  <si>
    <t>G000000381</t>
  </si>
  <si>
    <t>SM-ER R&amp;D &amp; Lab Services</t>
  </si>
  <si>
    <t>G000000385</t>
  </si>
  <si>
    <t>SM-EB Building Technologies</t>
  </si>
  <si>
    <t>G000000389</t>
  </si>
  <si>
    <t>SM-EM Mechanical Technologies</t>
  </si>
  <si>
    <t>G000000393</t>
  </si>
  <si>
    <t>SM-EA Automation &amp; Robotics</t>
  </si>
  <si>
    <t>G000000394</t>
  </si>
  <si>
    <t>SM-ET Technical Plant Safety</t>
  </si>
  <si>
    <t>G000000418</t>
  </si>
  <si>
    <t>SM-EP Site and Production</t>
  </si>
  <si>
    <t>G000000422</t>
  </si>
  <si>
    <t>SM-EO Office and Laboratory</t>
  </si>
  <si>
    <t>G000000373</t>
  </si>
  <si>
    <t>SM-E Engineering Services_I</t>
  </si>
  <si>
    <t>G000000375</t>
  </si>
  <si>
    <t>SM-E Material Costs_I</t>
  </si>
  <si>
    <t>G000000402</t>
  </si>
  <si>
    <t>SM-S Sachkosten_I</t>
  </si>
  <si>
    <t>G000000426</t>
  </si>
  <si>
    <t>Ehem. SO-CF Sachkost. (close)</t>
  </si>
  <si>
    <t>G000000431</t>
  </si>
  <si>
    <t>SM-SG Services Gernsheim</t>
  </si>
  <si>
    <t>G000000417</t>
  </si>
  <si>
    <t>SM-SCM HQ Campus Management</t>
  </si>
  <si>
    <t>G000000448</t>
  </si>
  <si>
    <t>SM Projekt-KST_I</t>
  </si>
  <si>
    <t>G000000449</t>
  </si>
  <si>
    <t>SM-A Projekt-KST</t>
  </si>
  <si>
    <t>G000000450</t>
  </si>
  <si>
    <t>SO-I Projekt-KST</t>
  </si>
  <si>
    <t>G000000454</t>
  </si>
  <si>
    <t>SO-C Projekt-KST</t>
  </si>
  <si>
    <t>G000000458</t>
  </si>
  <si>
    <t>SO-S Projekt-KST</t>
  </si>
  <si>
    <t>G000000378</t>
  </si>
  <si>
    <t>SM-ED Digit.Eng.&amp;Proj. Exe_I</t>
  </si>
  <si>
    <t>G000000379</t>
  </si>
  <si>
    <t>SM-ED w/o Material Costs</t>
  </si>
  <si>
    <t>G000000380</t>
  </si>
  <si>
    <t>SM-ED Material Costs</t>
  </si>
  <si>
    <t>G000000382</t>
  </si>
  <si>
    <t>SM-ER R&amp;D &amp; Lab Services_I</t>
  </si>
  <si>
    <t>G000000384</t>
  </si>
  <si>
    <t>SM-ER w/o Material Costs</t>
  </si>
  <si>
    <t>G000000386</t>
  </si>
  <si>
    <t>SM-EB Building Technologies_I</t>
  </si>
  <si>
    <t>G000000387</t>
  </si>
  <si>
    <t>SM-EB Material Costs</t>
  </si>
  <si>
    <t>G000000388</t>
  </si>
  <si>
    <t>SM-EB Personnel Costs</t>
  </si>
  <si>
    <t>G000000390</t>
  </si>
  <si>
    <t>SM-EM Mechanical Techn._I</t>
  </si>
  <si>
    <t>G000000391</t>
  </si>
  <si>
    <t>SM-EM Material Costs</t>
  </si>
  <si>
    <t>G000000392</t>
  </si>
  <si>
    <t>SM-EM w/o Material Costs</t>
  </si>
  <si>
    <t>G000000395</t>
  </si>
  <si>
    <t>SM-ET Technic. Plant Safety_I</t>
  </si>
  <si>
    <t>G000000396</t>
  </si>
  <si>
    <t>SM-ET Material Costs</t>
  </si>
  <si>
    <t>G000000419</t>
  </si>
  <si>
    <t>SM-SP Sachkosten KGaA</t>
  </si>
  <si>
    <t>G000000420</t>
  </si>
  <si>
    <t>SM-SP Personalkosten</t>
  </si>
  <si>
    <t>G000000421</t>
  </si>
  <si>
    <t>SM-SP General Lease to MRE</t>
  </si>
  <si>
    <t>G000000423</t>
  </si>
  <si>
    <t>SM-SO Sachkosten KGaA</t>
  </si>
  <si>
    <t>G000000424</t>
  </si>
  <si>
    <t>SM-SO Personalkosten</t>
  </si>
  <si>
    <t>G000000425</t>
  </si>
  <si>
    <t>SM-SO General Lease to MRE</t>
  </si>
  <si>
    <t>G000000427</t>
  </si>
  <si>
    <t>SO-CF Gewerbliche Vermietung</t>
  </si>
  <si>
    <t>G000000428</t>
  </si>
  <si>
    <t>PM-OPG-TS Bldg. Costs/Rental</t>
  </si>
  <si>
    <t>G000000429</t>
  </si>
  <si>
    <t>PM-OPG-TS General Costs</t>
  </si>
  <si>
    <t>G000000430</t>
  </si>
  <si>
    <t>Ehem. SO-CF KST (closed)</t>
  </si>
  <si>
    <t>G000000451</t>
  </si>
  <si>
    <t>SO-IE Projektkostenstellen</t>
  </si>
  <si>
    <t>G000000452</t>
  </si>
  <si>
    <t>SO-IC Projekt-KST</t>
  </si>
  <si>
    <t>G000000453</t>
  </si>
  <si>
    <t>SO-IA Projekt-KST</t>
  </si>
  <si>
    <t>G000000455</t>
  </si>
  <si>
    <t>SO-CP Projekt-KST</t>
  </si>
  <si>
    <t>G000000456</t>
  </si>
  <si>
    <t>SO-CF Projekt-KST</t>
  </si>
  <si>
    <t>G000000457</t>
  </si>
  <si>
    <t>SO-CA Projekt-KST</t>
  </si>
  <si>
    <t>G000000459</t>
  </si>
  <si>
    <t>SO-SP Projekt-KST</t>
  </si>
  <si>
    <t>G000000460</t>
  </si>
  <si>
    <t>SO-SF Projekt-KST</t>
  </si>
  <si>
    <t>G000000411</t>
  </si>
  <si>
    <t>SM-SU Utilities &amp; Disposal_I</t>
  </si>
  <si>
    <t>G000000412</t>
  </si>
  <si>
    <t>SM-U L3</t>
  </si>
  <si>
    <t>G000000403</t>
  </si>
  <si>
    <t>SM-SL On-Site Logistics</t>
  </si>
  <si>
    <t>G000000404</t>
  </si>
  <si>
    <t>SM-SL On-Site Logistics_I</t>
  </si>
  <si>
    <t>G000000405</t>
  </si>
  <si>
    <t>SM-ULT Transport Services</t>
  </si>
  <si>
    <t>G000000406</t>
  </si>
  <si>
    <t>SM-ULV Vehicle Services</t>
  </si>
  <si>
    <t>G000000407</t>
  </si>
  <si>
    <t>SM-ULM Material Services</t>
  </si>
  <si>
    <t>G000000408</t>
  </si>
  <si>
    <t>SM-ULP Packaging Services</t>
  </si>
  <si>
    <t>G000000409</t>
  </si>
  <si>
    <t>SM-ULD Document.Mail.Parcel Services</t>
  </si>
  <si>
    <t>G000000686</t>
  </si>
  <si>
    <t>SM-UE Energy Management &amp; Tec</t>
  </si>
  <si>
    <t>G000000687</t>
  </si>
  <si>
    <t>SM-UE/UU Energy Total</t>
  </si>
  <si>
    <t>G000000688</t>
  </si>
  <si>
    <t>SM-UE/UU Energy GE</t>
  </si>
  <si>
    <t>G000000689</t>
  </si>
  <si>
    <t>SM-UE/UU Energy DA</t>
  </si>
  <si>
    <t>G000000690</t>
  </si>
  <si>
    <t>SM-UW Waste Water Technology</t>
  </si>
  <si>
    <t>G000000691</t>
  </si>
  <si>
    <t>SM-UW material costs</t>
  </si>
  <si>
    <t>G000000692</t>
  </si>
  <si>
    <t>SM-UW wo material costs</t>
  </si>
  <si>
    <t>G000000693</t>
  </si>
  <si>
    <t>SM-UC Container Supply &amp; Wast</t>
  </si>
  <si>
    <t>G000000694</t>
  </si>
  <si>
    <t>SM-UC Abfall-BehÃ¤ltergebÃ¤ud</t>
  </si>
  <si>
    <t>G000000695</t>
  </si>
  <si>
    <t>SM-UC wo material costs</t>
  </si>
  <si>
    <t>G000000696</t>
  </si>
  <si>
    <t>SM-UC material costs</t>
  </si>
  <si>
    <t>G000000883</t>
  </si>
  <si>
    <t>SM-UI Infrastructural Operati</t>
  </si>
  <si>
    <t>G000000896</t>
  </si>
  <si>
    <t>SM-UI Waste Water Treatment</t>
  </si>
  <si>
    <t>G000000897</t>
  </si>
  <si>
    <t>SM-UI Energy Operations</t>
  </si>
  <si>
    <t>G000000898</t>
  </si>
  <si>
    <t>Energy Types</t>
  </si>
  <si>
    <t>G000000899</t>
  </si>
  <si>
    <t>DrinkingWater DA</t>
  </si>
  <si>
    <t>G000000900</t>
  </si>
  <si>
    <t>Nitrogen DA</t>
  </si>
  <si>
    <t>G000000901</t>
  </si>
  <si>
    <t>Techn. Gases DA</t>
  </si>
  <si>
    <t>G000000902</t>
  </si>
  <si>
    <t>RKW Gen. DA</t>
  </si>
  <si>
    <t>G000000903</t>
  </si>
  <si>
    <t>DL Gen. DA</t>
  </si>
  <si>
    <t>G000000904</t>
  </si>
  <si>
    <t>VEW Gen. DA</t>
  </si>
  <si>
    <t>G000000905</t>
  </si>
  <si>
    <t>IndustWater Gen. DA</t>
  </si>
  <si>
    <t>G000000906</t>
  </si>
  <si>
    <t>Cold Gen. DA</t>
  </si>
  <si>
    <t>G000000907</t>
  </si>
  <si>
    <t>Steam Gen. DA</t>
  </si>
  <si>
    <t>G000000908</t>
  </si>
  <si>
    <t>Electricity Gen. DA</t>
  </si>
  <si>
    <t>G000000909</t>
  </si>
  <si>
    <t>SM-UI Energy Buildings</t>
  </si>
  <si>
    <t>G000000884</t>
  </si>
  <si>
    <t>SM-UP Packaging &amp; Container</t>
  </si>
  <si>
    <t>G000000910</t>
  </si>
  <si>
    <t>SM-UP Container</t>
  </si>
  <si>
    <t>G000000911</t>
  </si>
  <si>
    <t>SM-UP Buildings</t>
  </si>
  <si>
    <t>G000000912</t>
  </si>
  <si>
    <t>SM-UP Packaging</t>
  </si>
  <si>
    <t>G000000885</t>
  </si>
  <si>
    <t>SM-UL On-Site Logistics</t>
  </si>
  <si>
    <t>G000000913</t>
  </si>
  <si>
    <t>SM-ULW Trucking &amp; Waste</t>
  </si>
  <si>
    <t>G000000914</t>
  </si>
  <si>
    <t>SM-ULW Buildings</t>
  </si>
  <si>
    <t>G000000915</t>
  </si>
  <si>
    <t>SM-ULI Internal Transport</t>
  </si>
  <si>
    <t>G000000916</t>
  </si>
  <si>
    <t>G000000917</t>
  </si>
  <si>
    <t>SM-ULV material costs</t>
  </si>
  <si>
    <t>G000000918</t>
  </si>
  <si>
    <t>G000000919</t>
  </si>
  <si>
    <t>SM-UL Technical Warehouse</t>
  </si>
  <si>
    <t>G000000920</t>
  </si>
  <si>
    <t>SM-UL Verr.-KST</t>
  </si>
  <si>
    <t>G000000921</t>
  </si>
  <si>
    <t>SM-ULD Document.Mail.Parcel S</t>
  </si>
  <si>
    <t>G000000886</t>
  </si>
  <si>
    <t>SM-US Services &amp; Projects</t>
  </si>
  <si>
    <t>G000000922</t>
  </si>
  <si>
    <t>SM-USE/ USP/ USQ</t>
  </si>
  <si>
    <t>G000000887</t>
  </si>
  <si>
    <t>SM-UE Energy Managamnet &amp; Sus</t>
  </si>
  <si>
    <t>G000000923</t>
  </si>
  <si>
    <t>SM-UE External Energy Costs D</t>
  </si>
  <si>
    <t>G000000924</t>
  </si>
  <si>
    <t>SM-UE Energy Allocation DA</t>
  </si>
  <si>
    <t>G000000925</t>
  </si>
  <si>
    <t>SM-UE Headcount &amp; NDD</t>
  </si>
  <si>
    <t>G000000432</t>
  </si>
  <si>
    <t>SM-S Envirionment, Health &amp; Safety</t>
  </si>
  <si>
    <t>G000000413</t>
  </si>
  <si>
    <t>SM-SC Gastronomy &amp; HQ Campus</t>
  </si>
  <si>
    <t>G000000414</t>
  </si>
  <si>
    <t>SM-SC Gastronomy&amp;HQ Campus_I</t>
  </si>
  <si>
    <t>G000000415</t>
  </si>
  <si>
    <t>SM-SCG Employee Gastronomy</t>
  </si>
  <si>
    <t>G000000416</t>
  </si>
  <si>
    <t>SM-SCC Conference &amp; Catering</t>
  </si>
  <si>
    <t>H000004191</t>
  </si>
  <si>
    <t>Medical - Local R&amp;D</t>
  </si>
  <si>
    <t>H000000447</t>
  </si>
  <si>
    <t>Megan Wang</t>
  </si>
  <si>
    <t>H000000813</t>
  </si>
  <si>
    <t>CMS International</t>
  </si>
  <si>
    <t>Marlon Abadia</t>
  </si>
  <si>
    <t>H000000814</t>
  </si>
  <si>
    <t>CMS Clinical Biomarker &amp; Tech.</t>
  </si>
  <si>
    <t>H000000899</t>
  </si>
  <si>
    <t>CMS Data Sciences</t>
  </si>
  <si>
    <t>H000000815</t>
  </si>
  <si>
    <t>CMS Quantitative Pharmacology</t>
  </si>
  <si>
    <t>H000000816</t>
  </si>
  <si>
    <t xml:space="preserve">CMS Comp Diagnostics &amp; Biomarker </t>
  </si>
  <si>
    <t>H000000906</t>
  </si>
  <si>
    <t>H000000818</t>
  </si>
  <si>
    <t>H000000819</t>
  </si>
  <si>
    <t>CMS Epideminology</t>
  </si>
  <si>
    <t>H000004192</t>
  </si>
  <si>
    <t>G000001005</t>
  </si>
  <si>
    <t>SM-EP Site Darmstadt</t>
  </si>
  <si>
    <t>Paul Kopp</t>
  </si>
  <si>
    <t>G000001006</t>
  </si>
  <si>
    <t>SM-EP Site Gernsheim</t>
  </si>
  <si>
    <t>G000001007</t>
  </si>
  <si>
    <t>SM-EP Site Hohenbrunn</t>
  </si>
  <si>
    <t>G000001008</t>
  </si>
  <si>
    <t>SM-EP Grundstücke KGaA</t>
  </si>
  <si>
    <t>G000001009</t>
  </si>
  <si>
    <t>SM-EP Verrechnungs-Kostenstellen</t>
  </si>
  <si>
    <t>G000001010</t>
  </si>
  <si>
    <t>SM-EP Gebäude DA</t>
  </si>
  <si>
    <t>G000001011</t>
  </si>
  <si>
    <t>SM-EP Freiflächen DA</t>
  </si>
  <si>
    <t>G000001012</t>
  </si>
  <si>
    <t>Full Service Gebäude DA</t>
  </si>
  <si>
    <t>G000001013</t>
  </si>
  <si>
    <t>Shell and Core Gebäude DA</t>
  </si>
  <si>
    <t>G000001014</t>
  </si>
  <si>
    <t>Lease Hold Gebäude DA</t>
  </si>
  <si>
    <t>G000001015</t>
  </si>
  <si>
    <t>FS Infrastrukturgebäude DA</t>
  </si>
  <si>
    <t>G000001016</t>
  </si>
  <si>
    <t>FS Werkstattgebäude DA</t>
  </si>
  <si>
    <t>G000001017</t>
  </si>
  <si>
    <t>FS Lagergebäude DA</t>
  </si>
  <si>
    <t>G000001018</t>
  </si>
  <si>
    <t>FS Produktionsgebäude DA</t>
  </si>
  <si>
    <t>G000001019</t>
  </si>
  <si>
    <t>FS Energiegebäude DA</t>
  </si>
  <si>
    <t>G000001020</t>
  </si>
  <si>
    <t>FS Container DA</t>
  </si>
  <si>
    <t>G000001021</t>
  </si>
  <si>
    <t>FS Umkleiden &amp; Aufenthaltsr. DA</t>
  </si>
  <si>
    <t>G000001022</t>
  </si>
  <si>
    <t>FS Fire&amp;Safety</t>
  </si>
  <si>
    <t>G000001023</t>
  </si>
  <si>
    <t>SC Gebäude Healthcare DA</t>
  </si>
  <si>
    <t>G000001024</t>
  </si>
  <si>
    <t>SC Gebäude Life Science DA</t>
  </si>
  <si>
    <t>G000001025</t>
  </si>
  <si>
    <t>SC Gebäude Perf. Materials DA</t>
  </si>
  <si>
    <t>G000001026</t>
  </si>
  <si>
    <t>LH Gebäude Site Operations DA</t>
  </si>
  <si>
    <t>G000001027</t>
  </si>
  <si>
    <t>LH Gebäude Life Science DA</t>
  </si>
  <si>
    <t>G000001028</t>
  </si>
  <si>
    <t>LH Gebäude Perf. Materials DA</t>
  </si>
  <si>
    <t>G000001029</t>
  </si>
  <si>
    <t>LH Gebäude LS Site Operations DA</t>
  </si>
  <si>
    <t>G000001030</t>
  </si>
  <si>
    <t>LH Gebäude LS Warehouse DA</t>
  </si>
  <si>
    <t>G000001031</t>
  </si>
  <si>
    <t>SM-EP Gebäude Gernsheim</t>
  </si>
  <si>
    <t>G000001032</t>
  </si>
  <si>
    <t>SM-EP Freiflächen Gernsheim</t>
  </si>
  <si>
    <t>G000001033</t>
  </si>
  <si>
    <t>GHM Multi- Tenant</t>
  </si>
  <si>
    <t>G000001034</t>
  </si>
  <si>
    <t>Merck Site Management GmbH</t>
  </si>
  <si>
    <t>G000001035</t>
  </si>
  <si>
    <t>Merck Surface Solutions GmbH Bldg.</t>
  </si>
  <si>
    <t>G000001036</t>
  </si>
  <si>
    <t>GHM Full Service Multi- Tenant Bldg.</t>
  </si>
  <si>
    <t>G000001037</t>
  </si>
  <si>
    <t>GHM FS Shell &amp; Core Multi- tenant Bldg.</t>
  </si>
  <si>
    <t>G000001038</t>
  </si>
  <si>
    <t>GHM FS Multi- Tenant Container</t>
  </si>
  <si>
    <t>G000001039</t>
  </si>
  <si>
    <t>GHM FS Multi-Tenant Warehouse Bldg.</t>
  </si>
  <si>
    <t>G000001040</t>
  </si>
  <si>
    <t>GHM FS Umkleiden &amp; Aufenthaltsraum</t>
  </si>
  <si>
    <t>G000001041</t>
  </si>
  <si>
    <t>GHM FS Wasserspender</t>
  </si>
  <si>
    <t>G000001042</t>
  </si>
  <si>
    <t>GHM FS Multi- Tenant Office Bldg.</t>
  </si>
  <si>
    <t>G000001043</t>
  </si>
  <si>
    <t>GHM FS Multi- Tenant Bldg.</t>
  </si>
  <si>
    <t>G000001044</t>
  </si>
  <si>
    <t>GHM Shell &amp; Core Multi- tenant Bldg.</t>
  </si>
  <si>
    <t>G000001045</t>
  </si>
  <si>
    <t>SM GHM Full Service Gebäude</t>
  </si>
  <si>
    <t>G000001046</t>
  </si>
  <si>
    <t>SM GHM FS Office Bldg.</t>
  </si>
  <si>
    <t>G000001047</t>
  </si>
  <si>
    <t>SM GHM FS Infrastructure Bldg.</t>
  </si>
  <si>
    <t>G000001048</t>
  </si>
  <si>
    <t>SM GHM Shell &amp; Core Gebäude</t>
  </si>
  <si>
    <t>G000001049</t>
  </si>
  <si>
    <t>SM GHM SC Staff Bldg.</t>
  </si>
  <si>
    <t>G000001050</t>
  </si>
  <si>
    <t>SM GM SC Infrastructure Bldg.</t>
  </si>
  <si>
    <t>G000001051</t>
  </si>
  <si>
    <t>SM GHM SC Warehouse Bldg.</t>
  </si>
  <si>
    <t>G000001052</t>
  </si>
  <si>
    <t>SM GHM Lease Hold Gebäude</t>
  </si>
  <si>
    <t>G000001053</t>
  </si>
  <si>
    <t>SM GHM LH Energy Bldg.</t>
  </si>
  <si>
    <t>G000001054</t>
  </si>
  <si>
    <t>SM GHM LH Warehouse Bldg.</t>
  </si>
  <si>
    <t>G000001055</t>
  </si>
  <si>
    <t>SuSo Full Service Gebäude</t>
  </si>
  <si>
    <t>G000001056</t>
  </si>
  <si>
    <t>SuSo FS Office Bldg.</t>
  </si>
  <si>
    <t>G000001057</t>
  </si>
  <si>
    <t>SuSo FS Lab Bldg.</t>
  </si>
  <si>
    <t>G000001058</t>
  </si>
  <si>
    <t>SuSo FS Infrastructure Bldg.</t>
  </si>
  <si>
    <t>G000001059</t>
  </si>
  <si>
    <t>SuSo Shell &amp; Core Gebäude</t>
  </si>
  <si>
    <t>G000001060</t>
  </si>
  <si>
    <t>SuSo SC Production Bldg.</t>
  </si>
  <si>
    <t>G000001061</t>
  </si>
  <si>
    <t>SuSo SC Lab Bldg.</t>
  </si>
  <si>
    <t>G000001062</t>
  </si>
  <si>
    <t>SuSo SC Infrastructure Bldg.</t>
  </si>
  <si>
    <t>G000001063</t>
  </si>
  <si>
    <t>SuSo SC Warehouse Bldg.</t>
  </si>
  <si>
    <t>G000001064</t>
  </si>
  <si>
    <t>SuSo SC Container</t>
  </si>
  <si>
    <t>G000001065</t>
  </si>
  <si>
    <t>Lease Hold Gebäude HO</t>
  </si>
  <si>
    <t>G000001066</t>
  </si>
  <si>
    <t>Freiflächen Hohenbrunn</t>
  </si>
  <si>
    <t>G000001067</t>
  </si>
  <si>
    <t>Rückbau Gebäude DA</t>
  </si>
  <si>
    <t>G000001068</t>
  </si>
  <si>
    <t>Rückbau Gebäude GHM</t>
  </si>
  <si>
    <t>G000001069</t>
  </si>
  <si>
    <t>Standortentwicklung DA</t>
  </si>
  <si>
    <t>G000001070</t>
  </si>
  <si>
    <t>SuSo Lease Hold Gebäude</t>
  </si>
  <si>
    <t>G000001071</t>
  </si>
  <si>
    <t>SuSo LH Production Bldg</t>
  </si>
  <si>
    <t>G000001072</t>
  </si>
  <si>
    <t>SuSo LH Infrastructure Bldg.</t>
  </si>
  <si>
    <t>G000001073</t>
  </si>
  <si>
    <t>SuSo LH Warehouse Bldg.</t>
  </si>
  <si>
    <t>G000001074</t>
  </si>
  <si>
    <t>SM-EO Gebäude Site Darmstadt</t>
  </si>
  <si>
    <t>G000001075</t>
  </si>
  <si>
    <t>SM-EO FS Office Building DA</t>
  </si>
  <si>
    <t>G000001076</t>
  </si>
  <si>
    <t>SM-EO FS Lab Building DA</t>
  </si>
  <si>
    <t>G000001077</t>
  </si>
  <si>
    <t>SM-EO FS Public Buildings DA</t>
  </si>
  <si>
    <t>G000001078</t>
  </si>
  <si>
    <t>SM-EO Verrechnungs Kostenstellen</t>
  </si>
  <si>
    <t>G000001079</t>
  </si>
  <si>
    <t>FS Own Office Bldgs, DA</t>
  </si>
  <si>
    <t>G000001080</t>
  </si>
  <si>
    <t>FS Rented Office Bldgs. DA</t>
  </si>
  <si>
    <t>G000001081</t>
  </si>
  <si>
    <t>FS Labs Healthcare</t>
  </si>
  <si>
    <t>G000001082</t>
  </si>
  <si>
    <t>FS Labs Performance Materials</t>
  </si>
  <si>
    <t>G000001083</t>
  </si>
  <si>
    <t>FS Labs LS + Multi- Tenant</t>
  </si>
  <si>
    <t>G000001084</t>
  </si>
  <si>
    <t>FS labs Life Science</t>
  </si>
  <si>
    <t>G000001085</t>
  </si>
  <si>
    <t>FS Labs Multi- Tenant</t>
  </si>
  <si>
    <t>G000001086</t>
  </si>
  <si>
    <t>SM-EO OGHQ-Campus</t>
  </si>
  <si>
    <t>G000001087</t>
  </si>
  <si>
    <t>FS Sonstige Gebäude DA</t>
  </si>
  <si>
    <t>G000001088</t>
  </si>
  <si>
    <t>Gew. Vermietung</t>
  </si>
  <si>
    <t>G000001089</t>
  </si>
  <si>
    <t>SM-EP Wohnungen</t>
  </si>
  <si>
    <t>G000001090</t>
  </si>
  <si>
    <t>SM-EO OGHQ Campus KGaA</t>
  </si>
  <si>
    <t>G000001091</t>
  </si>
  <si>
    <t>SM-EO Center Management X-Tower</t>
  </si>
  <si>
    <t>G000001092</t>
  </si>
  <si>
    <t>SM-EO Full Service Darmstadt</t>
  </si>
  <si>
    <t>G000000523</t>
  </si>
  <si>
    <t>G000001093</t>
  </si>
  <si>
    <t>SO-SO Sachkosten_Lease Hold</t>
  </si>
  <si>
    <t>G000000516</t>
  </si>
  <si>
    <t>G000001094</t>
  </si>
  <si>
    <t>MRE IT Kosten</t>
  </si>
  <si>
    <t>G000000544</t>
  </si>
  <si>
    <t>G000001095</t>
  </si>
  <si>
    <t>Speedikon C</t>
  </si>
  <si>
    <t>G000001096</t>
  </si>
  <si>
    <t>CosVega Total</t>
  </si>
  <si>
    <t>G000001097</t>
  </si>
  <si>
    <t>Smart Workplace Management Total</t>
  </si>
  <si>
    <t>G000000493</t>
  </si>
  <si>
    <t>SO-CS Gebäude Darmstadt_I</t>
  </si>
  <si>
    <t>G000000494</t>
  </si>
  <si>
    <t>SO-CS Full Service Gebaeude D</t>
  </si>
  <si>
    <t>G000000495</t>
  </si>
  <si>
    <t>SO-CS Shell &amp; Core Gebaeude D</t>
  </si>
  <si>
    <t>G000000496</t>
  </si>
  <si>
    <t>SO-CS Lease Hold Gebaeude D</t>
  </si>
  <si>
    <t>H000004193</t>
  </si>
  <si>
    <t>ES - Sales Promotion Evobrutinib</t>
  </si>
  <si>
    <t>H000000977</t>
  </si>
  <si>
    <t>Karl Anatoly Uy</t>
  </si>
  <si>
    <t>H000004194</t>
  </si>
  <si>
    <t>ES - Medical non R&amp;D Evobrutinib</t>
  </si>
  <si>
    <t>H000003990</t>
  </si>
  <si>
    <t>H000003837</t>
  </si>
  <si>
    <t>US - MAPS - Value &amp; Access, Contract Ops</t>
  </si>
  <si>
    <t>H000003839</t>
  </si>
  <si>
    <t>US - MAPS - Channel Acct Mgmt &amp; Ops</t>
  </si>
  <si>
    <t>H000003843</t>
  </si>
  <si>
    <t>US - MAPS - Value &amp; Access</t>
  </si>
  <si>
    <t>H000003844</t>
  </si>
  <si>
    <t>US - MAPS - Contract, Pricing &amp; Insights</t>
  </si>
  <si>
    <t>H000003846</t>
  </si>
  <si>
    <t>H000001447</t>
  </si>
  <si>
    <t xml:space="preserve">CN-FD ISS FBU Head </t>
  </si>
  <si>
    <t>H000001446</t>
  </si>
  <si>
    <t>Joebeth Navarro</t>
  </si>
  <si>
    <t>H000001452</t>
  </si>
  <si>
    <t>CN-FD ISS MKT Non-HCP MCM</t>
  </si>
  <si>
    <t>H000001451</t>
  </si>
  <si>
    <t>H000001454</t>
  </si>
  <si>
    <t>CN-FD ISS BSE Team</t>
  </si>
  <si>
    <t>H000001453</t>
  </si>
  <si>
    <t>H000004195</t>
  </si>
  <si>
    <t>CN-FD FF Sales Mega Center</t>
  </si>
  <si>
    <t>H000001432</t>
  </si>
  <si>
    <t>H000004196</t>
  </si>
  <si>
    <t>CN-FD ISS MKT Non-HCP Head</t>
  </si>
  <si>
    <t>H000004197</t>
  </si>
  <si>
    <t>CN-FD ISS MKT Non-HCP CE</t>
  </si>
  <si>
    <t>H000004198</t>
  </si>
  <si>
    <t>CN-FD SP Sales Mega Center</t>
  </si>
  <si>
    <t>H000001467</t>
  </si>
  <si>
    <t>H000004199</t>
  </si>
  <si>
    <t>CN-FD SP MKT Non-HCP Head</t>
  </si>
  <si>
    <t>H000001483</t>
  </si>
  <si>
    <t>H000004200</t>
  </si>
  <si>
    <t>CN-FD SP MKT Non-HCP CE</t>
  </si>
  <si>
    <t>CN - FD Field Force National Sales</t>
  </si>
  <si>
    <t>H000001433</t>
  </si>
  <si>
    <t>CN - FD FF Sales Head</t>
  </si>
  <si>
    <t>H000001434</t>
  </si>
  <si>
    <t>CN - FD FF Sales North</t>
  </si>
  <si>
    <t>H000001435</t>
  </si>
  <si>
    <t>CN - FD FF Sales South</t>
  </si>
  <si>
    <t>H000001436</t>
  </si>
  <si>
    <t>CN - FD FF Sales East</t>
  </si>
  <si>
    <t>H000001437</t>
  </si>
  <si>
    <t>CN - FD FF Sales West</t>
  </si>
  <si>
    <t>H000001438</t>
  </si>
  <si>
    <t>CN - FD FF Sales RMM</t>
  </si>
  <si>
    <t>H000001448</t>
  </si>
  <si>
    <t>CN - FD ISS PMO</t>
  </si>
  <si>
    <t>H000001449</t>
  </si>
  <si>
    <t>CN - FD ISS PMO team</t>
  </si>
  <si>
    <t>CN - FD ISS MKT Non-HCP</t>
  </si>
  <si>
    <t>CN - FD Sales Promotion National Sales</t>
  </si>
  <si>
    <t>H000001468</t>
  </si>
  <si>
    <t>CN - FD SP Sales Head</t>
  </si>
  <si>
    <t>H000001469</t>
  </si>
  <si>
    <t>CN - FD SP Sales North</t>
  </si>
  <si>
    <t>H000001470</t>
  </si>
  <si>
    <t>CN - FD SP Sales South</t>
  </si>
  <si>
    <t>H000001471</t>
  </si>
  <si>
    <t>CN - FD SP Sales East</t>
  </si>
  <si>
    <t>H000001472</t>
  </si>
  <si>
    <t>CN - FD SP Sales West</t>
  </si>
  <si>
    <t>H000001473</t>
  </si>
  <si>
    <t>CN - FD SP Sales RMM</t>
  </si>
  <si>
    <t>CN - FD Sales Promotion MKT Non - HCP</t>
  </si>
  <si>
    <t>H000001484</t>
  </si>
  <si>
    <t>CN - FD SP MKT Non - HCP MCM</t>
  </si>
  <si>
    <t>L000011136</t>
  </si>
  <si>
    <t>LS Management -G</t>
  </si>
  <si>
    <t>L000011110</t>
  </si>
  <si>
    <t>L000011336</t>
  </si>
  <si>
    <t>Technology Pioneering</t>
  </si>
  <si>
    <t>L000013275</t>
  </si>
  <si>
    <t>L000013324</t>
  </si>
  <si>
    <t>L000013325</t>
  </si>
  <si>
    <t>L000013326</t>
  </si>
  <si>
    <t>H000004116</t>
  </si>
  <si>
    <t>FR - Sales promotion Xevinapant</t>
  </si>
  <si>
    <t>H000001612</t>
  </si>
  <si>
    <t>Thibault Pernelle</t>
  </si>
  <si>
    <t>H000004201</t>
  </si>
  <si>
    <t>FR - Medical non R&amp;D Evobrutinib</t>
  </si>
  <si>
    <t>H000001637</t>
  </si>
  <si>
    <t>H000004202</t>
  </si>
  <si>
    <t>FR - Sales promotion Evobrutinib</t>
  </si>
  <si>
    <t>H000001619</t>
  </si>
  <si>
    <t>H000004203</t>
  </si>
  <si>
    <t>FR - Production costs</t>
  </si>
  <si>
    <t>H000000186</t>
  </si>
  <si>
    <t>H000004204</t>
  </si>
  <si>
    <t>GB - ISS -Xevinapant</t>
  </si>
  <si>
    <t>H000002080</t>
  </si>
  <si>
    <t>Basak Buyukkosker</t>
  </si>
  <si>
    <t>H000004205</t>
  </si>
  <si>
    <t>GB - ISS- Evobrutinib</t>
  </si>
  <si>
    <t>H000002092</t>
  </si>
  <si>
    <t>H000004206</t>
  </si>
  <si>
    <t>GB - LRD Evobrutinib</t>
  </si>
  <si>
    <t>H000002111</t>
  </si>
  <si>
    <t>H000004207</t>
  </si>
  <si>
    <t>GB - Medical Non R&amp;D Xevinapant</t>
  </si>
  <si>
    <t>H000002116</t>
  </si>
  <si>
    <t>H000004208</t>
  </si>
  <si>
    <t>GB - Medical Non R&amp;D Evobrutinib</t>
  </si>
  <si>
    <t>H000004209</t>
  </si>
  <si>
    <t>SCALA_1786 0000000350</t>
  </si>
  <si>
    <t>H000000729</t>
  </si>
  <si>
    <t>H000001059</t>
  </si>
  <si>
    <t>Digital &amp; Data Transformation</t>
  </si>
  <si>
    <t>H000000456</t>
  </si>
  <si>
    <t>H000004210</t>
  </si>
  <si>
    <t xml:space="preserve">External Innovation </t>
  </si>
  <si>
    <t>H000001058</t>
  </si>
  <si>
    <t>H000004211</t>
  </si>
  <si>
    <t xml:space="preserve">CSCALA_1826$0000000370 SPI Israel </t>
  </si>
  <si>
    <t>H000001060</t>
  </si>
  <si>
    <t>H000004212</t>
  </si>
  <si>
    <t>FR - Clinical studies Xevinapant</t>
  </si>
  <si>
    <t>Marie-Luce Pujervie-Gonnet</t>
  </si>
  <si>
    <t>H000004213</t>
  </si>
  <si>
    <t>FR - Clinical studies Evobrutinib</t>
  </si>
  <si>
    <t>H000001645</t>
  </si>
  <si>
    <t>H000000461</t>
  </si>
  <si>
    <t>H000000459</t>
  </si>
  <si>
    <t>Birgit Kroeling-Neumann</t>
  </si>
  <si>
    <t>H000000507</t>
  </si>
  <si>
    <t>Global Pharma Manufacturing</t>
  </si>
  <si>
    <t>H000000607</t>
  </si>
  <si>
    <t>H000000616</t>
  </si>
  <si>
    <t>H000004214</t>
  </si>
  <si>
    <t>1954QB Quality - Vevey BDC</t>
  </si>
  <si>
    <t>H000004215</t>
  </si>
  <si>
    <t>1954VB Vevey BDC</t>
  </si>
  <si>
    <t>H000000640</t>
  </si>
  <si>
    <t>GHO - Head</t>
  </si>
  <si>
    <t>H000004216</t>
  </si>
  <si>
    <t>GHO Head - Global function</t>
  </si>
  <si>
    <t>H000004217</t>
  </si>
  <si>
    <t>GHO Head - Global projects</t>
  </si>
  <si>
    <t>H000004218</t>
  </si>
  <si>
    <t>Consulting</t>
  </si>
  <si>
    <t>H000004219</t>
  </si>
  <si>
    <t>Other</t>
  </si>
  <si>
    <t>H000004220</t>
  </si>
  <si>
    <t>GHO Head - Other</t>
  </si>
  <si>
    <t>H000000641</t>
  </si>
  <si>
    <t>Global - Biotech</t>
  </si>
  <si>
    <t>H000004221</t>
  </si>
  <si>
    <t>GBM - Global function</t>
  </si>
  <si>
    <t>H000004222</t>
  </si>
  <si>
    <t>GBM - Global projects</t>
  </si>
  <si>
    <t>H000004223</t>
  </si>
  <si>
    <t>GBM - Other</t>
  </si>
  <si>
    <t>H000004224</t>
  </si>
  <si>
    <t>GBM - LCM</t>
  </si>
  <si>
    <t>H000004225</t>
  </si>
  <si>
    <t>LCM - Vevey</t>
  </si>
  <si>
    <t>H000004226</t>
  </si>
  <si>
    <t>LCM - Aubonne</t>
  </si>
  <si>
    <t>H000004227</t>
  </si>
  <si>
    <t>LCM -Guidonia</t>
  </si>
  <si>
    <t>H000004228</t>
  </si>
  <si>
    <t>LCM - Ivrea</t>
  </si>
  <si>
    <t>H000004229</t>
  </si>
  <si>
    <t>LCM - Other Biotech</t>
  </si>
  <si>
    <t>H000000642</t>
  </si>
  <si>
    <t>Global - Pharma</t>
  </si>
  <si>
    <t>H000004230</t>
  </si>
  <si>
    <t>GPM - Global function</t>
  </si>
  <si>
    <t>H000004231</t>
  </si>
  <si>
    <t>GPM - GPO Head</t>
  </si>
  <si>
    <t>H000004232</t>
  </si>
  <si>
    <t>GPM - Pharma Tech</t>
  </si>
  <si>
    <t>H000004233</t>
  </si>
  <si>
    <t>GPM - Planning</t>
  </si>
  <si>
    <t>H000004234</t>
  </si>
  <si>
    <t>GPM - Tech Transfer</t>
  </si>
  <si>
    <t>H000004235</t>
  </si>
  <si>
    <t>GPM - Cluster</t>
  </si>
  <si>
    <t>H000004236</t>
  </si>
  <si>
    <t>GPM - Other</t>
  </si>
  <si>
    <t>H000004237</t>
  </si>
  <si>
    <t>GPM - Global projects</t>
  </si>
  <si>
    <t>H000004238</t>
  </si>
  <si>
    <t>H000004239</t>
  </si>
  <si>
    <t>GPM - LCM</t>
  </si>
  <si>
    <t>H000004240</t>
  </si>
  <si>
    <t>LCM - Darmstadt</t>
  </si>
  <si>
    <t>H000004241</t>
  </si>
  <si>
    <t>LCM - Other Pharma</t>
  </si>
  <si>
    <t>H000000643</t>
  </si>
  <si>
    <t>Global GD&amp;L</t>
  </si>
  <si>
    <t>H000000645</t>
  </si>
  <si>
    <t>H000004242</t>
  </si>
  <si>
    <t>STU - Global function</t>
  </si>
  <si>
    <t>H000004243</t>
  </si>
  <si>
    <t>STU - Global projects</t>
  </si>
  <si>
    <t>H000004244</t>
  </si>
  <si>
    <t>STU - Other</t>
  </si>
  <si>
    <t>H000000646</t>
  </si>
  <si>
    <t>H000004245</t>
  </si>
  <si>
    <t>GET - Global function</t>
  </si>
  <si>
    <t>H000004246</t>
  </si>
  <si>
    <t>GET - Global projects</t>
  </si>
  <si>
    <t>H000004247</t>
  </si>
  <si>
    <t>GET - Other</t>
  </si>
  <si>
    <t>H000000647</t>
  </si>
  <si>
    <t>H000004248</t>
  </si>
  <si>
    <t>GEHS - Global function</t>
  </si>
  <si>
    <t>H000004249</t>
  </si>
  <si>
    <t>GEHS - Global projects</t>
  </si>
  <si>
    <t>H000004250</t>
  </si>
  <si>
    <t>GEHS - Other</t>
  </si>
  <si>
    <t>H000000648</t>
  </si>
  <si>
    <t>GHO - Not allocated</t>
  </si>
  <si>
    <t>H000000970</t>
  </si>
  <si>
    <t>H000004251</t>
  </si>
  <si>
    <t>GEM - Global function</t>
  </si>
  <si>
    <t>H000004252</t>
  </si>
  <si>
    <t>GEM - Global projects</t>
  </si>
  <si>
    <t>H000004253</t>
  </si>
  <si>
    <t>GEM - Project costs</t>
  </si>
  <si>
    <t>H000004254</t>
  </si>
  <si>
    <t>GEM - Extra costs</t>
  </si>
  <si>
    <t>H000004255</t>
  </si>
  <si>
    <t>GEM - Other Projects</t>
  </si>
  <si>
    <t>H000004256</t>
  </si>
  <si>
    <t>GEM - Other</t>
  </si>
  <si>
    <t>H000004257</t>
  </si>
  <si>
    <t>GEM - MPV - CMOs</t>
  </si>
  <si>
    <t>H000004258</t>
  </si>
  <si>
    <t>GEM - Other CMOs</t>
  </si>
  <si>
    <t>H000000644</t>
  </si>
  <si>
    <t>Artwork</t>
  </si>
  <si>
    <t>H000000650</t>
  </si>
  <si>
    <t>Global Demand Planning Local</t>
  </si>
  <si>
    <t>H000004259</t>
  </si>
  <si>
    <t>Global Demand Planning Global</t>
  </si>
  <si>
    <t>H000000649</t>
  </si>
  <si>
    <t>H000004260</t>
  </si>
  <si>
    <t>PPV Intersite Shipments</t>
  </si>
  <si>
    <t>H000000657</t>
  </si>
  <si>
    <t>H000000462</t>
  </si>
  <si>
    <t>H000000658</t>
  </si>
  <si>
    <t>H000000471</t>
  </si>
  <si>
    <t>H000000659</t>
  </si>
  <si>
    <t>H000000480</t>
  </si>
  <si>
    <t>H000000660</t>
  </si>
  <si>
    <t>H000000489</t>
  </si>
  <si>
    <t>H000000661</t>
  </si>
  <si>
    <t>H000000498</t>
  </si>
  <si>
    <t>H000000663</t>
  </si>
  <si>
    <t>H000000508</t>
  </si>
  <si>
    <t>H000000664</t>
  </si>
  <si>
    <t>H000000535</t>
  </si>
  <si>
    <t>H000000665</t>
  </si>
  <si>
    <t>H000000562</t>
  </si>
  <si>
    <t>H000000666</t>
  </si>
  <si>
    <t>H000000580</t>
  </si>
  <si>
    <t>H000000667</t>
  </si>
  <si>
    <t>H000000589</t>
  </si>
  <si>
    <t>H000000668</t>
  </si>
  <si>
    <t>H000000553</t>
  </si>
  <si>
    <t>H000000669</t>
  </si>
  <si>
    <t>H000000526</t>
  </si>
  <si>
    <t>H000000670</t>
  </si>
  <si>
    <t>H000000544</t>
  </si>
  <si>
    <t>H000000671</t>
  </si>
  <si>
    <t>H000000571</t>
  </si>
  <si>
    <t>H000000672</t>
  </si>
  <si>
    <t>H000000598</t>
  </si>
  <si>
    <t>H000000673</t>
  </si>
  <si>
    <t>H000000675</t>
  </si>
  <si>
    <t>H000000617</t>
  </si>
  <si>
    <t>H000000676</t>
  </si>
  <si>
    <t>H000000860</t>
  </si>
  <si>
    <t>H000000677</t>
  </si>
  <si>
    <t>H000000626</t>
  </si>
  <si>
    <t>H000000679</t>
  </si>
  <si>
    <t>Global HCQ - Head</t>
  </si>
  <si>
    <t>H000004261</t>
  </si>
  <si>
    <t>Qualtiy - Pharma sites</t>
  </si>
  <si>
    <t>H000000678</t>
  </si>
  <si>
    <t>H000004262</t>
  </si>
  <si>
    <t>Quality - Biotech sites</t>
  </si>
  <si>
    <t>H000004263</t>
  </si>
  <si>
    <t>Quality - Global QC</t>
  </si>
  <si>
    <t>H000004264</t>
  </si>
  <si>
    <t>Qualtiy - Development sites</t>
  </si>
  <si>
    <t>H000000683</t>
  </si>
  <si>
    <t>Quality - Not allocated</t>
  </si>
  <si>
    <t>H000004265</t>
  </si>
  <si>
    <t>Qualtiy - Global subsidiaries</t>
  </si>
  <si>
    <t>H000000684</t>
  </si>
  <si>
    <t>H000004266</t>
  </si>
  <si>
    <t>Qualtiy - Local Subsidiaries</t>
  </si>
  <si>
    <t>H000004267</t>
  </si>
  <si>
    <t>Qualtiy - Global projects</t>
  </si>
  <si>
    <t>H000000654</t>
  </si>
  <si>
    <t>H000004268</t>
  </si>
  <si>
    <t>Qualtiy - Other</t>
  </si>
  <si>
    <t>H000000903</t>
  </si>
  <si>
    <t>H000000811</t>
  </si>
  <si>
    <t>H000000716</t>
  </si>
  <si>
    <t>RDC0000099</t>
  </si>
  <si>
    <t>H000000011</t>
  </si>
  <si>
    <t>G000000525</t>
  </si>
  <si>
    <t>SM-EO FS Lab Buildings DA</t>
  </si>
  <si>
    <t>G000000533</t>
  </si>
  <si>
    <t>SM-EO FS Production Buildings DA</t>
  </si>
  <si>
    <t>SM-EO Shell &amp; Core Darmstadt</t>
  </si>
  <si>
    <t>G000000524</t>
  </si>
  <si>
    <t>SM-EO Gebäude DA Spitze</t>
  </si>
  <si>
    <t>SM-EP Gebäude DA Spitze</t>
  </si>
  <si>
    <t>G000000521</t>
  </si>
  <si>
    <t>G000000522</t>
  </si>
  <si>
    <t>SM-EO Sachkosten Spitze</t>
  </si>
  <si>
    <t>G000000537</t>
  </si>
  <si>
    <t>SM-EO Gewerbl. Vermietung DA</t>
  </si>
  <si>
    <t>G000000538</t>
  </si>
  <si>
    <t>SM-EO Center Mgmt. X-Tower</t>
  </si>
  <si>
    <t>G000000539</t>
  </si>
  <si>
    <t>SM-EO Verrechnungs-KST</t>
  </si>
  <si>
    <t>G000000517</t>
  </si>
  <si>
    <t>SM-EO Spitze</t>
  </si>
  <si>
    <t>G000000518</t>
  </si>
  <si>
    <t>SM-EO Personalkosten</t>
  </si>
  <si>
    <t>SM-EO Lease Hold Darmstadt</t>
  </si>
  <si>
    <t>G000000526</t>
  </si>
  <si>
    <t>SM-EO FS Office Building DA Spitze</t>
  </si>
  <si>
    <t>G000000527</t>
  </si>
  <si>
    <t>SM-EO FS Own Office Bldgs. DA</t>
  </si>
  <si>
    <t>G000000528</t>
  </si>
  <si>
    <t>SM-EO FS Rented Office Bldgs. DA</t>
  </si>
  <si>
    <t>G000000530</t>
  </si>
  <si>
    <t>SM-EO FS Lab Building DA Spitze</t>
  </si>
  <si>
    <t>G000000534</t>
  </si>
  <si>
    <t>SM-EO FS Public Building DA Spitze</t>
  </si>
  <si>
    <t>G000000540</t>
  </si>
  <si>
    <t>SM-EO Weitere Facility Sevices</t>
  </si>
  <si>
    <t>G000000541</t>
  </si>
  <si>
    <t>SM-EO Möbel</t>
  </si>
  <si>
    <t>G000000542</t>
  </si>
  <si>
    <t>SM-EO Umzugskosten</t>
  </si>
  <si>
    <t>G000000543</t>
  </si>
  <si>
    <t>SM-EO Reinigungskosten</t>
  </si>
  <si>
    <t>G000000998</t>
  </si>
  <si>
    <t>SM-EO Verrechnungs Sonstiges</t>
  </si>
  <si>
    <t>G000000642</t>
  </si>
  <si>
    <t>Joshua Cachola</t>
  </si>
  <si>
    <t>G000000257</t>
  </si>
  <si>
    <t>G000000893</t>
  </si>
  <si>
    <t>G000000672</t>
  </si>
  <si>
    <t>G000000278</t>
  </si>
  <si>
    <t>G000000280</t>
  </si>
  <si>
    <t>G000000281</t>
  </si>
  <si>
    <t>G000000784</t>
  </si>
  <si>
    <t>G000000789</t>
  </si>
  <si>
    <t>L000013399</t>
  </si>
  <si>
    <t>Cherokee Buffers</t>
  </si>
  <si>
    <t>L000009488</t>
  </si>
  <si>
    <t>L000013400</t>
  </si>
  <si>
    <t>Cherokee H&amp;H</t>
  </si>
  <si>
    <t>L000013401</t>
  </si>
  <si>
    <t>Cherokee Tablet Production</t>
  </si>
  <si>
    <t>L000013402</t>
  </si>
  <si>
    <t>Spruce GMP Oligo</t>
  </si>
  <si>
    <t>L000009580</t>
  </si>
  <si>
    <t>L000013403</t>
  </si>
  <si>
    <t>Biosafety Testing</t>
  </si>
  <si>
    <t>L000007122</t>
  </si>
  <si>
    <t>L000013404</t>
  </si>
  <si>
    <t>Viral Clearance</t>
  </si>
  <si>
    <t>L000013405</t>
  </si>
  <si>
    <t>Product Characterization</t>
  </si>
  <si>
    <t>L000013406</t>
  </si>
  <si>
    <t>Cell Banking</t>
  </si>
  <si>
    <t>L000013407</t>
  </si>
  <si>
    <t>Next Generation Sequencing</t>
  </si>
  <si>
    <t>L000013408</t>
  </si>
  <si>
    <t>Development Services</t>
  </si>
  <si>
    <t>L000013409</t>
  </si>
  <si>
    <t>Sales &amp; Operations Planning</t>
  </si>
  <si>
    <t>L000013410</t>
  </si>
  <si>
    <t>US Site Support</t>
  </si>
  <si>
    <t>L000013411</t>
  </si>
  <si>
    <t>UK Site Support</t>
  </si>
  <si>
    <t>L000013412</t>
  </si>
  <si>
    <t>Transformation</t>
  </si>
  <si>
    <t>L000013413</t>
  </si>
  <si>
    <t>E2E</t>
  </si>
  <si>
    <t>L000013414</t>
  </si>
  <si>
    <t>R&amp;D</t>
  </si>
  <si>
    <t>L000007121</t>
  </si>
  <si>
    <t>L000013415</t>
  </si>
  <si>
    <t>LS-OP PS Value Stream</t>
  </si>
  <si>
    <t>L000009201</t>
  </si>
  <si>
    <t>L000013416</t>
  </si>
  <si>
    <t>LS-OPC Value Chain Cell Culture Media</t>
  </si>
  <si>
    <t>L000013417</t>
  </si>
  <si>
    <t>LS-OPD Value Chain Downstream &amp; Aseptic</t>
  </si>
  <si>
    <t>L000013418</t>
  </si>
  <si>
    <t>LS_OPF Value Chain P&amp;F Materials</t>
  </si>
  <si>
    <t>L000013419</t>
  </si>
  <si>
    <t>LS-OPP Value Chain Purification</t>
  </si>
  <si>
    <t>L000013420</t>
  </si>
  <si>
    <t>LS-OPS Value Chain Single Use</t>
  </si>
  <si>
    <t>L000013421</t>
  </si>
  <si>
    <t>LS-OPG PS VS Processes, Govern., Cap.</t>
  </si>
  <si>
    <t>L000013422</t>
  </si>
  <si>
    <t>LS-OL SLS Value Stream</t>
  </si>
  <si>
    <t>L000013423</t>
  </si>
  <si>
    <t>LS-OPC-G Global Design Team</t>
  </si>
  <si>
    <t>L000013424</t>
  </si>
  <si>
    <t>LS-OPC-Q Cell Culture Media Quality</t>
  </si>
  <si>
    <t>L000013425</t>
  </si>
  <si>
    <t>LS-OPS-A  Danvers Mobius Design &amp; Eng</t>
  </si>
  <si>
    <t>L000013426</t>
  </si>
  <si>
    <t>LS-CAT-B mRNA MG</t>
  </si>
  <si>
    <t>L000013330</t>
  </si>
  <si>
    <t>L000013427</t>
  </si>
  <si>
    <t>LS-CAT-Q mRNA QA</t>
  </si>
  <si>
    <t>L000013428</t>
  </si>
  <si>
    <t>LS-CAT-R mRNA QC</t>
  </si>
  <si>
    <t>L000013429</t>
  </si>
  <si>
    <t>LS-CAT-S mRNA QP</t>
  </si>
  <si>
    <t>L000013430</t>
  </si>
  <si>
    <t>LS-ODN Distribution Western Hemisphere</t>
  </si>
  <si>
    <t>L000009794</t>
  </si>
  <si>
    <t>L000013431</t>
  </si>
  <si>
    <t>South Cone</t>
  </si>
  <si>
    <t>L000009997</t>
  </si>
  <si>
    <t>L000013432</t>
  </si>
  <si>
    <t>COLCEN</t>
  </si>
  <si>
    <t>L000013433</t>
  </si>
  <si>
    <t>ODD Distr. Eastern Hemisphere&amp;Gl. Transp</t>
  </si>
  <si>
    <t>L000013434</t>
  </si>
  <si>
    <t>Distribution Europe</t>
  </si>
  <si>
    <t>L000013435</t>
  </si>
  <si>
    <t>Distribution EPP, Ghm, Hohenbr.</t>
  </si>
  <si>
    <t>L000013436</t>
  </si>
  <si>
    <t>LS-ODE Supply Chain Excellence</t>
  </si>
  <si>
    <t>L000013437</t>
  </si>
  <si>
    <t>LS Freight costs APAC</t>
  </si>
  <si>
    <t>L000009820</t>
  </si>
  <si>
    <t>L000013438</t>
  </si>
  <si>
    <t>Landed costs</t>
  </si>
  <si>
    <t>L000013439</t>
  </si>
  <si>
    <t>Production Planning</t>
  </si>
  <si>
    <t>L000013440</t>
  </si>
  <si>
    <t>IOS Production Planning -G</t>
  </si>
  <si>
    <t>L000013441</t>
  </si>
  <si>
    <t>S&amp;I Production Planning -G</t>
  </si>
  <si>
    <t>L000013442</t>
  </si>
  <si>
    <t>AEM Production Planning -G</t>
  </si>
  <si>
    <t>L000013443</t>
  </si>
  <si>
    <t>Biologics Production Planning -G</t>
  </si>
  <si>
    <t>L000013444</t>
  </si>
  <si>
    <t>others</t>
  </si>
  <si>
    <t>L000013445</t>
  </si>
  <si>
    <t>US Operations</t>
  </si>
  <si>
    <t>L000013446</t>
  </si>
  <si>
    <t>US East</t>
  </si>
  <si>
    <t>L000013447</t>
  </si>
  <si>
    <t>US Mid West</t>
  </si>
  <si>
    <t>L000013448</t>
  </si>
  <si>
    <t>US West</t>
  </si>
  <si>
    <t>L000013449</t>
  </si>
  <si>
    <t>Europe Operations</t>
  </si>
  <si>
    <t>L000013450</t>
  </si>
  <si>
    <t>Western Europe &amp; Middle East</t>
  </si>
  <si>
    <t>L000013451</t>
  </si>
  <si>
    <t>Central Europe</t>
  </si>
  <si>
    <t>L000013452</t>
  </si>
  <si>
    <t>Engineering &amp; Technology</t>
  </si>
  <si>
    <t>L000013453</t>
  </si>
  <si>
    <t>Cap Ex PMO</t>
  </si>
  <si>
    <t>L000013454</t>
  </si>
  <si>
    <t>Media &amp; Buffers</t>
  </si>
  <si>
    <t>L000013455</t>
  </si>
  <si>
    <t>Chemicals</t>
  </si>
  <si>
    <t>L000013456</t>
  </si>
  <si>
    <t>Device &amp; Filtration</t>
  </si>
  <si>
    <t>L000013457</t>
  </si>
  <si>
    <t xml:space="preserve">APAC </t>
  </si>
  <si>
    <t>L000013458</t>
  </si>
  <si>
    <t>Systems &amp; Maintenance</t>
  </si>
  <si>
    <t>L000013459</t>
  </si>
  <si>
    <t>Digital &amp; OT</t>
  </si>
  <si>
    <t>L000013460</t>
  </si>
  <si>
    <t>Process &amp; Technology</t>
  </si>
  <si>
    <t>L000013461</t>
  </si>
  <si>
    <t>LSS Exceptionals</t>
  </si>
  <si>
    <t>L000013182</t>
  </si>
  <si>
    <t>L000013462</t>
  </si>
  <si>
    <t>Bangalore Data &amp; Analytics (former MITC)</t>
  </si>
  <si>
    <t>L000013001</t>
  </si>
  <si>
    <t>L000013463</t>
  </si>
  <si>
    <t>IT Application Mgmt TBD</t>
  </si>
  <si>
    <t>L000013120</t>
  </si>
  <si>
    <t>L000013464</t>
  </si>
  <si>
    <t>Tech Leadership Fund Super Enzymes</t>
  </si>
  <si>
    <t>L000013465</t>
  </si>
  <si>
    <t>Tech Leadership Fund TBD</t>
  </si>
  <si>
    <t>L000013466</t>
  </si>
  <si>
    <t>Digital Task Force</t>
  </si>
  <si>
    <t>L000013467</t>
  </si>
  <si>
    <t>DTF (original)</t>
  </si>
  <si>
    <t>L000013468</t>
  </si>
  <si>
    <t>TBD 1</t>
  </si>
  <si>
    <t>L000013469</t>
  </si>
  <si>
    <t>TBD 2</t>
  </si>
  <si>
    <t>L000013470</t>
  </si>
  <si>
    <t>TBD 3</t>
  </si>
  <si>
    <t>L000008545</t>
  </si>
  <si>
    <t>Taiwan SLS Commercial -G</t>
  </si>
  <si>
    <t>L000008550</t>
  </si>
  <si>
    <t>Head of SLS, Taiwan-G</t>
  </si>
  <si>
    <t>L000008561</t>
  </si>
  <si>
    <t>Pharma Sales, Taiwan-G</t>
  </si>
  <si>
    <t>L000008562</t>
  </si>
  <si>
    <t>Channel Development, Taiwan-G</t>
  </si>
  <si>
    <t>L000013320</t>
  </si>
  <si>
    <t>Digital Sales, Taiwan-G</t>
  </si>
  <si>
    <t>L000008996</t>
  </si>
  <si>
    <t>TMIC and Cust. &amp; Bus. Insights</t>
  </si>
  <si>
    <t>L000012375</t>
  </si>
  <si>
    <t>Sales LATAM South Cone -G</t>
  </si>
  <si>
    <t>L000010062</t>
  </si>
  <si>
    <t>LS-ODS Systems</t>
  </si>
  <si>
    <t>L000009961</t>
  </si>
  <si>
    <t>LS-ODA Analytics &amp; Performance</t>
  </si>
  <si>
    <t>L000009963</t>
  </si>
  <si>
    <t>LS-ODC Customer SC &amp; Innovation</t>
  </si>
  <si>
    <t>L000010057</t>
  </si>
  <si>
    <t>LS-ODL Supply Chain SLS</t>
  </si>
  <si>
    <t>Technology Pioneering Exploration</t>
  </si>
  <si>
    <t>L000005103</t>
  </si>
  <si>
    <t>Industrial Sales- Taiwan -G</t>
  </si>
  <si>
    <t>D33 mRNA Production Darmstadt</t>
  </si>
  <si>
    <t>L000006420</t>
  </si>
  <si>
    <t>L000010045</t>
  </si>
  <si>
    <t>LS-ODT Supply Chain PS</t>
  </si>
  <si>
    <t>L000009362</t>
  </si>
  <si>
    <t>LS-ODU APAC Market Supply Chain</t>
  </si>
  <si>
    <t>L000013323</t>
  </si>
  <si>
    <t>Bangalore Data &amp; Analytics (former SBS)</t>
  </si>
  <si>
    <t>L000012432</t>
  </si>
  <si>
    <t>Technology Pioneering ACC</t>
  </si>
  <si>
    <t>L000008433</t>
  </si>
  <si>
    <t>L000008414</t>
  </si>
  <si>
    <t>L000005300</t>
  </si>
  <si>
    <t>L000007596</t>
  </si>
  <si>
    <t>L000013078</t>
  </si>
  <si>
    <t>L000011822</t>
  </si>
  <si>
    <t>L000006654</t>
  </si>
  <si>
    <t>L000012319</t>
  </si>
  <si>
    <t>L000012366</t>
  </si>
  <si>
    <t>L000012367</t>
  </si>
  <si>
    <t>L000009407</t>
  </si>
  <si>
    <t>L000009413</t>
  </si>
  <si>
    <t>L000009437</t>
  </si>
  <si>
    <t>L000009444</t>
  </si>
  <si>
    <t>L000009452</t>
  </si>
  <si>
    <t>L000009469</t>
  </si>
  <si>
    <t>L000009485</t>
  </si>
  <si>
    <t>L000009506</t>
  </si>
  <si>
    <t>L000009556</t>
  </si>
  <si>
    <t>L000009581</t>
  </si>
  <si>
    <t>L000009599</t>
  </si>
  <si>
    <t>L000009611</t>
  </si>
  <si>
    <t>L000009623</t>
  </si>
  <si>
    <t>L000009625</t>
  </si>
  <si>
    <t>L000010608</t>
  </si>
  <si>
    <t>L000009635</t>
  </si>
  <si>
    <t>L000009642</t>
  </si>
  <si>
    <t>L000009645</t>
  </si>
  <si>
    <t>L000009675</t>
  </si>
  <si>
    <t>L000009693</t>
  </si>
  <si>
    <t>L000009717</t>
  </si>
  <si>
    <t>L000009723</t>
  </si>
  <si>
    <t>L000009738</t>
  </si>
  <si>
    <t>L000010244</t>
  </si>
  <si>
    <t>L000010252</t>
  </si>
  <si>
    <t>L000010274</t>
  </si>
  <si>
    <t>L000010287</t>
  </si>
  <si>
    <t>L000010364</t>
  </si>
  <si>
    <t>L000010382</t>
  </si>
  <si>
    <t>L000010421</t>
  </si>
  <si>
    <t>L000010484</t>
  </si>
  <si>
    <t>L000010232</t>
  </si>
  <si>
    <t>L000009656</t>
  </si>
  <si>
    <t>L000012485</t>
  </si>
  <si>
    <t>L000011934</t>
  </si>
  <si>
    <t>L000012488</t>
  </si>
  <si>
    <t>L000012431</t>
  </si>
  <si>
    <t>L000006956</t>
  </si>
  <si>
    <t>L000013358</t>
  </si>
  <si>
    <t>L000006957</t>
  </si>
  <si>
    <t>L000006960</t>
  </si>
  <si>
    <t>L000007073</t>
  </si>
  <si>
    <t>L000011517</t>
  </si>
  <si>
    <t>L000012599</t>
  </si>
  <si>
    <t>G000000484</t>
  </si>
  <si>
    <t>SM-EC MRE Site and Production</t>
  </si>
  <si>
    <t>SM-EO MRE Office and Lab</t>
  </si>
  <si>
    <t>G000000485</t>
  </si>
  <si>
    <t>SM-EC Spitze</t>
  </si>
  <si>
    <t>G000000486</t>
  </si>
  <si>
    <t>SM-EC Personalkosten</t>
  </si>
  <si>
    <t>G000000489</t>
  </si>
  <si>
    <t>SM-EC Sachkosten</t>
  </si>
  <si>
    <t>G000000487</t>
  </si>
  <si>
    <t>SM-EC Personalkosten DA</t>
  </si>
  <si>
    <t>G000000488</t>
  </si>
  <si>
    <t>SM-EC Personalkosten GHM</t>
  </si>
  <si>
    <t>G000000490</t>
  </si>
  <si>
    <t>SM-EC Site Darmstadt</t>
  </si>
  <si>
    <t>G000000501</t>
  </si>
  <si>
    <t>SM-EC Site Gernsheim</t>
  </si>
  <si>
    <t>G000000511</t>
  </si>
  <si>
    <t>SM-EC Site Hohenbrunn</t>
  </si>
  <si>
    <t>G000000515</t>
  </si>
  <si>
    <t>SM-EC Grundstücke Merck KGaA</t>
  </si>
  <si>
    <t>G000000491</t>
  </si>
  <si>
    <t>SM-EC Site Darmstadt Spitze</t>
  </si>
  <si>
    <t>G000000492</t>
  </si>
  <si>
    <t>SM-EC Gebäude Darmstadt</t>
  </si>
  <si>
    <t>G000000497</t>
  </si>
  <si>
    <t>SM-EC Standortentwicklung DA</t>
  </si>
  <si>
    <t>G000000498</t>
  </si>
  <si>
    <t>SM-EC Freiflächen DA</t>
  </si>
  <si>
    <t>G000000499</t>
  </si>
  <si>
    <t>SM-EC Freiflächen DA Spitze</t>
  </si>
  <si>
    <t>G000000500</t>
  </si>
  <si>
    <t>SM-EC FS Freiflächen DA</t>
  </si>
  <si>
    <t>G000000502</t>
  </si>
  <si>
    <t>SM-EC Site Gernsheim Spitze</t>
  </si>
  <si>
    <t>G000000503</t>
  </si>
  <si>
    <t>SM-EC Gebäude Gernsheim</t>
  </si>
  <si>
    <t>G000000508</t>
  </si>
  <si>
    <t>SM-EC Freiflächen GHM</t>
  </si>
  <si>
    <t>G000000509</t>
  </si>
  <si>
    <t>SM-EC Gewerbl. Vermietung GHM</t>
  </si>
  <si>
    <t>G000000510</t>
  </si>
  <si>
    <t>SM-EC Verrechnungs. KST GHM</t>
  </si>
  <si>
    <t>G000000512</t>
  </si>
  <si>
    <t>SM-EC Shell &amp; Core HO</t>
  </si>
  <si>
    <t>G000000513</t>
  </si>
  <si>
    <t>SM-EC Lease Hold HO</t>
  </si>
  <si>
    <t>G000000514</t>
  </si>
  <si>
    <t>SM-EC Freiflächen HO</t>
  </si>
  <si>
    <t>IT06041200</t>
  </si>
  <si>
    <t>G000000273</t>
  </si>
  <si>
    <t>H000004269</t>
  </si>
  <si>
    <t>DE - BAV Sales Promotion</t>
  </si>
  <si>
    <t>H000001749</t>
  </si>
  <si>
    <t>H000004270</t>
  </si>
  <si>
    <t>DE - ERB Sales Promotion</t>
  </si>
  <si>
    <t>H000004271</t>
  </si>
  <si>
    <t>DE - TEP Sales Promotion</t>
  </si>
  <si>
    <t>H000004272</t>
  </si>
  <si>
    <t>DE - XEV Sales Promotion</t>
  </si>
  <si>
    <t>H000004273</t>
  </si>
  <si>
    <t>DE - MAV Sales Promotion</t>
  </si>
  <si>
    <t>H000001756</t>
  </si>
  <si>
    <t>H000004274</t>
  </si>
  <si>
    <t>DE - REB Sales Promotion</t>
  </si>
  <si>
    <t>H000004275</t>
  </si>
  <si>
    <t>DE - EVO Sales Promotion</t>
  </si>
  <si>
    <t>H000004276</t>
  </si>
  <si>
    <t>DE - FD Sales Promotion</t>
  </si>
  <si>
    <t>H000001762</t>
  </si>
  <si>
    <t>H000004277</t>
  </si>
  <si>
    <t>DE - SAI Sales Promotion</t>
  </si>
  <si>
    <t>H000004278</t>
  </si>
  <si>
    <t>DE - CMC Sales Promotion</t>
  </si>
  <si>
    <t>H000004279</t>
  </si>
  <si>
    <t>DE - BAV Medical Activities</t>
  </si>
  <si>
    <t>H000001769</t>
  </si>
  <si>
    <t>H000004280</t>
  </si>
  <si>
    <t>DE - ERB Medical Activities</t>
  </si>
  <si>
    <t>H000004281</t>
  </si>
  <si>
    <t>DE - TEP Medical Activities</t>
  </si>
  <si>
    <t>H000004282</t>
  </si>
  <si>
    <t>DE - XEV Medical Activities</t>
  </si>
  <si>
    <t>H000004283</t>
  </si>
  <si>
    <t>DE - BAV Local R&amp;D studies</t>
  </si>
  <si>
    <t>H000001770</t>
  </si>
  <si>
    <t>H000004284</t>
  </si>
  <si>
    <t>DE - ERB Local R&amp;D studies</t>
  </si>
  <si>
    <t>H000004285</t>
  </si>
  <si>
    <t>DE - TEP Local R&amp;D studies</t>
  </si>
  <si>
    <t>H000004286</t>
  </si>
  <si>
    <t>DE - XEV Local R&amp;D studies</t>
  </si>
  <si>
    <t>H000004287</t>
  </si>
  <si>
    <t>DE - MAV Medical Activities</t>
  </si>
  <si>
    <t>H000001773</t>
  </si>
  <si>
    <t>H000004288</t>
  </si>
  <si>
    <t>DE - REB Medical Activities</t>
  </si>
  <si>
    <t>H000004289</t>
  </si>
  <si>
    <t>DE - EVO Medical Activities</t>
  </si>
  <si>
    <t>H000004290</t>
  </si>
  <si>
    <t>DE - MAV Local R&amp;D Studies</t>
  </si>
  <si>
    <t>H000001774</t>
  </si>
  <si>
    <t>H000004291</t>
  </si>
  <si>
    <t>DE - REB Local R&amp;D Studies</t>
  </si>
  <si>
    <t>H000004292</t>
  </si>
  <si>
    <t>DE - EVO Local R&amp;D Studies</t>
  </si>
  <si>
    <t>H000004293</t>
  </si>
  <si>
    <t>DE - FD Medical Activities</t>
  </si>
  <si>
    <t>H000001777</t>
  </si>
  <si>
    <t>H000004294</t>
  </si>
  <si>
    <t>DE - SAI Medical Activities</t>
  </si>
  <si>
    <t>H000004295</t>
  </si>
  <si>
    <t>DE - CMC Medical Activities</t>
  </si>
  <si>
    <t>H000004296</t>
  </si>
  <si>
    <t>DE - FD Local R&amp;D Studies</t>
  </si>
  <si>
    <t>H000001778</t>
  </si>
  <si>
    <t>H000004297</t>
  </si>
  <si>
    <t>DE - SAI Local R&amp;D Studies</t>
  </si>
  <si>
    <t>H000004298</t>
  </si>
  <si>
    <t>DE - CMC Local R&amp;D Studies</t>
  </si>
  <si>
    <t>H000001750</t>
  </si>
  <si>
    <t>H000001751</t>
  </si>
  <si>
    <t>H000001757</t>
  </si>
  <si>
    <t>H000001758</t>
  </si>
  <si>
    <t>H000001763</t>
  </si>
  <si>
    <t>H000001764</t>
  </si>
  <si>
    <t>P000000769</t>
  </si>
  <si>
    <t>EL-PC Organisation</t>
  </si>
  <si>
    <t>P000000608</t>
  </si>
  <si>
    <t>Henry Ifurung Jr.</t>
  </si>
  <si>
    <t>P000000770</t>
  </si>
  <si>
    <t>EL-NMB Megasys Operations Asia</t>
  </si>
  <si>
    <t>P000000713</t>
  </si>
  <si>
    <t>P000000771</t>
  </si>
  <si>
    <t>EL-NMB Field Services NAEUR</t>
  </si>
  <si>
    <t>P000000772</t>
  </si>
  <si>
    <t>EL-NSA Manufacturing</t>
  </si>
  <si>
    <t>P000000720</t>
  </si>
  <si>
    <t>P000000773</t>
  </si>
  <si>
    <t>Semi Materials Other</t>
  </si>
  <si>
    <t>P000000391</t>
  </si>
  <si>
    <t>P000000565</t>
  </si>
  <si>
    <t>EL-PSI-MJ Commercial Japan</t>
  </si>
  <si>
    <t>P000000300</t>
  </si>
  <si>
    <t>EL-POP Operational Excellence</t>
  </si>
  <si>
    <t>P000000508</t>
  </si>
  <si>
    <t>EL-POE Supply Excellence</t>
  </si>
  <si>
    <t>P000000208</t>
  </si>
  <si>
    <t>Supply Chain Transformation</t>
  </si>
  <si>
    <t>P000000645</t>
  </si>
  <si>
    <t xml:space="preserve">MIP over / under </t>
  </si>
  <si>
    <t>P000000447</t>
  </si>
  <si>
    <t>P000000448</t>
  </si>
  <si>
    <t>P000000512</t>
  </si>
  <si>
    <t>P000000609</t>
  </si>
  <si>
    <t>P000000542</t>
  </si>
  <si>
    <t>P000000597</t>
  </si>
  <si>
    <t>P000000598</t>
  </si>
  <si>
    <t>P000000650</t>
  </si>
  <si>
    <t>H000004299</t>
  </si>
  <si>
    <t xml:space="preserve">NA - MARKETING STATEGY </t>
  </si>
  <si>
    <t>H000002133</t>
  </si>
  <si>
    <t>H000004300</t>
  </si>
  <si>
    <t>NA - Med Activities Neuro</t>
  </si>
  <si>
    <t>H000004301</t>
  </si>
  <si>
    <t>NA - Med Activities Onco</t>
  </si>
  <si>
    <t>H000004302</t>
  </si>
  <si>
    <t>NA - Med Activities</t>
  </si>
  <si>
    <t>H000004303</t>
  </si>
  <si>
    <t>NA - Sales Promotion Neuro</t>
  </si>
  <si>
    <t>G000001098</t>
  </si>
  <si>
    <t>SM-AH HealthCare</t>
  </si>
  <si>
    <t>H000000868</t>
  </si>
  <si>
    <t>NBE Technologies</t>
  </si>
  <si>
    <t>H000000858</t>
  </si>
  <si>
    <t>Global Medicinal Chemistry</t>
  </si>
  <si>
    <t>H000000869</t>
  </si>
  <si>
    <t>Early Protein Supply &amp; Characterization</t>
  </si>
  <si>
    <t>H000000870</t>
  </si>
  <si>
    <t>Antibody Discovery &amp; Protein Engineering</t>
  </si>
  <si>
    <t>H000000874</t>
  </si>
  <si>
    <t>Discovery Pharmacology</t>
  </si>
  <si>
    <t>H000000867</t>
  </si>
  <si>
    <t>NCE DMPK</t>
  </si>
  <si>
    <t>H000000857</t>
  </si>
  <si>
    <t>H000000875</t>
  </si>
  <si>
    <t>NBE DMPK</t>
  </si>
  <si>
    <t>H000000900</t>
  </si>
  <si>
    <t>L000010079</t>
  </si>
  <si>
    <t>L000010150</t>
  </si>
  <si>
    <t>L000010160</t>
  </si>
  <si>
    <t>L000010179</t>
  </si>
  <si>
    <t>L000010182</t>
  </si>
  <si>
    <t>L000010185</t>
  </si>
  <si>
    <t>L000010190</t>
  </si>
  <si>
    <t>L000010212</t>
  </si>
  <si>
    <t>L000010220</t>
  </si>
  <si>
    <t>L000012340</t>
  </si>
  <si>
    <t>G000001099</t>
  </si>
  <si>
    <t>IT-AZ Applications CoE</t>
  </si>
  <si>
    <t>G000000246</t>
  </si>
  <si>
    <t>IT06021500</t>
  </si>
  <si>
    <t>H000004304</t>
  </si>
  <si>
    <t>US - Government Pricing</t>
  </si>
  <si>
    <t>H000003834</t>
  </si>
  <si>
    <t>Maureen Cardano</t>
  </si>
  <si>
    <t>H000004305</t>
  </si>
  <si>
    <t>US - People/OH</t>
  </si>
  <si>
    <t>H000004306</t>
  </si>
  <si>
    <t>US - Program</t>
  </si>
  <si>
    <t>SM-H Head &amp; Projects</t>
  </si>
  <si>
    <t>G000000467</t>
  </si>
  <si>
    <t>SM-BC Strategic Contracting_I</t>
  </si>
  <si>
    <t>G000000469</t>
  </si>
  <si>
    <t>SM-BC strategic contracting</t>
  </si>
  <si>
    <t>G000000879</t>
  </si>
  <si>
    <t>G000000882</t>
  </si>
  <si>
    <t>G000000880</t>
  </si>
  <si>
    <t>G000000881</t>
  </si>
  <si>
    <t>H000004307</t>
  </si>
  <si>
    <t>LATAM - Regional Medical Affairs</t>
  </si>
  <si>
    <t>H000000385</t>
  </si>
  <si>
    <t>Charmaine Dela Vega</t>
  </si>
  <si>
    <t>H000004308</t>
  </si>
  <si>
    <t>LATAM - Head of Regional Medical Affairs</t>
  </si>
  <si>
    <t>H000004309</t>
  </si>
  <si>
    <t>LATAM - RMA</t>
  </si>
  <si>
    <t>H000000937</t>
  </si>
  <si>
    <t>H000001106</t>
  </si>
  <si>
    <t>H000000390</t>
  </si>
  <si>
    <t>H000000411</t>
  </si>
  <si>
    <t>H000000406</t>
  </si>
  <si>
    <t>H000000416</t>
  </si>
  <si>
    <t>H000000398</t>
  </si>
  <si>
    <t>H000000401</t>
  </si>
  <si>
    <t>H000000403</t>
  </si>
  <si>
    <t>H000000417</t>
  </si>
  <si>
    <t>H000000422</t>
  </si>
  <si>
    <t>H000000425</t>
  </si>
  <si>
    <t>H000004310</t>
  </si>
  <si>
    <t>Clinical studies Xevinapant</t>
  </si>
  <si>
    <t>H000004311</t>
  </si>
  <si>
    <t>Clinical studies Evobrutinib</t>
  </si>
  <si>
    <t>L000013471</t>
  </si>
  <si>
    <t>BM - Comm APAC - RM CN -G</t>
  </si>
  <si>
    <t>L000005635</t>
  </si>
  <si>
    <t>L000013472</t>
  </si>
  <si>
    <t>Digital COE</t>
  </si>
  <si>
    <t>L000013473</t>
  </si>
  <si>
    <t>DICE Strategy &amp; Execution</t>
  </si>
  <si>
    <t>L000013474</t>
  </si>
  <si>
    <t>LSS Business Planning &amp; Implementation</t>
  </si>
  <si>
    <t>L000013128</t>
  </si>
  <si>
    <t>L000013475</t>
  </si>
  <si>
    <t>L000013476</t>
  </si>
  <si>
    <t>Process &amp; Technologies PS VS</t>
  </si>
  <si>
    <t>L000013477</t>
  </si>
  <si>
    <t>LS-OHM-S Gross-expenditure -G</t>
  </si>
  <si>
    <t>L000013478</t>
  </si>
  <si>
    <t>LS-OHM-S Conversion Costs -G</t>
  </si>
  <si>
    <t>L000013479</t>
  </si>
  <si>
    <t>LS-OHM-S Allocations out -G</t>
  </si>
  <si>
    <t>L000013480</t>
  </si>
  <si>
    <t>LS-OHM-S Global TechOps -G</t>
  </si>
  <si>
    <t>L000013481</t>
  </si>
  <si>
    <t>LS-OHM-S Start-up costs -G</t>
  </si>
  <si>
    <t>L000013482</t>
  </si>
  <si>
    <t>LS-OHM-S Variances -G</t>
  </si>
  <si>
    <t>L000013483</t>
  </si>
  <si>
    <t>LS-OHM-S Miscellaneous -G</t>
  </si>
  <si>
    <t>L000013484</t>
  </si>
  <si>
    <t>Large Scale Manufacturing-G</t>
  </si>
  <si>
    <t>L000013485</t>
  </si>
  <si>
    <t>Small Scale Manufacturing-G</t>
  </si>
  <si>
    <t>L000013486</t>
  </si>
  <si>
    <t>Quality-G</t>
  </si>
  <si>
    <t>L000013487</t>
  </si>
  <si>
    <t>Engineering &amp; Maintenance-G</t>
  </si>
  <si>
    <t>L000013488</t>
  </si>
  <si>
    <t>EHS-G</t>
  </si>
  <si>
    <t>L000013489</t>
  </si>
  <si>
    <t>Planning &amp; Scheduling-G</t>
  </si>
  <si>
    <t>L000013490</t>
  </si>
  <si>
    <t>Admin &amp; Training-G</t>
  </si>
  <si>
    <t>L000013491</t>
  </si>
  <si>
    <t>Other-G</t>
  </si>
  <si>
    <t>L000013492</t>
  </si>
  <si>
    <t>Lab offices-G</t>
  </si>
  <si>
    <t>L000013493</t>
  </si>
  <si>
    <t>Profit Center-G</t>
  </si>
  <si>
    <t>L000013494</t>
  </si>
  <si>
    <t>Miscellaneous-G</t>
  </si>
  <si>
    <t>L000013495</t>
  </si>
  <si>
    <t>Membrane Manufacturing-G</t>
  </si>
  <si>
    <t>L000013496</t>
  </si>
  <si>
    <t>Outside LS-OHM-S</t>
  </si>
  <si>
    <t>L000013497</t>
  </si>
  <si>
    <t>US Facilities</t>
  </si>
  <si>
    <t>L000013498</t>
  </si>
  <si>
    <t>Op Ex</t>
  </si>
  <si>
    <t>L000005875</t>
  </si>
  <si>
    <t>L000005853</t>
  </si>
  <si>
    <t>L000008418</t>
  </si>
  <si>
    <t>L000008431</t>
  </si>
  <si>
    <t>L000008432</t>
  </si>
  <si>
    <t>L000005102</t>
  </si>
  <si>
    <t>L000008559</t>
  </si>
  <si>
    <t>L000005094</t>
  </si>
  <si>
    <t>L000005153</t>
  </si>
  <si>
    <t>L000005156</t>
  </si>
  <si>
    <t>L000005158</t>
  </si>
  <si>
    <t>L000005159</t>
  </si>
  <si>
    <t>L000005160</t>
  </si>
  <si>
    <t>L000005161</t>
  </si>
  <si>
    <t>L000008571</t>
  </si>
  <si>
    <t>L000008572</t>
  </si>
  <si>
    <t>L000008574</t>
  </si>
  <si>
    <t>L000008575</t>
  </si>
  <si>
    <t>L000008577</t>
  </si>
  <si>
    <t>L000008578</t>
  </si>
  <si>
    <t>L000011496</t>
  </si>
  <si>
    <t>L000011497</t>
  </si>
  <si>
    <t>L000012320</t>
  </si>
  <si>
    <t>L000013272</t>
  </si>
  <si>
    <t>L000013273</t>
  </si>
  <si>
    <t>L000012914</t>
  </si>
  <si>
    <t>L000008557</t>
  </si>
  <si>
    <t>Promotion, Taiwan-G</t>
  </si>
  <si>
    <t>LS Addison</t>
  </si>
  <si>
    <t>DICE Product Architecture &amp; Comp Sci</t>
  </si>
  <si>
    <t>DICE Business Process Capabilities</t>
  </si>
  <si>
    <t>DICE Chemistry Product Engineering</t>
  </si>
  <si>
    <t>L000010193</t>
  </si>
  <si>
    <t>LS-OHM-S Idle Capacity-G</t>
  </si>
  <si>
    <t>L000010194</t>
  </si>
  <si>
    <t>Sheboygan Pro3-G</t>
  </si>
  <si>
    <t>L000010195</t>
  </si>
  <si>
    <t>Sheboygan Pro1-G</t>
  </si>
  <si>
    <t>L000010196</t>
  </si>
  <si>
    <t>Sheboygan Pro2-G</t>
  </si>
  <si>
    <t>L000010198</t>
  </si>
  <si>
    <t>LS-OTT-I SHB/MKE R&amp;D-G</t>
  </si>
  <si>
    <t>L000010199</t>
  </si>
  <si>
    <t>Sheboygan Distribution-G</t>
  </si>
  <si>
    <t>L000010200</t>
  </si>
  <si>
    <t>Sheboygan Pro4-G</t>
  </si>
  <si>
    <t>L000010202</t>
  </si>
  <si>
    <t>Sheboygan Pro5-G</t>
  </si>
  <si>
    <t>L000010205</t>
  </si>
  <si>
    <t>Production Labs-G</t>
  </si>
  <si>
    <t>L000012165</t>
  </si>
  <si>
    <t>LS-OHM-S Absorption ACOs - Sheboygan -G</t>
  </si>
  <si>
    <t>L000012901</t>
  </si>
  <si>
    <t>LS-OHM-S MPV Sheboygan site-G</t>
  </si>
  <si>
    <t>L000012918</t>
  </si>
  <si>
    <t>Sheboygan UPO/PAC3-G</t>
  </si>
  <si>
    <t>L000012919</t>
  </si>
  <si>
    <t>LS-OHM-S R&amp;D credit-G</t>
  </si>
  <si>
    <t>L000008294</t>
  </si>
  <si>
    <t>SLS Commercial APAC - Other</t>
  </si>
  <si>
    <t>L000012001</t>
  </si>
  <si>
    <t>SLS Commercial APAC - Savings</t>
  </si>
  <si>
    <t>L000013111</t>
  </si>
  <si>
    <t>SLS Commercial APAC - Initiatives</t>
  </si>
  <si>
    <t>L000005149</t>
  </si>
  <si>
    <t>I&amp;T Commercial Head (WE) -G</t>
  </si>
  <si>
    <t>L000005152</t>
  </si>
  <si>
    <t>South I&amp;T Commercial (WE) -G</t>
  </si>
  <si>
    <t>L000005162</t>
  </si>
  <si>
    <t>Central &amp; North I&amp;T Commercial (WE) -G</t>
  </si>
  <si>
    <t>L000005173</t>
  </si>
  <si>
    <t>North I&amp;T (WE) -G</t>
  </si>
  <si>
    <t>L000005179</t>
  </si>
  <si>
    <t>UK 1756CS7142 - LS-SEI I&amp;T -G</t>
  </si>
  <si>
    <t>L000005182</t>
  </si>
  <si>
    <t>UK 1756C07140 - LS-SEI I&amp;T -G</t>
  </si>
  <si>
    <t>L000012004</t>
  </si>
  <si>
    <t>SE 1919C05730 - LS-SEI I&amp;T -G</t>
  </si>
  <si>
    <t>L000005183</t>
  </si>
  <si>
    <t>Central I&amp;T (WE) -G</t>
  </si>
  <si>
    <t>L000005196</t>
  </si>
  <si>
    <t>West I&amp;T Commercial (WE) -G</t>
  </si>
  <si>
    <t>L000005185</t>
  </si>
  <si>
    <t>BE 2010C00323 - LS-SEI I&amp;T -G</t>
  </si>
  <si>
    <t>L000005204</t>
  </si>
  <si>
    <t>NL 2029C01304 - LS-SEI I&amp;T -G</t>
  </si>
  <si>
    <t>L000005205</t>
  </si>
  <si>
    <t>Sales Specialists I&amp;T (WE) -G</t>
  </si>
  <si>
    <t>L000005206</t>
  </si>
  <si>
    <t>DE 15036 - LS-SEI I&amp;T Spec -G</t>
  </si>
  <si>
    <t>L000005207</t>
  </si>
  <si>
    <t>UK 1756C07141 - LS-SEI I&amp;T Spec -G</t>
  </si>
  <si>
    <t>L000005209</t>
  </si>
  <si>
    <t>IT 2025C00002 - LS-SEI I&amp;T Spec -G</t>
  </si>
  <si>
    <t>L000005216</t>
  </si>
  <si>
    <t>IT 2025C01310 - LS-SEI I&amp;T Spec -G</t>
  </si>
  <si>
    <t>L000005217</t>
  </si>
  <si>
    <t>NL 2029C01310 - LS-SEI I&amp;T Spec -G</t>
  </si>
  <si>
    <t>L000005218</t>
  </si>
  <si>
    <t>UK 1756CS5771 - LS-SEI I&amp;T Spec -G</t>
  </si>
  <si>
    <t>L000008569</t>
  </si>
  <si>
    <t>FM&amp;SM Mgt. &amp; Other</t>
  </si>
  <si>
    <t>L000012751</t>
  </si>
  <si>
    <t>FM &amp; SM WEU ICON</t>
  </si>
  <si>
    <t>L000009016</t>
  </si>
  <si>
    <t>RTS &amp; Specialists AGH -G</t>
  </si>
  <si>
    <t>L000009049</t>
  </si>
  <si>
    <t>South &amp; West Academia -G</t>
  </si>
  <si>
    <t>L000006936</t>
  </si>
  <si>
    <t>BioVV - Client Project Mgmt</t>
  </si>
  <si>
    <t>L000007043</t>
  </si>
  <si>
    <t>BioVV - Sales</t>
  </si>
  <si>
    <t>L000011494</t>
  </si>
  <si>
    <t>BioVV - Site Martillac</t>
  </si>
  <si>
    <t>L000011503</t>
  </si>
  <si>
    <t>BioVV - Site Burlington</t>
  </si>
  <si>
    <t>L000013174</t>
  </si>
  <si>
    <t>BioVV - Innovation</t>
  </si>
  <si>
    <t>BioVV - Site Shanghai</t>
  </si>
  <si>
    <t>Distribution EPP, Ghm</t>
  </si>
  <si>
    <t>LS-ODN Distr. Western H.</t>
  </si>
  <si>
    <t>LS- ODD Distr. Eastern H.</t>
  </si>
  <si>
    <t>L000009975</t>
  </si>
  <si>
    <t>Darmstadt -G</t>
  </si>
  <si>
    <t>L000009978</t>
  </si>
  <si>
    <t>DC Eastern Europe -G</t>
  </si>
  <si>
    <t>L000010042</t>
  </si>
  <si>
    <t>Europe Distrib. Other -G</t>
  </si>
  <si>
    <t>Other DC Germany -G</t>
  </si>
  <si>
    <t>L000012217</t>
  </si>
  <si>
    <t>L000012222</t>
  </si>
  <si>
    <t>L000012170</t>
  </si>
  <si>
    <t>L000010201</t>
  </si>
  <si>
    <t>L000010203</t>
  </si>
  <si>
    <t>L000012442</t>
  </si>
  <si>
    <t>L000006102</t>
  </si>
  <si>
    <t>L000005163</t>
  </si>
  <si>
    <t>L000005164</t>
  </si>
  <si>
    <t>L000005165</t>
  </si>
  <si>
    <t>L000005166</t>
  </si>
  <si>
    <t>L000005169</t>
  </si>
  <si>
    <t>L000005176</t>
  </si>
  <si>
    <t>L000005180</t>
  </si>
  <si>
    <t>L000005189</t>
  </si>
  <si>
    <t>L000005194</t>
  </si>
  <si>
    <t>L000005195</t>
  </si>
  <si>
    <t>L000005192</t>
  </si>
  <si>
    <t>L000005197</t>
  </si>
  <si>
    <t>L000005200</t>
  </si>
  <si>
    <t>L000005202</t>
  </si>
  <si>
    <t>L000005203</t>
  </si>
  <si>
    <t>L000010595</t>
  </si>
  <si>
    <t>L000009987</t>
  </si>
  <si>
    <t>L000013243</t>
  </si>
  <si>
    <t>L000010071</t>
  </si>
  <si>
    <t>L000010074</t>
  </si>
  <si>
    <t>L000012181</t>
  </si>
  <si>
    <t>L000012876</t>
  </si>
  <si>
    <t>L000013247</t>
  </si>
  <si>
    <t>L000012877</t>
  </si>
  <si>
    <t>L000012173</t>
  </si>
  <si>
    <t>L000007638</t>
  </si>
  <si>
    <t>L000011920</t>
  </si>
  <si>
    <t>L000010584</t>
  </si>
  <si>
    <t>L000010591</t>
  </si>
  <si>
    <t>DICE Development Operations</t>
  </si>
  <si>
    <t>L000005177</t>
  </si>
  <si>
    <t>IT 2025C03565 - LS-SEI I&amp;T -G</t>
  </si>
  <si>
    <t>L000005178</t>
  </si>
  <si>
    <t>ES 2034C05318 - LS-SEI I&amp;T -G</t>
  </si>
  <si>
    <t>L000005190</t>
  </si>
  <si>
    <t>NL 2029C01314 - LS-SEI I&amp;T Spec -G</t>
  </si>
  <si>
    <t>L000005199</t>
  </si>
  <si>
    <t>IT 2025C03564 - LS-SEI I&amp;T -G</t>
  </si>
  <si>
    <t>L000005201</t>
  </si>
  <si>
    <t>DE40MS1321 - LS-SEI I&amp;T -G</t>
  </si>
  <si>
    <t>L000005213</t>
  </si>
  <si>
    <t>IE 2023C05771 - LS-SEI I&amp;T Spec -G</t>
  </si>
  <si>
    <t>L000009006</t>
  </si>
  <si>
    <t>AT40MS1306 - LS-SEA Acad-G</t>
  </si>
  <si>
    <t>L000009007</t>
  </si>
  <si>
    <t>BE 2010C00324 - LS-SEA Acad-G</t>
  </si>
  <si>
    <t>L000009015</t>
  </si>
  <si>
    <t>NL 2029C01306 - LS-SEA Acad-G</t>
  </si>
  <si>
    <t>L000009017</t>
  </si>
  <si>
    <t>DE 15125 - LS-SEA Acad-G</t>
  </si>
  <si>
    <t>L000009004</t>
  </si>
  <si>
    <t>L000009018</t>
  </si>
  <si>
    <t>DK 2012C00934 - LS-SEA Acad-G</t>
  </si>
  <si>
    <t>L000009033</t>
  </si>
  <si>
    <t>L000009019</t>
  </si>
  <si>
    <t>FI 2013C01254 - LS-SEA Acad-G</t>
  </si>
  <si>
    <t>L000009020</t>
  </si>
  <si>
    <t>FR 51680 - LS-SEA Acad-G</t>
  </si>
  <si>
    <t>L000009023</t>
  </si>
  <si>
    <t>IT 2025C03569 - LS-SEA Acad-G</t>
  </si>
  <si>
    <t>L000009025</t>
  </si>
  <si>
    <t>ES 2034C01308 - LS-SEA Acad-G</t>
  </si>
  <si>
    <t>L000009026</t>
  </si>
  <si>
    <t>SE 1919C01309 - LS-SEA Acad-G</t>
  </si>
  <si>
    <t>L000009027</t>
  </si>
  <si>
    <t>UK 1756C07146 - LS-SEA Acad-G</t>
  </si>
  <si>
    <t>L000009028</t>
  </si>
  <si>
    <t>DE40MS1308 - LS-SEA Acad-G</t>
  </si>
  <si>
    <t>L000009030</t>
  </si>
  <si>
    <t>FR 5792 - LS-SEA Acad-G</t>
  </si>
  <si>
    <t>L000011506</t>
  </si>
  <si>
    <t xml:space="preserve">BioVV - Strategic Marketing </t>
  </si>
  <si>
    <t>L000010069</t>
  </si>
  <si>
    <t>LS-O Growth Realization Office -G</t>
  </si>
  <si>
    <t>L000009762</t>
  </si>
  <si>
    <t>L000010236</t>
  </si>
  <si>
    <t>L000010310</t>
  </si>
  <si>
    <t>L000010239</t>
  </si>
  <si>
    <t>L000010531</t>
  </si>
  <si>
    <t>L000010243</t>
  </si>
  <si>
    <t>L000010457</t>
  </si>
  <si>
    <t>L000013499</t>
  </si>
  <si>
    <t>Processes &amp; Technologies PS VS</t>
  </si>
  <si>
    <t>L000012873</t>
  </si>
  <si>
    <t>L000010093</t>
  </si>
  <si>
    <t>L000010145</t>
  </si>
  <si>
    <t>L000013249</t>
  </si>
  <si>
    <t>H000004161</t>
  </si>
  <si>
    <t>G000001100</t>
  </si>
  <si>
    <t>SM-SO Wohnungen</t>
  </si>
  <si>
    <t>H000000912</t>
  </si>
  <si>
    <t>IT50R00005</t>
  </si>
  <si>
    <t>Eugenio Caramanica</t>
  </si>
  <si>
    <t>P000000774</t>
  </si>
  <si>
    <t>GrEx, DIS-DE-DA, Darmstadt, Germany</t>
  </si>
  <si>
    <t>P000000056</t>
  </si>
  <si>
    <t>P000000775</t>
  </si>
  <si>
    <t>Non-Grex, DIS-DE-DA, Darmstadt, Germany</t>
  </si>
  <si>
    <t>P000000776</t>
  </si>
  <si>
    <t>GrEx, DIS-JP-AT, Atsugi, Japan</t>
  </si>
  <si>
    <t>P000000087</t>
  </si>
  <si>
    <t>P000000777</t>
  </si>
  <si>
    <t>Non-GrEx, DIS-JP-AT, Atsugi, Japan</t>
  </si>
  <si>
    <t>P000000778</t>
  </si>
  <si>
    <t>GrEx, DIS-CN-SU, Suzhou, China</t>
  </si>
  <si>
    <t>P000000097</t>
  </si>
  <si>
    <t>P000000779</t>
  </si>
  <si>
    <t>Non-GrEx, DIS-CN-SU, Suzhou, China</t>
  </si>
  <si>
    <t>P000000780</t>
  </si>
  <si>
    <t>GrEx, DIS-TW-TA, Taoyuan, Taiwan</t>
  </si>
  <si>
    <t>P000000107</t>
  </si>
  <si>
    <t>P000000781</t>
  </si>
  <si>
    <t>Non-GrEx, DIS-TW-TA, Taoyuan, Taiwan</t>
  </si>
  <si>
    <t>P000000782</t>
  </si>
  <si>
    <t>GrEx, DIS-TW-HS, Hsinchu, Taiwan</t>
  </si>
  <si>
    <t>P000000117</t>
  </si>
  <si>
    <t>P000000783</t>
  </si>
  <si>
    <t>Non-GrEx, DIS-TW-HS, Hsinchu, Taiwan</t>
  </si>
  <si>
    <t>P000000784</t>
  </si>
  <si>
    <t>GrEx, DIS-KR-PO, Poseung, S. Korea</t>
  </si>
  <si>
    <t>P000000127</t>
  </si>
  <si>
    <t>P000000785</t>
  </si>
  <si>
    <t>Non-GrEx, DIS-KR-PO, Poseung, S. Korea</t>
  </si>
  <si>
    <t>P000000786</t>
  </si>
  <si>
    <t>GrEx, DIS-CN-SH, Shanghai, China</t>
  </si>
  <si>
    <t>P000000137</t>
  </si>
  <si>
    <t>P000000787</t>
  </si>
  <si>
    <t>Non-GrEx, DIS-CN-SH, Shanghai, China</t>
  </si>
  <si>
    <t>P000000788</t>
  </si>
  <si>
    <t>Surface Production Sites</t>
  </si>
  <si>
    <t>P000000147</t>
  </si>
  <si>
    <t>P000000789</t>
  </si>
  <si>
    <t>GrEx, SRF-IN-KH, Khopoli, India</t>
  </si>
  <si>
    <t>P000000149</t>
  </si>
  <si>
    <t>P000000790</t>
  </si>
  <si>
    <t>Non-GrEx, SRF-IN-KH, Khopoli, India</t>
  </si>
  <si>
    <t>P000000791</t>
  </si>
  <si>
    <t>GrEx, SRF-US-SA, Savannah, USA</t>
  </si>
  <si>
    <t>P000000159</t>
  </si>
  <si>
    <t>P000000792</t>
  </si>
  <si>
    <t>Non-GrEx, SRF-US-SA, Savannah, USA</t>
  </si>
  <si>
    <t>P000000793</t>
  </si>
  <si>
    <t>GrEx, SRF-JP-ON, Onahama, Japan</t>
  </si>
  <si>
    <t>P000000169</t>
  </si>
  <si>
    <t>P000000794</t>
  </si>
  <si>
    <t>Non-GrEx, SRF-JP-ON, Onahama, Japan</t>
  </si>
  <si>
    <t>P000000795</t>
  </si>
  <si>
    <t>SRF-US-UB, R&amp;D</t>
  </si>
  <si>
    <t>P000000332</t>
  </si>
  <si>
    <t>P000000796</t>
  </si>
  <si>
    <t>GrEx, SRF-DE-PG, Gernsheim, Germany</t>
  </si>
  <si>
    <t>P000000189</t>
  </si>
  <si>
    <t>P000000797</t>
  </si>
  <si>
    <t>Non-GrEx, SRF-DE-PG, Gernsheim, Germany</t>
  </si>
  <si>
    <t>P000000798</t>
  </si>
  <si>
    <t>Semi Other R&amp;D Organization</t>
  </si>
  <si>
    <t>P000000543</t>
  </si>
  <si>
    <t>P000000799</t>
  </si>
  <si>
    <t>Semi Other R&amp;D Other</t>
  </si>
  <si>
    <t>P000000800</t>
  </si>
  <si>
    <t xml:space="preserve">EL-SM-TQ Thin Film Global Quality </t>
  </si>
  <si>
    <t>P000000526</t>
  </si>
  <si>
    <t>P000000801</t>
  </si>
  <si>
    <t>EL-SM-TD Thin Film ISC</t>
  </si>
  <si>
    <t>P000000802</t>
  </si>
  <si>
    <t>EL-SM-TDX TF Tech Ops</t>
  </si>
  <si>
    <t>P000000803</t>
  </si>
  <si>
    <t>EL-SM-TDY TF Supply Chain Planning</t>
  </si>
  <si>
    <t>P000000804</t>
  </si>
  <si>
    <t>Thin Film Production Sites</t>
  </si>
  <si>
    <t>P000000805</t>
  </si>
  <si>
    <t>THF-KR-ES, Eumseong, S. Korea</t>
  </si>
  <si>
    <t>P000000806</t>
  </si>
  <si>
    <t>GrEx, THF-KR-ES, Eumseong, S. Korea</t>
  </si>
  <si>
    <t>P000000807</t>
  </si>
  <si>
    <t>Non-GrEx, THF-KR-ES, Eumseong, S. Korea</t>
  </si>
  <si>
    <t>P000000808</t>
  </si>
  <si>
    <t>THF-TW-JP, Kaohsiung, Taiwan</t>
  </si>
  <si>
    <t>P000000809</t>
  </si>
  <si>
    <t>GrEx, THF-US-HA, Haverhill, USA</t>
  </si>
  <si>
    <t>P000000219</t>
  </si>
  <si>
    <t>P000000810</t>
  </si>
  <si>
    <t>Non-GrEx, THF-US-HA, Haverhill, USA</t>
  </si>
  <si>
    <t>P000000811</t>
  </si>
  <si>
    <t>GrEx, THF-TW-KA, Kaohsiung, Taiwan</t>
  </si>
  <si>
    <t>P000000249</t>
  </si>
  <si>
    <t>P000000812</t>
  </si>
  <si>
    <t>Non-GrEx, THF-TW-KA, Kaohsiung, Taiwan</t>
  </si>
  <si>
    <t>P000000813</t>
  </si>
  <si>
    <t>GrEx, THF-US-CB, Carlsbad, USA</t>
  </si>
  <si>
    <t>P000000527</t>
  </si>
  <si>
    <t>P000000814</t>
  </si>
  <si>
    <t>THF-US-CB, Direct Manufacturing</t>
  </si>
  <si>
    <t>P000000815</t>
  </si>
  <si>
    <t>THF-US-CB, Indirect Manufacturing</t>
  </si>
  <si>
    <t>P000000816</t>
  </si>
  <si>
    <t>THF-US-CB, Manuf. Overhead</t>
  </si>
  <si>
    <t>P000000817</t>
  </si>
  <si>
    <t>THF-US-CB, Quality</t>
  </si>
  <si>
    <t>P000000818</t>
  </si>
  <si>
    <t>THF-US-CB, Container Prep</t>
  </si>
  <si>
    <t>P000000819</t>
  </si>
  <si>
    <t>Non-GrEx, THF-US-CB, Carlsbad, USA</t>
  </si>
  <si>
    <t>P000000820</t>
  </si>
  <si>
    <t>GrEx, THF-KR-BA, KRB8-2323, Banwol, KR</t>
  </si>
  <si>
    <t>P000000528</t>
  </si>
  <si>
    <t>P000000821</t>
  </si>
  <si>
    <t>THF-KR-BA, Direct Manufacturing</t>
  </si>
  <si>
    <t>P000000822</t>
  </si>
  <si>
    <t>THF-KR-BA, TF Direct Manufact.</t>
  </si>
  <si>
    <t>P000000823</t>
  </si>
  <si>
    <t>THF-KR-BA, SG Direct Manufact.</t>
  </si>
  <si>
    <t>P000000824</t>
  </si>
  <si>
    <t>THF-KR-BA, Indirect Manufacturing</t>
  </si>
  <si>
    <t>P000000825</t>
  </si>
  <si>
    <t>THF-KR-BA, Manufact. Overhead</t>
  </si>
  <si>
    <t>P000000826</t>
  </si>
  <si>
    <t>THF-KR-BA, Container Prep</t>
  </si>
  <si>
    <t>P000000827</t>
  </si>
  <si>
    <t>THF-KR-BA, Quality</t>
  </si>
  <si>
    <t>P000000828</t>
  </si>
  <si>
    <t>Non-GrEx, THF-KR-BA, Banwol, South Korea</t>
  </si>
  <si>
    <t>P000000829</t>
  </si>
  <si>
    <t>EL-SM-TS TF Global Sales</t>
  </si>
  <si>
    <t>P000000533</t>
  </si>
  <si>
    <t>P000000830</t>
  </si>
  <si>
    <t>EL-SM-TP TF Global Product Mgmt</t>
  </si>
  <si>
    <t>P000000831</t>
  </si>
  <si>
    <t>EL-SM-TB TF Global Business Marketing</t>
  </si>
  <si>
    <t>P000000832</t>
  </si>
  <si>
    <t>EL-SM-TBN Organosilanes Global Marketing</t>
  </si>
  <si>
    <t>P000000833</t>
  </si>
  <si>
    <t>EL-SM-TBO Organometalics Global Marketing</t>
  </si>
  <si>
    <t>P000000834</t>
  </si>
  <si>
    <t>EL-SM-TBS Spin On Global Marketing</t>
  </si>
  <si>
    <t>P000000835</t>
  </si>
  <si>
    <t>EL-SM-TO TF OEM Marketing</t>
  </si>
  <si>
    <t>P000000836</t>
  </si>
  <si>
    <t>EL-SM-TC TF Customer Applications</t>
  </si>
  <si>
    <t>P000000837</t>
  </si>
  <si>
    <t xml:space="preserve">EL-SM-PQ Patterning Global Quality </t>
  </si>
  <si>
    <t>P000000520</t>
  </si>
  <si>
    <t>P000000838</t>
  </si>
  <si>
    <t>EL-SM-PD Patterning ISC</t>
  </si>
  <si>
    <t>P000000839</t>
  </si>
  <si>
    <t>EL-SM-PDX PAT Tech Ops</t>
  </si>
  <si>
    <t>P000000840</t>
  </si>
  <si>
    <t>EL-SM-PDY PAT Supply Chain Planning</t>
  </si>
  <si>
    <t>P000000841</t>
  </si>
  <si>
    <t>Patterning Production Sites</t>
  </si>
  <si>
    <t>P000000842</t>
  </si>
  <si>
    <t>GrEx, PAT-US-BU, Branchburg, USA</t>
  </si>
  <si>
    <t>P000000209</t>
  </si>
  <si>
    <t>P000000843</t>
  </si>
  <si>
    <t>Non-GrEx, PAT-US-BU, Branchburg, USA</t>
  </si>
  <si>
    <t>P000000844</t>
  </si>
  <si>
    <t>GrEx, PAT-JP-SZ, Shizuoka, Japan</t>
  </si>
  <si>
    <t>P000000229</t>
  </si>
  <si>
    <t>P000000845</t>
  </si>
  <si>
    <t>Non-GrEx, PAT-JP-SZ, Shizuoka, Japan</t>
  </si>
  <si>
    <t>P000000846</t>
  </si>
  <si>
    <t>GrEx, PAT-DE-WI, Wiesbaden, Germany</t>
  </si>
  <si>
    <t>P000000239</t>
  </si>
  <si>
    <t>P000000847</t>
  </si>
  <si>
    <t>Non-GrEx, PAT-DE-WI, Wiesbaden, Germany</t>
  </si>
  <si>
    <t>P000000848</t>
  </si>
  <si>
    <t>GrEx, PAT-KR-AN, Anseong, S. Korea</t>
  </si>
  <si>
    <t>P000000279</t>
  </si>
  <si>
    <t>P000000849</t>
  </si>
  <si>
    <t>Non-GrEx, PAT-KR-AN, Anseong, S. Korea</t>
  </si>
  <si>
    <t>P000000850</t>
  </si>
  <si>
    <t>EL-SM-PS PAT Global Sales</t>
  </si>
  <si>
    <t>P000000534</t>
  </si>
  <si>
    <t>P000000851</t>
  </si>
  <si>
    <t>EL-SM-PS PAT Sales LE</t>
  </si>
  <si>
    <t>P000000852</t>
  </si>
  <si>
    <t>EL-SM-PP PAT Global Product Mgmt</t>
  </si>
  <si>
    <t>P000000853</t>
  </si>
  <si>
    <t>EL-SM-P1 PAT Speciality Accounts</t>
  </si>
  <si>
    <t>P000000854</t>
  </si>
  <si>
    <t>EL-SM-PM Lithography &amp; Silica Marketing</t>
  </si>
  <si>
    <t>P000000855</t>
  </si>
  <si>
    <t>EL-SM-PB SP&amp;C Marketing</t>
  </si>
  <si>
    <t>P000000856</t>
  </si>
  <si>
    <t>EL-SM-PA PAT Customer Applications</t>
  </si>
  <si>
    <t>P000000857</t>
  </si>
  <si>
    <t>EL-SM-PAC Customer Applications</t>
  </si>
  <si>
    <t>P000000858</t>
  </si>
  <si>
    <t>EL-SM-PAT Global T&amp;S</t>
  </si>
  <si>
    <t>P000000859</t>
  </si>
  <si>
    <t>EL-SM-PATE Tech Service EU</t>
  </si>
  <si>
    <t>P000000860</t>
  </si>
  <si>
    <t>EL-SM-PATJ Tech Service Japan/Korea</t>
  </si>
  <si>
    <t>P000000861</t>
  </si>
  <si>
    <t>EL-SM-PATJA Advanced Technical Service</t>
  </si>
  <si>
    <t>P000000862</t>
  </si>
  <si>
    <t>EL-SM-PATJT Technical Service</t>
  </si>
  <si>
    <t>P000000863</t>
  </si>
  <si>
    <t>EL-SM-PATT Tech Service Taiwan/SEA</t>
  </si>
  <si>
    <t>P000000864</t>
  </si>
  <si>
    <t>EL-SM-PATU Tech Service U.S.</t>
  </si>
  <si>
    <t>P000000865</t>
  </si>
  <si>
    <t xml:space="preserve">EL-SM-AQ Planarization Global Quality </t>
  </si>
  <si>
    <t>P000000522</t>
  </si>
  <si>
    <t>P000000866</t>
  </si>
  <si>
    <t>EL-SM-AD Planarization ISC</t>
  </si>
  <si>
    <t>P000000867</t>
  </si>
  <si>
    <t>Tech Ops in OAT</t>
  </si>
  <si>
    <t>P000000868</t>
  </si>
  <si>
    <t>EL-SM-ADY PLA Supply Chain Planning</t>
  </si>
  <si>
    <t>P000000869</t>
  </si>
  <si>
    <t>Planarization Production Sites</t>
  </si>
  <si>
    <t>P000000870</t>
  </si>
  <si>
    <t>EL-SM-AO PLA OAT Oper. &amp; Analyt. Techn.</t>
  </si>
  <si>
    <t>P000000643</t>
  </si>
  <si>
    <t>P000000871</t>
  </si>
  <si>
    <t>EL-SM-AO PLA OAT &amp; Global Product Mgmt.</t>
  </si>
  <si>
    <t>P000000872</t>
  </si>
  <si>
    <t>EL-SM-AO PLA OAT Process Development</t>
  </si>
  <si>
    <t>P000000873</t>
  </si>
  <si>
    <t>EL-SM-AO PLA OAT Tech Ops (GTO)</t>
  </si>
  <si>
    <t>P000000874</t>
  </si>
  <si>
    <t>EL-SM-AO PLA OAT Analytical Techn. (GAT)</t>
  </si>
  <si>
    <t>P000000875</t>
  </si>
  <si>
    <t>GrEx, PAT-US-MA, Martin, USA</t>
  </si>
  <si>
    <t>P000000259</t>
  </si>
  <si>
    <t>P000000876</t>
  </si>
  <si>
    <t>Non-GrEx, PAT-US-MA, Martin, USA</t>
  </si>
  <si>
    <t>P000000877</t>
  </si>
  <si>
    <t>GrEx, PAT-FR-LA, Lamotte, France</t>
  </si>
  <si>
    <t>P000000269</t>
  </si>
  <si>
    <t>P000000878</t>
  </si>
  <si>
    <t>Non-GrEx, PAT-FR-LA, Lamotte, France</t>
  </si>
  <si>
    <t>P000000879</t>
  </si>
  <si>
    <t>GrEx, PLA-US-DA, Dallas, USA</t>
  </si>
  <si>
    <t>P000000523</t>
  </si>
  <si>
    <t>P000000880</t>
  </si>
  <si>
    <t>PLA-US-DA, Direct Manufacturing</t>
  </si>
  <si>
    <t>P000000881</t>
  </si>
  <si>
    <t>PLA-US-DA, PLA Direct Manufact.</t>
  </si>
  <si>
    <t>PLA-US-DA,</t>
  </si>
  <si>
    <t>P000000882</t>
  </si>
  <si>
    <t>PLA-US-DA, PAT Direct Manufact.</t>
  </si>
  <si>
    <t>P000000883</t>
  </si>
  <si>
    <t>PLA-US-DA, Indirect Manufacturing</t>
  </si>
  <si>
    <t>P000000884</t>
  </si>
  <si>
    <t>PLA-US-DA, Manufact. Overhead</t>
  </si>
  <si>
    <t>P000000885</t>
  </si>
  <si>
    <t>PLA-US-DA, Quality</t>
  </si>
  <si>
    <t>P000000886</t>
  </si>
  <si>
    <t>Non-GrEx, PLA-US-DA, Dallas, USA</t>
  </si>
  <si>
    <t>P000000887</t>
  </si>
  <si>
    <t>GrEx, PLA-US-TP, Tempe, USA</t>
  </si>
  <si>
    <t>P000000524</t>
  </si>
  <si>
    <t>P000000888</t>
  </si>
  <si>
    <t>PLA-US-TP, Direct Manufacturing</t>
  </si>
  <si>
    <t>P000000889</t>
  </si>
  <si>
    <t>PLA-US-TP, Indirect Manufacturing</t>
  </si>
  <si>
    <t>P000000890</t>
  </si>
  <si>
    <t>PLA-US-TP, Manufact. Overhead</t>
  </si>
  <si>
    <t>PLA-US-TP,</t>
  </si>
  <si>
    <t>P000000891</t>
  </si>
  <si>
    <t>PLA-US-TP, Quality</t>
  </si>
  <si>
    <t>P000000892</t>
  </si>
  <si>
    <t>Non-GrEx, PLA-US-TP, Tempe, USA</t>
  </si>
  <si>
    <t>P000000893</t>
  </si>
  <si>
    <t>GrEx, PLA-KR-PT, Pyeongtaek, S. Korea</t>
  </si>
  <si>
    <t>P000000525</t>
  </si>
  <si>
    <t>P000000894</t>
  </si>
  <si>
    <t>PLA-KR-PT, Direct Manufacturing</t>
  </si>
  <si>
    <t>P000000895</t>
  </si>
  <si>
    <t>PLA-KR-PT, PLA Direct Manufact.</t>
  </si>
  <si>
    <t>PLA-KR-PT,</t>
  </si>
  <si>
    <t>P000000896</t>
  </si>
  <si>
    <t>PLA-KR-PT, PAT Direct Manufact.</t>
  </si>
  <si>
    <t>P000000897</t>
  </si>
  <si>
    <t>PLA-KR-PT, Indirect Manufacturing</t>
  </si>
  <si>
    <t>P000000898</t>
  </si>
  <si>
    <t>PLA-KR-PT, Manufact. Overhead</t>
  </si>
  <si>
    <t>P000000899</t>
  </si>
  <si>
    <t>PLA-KR-PT, Quality</t>
  </si>
  <si>
    <t>P000000900</t>
  </si>
  <si>
    <t>Non-GrEx, PLA-KR-PT, Pyeongtaek, S. Korea</t>
  </si>
  <si>
    <t>P000000901</t>
  </si>
  <si>
    <t>EL-SM-AS PLA Global Sales</t>
  </si>
  <si>
    <t>P000000535</t>
  </si>
  <si>
    <t>P000000902</t>
  </si>
  <si>
    <t>EL-SM-AM PLA Global Business Marketing</t>
  </si>
  <si>
    <t>P000000903</t>
  </si>
  <si>
    <t>EL-SM-AA PLA Customer Applications</t>
  </si>
  <si>
    <t>P000000904</t>
  </si>
  <si>
    <t xml:space="preserve">EL-SM-GQ Spec Gases Global Quality </t>
  </si>
  <si>
    <t>P000000513</t>
  </si>
  <si>
    <t>P000000905</t>
  </si>
  <si>
    <t>EL-SM-GD Spec Gases ISC</t>
  </si>
  <si>
    <t>P000000906</t>
  </si>
  <si>
    <t>EL-SM-GDX SG Tech Ops</t>
  </si>
  <si>
    <t>P000000907</t>
  </si>
  <si>
    <t>EL-SM-GDX SG Supply Chain Planning</t>
  </si>
  <si>
    <t>P000000908</t>
  </si>
  <si>
    <t>Spec Gases Production Sites</t>
  </si>
  <si>
    <t>P000000909</t>
  </si>
  <si>
    <t>SPG-CN-RO, ZhangJiaGang, China</t>
  </si>
  <si>
    <t>P000000910</t>
  </si>
  <si>
    <t>GrEx, SPG-KR-UL, Ulsan, S. Korea</t>
  </si>
  <si>
    <t>P000000514</t>
  </si>
  <si>
    <t>P000000911</t>
  </si>
  <si>
    <t>SPG-KR-UL, Direct Manufacturing</t>
  </si>
  <si>
    <t>P000000912</t>
  </si>
  <si>
    <t>SPG-KR-UL, Indirect Manufacturing</t>
  </si>
  <si>
    <t>P000000913</t>
  </si>
  <si>
    <t>SPG-KR-UL, Manufact. Overhead</t>
  </si>
  <si>
    <t>P000000914</t>
  </si>
  <si>
    <t>SPG-KR-UL, Container Prep</t>
  </si>
  <si>
    <t>P000000915</t>
  </si>
  <si>
    <t>SPG-KR-UL, Quality</t>
  </si>
  <si>
    <t>P000000916</t>
  </si>
  <si>
    <t>Non-GrEx, SPG-KR-UL, Ulsan, S. Korea</t>
  </si>
  <si>
    <t>P000000917</t>
  </si>
  <si>
    <t>GrEx, SPG-KR-SH, Sihwa, S. Korea</t>
  </si>
  <si>
    <t>P000000515</t>
  </si>
  <si>
    <t>P000000918</t>
  </si>
  <si>
    <t>SPG-KR-SH, Direct Manufacturing</t>
  </si>
  <si>
    <t>P000000919</t>
  </si>
  <si>
    <t>SPG-KR-SH, TF Direct Manufact.</t>
  </si>
  <si>
    <t>P000000920</t>
  </si>
  <si>
    <t>SPG-KR-SH, SG Direct Manufact.</t>
  </si>
  <si>
    <t>P000000921</t>
  </si>
  <si>
    <t>SPG-KR-SH, Indirect Manufacturing</t>
  </si>
  <si>
    <t>P000000922</t>
  </si>
  <si>
    <t>SPG-KR-SH, Manufact. Overhead</t>
  </si>
  <si>
    <t>P000000923</t>
  </si>
  <si>
    <t>SPG-KR-SH, Container Prep</t>
  </si>
  <si>
    <t>P000000924</t>
  </si>
  <si>
    <t>SPG-KR-SH, Quality</t>
  </si>
  <si>
    <t>P000000925</t>
  </si>
  <si>
    <t>Non-GrEx, SPG-KR-SH, Sihwa, S. Korea</t>
  </si>
  <si>
    <t>P000000926</t>
  </si>
  <si>
    <t>GrEx, SPG-US-HT, Hometown, USA</t>
  </si>
  <si>
    <t>P000000516</t>
  </si>
  <si>
    <t>P000000927</t>
  </si>
  <si>
    <t>SPG-US-HT, Direct Manufacturing</t>
  </si>
  <si>
    <t>P000000928</t>
  </si>
  <si>
    <t>SPG-US-HT, TF Direct Manufact.</t>
  </si>
  <si>
    <t>P000000929</t>
  </si>
  <si>
    <t>SPG-US-HT, SG Direct Manufact.</t>
  </si>
  <si>
    <t>P000000930</t>
  </si>
  <si>
    <t>SPG-US-HT, Indirect Manufacturing</t>
  </si>
  <si>
    <t>P000000931</t>
  </si>
  <si>
    <t>SPG-US-HT, SG Manufact. Overhead</t>
  </si>
  <si>
    <t>P000000932</t>
  </si>
  <si>
    <t>SPG-US-HT, SG Container Prep</t>
  </si>
  <si>
    <t>P000000933</t>
  </si>
  <si>
    <t>SPG-US-HT, TF Manufact. Overhead</t>
  </si>
  <si>
    <t>P000000934</t>
  </si>
  <si>
    <t>SPG-US-HT, TF Container Prep</t>
  </si>
  <si>
    <t>P000000935</t>
  </si>
  <si>
    <t>SPG-US-HT, Quality</t>
  </si>
  <si>
    <t>P000000936</t>
  </si>
  <si>
    <t>Non-GrEx, SPG-US-HT, Hometown, USA</t>
  </si>
  <si>
    <t>P000000937</t>
  </si>
  <si>
    <t>GrEx, SPG-TW-NA, Nanke, Taiwan</t>
  </si>
  <si>
    <t>P000000517</t>
  </si>
  <si>
    <t>P000000938</t>
  </si>
  <si>
    <t>SPG-TW-NA, Direct Manufacturing</t>
  </si>
  <si>
    <t>P000000939</t>
  </si>
  <si>
    <t>SPG-TW-NA, TF Direct Manufact.</t>
  </si>
  <si>
    <t>P000000940</t>
  </si>
  <si>
    <t>SPG-TW-NA, SG Direct Manufact.</t>
  </si>
  <si>
    <t>P000000941</t>
  </si>
  <si>
    <t>SPG-TW-NA, Indirect Manufacturing</t>
  </si>
  <si>
    <t>P000000942</t>
  </si>
  <si>
    <t>SPG-TW-NA, Manufact. Overhead</t>
  </si>
  <si>
    <t>P000000943</t>
  </si>
  <si>
    <t>SPG-TW-NA, Container Prep</t>
  </si>
  <si>
    <t>P000000944</t>
  </si>
  <si>
    <t>SPG-TW-NA, Quality</t>
  </si>
  <si>
    <t>P000000945</t>
  </si>
  <si>
    <t>Non-GrEx, SPG-TW-NA, Nanke, Taiwan</t>
  </si>
  <si>
    <t>P000000946</t>
  </si>
  <si>
    <t>GrEx, SPG-US-CT, Catoosa, USA</t>
  </si>
  <si>
    <t>P000000518</t>
  </si>
  <si>
    <t>P000000947</t>
  </si>
  <si>
    <t>SPG-US-CT, Direct Manufacturing</t>
  </si>
  <si>
    <t>P000000948</t>
  </si>
  <si>
    <t>SPG-US-CT, TF Direct Manufact.</t>
  </si>
  <si>
    <t>P000000949</t>
  </si>
  <si>
    <t>SPG-US-CT, SG Direct Manufact.</t>
  </si>
  <si>
    <t>P000000950</t>
  </si>
  <si>
    <t>SPG-US-CT, Indirect Manufacturing</t>
  </si>
  <si>
    <t>P000000951</t>
  </si>
  <si>
    <t>SPG-US-CT, Manufact. Overhead</t>
  </si>
  <si>
    <t>P000000952</t>
  </si>
  <si>
    <t>SPG-US-CT, Quality</t>
  </si>
  <si>
    <t>P000000953</t>
  </si>
  <si>
    <t>Non-GrEx, SPG-US-CT, Catoosa, USA</t>
  </si>
  <si>
    <t>P000000954</t>
  </si>
  <si>
    <t>EL-SM-GA SG Global Sales</t>
  </si>
  <si>
    <t>P000000536</t>
  </si>
  <si>
    <t>P000000955</t>
  </si>
  <si>
    <t>EL-SM-GP SG Global Product Mgmt</t>
  </si>
  <si>
    <t>P000000956</t>
  </si>
  <si>
    <t>EL-SM-GM SG Global Marketing</t>
  </si>
  <si>
    <t>P000000957</t>
  </si>
  <si>
    <t>EL-SM-C Safety Korea</t>
  </si>
  <si>
    <t>P000000958</t>
  </si>
  <si>
    <t>EL-SM-J General Management Japan</t>
  </si>
  <si>
    <t>P000000959</t>
  </si>
  <si>
    <t>EL-SM-E Commercial Excellence</t>
  </si>
  <si>
    <t>P000000960</t>
  </si>
  <si>
    <t>Semi Mat Dummy Cost Objects</t>
  </si>
  <si>
    <t>P000000961</t>
  </si>
  <si>
    <t>Semi Mat Other</t>
  </si>
  <si>
    <t>P000000962</t>
  </si>
  <si>
    <t>EL DivCo</t>
  </si>
  <si>
    <t>P000000000</t>
  </si>
  <si>
    <t>P000000963</t>
  </si>
  <si>
    <t>Cross-Charges</t>
  </si>
  <si>
    <t>P000000428</t>
  </si>
  <si>
    <t>P000000964</t>
  </si>
  <si>
    <t>Other Technical CCs</t>
  </si>
  <si>
    <t>P000000965</t>
  </si>
  <si>
    <t>Overarching EL</t>
  </si>
  <si>
    <t>P000000966</t>
  </si>
  <si>
    <t>EL-ND-N DS&amp;S Production Sites</t>
  </si>
  <si>
    <t>P000000706</t>
  </si>
  <si>
    <t>P000000967</t>
  </si>
  <si>
    <t>DSS-US-VT, Allentown, USA</t>
  </si>
  <si>
    <t>P000000968</t>
  </si>
  <si>
    <t>GrEx, DSS-US-VT, Allentown, USA</t>
  </si>
  <si>
    <t>P000000969</t>
  </si>
  <si>
    <t>DSS-US-VT, Direct Manufacturing</t>
  </si>
  <si>
    <t>P000000970</t>
  </si>
  <si>
    <t>DSS-US-VT, Indirect Manufacturing</t>
  </si>
  <si>
    <t>P000000971</t>
  </si>
  <si>
    <t>Non-GrEx, DSS-US-VT, Allentown, USA</t>
  </si>
  <si>
    <t>P000000972</t>
  </si>
  <si>
    <t>DSS-US-CH, Chandler, USA</t>
  </si>
  <si>
    <t>P000000973</t>
  </si>
  <si>
    <t>GrEx, DSS-US-CH, Chandler, USA</t>
  </si>
  <si>
    <t>P000000974</t>
  </si>
  <si>
    <t>DSS-US-CH, Direct Manufacturing</t>
  </si>
  <si>
    <t>P000000975</t>
  </si>
  <si>
    <t>DSS-US-CH, Indirect Manufacturing</t>
  </si>
  <si>
    <t>P000000976</t>
  </si>
  <si>
    <t>Non-GrEx, DSS-US-CH, Chandler, USA</t>
  </si>
  <si>
    <t>P000000977</t>
  </si>
  <si>
    <t>EL-ND-N Services - Megasys</t>
  </si>
  <si>
    <t>P000000978</t>
  </si>
  <si>
    <t>EL-ND-N Services - Field Service</t>
  </si>
  <si>
    <t>P000000979</t>
  </si>
  <si>
    <t>EL-ND-N Turnkey / Large Projects</t>
  </si>
  <si>
    <t>P000000980</t>
  </si>
  <si>
    <t>EL-ND-A DS&amp;S Production Sites</t>
  </si>
  <si>
    <t>P000000981</t>
  </si>
  <si>
    <t>DSS-CN-WG, Shanghai, China</t>
  </si>
  <si>
    <t>P000000982</t>
  </si>
  <si>
    <t>GrEx, DSS-CN-WG, Shanghai, China</t>
  </si>
  <si>
    <t>P000000983</t>
  </si>
  <si>
    <t>DSS-CN-WG, Direct Manufacturing</t>
  </si>
  <si>
    <t>P000000984</t>
  </si>
  <si>
    <t>DSS-CN-WG, Indirect Manufacturing</t>
  </si>
  <si>
    <t>P000000985</t>
  </si>
  <si>
    <t>Non-GrEx, DSS-CN-WG, Shanghai, China</t>
  </si>
  <si>
    <t>P000000986</t>
  </si>
  <si>
    <t>DSS-TW-KA, Kaohsiung, Taiwan</t>
  </si>
  <si>
    <t>P000000987</t>
  </si>
  <si>
    <t>GrEx, DSS-TW-KA, Kaohsiung, Taiwan</t>
  </si>
  <si>
    <t>P000000988</t>
  </si>
  <si>
    <t>DSS-TW-KA, Direct Manufacturing</t>
  </si>
  <si>
    <t>P000000989</t>
  </si>
  <si>
    <t>DSS-TW-KA, Indirect Manufacturing</t>
  </si>
  <si>
    <t>P000000990</t>
  </si>
  <si>
    <t>Non-GrEx, DSS-TW-KA, Kaohsiung, Taiwan</t>
  </si>
  <si>
    <t>P000000991</t>
  </si>
  <si>
    <t>EL-ND-A Services - Megasys</t>
  </si>
  <si>
    <t>P000000992</t>
  </si>
  <si>
    <t>EL-ND-A R&amp;D / Sustaining / Engineering</t>
  </si>
  <si>
    <t>P000000993</t>
  </si>
  <si>
    <t>EL-ND-K DS&amp;S Production Sites</t>
  </si>
  <si>
    <t>P000000727</t>
  </si>
  <si>
    <t>P000000994</t>
  </si>
  <si>
    <t>DSS-KR-HY, Ansan, S. Korea</t>
  </si>
  <si>
    <t>P000000995</t>
  </si>
  <si>
    <t>GrEx, DSS-KR-HY, Ansan, S. Korea</t>
  </si>
  <si>
    <t>P000000996</t>
  </si>
  <si>
    <t>DSS-KR-HY, Direct Manufacturing</t>
  </si>
  <si>
    <t>P000000997</t>
  </si>
  <si>
    <t>DSS-KR-HY, Indirect Manufacturing</t>
  </si>
  <si>
    <t>P000000998</t>
  </si>
  <si>
    <t>Non-GrEx, DSS-KR-HY, Ansan, S. Korea</t>
  </si>
  <si>
    <t>P000000999</t>
  </si>
  <si>
    <t>EL-ND-K Services - Megasys</t>
  </si>
  <si>
    <t>P000001000</t>
  </si>
  <si>
    <t>External Boost Projects</t>
  </si>
  <si>
    <t>P000000585</t>
  </si>
  <si>
    <t>P000001001</t>
  </si>
  <si>
    <t>EL-AS-O Operations Digital Solutions</t>
  </si>
  <si>
    <t>P000000586</t>
  </si>
  <si>
    <t>P000001002</t>
  </si>
  <si>
    <t>Internal Boost Projects</t>
  </si>
  <si>
    <t>P000001003</t>
  </si>
  <si>
    <t>EL-IMC Customer Applications</t>
  </si>
  <si>
    <t>P000001004</t>
  </si>
  <si>
    <t>EL-IMD ISC Thin Film</t>
  </si>
  <si>
    <t>P000001005</t>
  </si>
  <si>
    <t>EL-IMM M Chemicals</t>
  </si>
  <si>
    <t>P000001006</t>
  </si>
  <si>
    <t>EL-IMO OEM Marketing</t>
  </si>
  <si>
    <t>P000001007</t>
  </si>
  <si>
    <t>EL-IMP Global Product Management</t>
  </si>
  <si>
    <t>P000001008</t>
  </si>
  <si>
    <t>EL-IMS Global Sales</t>
  </si>
  <si>
    <t>P000001009</t>
  </si>
  <si>
    <t>EL-IMB Global Business Marketing</t>
  </si>
  <si>
    <t>P000001010</t>
  </si>
  <si>
    <t>TF R&amp;D Projects</t>
  </si>
  <si>
    <t>P000000544</t>
  </si>
  <si>
    <t>P000001011</t>
  </si>
  <si>
    <t>TF R&amp;D Organization</t>
  </si>
  <si>
    <t>P000001012</t>
  </si>
  <si>
    <t>TF R&amp;D Other</t>
  </si>
  <si>
    <t>P000001013</t>
  </si>
  <si>
    <t>PAT R&amp;D Projects</t>
  </si>
  <si>
    <t>P000000545</t>
  </si>
  <si>
    <t>P000001014</t>
  </si>
  <si>
    <t>PAT R&amp;D Organization</t>
  </si>
  <si>
    <t>P000001015</t>
  </si>
  <si>
    <t>PAT R&amp;D Other</t>
  </si>
  <si>
    <t>P000001016</t>
  </si>
  <si>
    <t>PLA R&amp;D Projects</t>
  </si>
  <si>
    <t>P000000546</t>
  </si>
  <si>
    <t>P000001017</t>
  </si>
  <si>
    <t>PLA R&amp;D Organization</t>
  </si>
  <si>
    <t>P000001018</t>
  </si>
  <si>
    <t>PLA R&amp;D Other</t>
  </si>
  <si>
    <t>P000001019</t>
  </si>
  <si>
    <t>SG R&amp;D Projects</t>
  </si>
  <si>
    <t>P000000547</t>
  </si>
  <si>
    <t>P000001020</t>
  </si>
  <si>
    <t>SG R&amp;D Organization</t>
  </si>
  <si>
    <t>P000001021</t>
  </si>
  <si>
    <t>SG R&amp;D Other</t>
  </si>
  <si>
    <t>P000001022</t>
  </si>
  <si>
    <t>EL-IK1 Speciality Accounts</t>
  </si>
  <si>
    <t>P000001023</t>
  </si>
  <si>
    <t>EL-IKA Customer Applications</t>
  </si>
  <si>
    <t>P000001024</t>
  </si>
  <si>
    <t>EL-IKB SP&amp;C Marketing</t>
  </si>
  <si>
    <t>P000001025</t>
  </si>
  <si>
    <t>EL-IKM Lithografy &amp; Silica Marketing</t>
  </si>
  <si>
    <t>P000001026</t>
  </si>
  <si>
    <t>EL-IKP Patterning Global Product Mgmt</t>
  </si>
  <si>
    <t>P000001027</t>
  </si>
  <si>
    <t>EL-IKS Patterning Global Sales</t>
  </si>
  <si>
    <t>P000001028</t>
  </si>
  <si>
    <t>EL-IKT Packaging Technologies</t>
  </si>
  <si>
    <t>P000001029</t>
  </si>
  <si>
    <t>EL-IKA-C Customer Applications</t>
  </si>
  <si>
    <t>P000001030</t>
  </si>
  <si>
    <t>EL-IKA-T Global T&amp;S</t>
  </si>
  <si>
    <t>P000001031</t>
  </si>
  <si>
    <t>EL-IKA-TE Tech Service EU</t>
  </si>
  <si>
    <t>P000001032</t>
  </si>
  <si>
    <t>EL-IKA-TJ Tech Service Japan/Korea</t>
  </si>
  <si>
    <t>P000001033</t>
  </si>
  <si>
    <t>EL-IKA-TT Tech Service Taiwan/SEA</t>
  </si>
  <si>
    <t>P000001034</t>
  </si>
  <si>
    <t>EL-IKA-TU Tech Service U.S.</t>
  </si>
  <si>
    <t>P000001035</t>
  </si>
  <si>
    <t>EL-IKA-TJA Advanced Technical Service</t>
  </si>
  <si>
    <t>P000001036</t>
  </si>
  <si>
    <t>EL-IKA-TJT Technical Service</t>
  </si>
  <si>
    <t>P000001037</t>
  </si>
  <si>
    <t>EL-IMB-N Organosilanes Global Marketing</t>
  </si>
  <si>
    <t>P000001038</t>
  </si>
  <si>
    <t>EL-IMB-O Organometalics Global Marketing</t>
  </si>
  <si>
    <t>P000001039</t>
  </si>
  <si>
    <t>EL-IMB-S Spin On Global Marketing</t>
  </si>
  <si>
    <t>P000001040</t>
  </si>
  <si>
    <t>EL-INA Global Sales</t>
  </si>
  <si>
    <t>P000001041</t>
  </si>
  <si>
    <t>EL-INM Global Marketing</t>
  </si>
  <si>
    <t>P000001042</t>
  </si>
  <si>
    <t>EL-INP Global Product Management</t>
  </si>
  <si>
    <t>P000001043</t>
  </si>
  <si>
    <t>EL-PD Strategy &amp; OPL DEVT team</t>
  </si>
  <si>
    <t>P000000026</t>
  </si>
  <si>
    <t>P000001044</t>
  </si>
  <si>
    <t>P000001045</t>
  </si>
  <si>
    <t>OKB9 Cost Center</t>
  </si>
  <si>
    <t>P000001046</t>
  </si>
  <si>
    <t>Cross Charge</t>
  </si>
  <si>
    <t>P000001047</t>
  </si>
  <si>
    <t>Impairments</t>
  </si>
  <si>
    <t>P000001048</t>
  </si>
  <si>
    <t>Capital Gains &amp; Losses</t>
  </si>
  <si>
    <t>P000001049</t>
  </si>
  <si>
    <t>Litigations</t>
  </si>
  <si>
    <t>P000001050</t>
  </si>
  <si>
    <t>Intangibles</t>
  </si>
  <si>
    <t>P000001051</t>
  </si>
  <si>
    <t>Other - FX</t>
  </si>
  <si>
    <t>P000001052</t>
  </si>
  <si>
    <t>AR/VR Incubator</t>
  </si>
  <si>
    <t>P000000658</t>
  </si>
  <si>
    <t>P000001053</t>
  </si>
  <si>
    <t>AR VR (OSC+)</t>
  </si>
  <si>
    <t>P000001054</t>
  </si>
  <si>
    <t>Next Gen DSA</t>
  </si>
  <si>
    <t>P000001055</t>
  </si>
  <si>
    <t>PFAS free TARC</t>
  </si>
  <si>
    <t>P000001056</t>
  </si>
  <si>
    <t>ALDebaran</t>
  </si>
  <si>
    <t>P000001057</t>
  </si>
  <si>
    <t>Advanced Doping</t>
  </si>
  <si>
    <t>P000001058</t>
  </si>
  <si>
    <t>AR IJP</t>
  </si>
  <si>
    <t>P000001059</t>
  </si>
  <si>
    <t>Diamond</t>
  </si>
  <si>
    <t>P000000505</t>
  </si>
  <si>
    <t>Display Production Sites</t>
  </si>
  <si>
    <t>DIS-DE-DA, Darmstadt, Germany</t>
  </si>
  <si>
    <t>DIS-JP-AT, Atsugi, Japan</t>
  </si>
  <si>
    <t>DIS-CN-SU, Suzhou, China</t>
  </si>
  <si>
    <t>DIS-TW-TA, Taoyuan, Taiwan</t>
  </si>
  <si>
    <t>DIS-TW-HS, Hsinchu, Taiwan</t>
  </si>
  <si>
    <t>DIS-KR-PO, Poseung, S. Korea</t>
  </si>
  <si>
    <t>DIS-CN-SH, Shanghai, China</t>
  </si>
  <si>
    <t>P000000180</t>
  </si>
  <si>
    <t>GrEx, SRF-US-UB, Urbana, USA</t>
  </si>
  <si>
    <t>P000000549</t>
  </si>
  <si>
    <t>Semi Other R&amp;D Projects</t>
  </si>
  <si>
    <t>P000000571</t>
  </si>
  <si>
    <t>EL-CN-S Semi Materials China</t>
  </si>
  <si>
    <t>P000000526 Thin Film ISC &amp; Quality</t>
  </si>
  <si>
    <t>Thin Film R&amp;D</t>
  </si>
  <si>
    <t>Patterning ISC &amp; Quality</t>
  </si>
  <si>
    <t>Patterning R&amp;D</t>
  </si>
  <si>
    <t>Planarization ISC &amp; Quality</t>
  </si>
  <si>
    <t>Planarization R&amp;D</t>
  </si>
  <si>
    <t>Specialty Gases ISC &amp; Quality</t>
  </si>
  <si>
    <t>Specialty Gases R&amp;D</t>
  </si>
  <si>
    <t>Semi Materials General</t>
  </si>
  <si>
    <t>P000000412</t>
  </si>
  <si>
    <t>EL-ST-S Strategy &amp; BD</t>
  </si>
  <si>
    <t>P000000413</t>
  </si>
  <si>
    <t>EL-ST-X Bus. Strategy realization &amp; Portf.</t>
  </si>
  <si>
    <t>P000000414</t>
  </si>
  <si>
    <t>EL-ST-O CEO Office</t>
  </si>
  <si>
    <t>P000000550</t>
  </si>
  <si>
    <t>EL-ST-A Level Up</t>
  </si>
  <si>
    <t>P000000552</t>
  </si>
  <si>
    <t>EL-ST-C Thought Leadership &amp; Branding</t>
  </si>
  <si>
    <t>P000000467</t>
  </si>
  <si>
    <t>EL-SC-C Customer Fulfillment</t>
  </si>
  <si>
    <t>P000000478</t>
  </si>
  <si>
    <t>EL-SC-X Operations Excellence</t>
  </si>
  <si>
    <t>P000000479</t>
  </si>
  <si>
    <t>EL-OH EHS Electronics</t>
  </si>
  <si>
    <t>P000000480</t>
  </si>
  <si>
    <t>EL-OH EHS Electronics (IO)</t>
  </si>
  <si>
    <t>P000000483</t>
  </si>
  <si>
    <t>EL-SC-Q Quality &amp; Compliance Management</t>
  </si>
  <si>
    <t>P000000494</t>
  </si>
  <si>
    <t>EL-SC-D Process Development</t>
  </si>
  <si>
    <t>P000000578</t>
  </si>
  <si>
    <t>EL-SC ISC General</t>
  </si>
  <si>
    <t>P000000554</t>
  </si>
  <si>
    <t>EL-ND DS&amp;S</t>
  </si>
  <si>
    <t>P000000705</t>
  </si>
  <si>
    <t>EL-ND BU Head &amp; Other</t>
  </si>
  <si>
    <t>EL-ND-N North America &amp; Europe General Man</t>
  </si>
  <si>
    <t>P000000707</t>
  </si>
  <si>
    <t>EL-ND-N Sales</t>
  </si>
  <si>
    <t>P000000708</t>
  </si>
  <si>
    <t>EL-ND-N R&amp;D / Sustaining / Engineering</t>
  </si>
  <si>
    <t>P000000712</t>
  </si>
  <si>
    <t>EL-ND-N Other NA &amp; Europe Gen.Man.</t>
  </si>
  <si>
    <t>EL-ND-A Asia General Management</t>
  </si>
  <si>
    <t>P000000721</t>
  </si>
  <si>
    <t>EL-ND-A Sales</t>
  </si>
  <si>
    <t>P000000724</t>
  </si>
  <si>
    <t>EL-ND-A Services - Field Service</t>
  </si>
  <si>
    <t>P000000725</t>
  </si>
  <si>
    <t>EL-ND-A Turnkey / Large Projects</t>
  </si>
  <si>
    <t>P000000726</t>
  </si>
  <si>
    <t>EL-ND-A Other Asia exKR Gen.Man.</t>
  </si>
  <si>
    <t>EL-ND-K Korea &amp; Japan General Management</t>
  </si>
  <si>
    <t>P000000728</t>
  </si>
  <si>
    <t>EL-ND-K Sales</t>
  </si>
  <si>
    <t>P000000731</t>
  </si>
  <si>
    <t>EL-ND-K R&amp;D / Sustaining / Engineering</t>
  </si>
  <si>
    <t>P000000732</t>
  </si>
  <si>
    <t>EL-ND-K Services - Field Service</t>
  </si>
  <si>
    <t>P000000733</t>
  </si>
  <si>
    <t>EL-ND-K Turnkey / Large Projects</t>
  </si>
  <si>
    <t>P000000734</t>
  </si>
  <si>
    <t>EL-ND-K Other Korea Gen.Man.</t>
  </si>
  <si>
    <t>P000000735</t>
  </si>
  <si>
    <t>P000000735 EL-ND-M Strategic Marketing</t>
  </si>
  <si>
    <t>P000000554_IO EL-ND DS&amp;S (IO)</t>
  </si>
  <si>
    <t>P000000673</t>
  </si>
  <si>
    <t>High RI Coating for AR Glasses</t>
  </si>
  <si>
    <t>P000000674</t>
  </si>
  <si>
    <t>EUV Molecular Resist</t>
  </si>
  <si>
    <t>P000000679</t>
  </si>
  <si>
    <t>CMP Incubator (Polymers)</t>
  </si>
  <si>
    <t>P000000680</t>
  </si>
  <si>
    <t>CMP Incubator (Abrasive)</t>
  </si>
  <si>
    <t>P000000681</t>
  </si>
  <si>
    <t>BN Thermal Management</t>
  </si>
  <si>
    <t>P000000584</t>
  </si>
  <si>
    <t>EL Digital Solutions</t>
  </si>
  <si>
    <t>P000000749</t>
  </si>
  <si>
    <t>EL-CE Controlling Electronics (FF0)</t>
  </si>
  <si>
    <t>P000000755</t>
  </si>
  <si>
    <t>EL-SC-P Sourcing Electronics (G1E)</t>
  </si>
  <si>
    <t>P000000756</t>
  </si>
  <si>
    <t>EL-CM Communications Electronics (GZ8)</t>
  </si>
  <si>
    <t>P000000757</t>
  </si>
  <si>
    <t>EL-HR Sector HR Electronics (GX4)</t>
  </si>
  <si>
    <t>P000000758</t>
  </si>
  <si>
    <t>EL-SC-I IT Electronics</t>
  </si>
  <si>
    <t>P000000057</t>
  </si>
  <si>
    <t>DIS-DE-DA, Production (T1)</t>
  </si>
  <si>
    <t>P000000077</t>
  </si>
  <si>
    <t>DIS-DE-DA, Analytics (T6c).</t>
  </si>
  <si>
    <t>P000000078</t>
  </si>
  <si>
    <t>DIS-DE-DA, Maintenance/Engineering (T3).</t>
  </si>
  <si>
    <t>P000000079</t>
  </si>
  <si>
    <t>DIS-DE-DA, Energies/Utilities (T4).</t>
  </si>
  <si>
    <t>P000000080</t>
  </si>
  <si>
    <t>DIS-DE-DA, Environmental Protection (T5)</t>
  </si>
  <si>
    <t>P000000081</t>
  </si>
  <si>
    <t>DIS-DE-DA, Prod.infrast. &amp; non-off-buil.</t>
  </si>
  <si>
    <t>P000000082</t>
  </si>
  <si>
    <t>DIS-DE-DA, Incom. storage&amp;handling (T7)</t>
  </si>
  <si>
    <t>P000000083</t>
  </si>
  <si>
    <t>DIS-DE-DA, Local Prod./Proc. Dev. &amp; Opt.</t>
  </si>
  <si>
    <t>P000000084</t>
  </si>
  <si>
    <t>DIS-DE-DA, Other</t>
  </si>
  <si>
    <t>P000000328</t>
  </si>
  <si>
    <t>DIS-DE-DA, Local quality Darmstadt</t>
  </si>
  <si>
    <t>P000000329</t>
  </si>
  <si>
    <t>DIS-DE-DA, Quality (T2)</t>
  </si>
  <si>
    <t>P000000088</t>
  </si>
  <si>
    <t>DIS-JP-AT, Production (T1)</t>
  </si>
  <si>
    <t>P000000089</t>
  </si>
  <si>
    <t>DIS-JP-AT, Analytics (T6c)</t>
  </si>
  <si>
    <t>P000000090</t>
  </si>
  <si>
    <t>DIS-JP-AT, Maintenance/Engineering (T3)</t>
  </si>
  <si>
    <t>P000000091</t>
  </si>
  <si>
    <t>DIS-JP-AT, Energies/Utilities (T4)</t>
  </si>
  <si>
    <t>P000000092</t>
  </si>
  <si>
    <t>DIS-JP-AT, Environmental Protection (T5)</t>
  </si>
  <si>
    <t>P000000093</t>
  </si>
  <si>
    <t>DIS-JP-AT, Prod.infrast. &amp; non-off-buil.</t>
  </si>
  <si>
    <t>P000000094</t>
  </si>
  <si>
    <t>DIS-JP-AT, Incom. storage&amp;handling (T7)</t>
  </si>
  <si>
    <t>P000000095</t>
  </si>
  <si>
    <t>DIS-JP-AT, Local Prod./Proc. Dev. &amp; Opt.</t>
  </si>
  <si>
    <t>P000000096</t>
  </si>
  <si>
    <t>DIS-JP-AT, Other</t>
  </si>
  <si>
    <t>P000000306</t>
  </si>
  <si>
    <t>DIS-JP-AT, Local quality Atsugi</t>
  </si>
  <si>
    <t>P000000098</t>
  </si>
  <si>
    <t>P000000098 PTOTECNAA1 Production (T1)</t>
  </si>
  <si>
    <t>P000000099</t>
  </si>
  <si>
    <t>P000000099 PTOTECNAA2 Analytics (T6c).</t>
  </si>
  <si>
    <t>P000000100</t>
  </si>
  <si>
    <t>P000000100 PTOTECNAA3 Maintenance/Engineering (T3).</t>
  </si>
  <si>
    <t>P000000101</t>
  </si>
  <si>
    <t>P000000101 PTOTECNAA4 Energies/Utilities (T4).</t>
  </si>
  <si>
    <t>P000000102</t>
  </si>
  <si>
    <t>P000000102 PTOTECNAA5 Environmental Protection (T5)</t>
  </si>
  <si>
    <t>P000000103</t>
  </si>
  <si>
    <t>P000000103 PTOTECNAA6 Prod.infrast. &amp; non-off-buil.</t>
  </si>
  <si>
    <t>P000000104</t>
  </si>
  <si>
    <t>P000000104 PTOTECNAA7 Incom. storage&amp;handling (T7)</t>
  </si>
  <si>
    <t>P000000105</t>
  </si>
  <si>
    <t>P000000105 PTOTECNAA8 Local Prod./Proc. Dev. &amp; Opt.</t>
  </si>
  <si>
    <t>P000000106</t>
  </si>
  <si>
    <t>P000000106 PTOTECNAA9 Other</t>
  </si>
  <si>
    <t>P000000320</t>
  </si>
  <si>
    <t>P000000320 PTOQLCNAA - Local quality Suzhou</t>
  </si>
  <si>
    <t>PL_E1_CNAA</t>
  </si>
  <si>
    <t>PL_E1_CNAA ProcOrd_M E M (Suzhou) Ltd_CNAA</t>
  </si>
  <si>
    <t>P000000108</t>
  </si>
  <si>
    <t>DIS-TW-TA, Production (T1)</t>
  </si>
  <si>
    <t>P000000109</t>
  </si>
  <si>
    <t>DIS-TW-TA, Analytics (T6c)</t>
  </si>
  <si>
    <t>P000000110</t>
  </si>
  <si>
    <t>DIS-TW-TA, Maintenance/Engineering (T3)</t>
  </si>
  <si>
    <t>P000000111</t>
  </si>
  <si>
    <t>DIS-TW-TA, Energies/Utilities (T4)</t>
  </si>
  <si>
    <t>P000000112</t>
  </si>
  <si>
    <t>DIS-TW-TA, Environmental Protection (T5)</t>
  </si>
  <si>
    <t>P000000113</t>
  </si>
  <si>
    <t>DIS-TW-TA, Prod.infrast. &amp; non-off-buil.</t>
  </si>
  <si>
    <t>P000000114</t>
  </si>
  <si>
    <t>DIS-TW-TA, Incom. storage&amp;handling (T7)</t>
  </si>
  <si>
    <t>P000000115</t>
  </si>
  <si>
    <t>DIS-TW-TA, Local Prod./Proc. Dev. &amp; Opt.</t>
  </si>
  <si>
    <t>P000000116</t>
  </si>
  <si>
    <t>DIS-TW-TA, Other</t>
  </si>
  <si>
    <t>P000000334</t>
  </si>
  <si>
    <t>DIS-TW-TA, Local quality Taoyuan</t>
  </si>
  <si>
    <t>P000000118</t>
  </si>
  <si>
    <t>DIS-TW-HS, Production (T1)</t>
  </si>
  <si>
    <t>P000000119</t>
  </si>
  <si>
    <t>DIS-TW-HS, Analytics (T6c)</t>
  </si>
  <si>
    <t>P000000120</t>
  </si>
  <si>
    <t>DIS-TW-HS, Maintenance/Engineering (T3)</t>
  </si>
  <si>
    <t>P000000121</t>
  </si>
  <si>
    <t>DIS-TW-HS, Energies/Utilities (T4)</t>
  </si>
  <si>
    <t>P000000122</t>
  </si>
  <si>
    <t>DIS-TW-HS, Environmental Protection (T5)</t>
  </si>
  <si>
    <t>P000000123</t>
  </si>
  <si>
    <t>DIS-TW-HS, Prod.infrast. &amp; non-off-buil.</t>
  </si>
  <si>
    <t>P000000124</t>
  </si>
  <si>
    <t>DIS-TW-HS, Incom. storage&amp;handling (T7)</t>
  </si>
  <si>
    <t>P000000125</t>
  </si>
  <si>
    <t>DIS-TW-HS, Local Prod./Proc. Dev. &amp; Opt.</t>
  </si>
  <si>
    <t>P000000126</t>
  </si>
  <si>
    <t>DIS-TW-HS, Other</t>
  </si>
  <si>
    <t>P000000322</t>
  </si>
  <si>
    <t>DIS-TW-HS, Local quality Hsinchu</t>
  </si>
  <si>
    <t>P000000128</t>
  </si>
  <si>
    <t>DIS-KR-PO, Production (T1)</t>
  </si>
  <si>
    <t>P000000129</t>
  </si>
  <si>
    <t>DIS-KR-PO, Analytics (T6c)</t>
  </si>
  <si>
    <t>P000000130</t>
  </si>
  <si>
    <t>DIS-KR-PO, Maintenance/Engineering (T3)</t>
  </si>
  <si>
    <t>P000000131</t>
  </si>
  <si>
    <t>DIS-KR-PO, Energies/Utilities (T4)</t>
  </si>
  <si>
    <t>P000000132</t>
  </si>
  <si>
    <t>DIS-KR-PO, Environmental Protection (T5)</t>
  </si>
  <si>
    <t>P000000133</t>
  </si>
  <si>
    <t>DIS-KR-PO, Prod.infrast. &amp; non-off-buil.</t>
  </si>
  <si>
    <t>P000000134</t>
  </si>
  <si>
    <t>DIS-KR-PO, Incom. storage&amp;handling (T7)</t>
  </si>
  <si>
    <t>P000000135</t>
  </si>
  <si>
    <t>DIS-KR-PO, Local Prod./Proc. Dev. &amp; Opt.</t>
  </si>
  <si>
    <t>P000000136</t>
  </si>
  <si>
    <t>DIS-KR-PO, Other</t>
  </si>
  <si>
    <t>P000000324</t>
  </si>
  <si>
    <t>DIS-KR-PO, Local quality Poseung</t>
  </si>
  <si>
    <t>P000000138</t>
  </si>
  <si>
    <t>DIS-CN-SH, Production (T1)</t>
  </si>
  <si>
    <t>P000000139</t>
  </si>
  <si>
    <t>DIS-CN-SH, Analytics (T6c)</t>
  </si>
  <si>
    <t>P000000140</t>
  </si>
  <si>
    <t>DIS-CN-SH, Maintenance/Engineering (T3)</t>
  </si>
  <si>
    <t>P000000141</t>
  </si>
  <si>
    <t>DIS-CN-SH, Energies/Utilities (T4)</t>
  </si>
  <si>
    <t>P000000142</t>
  </si>
  <si>
    <t>DIS-CN-SH, Environmental Protection (T5)</t>
  </si>
  <si>
    <t>P000000143</t>
  </si>
  <si>
    <t>DIS-CN-SH, Prod.infrast. &amp; non-off-buil.</t>
  </si>
  <si>
    <t>P000000144</t>
  </si>
  <si>
    <t>DIS-CN-SH, Incom. storage&amp;handling (T7)</t>
  </si>
  <si>
    <t>P000000145</t>
  </si>
  <si>
    <t>DIS-CN-SH, Local Prod./Proc. Dev. &amp; Opt.</t>
  </si>
  <si>
    <t>P000000146</t>
  </si>
  <si>
    <t>DIS-CN-SH, Other</t>
  </si>
  <si>
    <t>P000000310</t>
  </si>
  <si>
    <t>DIS-CN-SH, Local quality Shanghai</t>
  </si>
  <si>
    <t>SRF-IN-KH, Khopoli, India</t>
  </si>
  <si>
    <t>P000000150</t>
  </si>
  <si>
    <t>SRF-IN-KH, Production (T1)</t>
  </si>
  <si>
    <t>P000000151</t>
  </si>
  <si>
    <t>SRF-IN-KH, Analytics (T6c).</t>
  </si>
  <si>
    <t>P000000152</t>
  </si>
  <si>
    <t>SRF-IN-KH, Maintenance/Engineering (T3).</t>
  </si>
  <si>
    <t>P000000153</t>
  </si>
  <si>
    <t>SRF-IN-KH, Energies/Utilities (T4).</t>
  </si>
  <si>
    <t>P000000154</t>
  </si>
  <si>
    <t>SRF-IN-KH, Environmental Protection (T5)</t>
  </si>
  <si>
    <t>P000000155</t>
  </si>
  <si>
    <t>SRF-IN-KH, Prod.infrast. &amp; non-off-buil.</t>
  </si>
  <si>
    <t>P000000156</t>
  </si>
  <si>
    <t>SRF-IN-KH, Incom. storage&amp;handling (T7)</t>
  </si>
  <si>
    <t>P000000157</t>
  </si>
  <si>
    <t>SRF-IN-KH, Local Prod./Proc. Dev. &amp; Opt.</t>
  </si>
  <si>
    <t>P000000158</t>
  </si>
  <si>
    <t>SRF-IN-KH, Other</t>
  </si>
  <si>
    <t>P000000336</t>
  </si>
  <si>
    <t>SRF-IN-KH, Local Quality Khopoli</t>
  </si>
  <si>
    <t>SRF-US-SA, Savannah, USA</t>
  </si>
  <si>
    <t>P000000160</t>
  </si>
  <si>
    <t>SRF-US-SA, Production (T1)</t>
  </si>
  <si>
    <t>P000000161</t>
  </si>
  <si>
    <t>SRF-US-SA, Analytics (T6c)</t>
  </si>
  <si>
    <t>P000000162</t>
  </si>
  <si>
    <t>SRF-US-SA, Maintenance/Engineering (T3)</t>
  </si>
  <si>
    <t>P000000163</t>
  </si>
  <si>
    <t>SRF-US-SA, Energies/Utilities (T4)</t>
  </si>
  <si>
    <t>P000000164</t>
  </si>
  <si>
    <t>SRF-US-SA, Environmental Protection (T5)</t>
  </si>
  <si>
    <t>P000000165</t>
  </si>
  <si>
    <t>SRF-US-SA, Prod.infrast. &amp; non-off-buil.</t>
  </si>
  <si>
    <t>P000000166</t>
  </si>
  <si>
    <t>SRF-US-SA, Incom. storage&amp;handling (T7)</t>
  </si>
  <si>
    <t>P000000167</t>
  </si>
  <si>
    <t>SRF-US-SA, Local Prod./Proc. Dev. &amp; Opt.</t>
  </si>
  <si>
    <t>P000000168</t>
  </si>
  <si>
    <t>SRF-US-SA, Other</t>
  </si>
  <si>
    <t>P000000318</t>
  </si>
  <si>
    <t>SRF-US-SA, Local quality Savannah</t>
  </si>
  <si>
    <t>SRF-JP-ON, Onahama, Japan</t>
  </si>
  <si>
    <t>P000000170</t>
  </si>
  <si>
    <t>SRF-JP-ON, Production (T1)</t>
  </si>
  <si>
    <t>P000000171</t>
  </si>
  <si>
    <t>SRF-JP-ON, Analytics (T6c)</t>
  </si>
  <si>
    <t>P000000172</t>
  </si>
  <si>
    <t>SRF-JP-ON, Maintenance/Engineering (T3)</t>
  </si>
  <si>
    <t>P000000173</t>
  </si>
  <si>
    <t>SRF-JP-ON, Energies/Utilities (T4)</t>
  </si>
  <si>
    <t>P000000174</t>
  </si>
  <si>
    <t>SRF-JP-ON, Environmental Protection (T5)</t>
  </si>
  <si>
    <t>P000000175</t>
  </si>
  <si>
    <t>SRF-JP-ON, Prod.infrast. &amp; non-off-buil.</t>
  </si>
  <si>
    <t>P000000176</t>
  </si>
  <si>
    <t>SRF-JP-ON, Incom. storage&amp;handling (T7)</t>
  </si>
  <si>
    <t>P000000177</t>
  </si>
  <si>
    <t>SRF-JP-ON, Local Prod./Proc. Dev. &amp; Opt.</t>
  </si>
  <si>
    <t>P000000178</t>
  </si>
  <si>
    <t>SRF-JP-ON, Other</t>
  </si>
  <si>
    <t>P000000316</t>
  </si>
  <si>
    <t>SRF-JP-ON, Local quality Onahama</t>
  </si>
  <si>
    <t>P000000179</t>
  </si>
  <si>
    <t>SRF-US-UB, Urbana, USA</t>
  </si>
  <si>
    <t>P000000181</t>
  </si>
  <si>
    <t>SRF-US-UB, Direct Labor</t>
  </si>
  <si>
    <t>P000000182</t>
  </si>
  <si>
    <t>SRF-US-UB, Main Cost Collector</t>
  </si>
  <si>
    <t>P000000183</t>
  </si>
  <si>
    <t>SRF-US-UB, Equipment</t>
  </si>
  <si>
    <t>P000000184</t>
  </si>
  <si>
    <t>SRF-US-UB, QC</t>
  </si>
  <si>
    <t>P000000185</t>
  </si>
  <si>
    <t>SRF-US-UB, Management</t>
  </si>
  <si>
    <t>P000000186</t>
  </si>
  <si>
    <t>SRF-US-UB, Urbana MAOH</t>
  </si>
  <si>
    <t>P000000187</t>
  </si>
  <si>
    <t>SRF-US-UB, Warehouse and Distribution</t>
  </si>
  <si>
    <t>P000000188</t>
  </si>
  <si>
    <t>SRF-US-UB, Other</t>
  </si>
  <si>
    <t>Non-GrEx, SRF-US-UB, Urbana, USA</t>
  </si>
  <si>
    <t>PL_E2_ES52</t>
  </si>
  <si>
    <t>PL_E4_US44 ProcOrd_Urbana Production_US44</t>
  </si>
  <si>
    <t>SRF-DE-PG, Gernsheim, Germany</t>
  </si>
  <si>
    <t>P000000190</t>
  </si>
  <si>
    <t>SRF-DE-PG, Production (T1)</t>
  </si>
  <si>
    <t>P000000199</t>
  </si>
  <si>
    <t>SRF-DE-PG, Analytics (T6c)</t>
  </si>
  <si>
    <t>P000000200</t>
  </si>
  <si>
    <t>SRF-DE-PG, Maintenance/Engineering (T3)</t>
  </si>
  <si>
    <t>P000000201</t>
  </si>
  <si>
    <t>SRF-DE-PG, Energies/Utilities (T4)</t>
  </si>
  <si>
    <t>P000000202</t>
  </si>
  <si>
    <t>SRF-DE-PG, Environmental Protection (T5)</t>
  </si>
  <si>
    <t>P000000203</t>
  </si>
  <si>
    <t>SRF-DE-PG, Prod.infrast. &amp; non-off-buil.</t>
  </si>
  <si>
    <t>P000000204</t>
  </si>
  <si>
    <t>SRF-DE-PG, Incom. storage&amp;handling (T7)</t>
  </si>
  <si>
    <t>P000000205</t>
  </si>
  <si>
    <t>SRF-DE-PG, Local Prod./Proc. Dev. &amp; Opt.</t>
  </si>
  <si>
    <t>P000000206</t>
  </si>
  <si>
    <t>SRF-DE-PG, Other</t>
  </si>
  <si>
    <t>P000000330</t>
  </si>
  <si>
    <t>SRF-DE-PG, Local Quality Gernsheim</t>
  </si>
  <si>
    <t>P000000635</t>
  </si>
  <si>
    <t>EL-SC-E Global Engineering</t>
  </si>
  <si>
    <t>P000000466</t>
  </si>
  <si>
    <t>R&amp;D Semi Mat Others</t>
  </si>
  <si>
    <t>THF-US-HA, Haverhill, USA</t>
  </si>
  <si>
    <t>P000000220</t>
  </si>
  <si>
    <t>THF-US-HA, Production (T1)</t>
  </si>
  <si>
    <t>P000000221</t>
  </si>
  <si>
    <t>THF-US-HA, Analytics (T6c)</t>
  </si>
  <si>
    <t>P000000222</t>
  </si>
  <si>
    <t>THF-US-HA, Maintenance/Engineering (T3)</t>
  </si>
  <si>
    <t>P000000223</t>
  </si>
  <si>
    <t>THF-US-HA, Energies/Utilities supply (T4</t>
  </si>
  <si>
    <t>P000000224</t>
  </si>
  <si>
    <t>THF-US-HA, Environmental Protection (T5)</t>
  </si>
  <si>
    <t>P000000225</t>
  </si>
  <si>
    <t>THF-US-HA, Prod.infrast. &amp; non-off-buil.</t>
  </si>
  <si>
    <t>P000000226</t>
  </si>
  <si>
    <t>THF-US-HA, Incom. storage&amp;handling (T7)</t>
  </si>
  <si>
    <t>P000000227</t>
  </si>
  <si>
    <t>THF-US-HA, Local Prod./Proc. Dev. &amp; Opt.</t>
  </si>
  <si>
    <t>P000000228</t>
  </si>
  <si>
    <t>THF-US-HA, Other</t>
  </si>
  <si>
    <t>P000000342</t>
  </si>
  <si>
    <t>THF-US-HA, Local Quality Haverhill</t>
  </si>
  <si>
    <t>THF-TW-KA, Kaohsiung, Taiwan</t>
  </si>
  <si>
    <t>P000000250</t>
  </si>
  <si>
    <t>THF-TW-KA, Production (T1)</t>
  </si>
  <si>
    <t>P000000251</t>
  </si>
  <si>
    <t>THF-TW-KA, Analytics (T6c)</t>
  </si>
  <si>
    <t>P000000252</t>
  </si>
  <si>
    <t>THF-TW-KA, Maintenance/Engineering (T3)</t>
  </si>
  <si>
    <t>P000000253</t>
  </si>
  <si>
    <t>THF-TW-KA, Energies/Utilities supply (T4</t>
  </si>
  <si>
    <t>P000000254</t>
  </si>
  <si>
    <t>THF-TW-KA, Environmental Protection (T5)</t>
  </si>
  <si>
    <t>P000000255</t>
  </si>
  <si>
    <t>THF-TW-KA, Prod.infrast. &amp; non-off-buil.</t>
  </si>
  <si>
    <t>P000000256</t>
  </si>
  <si>
    <t>THF-TW-KA, Incom. storage&amp;handling (T7)</t>
  </si>
  <si>
    <t>P000000257</t>
  </si>
  <si>
    <t>THF-TW-KA, Local Prod./Proc. Dev. &amp; Opt.</t>
  </si>
  <si>
    <t>P000000258</t>
  </si>
  <si>
    <t>THF-TW-KA, Other</t>
  </si>
  <si>
    <t>P000000340</t>
  </si>
  <si>
    <t>THF-TW-KA,  Local Quality Kaohsiung</t>
  </si>
  <si>
    <t>THF-US-CB, Carlsbad, USA</t>
  </si>
  <si>
    <t>THF-KR-BA, Banwol, S. Korea</t>
  </si>
  <si>
    <t>PAT-US-BU, Branchburg, USA</t>
  </si>
  <si>
    <t>P000000210</t>
  </si>
  <si>
    <t>PAT-US-BU, Production (T1)</t>
  </si>
  <si>
    <t>PAT-JP-SZ, Shizuoka, Japan</t>
  </si>
  <si>
    <t>P000000230</t>
  </si>
  <si>
    <t>PAT-JP-SZ, Production (T1)</t>
  </si>
  <si>
    <t>P000000231</t>
  </si>
  <si>
    <t>PAT-JP-SZ, Analytics (T6c)</t>
  </si>
  <si>
    <t>P000000232</t>
  </si>
  <si>
    <t>PAT-JP-SZ, Maintenance/Engineering (T3)</t>
  </si>
  <si>
    <t>P000000233</t>
  </si>
  <si>
    <t>PAT-JP-SZ, Energies/Utilities (T4)</t>
  </si>
  <si>
    <t>P000000234</t>
  </si>
  <si>
    <t>PAT-JP-SZ, Environmental Protection (T5)</t>
  </si>
  <si>
    <t>P000000235</t>
  </si>
  <si>
    <t>PAT-JP-SZ, Prod.infrast. &amp; non-off-buil.</t>
  </si>
  <si>
    <t>P000000236</t>
  </si>
  <si>
    <t>PAT-JP-SZ, Incom. storage&amp;handling (T7)</t>
  </si>
  <si>
    <t>P000000237</t>
  </si>
  <si>
    <t>PAT-JP-SZ, Local Prod./Proc. Dev. &amp; Opt.</t>
  </si>
  <si>
    <t>P000000238</t>
  </si>
  <si>
    <t>PAT-JP-SZ, Other</t>
  </si>
  <si>
    <t>P000000304</t>
  </si>
  <si>
    <t>PAT-JP-SZ, Local Quality Shizuoka</t>
  </si>
  <si>
    <t>PAT-DE-WI, Wiesbaden, Germany</t>
  </si>
  <si>
    <t>P000000240</t>
  </si>
  <si>
    <t>PAT-DE-WI, Production (T1)</t>
  </si>
  <si>
    <t>P000000241</t>
  </si>
  <si>
    <t>PAT-DE-WI, Analytics (T6c).</t>
  </si>
  <si>
    <t>P000000242</t>
  </si>
  <si>
    <t>PAT-DE-WI, Maintenance/Engineering (T3).</t>
  </si>
  <si>
    <t>P000000243</t>
  </si>
  <si>
    <t>PAT-DE-WI, Energies/Utilities (T4).</t>
  </si>
  <si>
    <t>P000000244</t>
  </si>
  <si>
    <t>PAT-DE-WI, Environmental Protection (T5)</t>
  </si>
  <si>
    <t>P000000245</t>
  </si>
  <si>
    <t>PAT-DE-WI, Prod.infrast. &amp; non-off-buil.</t>
  </si>
  <si>
    <t>P000000246</t>
  </si>
  <si>
    <t>PAT-DE-WI, Incom. storage&amp;handling (T7)</t>
  </si>
  <si>
    <t>P000000247</t>
  </si>
  <si>
    <t>PAT-DE-WI, Development (EL-OTI)</t>
  </si>
  <si>
    <t>P000000248</t>
  </si>
  <si>
    <t>PAT-DE-WI, Other</t>
  </si>
  <si>
    <t>P000000326</t>
  </si>
  <si>
    <t>PAT-DE-WI, Local Quality Wiesbaden</t>
  </si>
  <si>
    <t>PAT-KR-AN, Anseong, S. Korea</t>
  </si>
  <si>
    <t>P000000280</t>
  </si>
  <si>
    <t>PAT-KR-AN, Production (T1)</t>
  </si>
  <si>
    <t>P000000281</t>
  </si>
  <si>
    <t>PAT-KR-AN, Analytics (T6c)</t>
  </si>
  <si>
    <t>P000000282</t>
  </si>
  <si>
    <t>PAT-KR-AN, Maintenance/Engineering (T3)</t>
  </si>
  <si>
    <t>P000000283</t>
  </si>
  <si>
    <t>PAT-KR-AN, Energies/Utilities (T4)</t>
  </si>
  <si>
    <t>P000000284</t>
  </si>
  <si>
    <t>PAT-KR-AN, Environmental Protection (T5)</t>
  </si>
  <si>
    <t>P000000285</t>
  </si>
  <si>
    <t>PAT-KR-AN, Prod.infrast. &amp; non-off-buil.</t>
  </si>
  <si>
    <t>P000000286</t>
  </si>
  <si>
    <t>PAT-KR-AN, Incom. storage&amp;handling (T7)</t>
  </si>
  <si>
    <t>P000000287</t>
  </si>
  <si>
    <t>PAT-KR-AN, Local Prod./Proc. Dev. &amp; Opt.</t>
  </si>
  <si>
    <t>P000000288</t>
  </si>
  <si>
    <t>PAT-KR-AN, Other</t>
  </si>
  <si>
    <t>P000000338</t>
  </si>
  <si>
    <t>PAT-KR-AN,  Local quality Anseong</t>
  </si>
  <si>
    <t>PAT-US-MA, Martin, USA</t>
  </si>
  <si>
    <t>P000000260</t>
  </si>
  <si>
    <t>PAT-US-MA, Production (T1)</t>
  </si>
  <si>
    <t>P000000261</t>
  </si>
  <si>
    <t>PAT-US-MA, Analytics (T6c)</t>
  </si>
  <si>
    <t>P000000262</t>
  </si>
  <si>
    <t>PAT-US-MA, Maintenance/Engineering (T3)</t>
  </si>
  <si>
    <t>P000000263</t>
  </si>
  <si>
    <t>PAT-US-MA, Energies/Utilities (T4)</t>
  </si>
  <si>
    <t>P000000264</t>
  </si>
  <si>
    <t>PAT-US-MA, Environmental Protection (T5)</t>
  </si>
  <si>
    <t>P000000265</t>
  </si>
  <si>
    <t>PAT-US-MA, Prod.infrast. &amp; non-off-buil.</t>
  </si>
  <si>
    <t>P000000266</t>
  </si>
  <si>
    <t>PAT-US-MA, Incom. storage&amp;handling (T7)</t>
  </si>
  <si>
    <t>P000000267</t>
  </si>
  <si>
    <t>PAT-US-MA, Local Prod./Proc. Dev. &amp; Opt.</t>
  </si>
  <si>
    <t>P000000268</t>
  </si>
  <si>
    <t>PAT-US-MA, Other</t>
  </si>
  <si>
    <t>P000000312</t>
  </si>
  <si>
    <t>PAT-US-MA,  Local quality Martin</t>
  </si>
  <si>
    <t>PAT-FR-LA, Lamotte, France</t>
  </si>
  <si>
    <t>P000000270</t>
  </si>
  <si>
    <t>PAT-FR-LA, Production (T1)</t>
  </si>
  <si>
    <t>P000000271</t>
  </si>
  <si>
    <t>PAT-FR-LA, Analytics (T6c)</t>
  </si>
  <si>
    <t>P000000272</t>
  </si>
  <si>
    <t>PAT-FR-LA, Maintenance/Engineering (T3)</t>
  </si>
  <si>
    <t>P000000273</t>
  </si>
  <si>
    <t>PAT-FR-LA, Energies/Utilities (T4)</t>
  </si>
  <si>
    <t>P000000274</t>
  </si>
  <si>
    <t>PAT-FR-LA, Environmental Protection (T5)</t>
  </si>
  <si>
    <t>P000000275</t>
  </si>
  <si>
    <t>PAT-FR-LA, Prod.infrast. &amp; non-off-buil.</t>
  </si>
  <si>
    <t>P000000276</t>
  </si>
  <si>
    <t>PAT-FR-LA, Incom. storage&amp;handling (T7)</t>
  </si>
  <si>
    <t>P000000277</t>
  </si>
  <si>
    <t>PAT-FR-LA, Local Prod./Proc. Dev. &amp; Opt.</t>
  </si>
  <si>
    <t>P000000278</t>
  </si>
  <si>
    <t>PAT-FR-LA, Other</t>
  </si>
  <si>
    <t>P000000308</t>
  </si>
  <si>
    <t>PAT-FR-LA, Local Quality Lamotte</t>
  </si>
  <si>
    <t>PLA-US-DA, Dallas, USA</t>
  </si>
  <si>
    <t>PLA-US-TP, Tempe, USA</t>
  </si>
  <si>
    <t>PLA-KR-PT, Pyeongtaek, S. Korea</t>
  </si>
  <si>
    <t>SPG-KR-UL, Ulsan, S. Korea</t>
  </si>
  <si>
    <t>SPG-KR-SH, Sihwa, S. Korea</t>
  </si>
  <si>
    <t>SPG-US-HT, Hometown, USA</t>
  </si>
  <si>
    <t>SPG-TW-NA, Nanke, Taiwan</t>
  </si>
  <si>
    <t>SPG-US-CT, Catoosa, USA</t>
  </si>
  <si>
    <t>P000000411</t>
  </si>
  <si>
    <t>EL-ST Strategy &amp; Business Transformation</t>
  </si>
  <si>
    <t>P000000551</t>
  </si>
  <si>
    <t>EL-SC-O EL Digital &amp; Data Office</t>
  </si>
  <si>
    <t>P000000417</t>
  </si>
  <si>
    <t>Local Functions EL</t>
  </si>
  <si>
    <t>P000000425</t>
  </si>
  <si>
    <t>Other DivCO EL</t>
  </si>
  <si>
    <t>P000000577</t>
  </si>
  <si>
    <t>Other Overarching EL</t>
  </si>
  <si>
    <t>P000000426</t>
  </si>
  <si>
    <t>Exceptionals EL</t>
  </si>
  <si>
    <t>EL-SC Integrated Supply Chain</t>
  </si>
  <si>
    <t>P000000555</t>
  </si>
  <si>
    <t>EL-CT CTO</t>
  </si>
  <si>
    <t>P000000748</t>
  </si>
  <si>
    <t>Enabl. Funct. Business Partnering</t>
  </si>
  <si>
    <t>PL_E601013</t>
  </si>
  <si>
    <t>PL_E1_JPAC</t>
  </si>
  <si>
    <t>PL_E1_JPAK</t>
  </si>
  <si>
    <t>PL_E1_TWAD</t>
  </si>
  <si>
    <t>PL_E1_TWAA</t>
  </si>
  <si>
    <t>PL_E1_TWAC</t>
  </si>
  <si>
    <t>PL_E1_KRAD</t>
  </si>
  <si>
    <t>PL_E1_CNAC</t>
  </si>
  <si>
    <t>PL_E1_INAA</t>
  </si>
  <si>
    <t>PL_E1_USAT</t>
  </si>
  <si>
    <t>PL_E1_JPAD</t>
  </si>
  <si>
    <t>PL_E1_DEAC</t>
  </si>
  <si>
    <t>PL_E6_0102</t>
  </si>
  <si>
    <t>P000000537</t>
  </si>
  <si>
    <t>P000000407</t>
  </si>
  <si>
    <t>P000000538</t>
  </si>
  <si>
    <t>P000000541</t>
  </si>
  <si>
    <t>PL_E1_USAX</t>
  </si>
  <si>
    <t>PL_E1_TWAF</t>
  </si>
  <si>
    <t>PL_ED_TWC3</t>
  </si>
  <si>
    <t>PL_ED_TWC4</t>
  </si>
  <si>
    <t>PL_ED_USA6</t>
  </si>
  <si>
    <t>P000000527_IO Carlsbad (IO)</t>
  </si>
  <si>
    <t>P000000528_IO Banwol (IO)</t>
  </si>
  <si>
    <t>PL_ED_KRA7</t>
  </si>
  <si>
    <t>PL_ED_KRB8</t>
  </si>
  <si>
    <t>PL_E1_USAW</t>
  </si>
  <si>
    <t>PL_E1_JPAA</t>
  </si>
  <si>
    <t>PL_E1_JPAB</t>
  </si>
  <si>
    <t>PL_E1_JPAI</t>
  </si>
  <si>
    <t>PL_E1_JPAJ</t>
  </si>
  <si>
    <t>PL_E1_DEAA</t>
  </si>
  <si>
    <t>PL_E1_KRAC</t>
  </si>
  <si>
    <t>PL_E1_USAN</t>
  </si>
  <si>
    <t>PL_E1_FRAA</t>
  </si>
  <si>
    <t>P000000391_IO EL-I Semiconductor Materials (IO)</t>
  </si>
  <si>
    <t>P000000575</t>
  </si>
  <si>
    <t>P000000427</t>
  </si>
  <si>
    <t>P000000045 EL-PSS Strategic Marketing</t>
  </si>
  <si>
    <t>P000000048 EL-PSG Commercial Excellence</t>
  </si>
  <si>
    <t>P000000451_IO EL-PSJ-M Regional Marketing APAC (IO)</t>
  </si>
  <si>
    <t>P000000666</t>
  </si>
  <si>
    <t>P000000443_IO EL-PSC-M Reg. Mkt. Gr. China (IO)</t>
  </si>
  <si>
    <t>P000000451 EL-PSJ-M Regional Marketing APAC</t>
  </si>
  <si>
    <t>P000000443 EL-PSC-M Reg. Mkt. Gr. China</t>
  </si>
  <si>
    <t>L000008428</t>
  </si>
  <si>
    <t>G000000243</t>
  </si>
  <si>
    <t>G000000836</t>
  </si>
  <si>
    <t>P000001060</t>
  </si>
  <si>
    <t>P000001061</t>
  </si>
  <si>
    <t>P000001062</t>
  </si>
  <si>
    <t>P000001063</t>
  </si>
  <si>
    <t>P000001064</t>
  </si>
  <si>
    <t>P000001065</t>
  </si>
  <si>
    <t>P000001066</t>
  </si>
  <si>
    <t>P000001067</t>
  </si>
  <si>
    <t>P000001068</t>
  </si>
  <si>
    <t>P000001069</t>
  </si>
  <si>
    <t>P000001070</t>
  </si>
  <si>
    <t>Semi Mat Miscellaneous</t>
  </si>
  <si>
    <t>EL-SM-PT Packaging Technologies</t>
  </si>
  <si>
    <t>P000000487</t>
  </si>
  <si>
    <t>EL-SC-QS Global Suppier Quality</t>
  </si>
  <si>
    <t>P000000484</t>
  </si>
  <si>
    <t>EL-SC-Q Quality&amp;Compliance Management</t>
  </si>
  <si>
    <t>P000000485</t>
  </si>
  <si>
    <t>EL-SC-QA Management Systems</t>
  </si>
  <si>
    <t>P000000486</t>
  </si>
  <si>
    <t>EL-SC-QC Customer Quality CN/TW/SEA</t>
  </si>
  <si>
    <t>P000000488</t>
  </si>
  <si>
    <t>EL-SC-QP Quality Process Optimization</t>
  </si>
  <si>
    <t>P000000489</t>
  </si>
  <si>
    <t>EL-SC-QR Product Stewardship</t>
  </si>
  <si>
    <t>P000000490</t>
  </si>
  <si>
    <t>EL-SC-QT Trade Compliance CN</t>
  </si>
  <si>
    <t>P000000211</t>
  </si>
  <si>
    <t>PAT-US-BU, Analytics (T6c).</t>
  </si>
  <si>
    <t>P000000212</t>
  </si>
  <si>
    <t>PAT-US-BU, Maintenance/Engineering (T3).</t>
  </si>
  <si>
    <t>P000000213</t>
  </si>
  <si>
    <t>PAT-US-BU, Energies/Utilities (T4).</t>
  </si>
  <si>
    <t>P000000214</t>
  </si>
  <si>
    <t>PAT-US-BU, Environmental Protection (T5)</t>
  </si>
  <si>
    <t>P000000215</t>
  </si>
  <si>
    <t>PAT-US-BU, Prod.infrast. &amp; non-off-buil.</t>
  </si>
  <si>
    <t>P000000216</t>
  </si>
  <si>
    <t>PAT-US-BU, Incom. storage&amp;handling (T7)</t>
  </si>
  <si>
    <t>P000000217</t>
  </si>
  <si>
    <t>PAT-US-BU, Local Prod./Proc. Dev. &amp; Opt.</t>
  </si>
  <si>
    <t>P000000218</t>
  </si>
  <si>
    <t>PAT-US-BU, Other</t>
  </si>
  <si>
    <t>P000000314</t>
  </si>
  <si>
    <t>PAT-US-BU, Local Quality Branchburg</t>
  </si>
  <si>
    <t>PL_E1_DEAB ProcOrd_DE_Darmstadt</t>
  </si>
  <si>
    <t>PL_E1_CNAD ProcOrd_MDM(Shanghai)Ltd_PMD_BD</t>
  </si>
  <si>
    <t>P000000333</t>
  </si>
  <si>
    <t>PL_ED_KRB4 ProcOrd_VRSM_KRB4</t>
  </si>
  <si>
    <t>PL_ED_USD4 ProcOrd_VRSM_USD4</t>
  </si>
  <si>
    <t>PL_ED_USD7 ProcOrd_VRSM_USD7</t>
  </si>
  <si>
    <t>PL_ED_USA2 ProcOrd_VRSM_USA2</t>
  </si>
  <si>
    <t>PL_ED_TWA3 ProcOrd_VRSM_TWA3</t>
  </si>
  <si>
    <t>PL_ED_TWA4 ProcOrd_VRSM_TWA4</t>
  </si>
  <si>
    <t>PL_ED_KRA6 ProcOrd_VRSM_KRA6</t>
  </si>
  <si>
    <t>PL_ED_KRC1 ProcOrd_VRSM_KRC1</t>
  </si>
  <si>
    <t>PL_ED_KRB6 ProcOrd_VRSM_KRB6</t>
  </si>
  <si>
    <t>PL_ED_USA3 ProcOrd_VRSM_USA3</t>
  </si>
  <si>
    <t>EL-SM Semiconductor Materials</t>
  </si>
  <si>
    <t>EL-SM-PS PAT SABF Commercial</t>
  </si>
  <si>
    <t>P000000709</t>
  </si>
  <si>
    <t>P000000710</t>
  </si>
  <si>
    <t>P000000711</t>
  </si>
  <si>
    <t>P000000722</t>
  </si>
  <si>
    <t>P000000723</t>
  </si>
  <si>
    <t>P000000729</t>
  </si>
  <si>
    <t>P000000730</t>
  </si>
  <si>
    <t>P000000746</t>
  </si>
  <si>
    <t>P000000747</t>
  </si>
  <si>
    <t>P000000576</t>
  </si>
  <si>
    <t>P000000491</t>
  </si>
  <si>
    <t>P000000492</t>
  </si>
  <si>
    <t>P000000493</t>
  </si>
  <si>
    <t>F3</t>
  </si>
  <si>
    <t>H000001112</t>
  </si>
  <si>
    <t>COMPLETED</t>
  </si>
  <si>
    <t>L000009682</t>
  </si>
  <si>
    <t>L000009688</t>
  </si>
  <si>
    <t>L000009690</t>
  </si>
  <si>
    <t>L000012027</t>
  </si>
  <si>
    <t>L000005048</t>
  </si>
  <si>
    <t>L000007778</t>
  </si>
  <si>
    <t>L000010191</t>
  </si>
  <si>
    <t>L000009404</t>
  </si>
  <si>
    <t>L000009551</t>
  </si>
  <si>
    <t>L000009552</t>
  </si>
  <si>
    <t>L000009423</t>
  </si>
  <si>
    <t>L000009429</t>
  </si>
  <si>
    <t>L000006419</t>
  </si>
  <si>
    <t>L000011469</t>
  </si>
  <si>
    <t>L000006407</t>
  </si>
  <si>
    <t>L000006413</t>
  </si>
  <si>
    <t>L000006421</t>
  </si>
  <si>
    <t>L000006423</t>
  </si>
  <si>
    <t>L000006424</t>
  </si>
  <si>
    <t>L000006430</t>
  </si>
  <si>
    <t>L000012708</t>
  </si>
  <si>
    <t>L000006433</t>
  </si>
  <si>
    <t>L000006439</t>
  </si>
  <si>
    <t>L000011452</t>
  </si>
  <si>
    <t>L000013152</t>
  </si>
  <si>
    <t>G000000647</t>
  </si>
  <si>
    <t>G000000625</t>
  </si>
  <si>
    <t>Mario Simon Dehmel</t>
  </si>
  <si>
    <t>H000001068</t>
  </si>
  <si>
    <t>H000000720</t>
  </si>
  <si>
    <t>H000004164</t>
  </si>
  <si>
    <t xml:space="preserve">H000000736 </t>
  </si>
  <si>
    <t>IT06020000</t>
  </si>
  <si>
    <t>G000000247</t>
  </si>
  <si>
    <t>G000000685</t>
  </si>
  <si>
    <t>IT06900100</t>
  </si>
  <si>
    <t>G000000751</t>
  </si>
  <si>
    <t>DUPLICATED</t>
  </si>
  <si>
    <t>G000000954</t>
  </si>
  <si>
    <t>L000010140</t>
  </si>
  <si>
    <t>G000000952</t>
  </si>
  <si>
    <t>L000009414</t>
  </si>
  <si>
    <t>L000011139</t>
  </si>
  <si>
    <t>L000011321</t>
  </si>
  <si>
    <t>L000011140</t>
  </si>
  <si>
    <t>L000011141</t>
  </si>
  <si>
    <t>L000011142</t>
  </si>
  <si>
    <t>L000011143</t>
  </si>
  <si>
    <t>L000012254</t>
  </si>
  <si>
    <t>L000012255</t>
  </si>
  <si>
    <t>L000012256</t>
  </si>
  <si>
    <t>L000012257</t>
  </si>
  <si>
    <t>L000012258</t>
  </si>
  <si>
    <t>L000012259</t>
  </si>
  <si>
    <t>L000012906</t>
  </si>
  <si>
    <t>L000012907</t>
  </si>
  <si>
    <t>L000011338</t>
  </si>
  <si>
    <t>L000011340</t>
  </si>
  <si>
    <t>L000011342</t>
  </si>
  <si>
    <t>L000011343</t>
  </si>
  <si>
    <t>L000013002</t>
  </si>
  <si>
    <t>L000013104</t>
  </si>
  <si>
    <t>L000013003</t>
  </si>
  <si>
    <t>L000013099</t>
  </si>
  <si>
    <t>L000013100</t>
  </si>
  <si>
    <t>L000013004</t>
  </si>
  <si>
    <t>L000012912</t>
  </si>
  <si>
    <t>L000013118</t>
  </si>
  <si>
    <t>L000013119</t>
  </si>
  <si>
    <t>L000007704</t>
  </si>
  <si>
    <t>L000011742</t>
  </si>
  <si>
    <t>L000009222</t>
  </si>
  <si>
    <t>L000005382</t>
  </si>
  <si>
    <t>L000005822</t>
  </si>
  <si>
    <t>L000005049</t>
  </si>
  <si>
    <t>L000013503</t>
  </si>
  <si>
    <t>L000012056</t>
  </si>
  <si>
    <t>L000005052</t>
  </si>
  <si>
    <t>L000012057</t>
  </si>
  <si>
    <t>L000012058</t>
  </si>
  <si>
    <t>L000012059</t>
  </si>
  <si>
    <t>L000012060</t>
  </si>
  <si>
    <t>L000012061</t>
  </si>
  <si>
    <t>L000005059</t>
  </si>
  <si>
    <t>L000005061</t>
  </si>
  <si>
    <t>L000012054</t>
  </si>
  <si>
    <t>L000012055</t>
  </si>
  <si>
    <t>L000012508</t>
  </si>
  <si>
    <t>L000012509</t>
  </si>
  <si>
    <t>L000005062</t>
  </si>
  <si>
    <t>L000012502</t>
  </si>
  <si>
    <t>L000012064</t>
  </si>
  <si>
    <t>L000005056</t>
  </si>
  <si>
    <t>L000012065</t>
  </si>
  <si>
    <t>L000012067</t>
  </si>
  <si>
    <t>L000012068</t>
  </si>
  <si>
    <t>L000012069</t>
  </si>
  <si>
    <t>L000012071</t>
  </si>
  <si>
    <t>L000012073</t>
  </si>
  <si>
    <t>L000012075</t>
  </si>
  <si>
    <t>L000012076</t>
  </si>
  <si>
    <t>L000012077</t>
  </si>
  <si>
    <t>L000012080</t>
  </si>
  <si>
    <t>L000012726</t>
  </si>
  <si>
    <t>L000012081</t>
  </si>
  <si>
    <t>L000005063</t>
  </si>
  <si>
    <t>L000012052</t>
  </si>
  <si>
    <t>L000012082</t>
  </si>
  <si>
    <t>L000012083</t>
  </si>
  <si>
    <t>L000012085</t>
  </si>
  <si>
    <t>L000012086</t>
  </si>
  <si>
    <t>L000012087</t>
  </si>
  <si>
    <t>L000012501</t>
  </si>
  <si>
    <t>L000012504</t>
  </si>
  <si>
    <t>L000012088</t>
  </si>
  <si>
    <t>L000005054</t>
  </si>
  <si>
    <t>L000005058</t>
  </si>
  <si>
    <t>L000012500</t>
  </si>
  <si>
    <t>L000012078</t>
  </si>
  <si>
    <t>L000012090</t>
  </si>
  <si>
    <t>L000012510</t>
  </si>
  <si>
    <t>L000012511</t>
  </si>
  <si>
    <t>L000012521</t>
  </si>
  <si>
    <t>L000012338</t>
  </si>
  <si>
    <t>L000013035</t>
  </si>
  <si>
    <t>L000013036</t>
  </si>
  <si>
    <t>L000013037</t>
  </si>
  <si>
    <t>L000013038</t>
  </si>
  <si>
    <t>L000013039</t>
  </si>
  <si>
    <t>L000013040</t>
  </si>
  <si>
    <t>L000013041</t>
  </si>
  <si>
    <t>L000013205</t>
  </si>
  <si>
    <t>L000007780</t>
  </si>
  <si>
    <t>L000007782</t>
  </si>
  <si>
    <t>L000007784</t>
  </si>
  <si>
    <t>L000011903</t>
  </si>
  <si>
    <t>L000011904</t>
  </si>
  <si>
    <t>L000012771</t>
  </si>
  <si>
    <t>L000013206</t>
  </si>
  <si>
    <t>L000007779</t>
  </si>
  <si>
    <t>L000007781</t>
  </si>
  <si>
    <t>L000007785</t>
  </si>
  <si>
    <t>L000011902</t>
  </si>
  <si>
    <t>L000013207</t>
  </si>
  <si>
    <t>L000007787</t>
  </si>
  <si>
    <t>L000013208</t>
  </si>
  <si>
    <t>L000007786</t>
  </si>
  <si>
    <t>L000011901</t>
  </si>
  <si>
    <t>L000005249</t>
  </si>
  <si>
    <t>L000013504</t>
  </si>
  <si>
    <t>L000005250</t>
  </si>
  <si>
    <t>L000005251</t>
  </si>
  <si>
    <t>L000005252</t>
  </si>
  <si>
    <t>L000005253</t>
  </si>
  <si>
    <t>L000005254</t>
  </si>
  <si>
    <t>L000005255</t>
  </si>
  <si>
    <t>L000007806</t>
  </si>
  <si>
    <t>L000007807</t>
  </si>
  <si>
    <t>L000007808</t>
  </si>
  <si>
    <t>L000007809</t>
  </si>
  <si>
    <t>L000008470</t>
  </si>
  <si>
    <t>L000011881</t>
  </si>
  <si>
    <t>L000009657</t>
  </si>
  <si>
    <t>L000009659</t>
  </si>
  <si>
    <t>L000009667</t>
  </si>
  <si>
    <t>L000010192</t>
  </si>
  <si>
    <t>L000010206</t>
  </si>
  <si>
    <t>L000010207</t>
  </si>
  <si>
    <t>L000010208</t>
  </si>
  <si>
    <t>L000010209</t>
  </si>
  <si>
    <t>L000010210</t>
  </si>
  <si>
    <t>L000010211</t>
  </si>
  <si>
    <t>L000012166</t>
  </si>
  <si>
    <t>L000009420</t>
  </si>
  <si>
    <t>DFLTPGCOH_002062</t>
  </si>
  <si>
    <t>INCORRECT</t>
  </si>
  <si>
    <t>L000009421</t>
  </si>
  <si>
    <t>L000009430</t>
  </si>
  <si>
    <t>L000012112</t>
  </si>
  <si>
    <t>L000009422</t>
  </si>
  <si>
    <t>L000006525</t>
  </si>
  <si>
    <t>L000013556</t>
  </si>
  <si>
    <t>L000006528</t>
  </si>
  <si>
    <t>L000006532</t>
  </si>
  <si>
    <t>L000006530</t>
  </si>
  <si>
    <t>L000006531</t>
  </si>
  <si>
    <t>L000013558</t>
  </si>
  <si>
    <t>L000012713</t>
  </si>
  <si>
    <t>L000006519</t>
  </si>
  <si>
    <t>L000006557</t>
  </si>
  <si>
    <t>L000013519</t>
  </si>
  <si>
    <t>L000006558</t>
  </si>
  <si>
    <t>L000013562</t>
  </si>
  <si>
    <t>L000006562</t>
  </si>
  <si>
    <t>L000006568</t>
  </si>
  <si>
    <t>L000013555</t>
  </si>
  <si>
    <t>L000006586</t>
  </si>
  <si>
    <t>L000013554</t>
  </si>
  <si>
    <t>L000006593</t>
  </si>
  <si>
    <t>L000013553</t>
  </si>
  <si>
    <t>L000012344</t>
  </si>
  <si>
    <t>L000013559</t>
  </si>
  <si>
    <t>L000006622</t>
  </si>
  <si>
    <t>L000013509</t>
  </si>
  <si>
    <t>L000006641</t>
  </si>
  <si>
    <t>L000006661</t>
  </si>
  <si>
    <t>L000013510</t>
  </si>
  <si>
    <t>L000012349</t>
  </si>
  <si>
    <t>L000013514</t>
  </si>
  <si>
    <t>L000012350</t>
  </si>
  <si>
    <t>L000013557</t>
  </si>
  <si>
    <t>L000012351</t>
  </si>
  <si>
    <t>L000012352</t>
  </si>
  <si>
    <t>L000012353</t>
  </si>
  <si>
    <t>L000013515</t>
  </si>
  <si>
    <t>L000012318</t>
  </si>
  <si>
    <t>L000011719</t>
  </si>
  <si>
    <t>L000012361</t>
  </si>
  <si>
    <t>L000012362</t>
  </si>
  <si>
    <t>L000012364</t>
  </si>
  <si>
    <t>L000011589</t>
  </si>
  <si>
    <t>L000011696</t>
  </si>
  <si>
    <t>L000006870</t>
  </si>
  <si>
    <t>L000011663</t>
  </si>
  <si>
    <t>L000011615</t>
  </si>
  <si>
    <t>L000013517</t>
  </si>
  <si>
    <t>L000011656</t>
  </si>
  <si>
    <t>L000013290</t>
  </si>
  <si>
    <t>L000012575</t>
  </si>
  <si>
    <t>L000011687</t>
  </si>
  <si>
    <t>L000007285</t>
  </si>
  <si>
    <t>L000007286</t>
  </si>
  <si>
    <t>L000007298</t>
  </si>
  <si>
    <t>L000013526</t>
  </si>
  <si>
    <t>L000007299</t>
  </si>
  <si>
    <t>L000007300</t>
  </si>
  <si>
    <t>L000007301</t>
  </si>
  <si>
    <t>L000007302</t>
  </si>
  <si>
    <t>L000007303</t>
  </si>
  <si>
    <t>L000007511</t>
  </si>
  <si>
    <t>L000007512</t>
  </si>
  <si>
    <t>L000007513</t>
  </si>
  <si>
    <t>L000007514</t>
  </si>
  <si>
    <t>L000013511</t>
  </si>
  <si>
    <t>L000007527</t>
  </si>
  <si>
    <t>L000007531</t>
  </si>
  <si>
    <t>L000007539</t>
  </si>
  <si>
    <t>L000007595</t>
  </si>
  <si>
    <t>L000011706</t>
  </si>
  <si>
    <t>L000011708</t>
  </si>
  <si>
    <t>L000011709</t>
  </si>
  <si>
    <t>L000011710</t>
  </si>
  <si>
    <t>L000011712</t>
  </si>
  <si>
    <t>L000011716</t>
  </si>
  <si>
    <t>L000012592</t>
  </si>
  <si>
    <t>L000012593</t>
  </si>
  <si>
    <t>L000012596</t>
  </si>
  <si>
    <t>L000007291</t>
  </si>
  <si>
    <t>L000012331</t>
  </si>
  <si>
    <t>L000012328</t>
  </si>
  <si>
    <t>L000013129</t>
  </si>
  <si>
    <t>L000006299</t>
  </si>
  <si>
    <t>L000011572</t>
  </si>
  <si>
    <t>L000006307</t>
  </si>
  <si>
    <t>L000011664</t>
  </si>
  <si>
    <t>L000006308</t>
  </si>
  <si>
    <t>L000011670</t>
  </si>
  <si>
    <t>L000006309</t>
  </si>
  <si>
    <t>L000006310</t>
  </si>
  <si>
    <t>L000006311</t>
  </si>
  <si>
    <t>L000011669</t>
  </si>
  <si>
    <t>L000006312</t>
  </si>
  <si>
    <t>L000013564</t>
  </si>
  <si>
    <t>L000006313</t>
  </si>
  <si>
    <t>L000006314</t>
  </si>
  <si>
    <t>L000006315</t>
  </si>
  <si>
    <t>L000006316</t>
  </si>
  <si>
    <t>L000006317</t>
  </si>
  <si>
    <t>L000006353</t>
  </si>
  <si>
    <t>L000011682</t>
  </si>
  <si>
    <t>L000006354</t>
  </si>
  <si>
    <t>L000006355</t>
  </si>
  <si>
    <t>L000006356</t>
  </si>
  <si>
    <t>L000006502</t>
  </si>
  <si>
    <t>L000006503</t>
  </si>
  <si>
    <t>L000011457</t>
  </si>
  <si>
    <t>L000011460</t>
  </si>
  <si>
    <t>L000011461</t>
  </si>
  <si>
    <t>L000012533</t>
  </si>
  <si>
    <t>L000012534</t>
  </si>
  <si>
    <t>L000012631</t>
  </si>
  <si>
    <t>L000006338</t>
  </si>
  <si>
    <t>L000011594</t>
  </si>
  <si>
    <t>L000006318</t>
  </si>
  <si>
    <t>L000012327</t>
  </si>
  <si>
    <t>L000006336</t>
  </si>
  <si>
    <t>L000006337</t>
  </si>
  <si>
    <t>L000012759</t>
  </si>
  <si>
    <t>L000006339</t>
  </si>
  <si>
    <t>L000006340</t>
  </si>
  <si>
    <t>L000006341</t>
  </si>
  <si>
    <t>L000006342</t>
  </si>
  <si>
    <t>L000006343</t>
  </si>
  <si>
    <t>L000012325</t>
  </si>
  <si>
    <t>L000006358</t>
  </si>
  <si>
    <t>L000006386</t>
  </si>
  <si>
    <t>L000011638</t>
  </si>
  <si>
    <t>L000012718</t>
  </si>
  <si>
    <t>L000013221</t>
  </si>
  <si>
    <t>L000013585</t>
  </si>
  <si>
    <t>L000006296</t>
  </si>
  <si>
    <t>L000011673</t>
  </si>
  <si>
    <t>L000006297</t>
  </si>
  <si>
    <t>L000013139</t>
  </si>
  <si>
    <t>L000013143</t>
  </si>
  <si>
    <t>L000006404</t>
  </si>
  <si>
    <t>L000006405</t>
  </si>
  <si>
    <t>L000006406</t>
  </si>
  <si>
    <t>L000013146</t>
  </si>
  <si>
    <t>L000013154</t>
  </si>
  <si>
    <t>L000006493</t>
  </si>
  <si>
    <t>L000011442</t>
  </si>
  <si>
    <t>L000006504</t>
  </si>
  <si>
    <t>L000013563</t>
  </si>
  <si>
    <t>L000013179</t>
  </si>
  <si>
    <t>L000013224</t>
  </si>
  <si>
    <t>L000013225</t>
  </si>
  <si>
    <t>L000012373</t>
  </si>
  <si>
    <t>L000006393</t>
  </si>
  <si>
    <t>L000006408</t>
  </si>
  <si>
    <t>L000013596</t>
  </si>
  <si>
    <t>L000006409</t>
  </si>
  <si>
    <t>L000013597</t>
  </si>
  <si>
    <t>L000006410</t>
  </si>
  <si>
    <t>L000013598</t>
  </si>
  <si>
    <t>L000006411</t>
  </si>
  <si>
    <t>L000012536</t>
  </si>
  <si>
    <t>L000012537</t>
  </si>
  <si>
    <t>L000012538</t>
  </si>
  <si>
    <t>L000012539</t>
  </si>
  <si>
    <t>L000012746</t>
  </si>
  <si>
    <t>L000011470</t>
  </si>
  <si>
    <t>L000012626</t>
  </si>
  <si>
    <t>L000012371</t>
  </si>
  <si>
    <t>L000013595</t>
  </si>
  <si>
    <t>G000001107</t>
  </si>
  <si>
    <t>REF Corporate Exceptionals</t>
  </si>
  <si>
    <t>G000000555</t>
  </si>
  <si>
    <t>G000001103</t>
  </si>
  <si>
    <t>GMA LE - Asia</t>
  </si>
  <si>
    <t>G000000584</t>
  </si>
  <si>
    <t>G000001104</t>
  </si>
  <si>
    <t>GME LE - Europe</t>
  </si>
  <si>
    <t>G000001105</t>
  </si>
  <si>
    <t>GML LE - Latam</t>
  </si>
  <si>
    <t>G000001106</t>
  </si>
  <si>
    <t>GDG ST - Smart Manufacturing</t>
  </si>
  <si>
    <t>G000000596</t>
  </si>
  <si>
    <t>G000001108</t>
  </si>
  <si>
    <t>GDH ST - Group Digital Innovation</t>
  </si>
  <si>
    <t>G000001101</t>
  </si>
  <si>
    <t>Bluehouse AIDD</t>
  </si>
  <si>
    <t>G000000597</t>
  </si>
  <si>
    <t>G000001102</t>
  </si>
  <si>
    <t>Bluehouse mRNA</t>
  </si>
  <si>
    <t>G000000107</t>
  </si>
  <si>
    <t>GX1 SQ - Group SQ Trade Compliance Global</t>
  </si>
  <si>
    <t>G000000561</t>
  </si>
  <si>
    <t>G6U HR - CoE Culture and DE&amp;I</t>
  </si>
  <si>
    <t>G000000121</t>
  </si>
  <si>
    <t>GY2 HR - Head Office</t>
  </si>
  <si>
    <t>G000000119</t>
  </si>
  <si>
    <t>GN7 HR - EF &amp; GER</t>
  </si>
  <si>
    <t>G000000122</t>
  </si>
  <si>
    <t>G10 HR - CoE People Recognition &amp; Reward</t>
  </si>
  <si>
    <t>G000000123</t>
  </si>
  <si>
    <t>G11 HR - CoE People &amp; Org. Growth</t>
  </si>
  <si>
    <t>G000000676</t>
  </si>
  <si>
    <t>GNA HR - CoE People Insights &amp; Effect.</t>
  </si>
  <si>
    <t>G000000560</t>
  </si>
  <si>
    <t>G6T HR - Market</t>
  </si>
  <si>
    <t>G000000001</t>
  </si>
  <si>
    <t>E21 EF - Enabling Functions</t>
  </si>
  <si>
    <t>G000000000</t>
  </si>
  <si>
    <t>EF and P&amp;L CO</t>
  </si>
  <si>
    <t>G000000055</t>
  </si>
  <si>
    <t>G1G PO - Sourcing Indirect</t>
  </si>
  <si>
    <t>G000001109</t>
  </si>
  <si>
    <t>SM-EO Office and Lab</t>
  </si>
  <si>
    <t>G000001110</t>
  </si>
  <si>
    <t>SM-EC Construction &amp; Site Development</t>
  </si>
  <si>
    <t>SM-EO KGaA Office and Lab</t>
  </si>
  <si>
    <t>SM-EC KGaA Construction &amp; Site Development</t>
  </si>
  <si>
    <t>SM-EC MRE Construction &amp; Site Development</t>
  </si>
  <si>
    <t>G000001111</t>
  </si>
  <si>
    <t>Service Unit</t>
  </si>
  <si>
    <t>G000000184</t>
  </si>
  <si>
    <t xml:space="preserve">G1G PO - Corporate Sourcing </t>
  </si>
  <si>
    <t>G000000576</t>
  </si>
  <si>
    <t>G000001112</t>
  </si>
  <si>
    <t>SU Anton</t>
  </si>
  <si>
    <t>G000001113</t>
  </si>
  <si>
    <t>SU Berta</t>
  </si>
  <si>
    <t>G000001114</t>
  </si>
  <si>
    <t>SU Caesar</t>
  </si>
  <si>
    <t>G000001115</t>
  </si>
  <si>
    <t>SU Dora</t>
  </si>
  <si>
    <t>IT06000000</t>
  </si>
  <si>
    <t>IT Information Technology</t>
  </si>
  <si>
    <t>G000000244</t>
  </si>
  <si>
    <t>IT06900103</t>
  </si>
  <si>
    <t>IT-YLS B2B Catalog</t>
  </si>
  <si>
    <t>G000000350</t>
  </si>
  <si>
    <t>IT06110460</t>
  </si>
  <si>
    <t>IT-VAG Versum Business &amp; Advanced Analyt</t>
  </si>
  <si>
    <t>IT06900000</t>
  </si>
  <si>
    <t>IT-Y IT-Decentral_I</t>
  </si>
  <si>
    <t>G000000750</t>
  </si>
  <si>
    <t>IT06030300</t>
  </si>
  <si>
    <t>IT-HE Transition Europe</t>
  </si>
  <si>
    <t>H000004181</t>
  </si>
  <si>
    <t>IT06030800</t>
  </si>
  <si>
    <t>IT-HY Healthcare Decentral</t>
  </si>
  <si>
    <t>H000004186</t>
  </si>
  <si>
    <t>IT06030900</t>
  </si>
  <si>
    <t>IT-HG Non Healthcare G&amp;A</t>
  </si>
  <si>
    <t>H000004187</t>
  </si>
  <si>
    <t>IT06031000</t>
  </si>
  <si>
    <t>IT-HZ Strategy &amp; Operations (Excluding Manufacturing)</t>
  </si>
  <si>
    <t>H000004188</t>
  </si>
  <si>
    <t>IT06030200</t>
  </si>
  <si>
    <t>IT-HX RODA</t>
  </si>
  <si>
    <t>H000004190</t>
  </si>
  <si>
    <t>SM-EO Building Site Darmstadt</t>
  </si>
  <si>
    <t>SM-EC Grundstuecke Merck KGaA</t>
  </si>
  <si>
    <t>SM-EC Freiflaechen DA</t>
  </si>
  <si>
    <t>SM-EC Freiflaechen DA Spitze</t>
  </si>
  <si>
    <t>SM-EC FS Freiflaechen DA</t>
  </si>
  <si>
    <t>SM-EC Building Gernsheim</t>
  </si>
  <si>
    <t>SM-EC Freiflaechen GHM</t>
  </si>
  <si>
    <t>SM-EO Building DA Spitze</t>
  </si>
  <si>
    <t>SM-EP Building DA Spitze</t>
  </si>
  <si>
    <t>SM-EO Moebel</t>
  </si>
  <si>
    <t>SM-EC KGaA Construction &amp; Site Developme</t>
  </si>
  <si>
    <t>SM-EC MRE Construction &amp; Site Developmen</t>
  </si>
  <si>
    <t>Medical - Global R&amp;D</t>
  </si>
  <si>
    <t>H000004317</t>
  </si>
  <si>
    <t>LA Laos</t>
  </si>
  <si>
    <t>H000004312</t>
  </si>
  <si>
    <t>FJ - Commercial BU</t>
  </si>
  <si>
    <t>H000004313</t>
  </si>
  <si>
    <t>FJ - Oncology</t>
  </si>
  <si>
    <t>H000004314</t>
  </si>
  <si>
    <t>FJ - Fertility</t>
  </si>
  <si>
    <t>H000004315</t>
  </si>
  <si>
    <t>FJ - CM&amp;E</t>
  </si>
  <si>
    <t>H000004316</t>
  </si>
  <si>
    <t>FJ - N&amp;I</t>
  </si>
  <si>
    <t>H000004318</t>
  </si>
  <si>
    <t>LA - Commercial BU</t>
  </si>
  <si>
    <t>H000004319</t>
  </si>
  <si>
    <t>LA - Oncology</t>
  </si>
  <si>
    <t>H000004320</t>
  </si>
  <si>
    <t>LA - Fertility</t>
  </si>
  <si>
    <t>H000004321</t>
  </si>
  <si>
    <t>LA - CM&amp;E</t>
  </si>
  <si>
    <t>H000004322</t>
  </si>
  <si>
    <t>LA - N&amp;I</t>
  </si>
  <si>
    <t>SM-S Environment, Health &amp; Safety</t>
  </si>
  <si>
    <t>Marcus Morowski</t>
  </si>
  <si>
    <t>SM-F FLUXUM</t>
  </si>
  <si>
    <t>SM-G Gernheim Assets</t>
  </si>
  <si>
    <t>SM-HC Commucat. Relations</t>
  </si>
  <si>
    <t>SM-HC costs Sponsoring</t>
  </si>
  <si>
    <t>H000004323</t>
  </si>
  <si>
    <t>US - Market Insights &amp; Forecasting</t>
  </si>
  <si>
    <t>H000004328</t>
  </si>
  <si>
    <t>US - General Other</t>
  </si>
  <si>
    <t>H000004333</t>
  </si>
  <si>
    <t>US - IT/BT</t>
  </si>
  <si>
    <t>H000003895</t>
  </si>
  <si>
    <t>H000004334</t>
  </si>
  <si>
    <t>US - OEI</t>
  </si>
  <si>
    <t>H000003899</t>
  </si>
  <si>
    <t>H000004335</t>
  </si>
  <si>
    <t>US - US - Government Pricing</t>
  </si>
  <si>
    <t>H000004336</t>
  </si>
  <si>
    <t>H000004326</t>
  </si>
  <si>
    <t>US - GSI - Market Insights &amp; Forecasting</t>
  </si>
  <si>
    <t>H000004327</t>
  </si>
  <si>
    <t>H000004324</t>
  </si>
  <si>
    <t>H000004325</t>
  </si>
  <si>
    <t>H000004329</t>
  </si>
  <si>
    <t>H000004330</t>
  </si>
  <si>
    <t>H000004331</t>
  </si>
  <si>
    <t>H000004332</t>
  </si>
  <si>
    <t>H000003849</t>
  </si>
  <si>
    <t>US - Operational Effectiveness &amp; Innovation</t>
  </si>
  <si>
    <t>H000003851</t>
  </si>
  <si>
    <t>US - OE&amp;I - Field Force Effectiveness</t>
  </si>
  <si>
    <t>H000003852</t>
  </si>
  <si>
    <t>US - OE&amp;I - Field Strategy &amp; Planning</t>
  </si>
  <si>
    <t>H000003853</t>
  </si>
  <si>
    <t>US - OE&amp;I - Data Strategy &amp; Systems</t>
  </si>
  <si>
    <t>H000003854</t>
  </si>
  <si>
    <t>US - OE&amp;I - Data Driven Innovation</t>
  </si>
  <si>
    <t>H000003855</t>
  </si>
  <si>
    <t>US - OE&amp;I - Operational Effectiveness &amp; Innovation</t>
  </si>
  <si>
    <t>H000003857</t>
  </si>
  <si>
    <t>H000003858</t>
  </si>
  <si>
    <t>H000003859</t>
  </si>
  <si>
    <t>H000003860</t>
  </si>
  <si>
    <t>H000003861</t>
  </si>
  <si>
    <t>H000003652</t>
  </si>
  <si>
    <t>H000003664</t>
  </si>
  <si>
    <t>H000003665</t>
  </si>
  <si>
    <t>H000003680</t>
  </si>
  <si>
    <t>H000003681</t>
  </si>
  <si>
    <t>H000003682</t>
  </si>
  <si>
    <t>H000003703</t>
  </si>
  <si>
    <t>H000003704</t>
  </si>
  <si>
    <t>H000003705</t>
  </si>
  <si>
    <t>H000003724</t>
  </si>
  <si>
    <t>H000003725</t>
  </si>
  <si>
    <t>H000003726</t>
  </si>
  <si>
    <t>H000003862</t>
  </si>
  <si>
    <t>US - COO - Chief Operating Office</t>
  </si>
  <si>
    <t>H000003864</t>
  </si>
  <si>
    <t>H000003866</t>
  </si>
  <si>
    <t>G000001118</t>
  </si>
  <si>
    <t>DD Merck Data &amp; Digital</t>
  </si>
  <si>
    <t>G000001116</t>
  </si>
  <si>
    <t xml:space="preserve">IT-AF Group &amp; Local Applications </t>
  </si>
  <si>
    <t>G000001117</t>
  </si>
  <si>
    <t>IT-AI Merck Information Technology Centre India</t>
  </si>
  <si>
    <t>IT06021600</t>
  </si>
  <si>
    <t>IT06021700</t>
  </si>
  <si>
    <t>G000001119</t>
  </si>
  <si>
    <t>DD-A Merck Data &amp; AI Organization</t>
  </si>
  <si>
    <t>IT07000000</t>
  </si>
  <si>
    <t>G000001120</t>
  </si>
  <si>
    <t>DD-AO Merck Data Office</t>
  </si>
  <si>
    <t>G000001121</t>
  </si>
  <si>
    <t>DD-AX Data Management &amp; Analytics</t>
  </si>
  <si>
    <t>IT07010000</t>
  </si>
  <si>
    <t>IT07010100</t>
  </si>
  <si>
    <t>IT07010200</t>
  </si>
  <si>
    <t>G000000258</t>
  </si>
  <si>
    <t>IT-AA Corporate ERP Apps</t>
  </si>
  <si>
    <t>G000000876</t>
  </si>
  <si>
    <t>LH Building LS Site Operations DA</t>
  </si>
  <si>
    <t>G000000953</t>
  </si>
  <si>
    <t>G000000877</t>
  </si>
  <si>
    <t>LH Building LS Site Warehouse DA</t>
  </si>
  <si>
    <t>H000004337</t>
  </si>
  <si>
    <t>Sales Promotion Xevinapant</t>
  </si>
  <si>
    <t>H000000981</t>
  </si>
  <si>
    <t>Roland Earvin Combalicer</t>
  </si>
  <si>
    <t>H000004338</t>
  </si>
  <si>
    <t>Medical non R&amp;D Xevinapant</t>
  </si>
  <si>
    <t>US - OE&amp;I - Op. Effectiveness &amp; Innov.</t>
  </si>
  <si>
    <t>G000001122</t>
  </si>
  <si>
    <t>SM-EO Personalkosten Tech. Serv. Center</t>
  </si>
  <si>
    <t>G000000519</t>
  </si>
  <si>
    <t>G000000520</t>
  </si>
  <si>
    <t>SM-EO Personalkosten FM</t>
  </si>
  <si>
    <t>G000000951</t>
  </si>
  <si>
    <t>SC Gebäude Electronics DA</t>
  </si>
  <si>
    <t>FS Labs Electronics</t>
  </si>
  <si>
    <t>Digital Chemistry</t>
  </si>
  <si>
    <t>L000007757</t>
  </si>
  <si>
    <t>PM Ops Chemistry</t>
  </si>
  <si>
    <t>L000007796</t>
  </si>
  <si>
    <t>L000013505</t>
  </si>
  <si>
    <t>South Korea GPO</t>
  </si>
  <si>
    <t>L000009326</t>
  </si>
  <si>
    <t>L000013500</t>
  </si>
  <si>
    <t>ACE Bioinformatics</t>
  </si>
  <si>
    <t>L000013502</t>
  </si>
  <si>
    <t>Schnelldorf DF Allocations Out-G</t>
  </si>
  <si>
    <t>L000012482</t>
  </si>
  <si>
    <t>L000013506</t>
  </si>
  <si>
    <t>Darmstadt Site management</t>
  </si>
  <si>
    <t>L000013507</t>
  </si>
  <si>
    <t>Projekt management (GPO)</t>
  </si>
  <si>
    <t>L000013501</t>
  </si>
  <si>
    <t>DICE Bioinformatics</t>
  </si>
  <si>
    <t>L000013508</t>
  </si>
  <si>
    <t>Production system</t>
  </si>
  <si>
    <t>L000013194</t>
  </si>
  <si>
    <t>NL Global I/C</t>
  </si>
  <si>
    <t>L000013321</t>
  </si>
  <si>
    <t>Forecast Adjustments</t>
  </si>
  <si>
    <t>LS  Strategy &amp; Transformation</t>
  </si>
  <si>
    <t>L000009676</t>
  </si>
  <si>
    <t>57503 - Haverhill Freight-In-G</t>
  </si>
  <si>
    <t>L000009684</t>
  </si>
  <si>
    <t>57220 Haverhill DNA Production-G</t>
  </si>
  <si>
    <t>L000009685</t>
  </si>
  <si>
    <t>57218 - Haverhill MODS Production-G</t>
  </si>
  <si>
    <t>L000009686</t>
  </si>
  <si>
    <t>57221 Haverhill RNA Production-G</t>
  </si>
  <si>
    <t>L000009691</t>
  </si>
  <si>
    <t>1756TRHZ90 Haverhill - Ops Admin-G</t>
  </si>
  <si>
    <t>L000013122</t>
  </si>
  <si>
    <t>Business Planning &amp; Implementation</t>
  </si>
  <si>
    <t>L000009418</t>
  </si>
  <si>
    <t>Alloc-out Warehousing/Distribution</t>
  </si>
  <si>
    <t>Buchs Operations Conversion Cost</t>
  </si>
  <si>
    <t>L000013565</t>
  </si>
  <si>
    <t>Manufacturing / Operations</t>
  </si>
  <si>
    <t>L000013527</t>
  </si>
  <si>
    <t>L000013566</t>
  </si>
  <si>
    <t>Business Process &amp; Compl, Data &amp; System</t>
  </si>
  <si>
    <t>L000013567</t>
  </si>
  <si>
    <t>Business Integration, R&amp;D, Mkg and Com</t>
  </si>
  <si>
    <t>L000013568</t>
  </si>
  <si>
    <t>Bus. Int. Coordinator HR, Change Mgmt.</t>
  </si>
  <si>
    <t>L000013539</t>
  </si>
  <si>
    <t>Multi-model Experience</t>
  </si>
  <si>
    <t>L000013531</t>
  </si>
  <si>
    <t>L000013540</t>
  </si>
  <si>
    <t>Webinars, Events &amp; Marketing Tools</t>
  </si>
  <si>
    <t>L000013541</t>
  </si>
  <si>
    <t>Social Advocacy &amp; Listening Sales Tools</t>
  </si>
  <si>
    <t>L000013542</t>
  </si>
  <si>
    <t>Digital Innovation Franchises &amp; R&amp;D</t>
  </si>
  <si>
    <t>L000013550</t>
  </si>
  <si>
    <t>IT Portfolio Mgmt</t>
  </si>
  <si>
    <t>L000013533</t>
  </si>
  <si>
    <t>L000013551</t>
  </si>
  <si>
    <t>D&amp;eC Portfolio Mgmt</t>
  </si>
  <si>
    <t>L000013552</t>
  </si>
  <si>
    <t>Business Applications</t>
  </si>
  <si>
    <t>L000013547</t>
  </si>
  <si>
    <t>Web Content Navigation &amp; Experience</t>
  </si>
  <si>
    <t>L000013532</t>
  </si>
  <si>
    <t>L000013548</t>
  </si>
  <si>
    <t>On-line Sales Dev</t>
  </si>
  <si>
    <t>L000013549</t>
  </si>
  <si>
    <t>Web Self-Service Processes &amp; Function</t>
  </si>
  <si>
    <t>L000013534</t>
  </si>
  <si>
    <t>PS Global Key Users (L2Q)</t>
  </si>
  <si>
    <t>L000013530</t>
  </si>
  <si>
    <t>L000013535</t>
  </si>
  <si>
    <t>PS Global Key Users (P2Q) - Projects</t>
  </si>
  <si>
    <t>L000013536</t>
  </si>
  <si>
    <t>LS Site Next Lead (Austria)</t>
  </si>
  <si>
    <t>L000013537</t>
  </si>
  <si>
    <t>LS Site Next Lead (North America)</t>
  </si>
  <si>
    <t>L000013538</t>
  </si>
  <si>
    <t>LS Global Key User (SD - O2C)</t>
  </si>
  <si>
    <t>L000013521</t>
  </si>
  <si>
    <t>GSA PM / LIP</t>
  </si>
  <si>
    <t>L000013520</t>
  </si>
  <si>
    <t>L000013522</t>
  </si>
  <si>
    <t>Differentiated Offering Enablement</t>
  </si>
  <si>
    <t>PS Business Franchises</t>
  </si>
  <si>
    <t>L000006294</t>
  </si>
  <si>
    <t>L000013529</t>
  </si>
  <si>
    <t>PS Digital Experience</t>
  </si>
  <si>
    <t xml:space="preserve">Downstream R&amp;D </t>
  </si>
  <si>
    <t>L000006602</t>
  </si>
  <si>
    <t>Upstream &amp; Process Materials R&amp;D</t>
  </si>
  <si>
    <t>Focused Modalities Applications</t>
  </si>
  <si>
    <t>L000013512</t>
  </si>
  <si>
    <t>R&amp;D Planning &amp; Implementation</t>
  </si>
  <si>
    <t>L000013513</t>
  </si>
  <si>
    <t>PS Business Planning &amp; Implementation</t>
  </si>
  <si>
    <t>L000007433</t>
  </si>
  <si>
    <t>Commercial EMEA Management</t>
  </si>
  <si>
    <t>PFM China</t>
  </si>
  <si>
    <t>Integrated Solutions Offering</t>
  </si>
  <si>
    <t>L000011690</t>
  </si>
  <si>
    <t>L000013523</t>
  </si>
  <si>
    <t>Government Affairs Liaison</t>
  </si>
  <si>
    <t>Commercial Excellence GSA</t>
  </si>
  <si>
    <t>L000013518</t>
  </si>
  <si>
    <t>IBM Process Lead</t>
  </si>
  <si>
    <t>Business integration</t>
  </si>
  <si>
    <t>L000013528</t>
  </si>
  <si>
    <t>Business Excellence Planning &amp; Implem</t>
  </si>
  <si>
    <t>L000013543</t>
  </si>
  <si>
    <t>Sales Enablement Infrastructure</t>
  </si>
  <si>
    <t>L000011729</t>
  </si>
  <si>
    <t>L000013544</t>
  </si>
  <si>
    <t>Documentation Infrastructure</t>
  </si>
  <si>
    <t>L000013545</t>
  </si>
  <si>
    <t>Web Infrastructure</t>
  </si>
  <si>
    <t>L000013546</t>
  </si>
  <si>
    <t>Laboratory Ops Infrastructure</t>
  </si>
  <si>
    <t>L000013524</t>
  </si>
  <si>
    <t>Group Administrator</t>
  </si>
  <si>
    <t>L000011734</t>
  </si>
  <si>
    <t>L000013525</t>
  </si>
  <si>
    <t>SPA Coordination &amp; Insights</t>
  </si>
  <si>
    <t>L000013575</t>
  </si>
  <si>
    <t>Innovation Portfolio management</t>
  </si>
  <si>
    <t>L000012359</t>
  </si>
  <si>
    <t>L000013576</t>
  </si>
  <si>
    <t>Innovation Manager PMO 1</t>
  </si>
  <si>
    <t>L000013577</t>
  </si>
  <si>
    <t>Innovation Manager PMO 2</t>
  </si>
  <si>
    <t>L000013578</t>
  </si>
  <si>
    <t>Innovation Manager PMO 3</t>
  </si>
  <si>
    <t>L000013579</t>
  </si>
  <si>
    <t>Innovation Manager PMO 4</t>
  </si>
  <si>
    <t>L000013580</t>
  </si>
  <si>
    <t>Innovation metrics</t>
  </si>
  <si>
    <t>L000013581</t>
  </si>
  <si>
    <t>Employee development and enablement</t>
  </si>
  <si>
    <t>L000012360</t>
  </si>
  <si>
    <t>L000013582</t>
  </si>
  <si>
    <t xml:space="preserve">Capability planning &amp; change management </t>
  </si>
  <si>
    <t>L000013583</t>
  </si>
  <si>
    <t>Commercial &amp; Cust. training consultancy</t>
  </si>
  <si>
    <t>L000013584</t>
  </si>
  <si>
    <t>Training delivery and execution</t>
  </si>
  <si>
    <t>Training design and Production</t>
  </si>
  <si>
    <t>L000013569</t>
  </si>
  <si>
    <t>Commercial and GTM PMO</t>
  </si>
  <si>
    <t>L000013570</t>
  </si>
  <si>
    <t>Capex, Bus. Franchise, Integration PMO</t>
  </si>
  <si>
    <t>L000013571</t>
  </si>
  <si>
    <t>Digital PMO</t>
  </si>
  <si>
    <t>L000013572</t>
  </si>
  <si>
    <t>PMO data and reporting</t>
  </si>
  <si>
    <t>L000013573</t>
  </si>
  <si>
    <t>Global Process Excellence &amp; Audits</t>
  </si>
  <si>
    <t>L000013574</t>
  </si>
  <si>
    <t>Contract Mgmt MSA (GSA/Regional)</t>
  </si>
  <si>
    <t>L000013586</t>
  </si>
  <si>
    <t xml:space="preserve">Commercial reporting &amp; analytics </t>
  </si>
  <si>
    <t>L000013587</t>
  </si>
  <si>
    <t>Franchise reporting &amp; analytics</t>
  </si>
  <si>
    <t>L000013588</t>
  </si>
  <si>
    <t>Innovation reporting &amp; analytics</t>
  </si>
  <si>
    <t>L000013589</t>
  </si>
  <si>
    <t>Dashboard creation / Data scientist</t>
  </si>
  <si>
    <t>L000013590</t>
  </si>
  <si>
    <t>Customer satisfaction &amp; Insights</t>
  </si>
  <si>
    <t>L000013591</t>
  </si>
  <si>
    <t>CRM Tool enhancement</t>
  </si>
  <si>
    <t>L000013592</t>
  </si>
  <si>
    <t>Sales Incentives</t>
  </si>
  <si>
    <t>L000013593</t>
  </si>
  <si>
    <t>GTM Pricing &amp; Execution</t>
  </si>
  <si>
    <t>Strategy Development &amp; Governance</t>
  </si>
  <si>
    <t>L000013289</t>
  </si>
  <si>
    <t>Business Development &amp; Licensing</t>
  </si>
  <si>
    <t>L000013516</t>
  </si>
  <si>
    <t>Business Intelligence</t>
  </si>
  <si>
    <t>Upstream &amp; Process Materials Franchise</t>
  </si>
  <si>
    <t>Single-Use Systems &amp; Services Franchise</t>
  </si>
  <si>
    <t>Downstream Franchise</t>
  </si>
  <si>
    <t>BioContinuum Franchise</t>
  </si>
  <si>
    <t>GTM Modality Focus</t>
  </si>
  <si>
    <t>Integrated Marketing</t>
  </si>
  <si>
    <t>Portfolio Operations</t>
  </si>
  <si>
    <t>L000013560</t>
  </si>
  <si>
    <t>Pricing Strategy</t>
  </si>
  <si>
    <t>L000013561</t>
  </si>
  <si>
    <t>Franchises Management</t>
  </si>
  <si>
    <t>ERP</t>
  </si>
  <si>
    <t>Customer Experience Tools</t>
  </si>
  <si>
    <t>End-to-End Web Experience</t>
  </si>
  <si>
    <t>Digital Governance, Planning and Impl</t>
  </si>
  <si>
    <t>Upstream &amp; Process Materials QA/QC</t>
  </si>
  <si>
    <t>L000012354</t>
  </si>
  <si>
    <t>BioContinuum Management - to be deleted</t>
  </si>
  <si>
    <t>L000007117</t>
  </si>
  <si>
    <t>PS IT Business Projects</t>
  </si>
  <si>
    <t>L000006453</t>
  </si>
  <si>
    <t>E-Commerce</t>
  </si>
  <si>
    <t>L000006552</t>
  </si>
  <si>
    <t>Bioprocessing Mgmt - to be deleted</t>
  </si>
  <si>
    <t>L000012357</t>
  </si>
  <si>
    <t>GSO_Bio4C (Commercial Incubator)</t>
  </si>
  <si>
    <t>L000013292</t>
  </si>
  <si>
    <t>L000007478</t>
  </si>
  <si>
    <t>eMerge / Emprove</t>
  </si>
  <si>
    <t>PS Research &amp; Development</t>
  </si>
  <si>
    <t>PS Strategy</t>
  </si>
  <si>
    <t>PS Business Excellence</t>
  </si>
  <si>
    <t>Software Development &amp; Delivery</t>
  </si>
  <si>
    <t>Innovation Project &amp; Portfolio Mgmt</t>
  </si>
  <si>
    <t>Education and Capability planning</t>
  </si>
  <si>
    <t>Business Health, Performance &amp; Insights</t>
  </si>
  <si>
    <t>L000012477</t>
  </si>
  <si>
    <t>Business Integration</t>
  </si>
  <si>
    <t>L000006518</t>
  </si>
  <si>
    <t>Bioprocessing - to be deleted</t>
  </si>
  <si>
    <t>L000006676</t>
  </si>
  <si>
    <t>Bioprocessing Strategy - to be deleted</t>
  </si>
  <si>
    <t>Strategic Systems</t>
  </si>
  <si>
    <t>L000013136</t>
  </si>
  <si>
    <t>PM Patents</t>
  </si>
  <si>
    <t>L000006603</t>
  </si>
  <si>
    <t>L000011440</t>
  </si>
  <si>
    <t>Liquid Applications</t>
  </si>
  <si>
    <t>Solid Applications &amp; Pharm Materials</t>
  </si>
  <si>
    <t>L000013226</t>
  </si>
  <si>
    <t>BioPharm Materials</t>
  </si>
  <si>
    <t>L000013130</t>
  </si>
  <si>
    <t>Process Materials R&amp;D</t>
  </si>
  <si>
    <t>PS Patents</t>
  </si>
  <si>
    <t>L000006611</t>
  </si>
  <si>
    <t xml:space="preserve">PS R&amp;D Management </t>
  </si>
  <si>
    <t>L000006647</t>
  </si>
  <si>
    <t>Single-Use &amp; Integrated Systems R&amp;D</t>
  </si>
  <si>
    <t>L000007113</t>
  </si>
  <si>
    <t>GENM Attrition R&amp;D - to be deleted</t>
  </si>
  <si>
    <t>L000013219</t>
  </si>
  <si>
    <t>Cell Therapy Processing - to be deleted</t>
  </si>
  <si>
    <t>L000012348</t>
  </si>
  <si>
    <t>Market Intelligence &amp; Analytics</t>
  </si>
  <si>
    <t>PS Commercial Americas</t>
  </si>
  <si>
    <t>L000006688</t>
  </si>
  <si>
    <t>5011 NA PS Sales</t>
  </si>
  <si>
    <t>L000006691</t>
  </si>
  <si>
    <t>5035 NA Regional Sales</t>
  </si>
  <si>
    <t>L000012322</t>
  </si>
  <si>
    <t>Region 1</t>
  </si>
  <si>
    <t>L000012323</t>
  </si>
  <si>
    <t>Region 2</t>
  </si>
  <si>
    <t>L000012324</t>
  </si>
  <si>
    <t>Region 3</t>
  </si>
  <si>
    <t>PS Commercial EMEA</t>
  </si>
  <si>
    <t>PS Commercial APAC</t>
  </si>
  <si>
    <t>PS -North Asia</t>
  </si>
  <si>
    <t>PS-South Asia &amp; Oceania</t>
  </si>
  <si>
    <t>PS Global Strategic Accounts &amp; Services</t>
  </si>
  <si>
    <t>Global CEX</t>
  </si>
  <si>
    <t>BP&amp;I</t>
  </si>
  <si>
    <t>GSA_Americas1</t>
  </si>
  <si>
    <t>L000012329</t>
  </si>
  <si>
    <t>GSA_Americas2</t>
  </si>
  <si>
    <t>L000012330</t>
  </si>
  <si>
    <t>GSA_EMEA</t>
  </si>
  <si>
    <t>L000012332</t>
  </si>
  <si>
    <t>GSA_APAC</t>
  </si>
  <si>
    <t>Global Services Offerings</t>
  </si>
  <si>
    <t>L000006987</t>
  </si>
  <si>
    <t xml:space="preserve">GSO_Field Services </t>
  </si>
  <si>
    <t>L000013161</t>
  </si>
  <si>
    <t xml:space="preserve">GSO_Validation Services </t>
  </si>
  <si>
    <t>L000006437</t>
  </si>
  <si>
    <t>PM R&amp;D Solid Formulations</t>
  </si>
  <si>
    <t>L000006438</t>
  </si>
  <si>
    <t>P&amp;FM R&amp;D Solid form - to be deleted</t>
  </si>
  <si>
    <t>L000013131</t>
  </si>
  <si>
    <t>PM R&amp;D Folates &amp; APIs</t>
  </si>
  <si>
    <t>L000006428</t>
  </si>
  <si>
    <t>P&amp;FM R&amp;D Folates &amp; APIs -to be deleted</t>
  </si>
  <si>
    <t>L000013133</t>
  </si>
  <si>
    <t>PM R&amp;D Mgmt</t>
  </si>
  <si>
    <t>L000013134</t>
  </si>
  <si>
    <t>PM R&amp;D BPM</t>
  </si>
  <si>
    <t>L000013138</t>
  </si>
  <si>
    <t>PM R&amp;D Liquid Formulations</t>
  </si>
  <si>
    <t>L000013145</t>
  </si>
  <si>
    <t>P&amp;FM Strategy, BD &amp; Digital- to be del</t>
  </si>
  <si>
    <t>L000006450</t>
  </si>
  <si>
    <t>A&amp;F Marcom DE - to be deleted</t>
  </si>
  <si>
    <t>L000006451</t>
  </si>
  <si>
    <t>Communication A&amp;F - to be deleted</t>
  </si>
  <si>
    <t>L000006455</t>
  </si>
  <si>
    <t>A&amp;F Seg Mrkt US - to be deleted</t>
  </si>
  <si>
    <t>L000006463</t>
  </si>
  <si>
    <t>A&amp;F Seg Mrkt DE2 - to be deleted</t>
  </si>
  <si>
    <t>L000011453</t>
  </si>
  <si>
    <t>A&amp;F Seg Mrkt FR - to be deleted</t>
  </si>
  <si>
    <t>L000011454</t>
  </si>
  <si>
    <t>Communication Emrprov- to be deleted</t>
  </si>
  <si>
    <t>L000011455</t>
  </si>
  <si>
    <t>A&amp;F Seg Mrkt IN- to be deleted</t>
  </si>
  <si>
    <t>L000013594</t>
  </si>
  <si>
    <t>Client Program Mgmt</t>
  </si>
  <si>
    <t>L000006391</t>
  </si>
  <si>
    <t>SAC Schaffhausen PAD</t>
  </si>
  <si>
    <t>L000009539</t>
  </si>
  <si>
    <t>mRNA Value Chain</t>
  </si>
  <si>
    <t>L000013151</t>
  </si>
  <si>
    <t>SAC Cherokee PAD</t>
  </si>
  <si>
    <t>L000013155</t>
  </si>
  <si>
    <t>SAC Madison PAD</t>
  </si>
  <si>
    <t>L000013159</t>
  </si>
  <si>
    <t>mRNA Production Hamburg</t>
  </si>
  <si>
    <t>SAC Client Project Management</t>
  </si>
  <si>
    <t>L000006392</t>
  </si>
  <si>
    <t>CPM Mgmt</t>
  </si>
  <si>
    <t>CPM EU</t>
  </si>
  <si>
    <t>L000006399</t>
  </si>
  <si>
    <t>CPM USA</t>
  </si>
  <si>
    <t>SAC Innovation</t>
  </si>
  <si>
    <t>L000006425</t>
  </si>
  <si>
    <t>SH Lipids</t>
  </si>
  <si>
    <t>L000006427</t>
  </si>
  <si>
    <t>mRNA Delivery &amp; PEGs SH</t>
  </si>
  <si>
    <t>L000006429</t>
  </si>
  <si>
    <t>mRNA Process &amp; Delivery DA</t>
  </si>
  <si>
    <t>L000006431</t>
  </si>
  <si>
    <t xml:space="preserve">ADC &amp; Lipid Intermediates </t>
  </si>
  <si>
    <t>L000006435</t>
  </si>
  <si>
    <t xml:space="preserve"> Innovation Others</t>
  </si>
  <si>
    <t>L000011451</t>
  </si>
  <si>
    <t>ADC &amp; LNP Template Innovation</t>
  </si>
  <si>
    <t>L000006496</t>
  </si>
  <si>
    <t>SAC Strategic Marketing</t>
  </si>
  <si>
    <t>SAC CDMO projects</t>
  </si>
  <si>
    <t>P000000001</t>
  </si>
  <si>
    <t>EL-DS Display Solutions</t>
  </si>
  <si>
    <t>P000000002</t>
  </si>
  <si>
    <t>EL-DS BU Head &amp; Other</t>
  </si>
  <si>
    <t>P000000695</t>
  </si>
  <si>
    <t>EL-DS BU head Organization</t>
  </si>
  <si>
    <t>P000000696</t>
  </si>
  <si>
    <t>EL-DS Inventor Remuneration</t>
  </si>
  <si>
    <t>P000000697</t>
  </si>
  <si>
    <t>EL-DS Intangible Assets</t>
  </si>
  <si>
    <t>P000000698</t>
  </si>
  <si>
    <t>EL-DS Other</t>
  </si>
  <si>
    <t>P000000003</t>
  </si>
  <si>
    <t>EL-DS-D Product Development</t>
  </si>
  <si>
    <t>P000000004</t>
  </si>
  <si>
    <t>EL-DS-DJ Product Development Japan</t>
  </si>
  <si>
    <t>P000000005</t>
  </si>
  <si>
    <t>EL-DS-DC Produt Development China</t>
  </si>
  <si>
    <t>P000000006</t>
  </si>
  <si>
    <t>EL-DS-DK Product Development Korea</t>
  </si>
  <si>
    <t>P000000007</t>
  </si>
  <si>
    <t>EL-DS-DG Product Development Germany</t>
  </si>
  <si>
    <t>P000000008</t>
  </si>
  <si>
    <t>EL-DS-DT Product Development Taiwan</t>
  </si>
  <si>
    <t>P000000009</t>
  </si>
  <si>
    <t>EL-DS-DO Product Development Global Office</t>
  </si>
  <si>
    <t>P000000010</t>
  </si>
  <si>
    <t>EL-DS-M Global Marketing</t>
  </si>
  <si>
    <t>P000000684</t>
  </si>
  <si>
    <t>EL-DS-M Global Mkt Organization</t>
  </si>
  <si>
    <t>P000000685</t>
  </si>
  <si>
    <t>EL-DS-M Global Mkt Sales Promotion</t>
  </si>
  <si>
    <t>P000000686</t>
  </si>
  <si>
    <t>EL-DS-M Global Mkt Royalties/Commissions</t>
  </si>
  <si>
    <t>P000000687</t>
  </si>
  <si>
    <t>EL-DS-M Global Mkt Other</t>
  </si>
  <si>
    <t>P000000011</t>
  </si>
  <si>
    <t>EL-DS-R Product Research</t>
  </si>
  <si>
    <t>P000000012</t>
  </si>
  <si>
    <t>EL-DS-R Product Research_I</t>
  </si>
  <si>
    <t>P000000013</t>
  </si>
  <si>
    <t>EL-DS-RC Product Research Chemistry</t>
  </si>
  <si>
    <t>P000000014</t>
  </si>
  <si>
    <t>EL-DS-RP Display Physics</t>
  </si>
  <si>
    <t>P000000015</t>
  </si>
  <si>
    <t>EL-DS-RN Emerging Display</t>
  </si>
  <si>
    <t>P000000016</t>
  </si>
  <si>
    <t>EL-DS-RR Material Research</t>
  </si>
  <si>
    <t>P000000017</t>
  </si>
  <si>
    <t>EL-DS-RT Novel Tools</t>
  </si>
  <si>
    <t>P000000018</t>
  </si>
  <si>
    <t>EL-DS-K BU Lead &amp; MD Korea</t>
  </si>
  <si>
    <t>P000000699</t>
  </si>
  <si>
    <t>EL-DS-K Korea Organization</t>
  </si>
  <si>
    <t>P000000700</t>
  </si>
  <si>
    <t>EL-DS-K Korea Other</t>
  </si>
  <si>
    <t>P000000020</t>
  </si>
  <si>
    <t>EL-DS-T BU Lead &amp; MD Taiwan</t>
  </si>
  <si>
    <t>P000000701</t>
  </si>
  <si>
    <t>EL-DS-T Taiwan Organization</t>
  </si>
  <si>
    <t>P000000702</t>
  </si>
  <si>
    <t>EL-DS-T Taiwan Other</t>
  </si>
  <si>
    <t>P000000021</t>
  </si>
  <si>
    <t>EL-DS-C BU Lead China</t>
  </si>
  <si>
    <t>P000000429</t>
  </si>
  <si>
    <t>EL-DS China sales</t>
  </si>
  <si>
    <t>P000000430</t>
  </si>
  <si>
    <t>EL-DS China LC&amp;PR sales</t>
  </si>
  <si>
    <t>P000000431</t>
  </si>
  <si>
    <t>EL-DS-CO China OLED sales</t>
  </si>
  <si>
    <t>P000000432</t>
  </si>
  <si>
    <t>EL-DS-CM China marketing</t>
  </si>
  <si>
    <t>P000000692</t>
  </si>
  <si>
    <t>EL-DS China Mkt Organization</t>
  </si>
  <si>
    <t>P000000693</t>
  </si>
  <si>
    <t>EL-DS China Mkt Sales Promotion</t>
  </si>
  <si>
    <t>P000000694</t>
  </si>
  <si>
    <t>EL-DS China Mkt Other</t>
  </si>
  <si>
    <t>P000000433</t>
  </si>
  <si>
    <t>EL-DS China management</t>
  </si>
  <si>
    <t>P000000022</t>
  </si>
  <si>
    <t>EL-DS-W BF LC Windows</t>
  </si>
  <si>
    <t>P000000055</t>
  </si>
  <si>
    <t>EL-DS-S Supply Chain Display</t>
  </si>
  <si>
    <t>DIS-DE-DA Production (T1)</t>
  </si>
  <si>
    <t>P000000058</t>
  </si>
  <si>
    <t>DIS-DE-DA -  EL-DOD-1</t>
  </si>
  <si>
    <t>P000000059</t>
  </si>
  <si>
    <t>DIS-DE-DA N5 Production</t>
  </si>
  <si>
    <t>P000000060</t>
  </si>
  <si>
    <t>DIS-DE-DA G1 Poly</t>
  </si>
  <si>
    <t>P000000061</t>
  </si>
  <si>
    <t>DIS-DE-DA Wittig</t>
  </si>
  <si>
    <t>P000000062</t>
  </si>
  <si>
    <t>DIS-DE-DA -  EL-DOD-2 G1+N5</t>
  </si>
  <si>
    <t>P000000063</t>
  </si>
  <si>
    <t>DIS-DE-DA -  EL-DOD-3</t>
  </si>
  <si>
    <t>P000000064</t>
  </si>
  <si>
    <t>DIS-DE-DA Laboratory</t>
  </si>
  <si>
    <t>P000000065</t>
  </si>
  <si>
    <t>DIS-DE-DA H2+H4 Production</t>
  </si>
  <si>
    <t>P000000066</t>
  </si>
  <si>
    <t>DIS-DE-DA H5 OLED</t>
  </si>
  <si>
    <t>P000000067</t>
  </si>
  <si>
    <t>DIS-DE-DA -  EL-DOD-4</t>
  </si>
  <si>
    <t>P000000071</t>
  </si>
  <si>
    <t>DIS-DE-DA G20 Production</t>
  </si>
  <si>
    <t>P000000072</t>
  </si>
  <si>
    <t>DIS-DE-DA K12/K25/X28 Poly</t>
  </si>
  <si>
    <t>P000000073</t>
  </si>
  <si>
    <t>DIS-DE-DA K10 Mono</t>
  </si>
  <si>
    <t>P000000074</t>
  </si>
  <si>
    <t>DIS-DE-DA L29 API</t>
  </si>
  <si>
    <t>P000000069</t>
  </si>
  <si>
    <t>DIS-DE-DA -  EL-DOD-6</t>
  </si>
  <si>
    <t>P000000068</t>
  </si>
  <si>
    <t>DIS-DE-DA -  EL-DOD-5 J36-J45</t>
  </si>
  <si>
    <t>P000000070</t>
  </si>
  <si>
    <t>DIS-DE-DA -  EL-DOD-7 P24</t>
  </si>
  <si>
    <t>P000000075</t>
  </si>
  <si>
    <t>DIS-DE-DA -  EL-DOD-S</t>
  </si>
  <si>
    <t>P000000076</t>
  </si>
  <si>
    <t>DIS-DE-DA -  EL-DOD Production Reserve</t>
  </si>
  <si>
    <t>P000000085</t>
  </si>
  <si>
    <t>DIS-DE-DA Other_I</t>
  </si>
  <si>
    <t>P000000086</t>
  </si>
  <si>
    <t>DIS-DE-DA - EL-DOD Projects</t>
  </si>
  <si>
    <t>P000000307</t>
  </si>
  <si>
    <t>DIS-JP-AT Quality (T2)</t>
  </si>
  <si>
    <t>DIS-CN-SU Production (T1)</t>
  </si>
  <si>
    <t>DIS-CN-SU Analytics (T6c).</t>
  </si>
  <si>
    <t>DIS-CN-SU Maintenance/Engineering (T3).</t>
  </si>
  <si>
    <t>DIS-CN-SU Energies/Utilities (T4).</t>
  </si>
  <si>
    <t>DIS-CN-SU Environmental Protection (T5)</t>
  </si>
  <si>
    <t>DIS-CN-SU Prod.infrast. &amp; non-off-buil.</t>
  </si>
  <si>
    <t>DIS-CN-SU Incom. storage&amp;handling (T7)</t>
  </si>
  <si>
    <t>DIS-CN-SU Local Prod./Proc. Dev. &amp; Opt.</t>
  </si>
  <si>
    <t>DIS-CN-SU Other</t>
  </si>
  <si>
    <t>DIS-CN-SU - Local quality Suzhou</t>
  </si>
  <si>
    <t>P000000321</t>
  </si>
  <si>
    <t>DIS-CN-SU Quality (T2)</t>
  </si>
  <si>
    <t>P000000335</t>
  </si>
  <si>
    <t>DIS-TW-TA Quality (T2)</t>
  </si>
  <si>
    <t>P000000323</t>
  </si>
  <si>
    <t>DIS-TW-HS Quality (T2)</t>
  </si>
  <si>
    <t>P000000325</t>
  </si>
  <si>
    <t>DIS-KR-PO Quality (T2)</t>
  </si>
  <si>
    <t>P000000311</t>
  </si>
  <si>
    <t>DIS-CN-SH Quality (T2)</t>
  </si>
  <si>
    <t>P000000506</t>
  </si>
  <si>
    <t>EL-DS-SC Supply Chain Excellence</t>
  </si>
  <si>
    <t>P000000507</t>
  </si>
  <si>
    <t>EL-DS-SQ QA Display</t>
  </si>
  <si>
    <t>P000000434</t>
  </si>
  <si>
    <t>EL-DS-J BU Lead Japan</t>
  </si>
  <si>
    <t>P000000703</t>
  </si>
  <si>
    <t>EL-DS-J Japan Organization</t>
  </si>
  <si>
    <t>P000000704</t>
  </si>
  <si>
    <t>EL-DS-J Japan Other</t>
  </si>
  <si>
    <t>P000000024</t>
  </si>
  <si>
    <t>EL-PS Surface Solutions</t>
  </si>
  <si>
    <t>P000000025</t>
  </si>
  <si>
    <t>EL-PS BU Head</t>
  </si>
  <si>
    <t>EL-PS-T Strategy &amp; Operational Development</t>
  </si>
  <si>
    <t>P000000045</t>
  </si>
  <si>
    <t>EL-PS-TS Strategic Marketing</t>
  </si>
  <si>
    <t>P000000048</t>
  </si>
  <si>
    <t>EL-PS-TC Commercial Excellence</t>
  </si>
  <si>
    <t>EL-PS-T Strategy &amp; OPL DEVT team</t>
  </si>
  <si>
    <t>P000000028</t>
  </si>
  <si>
    <t>EL-PS-R Innovation &amp; Application</t>
  </si>
  <si>
    <t>P000000029</t>
  </si>
  <si>
    <t>EL-PS-R Innovation &amp; Application Head</t>
  </si>
  <si>
    <t>P000000614</t>
  </si>
  <si>
    <t>EL-PS-R Organisation</t>
  </si>
  <si>
    <t>P000000615</t>
  </si>
  <si>
    <t>EL-PS-R Projects</t>
  </si>
  <si>
    <t>P000000030</t>
  </si>
  <si>
    <t>EL-PS-RP Application Printings &amp; Plastic</t>
  </si>
  <si>
    <t>P000000660</t>
  </si>
  <si>
    <t>EL-PS-RP Organisation</t>
  </si>
  <si>
    <t>P000000661</t>
  </si>
  <si>
    <t>EL-PS-RP Projects</t>
  </si>
  <si>
    <t>P000000031</t>
  </si>
  <si>
    <t>EL-PS-RJ Innovation &amp; Application Japan</t>
  </si>
  <si>
    <t>P000000616</t>
  </si>
  <si>
    <t>EL-PS-RJ Organisation</t>
  </si>
  <si>
    <t>P000000617</t>
  </si>
  <si>
    <t>EL-PS-RJ Projects</t>
  </si>
  <si>
    <t>P000000032</t>
  </si>
  <si>
    <t>EL-PS-RC Innovation &amp; Application Asia</t>
  </si>
  <si>
    <t>P000000618</t>
  </si>
  <si>
    <t>EL-PS-RC Organisation</t>
  </si>
  <si>
    <t>P000000619</t>
  </si>
  <si>
    <t>EL-PS-RC Projects</t>
  </si>
  <si>
    <t>P000000033</t>
  </si>
  <si>
    <t>EL-PS-RG Particle Technology</t>
  </si>
  <si>
    <t>P000000620</t>
  </si>
  <si>
    <t>EL-PS-RG Organisation</t>
  </si>
  <si>
    <t>P000000621</t>
  </si>
  <si>
    <t>EL-PS-RG Projects</t>
  </si>
  <si>
    <t>P000000035</t>
  </si>
  <si>
    <t>EL-PS-RK Cosmetic Application</t>
  </si>
  <si>
    <t>P000000622</t>
  </si>
  <si>
    <t>EL-PS-RK Organisation</t>
  </si>
  <si>
    <t>P000000623</t>
  </si>
  <si>
    <t>EL-PS-RK Projects</t>
  </si>
  <si>
    <t>P000000631</t>
  </si>
  <si>
    <t>EL-PS-RK R&amp;D Projects</t>
  </si>
  <si>
    <t>P000000036</t>
  </si>
  <si>
    <t>EL-PS-RB Coating Application</t>
  </si>
  <si>
    <t>P000000624</t>
  </si>
  <si>
    <t>EL-PS-RB Organisation</t>
  </si>
  <si>
    <t>P000000625</t>
  </si>
  <si>
    <t>EL-PS-RB Projects</t>
  </si>
  <si>
    <t>P000000037</t>
  </si>
  <si>
    <t>EL-PS-RA Innovation &amp; Application Americas</t>
  </si>
  <si>
    <t>P000000626</t>
  </si>
  <si>
    <t>EL-PS-RA Organisation</t>
  </si>
  <si>
    <t>P000000038</t>
  </si>
  <si>
    <t>EL-PS-RI Innovation Partnerships</t>
  </si>
  <si>
    <t>P000000628</t>
  </si>
  <si>
    <t>EL-PS-RI Technical Marketing COA</t>
  </si>
  <si>
    <t>P000000629</t>
  </si>
  <si>
    <t>EL-PS-RI Projects IND Funct</t>
  </si>
  <si>
    <t>P000000041</t>
  </si>
  <si>
    <t>EL-PS Other</t>
  </si>
  <si>
    <t>P000000049</t>
  </si>
  <si>
    <t>EL-PS-U Sales &amp; Marketing Americas</t>
  </si>
  <si>
    <t>P000000453</t>
  </si>
  <si>
    <t>EL-PS-UF Regional Marketing</t>
  </si>
  <si>
    <t>P000000454</t>
  </si>
  <si>
    <t>EL-PS-UA Sales Americas South</t>
  </si>
  <si>
    <t>P000000455</t>
  </si>
  <si>
    <t>EL-PS-UC Sales Channel Partners</t>
  </si>
  <si>
    <t>P000000456</t>
  </si>
  <si>
    <t>EL-PS-UE Customer Excellence</t>
  </si>
  <si>
    <t>P000000457</t>
  </si>
  <si>
    <t>EL-PS-UD Sales Strategic Accounts</t>
  </si>
  <si>
    <t>P000000458</t>
  </si>
  <si>
    <t>EL-PS-UB Sales Americas North</t>
  </si>
  <si>
    <t>P000000566</t>
  </si>
  <si>
    <t>EL-PS-U Sales &amp; Marketing Americas Head</t>
  </si>
  <si>
    <t>P000000050</t>
  </si>
  <si>
    <t>EL-PS-E Sales &amp; Marketing EMEA</t>
  </si>
  <si>
    <t>P000000459</t>
  </si>
  <si>
    <t>EL-PS-EA Dealer Management</t>
  </si>
  <si>
    <t>P000000460</t>
  </si>
  <si>
    <t>EL-PS-EB Sales North-East</t>
  </si>
  <si>
    <t>P000000461</t>
  </si>
  <si>
    <t>EL-PS-EG Global KAM &amp; BD</t>
  </si>
  <si>
    <t>P000000462</t>
  </si>
  <si>
    <t>EL-PS-ES Sales South</t>
  </si>
  <si>
    <t>P000000463</t>
  </si>
  <si>
    <t>EL-PS-EW Sales North-West</t>
  </si>
  <si>
    <t>P000000567</t>
  </si>
  <si>
    <t>EL-PS-E Sales &amp; Marketing EMEA Head</t>
  </si>
  <si>
    <t>P000000568</t>
  </si>
  <si>
    <t>EL-PS-EX Customer Excellence</t>
  </si>
  <si>
    <t>P000000569</t>
  </si>
  <si>
    <t>EL-PS-ER Regional Marketing EMEA</t>
  </si>
  <si>
    <t>P000000664</t>
  </si>
  <si>
    <t>EL-PS-A Sales &amp; Marketing ASIA</t>
  </si>
  <si>
    <t>P000000044</t>
  </si>
  <si>
    <t>EL-PS-AH High Growth Market</t>
  </si>
  <si>
    <t>P000000440</t>
  </si>
  <si>
    <t>EL-PS-AHA Coatings</t>
  </si>
  <si>
    <t>P000000441</t>
  </si>
  <si>
    <t>EL-PS-AHI Industrials</t>
  </si>
  <si>
    <t>P000000442</t>
  </si>
  <si>
    <t>EL-PS-AHK Key Accounts</t>
  </si>
  <si>
    <t>P000000563</t>
  </si>
  <si>
    <t>EL-PS-AH High Growth Market Head</t>
  </si>
  <si>
    <t>P000000564</t>
  </si>
  <si>
    <t>EL-PS-AHC Cosmetics</t>
  </si>
  <si>
    <t>P000000047</t>
  </si>
  <si>
    <t>EL-PS-AM Matured Markets</t>
  </si>
  <si>
    <t>P000000665</t>
  </si>
  <si>
    <t>EL-PS-A Sales &amp; Marketing ASIA Head</t>
  </si>
  <si>
    <t>EL-PS-AR Regional Marketing ASIA</t>
  </si>
  <si>
    <t>P000000740</t>
  </si>
  <si>
    <t>EL-PS-ACC Customer Excellence</t>
  </si>
  <si>
    <t>P000000741</t>
  </si>
  <si>
    <t>EL-PS-ACJ Customer Excellence</t>
  </si>
  <si>
    <t>P000000669</t>
  </si>
  <si>
    <t>EL-PS-AE Emerging</t>
  </si>
  <si>
    <t>P000000444</t>
  </si>
  <si>
    <t>EL-PS-AET Commercial Taiwan</t>
  </si>
  <si>
    <t>P000000452</t>
  </si>
  <si>
    <t>EL-PS AECA Commercial SEA &amp; ANZ</t>
  </si>
  <si>
    <t>P000000670</t>
  </si>
  <si>
    <t>EL-PS-AG Growth Market</t>
  </si>
  <si>
    <t>P000000449</t>
  </si>
  <si>
    <t>EL-PS-AGS Commercial India</t>
  </si>
  <si>
    <t>EL-PS-O Global Operations Surface Solution</t>
  </si>
  <si>
    <t>P000000148</t>
  </si>
  <si>
    <t>EL-PS-OP Operational Excellence</t>
  </si>
  <si>
    <t>EL-PS-OE Supply Excellence</t>
  </si>
  <si>
    <t>P000000337</t>
  </si>
  <si>
    <t>SRF-IN-KH Quality (T2)</t>
  </si>
  <si>
    <t>P000000319</t>
  </si>
  <si>
    <t>SRF-US-SA Quality (T2)</t>
  </si>
  <si>
    <t>P000000317</t>
  </si>
  <si>
    <t>SRF-JP-ON Quality (T2)</t>
  </si>
  <si>
    <t>SRF-US-UB Quality (T2)</t>
  </si>
  <si>
    <t>P000000191</t>
  </si>
  <si>
    <t>SRF-DE-PG Production (T1)_I</t>
  </si>
  <si>
    <t>P000000192</t>
  </si>
  <si>
    <t>SRF-DE-PG - Patinal+Silica Production</t>
  </si>
  <si>
    <t>P000000193</t>
  </si>
  <si>
    <t>SRF-DE-PG - EL-OPG-3</t>
  </si>
  <si>
    <t>P000000194</t>
  </si>
  <si>
    <t>SRF-DE-PG - EL-OPG-8</t>
  </si>
  <si>
    <t>P000000195</t>
  </si>
  <si>
    <t>SRF-DE-PG - Pigments Production</t>
  </si>
  <si>
    <t>P000000196</t>
  </si>
  <si>
    <t>SRF-DE-PG - EL-OPG-1</t>
  </si>
  <si>
    <t>P000000197</t>
  </si>
  <si>
    <t>SRF-DE-PG - EL-OPG-2</t>
  </si>
  <si>
    <t>P000000198</t>
  </si>
  <si>
    <t>SRF-DE-PG - EL-OPG-5</t>
  </si>
  <si>
    <t>P000000331</t>
  </si>
  <si>
    <t>SRF-DE-PG Quality (T2)</t>
  </si>
  <si>
    <t>P000000509</t>
  </si>
  <si>
    <t>EL-PS-S Supply Chain Surface Solutions</t>
  </si>
  <si>
    <t>P000000464</t>
  </si>
  <si>
    <t>EL-PS-SE Supply Chain EMEA</t>
  </si>
  <si>
    <t>P000000602</t>
  </si>
  <si>
    <t>EL-PS-SEP Planning Germany</t>
  </si>
  <si>
    <t>P000000603</t>
  </si>
  <si>
    <t>EL-PS-SEG GHM Site Supply Planning</t>
  </si>
  <si>
    <t>P000000627</t>
  </si>
  <si>
    <t>EL-PS-SED Gernsheim Distribution</t>
  </si>
  <si>
    <t>P000000510</t>
  </si>
  <si>
    <t>EL-PS-SP Demand Planning</t>
  </si>
  <si>
    <t>P000000511</t>
  </si>
  <si>
    <t>EL-PS-ST Transport Planning</t>
  </si>
  <si>
    <t>P000000600</t>
  </si>
  <si>
    <t>EL-PS-S Supply Chain Surface Solutions Hea</t>
  </si>
  <si>
    <t>P000000601</t>
  </si>
  <si>
    <t>EL-PS-SA Supply Chain Asia</t>
  </si>
  <si>
    <t>P000000604</t>
  </si>
  <si>
    <t>EL-PS-SI Analytics &amp; Process Governance</t>
  </si>
  <si>
    <t>P000000605</t>
  </si>
  <si>
    <t>EL-PS-SU Supply Chain Americas</t>
  </si>
  <si>
    <t>P000000570</t>
  </si>
  <si>
    <t>EL-PS-P Product Management</t>
  </si>
  <si>
    <t>P000000742</t>
  </si>
  <si>
    <t>EL-PS-P Organisational costs</t>
  </si>
  <si>
    <t>P000000743</t>
  </si>
  <si>
    <t>EL-PS-P Analytical costs</t>
  </si>
  <si>
    <t>EL-PS-C Product Compliances Surface</t>
  </si>
  <si>
    <t>P000000610</t>
  </si>
  <si>
    <t>EL-PS-C Regulatory Projects</t>
  </si>
  <si>
    <t>P000000611</t>
  </si>
  <si>
    <t>EL-PS-C REACH</t>
  </si>
  <si>
    <t>P000000744</t>
  </si>
  <si>
    <t>EL-PS-P EL-PC Allocations &amp; Other</t>
  </si>
  <si>
    <t>EL-PS-C Organisation</t>
  </si>
  <si>
    <t>EL-PS-CQ Quality Services</t>
  </si>
  <si>
    <t>P000000606</t>
  </si>
  <si>
    <t>EL-PS-CQ Quality Services Head</t>
  </si>
  <si>
    <t>P000000607</t>
  </si>
  <si>
    <t>EL-PS-CQC Customer Inquiry Management</t>
  </si>
  <si>
    <t>EL-PS-C Product Compliances Surface Org</t>
  </si>
  <si>
    <t>P000000379</t>
  </si>
  <si>
    <t>EL-MC General Management China</t>
  </si>
  <si>
    <t>P000000343</t>
  </si>
  <si>
    <t>THF-US-HA Quality (T2)</t>
  </si>
  <si>
    <t>P000000341</t>
  </si>
  <si>
    <t>THF-TW-KA Quality (T2)</t>
  </si>
  <si>
    <t>P000000315</t>
  </si>
  <si>
    <t>PAT-US-BU Quality (T2)</t>
  </si>
  <si>
    <t>P000000305</t>
  </si>
  <si>
    <t>PAT-JP-SZ  Quality (T2)</t>
  </si>
  <si>
    <t>P000000327</t>
  </si>
  <si>
    <t>PAT-DE-WI Quality (T2)</t>
  </si>
  <si>
    <t>P000000313</t>
  </si>
  <si>
    <t>PAT-US-MA Quality (T2)</t>
  </si>
  <si>
    <t>P000000309</t>
  </si>
  <si>
    <t>PAT-FR-LA Quality (T2)</t>
  </si>
  <si>
    <t>P000000339</t>
  </si>
  <si>
    <t>PAT-KR-AN Quality (T2)</t>
  </si>
  <si>
    <t>EL-ND-F Manufacturing &amp; Services Execution</t>
  </si>
  <si>
    <t>P000000714</t>
  </si>
  <si>
    <t>EL-ND-FB Megasys Operations NA</t>
  </si>
  <si>
    <t>P000000715</t>
  </si>
  <si>
    <t>EL-ND-NC Chandler Manufacturing</t>
  </si>
  <si>
    <t>P000000716</t>
  </si>
  <si>
    <t>EL-ND-NE Electronic SEMC Mfg</t>
  </si>
  <si>
    <t>P000000717</t>
  </si>
  <si>
    <t>EL-ND-FF Fab Ops</t>
  </si>
  <si>
    <t>P000000718</t>
  </si>
  <si>
    <t>EL-ND-BG Vultee Street CSO</t>
  </si>
  <si>
    <t>P000000719</t>
  </si>
  <si>
    <t>EL-ND-F Other Manufacturing &amp; Services Exe</t>
  </si>
  <si>
    <t>EL-ND-FB Megasys Operations Asia</t>
  </si>
  <si>
    <t>EL-ND-FB Field Services NAEUR</t>
  </si>
  <si>
    <t>P000000759</t>
  </si>
  <si>
    <t>EL-SC-I Electronics_I</t>
  </si>
  <si>
    <t>P000000760</t>
  </si>
  <si>
    <t>El-SC-ID BP Display Solutions</t>
  </si>
  <si>
    <t>P000000761</t>
  </si>
  <si>
    <t>EL-SC-IO Electronics PPM</t>
  </si>
  <si>
    <t>P000000762</t>
  </si>
  <si>
    <t>EL-SC-IS Electronics Systems</t>
  </si>
  <si>
    <t>P000000763</t>
  </si>
  <si>
    <t>EL-SC-IP BP Surface Solutions</t>
  </si>
  <si>
    <t>P000000764</t>
  </si>
  <si>
    <t>EL-SC-IY Electronics Decentral</t>
  </si>
  <si>
    <t>P000000765</t>
  </si>
  <si>
    <t>EL-SC-IE Electronics Processes</t>
  </si>
  <si>
    <t>P000000766</t>
  </si>
  <si>
    <t>El-SC-II BP Semiconductor</t>
  </si>
  <si>
    <t>P000000767</t>
  </si>
  <si>
    <t>El-SC-IN BP DS&amp;S</t>
  </si>
  <si>
    <t>P000000768</t>
  </si>
  <si>
    <t>El-SC-IT CIO Office</t>
  </si>
  <si>
    <t>P000000468</t>
  </si>
  <si>
    <t>EL-SC-C Customer Fulfillment_General</t>
  </si>
  <si>
    <t>P000000469</t>
  </si>
  <si>
    <t>EL-SC-CA Customer Fulfillment Asia 1</t>
  </si>
  <si>
    <t>P000000470</t>
  </si>
  <si>
    <t>EL-SC-CC Customer Fulfillment Asia 2</t>
  </si>
  <si>
    <t>P000000472</t>
  </si>
  <si>
    <t>EL-SC-CE Customer Fulfillment Europe</t>
  </si>
  <si>
    <t>P000000475</t>
  </si>
  <si>
    <t>EL-SC-CU Customer Fulfillment US</t>
  </si>
  <si>
    <t>P000000476</t>
  </si>
  <si>
    <t>EL-SC-CX Customer Fulfillment Excellence</t>
  </si>
  <si>
    <t>P000000495</t>
  </si>
  <si>
    <t>EL-SC-D Process Development General</t>
  </si>
  <si>
    <t>P000000497</t>
  </si>
  <si>
    <t>EL-SC-DD Process Development Display</t>
  </si>
  <si>
    <t>P000000498</t>
  </si>
  <si>
    <t>EL-SC-DE Process Development Engineering</t>
  </si>
  <si>
    <t>P000000499</t>
  </si>
  <si>
    <t>EL-SC-DF Safety Engineering</t>
  </si>
  <si>
    <t>P000000500</t>
  </si>
  <si>
    <t>EL-SC-DI Process Development Semiconductor</t>
  </si>
  <si>
    <t>P000000501</t>
  </si>
  <si>
    <t>EL-SC-DP  Process Development Surface &amp; Exc</t>
  </si>
  <si>
    <t>P000000502</t>
  </si>
  <si>
    <t>EL-SC-DR Process Development Improvement &amp; Robustness</t>
  </si>
  <si>
    <t>P000000503</t>
  </si>
  <si>
    <t>EL-SC-DS Process Development Synthesis</t>
  </si>
  <si>
    <t>P000000504</t>
  </si>
  <si>
    <t>EL-SC-DU Process Development Pilot Plant</t>
  </si>
  <si>
    <t>P000001104</t>
  </si>
  <si>
    <t>P000001071</t>
  </si>
  <si>
    <t>EL-SC-DD Projects</t>
  </si>
  <si>
    <t>P000001072</t>
  </si>
  <si>
    <t>EL-SC-DD Investments</t>
  </si>
  <si>
    <t>P000001073</t>
  </si>
  <si>
    <t>EL-SC-D Projects</t>
  </si>
  <si>
    <t>P000001074</t>
  </si>
  <si>
    <t>EL-SC-D Investments</t>
  </si>
  <si>
    <t>P000001075</t>
  </si>
  <si>
    <t>EL-SC-DE Projects</t>
  </si>
  <si>
    <t>P000001076</t>
  </si>
  <si>
    <t>EL-SC-DE Investments</t>
  </si>
  <si>
    <t>P000001077</t>
  </si>
  <si>
    <t>EL-SC-DF Projects</t>
  </si>
  <si>
    <t>P000001078</t>
  </si>
  <si>
    <t>EL-SC-DF Investments</t>
  </si>
  <si>
    <t>P000001079</t>
  </si>
  <si>
    <t>EL-SC-DI Projects</t>
  </si>
  <si>
    <t>P000001080</t>
  </si>
  <si>
    <t>EL-SC-DI Investments</t>
  </si>
  <si>
    <t>P000001081</t>
  </si>
  <si>
    <t>EL-SC-DR Projects</t>
  </si>
  <si>
    <t>P000001082</t>
  </si>
  <si>
    <t>EL-SC-DR Investments</t>
  </si>
  <si>
    <t>P000001083</t>
  </si>
  <si>
    <t>EL-SC-DS Projects</t>
  </si>
  <si>
    <t>P000001084</t>
  </si>
  <si>
    <t>EL-SC-DS Investments</t>
  </si>
  <si>
    <t>P000001085</t>
  </si>
  <si>
    <t>EL-SC-DU Projects</t>
  </si>
  <si>
    <t>P000001086</t>
  </si>
  <si>
    <t>EL-SC-DU Investments</t>
  </si>
  <si>
    <t>P000001087</t>
  </si>
  <si>
    <t>EL-SC-DP Projects</t>
  </si>
  <si>
    <t>P000001088</t>
  </si>
  <si>
    <t>EL-SC-DP Investments</t>
  </si>
  <si>
    <t>P000001089</t>
  </si>
  <si>
    <t>EL-SM-EG Global Bus. Lead</t>
  </si>
  <si>
    <t>P000001090</t>
  </si>
  <si>
    <t>EL-SM-EM Marketting Communication</t>
  </si>
  <si>
    <t>P000001091</t>
  </si>
  <si>
    <t>EL-SM-EO Sales Process</t>
  </si>
  <si>
    <t>P000001092</t>
  </si>
  <si>
    <t>EL-SM-EP Commercial Effectiveness</t>
  </si>
  <si>
    <t>P000001093</t>
  </si>
  <si>
    <t>EL-SM-ES Commercial Systems</t>
  </si>
  <si>
    <t>P000001094</t>
  </si>
  <si>
    <t>Inkjet Printing Capability</t>
  </si>
  <si>
    <t>P000001095</t>
  </si>
  <si>
    <t>Materials Informatics for DRAM</t>
  </si>
  <si>
    <t>P000001096</t>
  </si>
  <si>
    <t xml:space="preserve">MIP over/ under </t>
  </si>
  <si>
    <t>P000001097</t>
  </si>
  <si>
    <t>Packaging Tech (BED)</t>
  </si>
  <si>
    <t>P000001098</t>
  </si>
  <si>
    <t>Planarization Incubator</t>
  </si>
  <si>
    <t>P000001099</t>
  </si>
  <si>
    <t>Polar Bear</t>
  </si>
  <si>
    <t>P000001100</t>
  </si>
  <si>
    <t>SPEED</t>
  </si>
  <si>
    <t>P000001101</t>
  </si>
  <si>
    <t>Pad in a paddle</t>
  </si>
  <si>
    <t>P000001102</t>
  </si>
  <si>
    <t>MIP</t>
  </si>
  <si>
    <t>P000000745</t>
  </si>
  <si>
    <t>P000001103</t>
  </si>
  <si>
    <t>CTO Other</t>
  </si>
  <si>
    <t>EL-ND DS&amp;S Global</t>
  </si>
  <si>
    <t>P000001105</t>
  </si>
  <si>
    <t>EL-ND-P Project Management Office</t>
  </si>
  <si>
    <t>P000001106</t>
  </si>
  <si>
    <t>EL-ND-S Product Management</t>
  </si>
  <si>
    <t>P000001107</t>
  </si>
  <si>
    <t>DS&amp;S Other</t>
  </si>
  <si>
    <t>P000001108</t>
  </si>
  <si>
    <t>Sales Projects</t>
  </si>
  <si>
    <t>P000000471</t>
  </si>
  <si>
    <t>P000000474</t>
  </si>
  <si>
    <t>P000000636</t>
  </si>
  <si>
    <t>P000000637</t>
  </si>
  <si>
    <t>P000000638</t>
  </si>
  <si>
    <t>P000000639</t>
  </si>
  <si>
    <t>P000000640</t>
  </si>
  <si>
    <t>H000004339</t>
  </si>
  <si>
    <t>GBF N&amp;I Cost Center</t>
  </si>
  <si>
    <t>H000000163</t>
  </si>
  <si>
    <t>H000004340</t>
  </si>
  <si>
    <t>GBF N&amp;I Project Spend</t>
  </si>
  <si>
    <t>H000004341</t>
  </si>
  <si>
    <t>GBF N&amp;I Head</t>
  </si>
  <si>
    <t>H000004342</t>
  </si>
  <si>
    <t>GBF N&amp;I MS Franchise</t>
  </si>
  <si>
    <t>H000004343</t>
  </si>
  <si>
    <t>GBF N&amp;I MS Com. Operations</t>
  </si>
  <si>
    <t>H000004344</t>
  </si>
  <si>
    <t>GBF N&amp;I Evo</t>
  </si>
  <si>
    <t>H000004345</t>
  </si>
  <si>
    <t>GBF N&amp;I New Product Planning</t>
  </si>
  <si>
    <t>H000004346</t>
  </si>
  <si>
    <t>GBF N&amp;I Other</t>
  </si>
  <si>
    <t xml:space="preserve">L000013152 </t>
  </si>
  <si>
    <t xml:space="preserve">L000006295 </t>
  </si>
  <si>
    <t>EL-SC-DP  Proc. Develop. Surface &amp; Excell.P</t>
  </si>
  <si>
    <t>EL-SC-DR Process Improvement &amp; Robustness</t>
  </si>
  <si>
    <t>EL-SM-GDY SG Supply Chain Planning</t>
  </si>
  <si>
    <t>P000000450</t>
  </si>
  <si>
    <t>EL-PS-AM Commercial Korea</t>
  </si>
  <si>
    <t>EL-PS-AM Commercial Japan</t>
  </si>
  <si>
    <t>EL-PS-AM Comm. Autom. &amp; Industrial Japan</t>
  </si>
  <si>
    <t>EL-PS-AM Commercial Cosmetics Japan</t>
  </si>
  <si>
    <t>P000000451</t>
  </si>
  <si>
    <t>EL-PS-AR Regional Marketing APAC</t>
  </si>
  <si>
    <t>P000000667</t>
  </si>
  <si>
    <t>EL-PS Customer Excellence ASIA</t>
  </si>
  <si>
    <t>EL-ND-B Global S&amp;OP</t>
  </si>
  <si>
    <t>Opened By</t>
  </si>
  <si>
    <t>Simone Oratovski</t>
  </si>
  <si>
    <t>Elena Rasines Martin</t>
  </si>
  <si>
    <t>Rizza Domingo</t>
  </si>
  <si>
    <t>Ronald Pierre Collado</t>
  </si>
  <si>
    <t>Manuel Walther</t>
  </si>
  <si>
    <t>Jojeff Tagnong</t>
  </si>
  <si>
    <t>Marcus Avemarie</t>
  </si>
  <si>
    <t>Edward Arevalo</t>
  </si>
  <si>
    <t>Andreas Demmig</t>
  </si>
  <si>
    <t>Erjo Miguel Tagle</t>
  </si>
  <si>
    <t>Lara Lucchetta</t>
  </si>
  <si>
    <t>Francesco Ricioppo</t>
  </si>
  <si>
    <t>Lena Brand</t>
  </si>
  <si>
    <t>Gay Geanuza del Mundo</t>
  </si>
  <si>
    <t>John Poulie Borromeo</t>
  </si>
  <si>
    <t>Carlo Umali</t>
  </si>
  <si>
    <t>Elsa Shen</t>
  </si>
  <si>
    <t>Jayson Martinez</t>
  </si>
  <si>
    <t>Ilaria Marchetti</t>
  </si>
  <si>
    <t>Marvin Graef</t>
  </si>
  <si>
    <t>Uros Jablanov</t>
  </si>
  <si>
    <t>Eivy Denine Cruz</t>
  </si>
  <si>
    <t>Christoph Mueller</t>
  </si>
  <si>
    <t>Yvonne Doernhofer</t>
  </si>
  <si>
    <t>Gerhard Doeller</t>
  </si>
  <si>
    <t>Julia Reifschneider</t>
  </si>
  <si>
    <t>Ruby Grace Garcia</t>
  </si>
  <si>
    <t>KR00</t>
  </si>
  <si>
    <t>L000013126</t>
  </si>
  <si>
    <t>L000013826</t>
  </si>
  <si>
    <t>G000000613</t>
  </si>
  <si>
    <t>G000001359</t>
  </si>
  <si>
    <t>L000013827</t>
  </si>
  <si>
    <t>G000000622</t>
  </si>
  <si>
    <t>G000001360</t>
  </si>
  <si>
    <t>L000013828</t>
  </si>
  <si>
    <t>G000001361</t>
  </si>
  <si>
    <t>L000013829</t>
  </si>
  <si>
    <t>G000001362</t>
  </si>
  <si>
    <t>L000013830</t>
  </si>
  <si>
    <t>G000001363</t>
  </si>
  <si>
    <t>L000013799</t>
  </si>
  <si>
    <t>L000013831</t>
  </si>
  <si>
    <t>G000001364</t>
  </si>
  <si>
    <t>L000013832</t>
  </si>
  <si>
    <t>G000001365</t>
  </si>
  <si>
    <t>L000013833</t>
  </si>
  <si>
    <t>G000001366</t>
  </si>
  <si>
    <t>L000013834</t>
  </si>
  <si>
    <t>G000001367</t>
  </si>
  <si>
    <t>L000013835</t>
  </si>
  <si>
    <t>G000001368</t>
  </si>
  <si>
    <t>L000013779</t>
  </si>
  <si>
    <t>L000013836</t>
  </si>
  <si>
    <t>G000001369</t>
  </si>
  <si>
    <t>L000013854</t>
  </si>
  <si>
    <t>L000013837</t>
  </si>
  <si>
    <t>G000001370</t>
  </si>
  <si>
    <t>L000013856</t>
  </si>
  <si>
    <t>L000013838</t>
  </si>
  <si>
    <t>G000001371</t>
  </si>
  <si>
    <t>L000013839</t>
  </si>
  <si>
    <t>G000001372</t>
  </si>
  <si>
    <t>L000013840</t>
  </si>
  <si>
    <t>G000001142</t>
  </si>
  <si>
    <t>G000001373</t>
  </si>
  <si>
    <t>L000013841</t>
  </si>
  <si>
    <t>G000001144</t>
  </si>
  <si>
    <t>G000001374</t>
  </si>
  <si>
    <t>L000013842</t>
  </si>
  <si>
    <t>P000001200</t>
  </si>
  <si>
    <t>P000001268</t>
  </si>
  <si>
    <t>L000013843</t>
  </si>
  <si>
    <t>P000001269</t>
  </si>
  <si>
    <t>L000013844</t>
  </si>
  <si>
    <t>P000001270</t>
  </si>
  <si>
    <t>L000013845</t>
  </si>
  <si>
    <t>P000001208</t>
  </si>
  <si>
    <t>P000001271</t>
  </si>
  <si>
    <t>L000013846</t>
  </si>
  <si>
    <t>P000001272</t>
  </si>
  <si>
    <t>L000013847</t>
  </si>
  <si>
    <t>P000001273</t>
  </si>
  <si>
    <t>L000013848</t>
  </si>
  <si>
    <t>P000001274</t>
  </si>
  <si>
    <t>L000013849</t>
  </si>
  <si>
    <t>P000001275</t>
  </si>
  <si>
    <t>L000013850</t>
  </si>
  <si>
    <t>P000001276</t>
  </si>
  <si>
    <t>L000013851</t>
  </si>
  <si>
    <t>P000001277</t>
  </si>
  <si>
    <t>L000013852</t>
  </si>
  <si>
    <t>P000001278</t>
  </si>
  <si>
    <t>L000013853</t>
  </si>
  <si>
    <t>P000001279</t>
  </si>
  <si>
    <t>P000001280</t>
  </si>
  <si>
    <t>L000013855</t>
  </si>
  <si>
    <t>P000001281</t>
  </si>
  <si>
    <t>P000001282</t>
  </si>
  <si>
    <t>L000013857</t>
  </si>
  <si>
    <t>P000001283</t>
  </si>
  <si>
    <t>L000013858</t>
  </si>
  <si>
    <t>P000001284</t>
  </si>
  <si>
    <t>L000013859</t>
  </si>
  <si>
    <t>P000001285</t>
  </si>
  <si>
    <t>L000013860</t>
  </si>
  <si>
    <t>P000001286</t>
  </si>
  <si>
    <t>L000011390</t>
  </si>
  <si>
    <t>L000013861</t>
  </si>
  <si>
    <t>P000001287</t>
  </si>
  <si>
    <t>L000013862</t>
  </si>
  <si>
    <t>P000001288</t>
  </si>
  <si>
    <t>L000011357</t>
  </si>
  <si>
    <t>L000013863</t>
  </si>
  <si>
    <t>P000001289</t>
  </si>
  <si>
    <t>L000013864</t>
  </si>
  <si>
    <t>P000001290</t>
  </si>
  <si>
    <t>L000013865</t>
  </si>
  <si>
    <t>P000001291</t>
  </si>
  <si>
    <t>L000013866</t>
  </si>
  <si>
    <t>P000001292</t>
  </si>
  <si>
    <t>L000013867</t>
  </si>
  <si>
    <t>P000001293</t>
  </si>
  <si>
    <t>L000013868</t>
  </si>
  <si>
    <t>P000001294</t>
  </si>
  <si>
    <t>L000013869</t>
  </si>
  <si>
    <t>P000001295</t>
  </si>
  <si>
    <t>L000013870</t>
  </si>
  <si>
    <t>P000001296</t>
  </si>
  <si>
    <t>L000013871</t>
  </si>
  <si>
    <t>P000001297</t>
  </si>
  <si>
    <t>L000013872</t>
  </si>
  <si>
    <t>P000001298</t>
  </si>
  <si>
    <t>L000013873</t>
  </si>
  <si>
    <t>P000001299</t>
  </si>
  <si>
    <t>L000013874</t>
  </si>
  <si>
    <t>P000001300</t>
  </si>
  <si>
    <t>P000001301</t>
  </si>
  <si>
    <t>P000001302</t>
  </si>
  <si>
    <t>P000001303</t>
  </si>
  <si>
    <t>P000001304</t>
  </si>
  <si>
    <t>P000001305</t>
  </si>
  <si>
    <t>P000001306</t>
  </si>
  <si>
    <t>P000001307</t>
  </si>
  <si>
    <t>P000001308</t>
  </si>
  <si>
    <t>P000001309</t>
  </si>
  <si>
    <t>P000001310</t>
  </si>
  <si>
    <t>P000001311</t>
  </si>
  <si>
    <t>P000001312</t>
  </si>
  <si>
    <t>P000001313</t>
  </si>
  <si>
    <t>P000001314</t>
  </si>
  <si>
    <t>P000001315</t>
  </si>
  <si>
    <t>P000001316</t>
  </si>
  <si>
    <t>P000001317</t>
  </si>
  <si>
    <t>P000001318</t>
  </si>
  <si>
    <t>P000001319</t>
  </si>
  <si>
    <t>P000001320</t>
  </si>
  <si>
    <t>P000001321</t>
  </si>
  <si>
    <t>P000001322</t>
  </si>
  <si>
    <t>P000001323</t>
  </si>
  <si>
    <t>P000001324</t>
  </si>
  <si>
    <t>H000000172</t>
  </si>
  <si>
    <t>H000004394</t>
  </si>
  <si>
    <t>H000004395</t>
  </si>
  <si>
    <t>SC Gebaeude Electronics DA</t>
  </si>
  <si>
    <t>X</t>
  </si>
  <si>
    <t>G000000531</t>
  </si>
  <si>
    <t>Freiflaechen und allg. Infrastruktur</t>
  </si>
  <si>
    <t>G000000532</t>
  </si>
  <si>
    <t>Freiflaechen und Parken</t>
  </si>
  <si>
    <t>G000000945</t>
  </si>
  <si>
    <t xml:space="preserve">Allgemeine Infrastruktur </t>
  </si>
  <si>
    <t xml:space="preserve">G000000089 </t>
  </si>
  <si>
    <t xml:space="preserve">SM-IE Energy Operations &amp; Management </t>
  </si>
  <si>
    <t>G000000472</t>
  </si>
  <si>
    <t>SM-HI Ideenmanagement</t>
  </si>
  <si>
    <t>LW - Ecommerce Specialist</t>
  </si>
  <si>
    <t>LW - Global Digital Camp</t>
  </si>
  <si>
    <t>LW - Content Manager</t>
  </si>
  <si>
    <t>LW - Mark&amp;Digit Comm Spe</t>
  </si>
  <si>
    <t>Schnelldorf DF Operations CCV</t>
  </si>
  <si>
    <t>LS ERP Travel</t>
  </si>
  <si>
    <t>Darmstadt Freight Services -G</t>
  </si>
  <si>
    <t>Gernsheim Operations</t>
  </si>
  <si>
    <t>PG-3 Production</t>
  </si>
  <si>
    <t>PG-8 Production</t>
  </si>
  <si>
    <t>LSS Digital Transformation</t>
  </si>
  <si>
    <t>GoGlobal Program PS Marketing Center</t>
  </si>
  <si>
    <t>GoGlobal Program Downstream Franchises</t>
  </si>
  <si>
    <t>GoGlobal Program UPM</t>
  </si>
  <si>
    <t>Process Liquids &amp; Buffers</t>
  </si>
  <si>
    <t>Cell Lines &amp; CCM</t>
  </si>
  <si>
    <t>UPM - Strategy &amp; Execution</t>
  </si>
  <si>
    <t>Solid &amp; Liquid Formulations</t>
  </si>
  <si>
    <t>Excipients Liquid Applications</t>
  </si>
  <si>
    <t>UPM Management</t>
  </si>
  <si>
    <t>Single Use - Hardware Services</t>
  </si>
  <si>
    <t>Single Use - Management</t>
  </si>
  <si>
    <t>Single Use - Core</t>
  </si>
  <si>
    <t>Single Use - Growth Segments</t>
  </si>
  <si>
    <t>Single Use - Integrated Platform Solut</t>
  </si>
  <si>
    <t>Single Use - Market Positioning</t>
  </si>
  <si>
    <t>Single Use - Strategic Solutions &amp;BP&amp;I</t>
  </si>
  <si>
    <t>Single Use - Portfolio Operations</t>
  </si>
  <si>
    <t>PS Marketing Center</t>
  </si>
  <si>
    <t>Focused Modalities and BP&amp;I</t>
  </si>
  <si>
    <t>Downstream &amp; Validation Service Franch</t>
  </si>
  <si>
    <t>Downstream Management</t>
  </si>
  <si>
    <t>Downstream Portfolio Ops &amp;PS Governance</t>
  </si>
  <si>
    <t>Downstream Strategy &amp; Execution</t>
  </si>
  <si>
    <t>Validation Services &amp; Quality</t>
  </si>
  <si>
    <t>CDMO &amp; Bioprocess Materials</t>
  </si>
  <si>
    <t>Reg Mgmt &amp; Trade Comp.</t>
  </si>
  <si>
    <t>DV Validation Management</t>
  </si>
  <si>
    <t>LSS Engineering</t>
  </si>
  <si>
    <t>E&amp;T LT</t>
  </si>
  <si>
    <t>Proj &amp; Eng - EMEA</t>
  </si>
  <si>
    <t>Global Eng &amp; SMEs</t>
  </si>
  <si>
    <t>LS-SC-EW Global Eng &amp;SMEs</t>
  </si>
  <si>
    <t>LS-SC-EWA FEE&amp;D</t>
  </si>
  <si>
    <t>LS-SC-EWB Global Project Controls</t>
  </si>
  <si>
    <t>LS-SC-EWC Global CSA Engineering</t>
  </si>
  <si>
    <t>LS-SC-EWDBA Membrane</t>
  </si>
  <si>
    <t>LS-SC-EWE GA &amp; OT Eng</t>
  </si>
  <si>
    <t>LS-SC-EWG Global Process Engineering</t>
  </si>
  <si>
    <t>L000013801</t>
  </si>
  <si>
    <t>GES</t>
  </si>
  <si>
    <t>L000013803</t>
  </si>
  <si>
    <t>STO - Mgmt, Commercial, Change &amp; Comms</t>
  </si>
  <si>
    <t>PS Business Franchises - to be deleted</t>
  </si>
  <si>
    <t>PSMMOR1975.5032 5032-PSC-Cust to be del</t>
  </si>
  <si>
    <t>PS1000BE40MS1006-PGSTS-LE Lab to be del</t>
  </si>
  <si>
    <t>PS01010000699601-TM lab &amp; ed to be del</t>
  </si>
  <si>
    <t>Global Services Offerings to be del</t>
  </si>
  <si>
    <t>GTM Modality Focus -to be deleted</t>
  </si>
  <si>
    <t>Portfolio Operations - to be deleted</t>
  </si>
  <si>
    <t>Bus Plannning &amp; Implement - to be del</t>
  </si>
  <si>
    <t>PS Digital Experience - to be deleted</t>
  </si>
  <si>
    <t>L000011397</t>
  </si>
  <si>
    <t>LS-QRP Pharma, Food Mat. &amp; Medical Dev.</t>
  </si>
  <si>
    <t>L000011361</t>
  </si>
  <si>
    <t>LS-QD DA Audits</t>
  </si>
  <si>
    <t>L000012190</t>
  </si>
  <si>
    <t>Ext Manuf Production -G</t>
  </si>
  <si>
    <t>L000010054</t>
  </si>
  <si>
    <t>Ext Manuf Production Applied-G</t>
  </si>
  <si>
    <t>L000010055</t>
  </si>
  <si>
    <t>Ext Manuf Production Process-G</t>
  </si>
  <si>
    <t>L000010056</t>
  </si>
  <si>
    <t>Ext Manuf Production Research-G</t>
  </si>
  <si>
    <t>Marketing Insights and Analytics</t>
  </si>
  <si>
    <t>Mirus Bio Forecast</t>
  </si>
  <si>
    <t>GoGlobal Program Single Use</t>
  </si>
  <si>
    <t>Process &amp; Formulation Mat to be del</t>
  </si>
  <si>
    <t>UPM Marketing Mgmt -G</t>
  </si>
  <si>
    <t>SingleUse&amp;Integrated Platform Sol Fran</t>
  </si>
  <si>
    <t>Marketing and Brand</t>
  </si>
  <si>
    <t>UPM Portfolio Operations</t>
  </si>
  <si>
    <t>Pricing and Governance</t>
  </si>
  <si>
    <t>Franchises Management - to be deleted</t>
  </si>
  <si>
    <t>UPM Royalties</t>
  </si>
  <si>
    <t>L000013142</t>
  </si>
  <si>
    <t xml:space="preserve">UPM Royalty Income Ares Trading </t>
  </si>
  <si>
    <t xml:space="preserve">UPM Management </t>
  </si>
  <si>
    <t>CRM Operations</t>
  </si>
  <si>
    <t>eCommerce</t>
  </si>
  <si>
    <t>G000001265</t>
  </si>
  <si>
    <t>GMR MBS Innovation &amp; Data-Int.Automation</t>
  </si>
  <si>
    <t>G000001211</t>
  </si>
  <si>
    <t>GLW MBS FS&amp;P PO-Perform.Mgmt &amp;Compl. PO</t>
  </si>
  <si>
    <t>G000001219</t>
  </si>
  <si>
    <t>GMG MBS FS&amp;P Ent.S.-Communication Serv.</t>
  </si>
  <si>
    <t>G000000006</t>
  </si>
  <si>
    <t>F79 CO - Group Controlling</t>
  </si>
  <si>
    <t>G000000008</t>
  </si>
  <si>
    <t>GK3 CO - Group Controlling (L2)</t>
  </si>
  <si>
    <t>G000001287</t>
  </si>
  <si>
    <t>GYG MBS Hub Bangalore - SLS Buss Operati</t>
  </si>
  <si>
    <t>G000001288</t>
  </si>
  <si>
    <t>GYG MBS Hub Bangalore - SLS Biomonitor</t>
  </si>
  <si>
    <t>G000001289</t>
  </si>
  <si>
    <t>GYG MBS Hub Bangalore - SLS Diagnistics</t>
  </si>
  <si>
    <t>G000001290</t>
  </si>
  <si>
    <t>GYG MBS Hub Bangalore - SLS Lab Water</t>
  </si>
  <si>
    <t>G000001291</t>
  </si>
  <si>
    <t>GYG MBS Hub Bangalore - SLS eCommerce</t>
  </si>
  <si>
    <t>G000001292</t>
  </si>
  <si>
    <t>GYG MBS Hub Bangalore - SLS  Chemistry</t>
  </si>
  <si>
    <t>G000001293</t>
  </si>
  <si>
    <t>GYG MBS Hub Bangalore - SLS Comm America</t>
  </si>
  <si>
    <t>G000001294</t>
  </si>
  <si>
    <t>GYG MBS Hub Bangalore - SLS Comm APAC</t>
  </si>
  <si>
    <t>G000001295</t>
  </si>
  <si>
    <t>GYG MBS Hub Bangalore - SLS Comm EMEA</t>
  </si>
  <si>
    <t>G000001296</t>
  </si>
  <si>
    <t>GYG MBS Hub Bangalore - SLS Biology</t>
  </si>
  <si>
    <t>G000001299</t>
  </si>
  <si>
    <t>GYH MBS Hub Bangalore - LSS ContractTest</t>
  </si>
  <si>
    <t>G000001302</t>
  </si>
  <si>
    <t>GYI MBS Hub Bangalore - PS Global Strat</t>
  </si>
  <si>
    <t>G000001303</t>
  </si>
  <si>
    <t>GYI MBS Hub Bangalore - PS Buss Franch</t>
  </si>
  <si>
    <t>G000001306</t>
  </si>
  <si>
    <t>GYJ MBS Hub Bangalore - ISCO Supp Chain</t>
  </si>
  <si>
    <t>G000001307</t>
  </si>
  <si>
    <t>GYJ MBS Hub Bangalore - ISCO Glob Plant</t>
  </si>
  <si>
    <t>G000001308</t>
  </si>
  <si>
    <t>GYJ MBS Hub Bangalore - ISCO WH &amp; Dis</t>
  </si>
  <si>
    <t>G000001309</t>
  </si>
  <si>
    <t>GYJ MBS Hub Bangalore - ISCO Val Stream</t>
  </si>
  <si>
    <t>G000001310</t>
  </si>
  <si>
    <t>GYJ MBS Hub Bangalore - ISCO WCOGS</t>
  </si>
  <si>
    <t>G000001311</t>
  </si>
  <si>
    <t>GYJ MBS Hub Bangalore - ISCO Tech &amp; Eng.</t>
  </si>
  <si>
    <t>G000001314</t>
  </si>
  <si>
    <t>GYK MBS Hub Bangalore - EF GSS COE Buss</t>
  </si>
  <si>
    <t>G000001315</t>
  </si>
  <si>
    <t>GYK MBS Hub Bangalore - EF GSS COE STO</t>
  </si>
  <si>
    <t>G000001316</t>
  </si>
  <si>
    <t>GYK MBS Hub Bangalore - EF GSS COE Tech</t>
  </si>
  <si>
    <t>G000001317</t>
  </si>
  <si>
    <t>GYK MBS Hub Bangalore - EF GSS COE QRM</t>
  </si>
  <si>
    <t>G000001318</t>
  </si>
  <si>
    <t>GYK MBS Hub Bangalore - EF GSS COE Sour.</t>
  </si>
  <si>
    <t>G000001319</t>
  </si>
  <si>
    <t>GYK MBS Hub Bangalore - EF GSS COE Admin</t>
  </si>
  <si>
    <t>G000001322</t>
  </si>
  <si>
    <t>GYL MBS I&amp;D - SLS Business Operation</t>
  </si>
  <si>
    <t>G000001323</t>
  </si>
  <si>
    <t>GYL MBS I&amp;D - SLS Biomonitoring</t>
  </si>
  <si>
    <t>G000001324</t>
  </si>
  <si>
    <t>GYL MBS I&amp;D - SLS Diagnistics &amp; Reg. Ma</t>
  </si>
  <si>
    <t>G000001325</t>
  </si>
  <si>
    <t>GYL MBS I&amp;D - SLS Lab Water</t>
  </si>
  <si>
    <t>G000001326</t>
  </si>
  <si>
    <t>GYL MBS I&amp;D - SLS eCommerce</t>
  </si>
  <si>
    <t>G000001327</t>
  </si>
  <si>
    <t>GYL MBS I&amp;D - SLS  Chemistry</t>
  </si>
  <si>
    <t>G000001328</t>
  </si>
  <si>
    <t>GYL MBS I&amp;D - SLS Comm Americas</t>
  </si>
  <si>
    <t>G000001329</t>
  </si>
  <si>
    <t>GYL MBS I&amp;D - SLS SLS Commercial APAC</t>
  </si>
  <si>
    <t>G000001330</t>
  </si>
  <si>
    <t>GYL MBS I&amp;D - SLS SLS Commercial EMEA</t>
  </si>
  <si>
    <t>G000001331</t>
  </si>
  <si>
    <t>GYL MBS I&amp;D - SLS Biology</t>
  </si>
  <si>
    <t>G000001334</t>
  </si>
  <si>
    <t>GYM MBS I&amp;D - LSS Contract Testing Serv</t>
  </si>
  <si>
    <t>G000001337</t>
  </si>
  <si>
    <t>GYN MBS I&amp;D - PS Global Strat Accounts &amp;</t>
  </si>
  <si>
    <t>G000001338</t>
  </si>
  <si>
    <t>GYN MBS I&amp;D - PS Business Franchises</t>
  </si>
  <si>
    <t>G000001341</t>
  </si>
  <si>
    <t>GYO MBS I&amp;D - ISCO Supply Chain &amp; Distri</t>
  </si>
  <si>
    <t>G000001342</t>
  </si>
  <si>
    <t>GYO MBS I&amp;D - ISCO Global Plant Op</t>
  </si>
  <si>
    <t>G000001343</t>
  </si>
  <si>
    <t>GYO MBS I&amp;D - ISCO Warehouse &amp; Distri</t>
  </si>
  <si>
    <t>G000001344</t>
  </si>
  <si>
    <t>GYO MBS I&amp;D - ISCO PS Value Stream</t>
  </si>
  <si>
    <t>G000001345</t>
  </si>
  <si>
    <t>GYO MBS I&amp;D - ISCO WCOGS</t>
  </si>
  <si>
    <t>G000001346</t>
  </si>
  <si>
    <t>GYO MBS I&amp;D - ISCO Tech &amp; Eng.</t>
  </si>
  <si>
    <t>G000001349</t>
  </si>
  <si>
    <t>GYP MBS I&amp;D - EF GSS COE Buss &amp; Market S</t>
  </si>
  <si>
    <t>G000001350</t>
  </si>
  <si>
    <t>GYP MBS I&amp;D - EF GSS COE STO</t>
  </si>
  <si>
    <t>G000001351</t>
  </si>
  <si>
    <t>GYP MBS I&amp;D - EF GSS COE Tech Office</t>
  </si>
  <si>
    <t>G000001352</t>
  </si>
  <si>
    <t>GYP MBS I&amp;D - EF GSS COE LS QRM</t>
  </si>
  <si>
    <t>G000001353</t>
  </si>
  <si>
    <t>GYP MBS I&amp;D - EF GSS COE EF Sourcing</t>
  </si>
  <si>
    <t>G000001354</t>
  </si>
  <si>
    <t>GYP MBS I&amp;D - EF GSS COE Administration</t>
  </si>
  <si>
    <t>FK6 BX-P - Re-Allocatable External Costs</t>
  </si>
  <si>
    <t>G7J Lumina FTO &amp; FTOM</t>
  </si>
  <si>
    <t>G7K Lumina Planning &amp; Reporting</t>
  </si>
  <si>
    <t>G7L Lumina Reporting &amp; GP Processes</t>
  </si>
  <si>
    <t>G7M Lumina Rep Del Fact &amp; Tech&amp;Data</t>
  </si>
  <si>
    <t>G7N Lumina Regulatory Requirements</t>
  </si>
  <si>
    <t>G7O Process Excellence</t>
  </si>
  <si>
    <t>G7P LEAP</t>
  </si>
  <si>
    <t>FAX MBS Invoice to Cash</t>
  </si>
  <si>
    <t>FAX - MGF Reporting</t>
  </si>
  <si>
    <t>FAX - non-MGF Reporting</t>
  </si>
  <si>
    <t>GMW MBS Invoice to Cash</t>
  </si>
  <si>
    <t>FAX MBS - Intercompany Charges</t>
  </si>
  <si>
    <t>FAX MBS - Exceptionals</t>
  </si>
  <si>
    <t>GMX MBS Hub Manila - ABP</t>
  </si>
  <si>
    <t>GMY MBS Hub Bangalore - ABP</t>
  </si>
  <si>
    <t>Brand Development</t>
  </si>
  <si>
    <t>Books &amp; Records</t>
  </si>
  <si>
    <t>Functional built-ups</t>
  </si>
  <si>
    <t>SPICE HR</t>
  </si>
  <si>
    <t>EL-SC-ED ELDP</t>
  </si>
  <si>
    <t>Non-transferring assets</t>
  </si>
  <si>
    <t>EL-ND DSS Global ISC</t>
  </si>
  <si>
    <t>EL-ND DSS Global Head</t>
  </si>
  <si>
    <t>EL-ND DSS Global - IO/Rev Projects/Other</t>
  </si>
  <si>
    <t>DSS Global Production</t>
  </si>
  <si>
    <t>DSS Global Services</t>
  </si>
  <si>
    <t>DSS Global S&amp;OP / Fulfill</t>
  </si>
  <si>
    <t>DSS Global Mfg. &amp; Sus. Eng.</t>
  </si>
  <si>
    <t>DSS Data &amp; Digital</t>
  </si>
  <si>
    <t>DSS Global Quality</t>
  </si>
  <si>
    <t>DSS Global Product Mgmt</t>
  </si>
  <si>
    <t>DSS Global Prj Ex. &amp; Port. Mgmt</t>
  </si>
  <si>
    <t>DSS Global Commercial</t>
  </si>
  <si>
    <t>DSS Global Business Excellence</t>
  </si>
  <si>
    <t>Production - Vultee</t>
  </si>
  <si>
    <t>Production - Chandler</t>
  </si>
  <si>
    <t>Production - Ansan</t>
  </si>
  <si>
    <t>Production - Kaoshiung</t>
  </si>
  <si>
    <t>Production - Waigaoqiao</t>
  </si>
  <si>
    <t>Services - NA/EUR</t>
  </si>
  <si>
    <t>Services - Asia exKR</t>
  </si>
  <si>
    <t>Services - KR</t>
  </si>
  <si>
    <t>S&amp;OP - NA/EUR</t>
  </si>
  <si>
    <t>S&amp;OP - Asia exKR</t>
  </si>
  <si>
    <t>S&amp;OP - KR</t>
  </si>
  <si>
    <t>Mfg. &amp; Sus. Eng. -  NA/EUR</t>
  </si>
  <si>
    <t>Mfg. &amp; Sus. Eng. -  Asia exKR</t>
  </si>
  <si>
    <t>Mfg. &amp; Sus. Eng. -  KR</t>
  </si>
  <si>
    <t>Quality - NA/EUR</t>
  </si>
  <si>
    <t>Quality - Asia exKR</t>
  </si>
  <si>
    <t>Quality - KR</t>
  </si>
  <si>
    <t>Product Mgmt - NA/EUR</t>
  </si>
  <si>
    <t>Product Mgmt - Asia exKR</t>
  </si>
  <si>
    <t>Product Mgmt - KR</t>
  </si>
  <si>
    <t>Prj. Ex. &amp; Port. Mgmt – NA/EUR</t>
  </si>
  <si>
    <t>Prj. Ex. &amp; Port. Mgmt – Asia exKR</t>
  </si>
  <si>
    <t>Project Execution &amp; Portfolio Mgmt - KR</t>
  </si>
  <si>
    <t>Commercial - NA/EUR</t>
  </si>
  <si>
    <t>Commercial - Asia ex KR</t>
  </si>
  <si>
    <t>Commercial - Korea</t>
  </si>
  <si>
    <t>Business Excellence - NA/EUR</t>
  </si>
  <si>
    <t>Business Excellence - Asia ex KR</t>
  </si>
  <si>
    <t>Business Excellence - Korea</t>
  </si>
  <si>
    <t>EL-BP-Q Sourcing Surface Solutions</t>
  </si>
  <si>
    <t>Classic IT</t>
  </si>
  <si>
    <t>IT Projects</t>
  </si>
  <si>
    <t>Cyber Security</t>
  </si>
  <si>
    <t>Information &amp; Operational Tech (IT/OT)</t>
  </si>
  <si>
    <t>BP Digital &amp; Data</t>
  </si>
  <si>
    <t>EL-BP Go Globals</t>
  </si>
  <si>
    <t>P000000594</t>
  </si>
  <si>
    <t>EL-OP Patents</t>
  </si>
  <si>
    <t>P000001199</t>
  </si>
  <si>
    <t>EL-OP Historical cost objects</t>
  </si>
  <si>
    <t>EL Local Functions</t>
  </si>
  <si>
    <t>EL Other DivCO</t>
  </si>
  <si>
    <t>EL Overarching</t>
  </si>
  <si>
    <t>EL Exceptionals</t>
  </si>
  <si>
    <t>P000001204</t>
  </si>
  <si>
    <t>Legal C/O of POG-8 &amp; POG-3</t>
  </si>
  <si>
    <t>P000001207</t>
  </si>
  <si>
    <t>GES Backfills &amp; support</t>
  </si>
  <si>
    <t>EL Technical Cost Center</t>
  </si>
  <si>
    <t>EL Non-Active Cost Objects</t>
  </si>
  <si>
    <t>EL Other Overarching</t>
  </si>
  <si>
    <t>EL-FO-P Patterning ISC &amp; Quality</t>
  </si>
  <si>
    <t>EL-FO-P Patterning Commercial</t>
  </si>
  <si>
    <t>EL-FO-PR Patterning R&amp;D</t>
  </si>
  <si>
    <t>P000001165</t>
  </si>
  <si>
    <t>EL-FO-P Patterning Silica</t>
  </si>
  <si>
    <t>EL-TF-D  ISC &amp; Quality</t>
  </si>
  <si>
    <t>EL-TF Thin Film Commercial</t>
  </si>
  <si>
    <t>Global Health</t>
  </si>
  <si>
    <t>IF-China &amp; International exc GH</t>
  </si>
  <si>
    <t>SM-G MRE Total</t>
  </si>
  <si>
    <t>MRE GHM</t>
  </si>
  <si>
    <t>MRE all Buildings GHM</t>
  </si>
  <si>
    <t>MSM Buildings GHM</t>
  </si>
  <si>
    <t>Full Service</t>
  </si>
  <si>
    <t>Shell &amp; Core</t>
  </si>
  <si>
    <t>Lease &amp; Hold</t>
  </si>
  <si>
    <t>LS Buildings GHM</t>
  </si>
  <si>
    <t>G000000468</t>
  </si>
  <si>
    <t>Susonity Buildings GHM</t>
  </si>
  <si>
    <t>Open Areas GHM</t>
  </si>
  <si>
    <t>Allocation Cost Centers GHM</t>
  </si>
  <si>
    <t>G000000869</t>
  </si>
  <si>
    <t>KGaA GHM</t>
  </si>
  <si>
    <t>G000000870</t>
  </si>
  <si>
    <t>KGaA all Buildings GHM</t>
  </si>
  <si>
    <t>G000000871</t>
  </si>
  <si>
    <t>G000000872</t>
  </si>
  <si>
    <t>G000000949</t>
  </si>
  <si>
    <t>G000000950</t>
  </si>
  <si>
    <t>G000000996</t>
  </si>
  <si>
    <t>G000000997</t>
  </si>
  <si>
    <t>KGaA Deconstruction</t>
  </si>
  <si>
    <t>RDC0000138</t>
  </si>
  <si>
    <t>RDC0000139</t>
  </si>
  <si>
    <t xml:space="preserve">NCE DMPK </t>
  </si>
  <si>
    <t>RDC0000141</t>
  </si>
  <si>
    <t>ADC Technologies</t>
  </si>
  <si>
    <t>G000001375</t>
  </si>
  <si>
    <t>FIT DS - DES DDIT</t>
  </si>
  <si>
    <t>G000001376</t>
  </si>
  <si>
    <t>DS - MGF Reporting</t>
  </si>
  <si>
    <t>G000001377</t>
  </si>
  <si>
    <t>DS - non-MGF Reporting</t>
  </si>
  <si>
    <t>G000001378</t>
  </si>
  <si>
    <t>GWD DS - DES DDIT (L2)</t>
  </si>
  <si>
    <t>G000001379</t>
  </si>
  <si>
    <t>FIT DS - Intercompany Charges</t>
  </si>
  <si>
    <t>G000001380</t>
  </si>
  <si>
    <t>FIT DS - Exceptionals</t>
  </si>
  <si>
    <t>G000001381</t>
  </si>
  <si>
    <t>GWE DS - DES Gov. and Transf. Office</t>
  </si>
  <si>
    <t>RDC0000130</t>
  </si>
  <si>
    <t>G000000846</t>
  </si>
  <si>
    <t>IT06042500</t>
  </si>
  <si>
    <t>G000001240</t>
  </si>
  <si>
    <t>completed</t>
  </si>
  <si>
    <t>IT06100700</t>
  </si>
  <si>
    <t>G000001238</t>
  </si>
  <si>
    <t>IT06100800</t>
  </si>
  <si>
    <t>G000001239</t>
  </si>
  <si>
    <t xml:space="preserve">G000000873 </t>
  </si>
  <si>
    <t>FS Contractors DA</t>
  </si>
  <si>
    <t>Contractors/Externals Area</t>
  </si>
  <si>
    <t>Z-Area</t>
  </si>
  <si>
    <t>W-Area</t>
  </si>
  <si>
    <t>G000000398</t>
  </si>
  <si>
    <t xml:space="preserve">G000000878 </t>
  </si>
  <si>
    <t xml:space="preserve">SM-SF/SC Fire Brigade &amp; Security </t>
  </si>
  <si>
    <t>SM-SF Fire Protection</t>
  </si>
  <si>
    <t>SM-SC Site Security &amp; Cross Services</t>
  </si>
  <si>
    <t>H000004388</t>
  </si>
  <si>
    <t>GCD WBS elements</t>
  </si>
  <si>
    <t>Separation Cost</t>
  </si>
  <si>
    <t>P000001198</t>
  </si>
  <si>
    <t>P000001201</t>
  </si>
  <si>
    <t>Set up of NewCos</t>
  </si>
  <si>
    <t>P000001202</t>
  </si>
  <si>
    <t>Set up of Export Model &amp; Hubs</t>
  </si>
  <si>
    <t>P000001203</t>
  </si>
  <si>
    <t>Physical separation</t>
  </si>
  <si>
    <t>Legal C/O of POG-8 &amp; POG-3 out of
current legal entities</t>
  </si>
  <si>
    <t>P000001205</t>
  </si>
  <si>
    <t>IT Separation</t>
  </si>
  <si>
    <t>P000001206</t>
  </si>
  <si>
    <t>Business Backfills</t>
  </si>
  <si>
    <t>MBS Backfills &amp; support</t>
  </si>
  <si>
    <t>Additional Cost</t>
  </si>
  <si>
    <t>P000001209</t>
  </si>
  <si>
    <t>EL-DS-LR LC/DPM R&amp;D General Expenses</t>
  </si>
  <si>
    <t>P000001117</t>
  </si>
  <si>
    <t>P000001210</t>
  </si>
  <si>
    <t>QA</t>
  </si>
  <si>
    <t>P000001211</t>
  </si>
  <si>
    <t>CC Variances</t>
  </si>
  <si>
    <t>P000001212</t>
  </si>
  <si>
    <t>General R&amp;D other</t>
  </si>
  <si>
    <t>P000001213</t>
  </si>
  <si>
    <t>Commercialized Display</t>
  </si>
  <si>
    <t>P000000590</t>
  </si>
  <si>
    <t>P000001214</t>
  </si>
  <si>
    <t>IPS/FFS</t>
  </si>
  <si>
    <t>P000001215</t>
  </si>
  <si>
    <t>PS-VA</t>
  </si>
  <si>
    <t>P000001216</t>
  </si>
  <si>
    <t>UB-FFS</t>
  </si>
  <si>
    <t>P000001217</t>
  </si>
  <si>
    <t>Other Customer Projects</t>
  </si>
  <si>
    <t>P000001218</t>
  </si>
  <si>
    <t>New display modes</t>
  </si>
  <si>
    <t>P000001219</t>
  </si>
  <si>
    <t>UB plus</t>
  </si>
  <si>
    <t>P000001220</t>
  </si>
  <si>
    <t>SA-VA</t>
  </si>
  <si>
    <t>P000001221</t>
  </si>
  <si>
    <t>EL-DS-OR OLED R&amp;D General Expenses</t>
  </si>
  <si>
    <t>P000001126</t>
  </si>
  <si>
    <t>P000001222</t>
  </si>
  <si>
    <t>IC Cross Charges</t>
  </si>
  <si>
    <t>P000001223</t>
  </si>
  <si>
    <t>Maintenance/Process Optimization</t>
  </si>
  <si>
    <t>P000001224</t>
  </si>
  <si>
    <t>CC variances</t>
  </si>
  <si>
    <t>P000001225</t>
  </si>
  <si>
    <t>P000001226</t>
  </si>
  <si>
    <t>OLED Customer Projects</t>
  </si>
  <si>
    <t>P000000591</t>
  </si>
  <si>
    <t>P000001227</t>
  </si>
  <si>
    <t>AUO</t>
  </si>
  <si>
    <t>P000001228</t>
  </si>
  <si>
    <t>BOE</t>
  </si>
  <si>
    <t>P000001229</t>
  </si>
  <si>
    <t>CSOT</t>
  </si>
  <si>
    <t>P000001230</t>
  </si>
  <si>
    <t>GVO</t>
  </si>
  <si>
    <t>P000001231</t>
  </si>
  <si>
    <t>SHTM</t>
  </si>
  <si>
    <t>P000001232</t>
  </si>
  <si>
    <t>LGD</t>
  </si>
  <si>
    <t>P000001233</t>
  </si>
  <si>
    <t>SDC</t>
  </si>
  <si>
    <t>P000001234</t>
  </si>
  <si>
    <t>OLED Platforms</t>
  </si>
  <si>
    <t>P000001235</t>
  </si>
  <si>
    <t>HTM</t>
  </si>
  <si>
    <t>P000001236</t>
  </si>
  <si>
    <t>TMM</t>
  </si>
  <si>
    <t>P000001237</t>
  </si>
  <si>
    <t>Emitter</t>
  </si>
  <si>
    <t>P000001238</t>
  </si>
  <si>
    <t>Printing</t>
  </si>
  <si>
    <t>P000001239</t>
  </si>
  <si>
    <t>OLED General R&amp;D</t>
  </si>
  <si>
    <t>P000001240</t>
  </si>
  <si>
    <t>NGB</t>
  </si>
  <si>
    <t>P000001241</t>
  </si>
  <si>
    <t>EL-PD Other</t>
  </si>
  <si>
    <t>P000001242</t>
  </si>
  <si>
    <t>ETM</t>
  </si>
  <si>
    <t>P000001243</t>
  </si>
  <si>
    <t>EL-DS BF FD R&amp;D General Expenses</t>
  </si>
  <si>
    <t>P000001130</t>
  </si>
  <si>
    <t>P000001244</t>
  </si>
  <si>
    <t>P000001245</t>
  </si>
  <si>
    <t>Smart Antenna</t>
  </si>
  <si>
    <t>P000000593</t>
  </si>
  <si>
    <t>P000001246</t>
  </si>
  <si>
    <t>Display Enabling Materials</t>
  </si>
  <si>
    <t>P000001247</t>
  </si>
  <si>
    <t>Flexible Hard Coat</t>
  </si>
  <si>
    <t>P000001248</t>
  </si>
  <si>
    <t>Low-K</t>
  </si>
  <si>
    <t>P000001249</t>
  </si>
  <si>
    <t>On-Cell touch</t>
  </si>
  <si>
    <t>P000001250</t>
  </si>
  <si>
    <t>OLED structures</t>
  </si>
  <si>
    <t>P000001251</t>
  </si>
  <si>
    <t>Reactive Mesogens</t>
  </si>
  <si>
    <t>P000001252</t>
  </si>
  <si>
    <t>Digital Optics</t>
  </si>
  <si>
    <t>P000001253</t>
  </si>
  <si>
    <t>Feasibility</t>
  </si>
  <si>
    <t>H000004389</t>
  </si>
  <si>
    <t>CN - Onco ISS BU Pimi MKT</t>
  </si>
  <si>
    <t>H000001411</t>
  </si>
  <si>
    <t>H000004390</t>
  </si>
  <si>
    <t>CN - Onco Sales Promotion Pimi MKT</t>
  </si>
  <si>
    <t>H000001421</t>
  </si>
  <si>
    <t>H000004391</t>
  </si>
  <si>
    <t>CN - Medical Team Pimi MA</t>
  </si>
  <si>
    <t>H000001526</t>
  </si>
  <si>
    <t>H000004392</t>
  </si>
  <si>
    <t>CN - Medical activities Pimi MA</t>
  </si>
  <si>
    <t>H000001539</t>
  </si>
  <si>
    <t>H000004393</t>
  </si>
  <si>
    <t>CN - Local studies Pimi MA</t>
  </si>
  <si>
    <t>H000001549</t>
  </si>
  <si>
    <t>H000000451</t>
  </si>
  <si>
    <t>H000000452</t>
  </si>
  <si>
    <t>H000000453</t>
  </si>
  <si>
    <t>H000000946</t>
  </si>
  <si>
    <t>H000000718</t>
  </si>
  <si>
    <t>RD-R Regulatory, Quality, Safety</t>
  </si>
  <si>
    <t>H000000719</t>
  </si>
  <si>
    <t>R&amp;D Quality &amp; Risk Management</t>
  </si>
  <si>
    <t>RQS Operations</t>
  </si>
  <si>
    <t>H000000723</t>
  </si>
  <si>
    <t>International Regulatory Affairs</t>
  </si>
  <si>
    <t>H000000737</t>
  </si>
  <si>
    <t>TA Neurology, Immunology &amp; Establ. Prod.</t>
  </si>
  <si>
    <t>H000000740</t>
  </si>
  <si>
    <t>RQS Head</t>
  </si>
  <si>
    <t>H000000743</t>
  </si>
  <si>
    <t>Regulatory CMC &amp; Devices</t>
  </si>
  <si>
    <t>H000000908</t>
  </si>
  <si>
    <t>Labeling Strategy &amp; Advertising &amp; Promo</t>
  </si>
  <si>
    <t>IT06100500</t>
  </si>
  <si>
    <t>EF-IT-PB</t>
  </si>
  <si>
    <t>G000001275</t>
  </si>
  <si>
    <t>G000001273</t>
  </si>
  <si>
    <t>G000001274</t>
  </si>
  <si>
    <t>G000001279</t>
  </si>
  <si>
    <t>GMS MBS Innovation &amp; Data-Data Sci &amp; AI</t>
  </si>
  <si>
    <t>G000001145</t>
  </si>
  <si>
    <t>G000001280</t>
  </si>
  <si>
    <t>GMT MBS FS&amp;P Ent.S.- Event Services</t>
  </si>
  <si>
    <t>G000001148</t>
  </si>
  <si>
    <t>G000001281</t>
  </si>
  <si>
    <t>GN9 PS - Core Ext.Cost</t>
  </si>
  <si>
    <t>G000000131</t>
  </si>
  <si>
    <t>G000001282</t>
  </si>
  <si>
    <t>GP0 PS - Healthcare Ext.Cost</t>
  </si>
  <si>
    <t>G000000132</t>
  </si>
  <si>
    <t>G000001283</t>
  </si>
  <si>
    <t>GP1 PS - Life Science Ext.Cost</t>
  </si>
  <si>
    <t>G000000133</t>
  </si>
  <si>
    <t>G000001284</t>
  </si>
  <si>
    <t>GY1 PS - Electronics Ext.Cost</t>
  </si>
  <si>
    <t>G000000134</t>
  </si>
  <si>
    <t>G000001285</t>
  </si>
  <si>
    <t>GMU SQ - Bioethics</t>
  </si>
  <si>
    <t>G000000586</t>
  </si>
  <si>
    <t>L000013790</t>
  </si>
  <si>
    <t>Regional management_US East</t>
  </si>
  <si>
    <t>L000013791</t>
  </si>
  <si>
    <t>Regional management_US Mid West</t>
  </si>
  <si>
    <t>L000013792</t>
  </si>
  <si>
    <t>Regional management_US West</t>
  </si>
  <si>
    <t>L000013793</t>
  </si>
  <si>
    <t>Regional management_Western Europe &amp; ME</t>
  </si>
  <si>
    <t>L000013794</t>
  </si>
  <si>
    <t>Regional management_Central Europe</t>
  </si>
  <si>
    <t>L000013795</t>
  </si>
  <si>
    <t>Systems &amp; Maintenance Engineering</t>
  </si>
  <si>
    <t>L000013796</t>
  </si>
  <si>
    <t>Performance Management &amp; Transformation</t>
  </si>
  <si>
    <t>L000013797</t>
  </si>
  <si>
    <t>Supply Chain LSS</t>
  </si>
  <si>
    <t>L000013798</t>
  </si>
  <si>
    <t>ONE LS ERP</t>
  </si>
  <si>
    <t>L000013623</t>
  </si>
  <si>
    <t>ONE LS ERP Business</t>
  </si>
  <si>
    <t>L000013800</t>
  </si>
  <si>
    <t>ISCO</t>
  </si>
  <si>
    <t>MBS</t>
  </si>
  <si>
    <t>L000013802</t>
  </si>
  <si>
    <t>Quality &amp; Data</t>
  </si>
  <si>
    <t>STO - Commercial, Change Mngmt &amp; Comms</t>
  </si>
  <si>
    <t>L000013804</t>
  </si>
  <si>
    <t>LS Finance</t>
  </si>
  <si>
    <t>L000013805</t>
  </si>
  <si>
    <t>Business External</t>
  </si>
  <si>
    <t>L000013806</t>
  </si>
  <si>
    <t>Business Labor</t>
  </si>
  <si>
    <t>L000013807</t>
  </si>
  <si>
    <t>ONE LS ERP IT</t>
  </si>
  <si>
    <t>L000013808</t>
  </si>
  <si>
    <t>IT LS</t>
  </si>
  <si>
    <t>L000013809</t>
  </si>
  <si>
    <t>IT Group CIO</t>
  </si>
  <si>
    <t>L000013810</t>
  </si>
  <si>
    <t>IT External</t>
  </si>
  <si>
    <t>L000013811</t>
  </si>
  <si>
    <t>IT Labor</t>
  </si>
  <si>
    <t>L000013812</t>
  </si>
  <si>
    <t>IT Accounting</t>
  </si>
  <si>
    <t>L000013813</t>
  </si>
  <si>
    <t>Technology Leadership Fund - KAIST</t>
  </si>
  <si>
    <t>L000013814</t>
  </si>
  <si>
    <t>LSS Marketing Communication</t>
  </si>
  <si>
    <t>L000013183</t>
  </si>
  <si>
    <t>L000013815</t>
  </si>
  <si>
    <t>LSS Commercial Enablement</t>
  </si>
  <si>
    <t>L000013816</t>
  </si>
  <si>
    <t>Spruce - Cell Marque Operations</t>
  </si>
  <si>
    <t>L000013656</t>
  </si>
  <si>
    <t>L000005678</t>
  </si>
  <si>
    <t>BM - Mktg - Pharma &amp; F&amp;B -G</t>
  </si>
  <si>
    <t>L000005683</t>
  </si>
  <si>
    <t>BM - Technical Support</t>
  </si>
  <si>
    <t>L000013611</t>
  </si>
  <si>
    <t>DxRM - Molecular &amp; Immunoassay Mat Old</t>
  </si>
  <si>
    <t>SingleUse &amp; Integrated Platform Solution</t>
  </si>
  <si>
    <t>L000008293</t>
  </si>
  <si>
    <t>SLS Commercial APeC -G</t>
  </si>
  <si>
    <t>Analytics CoE</t>
  </si>
  <si>
    <t>L000011322</t>
  </si>
  <si>
    <t>Life Science Business Development</t>
  </si>
  <si>
    <t>L000011344</t>
  </si>
  <si>
    <t>Strategy &amp; Market Intelligence</t>
  </si>
  <si>
    <t>L000011353</t>
  </si>
  <si>
    <t>Program Management and Change</t>
  </si>
  <si>
    <t>L000012995</t>
  </si>
  <si>
    <t>Sustainability &amp; Social Business Innovat</t>
  </si>
  <si>
    <t>L000005915</t>
  </si>
  <si>
    <t>DxRM - Immunoassay Materials</t>
  </si>
  <si>
    <t>L000005842</t>
  </si>
  <si>
    <t>L000006082</t>
  </si>
  <si>
    <t>LW MEA</t>
  </si>
  <si>
    <t>L000013197</t>
  </si>
  <si>
    <t>L000013711</t>
  </si>
  <si>
    <t>L000013710</t>
  </si>
  <si>
    <t>L000013712</t>
  </si>
  <si>
    <t>L000013713</t>
  </si>
  <si>
    <t>L000013714</t>
  </si>
  <si>
    <t>L000013715</t>
  </si>
  <si>
    <t>L000013716</t>
  </si>
  <si>
    <t>L000013717</t>
  </si>
  <si>
    <t>L000013719</t>
  </si>
  <si>
    <t>L000013720</t>
  </si>
  <si>
    <t>L000013721</t>
  </si>
  <si>
    <t>L000013722</t>
  </si>
  <si>
    <t>L000013723</t>
  </si>
  <si>
    <t>L000013724</t>
  </si>
  <si>
    <t>L000005672</t>
  </si>
  <si>
    <t>L000005673</t>
  </si>
  <si>
    <t>L000005674</t>
  </si>
  <si>
    <t>L000005694</t>
  </si>
  <si>
    <t>L000005668</t>
  </si>
  <si>
    <t>L000005837</t>
  </si>
  <si>
    <t>L000005839</t>
  </si>
  <si>
    <t>L000005826</t>
  </si>
  <si>
    <t>L000005684</t>
  </si>
  <si>
    <t>L000005685</t>
  </si>
  <si>
    <t>L000005686</t>
  </si>
  <si>
    <t>L000005687</t>
  </si>
  <si>
    <t>L000005926</t>
  </si>
  <si>
    <t>L000013198</t>
  </si>
  <si>
    <t>L000013703</t>
  </si>
  <si>
    <t>L000006100</t>
  </si>
  <si>
    <t>L000006092</t>
  </si>
  <si>
    <t>L000008319</t>
  </si>
  <si>
    <t>L000009448</t>
  </si>
  <si>
    <t>L000009582</t>
  </si>
  <si>
    <t>L000009604</t>
  </si>
  <si>
    <t>L000009610</t>
  </si>
  <si>
    <t>L000013605</t>
  </si>
  <si>
    <t>L000013680</t>
  </si>
  <si>
    <t>L000005840</t>
  </si>
  <si>
    <t>L000012505</t>
  </si>
  <si>
    <t>L000012823</t>
  </si>
  <si>
    <t>L000013679</t>
  </si>
  <si>
    <t>L000013360</t>
  </si>
  <si>
    <t>L000013685</t>
  </si>
  <si>
    <t>L000013361</t>
  </si>
  <si>
    <t>L000013362</t>
  </si>
  <si>
    <t>G000000477</t>
  </si>
  <si>
    <t>SM-Z Merck Interim Service</t>
  </si>
  <si>
    <t>G000001286</t>
  </si>
  <si>
    <t>MBS Hub Bangalore - SLS</t>
  </si>
  <si>
    <t>MBS Hub Bangalore - SLS Business Operation</t>
  </si>
  <si>
    <t>MBS Hub Bangalore - SLS Biomonitoring</t>
  </si>
  <si>
    <t>MBS Hub Bangalore - SLS Diagnistics &amp; Regulated Materials</t>
  </si>
  <si>
    <t>MBS Hub Bangalore - SLS Lab Water</t>
  </si>
  <si>
    <t>MBS Hub Bangalore - SLS eCommerce</t>
  </si>
  <si>
    <t>MBS Hub Bangalore - SLS  Chemistry</t>
  </si>
  <si>
    <t>MBS Hub Bangalore - SLS SLS Commercial Americas</t>
  </si>
  <si>
    <t>MBS Hub Bangalore - SLS SLS Commercial APAC</t>
  </si>
  <si>
    <t>MBS Hub Bangalore - SLS SLS Commercial EMEA</t>
  </si>
  <si>
    <t>MBS Hub Bangalore - SLS Biology</t>
  </si>
  <si>
    <t>G000001297</t>
  </si>
  <si>
    <t>MBS Hub Bangalore - SLS (direct input)</t>
  </si>
  <si>
    <t>G000001298</t>
  </si>
  <si>
    <t>MBS Hub Bangalore - LSS</t>
  </si>
  <si>
    <t>MBS Hub Bangalore - LSS Contract Testing Services</t>
  </si>
  <si>
    <t>G000001300</t>
  </si>
  <si>
    <t>MBS Hub Bangalore - LSS (direct input)</t>
  </si>
  <si>
    <t>G000001301</t>
  </si>
  <si>
    <t>MBS Hub Bangalore - PS</t>
  </si>
  <si>
    <t>MBS Hub Bangalore - PS Global Strategic Accounts &amp; Ser</t>
  </si>
  <si>
    <t>MBS Hub Bangalore - PS Business Franchises</t>
  </si>
  <si>
    <t>G000001304</t>
  </si>
  <si>
    <t>MBS Hub Bangalore - PS (direct input)</t>
  </si>
  <si>
    <t>G000001305</t>
  </si>
  <si>
    <t>MBS Hub Bangalore - ISCO</t>
  </si>
  <si>
    <t>MBS Hub Bangalore - ISCO Supply Chain &amp; Distribution</t>
  </si>
  <si>
    <t>MBS Hub Bangalore - ISCO Global Plant Operation</t>
  </si>
  <si>
    <t>MBS Hub Bangalore - ISCO Warehouse &amp; Distribution</t>
  </si>
  <si>
    <t>MBS Hub Bangalore - ISCO PS Value Stream</t>
  </si>
  <si>
    <t>MBS Hub Bangalore - ISCO WCOGS</t>
  </si>
  <si>
    <t>MBS Hub Bangalore - ISCO Tech &amp; Eng.</t>
  </si>
  <si>
    <t>G000001312</t>
  </si>
  <si>
    <t>MBS Hub Bangalore - ISCO (direct input)</t>
  </si>
  <si>
    <t>G000001313</t>
  </si>
  <si>
    <t>MBS Hub Bangalore - EF GSS COE</t>
  </si>
  <si>
    <t>MBS Hub Bangalore - EF GSS COE Business &amp; Market Services</t>
  </si>
  <si>
    <t>MBS Hub Bangalore - EF GSS COE STO</t>
  </si>
  <si>
    <t>MBS Hub Bangalore - EF GSS COE Technology Office</t>
  </si>
  <si>
    <t>MBS Hub Bangalore - EF GSS COE LS QRM</t>
  </si>
  <si>
    <t>MBS Hub Bangalore - EF GSS COE EF Sourcing</t>
  </si>
  <si>
    <t>MBS Hub Bangalore - EF GSS COE Administration</t>
  </si>
  <si>
    <t>G000001320</t>
  </si>
  <si>
    <t>MBS Hub Bangalore - EF GSS COE (direct input)</t>
  </si>
  <si>
    <t>G000001321</t>
  </si>
  <si>
    <t>MBS I&amp;D - SLS</t>
  </si>
  <si>
    <t>MBS I&amp;D - SLS Business Operation</t>
  </si>
  <si>
    <t>MBS I&amp;D - SLS Biomonitoring</t>
  </si>
  <si>
    <t>MBS I&amp;D - SLS Diagnistics &amp; Regulated Materials</t>
  </si>
  <si>
    <t>MBS I&amp;D - SLS Lab Water</t>
  </si>
  <si>
    <t>MBS I&amp;D - SLS eCommerce</t>
  </si>
  <si>
    <t>MBS I&amp;D - SLS  Chemistry</t>
  </si>
  <si>
    <t>MBS I&amp;D - SLS SLS Commercial Americas</t>
  </si>
  <si>
    <t>MBS I&amp;D - SLS SLS Commercial APAC</t>
  </si>
  <si>
    <t>MBS I&amp;D - SLS SLS Commercial EMEA</t>
  </si>
  <si>
    <t>MBS I&amp;D - SLS Biology</t>
  </si>
  <si>
    <t>G000001332</t>
  </si>
  <si>
    <t>MBS I&amp;D - SLS  - SLS (direct input)</t>
  </si>
  <si>
    <t>G000001333</t>
  </si>
  <si>
    <t>MBS I&amp;D - LSS</t>
  </si>
  <si>
    <t>MBS I&amp;D - LSS Contract Testing Services</t>
  </si>
  <si>
    <t>G000001335</t>
  </si>
  <si>
    <t>MBS I&amp;D - LSS (direct input)</t>
  </si>
  <si>
    <t>G000001336</t>
  </si>
  <si>
    <t>MBS I&amp;D - PS</t>
  </si>
  <si>
    <t>MBS I&amp;D - PS Global Strategic Accounts &amp; Ser</t>
  </si>
  <si>
    <t>MBS I&amp;D - PS Business Franchises</t>
  </si>
  <si>
    <t>G000001339</t>
  </si>
  <si>
    <t>MBS I&amp;D - PS (direct input)</t>
  </si>
  <si>
    <t>G000001340</t>
  </si>
  <si>
    <t>MBS I&amp;D - ISCO</t>
  </si>
  <si>
    <t>MBS I&amp;D - ISCO Supply Chain &amp; Distribution</t>
  </si>
  <si>
    <t>MBS I&amp;D - ISCO Global Plant Operation</t>
  </si>
  <si>
    <t>MBS I&amp;D - ISCO Warehouse &amp; Distribution</t>
  </si>
  <si>
    <t>MBS I&amp;D - ISCO PS Value Stream</t>
  </si>
  <si>
    <t>MBS I&amp;D - ISCO WCOGS</t>
  </si>
  <si>
    <t>MBS I&amp;D - ISCO Tech &amp; Eng.</t>
  </si>
  <si>
    <t>G000001347</t>
  </si>
  <si>
    <t>MBS I&amp;D - ISCO (direct input)</t>
  </si>
  <si>
    <t>G000001348</t>
  </si>
  <si>
    <t>MBS I&amp;D - EF GSS COE</t>
  </si>
  <si>
    <t>MBS I&amp;D - EF GSS COE Business &amp; Market Services</t>
  </si>
  <si>
    <t>MBS I&amp;D - EF GSS COE STO</t>
  </si>
  <si>
    <t>MBS I&amp;D - EF GSS COE Technology Office</t>
  </si>
  <si>
    <t>MBS I&amp;D - EF GSS COE LS QRM</t>
  </si>
  <si>
    <t>MBS I&amp;D - EF GSS COE EF Sourcing</t>
  </si>
  <si>
    <t>MBS I&amp;D - EF GSS COE Administration</t>
  </si>
  <si>
    <t>G000001355</t>
  </si>
  <si>
    <t>MBS I&amp;D - EF GSS COE (direct input)</t>
  </si>
  <si>
    <t>GPA PS - Core Ext.Cost</t>
  </si>
  <si>
    <t>G000000590</t>
  </si>
  <si>
    <t>GPB PS - Healthcare Ext.Cost</t>
  </si>
  <si>
    <t>GPC PS - Life Science Ext.Cost</t>
  </si>
  <si>
    <t>GPD PS - Electronics Ext.Cost</t>
  </si>
  <si>
    <t>G000001356</t>
  </si>
  <si>
    <t>EF-IT-PX</t>
  </si>
  <si>
    <t>G000000340</t>
  </si>
  <si>
    <t>IT06100900</t>
  </si>
  <si>
    <t>IT06050000</t>
  </si>
  <si>
    <t>L000013389</t>
  </si>
  <si>
    <t>IT06050300</t>
  </si>
  <si>
    <t>L000013390</t>
  </si>
  <si>
    <t>IT06050400</t>
  </si>
  <si>
    <t>L000013391</t>
  </si>
  <si>
    <t>IT06050500</t>
  </si>
  <si>
    <t>L000013392</t>
  </si>
  <si>
    <t>IT06050700</t>
  </si>
  <si>
    <t>L000013393</t>
  </si>
  <si>
    <t>IT06050900</t>
  </si>
  <si>
    <t>L000013394</t>
  </si>
  <si>
    <t>IT06050200</t>
  </si>
  <si>
    <t>L000013395</t>
  </si>
  <si>
    <t>IT06050100</t>
  </si>
  <si>
    <t>L000013396</t>
  </si>
  <si>
    <t>IT06050600</t>
  </si>
  <si>
    <t>L000013397</t>
  </si>
  <si>
    <t>IT06051000</t>
  </si>
  <si>
    <t>L000013599</t>
  </si>
  <si>
    <t>SM-H Site &amp; HQ Development Services</t>
  </si>
  <si>
    <t xml:space="preserve">G000000994 </t>
  </si>
  <si>
    <t xml:space="preserve">G000000995 </t>
  </si>
  <si>
    <t xml:space="preserve">G000000993 </t>
  </si>
  <si>
    <t>G000000873</t>
  </si>
  <si>
    <t>G000001357</t>
  </si>
  <si>
    <t>MBS S&amp;T Learning &amp; Develop., Knwldg Mgt</t>
  </si>
  <si>
    <t>G000001146</t>
  </si>
  <si>
    <t>G000001191</t>
  </si>
  <si>
    <t>MBS S&amp;T - Business Process Management</t>
  </si>
  <si>
    <t>SM-PT</t>
  </si>
  <si>
    <t>SM-PM und PT</t>
  </si>
  <si>
    <t>SM-PTT Material Management</t>
  </si>
  <si>
    <t>SM-PTT Technical Warehouse</t>
  </si>
  <si>
    <t>SM-PTT IVV Allocation CCs</t>
  </si>
  <si>
    <t>WTF, duplicated</t>
  </si>
  <si>
    <t>SM-PM</t>
  </si>
  <si>
    <t>SM-PMA</t>
  </si>
  <si>
    <t>PG1 Blending+Packaging</t>
  </si>
  <si>
    <t>PG2 Coating</t>
  </si>
  <si>
    <t>PG1 Substrates</t>
  </si>
  <si>
    <t>L000013817</t>
  </si>
  <si>
    <t xml:space="preserve">Business Integration _GPO </t>
  </si>
  <si>
    <t>L000013818</t>
  </si>
  <si>
    <t xml:space="preserve">Business Integration _PS VS </t>
  </si>
  <si>
    <t>L000013819</t>
  </si>
  <si>
    <t>mRNA and LNP Innovation</t>
  </si>
  <si>
    <t>L000013820</t>
  </si>
  <si>
    <t>Bioconujation and SM Innovation</t>
  </si>
  <si>
    <t>L000013821</t>
  </si>
  <si>
    <t>Viral Vectors Innovation</t>
  </si>
  <si>
    <t>L000013822</t>
  </si>
  <si>
    <t>Biologics Innovation</t>
  </si>
  <si>
    <t>L000013823</t>
  </si>
  <si>
    <t>PMO CDMO Innovation</t>
  </si>
  <si>
    <t>L000013785</t>
  </si>
  <si>
    <t>L000005722</t>
  </si>
  <si>
    <t>BM - Comm NA - South Pharma</t>
  </si>
  <si>
    <t>L000013350</t>
  </si>
  <si>
    <t>CDMO - APAC Sales</t>
  </si>
  <si>
    <t>Synthesis mRNA delivery &amp; PEG's</t>
  </si>
  <si>
    <t>mRNA Delivery / Manufacturing</t>
  </si>
  <si>
    <t>ADC Payload Automation &amp; Digital</t>
  </si>
  <si>
    <t>ADC Bionconjugation Template</t>
  </si>
  <si>
    <t>L000007087</t>
  </si>
  <si>
    <t>VV Innovation</t>
  </si>
  <si>
    <t>L000006414</t>
  </si>
  <si>
    <t>Synthesis &amp; ADC CDMO Management</t>
  </si>
  <si>
    <t>L000013789</t>
  </si>
  <si>
    <t>CDMO Operations</t>
  </si>
  <si>
    <t>SAC BP &amp; Implementation</t>
  </si>
  <si>
    <t>L000006947</t>
  </si>
  <si>
    <t>BioVV - Management</t>
  </si>
  <si>
    <t>L000006952</t>
  </si>
  <si>
    <t>BioVV - Strategy</t>
  </si>
  <si>
    <t>L000012321</t>
  </si>
  <si>
    <t>L000009432</t>
  </si>
  <si>
    <t>CDMO - Carlsbad</t>
  </si>
  <si>
    <t>CDMO - Martillac</t>
  </si>
  <si>
    <t>CDMO - Burlington</t>
  </si>
  <si>
    <t>L000013178</t>
  </si>
  <si>
    <t>BioVV - Bus. Planning &amp; Implementation</t>
  </si>
  <si>
    <t>CDMO - Shanghai</t>
  </si>
  <si>
    <t>L000006951</t>
  </si>
  <si>
    <t>L000007094</t>
  </si>
  <si>
    <t>L000013775</t>
  </si>
  <si>
    <t>L000005433</t>
  </si>
  <si>
    <t>L000005326</t>
  </si>
  <si>
    <t>L000013786</t>
  </si>
  <si>
    <t>L000006448</t>
  </si>
  <si>
    <t>L000013784</t>
  </si>
  <si>
    <t>L000013783</t>
  </si>
  <si>
    <t>L000013666</t>
  </si>
  <si>
    <t>L000013787</t>
  </si>
  <si>
    <t>L000006295</t>
  </si>
  <si>
    <t>G000001358</t>
  </si>
  <si>
    <t>GMV MBS Hub Wroclaw - ABP</t>
  </si>
  <si>
    <t>G000001143</t>
  </si>
  <si>
    <t>P000001254</t>
  </si>
  <si>
    <t>EL-OP-M Metrology &amp; Inspection</t>
  </si>
  <si>
    <t>P000001255</t>
  </si>
  <si>
    <t>EL-OP-M M&amp;I Sales</t>
  </si>
  <si>
    <t>P000001256</t>
  </si>
  <si>
    <t>EL-OP-M M&amp;I Marketing</t>
  </si>
  <si>
    <t>P000001257</t>
  </si>
  <si>
    <t>EL-OP-M M&amp;I Operations</t>
  </si>
  <si>
    <t>P000001258</t>
  </si>
  <si>
    <t>EL-OP-M M&amp;I R&amp;D</t>
  </si>
  <si>
    <t>P000001194</t>
  </si>
  <si>
    <t>P000001163</t>
  </si>
  <si>
    <t>P000001164</t>
  </si>
  <si>
    <t>EL-OP Optronics</t>
  </si>
  <si>
    <t>EL-OP BU Head &amp; Other</t>
  </si>
  <si>
    <t>EL-OP BU head Organization</t>
  </si>
  <si>
    <t>EL-OP Inventor Remuneration</t>
  </si>
  <si>
    <t>EL-OP Intangible Assets</t>
  </si>
  <si>
    <t>EL-OP Other</t>
  </si>
  <si>
    <t>EL-OP-W LC Windows</t>
  </si>
  <si>
    <t>EL-OP-S Supply Chain Optronics</t>
  </si>
  <si>
    <t>Optronics Production Sites</t>
  </si>
  <si>
    <t>EL-OP-SD Site Darmstadt, Germany</t>
  </si>
  <si>
    <t>P000001172</t>
  </si>
  <si>
    <t>EL-OP-SDPP Production Planning</t>
  </si>
  <si>
    <t>EL-OP-SA Site Atsugi, Japan</t>
  </si>
  <si>
    <t>EL-OP-SZ Site Suzhou, China</t>
  </si>
  <si>
    <t>EL-OP-ST Site Taoyuan, Taiwan</t>
  </si>
  <si>
    <t>EL-OP-SH Site Hsinchu, Taiwan</t>
  </si>
  <si>
    <t>EL-OP-SP Site Poseung, S. Korea</t>
  </si>
  <si>
    <t>EL-OP-SS Site Shanghai, China</t>
  </si>
  <si>
    <t>EL-OP-SC Supply Chain Excellence</t>
  </si>
  <si>
    <t>EL-OP-SQ QA Optronics</t>
  </si>
  <si>
    <t>P000001167</t>
  </si>
  <si>
    <t>EL-OP-SG Global Demand &amp; Supply Planning</t>
  </si>
  <si>
    <t>P000001168</t>
  </si>
  <si>
    <t>EL-OP-SV Value Stream Mngt</t>
  </si>
  <si>
    <t>P000001109</t>
  </si>
  <si>
    <t>EL-OP-L LC/DPM</t>
  </si>
  <si>
    <t>P000001110</t>
  </si>
  <si>
    <t>EL-OP-LC LC/DPM Sales CN</t>
  </si>
  <si>
    <t>P000001111</t>
  </si>
  <si>
    <t>EL-OP-LT LC/DPM Sales TW &amp; JP</t>
  </si>
  <si>
    <t>P000001112</t>
  </si>
  <si>
    <t>EL-OP-LM LC/DPM Marketing</t>
  </si>
  <si>
    <t>P000001113</t>
  </si>
  <si>
    <t>EL-OP-LM LC/DPM Marketing Organization</t>
  </si>
  <si>
    <t>P000001114</t>
  </si>
  <si>
    <t>EL-OP-LM LC/DPM Sales Promotion</t>
  </si>
  <si>
    <t>P000001115</t>
  </si>
  <si>
    <t>EL-OP-L LC/DPM Royalties/Commissions</t>
  </si>
  <si>
    <t>P000001116</t>
  </si>
  <si>
    <t>EL-OP-L LC/DPM Other</t>
  </si>
  <si>
    <t>EL-OP-LR LC/DPM R&amp;D</t>
  </si>
  <si>
    <t>EL-OP-LR LC/DPM R&amp;D General Expenses</t>
  </si>
  <si>
    <t>P000001118</t>
  </si>
  <si>
    <t>EL-OP-O OLED</t>
  </si>
  <si>
    <t>P000001119</t>
  </si>
  <si>
    <t>EL-OP-OC OLED Sales CN</t>
  </si>
  <si>
    <t>P000001120</t>
  </si>
  <si>
    <t>EL-OP-OK OLED Sales KR</t>
  </si>
  <si>
    <t>P000001121</t>
  </si>
  <si>
    <t>EL-OP-OM OLED Marketing</t>
  </si>
  <si>
    <t>XX_EL-OP-M Global Mkt Other</t>
  </si>
  <si>
    <t>P000001122</t>
  </si>
  <si>
    <t>EL-OP-OM OLED Marketing Organization</t>
  </si>
  <si>
    <t>P000001123</t>
  </si>
  <si>
    <t>EL-OP-OM OLED Sales Promotion</t>
  </si>
  <si>
    <t>P000001124</t>
  </si>
  <si>
    <t>EL-OP-O OLED Royalties/Commissions</t>
  </si>
  <si>
    <t>P000001125</t>
  </si>
  <si>
    <t>EL-OP-O OLED Other</t>
  </si>
  <si>
    <t>EL-OP-OR OLED R&amp;D</t>
  </si>
  <si>
    <t>EL-OP-OR OLED R&amp;D General Expenses</t>
  </si>
  <si>
    <t>P000001127</t>
  </si>
  <si>
    <t>EL-OP-B BS&amp;S</t>
  </si>
  <si>
    <t>P000001128</t>
  </si>
  <si>
    <t>EL-OP-BF Optical Technologies</t>
  </si>
  <si>
    <t>P000001129</t>
  </si>
  <si>
    <t>EL-OP BF OT Business Development Org</t>
  </si>
  <si>
    <t>EL-OP BF OT R&amp;D</t>
  </si>
  <si>
    <t>OT Projects</t>
  </si>
  <si>
    <t>Antireflection Technology</t>
  </si>
  <si>
    <t>PVH</t>
  </si>
  <si>
    <t>EL-OP BF OT R&amp;D General Expenses</t>
  </si>
  <si>
    <t>P000001131</t>
  </si>
  <si>
    <t>EL-OP BF OT Sales Promotion</t>
  </si>
  <si>
    <t>P000001132</t>
  </si>
  <si>
    <t>EL-OP BF OT Royalties/Commissions</t>
  </si>
  <si>
    <t>P000001133</t>
  </si>
  <si>
    <t>EL-OP BF OT Other</t>
  </si>
  <si>
    <t>P000001134</t>
  </si>
  <si>
    <t>EL-OP-B BS&amp;S Organization</t>
  </si>
  <si>
    <t>P000001135</t>
  </si>
  <si>
    <t>EL-OP-BN Novel Tools</t>
  </si>
  <si>
    <t>P000001136</t>
  </si>
  <si>
    <t>EL-OP-B BS&amp;S MarCom</t>
  </si>
  <si>
    <t>P000001137</t>
  </si>
  <si>
    <t>EL-OP-B BS&amp;S Other</t>
  </si>
  <si>
    <t>P000000659</t>
  </si>
  <si>
    <t>BOI</t>
  </si>
  <si>
    <t>AR hardware</t>
  </si>
  <si>
    <t>EUVen MORe</t>
  </si>
  <si>
    <t>P000000675</t>
  </si>
  <si>
    <t>Mat. Info DRAM</t>
  </si>
  <si>
    <t>P000000678</t>
  </si>
  <si>
    <t>OSC</t>
  </si>
  <si>
    <t>HIT'M/BN</t>
  </si>
  <si>
    <t>AR VR Lab</t>
  </si>
  <si>
    <t>RM for IJP</t>
  </si>
  <si>
    <t>LTD-MAP</t>
  </si>
  <si>
    <t>CTO Organization</t>
  </si>
  <si>
    <t>MIP Cost Variance</t>
  </si>
  <si>
    <t>P000000646</t>
  </si>
  <si>
    <t>CTO Leadership</t>
  </si>
  <si>
    <t>P000000648</t>
  </si>
  <si>
    <t>Materials AI</t>
  </si>
  <si>
    <t>P000000649</t>
  </si>
  <si>
    <t>Business Development  AR VR</t>
  </si>
  <si>
    <t>Technology Strategy &amp; Roadmap</t>
  </si>
  <si>
    <t>CTO Labs Capex</t>
  </si>
  <si>
    <t>EL-SC-Q Quality &amp; Compliance Mgmt.</t>
  </si>
  <si>
    <t>EL-SC-QS Global Supplier Quality</t>
  </si>
  <si>
    <t>EL-SC-QT Trade Compliance China</t>
  </si>
  <si>
    <t>EL-SC-DO Process Development Optronics</t>
  </si>
  <si>
    <t>EL-SC-DO Projects</t>
  </si>
  <si>
    <t>EL-SC-DO Investments</t>
  </si>
  <si>
    <t>P000001174</t>
  </si>
  <si>
    <t>EL-SC-DO Process Development OptronicsIO</t>
  </si>
  <si>
    <t>EL-SC-DX Projects</t>
  </si>
  <si>
    <t>EL-SC-DX Investments</t>
  </si>
  <si>
    <t>EL-SC-E Engineering</t>
  </si>
  <si>
    <t>P000001187</t>
  </si>
  <si>
    <t>EL-SC-E Engineering Head</t>
  </si>
  <si>
    <t>P000001188</t>
  </si>
  <si>
    <t>EL-SC-EC Regional Engineering China/Taiw</t>
  </si>
  <si>
    <t>P000001189</t>
  </si>
  <si>
    <t>EL-SC-EK Regional Engineering Korea</t>
  </si>
  <si>
    <t>P000001191</t>
  </si>
  <si>
    <t>EL-SC-EE Global Capital Efficiency &amp; Pro</t>
  </si>
  <si>
    <t xml:space="preserve">G000000414 </t>
  </si>
  <si>
    <t xml:space="preserve">G000000879 </t>
  </si>
  <si>
    <t xml:space="preserve">G000000495 </t>
  </si>
  <si>
    <t>P000001259</t>
  </si>
  <si>
    <t>EL-PS Support Functions</t>
  </si>
  <si>
    <t>P000001260</t>
  </si>
  <si>
    <t>EL-PSL Legal</t>
  </si>
  <si>
    <t>P000001261</t>
  </si>
  <si>
    <t>EL-PSH HR</t>
  </si>
  <si>
    <t>P000001262</t>
  </si>
  <si>
    <t>EL-PSF Finance</t>
  </si>
  <si>
    <t>P000001263</t>
  </si>
  <si>
    <t>EL-PSP Procurement</t>
  </si>
  <si>
    <t>P000001264</t>
  </si>
  <si>
    <t>EL-PSI IT</t>
  </si>
  <si>
    <t>EL-PS-O Global Operations General</t>
  </si>
  <si>
    <t>P000001265</t>
  </si>
  <si>
    <t>IC Cross charges</t>
  </si>
  <si>
    <t>P000001266</t>
  </si>
  <si>
    <t>P000001267</t>
  </si>
  <si>
    <t>Licrivision</t>
  </si>
  <si>
    <t>L000013824</t>
  </si>
  <si>
    <t>mRNA CDMO QAO</t>
  </si>
  <si>
    <t>L000013825</t>
  </si>
  <si>
    <t>mRNA CDMO Support Functions</t>
  </si>
  <si>
    <t>Quality Gernsheim</t>
  </si>
  <si>
    <t>MOVED in 1000 both KR00</t>
  </si>
  <si>
    <t>G000000474</t>
  </si>
  <si>
    <t>G000000478</t>
  </si>
  <si>
    <t>FR7189330</t>
  </si>
  <si>
    <t>Created on both 1000; name is okay</t>
  </si>
  <si>
    <t>Allgemeine Infrastruktur</t>
  </si>
  <si>
    <t>FR7198292</t>
  </si>
  <si>
    <t>SM-IE Energy Operations &amp; Management</t>
  </si>
  <si>
    <t>FR7205621</t>
  </si>
  <si>
    <t>FR7292048</t>
  </si>
  <si>
    <t>L000013770</t>
  </si>
  <si>
    <t>UPM Royalty Income Ares Trading</t>
  </si>
  <si>
    <t>L000005965</t>
  </si>
  <si>
    <t>L000012017</t>
  </si>
  <si>
    <t>MOVED in 1000</t>
  </si>
  <si>
    <t>L000012018</t>
  </si>
  <si>
    <t>L000013177</t>
  </si>
  <si>
    <t>L000006078</t>
  </si>
  <si>
    <t>L000006079</t>
  </si>
  <si>
    <t>L000006085</t>
  </si>
  <si>
    <t>L000013312</t>
  </si>
  <si>
    <t>L000013371</t>
  </si>
  <si>
    <t>L000013372</t>
  </si>
  <si>
    <t>L000006677</t>
  </si>
  <si>
    <t>L000006678</t>
  </si>
  <si>
    <t>L000012755</t>
  </si>
  <si>
    <t>L000012679</t>
  </si>
  <si>
    <t>L000012606</t>
  </si>
  <si>
    <t>L000013635</t>
  </si>
  <si>
    <t>L000013636</t>
  </si>
  <si>
    <t>L000013637</t>
  </si>
  <si>
    <t>L000006575</t>
  </si>
  <si>
    <t>L000006578</t>
  </si>
  <si>
    <t>L000011402</t>
  </si>
  <si>
    <t>L000012682</t>
  </si>
  <si>
    <t>L000012687</t>
  </si>
  <si>
    <t>L000012722</t>
  </si>
  <si>
    <t>L000006553</t>
  </si>
  <si>
    <t>L000006555</t>
  </si>
  <si>
    <t>L000011434</t>
  </si>
  <si>
    <t>L000012688</t>
  </si>
  <si>
    <t>L000012724</t>
  </si>
  <si>
    <t>L000012732</t>
  </si>
  <si>
    <t>L000012832</t>
  </si>
  <si>
    <t>L000007464</t>
  </si>
  <si>
    <t>L000007467</t>
  </si>
  <si>
    <t>L000007540</t>
  </si>
  <si>
    <t>L000011730</t>
  </si>
  <si>
    <t>L000011148</t>
  </si>
  <si>
    <t>L000013387</t>
  </si>
  <si>
    <t>L000011152</t>
  </si>
  <si>
    <t>L000013732</t>
  </si>
  <si>
    <t>L000013618</t>
  </si>
  <si>
    <t>L000013610</t>
  </si>
  <si>
    <t>L000012830</t>
  </si>
  <si>
    <t>L000013359</t>
  </si>
  <si>
    <t>L000013184</t>
  </si>
  <si>
    <t>L000013366</t>
  </si>
  <si>
    <t>L000013368</t>
  </si>
  <si>
    <t>L000013369</t>
  </si>
  <si>
    <t>L000006170</t>
  </si>
  <si>
    <t>L000012443</t>
  </si>
  <si>
    <t>L000012917</t>
  </si>
  <si>
    <t>L000011350</t>
  </si>
  <si>
    <t>L000013687</t>
  </si>
  <si>
    <t>L000012849</t>
  </si>
  <si>
    <t>L000012850</t>
  </si>
  <si>
    <t>L000012852</t>
  </si>
  <si>
    <t>L000012853</t>
  </si>
  <si>
    <t>L000012854</t>
  </si>
  <si>
    <t>L000012855</t>
  </si>
  <si>
    <t>L000012856</t>
  </si>
  <si>
    <t>L000012857</t>
  </si>
  <si>
    <t>L000012858</t>
  </si>
  <si>
    <t>L000012911</t>
  </si>
  <si>
    <t>L000013075</t>
  </si>
  <si>
    <t>L000013076</t>
  </si>
  <si>
    <t>L000013077</t>
  </si>
  <si>
    <t>L000013085</t>
  </si>
  <si>
    <t>L000013086</t>
  </si>
  <si>
    <t>L000011049</t>
  </si>
  <si>
    <t>L000011050</t>
  </si>
  <si>
    <t>L000011051</t>
  </si>
  <si>
    <t>L000011052</t>
  </si>
  <si>
    <t>L000011053</t>
  </si>
  <si>
    <t>L000011054</t>
  </si>
  <si>
    <t>L000011055</t>
  </si>
  <si>
    <t>L000011056</t>
  </si>
  <si>
    <t>L000011057</t>
  </si>
  <si>
    <t>L000011058</t>
  </si>
  <si>
    <t>L000011059</t>
  </si>
  <si>
    <t>L000011060</t>
  </si>
  <si>
    <t>L000011061</t>
  </si>
  <si>
    <t>L000011062</t>
  </si>
  <si>
    <t>L000011063</t>
  </si>
  <si>
    <t>L000012973</t>
  </si>
  <si>
    <t>L000013741</t>
  </si>
  <si>
    <t>L000013742</t>
  </si>
  <si>
    <t>L000013743</t>
  </si>
  <si>
    <t>L000013744</t>
  </si>
  <si>
    <t>L000013745</t>
  </si>
  <si>
    <t>L000013746</t>
  </si>
  <si>
    <t>L000013747</t>
  </si>
  <si>
    <t>L000013748</t>
  </si>
  <si>
    <t>L000013749</t>
  </si>
  <si>
    <t>L000013750</t>
  </si>
  <si>
    <t>L000013751</t>
  </si>
  <si>
    <t>L000013752</t>
  </si>
  <si>
    <t>L000013753</t>
  </si>
  <si>
    <t>L000013755</t>
  </si>
  <si>
    <t>L000013757</t>
  </si>
  <si>
    <t>L000013758</t>
  </si>
  <si>
    <t>L000013759</t>
  </si>
  <si>
    <t>L000013760</t>
  </si>
  <si>
    <t>L000013776</t>
  </si>
  <si>
    <t>L000013777</t>
  </si>
  <si>
    <t>L000013778</t>
  </si>
  <si>
    <t>L000013761</t>
  </si>
  <si>
    <t>L000011127</t>
  </si>
  <si>
    <t>L000011352</t>
  </si>
  <si>
    <t>L000013762</t>
  </si>
  <si>
    <t>L000013763</t>
  </si>
  <si>
    <t>L000013764</t>
  </si>
  <si>
    <t>L000013765</t>
  </si>
  <si>
    <t>L000013766</t>
  </si>
  <si>
    <t>L000013767</t>
  </si>
  <si>
    <t>L000013768</t>
  </si>
  <si>
    <t>L000013769</t>
  </si>
  <si>
    <t>FR7280998</t>
  </si>
  <si>
    <t>G000000563</t>
  </si>
  <si>
    <t>FR7287230</t>
  </si>
  <si>
    <t>FR7289705</t>
  </si>
  <si>
    <t>H000000173</t>
  </si>
  <si>
    <t>H000000175</t>
  </si>
  <si>
    <t>H000000177</t>
  </si>
  <si>
    <t>H000000387</t>
  </si>
  <si>
    <t>H000000448</t>
  </si>
  <si>
    <t>FR7307568</t>
  </si>
  <si>
    <t>FR7313392</t>
  </si>
  <si>
    <t>FR7314162</t>
  </si>
  <si>
    <t>FR7390952</t>
  </si>
  <si>
    <t xml:space="preserve">H000004364
</t>
  </si>
  <si>
    <t xml:space="preserve">H000000562
</t>
  </si>
  <si>
    <t>Rare Tumors</t>
  </si>
  <si>
    <t>FR7473158</t>
  </si>
  <si>
    <t>Roselle Delos Angeles</t>
  </si>
  <si>
    <t>FR7468738</t>
  </si>
  <si>
    <t>H000004396</t>
  </si>
  <si>
    <t>1954 AU Start-up Helvetia</t>
  </si>
  <si>
    <t>FR7479999</t>
  </si>
  <si>
    <t>H000000488</t>
  </si>
  <si>
    <t>Maria Victoria Reynoso Rodriguez</t>
  </si>
  <si>
    <t>H000004397</t>
  </si>
  <si>
    <t>H000000000</t>
  </si>
  <si>
    <t>G000000944</t>
  </si>
  <si>
    <t>FR7505106</t>
  </si>
  <si>
    <t>John Mark Sandoy</t>
  </si>
  <si>
    <t>Regulatory Affairs EU&amp;SIC</t>
  </si>
  <si>
    <t>FR7520668</t>
  </si>
  <si>
    <t>SCALA_1022 RDO</t>
  </si>
  <si>
    <t>SCALA_1820 Q319</t>
  </si>
  <si>
    <t>SCALA_1820 Q326</t>
  </si>
  <si>
    <t>SCALA_1248 VR00</t>
  </si>
  <si>
    <t>SCALA_1826 450</t>
  </si>
  <si>
    <t>H000000772</t>
  </si>
  <si>
    <t>H000000773</t>
  </si>
  <si>
    <t>H000004379</t>
  </si>
  <si>
    <t>FR7525863</t>
  </si>
  <si>
    <t>IT06021800</t>
  </si>
  <si>
    <t>IT06101000</t>
  </si>
  <si>
    <t>IT07020000</t>
  </si>
  <si>
    <t>IT07020100</t>
  </si>
  <si>
    <t>IT07020200</t>
  </si>
  <si>
    <t>IT07030000</t>
  </si>
  <si>
    <t>IT07030100</t>
  </si>
  <si>
    <t>IT07030200</t>
  </si>
  <si>
    <t>IT07030300</t>
  </si>
  <si>
    <t>IT07040000</t>
  </si>
  <si>
    <t>IT07040100</t>
  </si>
  <si>
    <t>IT07040200</t>
  </si>
  <si>
    <t>IT07040300</t>
  </si>
  <si>
    <t>IT07040400</t>
  </si>
  <si>
    <t>IT07040500</t>
  </si>
  <si>
    <t>IT07040600</t>
  </si>
  <si>
    <t>IT07040700</t>
  </si>
  <si>
    <t>IT07050000</t>
  </si>
  <si>
    <t>IT07060000</t>
  </si>
  <si>
    <t>IT07060100</t>
  </si>
  <si>
    <t>IT07070000</t>
  </si>
  <si>
    <t>IT07070100</t>
  </si>
  <si>
    <t>IT07070200</t>
  </si>
  <si>
    <t>IT07070300</t>
  </si>
  <si>
    <t>IT07070400</t>
  </si>
  <si>
    <t>IT07070500</t>
  </si>
  <si>
    <t>IT07080000</t>
  </si>
  <si>
    <t>IT07090000</t>
  </si>
  <si>
    <t>IT07090100</t>
  </si>
  <si>
    <t>IT09000000</t>
  </si>
  <si>
    <t>IT09010000</t>
  </si>
  <si>
    <t>IT09020200</t>
  </si>
  <si>
    <t>IT09020300</t>
  </si>
  <si>
    <t>IT09030000</t>
  </si>
  <si>
    <t>IT09030100</t>
  </si>
  <si>
    <t>IT09040000</t>
  </si>
  <si>
    <t>IT09040100</t>
  </si>
  <si>
    <t>IT09040200</t>
  </si>
  <si>
    <t>IT09040300</t>
  </si>
  <si>
    <t>IT09050000</t>
  </si>
  <si>
    <t>EF-DS-TAI Intelligent Automation</t>
  </si>
  <si>
    <t>EF-DS-TPR Global ERP GES BP</t>
  </si>
  <si>
    <t>EF-DS-DD Data Science &amp; AI</t>
  </si>
  <si>
    <t>EF-DS-DDC SBS-SLS CPI</t>
  </si>
  <si>
    <t>EF-DS-DDD SBS-SLS Pricing Ops</t>
  </si>
  <si>
    <t>EF-DS-DM Master Data Management</t>
  </si>
  <si>
    <t>EF-DS-DME Master Data Excellence</t>
  </si>
  <si>
    <t>EF-DS-DMF Finance Master Data &amp; Ref Data</t>
  </si>
  <si>
    <t>EF-DS-DMG Global Material Master Data</t>
  </si>
  <si>
    <t>EF-DS-DC Data &amp; AI Practices</t>
  </si>
  <si>
    <t>EF-DS-DCA Agile Practice</t>
  </si>
  <si>
    <t>EF-DS-DCD Data Warehouse Engr Practice</t>
  </si>
  <si>
    <t>EF-DS-DCE Data Engineering Practice</t>
  </si>
  <si>
    <t>EF-DS-DCI Insights Engineering Practice</t>
  </si>
  <si>
    <t>EF-DS-DCM AI &amp; Machine Learning Practice</t>
  </si>
  <si>
    <t>EF-DS-DCP Process Intelligence Practice</t>
  </si>
  <si>
    <t>EF-DS-DCU UPTIMIZE Platf. Engr Practice</t>
  </si>
  <si>
    <t>EF-DS-DG Data &amp; AI Governance</t>
  </si>
  <si>
    <t>EF-DS-DI Data Culture</t>
  </si>
  <si>
    <t>EF-DS-DIT</t>
  </si>
  <si>
    <t>EF-DS-DP Data &amp; AI Products</t>
  </si>
  <si>
    <t>EF-DS-DPA Data Analytics &amp; AI Portfolio</t>
  </si>
  <si>
    <t>EF-DS-DPD Data Products Portfolio</t>
  </si>
  <si>
    <t>EF-DS-DPE Data &amp; AI Archi. &amp; Excellence?</t>
  </si>
  <si>
    <t>EF-DS-DPF Data &amp; AI Financial Management</t>
  </si>
  <si>
    <t>EF-DS-DPL Data Platform Portfolio</t>
  </si>
  <si>
    <t>EF-DS-DS Data &amp; AI Strategy</t>
  </si>
  <si>
    <t>EF-DS-DT Data &amp; AI Tech Innovation</t>
  </si>
  <si>
    <t>EF-DS-DTA Data &amp; AI Tech Innovation A</t>
  </si>
  <si>
    <t>EF-DS-SE Integrated Process Excellence</t>
  </si>
  <si>
    <t>EF-DS-SGB DDIT Sustainability Management</t>
  </si>
  <si>
    <t>EF-DS-SGM IT Mergers &amp; Acquisition</t>
  </si>
  <si>
    <t>EF-DS-SI Integr &amp; Transformation Project</t>
  </si>
  <si>
    <t>EF-DS-SIY Program &amp; Proj Portfolio Mgmt.</t>
  </si>
  <si>
    <t>EF-DS-SOY Strategy Activation</t>
  </si>
  <si>
    <t>EF-DS-SV Strategic Intel &amp; ValueCreation</t>
  </si>
  <si>
    <t>EF-DS-S DES Strategy, Gover. &amp; Transf</t>
  </si>
  <si>
    <t>EF-DS-SO SGT Office, Comm &amp; Portf Mgmt</t>
  </si>
  <si>
    <t>EF-DS-SOD DDIT Portfolio Mgmt &amp; Projects</t>
  </si>
  <si>
    <t>EF-DS-SOS Change Management</t>
  </si>
  <si>
    <t>G000000726</t>
  </si>
  <si>
    <t>G000000838</t>
  </si>
  <si>
    <t>G000000839</t>
  </si>
  <si>
    <t>FR7526809</t>
  </si>
  <si>
    <t>EF-DS-T Group IT_I</t>
  </si>
  <si>
    <t>EF-DS-T Group IT</t>
  </si>
  <si>
    <t>G000000245</t>
  </si>
  <si>
    <t>EF-DS-TC Head Office &amp; CISO</t>
  </si>
  <si>
    <t>G000000627</t>
  </si>
  <si>
    <t>EF-DS-TC Head Office &amp; CISO_I</t>
  </si>
  <si>
    <t>IT06010000</t>
  </si>
  <si>
    <t>EF-DS-TA Application Technology</t>
  </si>
  <si>
    <t>EF-DS-TA Application Technology_I</t>
  </si>
  <si>
    <t>G000000253</t>
  </si>
  <si>
    <t>EF-DS-TAM Manufacturing, SCM &amp; Quality</t>
  </si>
  <si>
    <t>IT06020600</t>
  </si>
  <si>
    <t>G000000255</t>
  </si>
  <si>
    <t>EF-DS-TAR R&amp;D</t>
  </si>
  <si>
    <t>IT06020800</t>
  </si>
  <si>
    <t>G000000256</t>
  </si>
  <si>
    <t>EF-DS-TAS Marketing &amp; Sales</t>
  </si>
  <si>
    <t>IT06020900</t>
  </si>
  <si>
    <t>G000000736</t>
  </si>
  <si>
    <t>EF-DS-TAC Custom Apps &amp; New Technology</t>
  </si>
  <si>
    <t>IT06021200</t>
  </si>
  <si>
    <t>EF-DS-TAT Automation Strategy</t>
  </si>
  <si>
    <t>IT06021400</t>
  </si>
  <si>
    <t>EF-DS-TAZ IT-App Tech CoE</t>
  </si>
  <si>
    <t>G000000272</t>
  </si>
  <si>
    <t>EF-DS-TI Infrastructure Technology</t>
  </si>
  <si>
    <t>EF-DS-TI Infrastructure Technology_I</t>
  </si>
  <si>
    <t>IT06040000</t>
  </si>
  <si>
    <t>G000000275</t>
  </si>
  <si>
    <t>EF-DS-TIP Portfolio &amp; Performance Mgmt</t>
  </si>
  <si>
    <t>IT06040200</t>
  </si>
  <si>
    <t>G000000276</t>
  </si>
  <si>
    <t>EF-DS-TIK Data Center &amp; Cloud Strategy</t>
  </si>
  <si>
    <t>IT06040300</t>
  </si>
  <si>
    <t>G000000277</t>
  </si>
  <si>
    <t>EF-DS-TID Network Management</t>
  </si>
  <si>
    <t>IT06040500</t>
  </si>
  <si>
    <t>G000000279</t>
  </si>
  <si>
    <t>EF-DS-TIF Digital Plant Infrastructure</t>
  </si>
  <si>
    <t>IT06041000</t>
  </si>
  <si>
    <t>G000000282</t>
  </si>
  <si>
    <t>EF-DS-TIW Digital Workplace</t>
  </si>
  <si>
    <t>IT06042100</t>
  </si>
  <si>
    <t>G000000895</t>
  </si>
  <si>
    <t>EF-DS-TIT Technology Office</t>
  </si>
  <si>
    <t>IT06042400</t>
  </si>
  <si>
    <t>EF-DS-TIO Technology Platform Operations</t>
  </si>
  <si>
    <t>G000000317</t>
  </si>
  <si>
    <t>EF-DS-TE DDIT - EF</t>
  </si>
  <si>
    <t>G000000318</t>
  </si>
  <si>
    <t>IT06070000</t>
  </si>
  <si>
    <t>G000000324</t>
  </si>
  <si>
    <t>EF-DS-TET Portfolio, Tranf. &amp; Performanc</t>
  </si>
  <si>
    <t>IT06070600</t>
  </si>
  <si>
    <t>G000000325</t>
  </si>
  <si>
    <t>EF-DS-TEH DDIT - HR &amp; Other EF</t>
  </si>
  <si>
    <t>IT06070700</t>
  </si>
  <si>
    <t>G000000786</t>
  </si>
  <si>
    <t>EF-DS-TEF DDIT - Finance</t>
  </si>
  <si>
    <t>IT06071100</t>
  </si>
  <si>
    <t>G000001123</t>
  </si>
  <si>
    <t>EF-DS-TED Data Office Enabling Functions</t>
  </si>
  <si>
    <t>IT06071400</t>
  </si>
  <si>
    <t>G000001233</t>
  </si>
  <si>
    <t>EF-DS-TEA EF Group Applications</t>
  </si>
  <si>
    <t>IT06071800</t>
  </si>
  <si>
    <t>G000001234</t>
  </si>
  <si>
    <t>EF-DS-TEI MITC Management</t>
  </si>
  <si>
    <t>IT06071900</t>
  </si>
  <si>
    <t>G000001276</t>
  </si>
  <si>
    <t>EF-DS-TEG MBS &amp; Procurement</t>
  </si>
  <si>
    <t>IT06072000</t>
  </si>
  <si>
    <t>G000001277</t>
  </si>
  <si>
    <t>EF-DS-TEO Strategy &amp; Transformation</t>
  </si>
  <si>
    <t>IT06072100</t>
  </si>
  <si>
    <t>G000001278</t>
  </si>
  <si>
    <t>EF-DS-TEX Architechture &amp; Security</t>
  </si>
  <si>
    <t>IT06072200</t>
  </si>
  <si>
    <t>G000000336</t>
  </si>
  <si>
    <t>EF-DS-TX IT Special Topics</t>
  </si>
  <si>
    <t>G000000337</t>
  </si>
  <si>
    <t>EF-DS-TXE Elevate IT</t>
  </si>
  <si>
    <t>IT06090100</t>
  </si>
  <si>
    <t>G000000338</t>
  </si>
  <si>
    <t>EF-DS-TXS Integration</t>
  </si>
  <si>
    <t>IT06090200</t>
  </si>
  <si>
    <t>G000000339</t>
  </si>
  <si>
    <t>EF-DS-TXV Various</t>
  </si>
  <si>
    <t>IT06090300</t>
  </si>
  <si>
    <t>G000000744</t>
  </si>
  <si>
    <t>EF-DS-TX IT Special Topics_I</t>
  </si>
  <si>
    <t>IT06090000</t>
  </si>
  <si>
    <t>EF-DS-TP Global ERP</t>
  </si>
  <si>
    <t>G000000341</t>
  </si>
  <si>
    <t>EF-DS-TP Global ERP_I</t>
  </si>
  <si>
    <t>IT06100000</t>
  </si>
  <si>
    <t>G000000342</t>
  </si>
  <si>
    <t>EF-DS-TPC SAP Center of Competence</t>
  </si>
  <si>
    <t>IT06100100</t>
  </si>
  <si>
    <t>G000001235</t>
  </si>
  <si>
    <t>EF-DS-TPA Corporate ERP Apps</t>
  </si>
  <si>
    <t>IT06100600</t>
  </si>
  <si>
    <t>EF-DS-TPB Strategy Realisation &amp; BTP</t>
  </si>
  <si>
    <t>EF-DS-TPD Data Migration &amp; Integration</t>
  </si>
  <si>
    <t>EF-DS-TPX ERP Architecture &amp; X-Services</t>
  </si>
  <si>
    <t>G000000346</t>
  </si>
  <si>
    <t>EF-DS-TY IT-Decentral</t>
  </si>
  <si>
    <t>G000000347</t>
  </si>
  <si>
    <t>EF-DS-TYL Decentral LS</t>
  </si>
  <si>
    <t>EF-DS-TYL Decentral LS_I</t>
  </si>
  <si>
    <t>EF-DS-TY IT-Decentral_I</t>
  </si>
  <si>
    <t>EF-DS-D Merck Data &amp; AI Organization</t>
  </si>
  <si>
    <t>L000013388</t>
  </si>
  <si>
    <t>LS-DI Life Science Data, Digital &amp; IT</t>
  </si>
  <si>
    <t>LS-DI Life Science Data, Digital &amp; IT_I</t>
  </si>
  <si>
    <t>LS-DI-I Manufacturing &amp; QC Lab Operation</t>
  </si>
  <si>
    <t>LS-DI-N Life Science ERP</t>
  </si>
  <si>
    <t>LS-DI-S S&amp;T, Performance &amp; Porfolio Mgmt</t>
  </si>
  <si>
    <t>LS-DI-T Marketing &amp; Commercial</t>
  </si>
  <si>
    <t>LS-DI-C LS Arch, CyberSec, BMA, IT Compl</t>
  </si>
  <si>
    <t>LS-DI-M Supply Chain Planning Reg &amp; Dist</t>
  </si>
  <si>
    <t>LS-DI-B Business IT</t>
  </si>
  <si>
    <t>LS-DI-O ONE ERP</t>
  </si>
  <si>
    <t>G000000727</t>
  </si>
  <si>
    <t>EF-DS-SG Govern., Compliance &amp; Quality_I</t>
  </si>
  <si>
    <t>G000000730</t>
  </si>
  <si>
    <t>EF-DS-SGT IT Service Cont &amp; IT Risk Mmgt</t>
  </si>
  <si>
    <t>G000000785</t>
  </si>
  <si>
    <t>EF-DS-SGA IT Audit &amp; Compliance</t>
  </si>
  <si>
    <t>G000000894</t>
  </si>
  <si>
    <t>EF-DS-SGS IT Service Management</t>
  </si>
  <si>
    <t>FIT DS - Digital Enterprise Solutions</t>
  </si>
  <si>
    <t>EF-DS-SG Govern., Compliance &amp; Quality</t>
  </si>
  <si>
    <t>EF-DS-S DES Strategy, Govern. &amp; Transf.</t>
  </si>
  <si>
    <t>EF-DS- DES E2E Automation</t>
  </si>
  <si>
    <t>FR7529156</t>
  </si>
  <si>
    <t>IT06051100</t>
  </si>
  <si>
    <t>Jay-R Lizardo</t>
  </si>
  <si>
    <t>G000001387</t>
  </si>
  <si>
    <t>G000001388</t>
  </si>
  <si>
    <t>G000001389</t>
  </si>
  <si>
    <t>G000001390</t>
  </si>
  <si>
    <t>G000001391</t>
  </si>
  <si>
    <t>G000001392</t>
  </si>
  <si>
    <t>G000001393</t>
  </si>
  <si>
    <t>G000001394</t>
  </si>
  <si>
    <t>G000001395</t>
  </si>
  <si>
    <t>G000001396</t>
  </si>
  <si>
    <t>G000001397</t>
  </si>
  <si>
    <t>G000001398</t>
  </si>
  <si>
    <t>G000001399</t>
  </si>
  <si>
    <t>G000001400</t>
  </si>
  <si>
    <t>G000001401</t>
  </si>
  <si>
    <t>G000001402</t>
  </si>
  <si>
    <t>G000001403</t>
  </si>
  <si>
    <t>G000001404</t>
  </si>
  <si>
    <t>G000001405</t>
  </si>
  <si>
    <t>G000001406</t>
  </si>
  <si>
    <t>G000001407</t>
  </si>
  <si>
    <t>G000001408</t>
  </si>
  <si>
    <t>G000001409</t>
  </si>
  <si>
    <t>G000001410</t>
  </si>
  <si>
    <t>G000001411</t>
  </si>
  <si>
    <t>G000001412</t>
  </si>
  <si>
    <t>G000001413</t>
  </si>
  <si>
    <t>G000001414</t>
  </si>
  <si>
    <t>G000001415</t>
  </si>
  <si>
    <t>G000001416</t>
  </si>
  <si>
    <t>G000001417</t>
  </si>
  <si>
    <t>G000001418</t>
  </si>
  <si>
    <t>G000001419</t>
  </si>
  <si>
    <t>G000001420</t>
  </si>
  <si>
    <t>G000001421</t>
  </si>
  <si>
    <t>G000001422</t>
  </si>
  <si>
    <t>H000004398</t>
  </si>
  <si>
    <t>H000004399</t>
  </si>
  <si>
    <t>H000004400</t>
  </si>
  <si>
    <t>H000004401</t>
  </si>
  <si>
    <t>H000004402</t>
  </si>
  <si>
    <t>named and assigned</t>
  </si>
  <si>
    <t>renamed</t>
  </si>
  <si>
    <t>IT06090400</t>
  </si>
  <si>
    <t>GO2 HR - HR MZS</t>
  </si>
  <si>
    <t>FAY IX - Individual Tax Office</t>
  </si>
  <si>
    <t>IX - MGF Reporting</t>
  </si>
  <si>
    <t>IX - non-MGF Reporting</t>
  </si>
  <si>
    <t>GO1 IX - Individual Tax Office (L2)</t>
  </si>
  <si>
    <t>FAY IX - Intercompany Charges</t>
  </si>
  <si>
    <t>FAY IX - Exceptionals</t>
  </si>
  <si>
    <t>FR7533963</t>
  </si>
  <si>
    <t>G7J DX - Lumina FTO &amp; FTOM</t>
  </si>
  <si>
    <t>G7K DX - Lumina Planning &amp; Reporting</t>
  </si>
  <si>
    <t>G7L DX - Lumina Reporting &amp; GP Processes</t>
  </si>
  <si>
    <t>G7M DX - Lumina Rep Del Fact &amp; Tech&amp;Data</t>
  </si>
  <si>
    <t>G7N DX - Lumina Regulatory Requirements</t>
  </si>
  <si>
    <t>G7O DX - Process Excellence</t>
  </si>
  <si>
    <t>G7P DX - LEAP</t>
  </si>
  <si>
    <t>G000001423</t>
  </si>
  <si>
    <t>G000001424</t>
  </si>
  <si>
    <t>G000001425</t>
  </si>
  <si>
    <t>G000001426</t>
  </si>
  <si>
    <t>G000001427</t>
  </si>
  <si>
    <t>G000001428</t>
  </si>
  <si>
    <t>G000001429</t>
  </si>
  <si>
    <t>G000001430</t>
  </si>
  <si>
    <t>G000000588</t>
  </si>
  <si>
    <t>G000000465</t>
  </si>
  <si>
    <t>DSS Global Head of Innovation</t>
  </si>
  <si>
    <t>DSS Head of Innovation - NA/EUR</t>
  </si>
  <si>
    <t>DSS Head of Innovation - KR</t>
  </si>
  <si>
    <t>DSS Head of Innovation - Asia exKR</t>
  </si>
  <si>
    <t>CF EU Freight</t>
  </si>
  <si>
    <t>CF EU Warehouse/Distribution</t>
  </si>
  <si>
    <t>CF EU Customs/Duties</t>
  </si>
  <si>
    <t>CF EU Global Demand Planning/Cust Svc</t>
  </si>
  <si>
    <t>CF EU Warehouse</t>
  </si>
  <si>
    <t>CF EU Admin/Overhead</t>
  </si>
  <si>
    <t>P000001325</t>
  </si>
  <si>
    <t>P000001326</t>
  </si>
  <si>
    <t>P000001327</t>
  </si>
  <si>
    <t>P000001328</t>
  </si>
  <si>
    <t>P000001329</t>
  </si>
  <si>
    <t>P000001330</t>
  </si>
  <si>
    <t>P000001331</t>
  </si>
  <si>
    <t>P000001332</t>
  </si>
  <si>
    <t>P000001333</t>
  </si>
  <si>
    <t>P000001334</t>
  </si>
  <si>
    <t>FR7534927</t>
  </si>
  <si>
    <t>EL-FO Planarization Commercial</t>
  </si>
  <si>
    <t>EL-FO Planarization ISC &amp; Quality</t>
  </si>
  <si>
    <t>P000001195</t>
  </si>
  <si>
    <t>EL-SC-ET Engineering Centre of Excellenc</t>
  </si>
  <si>
    <t>EL-SC-EE Global Project Development &amp; Ca</t>
  </si>
  <si>
    <t>EL-SG Specialty Gases R&amp;D</t>
  </si>
  <si>
    <t>EL-SG Specialty Gases Commercial</t>
  </si>
  <si>
    <t>EL-SG Specialty Gases ISC &amp; Quality</t>
  </si>
  <si>
    <t>Prj. Ex. &amp; Port. Mgmt Asia ex KR</t>
  </si>
  <si>
    <t>Prj. Ex. &amp; Port. Mgmt NA/EUR</t>
  </si>
  <si>
    <t>done</t>
  </si>
  <si>
    <t>renamed/moved</t>
  </si>
  <si>
    <t>FR7537580</t>
  </si>
  <si>
    <t>EF-DS-TXT FIC ERP Compliance</t>
  </si>
  <si>
    <t>FR7538056</t>
  </si>
  <si>
    <t>Urbana Operations - G</t>
  </si>
  <si>
    <t>IVDR Cell Marque - G</t>
  </si>
  <si>
    <t>Sheboygan P&amp;T - G</t>
  </si>
  <si>
    <t>Natrix Operations - G</t>
  </si>
  <si>
    <t>PS Commercial China</t>
  </si>
  <si>
    <t>Marketing Strategy &amp; Planning</t>
  </si>
  <si>
    <t>Digital Marketing &amp; Operations</t>
  </si>
  <si>
    <t>Marketing Technology</t>
  </si>
  <si>
    <t>Technology Fund Projects WAU</t>
  </si>
  <si>
    <t>R&amp;D and Portfolio Strategy</t>
  </si>
  <si>
    <t>Technology Strategy</t>
  </si>
  <si>
    <t>Lumina AP accrual</t>
  </si>
  <si>
    <t>Placeholder 1</t>
  </si>
  <si>
    <t>Placeholder 2</t>
  </si>
  <si>
    <t>Placeholder 3</t>
  </si>
  <si>
    <t>LW- Product Management</t>
  </si>
  <si>
    <t>L000005964</t>
  </si>
  <si>
    <t>LW LATAM</t>
  </si>
  <si>
    <t>LW EEMEA</t>
  </si>
  <si>
    <t>Pricing Strategy &amp; Operations</t>
  </si>
  <si>
    <t>Brand, Content &amp; Engagement</t>
  </si>
  <si>
    <t>Customer Digital Products</t>
  </si>
  <si>
    <t>PS Marketing Center Management</t>
  </si>
  <si>
    <t>GSA Mgt &amp; BP&amp;I</t>
  </si>
  <si>
    <t>PS Commercial APeC</t>
  </si>
  <si>
    <t>Life Science Technology Office</t>
  </si>
  <si>
    <t>DICE Digital Center of Excellence</t>
  </si>
  <si>
    <t>DICE Strategy &amp; Transformation</t>
  </si>
  <si>
    <t>DICE Digital COE</t>
  </si>
  <si>
    <t>DICE Prod Eng &amp; Computational Science</t>
  </si>
  <si>
    <t>L000013628</t>
  </si>
  <si>
    <t>Digital Chemistry Solutions Engineering</t>
  </si>
  <si>
    <t>L000013627</t>
  </si>
  <si>
    <t>DEI Instrument Connectivity Engineering</t>
  </si>
  <si>
    <t>L000013626</t>
  </si>
  <si>
    <t>Computational Science</t>
  </si>
  <si>
    <t>Scientific Systems Engineering</t>
  </si>
  <si>
    <t>DICE Bus Process Capabilities &amp; Stds</t>
  </si>
  <si>
    <t>DICE Platform &amp; Engineering  Enablement</t>
  </si>
  <si>
    <t>L000013277</t>
  </si>
  <si>
    <t>Strategic Projects</t>
  </si>
  <si>
    <t>Technology Pioneering Group</t>
  </si>
  <si>
    <t>L000013622</t>
  </si>
  <si>
    <t>ERP Business Program</t>
  </si>
  <si>
    <t>Darmstadt Site</t>
  </si>
  <si>
    <t>LS Production Darmstadt</t>
  </si>
  <si>
    <t>L000011750</t>
  </si>
  <si>
    <t>Dealer-Marketing</t>
  </si>
  <si>
    <t>L000008992</t>
  </si>
  <si>
    <t>SFDC-DE</t>
  </si>
  <si>
    <t>L000008614</t>
  </si>
  <si>
    <t>Techn. Mgmt</t>
  </si>
  <si>
    <t>L000008568</t>
  </si>
  <si>
    <t>Head of Tech Service, FM &amp; SFDC</t>
  </si>
  <si>
    <t>Marketing Ops</t>
  </si>
  <si>
    <t>L000013701</t>
  </si>
  <si>
    <t>LW NA</t>
  </si>
  <si>
    <t>L000013694</t>
  </si>
  <si>
    <t>LW WE</t>
  </si>
  <si>
    <t>LS-DDIT Life Science</t>
  </si>
  <si>
    <t>L000012674</t>
  </si>
  <si>
    <t>L000012586</t>
  </si>
  <si>
    <t>L000006565</t>
  </si>
  <si>
    <t>L000006563</t>
  </si>
  <si>
    <t>L000011665</t>
  </si>
  <si>
    <t>L000011328</t>
  </si>
  <si>
    <t>L000007598</t>
  </si>
  <si>
    <t>L000006209</t>
  </si>
  <si>
    <t>L000012335</t>
  </si>
  <si>
    <t>L000013195</t>
  </si>
  <si>
    <t>L000005336</t>
  </si>
  <si>
    <t>L000013734</t>
  </si>
  <si>
    <t>L000013736</t>
  </si>
  <si>
    <t>L000013740</t>
  </si>
  <si>
    <t>L000013754</t>
  </si>
  <si>
    <t>L000013756</t>
  </si>
  <si>
    <t>L000012281</t>
  </si>
  <si>
    <t>L000012968</t>
  </si>
  <si>
    <t>L000012280</t>
  </si>
  <si>
    <t>L000012430</t>
  </si>
  <si>
    <t>L000012967</t>
  </si>
  <si>
    <t>L000011337</t>
  </si>
  <si>
    <t>L000013108</t>
  </si>
  <si>
    <t>L000011154</t>
  </si>
  <si>
    <t>L000011153</t>
  </si>
  <si>
    <t>L000013620</t>
  </si>
  <si>
    <t>L000013686</t>
  </si>
  <si>
    <t>L000013374</t>
  </si>
  <si>
    <t>L000013875</t>
  </si>
  <si>
    <t>L000013876</t>
  </si>
  <si>
    <t>L000013877</t>
  </si>
  <si>
    <t>L000013878</t>
  </si>
  <si>
    <t>L000013879</t>
  </si>
  <si>
    <t>L000013880</t>
  </si>
  <si>
    <t>L000013881</t>
  </si>
  <si>
    <t>L000013882</t>
  </si>
  <si>
    <t>L000013883</t>
  </si>
  <si>
    <t>L000013884</t>
  </si>
  <si>
    <t>L000013885</t>
  </si>
  <si>
    <t>L000013886</t>
  </si>
  <si>
    <t>L000013887</t>
  </si>
  <si>
    <t>L000013888</t>
  </si>
  <si>
    <t>L000013889</t>
  </si>
  <si>
    <t>L000013890</t>
  </si>
  <si>
    <t>L000013891</t>
  </si>
  <si>
    <t>L000013892</t>
  </si>
  <si>
    <t>L000013893</t>
  </si>
  <si>
    <t>moved</t>
  </si>
  <si>
    <t>L000009795</t>
  </si>
  <si>
    <t>FPI SP - Spice income allocation</t>
  </si>
  <si>
    <t>SP - MGF Reporting</t>
  </si>
  <si>
    <t>SP - non-MGF Reporting</t>
  </si>
  <si>
    <t>GO3 SP - FPI Spice SM</t>
  </si>
  <si>
    <t>GO4 SP - FPI Spice IT</t>
  </si>
  <si>
    <t>GO5 SP - FPI Spice GES</t>
  </si>
  <si>
    <t>GO6 SP - FPI Spice EF</t>
  </si>
  <si>
    <t>GO7 SP - FPI Spice dummy</t>
  </si>
  <si>
    <t>FPI SP - Intercompany Charges</t>
  </si>
  <si>
    <t>FPI SP - Exceptionals</t>
  </si>
  <si>
    <t>FR7557992</t>
  </si>
  <si>
    <t>FR7558680</t>
  </si>
  <si>
    <t>LS-DI-R Innovation, R&amp;D, NPI &amp; Mast Data</t>
  </si>
  <si>
    <t>IT06051200</t>
  </si>
  <si>
    <t>EF-DS-SEB Business Excellence</t>
  </si>
  <si>
    <t>IT09010100</t>
  </si>
  <si>
    <t>EF-DS-SEM Performance Management</t>
  </si>
  <si>
    <t>IT09010200</t>
  </si>
  <si>
    <t>EF-DS-SEY Business Process Mgt. / L&amp;D</t>
  </si>
  <si>
    <t>IT09010300</t>
  </si>
  <si>
    <t>EF-DS-DMS Supplier Master Data</t>
  </si>
  <si>
    <t>IT07030400</t>
  </si>
  <si>
    <t>FR7559409</t>
  </si>
  <si>
    <t>MEMPHIS 3PL WH</t>
  </si>
  <si>
    <t>Jay Schafer</t>
  </si>
  <si>
    <t>G000001431</t>
  </si>
  <si>
    <t>G000001432</t>
  </si>
  <si>
    <t>G000001433</t>
  </si>
  <si>
    <t>G000001434</t>
  </si>
  <si>
    <t>G000001435</t>
  </si>
  <si>
    <t>G000001436</t>
  </si>
  <si>
    <t>G000001437</t>
  </si>
  <si>
    <t>G000001438</t>
  </si>
  <si>
    <t>G000001439</t>
  </si>
  <si>
    <t>G000001440</t>
  </si>
  <si>
    <t>L000013894</t>
  </si>
  <si>
    <t>L000013895</t>
  </si>
  <si>
    <t>L000013896</t>
  </si>
  <si>
    <t>L000013897</t>
  </si>
  <si>
    <t>L000013898</t>
  </si>
  <si>
    <t>L000013899</t>
  </si>
  <si>
    <t>FR7568691</t>
  </si>
  <si>
    <t>Global CMC Development</t>
  </si>
  <si>
    <t>Global GCD</t>
  </si>
  <si>
    <t>Darmstadt GCD</t>
  </si>
  <si>
    <t>Local HCQ</t>
  </si>
  <si>
    <t>FR7569473</t>
  </si>
  <si>
    <t>FR7571201</t>
  </si>
  <si>
    <t>Monika Swiatek</t>
  </si>
  <si>
    <t>pending approval</t>
  </si>
  <si>
    <t>IT09020400</t>
  </si>
  <si>
    <t>IT09020500</t>
  </si>
  <si>
    <t>FR7606159</t>
  </si>
  <si>
    <t>EF-DS-SGT IT Service Continuity &amp; IT Risk Management</t>
  </si>
  <si>
    <t>IT06071200</t>
  </si>
  <si>
    <t>IT06071300</t>
  </si>
  <si>
    <t>IT06021100</t>
  </si>
  <si>
    <t>IT06020300</t>
  </si>
  <si>
    <t>FR7659991</t>
  </si>
  <si>
    <t>Site Operations US</t>
  </si>
  <si>
    <t>H000000829</t>
  </si>
  <si>
    <t>FR7668502</t>
  </si>
  <si>
    <t>FR7668842</t>
  </si>
  <si>
    <t>G000001441</t>
  </si>
  <si>
    <t>G000001442</t>
  </si>
  <si>
    <t>G000001443</t>
  </si>
  <si>
    <t>G000001444</t>
  </si>
  <si>
    <t>H000004403</t>
  </si>
  <si>
    <t>FR7675306</t>
  </si>
  <si>
    <t>FR7681936</t>
  </si>
  <si>
    <t>EF-DS-HI Intelligent Automation</t>
  </si>
  <si>
    <t>EF-DS-HT Automation Technology</t>
  </si>
  <si>
    <t>EF-DS-H Hyperautomation</t>
  </si>
  <si>
    <t>IT01000100</t>
  </si>
  <si>
    <t>IT01000200</t>
  </si>
  <si>
    <t>IT01000000</t>
  </si>
  <si>
    <t>G000001445</t>
  </si>
  <si>
    <t>G000001446</t>
  </si>
  <si>
    <t>F87 ST - Bluehouse NextGen Drug Del.</t>
  </si>
  <si>
    <t>FR7705106</t>
  </si>
  <si>
    <t>GPA People cost</t>
  </si>
  <si>
    <t>GPA Program spend</t>
  </si>
  <si>
    <t>GPA Other</t>
  </si>
  <si>
    <t>H000000164</t>
  </si>
  <si>
    <t>FR7760803</t>
  </si>
  <si>
    <t>H000004404</t>
  </si>
  <si>
    <t>H000004405</t>
  </si>
  <si>
    <t>H000004406</t>
  </si>
  <si>
    <t>FR7778403</t>
  </si>
  <si>
    <t>RT Europe COM</t>
  </si>
  <si>
    <t>RT Europe Hub COM</t>
  </si>
  <si>
    <t>RT Europe MED</t>
  </si>
  <si>
    <t>RT Europe Hub MED</t>
  </si>
  <si>
    <t>RT Germany Commercial</t>
  </si>
  <si>
    <t>RT Germany Field Force</t>
  </si>
  <si>
    <t>RT Germany Marketing</t>
  </si>
  <si>
    <t>RT Germany  Sales Promotion</t>
  </si>
  <si>
    <t>RT Ogsiveo Sales Promotion - Activities</t>
  </si>
  <si>
    <t>RT Ezmekly Sales Promotion - Activities</t>
  </si>
  <si>
    <t>RT Germany - General</t>
  </si>
  <si>
    <t>RT - General Management</t>
  </si>
  <si>
    <t>RT Germany - MAP</t>
  </si>
  <si>
    <t>RT Germany  - GAP</t>
  </si>
  <si>
    <t>RT Germany  - Business Ops</t>
  </si>
  <si>
    <t>RT Germany - Other Operating Expense</t>
  </si>
  <si>
    <t>RT Germany Medical &amp; local R&amp;D</t>
  </si>
  <si>
    <t>RT Germany  - Medical cost center</t>
  </si>
  <si>
    <t>RT Germany - Medical Non-R&amp;D Activities</t>
  </si>
  <si>
    <t>RT - Ogsiveo Medical Activities</t>
  </si>
  <si>
    <t>RT - Ezmekly Medical Activities</t>
  </si>
  <si>
    <t>RT Germany - Local R&amp;D - Studies</t>
  </si>
  <si>
    <t>RT Germany - Ogsiveo Local R&amp;D Studies</t>
  </si>
  <si>
    <t>RT Germany - Ezmekly Local R&amp;D Studies</t>
  </si>
  <si>
    <t>H000004407</t>
  </si>
  <si>
    <t>H000004409</t>
  </si>
  <si>
    <t>H000004411</t>
  </si>
  <si>
    <t>H000004414</t>
  </si>
  <si>
    <t>H000004417</t>
  </si>
  <si>
    <t>H000004423</t>
  </si>
  <si>
    <t>H000004425</t>
  </si>
  <si>
    <t>H000004428</t>
  </si>
  <si>
    <t>H000004408</t>
  </si>
  <si>
    <t>H000004410</t>
  </si>
  <si>
    <t>H000004412</t>
  </si>
  <si>
    <t>H000004413</t>
  </si>
  <si>
    <t>H000004415</t>
  </si>
  <si>
    <t>H000004416</t>
  </si>
  <si>
    <t>H000004418</t>
  </si>
  <si>
    <t>H000004419</t>
  </si>
  <si>
    <t>H000004420</t>
  </si>
  <si>
    <t>H000004421</t>
  </si>
  <si>
    <t>H000004422</t>
  </si>
  <si>
    <t>H000004424</t>
  </si>
  <si>
    <t>H000004426</t>
  </si>
  <si>
    <t>H000004427</t>
  </si>
  <si>
    <t>H000004429</t>
  </si>
  <si>
    <t>H000004430</t>
  </si>
  <si>
    <t>RDC0000068</t>
  </si>
  <si>
    <t>RDC0000992</t>
  </si>
  <si>
    <t>FR7784231</t>
  </si>
  <si>
    <t>RDC0000091</t>
  </si>
  <si>
    <t>RDC0000092</t>
  </si>
  <si>
    <t>RDC0000093</t>
  </si>
  <si>
    <t>Global Health other</t>
  </si>
  <si>
    <t>Global Health Institute</t>
  </si>
  <si>
    <t>Global Health IC</t>
  </si>
  <si>
    <t>FR7797613</t>
  </si>
  <si>
    <t>EF-DS-HE Integrated Process Excellence</t>
  </si>
  <si>
    <t>EF-DS-HP Process Intelligence Practice</t>
  </si>
  <si>
    <t>EF-DS-HS ServiceNow CoE</t>
  </si>
  <si>
    <t>IT01000300</t>
  </si>
  <si>
    <t>IT01000400</t>
  </si>
  <si>
    <t>IT01000500</t>
  </si>
  <si>
    <t>EF-DS-HA Automation Strategy</t>
  </si>
  <si>
    <t>FR7803031</t>
  </si>
  <si>
    <t>G000001447</t>
  </si>
  <si>
    <t>G000001448</t>
  </si>
  <si>
    <t>G000001449</t>
  </si>
  <si>
    <t>eCommerce Products -G</t>
  </si>
  <si>
    <t>FR7835665</t>
  </si>
  <si>
    <t>Hui Zhang</t>
  </si>
  <si>
    <t>L000007597</t>
  </si>
  <si>
    <t>L000013900</t>
  </si>
  <si>
    <t>FR7856979</t>
  </si>
  <si>
    <t>Healthcare Digital Projects</t>
  </si>
  <si>
    <t>IT08010000</t>
  </si>
  <si>
    <t>HC_(non-IT)</t>
  </si>
  <si>
    <t>H000004431</t>
  </si>
  <si>
    <t>RT UK Commercial</t>
  </si>
  <si>
    <t>RT UK Field Force</t>
  </si>
  <si>
    <t>RT UK Marketing</t>
  </si>
  <si>
    <t>RT UK Sales Promotion</t>
  </si>
  <si>
    <t>RT UK Ogsiveo Sales Promotion</t>
  </si>
  <si>
    <t>RT UK Ezmekly Sales Promotion</t>
  </si>
  <si>
    <t>RT UK - General</t>
  </si>
  <si>
    <t>RT UK - General Management</t>
  </si>
  <si>
    <t>RT UK - MAP</t>
  </si>
  <si>
    <t>RT UK - GAP</t>
  </si>
  <si>
    <t>RT UK - Business Ops</t>
  </si>
  <si>
    <t>RT UK - Other Operating Expense</t>
  </si>
  <si>
    <t>RT UK Medical &amp; local R&amp;D</t>
  </si>
  <si>
    <t>RT UK - Medical cost center</t>
  </si>
  <si>
    <t>RT UK - Medical Non-R&amp;D Activities</t>
  </si>
  <si>
    <t>RT UK Ogsiveo Medical Activities</t>
  </si>
  <si>
    <t>RT UK Ezmekly Medical Activities</t>
  </si>
  <si>
    <t>RT UK Local R&amp;D - Studies</t>
  </si>
  <si>
    <t>RT UK Ogsiveo Local R&amp;D Studies</t>
  </si>
  <si>
    <t>RT UK Ezmekly Local R&amp;D Studies</t>
  </si>
  <si>
    <t>RT Spain Commercial</t>
  </si>
  <si>
    <t>RT Spain Field Force</t>
  </si>
  <si>
    <t>RT Spain Marketing</t>
  </si>
  <si>
    <t>RT Spain Sales Promotion</t>
  </si>
  <si>
    <t>RT Spain Ogsiveo Sales Promotion</t>
  </si>
  <si>
    <t>RT Spain Ezmekly Sales Promotion</t>
  </si>
  <si>
    <t>RT Spain - General</t>
  </si>
  <si>
    <t>RT Spain - General Management</t>
  </si>
  <si>
    <t>RT Spain - MAP</t>
  </si>
  <si>
    <t>RT Spain - GAP</t>
  </si>
  <si>
    <t>RT Spain - Business Ops</t>
  </si>
  <si>
    <t>RT Spain - Other Operating Expense</t>
  </si>
  <si>
    <t>RT Spain Medical &amp; local R&amp;D</t>
  </si>
  <si>
    <t>RT Spain - Medical cost center</t>
  </si>
  <si>
    <t>RT Spain - Medical Non-R&amp;D Activities</t>
  </si>
  <si>
    <t>RT Spain Ogsiveo Medical Activities</t>
  </si>
  <si>
    <t>RT Spain Ezmekly Medical Activities</t>
  </si>
  <si>
    <t>RT Spain Local R&amp;D - Studies</t>
  </si>
  <si>
    <t>RT Spain Ogsiveo Local R&amp;D Studies</t>
  </si>
  <si>
    <t>RT Spain Ezmekly Local R&amp;D Studies</t>
  </si>
  <si>
    <t>RT Italy Commercial</t>
  </si>
  <si>
    <t>RT Italy Field Force</t>
  </si>
  <si>
    <t>RT Italy Marketing</t>
  </si>
  <si>
    <t>RT Italy Sales Promotion</t>
  </si>
  <si>
    <t>RT Italy Ogsiveo Sales Promotion</t>
  </si>
  <si>
    <t>RT Italy Ezmekly Sales Promotion</t>
  </si>
  <si>
    <t>RT Italy - General</t>
  </si>
  <si>
    <t>RT Italy - General Management</t>
  </si>
  <si>
    <t>RT Italy - MAP</t>
  </si>
  <si>
    <t>RT Italy - GAP</t>
  </si>
  <si>
    <t>RT Italy - Business Ops</t>
  </si>
  <si>
    <t>RT Italy - Other Operating Expense</t>
  </si>
  <si>
    <t>RT Italy Medical &amp; local R&amp;D</t>
  </si>
  <si>
    <t>RT Italy - Medical cost center</t>
  </si>
  <si>
    <t>RT Italy - Medical Non-R&amp;D Activities</t>
  </si>
  <si>
    <t>RT Italy Ogsiveo Medical Activities</t>
  </si>
  <si>
    <t>RT Italy Ezmekly Medical Activities</t>
  </si>
  <si>
    <t>RT Italy Local R&amp;D - Studies</t>
  </si>
  <si>
    <t>RT Italy Ogsiveo Local R&amp;D Studies</t>
  </si>
  <si>
    <t>RT Italy Ezmekly Local R&amp;D Studies</t>
  </si>
  <si>
    <t>RT France Commercial</t>
  </si>
  <si>
    <t>RT France Field Force</t>
  </si>
  <si>
    <t>RT France Marketing</t>
  </si>
  <si>
    <t>RT France Sales Promotion</t>
  </si>
  <si>
    <t>RT France Ogsiveo Sales Promotion</t>
  </si>
  <si>
    <t>RT France Ezmekly Sales Promotion</t>
  </si>
  <si>
    <t>RT France - General</t>
  </si>
  <si>
    <t>RT France - General Management</t>
  </si>
  <si>
    <t>RT France - MAP</t>
  </si>
  <si>
    <t>RT France - GAP</t>
  </si>
  <si>
    <t>RT France - Business Ops</t>
  </si>
  <si>
    <t>RT France - Other Operating Expense</t>
  </si>
  <si>
    <t>RT France Medical &amp; local R&amp;D</t>
  </si>
  <si>
    <t>RT France - Medical cost center</t>
  </si>
  <si>
    <t>RT France - Medical Non-R&amp;D Activities</t>
  </si>
  <si>
    <t>RT France Ogsiveo Medical Activities</t>
  </si>
  <si>
    <t>RT France Ezmekly Medical Activities</t>
  </si>
  <si>
    <t>RT France Local R&amp;D - Studies</t>
  </si>
  <si>
    <t>RT France Ogsiveo Local R&amp;D Studies</t>
  </si>
  <si>
    <t>RT France Ezmekly Local R&amp;D Studies</t>
  </si>
  <si>
    <t>RT Austria Commercial</t>
  </si>
  <si>
    <t>RT Austria Field Force</t>
  </si>
  <si>
    <t>RT Austria Marketing</t>
  </si>
  <si>
    <t>RT Austria Sales Promotion</t>
  </si>
  <si>
    <t>RT Austria Ogsiveo Sales Promotion</t>
  </si>
  <si>
    <t>RT Austria Ezmekly Sales Promotion</t>
  </si>
  <si>
    <t>RT Austria - General</t>
  </si>
  <si>
    <t>RT Austria - General Management</t>
  </si>
  <si>
    <t>RT Austria - MAP</t>
  </si>
  <si>
    <t>RT Austria - GAP</t>
  </si>
  <si>
    <t>RT Austria - Business Ops</t>
  </si>
  <si>
    <t>RT Austria - Other Operating Expense</t>
  </si>
  <si>
    <t>RT Austria Medical &amp; local R&amp;D</t>
  </si>
  <si>
    <t>RT Austria - Medical cost center</t>
  </si>
  <si>
    <t>RT Austria - Medical Non-R&amp;D Activities</t>
  </si>
  <si>
    <t>RT Austria Ogsiveo Medical Activities</t>
  </si>
  <si>
    <t>RT Austria Ezmekly Medical Activities</t>
  </si>
  <si>
    <t>RT Austria Local R&amp;D - Studies</t>
  </si>
  <si>
    <t>RT Austria Ogsiveo Local R&amp;D Studies</t>
  </si>
  <si>
    <t>RT Austria Ezmekly Local R&amp;D Studies</t>
  </si>
  <si>
    <t>RT Switzerland Commercial</t>
  </si>
  <si>
    <t>RT Switzerland Field Force</t>
  </si>
  <si>
    <t>RT Switzerland Marketing</t>
  </si>
  <si>
    <t>RT Switzerland Sales Promotion</t>
  </si>
  <si>
    <t>RT Switzerland Ogsiveo Sales Promotion</t>
  </si>
  <si>
    <t>RT Switzerland Ezmekly Sales Promotion</t>
  </si>
  <si>
    <t>RT Switzerland - General</t>
  </si>
  <si>
    <t>RT Switzerland - General Management</t>
  </si>
  <si>
    <t>RT Switzerland - MAP</t>
  </si>
  <si>
    <t>RT Switzerland - GAP</t>
  </si>
  <si>
    <t>RT Switzerland - Business Ops</t>
  </si>
  <si>
    <t>RT Switzerland - Other Operating Expense</t>
  </si>
  <si>
    <t>RT Switzerland Medical &amp; local R&amp;D</t>
  </si>
  <si>
    <t>RT Switzerland - Medical cost center</t>
  </si>
  <si>
    <t>RT Switzerland - Medical Non-R&amp;D Act</t>
  </si>
  <si>
    <t>RT Switzerland Ogsiveo Medical Act</t>
  </si>
  <si>
    <t>RT Switzerland Ezmekly Medical Act</t>
  </si>
  <si>
    <t>RT Switzerland Local R&amp;D - Studies</t>
  </si>
  <si>
    <t>RT Switzerland Ogsiveo Local R&amp;D Studies</t>
  </si>
  <si>
    <t>RT Switzerland Ezmekly Local R&amp;D Studies</t>
  </si>
  <si>
    <t>RT Portugal Commercial</t>
  </si>
  <si>
    <t>RT Portugal Field Force</t>
  </si>
  <si>
    <t>RT Portugal Marketing</t>
  </si>
  <si>
    <t>RT Portugal Sales Promotion</t>
  </si>
  <si>
    <t>RT Portugal Ogsiveo Sales Promotion</t>
  </si>
  <si>
    <t>RT Portugal Ezmekly Sales Promotion</t>
  </si>
  <si>
    <t>RT Portugal - General</t>
  </si>
  <si>
    <t>RT Portugal - General Management</t>
  </si>
  <si>
    <t>RT Portugal - MAP</t>
  </si>
  <si>
    <t>RT Portugal - GAP</t>
  </si>
  <si>
    <t>RT Portugal - Business Ops</t>
  </si>
  <si>
    <t>RT Portugal - Other Operating Expense</t>
  </si>
  <si>
    <t>RT Portugal Medical &amp; local R&amp;D</t>
  </si>
  <si>
    <t>RT Portugal - Medical cost center</t>
  </si>
  <si>
    <t>RT Portugal - Medical Non-R&amp;D Activities</t>
  </si>
  <si>
    <t>RT Portugal Ogsiveo Medical Activities</t>
  </si>
  <si>
    <t>RT Portugal Ezmekly Medical Activities</t>
  </si>
  <si>
    <t>RT Portugal Local R&amp;D - Studies</t>
  </si>
  <si>
    <t>RT Portugal Ogsiveo Local R&amp;D Studies</t>
  </si>
  <si>
    <t>RT Portugal Ezmekly Local R&amp;D Studies</t>
  </si>
  <si>
    <t>RT Israel Commercial</t>
  </si>
  <si>
    <t>RT Israel Field Force</t>
  </si>
  <si>
    <t>RT Israel Marketing</t>
  </si>
  <si>
    <t>RT Israel Sales Promotion</t>
  </si>
  <si>
    <t>RT Israel Ogsiveo Sales Promotion</t>
  </si>
  <si>
    <t>RT Israel Ezmekly Sales Promotion</t>
  </si>
  <si>
    <t>RT Israel - General</t>
  </si>
  <si>
    <t>RT Israel - General Management</t>
  </si>
  <si>
    <t>RT Israel - MAP</t>
  </si>
  <si>
    <t>RT Israel - GAP</t>
  </si>
  <si>
    <t>RT Israel - Business Ops</t>
  </si>
  <si>
    <t>RT Israel - Other Operating Expense</t>
  </si>
  <si>
    <t>RT Israel Medical &amp; local R&amp;D</t>
  </si>
  <si>
    <t>RT Israel - Medical cost center</t>
  </si>
  <si>
    <t>RT Israel - Medical Non-R&amp;D Activities</t>
  </si>
  <si>
    <t>RT Israel Ogsiveo Medical Activities</t>
  </si>
  <si>
    <t>RT Israel Ezmekly Medical Activities</t>
  </si>
  <si>
    <t>RT Israel Local R&amp;D - Studies</t>
  </si>
  <si>
    <t>RT Israel Ogsiveo Local R&amp;D Studies</t>
  </si>
  <si>
    <t>RT Israel Ezmekly Local R&amp;D Studies</t>
  </si>
  <si>
    <t>RT Poland Commercial</t>
  </si>
  <si>
    <t>RT Poland Field Force</t>
  </si>
  <si>
    <t>RT Poland Marketing</t>
  </si>
  <si>
    <t>RT Poland Sales Promotion</t>
  </si>
  <si>
    <t>RT Poland Ogsiveo Sales Promotion</t>
  </si>
  <si>
    <t>RT Poland Ezmekly Sales Promotion</t>
  </si>
  <si>
    <t>RT Poland - General</t>
  </si>
  <si>
    <t>RT Poland - General Management</t>
  </si>
  <si>
    <t>RT Poland - MAP</t>
  </si>
  <si>
    <t>RT Poland - GAP</t>
  </si>
  <si>
    <t>RT Poland - Business Ops</t>
  </si>
  <si>
    <t>RT Poland - Other Operating Expense</t>
  </si>
  <si>
    <t>RT Poland Medical &amp; local R&amp;D</t>
  </si>
  <si>
    <t>RT Poland - Medical cost center</t>
  </si>
  <si>
    <t>RT Poland - Medical Non-R&amp;D Activities</t>
  </si>
  <si>
    <t>RT Poland Ogsiveo Medical Activities</t>
  </si>
  <si>
    <t>RT Poland Ezmekly Medical Activities</t>
  </si>
  <si>
    <t>RT Poland Local R&amp;D - Studies</t>
  </si>
  <si>
    <t>RT Poland Ogsiveo Local R&amp;D Studies</t>
  </si>
  <si>
    <t>RT Poland Ezmekly Local R&amp;D Studies</t>
  </si>
  <si>
    <t>RT Belgium Commercial</t>
  </si>
  <si>
    <t>RT Belgium Field Force</t>
  </si>
  <si>
    <t>RT Belgium Marketing</t>
  </si>
  <si>
    <t>RT Belgium Sales Promotion</t>
  </si>
  <si>
    <t>RT Belgium Ogsiveo Sales Promotion</t>
  </si>
  <si>
    <t>RT Belgium Ezmekly Sales Promotion</t>
  </si>
  <si>
    <t>RT Belgium - General</t>
  </si>
  <si>
    <t>RT Belgium - General Management</t>
  </si>
  <si>
    <t>RT Belgium - MAP</t>
  </si>
  <si>
    <t>RT Belgium - GAP</t>
  </si>
  <si>
    <t>RT Belgium - Business Ops</t>
  </si>
  <si>
    <t>RT Belgium - Other Operating Expense</t>
  </si>
  <si>
    <t>RT Belgium Medical &amp; local R&amp;D</t>
  </si>
  <si>
    <t>RT Belgium - Medical cost center</t>
  </si>
  <si>
    <t>RT Belgium - Medical Non-R&amp;D Activities</t>
  </si>
  <si>
    <t>RT Belgium Ogsiveo Medical Activities</t>
  </si>
  <si>
    <t>RT Belgium Ezmekly Medical Activities</t>
  </si>
  <si>
    <t>RT Belgium Local R&amp;D - Studies</t>
  </si>
  <si>
    <t>RT Belgium Ogsiveo Local R&amp;D Studies</t>
  </si>
  <si>
    <t>RT Belgium Ezmekly Local R&amp;D Studies</t>
  </si>
  <si>
    <t>RT Netherlands Commercial</t>
  </si>
  <si>
    <t>RT Netherlands Field Force</t>
  </si>
  <si>
    <t>RT Netherlands Marketing</t>
  </si>
  <si>
    <t>RT Netherlands Sales Promotion</t>
  </si>
  <si>
    <t>RT Netherlands Ogsiveo Sales Promotion</t>
  </si>
  <si>
    <t>RT Netherlands Ezmekly Sales Promotion</t>
  </si>
  <si>
    <t>RT Netherlands - General</t>
  </si>
  <si>
    <t>RT Netherlands - General Management</t>
  </si>
  <si>
    <t>RT Netherlands - MAP</t>
  </si>
  <si>
    <t>RT Netherlands - GAP</t>
  </si>
  <si>
    <t>RT Netherlands - Business Ops</t>
  </si>
  <si>
    <t>RT Netherlands - Other Operating Expense</t>
  </si>
  <si>
    <t>RT Netherlands Medical &amp; local R&amp;D</t>
  </si>
  <si>
    <t>RT Netherlands - Medical cost center</t>
  </si>
  <si>
    <t>RT Netherlands - Medical Non-R&amp;D Act</t>
  </si>
  <si>
    <t>RT Netherlands Ogsiveo Medical Act</t>
  </si>
  <si>
    <t>RT Netherlands Ezmekly Medical Act</t>
  </si>
  <si>
    <t>RT Netherlands Local R&amp;D - Studies</t>
  </si>
  <si>
    <t>RT Netherlands Ogsiveo Local R&amp;D Studies</t>
  </si>
  <si>
    <t>RT Netherlands Ezmekly Local R&amp;D Studies</t>
  </si>
  <si>
    <t>RT Romania Commercial</t>
  </si>
  <si>
    <t>RT Romania Field Force</t>
  </si>
  <si>
    <t>RT Romania Marketing</t>
  </si>
  <si>
    <t>RT Romania Sales Promotion</t>
  </si>
  <si>
    <t>RT Romania Ogsiveo Sales Promotion</t>
  </si>
  <si>
    <t>RT Romania Ezmekly Sales Promotion</t>
  </si>
  <si>
    <t>RT Romania - General</t>
  </si>
  <si>
    <t>RT Romania - General Management</t>
  </si>
  <si>
    <t>RT Romania - MAP</t>
  </si>
  <si>
    <t>RT Romania - GAP</t>
  </si>
  <si>
    <t>RT Romania - Business Ops</t>
  </si>
  <si>
    <t>RT Romania - Other Operating Expense</t>
  </si>
  <si>
    <t>RT Romania Medical &amp; local R&amp;D</t>
  </si>
  <si>
    <t>RT Romania - Medical cost center</t>
  </si>
  <si>
    <t>RT Romania - Medical Non-R&amp;D Activities</t>
  </si>
  <si>
    <t>RT Romania Ogsiveo Medical Activities</t>
  </si>
  <si>
    <t>RT Romania Ezmekly Medical Activities</t>
  </si>
  <si>
    <t>RT Romania Local R&amp;D - Studies</t>
  </si>
  <si>
    <t>RT Romania Ogsiveo Local R&amp;D Studies</t>
  </si>
  <si>
    <t>RT Romania Ezmekly Local R&amp;D Studies</t>
  </si>
  <si>
    <t>RT Denmark Commercial</t>
  </si>
  <si>
    <t>RT Denmark Field Force</t>
  </si>
  <si>
    <t>RT Denmark Marketing</t>
  </si>
  <si>
    <t>RT Denmark Sales Promotion</t>
  </si>
  <si>
    <t>RT Denmark Ogsiveo Sales Promotion</t>
  </si>
  <si>
    <t>RT Denmark Ezmekly Sales Promotion</t>
  </si>
  <si>
    <t>RT Denmark - General</t>
  </si>
  <si>
    <t>RT Denmark - General Management</t>
  </si>
  <si>
    <t>RT Denmark - MAP</t>
  </si>
  <si>
    <t>RT Denmark - GAP</t>
  </si>
  <si>
    <t>RT Denmark - Business Ops</t>
  </si>
  <si>
    <t>RT Denmark - Other Operating Expense</t>
  </si>
  <si>
    <t>RT Denmark Medical &amp; local R&amp;D</t>
  </si>
  <si>
    <t>RT Denmark - Medical cost center</t>
  </si>
  <si>
    <t>RT Denmark - Medical Non-R&amp;D Activities</t>
  </si>
  <si>
    <t>RT Denmark Ogsiveo Medical Activities</t>
  </si>
  <si>
    <t>RT Denmark Ezmekly Medical Activities</t>
  </si>
  <si>
    <t>RT Denmark Local R&amp;D - Studies</t>
  </si>
  <si>
    <t>RT Denmark Ogsiveo Local R&amp;D Studies</t>
  </si>
  <si>
    <t>RT Denmark Ezmekly Local R&amp;D Studies</t>
  </si>
  <si>
    <t>RT Sweden Commercial</t>
  </si>
  <si>
    <t>RT Sweden Field Force</t>
  </si>
  <si>
    <t>RT Sweden Marketing</t>
  </si>
  <si>
    <t>RT Sweden Sales Promotion</t>
  </si>
  <si>
    <t>RT Sweden Ogsiveo Sales Promotion</t>
  </si>
  <si>
    <t>RT Sweden Ezmekly Sales Promotion</t>
  </si>
  <si>
    <t>RT Sweden - General</t>
  </si>
  <si>
    <t>RT Sweden - General Management</t>
  </si>
  <si>
    <t>RT Sweden - MAP</t>
  </si>
  <si>
    <t>RT Sweden - GAP</t>
  </si>
  <si>
    <t>RT Sweden - Business Ops</t>
  </si>
  <si>
    <t>RT Sweden - Other Operating Expense</t>
  </si>
  <si>
    <t>RT Sweden Medical &amp; local R&amp;D</t>
  </si>
  <si>
    <t>RT Sweden - Medical cost center</t>
  </si>
  <si>
    <t>RT Sweden - Medical Non-R&amp;D Activities</t>
  </si>
  <si>
    <t>RT Sweden Ogsiveo Medical Activities</t>
  </si>
  <si>
    <t>RT Sweden Ezmekly Medical Activities</t>
  </si>
  <si>
    <t>RT Sweden Local R&amp;D - Studies</t>
  </si>
  <si>
    <t>RT Sweden Ogsiveo Local R&amp;D Studies</t>
  </si>
  <si>
    <t>RT Sweden Ezmekly Local R&amp;D Studies</t>
  </si>
  <si>
    <t>RT Finland Commercial</t>
  </si>
  <si>
    <t>RT Finland Field Force</t>
  </si>
  <si>
    <t>RT Finland Marketing</t>
  </si>
  <si>
    <t>RT Finland Sales Promotion</t>
  </si>
  <si>
    <t>RT Finland Ogsiveo Sales Promotion</t>
  </si>
  <si>
    <t>RT Finland Ezmekly Sales Promotion</t>
  </si>
  <si>
    <t>RT Finland - General</t>
  </si>
  <si>
    <t>RT Finland - General Management</t>
  </si>
  <si>
    <t>RT Finland - MAP</t>
  </si>
  <si>
    <t>RT Finland - GAP</t>
  </si>
  <si>
    <t>RT Finland - Business Ops</t>
  </si>
  <si>
    <t>RT Finland - Other Operating Expense</t>
  </si>
  <si>
    <t>RT Finland Medical &amp; local R&amp;D</t>
  </si>
  <si>
    <t>RT Finland - Medical cost center</t>
  </si>
  <si>
    <t>RT Finland - Medical Non-R&amp;D Activities</t>
  </si>
  <si>
    <t>RT Finland Ogsiveo Medical Activities</t>
  </si>
  <si>
    <t>RT Finland Ezmekly Medical Activities</t>
  </si>
  <si>
    <t>RT Finland Local R&amp;D - Studies</t>
  </si>
  <si>
    <t>RT Finland Ogsiveo Local R&amp;D Studies</t>
  </si>
  <si>
    <t>RT Finland Ezmekly Local R&amp;D Studies</t>
  </si>
  <si>
    <t>RT Norway Commercial</t>
  </si>
  <si>
    <t>RT Norway Field Force</t>
  </si>
  <si>
    <t>RT Norway Marketing</t>
  </si>
  <si>
    <t>RT Norway Sales Promotion</t>
  </si>
  <si>
    <t>RT Norway Ogsiveo Sales Promotion</t>
  </si>
  <si>
    <t>RT Norway Ezmekly Sales Promotion</t>
  </si>
  <si>
    <t>RT Norway - General</t>
  </si>
  <si>
    <t>RT Norway - General Management</t>
  </si>
  <si>
    <t>RT Norway - MAP</t>
  </si>
  <si>
    <t>RT Norway - GAP</t>
  </si>
  <si>
    <t>RT Norway - Business Ops</t>
  </si>
  <si>
    <t>RT Norway - Other Operating Expense</t>
  </si>
  <si>
    <t>RT Norway Medical &amp; local R&amp;D</t>
  </si>
  <si>
    <t>RT Norway - Medical cost center</t>
  </si>
  <si>
    <t>RT Norway - Medical Non-R&amp;D Activities</t>
  </si>
  <si>
    <t>RT Norway Ogsiveo Medical Activities</t>
  </si>
  <si>
    <t>RT Norway Ezmekly Medical Activities</t>
  </si>
  <si>
    <t>RT Norway Local R&amp;D - Studies</t>
  </si>
  <si>
    <t>RT Norway Ogsiveo Local R&amp;D Studies</t>
  </si>
  <si>
    <t>RT Norway Ezmekly Local R&amp;D Studies</t>
  </si>
  <si>
    <t>RT Czech Rep Commercial</t>
  </si>
  <si>
    <t>RT Czech Rep Field Force</t>
  </si>
  <si>
    <t>RT Czech Rep Marketing</t>
  </si>
  <si>
    <t>RT Czech Rep Sales Promotion</t>
  </si>
  <si>
    <t>RT Czech Rep Ogsiveo Sales Promotion</t>
  </si>
  <si>
    <t>RT Czech Rep Ezmekly Sales Promotion</t>
  </si>
  <si>
    <t>RT Czech Rep - General</t>
  </si>
  <si>
    <t>RT Czech Rep - General Management</t>
  </si>
  <si>
    <t>RT Czech Rep - MAP</t>
  </si>
  <si>
    <t>RT Czech Rep - GAP</t>
  </si>
  <si>
    <t>RT Czech Rep - Business Ops</t>
  </si>
  <si>
    <t>RT Czech Rep - Other Operating Expense</t>
  </si>
  <si>
    <t>RT Czech Rep Medical &amp; local R&amp;D</t>
  </si>
  <si>
    <t>RT Czech Rep - Medical cost center</t>
  </si>
  <si>
    <t>RT Czech Rep-Medical Non-R&amp;D Activities</t>
  </si>
  <si>
    <t>RT Czech Rep Ogsiveo Medical Activities</t>
  </si>
  <si>
    <t>RT Czech Rep Ezmekly Medical Activities</t>
  </si>
  <si>
    <t>RT Czech Rep Local R&amp;D - Studies</t>
  </si>
  <si>
    <t>RT Czech Rep Ogsiveo Local R&amp;D Studies</t>
  </si>
  <si>
    <t>RT Czech Rep Ezmekly Local R&amp;D Studies</t>
  </si>
  <si>
    <t>RT Hungary Commercial</t>
  </si>
  <si>
    <t>RT Hungary Field Force</t>
  </si>
  <si>
    <t>RT Hungary Marketing</t>
  </si>
  <si>
    <t>RT Hungary Sales Promotion</t>
  </si>
  <si>
    <t>RT Hungary Ogsiveo Sales Promotion</t>
  </si>
  <si>
    <t>RT Hungary Ezmekly Sales Promotion</t>
  </si>
  <si>
    <t>RT Hungary - General</t>
  </si>
  <si>
    <t>RT Hungary - General Management</t>
  </si>
  <si>
    <t>RT Hungary - MAP</t>
  </si>
  <si>
    <t>RT Hungary - GAP</t>
  </si>
  <si>
    <t>RT Hungary - Business Ops</t>
  </si>
  <si>
    <t>RT Hungary - Other Operating Expense</t>
  </si>
  <si>
    <t>RT Hungary Medical &amp; local R&amp;D</t>
  </si>
  <si>
    <t>RT Hungary - Medical cost center</t>
  </si>
  <si>
    <t>RT Hungary - Medical Non-R&amp;D Activities</t>
  </si>
  <si>
    <t>RT Hungary Ogsiveo Medical Activities</t>
  </si>
  <si>
    <t>RT Hungary Ezmekly Medical Activities</t>
  </si>
  <si>
    <t>RT Hungary Local R&amp;D - Studies</t>
  </si>
  <si>
    <t>RT Hungary Ogsiveo Local R&amp;D Studies</t>
  </si>
  <si>
    <t>RT Hungary Ezmekly Local R&amp;D Studies</t>
  </si>
  <si>
    <t>RT Greece Commercial</t>
  </si>
  <si>
    <t>RT Greece Field Force</t>
  </si>
  <si>
    <t>RT Greece Marketing</t>
  </si>
  <si>
    <t>RT Greece Sales Promotion</t>
  </si>
  <si>
    <t>RT Greece Ogsiveo Sales Promotion</t>
  </si>
  <si>
    <t>RT Greece Ezmekly Sales Promotion</t>
  </si>
  <si>
    <t>RT Greece - General</t>
  </si>
  <si>
    <t>RT Greece - General Management</t>
  </si>
  <si>
    <t>RT Greece - MAP</t>
  </si>
  <si>
    <t>RT Greece - GAP</t>
  </si>
  <si>
    <t>RT Greece - Business Ops</t>
  </si>
  <si>
    <t>RT Greece - Other Operating Expense</t>
  </si>
  <si>
    <t>RT Greece Medical &amp; local R&amp;D</t>
  </si>
  <si>
    <t>RT Greece - Medical cost center</t>
  </si>
  <si>
    <t>RT Greece - Medical Non-R&amp;D Activities</t>
  </si>
  <si>
    <t>RT Greece Ogsiveo Medical Activities</t>
  </si>
  <si>
    <t>RT Greece Ezmekly Medical Activities</t>
  </si>
  <si>
    <t>RT Greece Local R&amp;D - Studies</t>
  </si>
  <si>
    <t>RT Greece Ogsiveo Local R&amp;D Studies</t>
  </si>
  <si>
    <t>RT Greece Ezmekly Local R&amp;D Studies</t>
  </si>
  <si>
    <t>RT Slovenia Commercial</t>
  </si>
  <si>
    <t>RT Slovenia Field Force</t>
  </si>
  <si>
    <t>RT Slovenia Marketing</t>
  </si>
  <si>
    <t>RT Slovenia Sales Promotion</t>
  </si>
  <si>
    <t>RT Slovenia Ogsiveo Sales Promotion</t>
  </si>
  <si>
    <t>RT Slovenia Ezmekly Sales Promotion</t>
  </si>
  <si>
    <t>RT Slovenia - General</t>
  </si>
  <si>
    <t>RT Slovenia - General Management</t>
  </si>
  <si>
    <t>RT Slovenia - MAP</t>
  </si>
  <si>
    <t>RT Slovenia - GAP</t>
  </si>
  <si>
    <t>RT Slovenia - Business Ops</t>
  </si>
  <si>
    <t>RT Slovenia - Other Operating Expense</t>
  </si>
  <si>
    <t>RT Slovenia Medical &amp; local R&amp;D</t>
  </si>
  <si>
    <t>RT Slovenia - Medical cost center</t>
  </si>
  <si>
    <t>RT Slovenia - Medical Non-R&amp;D Activities</t>
  </si>
  <si>
    <t>RT Slovenia Ogsiveo Medical Activities</t>
  </si>
  <si>
    <t>RT Slovenia Ezmekly Medical Activities</t>
  </si>
  <si>
    <t>RT Slovenia Local R&amp;D - Studies</t>
  </si>
  <si>
    <t>RT Slovenia Ogsiveo Local R&amp;D Studies</t>
  </si>
  <si>
    <t>RT Slovenia Ezmekly Local R&amp;D Studies</t>
  </si>
  <si>
    <t>RT Bulgaria Commercial</t>
  </si>
  <si>
    <t>RT Bulgaria Field Force</t>
  </si>
  <si>
    <t>RT Bulgaria Marketing</t>
  </si>
  <si>
    <t>RT Bulgaria Sales Promotion</t>
  </si>
  <si>
    <t>RT Bulgaria Ogsiveo Sales Promotion</t>
  </si>
  <si>
    <t>RT Bulgaria Ezmekly Sales Promotion</t>
  </si>
  <si>
    <t>RT Bulgaria - General</t>
  </si>
  <si>
    <t>RT Bulgaria - General Management</t>
  </si>
  <si>
    <t>RT Bulgaria - MAP</t>
  </si>
  <si>
    <t>RT Bulgaria - GAP</t>
  </si>
  <si>
    <t>RT Bulgaria - Business Ops</t>
  </si>
  <si>
    <t>RT Bulgaria - Other Operating Expense</t>
  </si>
  <si>
    <t>RT Bulgaria Medical &amp; local R&amp;D</t>
  </si>
  <si>
    <t>RT Bulgaria - Medical cost center</t>
  </si>
  <si>
    <t>RT Bulgaria - Medical Non-R&amp;D Activities</t>
  </si>
  <si>
    <t>RT Bulgaria Ogsiveo Medical Activities</t>
  </si>
  <si>
    <t>RT Bulgaria Ezmekly Medical Activities</t>
  </si>
  <si>
    <t>RT Bulgaria Local R&amp;D - Studies</t>
  </si>
  <si>
    <t>RT Bulgaria Ogsiveo Local R&amp;D Studies</t>
  </si>
  <si>
    <t>RT Bulgaria Ezmekly Local R&amp;D Studies</t>
  </si>
  <si>
    <t>FR7861562</t>
  </si>
  <si>
    <t>H000001071</t>
  </si>
  <si>
    <t>FR7864413</t>
  </si>
  <si>
    <t>H000004432</t>
  </si>
  <si>
    <t>H000004433</t>
  </si>
  <si>
    <t>H000004434</t>
  </si>
  <si>
    <t>H000004435</t>
  </si>
  <si>
    <t>H000004436</t>
  </si>
  <si>
    <t>H000004437</t>
  </si>
  <si>
    <t>H000004438</t>
  </si>
  <si>
    <t>H000004439</t>
  </si>
  <si>
    <t>H000004440</t>
  </si>
  <si>
    <t>H000004441</t>
  </si>
  <si>
    <t>H000004442</t>
  </si>
  <si>
    <t>H000004443</t>
  </si>
  <si>
    <t>H000004444</t>
  </si>
  <si>
    <t>H000004445</t>
  </si>
  <si>
    <t>H000004446</t>
  </si>
  <si>
    <t>H000004447</t>
  </si>
  <si>
    <t>H000004448</t>
  </si>
  <si>
    <t>H000004449</t>
  </si>
  <si>
    <t>H000004450</t>
  </si>
  <si>
    <t>H000004451</t>
  </si>
  <si>
    <t>H000004452</t>
  </si>
  <si>
    <t>H000004453</t>
  </si>
  <si>
    <t>H000004454</t>
  </si>
  <si>
    <t>H000004455</t>
  </si>
  <si>
    <t>H000004456</t>
  </si>
  <si>
    <t>H000004457</t>
  </si>
  <si>
    <t>H000004458</t>
  </si>
  <si>
    <t>H000004459</t>
  </si>
  <si>
    <t>H000004460</t>
  </si>
  <si>
    <t>H000004461</t>
  </si>
  <si>
    <t>H000004462</t>
  </si>
  <si>
    <t>H000004463</t>
  </si>
  <si>
    <t>H000004464</t>
  </si>
  <si>
    <t>H000004465</t>
  </si>
  <si>
    <t>H000004466</t>
  </si>
  <si>
    <t>H000004467</t>
  </si>
  <si>
    <t>H000004468</t>
  </si>
  <si>
    <t>H000004469</t>
  </si>
  <si>
    <t>H000004470</t>
  </si>
  <si>
    <t>H000004471</t>
  </si>
  <si>
    <t>H000004472</t>
  </si>
  <si>
    <t>H000004473</t>
  </si>
  <si>
    <t>H000004474</t>
  </si>
  <si>
    <t>H000004475</t>
  </si>
  <si>
    <t>H000004476</t>
  </si>
  <si>
    <t>H000004477</t>
  </si>
  <si>
    <t>H000004478</t>
  </si>
  <si>
    <t>H000004479</t>
  </si>
  <si>
    <t>H000004480</t>
  </si>
  <si>
    <t>H000004481</t>
  </si>
  <si>
    <t>H000004482</t>
  </si>
  <si>
    <t>H000004483</t>
  </si>
  <si>
    <t>H000004484</t>
  </si>
  <si>
    <t>H000004485</t>
  </si>
  <si>
    <t>H000004486</t>
  </si>
  <si>
    <t>H000004487</t>
  </si>
  <si>
    <t>H000004488</t>
  </si>
  <si>
    <t>H000004489</t>
  </si>
  <si>
    <t>H000004490</t>
  </si>
  <si>
    <t>H000004491</t>
  </si>
  <si>
    <t>H000004492</t>
  </si>
  <si>
    <t>H000004493</t>
  </si>
  <si>
    <t>H000004494</t>
  </si>
  <si>
    <t>H000004495</t>
  </si>
  <si>
    <t>H000004496</t>
  </si>
  <si>
    <t>H000004497</t>
  </si>
  <si>
    <t>H000004498</t>
  </si>
  <si>
    <t>H000004499</t>
  </si>
  <si>
    <t>H000004500</t>
  </si>
  <si>
    <t>H000004501</t>
  </si>
  <si>
    <t>H000004502</t>
  </si>
  <si>
    <t>H000004503</t>
  </si>
  <si>
    <t>H000004504</t>
  </si>
  <si>
    <t>H000004505</t>
  </si>
  <si>
    <t>H000004506</t>
  </si>
  <si>
    <t>H000004507</t>
  </si>
  <si>
    <t>H000004508</t>
  </si>
  <si>
    <t>H000004509</t>
  </si>
  <si>
    <t>H000004510</t>
  </si>
  <si>
    <t>H000004511</t>
  </si>
  <si>
    <t>H000004512</t>
  </si>
  <si>
    <t>H000004513</t>
  </si>
  <si>
    <t>H000004514</t>
  </si>
  <si>
    <t>H000004515</t>
  </si>
  <si>
    <t>H000004516</t>
  </si>
  <si>
    <t>H000004517</t>
  </si>
  <si>
    <t>H000004518</t>
  </si>
  <si>
    <t>H000004519</t>
  </si>
  <si>
    <t>H000004520</t>
  </si>
  <si>
    <t>H000004521</t>
  </si>
  <si>
    <t>H000004522</t>
  </si>
  <si>
    <t>H000004523</t>
  </si>
  <si>
    <t>H000004524</t>
  </si>
  <si>
    <t>H000004525</t>
  </si>
  <si>
    <t>H000004526</t>
  </si>
  <si>
    <t>H000004527</t>
  </si>
  <si>
    <t>H000004528</t>
  </si>
  <si>
    <t>H000004529</t>
  </si>
  <si>
    <t>H000004530</t>
  </si>
  <si>
    <t>H000004531</t>
  </si>
  <si>
    <t>H000004532</t>
  </si>
  <si>
    <t>H000004533</t>
  </si>
  <si>
    <t>H000004534</t>
  </si>
  <si>
    <t>H000004535</t>
  </si>
  <si>
    <t>H000004536</t>
  </si>
  <si>
    <t>H000004537</t>
  </si>
  <si>
    <t>H000004538</t>
  </si>
  <si>
    <t>H000004539</t>
  </si>
  <si>
    <t>H000004540</t>
  </si>
  <si>
    <t>H000004541</t>
  </si>
  <si>
    <t>H000004542</t>
  </si>
  <si>
    <t>H000004543</t>
  </si>
  <si>
    <t>H000004544</t>
  </si>
  <si>
    <t>H000004545</t>
  </si>
  <si>
    <t>H000004546</t>
  </si>
  <si>
    <t>H000004547</t>
  </si>
  <si>
    <t>H000004548</t>
  </si>
  <si>
    <t>H000004549</t>
  </si>
  <si>
    <t>H000004550</t>
  </si>
  <si>
    <t>H000004551</t>
  </si>
  <si>
    <t>H000004552</t>
  </si>
  <si>
    <t>H000004553</t>
  </si>
  <si>
    <t>H000004554</t>
  </si>
  <si>
    <t>H000004555</t>
  </si>
  <si>
    <t>H000004556</t>
  </si>
  <si>
    <t>H000004557</t>
  </si>
  <si>
    <t>H000004558</t>
  </si>
  <si>
    <t>H000004559</t>
  </si>
  <si>
    <t>H000004560</t>
  </si>
  <si>
    <t>H000004561</t>
  </si>
  <si>
    <t>H000004562</t>
  </si>
  <si>
    <t>H000004563</t>
  </si>
  <si>
    <t>H000004564</t>
  </si>
  <si>
    <t>H000004565</t>
  </si>
  <si>
    <t>H000004566</t>
  </si>
  <si>
    <t>H000004567</t>
  </si>
  <si>
    <t>H000004568</t>
  </si>
  <si>
    <t>H000004569</t>
  </si>
  <si>
    <t>H000004570</t>
  </si>
  <si>
    <t>H000004571</t>
  </si>
  <si>
    <t>H000004572</t>
  </si>
  <si>
    <t>H000004573</t>
  </si>
  <si>
    <t>H000004574</t>
  </si>
  <si>
    <t>H000004575</t>
  </si>
  <si>
    <t>H000004576</t>
  </si>
  <si>
    <t>H000004577</t>
  </si>
  <si>
    <t>H000004578</t>
  </si>
  <si>
    <t>H000004579</t>
  </si>
  <si>
    <t>H000004580</t>
  </si>
  <si>
    <t>H000004581</t>
  </si>
  <si>
    <t>H000004582</t>
  </si>
  <si>
    <t>H000004583</t>
  </si>
  <si>
    <t>H000004584</t>
  </si>
  <si>
    <t>H000004585</t>
  </si>
  <si>
    <t>H000004586</t>
  </si>
  <si>
    <t>H000004587</t>
  </si>
  <si>
    <t>H000004588</t>
  </si>
  <si>
    <t>H000004589</t>
  </si>
  <si>
    <t>H000004590</t>
  </si>
  <si>
    <t>H000004591</t>
  </si>
  <si>
    <t>H000004592</t>
  </si>
  <si>
    <t>H000004593</t>
  </si>
  <si>
    <t>H000004594</t>
  </si>
  <si>
    <t>H000004595</t>
  </si>
  <si>
    <t>H000004596</t>
  </si>
  <si>
    <t>H000004597</t>
  </si>
  <si>
    <t>H000004598</t>
  </si>
  <si>
    <t>H000004599</t>
  </si>
  <si>
    <t>H000004600</t>
  </si>
  <si>
    <t>H000004601</t>
  </si>
  <si>
    <t>H000004602</t>
  </si>
  <si>
    <t>H000004603</t>
  </si>
  <si>
    <t>H000004604</t>
  </si>
  <si>
    <t>H000004605</t>
  </si>
  <si>
    <t>H000004606</t>
  </si>
  <si>
    <t>H000004607</t>
  </si>
  <si>
    <t>H000004608</t>
  </si>
  <si>
    <t>H000004609</t>
  </si>
  <si>
    <t>H000004610</t>
  </si>
  <si>
    <t>H000004611</t>
  </si>
  <si>
    <t>H000004612</t>
  </si>
  <si>
    <t>H000004613</t>
  </si>
  <si>
    <t>H000004614</t>
  </si>
  <si>
    <t>H000004615</t>
  </si>
  <si>
    <t>H000004616</t>
  </si>
  <si>
    <t>H000004617</t>
  </si>
  <si>
    <t>H000004618</t>
  </si>
  <si>
    <t>H000004619</t>
  </si>
  <si>
    <t>H000004620</t>
  </si>
  <si>
    <t>H000004621</t>
  </si>
  <si>
    <t>H000004622</t>
  </si>
  <si>
    <t>H000004623</t>
  </si>
  <si>
    <t>H000004624</t>
  </si>
  <si>
    <t>H000004625</t>
  </si>
  <si>
    <t>H000004626</t>
  </si>
  <si>
    <t>H000004627</t>
  </si>
  <si>
    <t>H000004628</t>
  </si>
  <si>
    <t>H000004629</t>
  </si>
  <si>
    <t>H000004630</t>
  </si>
  <si>
    <t>H000004631</t>
  </si>
  <si>
    <t>H000004632</t>
  </si>
  <si>
    <t>H000004633</t>
  </si>
  <si>
    <t>H000004634</t>
  </si>
  <si>
    <t>H000004635</t>
  </si>
  <si>
    <t>H000004636</t>
  </si>
  <si>
    <t>H000004637</t>
  </si>
  <si>
    <t>H000004638</t>
  </si>
  <si>
    <t>H000004639</t>
  </si>
  <si>
    <t>H000004640</t>
  </si>
  <si>
    <t>H000004641</t>
  </si>
  <si>
    <t>H000004642</t>
  </si>
  <si>
    <t>H000004643</t>
  </si>
  <si>
    <t>H000004644</t>
  </si>
  <si>
    <t>H000004645</t>
  </si>
  <si>
    <t>H000004646</t>
  </si>
  <si>
    <t>H000004647</t>
  </si>
  <si>
    <t>H000004648</t>
  </si>
  <si>
    <t>H000004649</t>
  </si>
  <si>
    <t>H000004650</t>
  </si>
  <si>
    <t>H000004651</t>
  </si>
  <si>
    <t>H000004652</t>
  </si>
  <si>
    <t>H000004653</t>
  </si>
  <si>
    <t>H000004654</t>
  </si>
  <si>
    <t>H000004655</t>
  </si>
  <si>
    <t>H000004656</t>
  </si>
  <si>
    <t>H000004657</t>
  </si>
  <si>
    <t>H000004658</t>
  </si>
  <si>
    <t>H000004659</t>
  </si>
  <si>
    <t>H000004660</t>
  </si>
  <si>
    <t>H000004661</t>
  </si>
  <si>
    <t>H000004662</t>
  </si>
  <si>
    <t>H000004663</t>
  </si>
  <si>
    <t>H000004664</t>
  </si>
  <si>
    <t>H000004665</t>
  </si>
  <si>
    <t>H000004666</t>
  </si>
  <si>
    <t>H000004667</t>
  </si>
  <si>
    <t>H000004668</t>
  </si>
  <si>
    <t>H000004669</t>
  </si>
  <si>
    <t>H000004670</t>
  </si>
  <si>
    <t>H000004671</t>
  </si>
  <si>
    <t>H000004672</t>
  </si>
  <si>
    <t>H000004673</t>
  </si>
  <si>
    <t>H000004674</t>
  </si>
  <si>
    <t>H000004675</t>
  </si>
  <si>
    <t>H000004676</t>
  </si>
  <si>
    <t>H000004677</t>
  </si>
  <si>
    <t>H000004678</t>
  </si>
  <si>
    <t>H000004679</t>
  </si>
  <si>
    <t>H000004680</t>
  </si>
  <si>
    <t>H000004681</t>
  </si>
  <si>
    <t>H000004682</t>
  </si>
  <si>
    <t>H000004683</t>
  </si>
  <si>
    <t>H000004684</t>
  </si>
  <si>
    <t>H000004685</t>
  </si>
  <si>
    <t>H000004686</t>
  </si>
  <si>
    <t>H000004687</t>
  </si>
  <si>
    <t>H000004688</t>
  </si>
  <si>
    <t>H000004689</t>
  </si>
  <si>
    <t>H000004690</t>
  </si>
  <si>
    <t>H000004691</t>
  </si>
  <si>
    <t>H000004692</t>
  </si>
  <si>
    <t>H000004693</t>
  </si>
  <si>
    <t>H000004694</t>
  </si>
  <si>
    <t>H000004695</t>
  </si>
  <si>
    <t>H000004696</t>
  </si>
  <si>
    <t>H000004697</t>
  </si>
  <si>
    <t>H000004698</t>
  </si>
  <si>
    <t>H000004699</t>
  </si>
  <si>
    <t>H000004700</t>
  </si>
  <si>
    <t>H000004701</t>
  </si>
  <si>
    <t>H000004702</t>
  </si>
  <si>
    <t>H000004703</t>
  </si>
  <si>
    <t>H000004704</t>
  </si>
  <si>
    <t>H000004705</t>
  </si>
  <si>
    <t>H000004706</t>
  </si>
  <si>
    <t>H000004707</t>
  </si>
  <si>
    <t>H000004708</t>
  </si>
  <si>
    <t>H000004709</t>
  </si>
  <si>
    <t>H000004710</t>
  </si>
  <si>
    <t>H000004711</t>
  </si>
  <si>
    <t>H000004712</t>
  </si>
  <si>
    <t>H000004713</t>
  </si>
  <si>
    <t>H000004714</t>
  </si>
  <si>
    <t>H000004715</t>
  </si>
  <si>
    <t>H000004716</t>
  </si>
  <si>
    <t>H000004717</t>
  </si>
  <si>
    <t>H000004718</t>
  </si>
  <si>
    <t>H000004719</t>
  </si>
  <si>
    <t>H000004720</t>
  </si>
  <si>
    <t>H000004721</t>
  </si>
  <si>
    <t>H000004722</t>
  </si>
  <si>
    <t>H000004723</t>
  </si>
  <si>
    <t>H000004724</t>
  </si>
  <si>
    <t>H000004725</t>
  </si>
  <si>
    <t>H000004726</t>
  </si>
  <si>
    <t>H000004727</t>
  </si>
  <si>
    <t>H000004728</t>
  </si>
  <si>
    <t>H000004729</t>
  </si>
  <si>
    <t>H000004730</t>
  </si>
  <si>
    <t>H000004731</t>
  </si>
  <si>
    <t>H000004732</t>
  </si>
  <si>
    <t>H000004733</t>
  </si>
  <si>
    <t>H000004734</t>
  </si>
  <si>
    <t>H000004735</t>
  </si>
  <si>
    <t>H000004736</t>
  </si>
  <si>
    <t>H000004737</t>
  </si>
  <si>
    <t>H000004738</t>
  </si>
  <si>
    <t>H000004739</t>
  </si>
  <si>
    <t>H000004740</t>
  </si>
  <si>
    <t>H000004741</t>
  </si>
  <si>
    <t>H000004742</t>
  </si>
  <si>
    <t>H000004743</t>
  </si>
  <si>
    <t>H000004744</t>
  </si>
  <si>
    <t>H000004745</t>
  </si>
  <si>
    <t>H000004746</t>
  </si>
  <si>
    <t>H000004747</t>
  </si>
  <si>
    <t>H000004748</t>
  </si>
  <si>
    <t>H000004749</t>
  </si>
  <si>
    <t>H000004750</t>
  </si>
  <si>
    <t>H000004751</t>
  </si>
  <si>
    <t>H000004752</t>
  </si>
  <si>
    <t>H000004753</t>
  </si>
  <si>
    <t>H000004754</t>
  </si>
  <si>
    <t>H000004755</t>
  </si>
  <si>
    <t>H000004756</t>
  </si>
  <si>
    <t>H000004757</t>
  </si>
  <si>
    <t>H000004758</t>
  </si>
  <si>
    <t>H000004759</t>
  </si>
  <si>
    <t>H000004760</t>
  </si>
  <si>
    <t>H000004761</t>
  </si>
  <si>
    <t>H000004762</t>
  </si>
  <si>
    <t>H000004763</t>
  </si>
  <si>
    <t>H000004764</t>
  </si>
  <si>
    <t>H000004765</t>
  </si>
  <si>
    <t>H000004766</t>
  </si>
  <si>
    <t>H000004767</t>
  </si>
  <si>
    <t>H000004768</t>
  </si>
  <si>
    <t>H000004769</t>
  </si>
  <si>
    <t>H000004770</t>
  </si>
  <si>
    <t>H000004771</t>
  </si>
  <si>
    <t>H000004772</t>
  </si>
  <si>
    <t>H000004773</t>
  </si>
  <si>
    <t>H000004774</t>
  </si>
  <si>
    <t>H000004775</t>
  </si>
  <si>
    <t>H000004776</t>
  </si>
  <si>
    <t>H000004777</t>
  </si>
  <si>
    <t>H000004778</t>
  </si>
  <si>
    <t>H000004779</t>
  </si>
  <si>
    <t>H000004780</t>
  </si>
  <si>
    <t>H000004781</t>
  </si>
  <si>
    <t>H000004782</t>
  </si>
  <si>
    <t>H000004783</t>
  </si>
  <si>
    <t>H000004784</t>
  </si>
  <si>
    <t>H000004785</t>
  </si>
  <si>
    <t>H000004786</t>
  </si>
  <si>
    <t>H000004787</t>
  </si>
  <si>
    <t>H000004788</t>
  </si>
  <si>
    <t>H000004789</t>
  </si>
  <si>
    <t>H000004790</t>
  </si>
  <si>
    <t>H000004791</t>
  </si>
  <si>
    <t>H000004792</t>
  </si>
  <si>
    <t>H000004793</t>
  </si>
  <si>
    <t>H000004794</t>
  </si>
  <si>
    <t>H000004795</t>
  </si>
  <si>
    <t>H000004796</t>
  </si>
  <si>
    <t>H000004797</t>
  </si>
  <si>
    <t>H000004798</t>
  </si>
  <si>
    <t>H000004799</t>
  </si>
  <si>
    <t>H000004800</t>
  </si>
  <si>
    <t>H000004801</t>
  </si>
  <si>
    <t>H000004802</t>
  </si>
  <si>
    <t>H000004803</t>
  </si>
  <si>
    <t>H000004804</t>
  </si>
  <si>
    <t>H000004805</t>
  </si>
  <si>
    <t>H000004806</t>
  </si>
  <si>
    <t>H000004807</t>
  </si>
  <si>
    <t>H000004808</t>
  </si>
  <si>
    <t>H000004809</t>
  </si>
  <si>
    <t>H000004810</t>
  </si>
  <si>
    <t>H000004811</t>
  </si>
  <si>
    <t>H000004812</t>
  </si>
  <si>
    <t>H000004813</t>
  </si>
  <si>
    <t>H000004814</t>
  </si>
  <si>
    <t>H000004815</t>
  </si>
  <si>
    <t>H000004816</t>
  </si>
  <si>
    <t>H000004817</t>
  </si>
  <si>
    <t>H000004818</t>
  </si>
  <si>
    <t>H000004819</t>
  </si>
  <si>
    <t>H000004820</t>
  </si>
  <si>
    <t>H000004821</t>
  </si>
  <si>
    <t>H000004822</t>
  </si>
  <si>
    <t>H000004823</t>
  </si>
  <si>
    <t>H000004824</t>
  </si>
  <si>
    <t>H000004825</t>
  </si>
  <si>
    <t>H000004826</t>
  </si>
  <si>
    <t>H000004827</t>
  </si>
  <si>
    <t>H000004828</t>
  </si>
  <si>
    <t>H000004829</t>
  </si>
  <si>
    <t>H000004830</t>
  </si>
  <si>
    <t>H000004831</t>
  </si>
  <si>
    <t>H000004832</t>
  </si>
  <si>
    <t>H000004833</t>
  </si>
  <si>
    <t>H000004834</t>
  </si>
  <si>
    <t>H000004835</t>
  </si>
  <si>
    <t>H000004836</t>
  </si>
  <si>
    <t>H000004837</t>
  </si>
  <si>
    <t>H000004838</t>
  </si>
  <si>
    <t>H000004839</t>
  </si>
  <si>
    <t>H000004840</t>
  </si>
  <si>
    <t>H000004841</t>
  </si>
  <si>
    <t>H000004842</t>
  </si>
  <si>
    <t>H000004843</t>
  </si>
  <si>
    <t>H000004844</t>
  </si>
  <si>
    <t>H000004845</t>
  </si>
  <si>
    <t>H000004846</t>
  </si>
  <si>
    <t>H000004847</t>
  </si>
  <si>
    <t>H000004848</t>
  </si>
  <si>
    <t>H000004849</t>
  </si>
  <si>
    <t>H000004850</t>
  </si>
  <si>
    <t>H000004851</t>
  </si>
  <si>
    <t>H000004852</t>
  </si>
  <si>
    <t>FR7889853</t>
  </si>
  <si>
    <t>North Cone</t>
  </si>
  <si>
    <t>H000000332</t>
  </si>
  <si>
    <t>H000001105</t>
  </si>
  <si>
    <t>H000000340</t>
  </si>
  <si>
    <t>FR7896868</t>
  </si>
  <si>
    <t>CN - FD ISS MKT Dragon</t>
  </si>
  <si>
    <t>CN - FD SP MKT Dragon</t>
  </si>
  <si>
    <t>CN - CM&amp;E FF Thyrotropin</t>
  </si>
  <si>
    <t>CN - CM&amp;E FF Retail</t>
  </si>
  <si>
    <t>CN - CM&amp;E ISS Thyrotropin</t>
  </si>
  <si>
    <t>CN - CM&amp;E ISS Retail</t>
  </si>
  <si>
    <t>CN - CM&amp;E FF Thyrotropin Sales</t>
  </si>
  <si>
    <t>CN - CM&amp;E FF Retail Sales</t>
  </si>
  <si>
    <t>CN - CM&amp;E ISS Thyrotropin MKT</t>
  </si>
  <si>
    <t>CN - CM&amp;E ISS Retail MKT</t>
  </si>
  <si>
    <t>H000004853</t>
  </si>
  <si>
    <t>H000004854</t>
  </si>
  <si>
    <t>H000004855</t>
  </si>
  <si>
    <t>H000004856</t>
  </si>
  <si>
    <t>H000004857</t>
  </si>
  <si>
    <t>H000004858</t>
  </si>
  <si>
    <t>H000004859</t>
  </si>
  <si>
    <t>H000004860</t>
  </si>
  <si>
    <t>H000004861</t>
  </si>
  <si>
    <t>H000004862</t>
  </si>
  <si>
    <t>H000001455</t>
  </si>
  <si>
    <t>H000001485</t>
  </si>
  <si>
    <t>H000001341</t>
  </si>
  <si>
    <t>H000001361</t>
  </si>
  <si>
    <t>H000001556</t>
  </si>
  <si>
    <t>H000001557</t>
  </si>
  <si>
    <t>H000001564</t>
  </si>
  <si>
    <t>H000001565</t>
  </si>
  <si>
    <t>H000001566</t>
  </si>
  <si>
    <t>H000001580</t>
  </si>
  <si>
    <t>H000001589</t>
  </si>
  <si>
    <t>CN - SEI</t>
  </si>
  <si>
    <t>CN - Field Force SEI</t>
  </si>
  <si>
    <t>CN - Sales promotion activities SEI</t>
  </si>
  <si>
    <t>CN - GMA</t>
  </si>
  <si>
    <t>CN - Field Force GMA</t>
  </si>
  <si>
    <t>CN - Internal sales service GMA</t>
  </si>
  <si>
    <t>CN - Sales promotion activities GMA</t>
  </si>
  <si>
    <t>FR7917475</t>
  </si>
  <si>
    <t>GMZ MBS Hub Bangalore - L&amp;D</t>
  </si>
  <si>
    <t>GO8 HR - Healthcare Center and Wellbeing</t>
  </si>
  <si>
    <t>F84 PS - Databases</t>
  </si>
  <si>
    <t>F87 ST - SMARTfacturing Ripple</t>
  </si>
  <si>
    <t>F87 ST - SMARTfacturing Ripple HC</t>
  </si>
  <si>
    <t>F87 ST - SMARTfacturing Ripple LS</t>
  </si>
  <si>
    <t>F87 ST - SMARTfacturing Ripple EL</t>
  </si>
  <si>
    <t>G000001450</t>
  </si>
  <si>
    <t>G000001451</t>
  </si>
  <si>
    <t>G000001452</t>
  </si>
  <si>
    <t>G000001453</t>
  </si>
  <si>
    <t>G000001454</t>
  </si>
  <si>
    <t>G000001455</t>
  </si>
  <si>
    <t>G000001456</t>
  </si>
  <si>
    <t>G000000591</t>
  </si>
  <si>
    <t>G000000828</t>
  </si>
  <si>
    <t>GYF MBS PS&amp;P ES - Market BPE</t>
  </si>
  <si>
    <t>G000000044</t>
  </si>
  <si>
    <t>FF1 GR - Group Reporting</t>
  </si>
  <si>
    <t>G000000574</t>
  </si>
  <si>
    <t>GR - MGF Reporting</t>
  </si>
  <si>
    <t>G000000575</t>
  </si>
  <si>
    <t>GR - non-MGF Reporting</t>
  </si>
  <si>
    <t>G000000046</t>
  </si>
  <si>
    <t>GX6 GR - Group Financial Reporting</t>
  </si>
  <si>
    <t>G000000045</t>
  </si>
  <si>
    <t>FF1 GR - Intercompany Charges</t>
  </si>
  <si>
    <t>G000000047</t>
  </si>
  <si>
    <t>FF1 GR - Exceptionals</t>
  </si>
  <si>
    <t>G000001272</t>
  </si>
  <si>
    <t>GXA GR - Sustainability Management</t>
  </si>
  <si>
    <t>GYG MBS Hub Bangalore - SLS</t>
  </si>
  <si>
    <t>GYH MBS Hub Bangalore - LSS</t>
  </si>
  <si>
    <t>GYI MBS Hub Bangalore - PS</t>
  </si>
  <si>
    <t>GYJ MBS Hub Bangalore - ISCO</t>
  </si>
  <si>
    <t>GYK MBS Hub Bangalore - EF GSS COE</t>
  </si>
  <si>
    <t>G000001174</t>
  </si>
  <si>
    <t>GNX MBS Hub Wroclaw - I2C EMEA</t>
  </si>
  <si>
    <t>G000001176</t>
  </si>
  <si>
    <t>GNZ MBS Hub Wroclaw - R2R EMEA</t>
  </si>
  <si>
    <t>G000001263</t>
  </si>
  <si>
    <t>GMP MBS Hub Wroclaw - R2R Germany</t>
  </si>
  <si>
    <t>G000001231</t>
  </si>
  <si>
    <t>GMK RC - Governance, Risk &amp; Control</t>
  </si>
  <si>
    <t>G000000706</t>
  </si>
  <si>
    <t>G000000709</t>
  </si>
  <si>
    <t>G000001228</t>
  </si>
  <si>
    <t>G000001229</t>
  </si>
  <si>
    <t>G000001230</t>
  </si>
  <si>
    <t>G000001260</t>
  </si>
  <si>
    <t>G000001261</t>
  </si>
  <si>
    <t>FR7917547</t>
  </si>
  <si>
    <t>mRNA Innovation</t>
  </si>
  <si>
    <t>LS Business Growth &amp; Customer Value</t>
  </si>
  <si>
    <t>LS China Core &amp; Capabilities</t>
  </si>
  <si>
    <t>Buiness Process Excellence</t>
  </si>
  <si>
    <t>Project Eagle</t>
  </si>
  <si>
    <t>Technology Fund Projects - UWMadison</t>
  </si>
  <si>
    <t>Technology Fund Projects - UPENN</t>
  </si>
  <si>
    <t>GSA Attrition</t>
  </si>
  <si>
    <t>GSA Adjustments</t>
  </si>
  <si>
    <t>TFF</t>
  </si>
  <si>
    <t>Virus</t>
  </si>
  <si>
    <t>Chromatography</t>
  </si>
  <si>
    <t>Clarification</t>
  </si>
  <si>
    <t>Aseptic</t>
  </si>
  <si>
    <t>Supply Communications &amp; Change Execution</t>
  </si>
  <si>
    <t>LS Strategy &amp; BD</t>
  </si>
  <si>
    <t>L000013625</t>
  </si>
  <si>
    <t>Tech Leadership Fund - LS Product Design</t>
  </si>
  <si>
    <t>L000013375</t>
  </si>
  <si>
    <t>GSA Cluster 1</t>
  </si>
  <si>
    <t>GSA Cluster 3</t>
  </si>
  <si>
    <t>GSA Cluster 5</t>
  </si>
  <si>
    <t>GSA Cluster 4</t>
  </si>
  <si>
    <t>GSA Innovative Solutions</t>
  </si>
  <si>
    <t>GSA Cluster 2</t>
  </si>
  <si>
    <t>UPM Royalty Expenses</t>
  </si>
  <si>
    <t>UPM Royalty Income</t>
  </si>
  <si>
    <t>Innovation Others &amp; Capitalization</t>
  </si>
  <si>
    <t>Bioprocessing royalties</t>
  </si>
  <si>
    <t>L000006432</t>
  </si>
  <si>
    <t>L000008862</t>
  </si>
  <si>
    <t>L000006600</t>
  </si>
  <si>
    <t>L000012678</t>
  </si>
  <si>
    <t>L000006569</t>
  </si>
  <si>
    <t>L000006570</t>
  </si>
  <si>
    <t>L000006571</t>
  </si>
  <si>
    <t>L000006572</t>
  </si>
  <si>
    <t>L000008669</t>
  </si>
  <si>
    <t>L000005386</t>
  </si>
  <si>
    <t>L000005404</t>
  </si>
  <si>
    <t>L000011969</t>
  </si>
  <si>
    <t>L000012785</t>
  </si>
  <si>
    <t>L000005422</t>
  </si>
  <si>
    <t>L000012494</t>
  </si>
  <si>
    <t>L000005380</t>
  </si>
  <si>
    <t>L000005417</t>
  </si>
  <si>
    <t>L000011992</t>
  </si>
  <si>
    <t>L000006587</t>
  </si>
  <si>
    <t>L000006588</t>
  </si>
  <si>
    <t>L000006589</t>
  </si>
  <si>
    <t>L000006590</t>
  </si>
  <si>
    <t>L000006591</t>
  </si>
  <si>
    <t>L000007088</t>
  </si>
  <si>
    <t>L000007038</t>
  </si>
  <si>
    <t>L000011508</t>
  </si>
  <si>
    <t>L000011511</t>
  </si>
  <si>
    <t>L000011514</t>
  </si>
  <si>
    <t>L000012861</t>
  </si>
  <si>
    <t>L000013218</t>
  </si>
  <si>
    <t>L000013901</t>
  </si>
  <si>
    <t>L000013902</t>
  </si>
  <si>
    <t>L000013903</t>
  </si>
  <si>
    <t>L000013904</t>
  </si>
  <si>
    <t>L000013905</t>
  </si>
  <si>
    <t>L000013906</t>
  </si>
  <si>
    <t>L000013907</t>
  </si>
  <si>
    <t>L000013908</t>
  </si>
  <si>
    <t>L000013909</t>
  </si>
  <si>
    <t>L000013910</t>
  </si>
  <si>
    <t>L000013911</t>
  </si>
  <si>
    <t>L000013912</t>
  </si>
  <si>
    <t>L000013913</t>
  </si>
  <si>
    <t>L000013914</t>
  </si>
  <si>
    <t>L000013915</t>
  </si>
  <si>
    <t>FR7918730</t>
  </si>
  <si>
    <t>IT09020100</t>
  </si>
  <si>
    <t>FR7920295</t>
  </si>
  <si>
    <t xml:space="preserve"> EL Insurance</t>
  </si>
  <si>
    <t xml:space="preserve"> GoGlobal Trainee Program</t>
  </si>
  <si>
    <t>EL-SC-DG Semiconductor</t>
  </si>
  <si>
    <t>EL-SC-DU Service Lab</t>
  </si>
  <si>
    <t>EL-BP-IR Electronics ERP</t>
  </si>
  <si>
    <t>EL-BP-IQ Portfolio &amp; Strategy</t>
  </si>
  <si>
    <t xml:space="preserve">P000001319 </t>
  </si>
  <si>
    <t>EL-BP-IEM Data Solutions</t>
  </si>
  <si>
    <t>EL-BP-IE Electronics Processes TechOps</t>
  </si>
  <si>
    <t>SPICE Capital Gains</t>
  </si>
  <si>
    <t>CF Asia 1 Freight</t>
  </si>
  <si>
    <t>CF Asia 1 Warehouse/Distribution</t>
  </si>
  <si>
    <t xml:space="preserve">CF Asia 1 Warehouse </t>
  </si>
  <si>
    <t>CF Asia 1 Admin/Overhead</t>
  </si>
  <si>
    <t>CF Asia 1 Customs/Duties</t>
  </si>
  <si>
    <t>CF Asia 1 Global Demand Plan/Cust Svc</t>
  </si>
  <si>
    <t>CF Asia 2 Freight</t>
  </si>
  <si>
    <t>CF Asia 2 Warehouse/Distribution</t>
  </si>
  <si>
    <t xml:space="preserve">CF Asia 2 Warehouse </t>
  </si>
  <si>
    <t>CF Asia 2 Admin/Overhead</t>
  </si>
  <si>
    <t>CF Asia 2 Customs/Duties</t>
  </si>
  <si>
    <t>CF Asia 2 Global Demand Plan/Cust Svc</t>
  </si>
  <si>
    <t>CF US Freight</t>
  </si>
  <si>
    <t>CF US Warehouse/Distribution</t>
  </si>
  <si>
    <t xml:space="preserve">CF US Warehouse </t>
  </si>
  <si>
    <t>CF US Admin/Overhead</t>
  </si>
  <si>
    <t>CF US Customs/Duties</t>
  </si>
  <si>
    <t>CF US Global Demand Plan/Cust Svc</t>
  </si>
  <si>
    <t>CF EU Others</t>
  </si>
  <si>
    <t>CF Asia 1 Others</t>
  </si>
  <si>
    <t>CF Asia 2 Others</t>
  </si>
  <si>
    <t>CF US Others</t>
  </si>
  <si>
    <t>GrEx, THF-TW-KA2, Kaohsiung, Taiwan</t>
  </si>
  <si>
    <t>Non-GrEx, THF-TW-KA2, Kaohsiung, Taiwan</t>
  </si>
  <si>
    <t>THF-TW-KA2 Production (T1)</t>
  </si>
  <si>
    <t>THF-TW-KA2 Analytics (T6c)</t>
  </si>
  <si>
    <t>THF-TW-KA2 Maintenance/Engineering (T3)</t>
  </si>
  <si>
    <t>THF-TW-KA2 Energies/Utilities(T4)</t>
  </si>
  <si>
    <t>THF-TW-KA2 Environmental(T5)</t>
  </si>
  <si>
    <t>THF-TW-KA2 Prod.infrast.&amp;non-off-buil.</t>
  </si>
  <si>
    <t>THF-TW-KA2 Incom. storage&amp;handling (T7)</t>
  </si>
  <si>
    <t>THF-TW-KA2 Local Prod.Dev. &amp; Opt.</t>
  </si>
  <si>
    <t>THF-TW-KA2 Other</t>
  </si>
  <si>
    <t xml:space="preserve">THF-TW-KA2  Local Quality </t>
  </si>
  <si>
    <t>THF-TW-KA2  Warehouse</t>
  </si>
  <si>
    <t>EL AP Accruals</t>
  </si>
  <si>
    <t>EL-CN-S9 Customer Fulfillment China</t>
  </si>
  <si>
    <t>P000001166</t>
  </si>
  <si>
    <t>P000001178</t>
  </si>
  <si>
    <t>P000000662</t>
  </si>
  <si>
    <t>P000000663</t>
  </si>
  <si>
    <t>EL-BP-IO Business Partner Optronics</t>
  </si>
  <si>
    <t>EL-BP-IA Architecture, Engineering &amp; Ops</t>
  </si>
  <si>
    <t>EL-BP-IE Electronics Processes</t>
  </si>
  <si>
    <t>EL-BP SPICE</t>
  </si>
  <si>
    <t>P000001335</t>
  </si>
  <si>
    <t>P000001336</t>
  </si>
  <si>
    <t>P000001337</t>
  </si>
  <si>
    <t>P000001338</t>
  </si>
  <si>
    <t>P000001339</t>
  </si>
  <si>
    <t>P000001340</t>
  </si>
  <si>
    <t>P000001341</t>
  </si>
  <si>
    <t>P000001342</t>
  </si>
  <si>
    <t>P000001343</t>
  </si>
  <si>
    <t>P000001344</t>
  </si>
  <si>
    <t>P000001345</t>
  </si>
  <si>
    <t>P000001346</t>
  </si>
  <si>
    <t>P000001347</t>
  </si>
  <si>
    <t>P000001348</t>
  </si>
  <si>
    <t>P000001349</t>
  </si>
  <si>
    <t>P000001350</t>
  </si>
  <si>
    <t>P000001351</t>
  </si>
  <si>
    <t>P000001352</t>
  </si>
  <si>
    <t>P000001353</t>
  </si>
  <si>
    <t>P000001354</t>
  </si>
  <si>
    <t>P000001355</t>
  </si>
  <si>
    <t>P000001356</t>
  </si>
  <si>
    <t>P000001357</t>
  </si>
  <si>
    <t>P000001358</t>
  </si>
  <si>
    <t>P000001359</t>
  </si>
  <si>
    <t>P000001360</t>
  </si>
  <si>
    <t>P000001361</t>
  </si>
  <si>
    <t>P000001362</t>
  </si>
  <si>
    <t>P000001363</t>
  </si>
  <si>
    <t>P000001364</t>
  </si>
  <si>
    <t>P000001365</t>
  </si>
  <si>
    <t>P000001366</t>
  </si>
  <si>
    <t>P000001367</t>
  </si>
  <si>
    <t>P000001368</t>
  </si>
  <si>
    <t>P000001369</t>
  </si>
  <si>
    <t>P000001370</t>
  </si>
  <si>
    <t>P000001371</t>
  </si>
  <si>
    <t>P000001372</t>
  </si>
  <si>
    <t>P000001373</t>
  </si>
  <si>
    <t>P000001374</t>
  </si>
  <si>
    <t>P000001375</t>
  </si>
  <si>
    <t>P000001376</t>
  </si>
  <si>
    <t>P000001377</t>
  </si>
  <si>
    <t>P000001378</t>
  </si>
  <si>
    <t>P000001379</t>
  </si>
  <si>
    <t>P000001380</t>
  </si>
  <si>
    <t>named</t>
  </si>
  <si>
    <t>named/assigned</t>
  </si>
  <si>
    <t>named/moved</t>
  </si>
  <si>
    <t>named/moved; Please dump all objects to O000000007 – Closed Cost Centers</t>
  </si>
  <si>
    <t>G000000847</t>
  </si>
  <si>
    <t>G000000849</t>
  </si>
  <si>
    <t>G000000850</t>
  </si>
  <si>
    <t>G000000851</t>
  </si>
  <si>
    <t>G000000848</t>
  </si>
  <si>
    <t>G000000927</t>
  </si>
  <si>
    <t>G000000928</t>
  </si>
  <si>
    <t>G000000929</t>
  </si>
  <si>
    <t>G000000930</t>
  </si>
  <si>
    <t>G000000931</t>
  </si>
  <si>
    <t>G000000926</t>
  </si>
  <si>
    <t>G000000935</t>
  </si>
  <si>
    <t>G000000936</t>
  </si>
  <si>
    <t>G000000937</t>
  </si>
  <si>
    <t>G000000938</t>
  </si>
  <si>
    <t>G000000939</t>
  </si>
  <si>
    <t>G000000940</t>
  </si>
  <si>
    <t>G000000852</t>
  </si>
  <si>
    <t>FR7989109</t>
  </si>
  <si>
    <t>EF-DS-E DDIT Enabling Functions</t>
  </si>
  <si>
    <t>FR7986848</t>
  </si>
  <si>
    <t>EF-DS-SIA Integration &amp; Transformation A</t>
  </si>
  <si>
    <t>IT09030200</t>
  </si>
  <si>
    <t>EF-DS-SIE Integration &amp; Transformation E</t>
  </si>
  <si>
    <t>IT09030300</t>
  </si>
  <si>
    <t>EF-DS-SIP Integration &amp; Transformation P</t>
  </si>
  <si>
    <t>IT09030400</t>
  </si>
  <si>
    <t>EF-DS-SOM Performance Management</t>
  </si>
  <si>
    <t>IT09040400</t>
  </si>
  <si>
    <t>EF-DS-ET Portfolio Mngmt &amp; Excellence</t>
  </si>
  <si>
    <t>EF-DS-EH Busi Partnering HR &amp; Various EF</t>
  </si>
  <si>
    <t>EF-DS-EF Business Partnering Finance</t>
  </si>
  <si>
    <t>EF-DS-ED Data &amp; AI Organization</t>
  </si>
  <si>
    <t>EF-DS-EA Group Solutions</t>
  </si>
  <si>
    <t>EF-DS-EI MITC Office</t>
  </si>
  <si>
    <t>EF-DS-EG Busi Partner Procurement&amp;GES</t>
  </si>
  <si>
    <t>EF-DS-EO Strategy &amp; Transformation</t>
  </si>
  <si>
    <t>EF-DS-EX Architecture &amp; Security</t>
  </si>
  <si>
    <t>G000001457</t>
  </si>
  <si>
    <t>G000001458</t>
  </si>
  <si>
    <t>G000001459</t>
  </si>
  <si>
    <t>G000001460</t>
  </si>
  <si>
    <t>IT08030000</t>
  </si>
  <si>
    <t>NO USE</t>
  </si>
  <si>
    <t>SM-G Mirror CC Typ-C Equipment</t>
  </si>
  <si>
    <t>SM-G Mirror CC Typ-R Reimburs. (h alloc)</t>
  </si>
  <si>
    <t>FR8003901</t>
  </si>
  <si>
    <t>MGF_(non-IT)</t>
  </si>
  <si>
    <t>FR8026550</t>
  </si>
  <si>
    <t>RDC0000095</t>
  </si>
  <si>
    <t>FR8025258</t>
  </si>
  <si>
    <t>SCALA_1248 A350</t>
  </si>
  <si>
    <t>H000000726</t>
  </si>
  <si>
    <t>SCALA_1248 A351</t>
  </si>
  <si>
    <t>SCALA_1248 A353</t>
  </si>
  <si>
    <t>H000000802</t>
  </si>
  <si>
    <t>H000004863</t>
  </si>
  <si>
    <t>H000004864</t>
  </si>
  <si>
    <t>H000004865</t>
  </si>
  <si>
    <t>MERCK SERONO ITALY - BARI (CCH)</t>
  </si>
  <si>
    <t>1250BA - OPERATIONS</t>
  </si>
  <si>
    <t>1250BA - OPERATIONS SUPPORT SERVICES</t>
  </si>
  <si>
    <t>1250BA - SITE INFRASTRUCTURE</t>
  </si>
  <si>
    <t>1250BA - QUALITY</t>
  </si>
  <si>
    <t>1250BA - OTHERS</t>
  </si>
  <si>
    <t>1250BA - MANUFACTURING</t>
  </si>
  <si>
    <t>1250BA - PACKAGING</t>
  </si>
  <si>
    <t>1250BA - MAINTENANCE AND ENGINEERING</t>
  </si>
  <si>
    <t>1250BA - SUPPLY AND PLANNING</t>
  </si>
  <si>
    <t>1250BA - SITE SERVICES</t>
  </si>
  <si>
    <t>1250BA - MANUFACTURING FACILITIES</t>
  </si>
  <si>
    <t>1250BA - PACKAGING FACILITIES</t>
  </si>
  <si>
    <t>1250BA - SHARED OPERATIONS FACILITIES</t>
  </si>
  <si>
    <t>1250BA - OTHER FACILITIES</t>
  </si>
  <si>
    <t>1250BA - DP</t>
  </si>
  <si>
    <t>1250BA - FP</t>
  </si>
  <si>
    <t>1250BA - LABOR</t>
  </si>
  <si>
    <t>1250BA - EQUIPMENTS</t>
  </si>
  <si>
    <t>1250BA - INDIRECT SERVICES</t>
  </si>
  <si>
    <t>1250BA - MCC</t>
  </si>
  <si>
    <t>MERCK SERONO ITALY - BARI ( BEFORE CCH)</t>
  </si>
  <si>
    <t>Murilo Barbosa</t>
  </si>
  <si>
    <t>FR8068790</t>
  </si>
  <si>
    <t>EF-DS-TIX Special Projects</t>
  </si>
  <si>
    <t>IT06042600</t>
  </si>
  <si>
    <t>FR8078176</t>
  </si>
  <si>
    <t>H000004866</t>
  </si>
  <si>
    <t>H000004867</t>
  </si>
  <si>
    <t>H000004868</t>
  </si>
  <si>
    <t>H000004869</t>
  </si>
  <si>
    <t>H000004870</t>
  </si>
  <si>
    <t>H000004871</t>
  </si>
  <si>
    <t>H000004872</t>
  </si>
  <si>
    <t>H000004873</t>
  </si>
  <si>
    <t>H000004874</t>
  </si>
  <si>
    <t>H000004875</t>
  </si>
  <si>
    <t>H000004876</t>
  </si>
  <si>
    <t>H000004877</t>
  </si>
  <si>
    <t>H000004878</t>
  </si>
  <si>
    <t>H000004879</t>
  </si>
  <si>
    <t>H000004880</t>
  </si>
  <si>
    <t>H000004881</t>
  </si>
  <si>
    <t>H000004882</t>
  </si>
  <si>
    <t>H000004883</t>
  </si>
  <si>
    <t>H000004884</t>
  </si>
  <si>
    <t>H000004885</t>
  </si>
  <si>
    <t>H000004886</t>
  </si>
  <si>
    <t>H000004887</t>
  </si>
  <si>
    <t>H000004888</t>
  </si>
  <si>
    <t>H000004889</t>
  </si>
  <si>
    <t>H000004890</t>
  </si>
  <si>
    <t>H000004891</t>
  </si>
  <si>
    <t>G000001461</t>
  </si>
  <si>
    <t>SM-RG Restaurants &amp; Catering</t>
  </si>
  <si>
    <t>SM-RG Catering &amp; Ursprung</t>
  </si>
  <si>
    <t>FR8089834</t>
  </si>
  <si>
    <t>FR8110672</t>
  </si>
  <si>
    <t>Discontinued/Divested Sites</t>
  </si>
  <si>
    <t>Customer Supply Management</t>
  </si>
  <si>
    <t>Supply Planning Asia 1 (TW &amp; CN)</t>
  </si>
  <si>
    <t>Supply Planning Asia 2 (KR &amp; JP)</t>
  </si>
  <si>
    <t>Supply Planning Europe</t>
  </si>
  <si>
    <t>Supply Planning US</t>
  </si>
  <si>
    <t>S&amp;OP &amp; SPOC Form. &amp; Optronics</t>
  </si>
  <si>
    <t>S&amp;OP &amp; SPOC Spec Gas &amp; Thin Films</t>
  </si>
  <si>
    <t>Supply Chain Enablement</t>
  </si>
  <si>
    <t>Global Synthesis &amp; Purification Quality</t>
  </si>
  <si>
    <t>Global Formulations &amp; Optronics Quality</t>
  </si>
  <si>
    <t>Global Supply Chain Quality</t>
  </si>
  <si>
    <t>Global Metrology Quality</t>
  </si>
  <si>
    <t>ISC Strategy Realization</t>
  </si>
  <si>
    <t>Processes &amp; Systems</t>
  </si>
  <si>
    <t>ISC Strategy Network Optimization</t>
  </si>
  <si>
    <t>ISC Strategy Smart Prod. FO/OP/DS&amp;S</t>
  </si>
  <si>
    <t>ISC Strategy Smart Prod. Synth. &amp; Purif.</t>
  </si>
  <si>
    <t>Cluster Formulations &amp; Optronics</t>
  </si>
  <si>
    <t>Formul. &amp; Opt. China Sites</t>
  </si>
  <si>
    <t>China Tolling</t>
  </si>
  <si>
    <t>Formul. &amp; Opt. Taiwan Sites</t>
  </si>
  <si>
    <t>Taiwan Tolling</t>
  </si>
  <si>
    <t>Formul. &amp; Opt. Japan Sites</t>
  </si>
  <si>
    <t>Formul. &amp; Opt. EU Sites</t>
  </si>
  <si>
    <t>EU Tolling</t>
  </si>
  <si>
    <t>Quality Darmstadt</t>
  </si>
  <si>
    <t>Formul. &amp; Opt. Korea Sites</t>
  </si>
  <si>
    <t>Formul. &amp; Opt. US Sites</t>
  </si>
  <si>
    <t>US Tolling</t>
  </si>
  <si>
    <t>Cluster Equipment (DS&amp;S)</t>
  </si>
  <si>
    <t>Cluster Synthesis &amp; Purification</t>
  </si>
  <si>
    <t>Syn. &amp; Purif. Taiwan &amp; China Sites</t>
  </si>
  <si>
    <t>Syn. &amp; Purif. Korea Sites</t>
  </si>
  <si>
    <t>Syn. &amp; Purif. US Sites</t>
  </si>
  <si>
    <t>Global Process Quality</t>
  </si>
  <si>
    <t>John Rowie Del Rosario</t>
  </si>
  <si>
    <t>P000001381</t>
  </si>
  <si>
    <t>P000001382</t>
  </si>
  <si>
    <t>P000001383</t>
  </si>
  <si>
    <t>P000001384</t>
  </si>
  <si>
    <t>P000001385</t>
  </si>
  <si>
    <t>P000001386</t>
  </si>
  <si>
    <t>P000001387</t>
  </si>
  <si>
    <t>P000001388</t>
  </si>
  <si>
    <t>P000001389</t>
  </si>
  <si>
    <t>P000001390</t>
  </si>
  <si>
    <t>P000001391</t>
  </si>
  <si>
    <t>P000001392</t>
  </si>
  <si>
    <t>P000001393</t>
  </si>
  <si>
    <t>P000001394</t>
  </si>
  <si>
    <t>P000001395</t>
  </si>
  <si>
    <t>P000001396</t>
  </si>
  <si>
    <t>P000001397</t>
  </si>
  <si>
    <t>P000001398</t>
  </si>
  <si>
    <t>P000001399</t>
  </si>
  <si>
    <t>P000001400</t>
  </si>
  <si>
    <t>P000001401</t>
  </si>
  <si>
    <t>P000001402</t>
  </si>
  <si>
    <t>P000001403</t>
  </si>
  <si>
    <t>P000001404</t>
  </si>
  <si>
    <t>P000001405</t>
  </si>
  <si>
    <t>P000001406</t>
  </si>
  <si>
    <t>P000001407</t>
  </si>
  <si>
    <t>P000001408</t>
  </si>
  <si>
    <t>P000001409</t>
  </si>
  <si>
    <t>P000001410</t>
  </si>
  <si>
    <t>P000001411</t>
  </si>
  <si>
    <t>P000001412</t>
  </si>
  <si>
    <t>P000001413</t>
  </si>
  <si>
    <t>P000001414</t>
  </si>
  <si>
    <t>P000001415</t>
  </si>
  <si>
    <t>P000000642</t>
  </si>
  <si>
    <t>P000001171</t>
  </si>
  <si>
    <t>P000001146</t>
  </si>
  <si>
    <t>P000001150</t>
  </si>
  <si>
    <t>P000001154</t>
  </si>
  <si>
    <t>P000000521</t>
  </si>
  <si>
    <t>Supply Planning &amp; S&amp;OP DS&amp;S</t>
  </si>
  <si>
    <t>Japan Tolling incl. PHPS Ops</t>
  </si>
  <si>
    <t>Global Customer Quality</t>
  </si>
  <si>
    <t>EL-SC-Q Proj. &amp; Program Mgmt</t>
  </si>
  <si>
    <t>FR8118359</t>
  </si>
  <si>
    <t>FR8131311</t>
  </si>
  <si>
    <t>H000004892</t>
  </si>
  <si>
    <t>MERCK BRAZIL - RIO (CCH)</t>
  </si>
  <si>
    <t>H000004893</t>
  </si>
  <si>
    <t>1227RI - OPERATIONS</t>
  </si>
  <si>
    <t>H000004894</t>
  </si>
  <si>
    <t>1227RI - OPERATIONS SUPPORT SERVICES</t>
  </si>
  <si>
    <t>H000004895</t>
  </si>
  <si>
    <t>1227RI - SITE INFRASTRUCTURE</t>
  </si>
  <si>
    <t>H000004896</t>
  </si>
  <si>
    <t>1227RI - QUALITY</t>
  </si>
  <si>
    <t>H000004897</t>
  </si>
  <si>
    <t>1227RI - OTHERS</t>
  </si>
  <si>
    <t>H000004898</t>
  </si>
  <si>
    <t>1227RI - MANUFACTURING</t>
  </si>
  <si>
    <t>H000004899</t>
  </si>
  <si>
    <t>1227RI - PACKAGING</t>
  </si>
  <si>
    <t>H000004900</t>
  </si>
  <si>
    <t>1227RI - MAINTENANCE AND ENGINEERING</t>
  </si>
  <si>
    <t>H000004901</t>
  </si>
  <si>
    <t>1227RI - SUPPLY AND PLANNING</t>
  </si>
  <si>
    <t>H000004902</t>
  </si>
  <si>
    <t>1227RI - SITE SERVICES</t>
  </si>
  <si>
    <t>H000004903</t>
  </si>
  <si>
    <t>1227RI - MANUFACTURING FACILITIES</t>
  </si>
  <si>
    <t>H000004904</t>
  </si>
  <si>
    <t>1227RI - PACKAGING FACILITIES</t>
  </si>
  <si>
    <t>H000004905</t>
  </si>
  <si>
    <t>1227RI - SHARED OPERATIONS FACILITIES</t>
  </si>
  <si>
    <t>H000004906</t>
  </si>
  <si>
    <t>1227RI - OTHER FACILITIES</t>
  </si>
  <si>
    <t>H000004907</t>
  </si>
  <si>
    <t>1227RI - SOLIDS</t>
  </si>
  <si>
    <t>H000004908</t>
  </si>
  <si>
    <t>H000004909</t>
  </si>
  <si>
    <t>1227RI - LABOR</t>
  </si>
  <si>
    <t>H000004910</t>
  </si>
  <si>
    <t>1227RI - EQUIPMENTS</t>
  </si>
  <si>
    <t>H000004911</t>
  </si>
  <si>
    <t>1227RI - INDIRECT SERVICES</t>
  </si>
  <si>
    <t>H000004912</t>
  </si>
  <si>
    <t>1227RI - MCC</t>
  </si>
  <si>
    <t>H000004913</t>
  </si>
  <si>
    <t>H000004914</t>
  </si>
  <si>
    <t>H000004915</t>
  </si>
  <si>
    <t>H000004916</t>
  </si>
  <si>
    <t>Peter Souza</t>
  </si>
  <si>
    <t>H000004917</t>
  </si>
  <si>
    <t>H000004918</t>
  </si>
  <si>
    <t>H000004919</t>
  </si>
  <si>
    <t>Business Unit RT</t>
  </si>
  <si>
    <t>Field Force RT</t>
  </si>
  <si>
    <t>ISS RT</t>
  </si>
  <si>
    <t>Sales Promotion Ogsiveo</t>
  </si>
  <si>
    <t>Sales Promotion Ezmekli</t>
  </si>
  <si>
    <t>Medical Dptm. RT</t>
  </si>
  <si>
    <t>Medical non R&amp;D Ogsiveo</t>
  </si>
  <si>
    <t>Medical non R&amp;D Ezmekli</t>
  </si>
  <si>
    <t>Medical Studies Ogsiveo</t>
  </si>
  <si>
    <t>Medical Studies Ezmekli</t>
  </si>
  <si>
    <t>FR8143873</t>
  </si>
  <si>
    <t>Rayneil</t>
  </si>
  <si>
    <t>H000003975</t>
  </si>
  <si>
    <t>H000004920</t>
  </si>
  <si>
    <t>H000004921</t>
  </si>
  <si>
    <t>H000004922</t>
  </si>
  <si>
    <t>H000004923</t>
  </si>
  <si>
    <t>H000004924</t>
  </si>
  <si>
    <t>H000004925</t>
  </si>
  <si>
    <t>H000004926</t>
  </si>
  <si>
    <t>H000004927</t>
  </si>
  <si>
    <t>H000004928</t>
  </si>
  <si>
    <t>H000004929</t>
  </si>
  <si>
    <t>Global Strategy and BD &amp; Alliance Mgmt.</t>
  </si>
  <si>
    <t>HC HF CFO Area</t>
  </si>
  <si>
    <t>H000000005</t>
  </si>
  <si>
    <t>H000000949</t>
  </si>
  <si>
    <t>H000000947</t>
  </si>
  <si>
    <t>H000004165</t>
  </si>
  <si>
    <t>H000004174</t>
  </si>
  <si>
    <t>H000004177</t>
  </si>
  <si>
    <t>FR8173686</t>
  </si>
  <si>
    <t>H000004930</t>
  </si>
  <si>
    <t>H000004931</t>
  </si>
  <si>
    <t>Luis Rivoir</t>
  </si>
  <si>
    <t>AS Value Stream</t>
  </si>
  <si>
    <t>Global EHS</t>
  </si>
  <si>
    <t>Value Chain Chemistry</t>
  </si>
  <si>
    <t>Value Chain Biology</t>
  </si>
  <si>
    <t>Process Governance &amp; Cap</t>
  </si>
  <si>
    <t>Downfilling COE</t>
  </si>
  <si>
    <t>Global Packaging</t>
  </si>
  <si>
    <t>3PFG &amp; Resale</t>
  </si>
  <si>
    <t>Value Chain DxRM</t>
  </si>
  <si>
    <t>Value Chain BioM</t>
  </si>
  <si>
    <t>Strat Projects</t>
  </si>
  <si>
    <t>Value Chain LabW</t>
  </si>
  <si>
    <t>Global Distribution</t>
  </si>
  <si>
    <t>Integrated Business Management</t>
  </si>
  <si>
    <t>Plan to Deliver ERP BPO</t>
  </si>
  <si>
    <t>LS ERP Sustain &amp; Enhance</t>
  </si>
  <si>
    <t>L000013728</t>
  </si>
  <si>
    <t>St. Louis Admin (Non-GPO)</t>
  </si>
  <si>
    <t>Business Development AS</t>
  </si>
  <si>
    <t>Business Development Ops</t>
  </si>
  <si>
    <t>Business Development DS</t>
  </si>
  <si>
    <t>Business Development PS</t>
  </si>
  <si>
    <t>Business Development APAC</t>
  </si>
  <si>
    <t>Out Licensing</t>
  </si>
  <si>
    <t>In Organic Strategy</t>
  </si>
  <si>
    <t>Pipeline Development &amp; Integration</t>
  </si>
  <si>
    <t>LS Transformation</t>
  </si>
  <si>
    <t>G1C PO - LS Process Solutions</t>
  </si>
  <si>
    <t>L000013385</t>
  </si>
  <si>
    <t>G1C PO - LS Discovery Solutions</t>
  </si>
  <si>
    <t>G1C PO - LS Advanced Solutions</t>
  </si>
  <si>
    <t>G1C PO - LS Packaging</t>
  </si>
  <si>
    <t>G1C PO - LS Global Sourcing Ops</t>
  </si>
  <si>
    <t>G1C PO - LS Transformation</t>
  </si>
  <si>
    <t>R&amp;D Innovation IT projects</t>
  </si>
  <si>
    <t>L000010752</t>
  </si>
  <si>
    <t>Supply Chain &amp; MFG IT projects</t>
  </si>
  <si>
    <t>Quality &amp; Regulatory IT projects</t>
  </si>
  <si>
    <t>Customer Exp/Marketing &amp; Sales IT Proj</t>
  </si>
  <si>
    <t>Global Business Partners Communications</t>
  </si>
  <si>
    <t>Employee Communications &amp; Engagement</t>
  </si>
  <si>
    <t>Regional Communication</t>
  </si>
  <si>
    <t>Comms Strategy Realization Office</t>
  </si>
  <si>
    <t>Change Management</t>
  </si>
  <si>
    <t>Project Management</t>
  </si>
  <si>
    <t>Tradeshows &amp; Events</t>
  </si>
  <si>
    <t>LS China</t>
  </si>
  <si>
    <t>L000000000</t>
  </si>
  <si>
    <t>Customer Service PS China</t>
  </si>
  <si>
    <t>Customer Service China</t>
  </si>
  <si>
    <t>old PS China - Not to be used</t>
  </si>
  <si>
    <t>Process Solutions Commercial China</t>
  </si>
  <si>
    <t>Customer Application China</t>
  </si>
  <si>
    <t>Sales China</t>
  </si>
  <si>
    <t>Field Service China</t>
  </si>
  <si>
    <t>Sales Enablement &amp; Operations China</t>
  </si>
  <si>
    <t>Technical &amp; Scientific Solutions China</t>
  </si>
  <si>
    <t>China Office</t>
  </si>
  <si>
    <t>old SLS China - Not to be used</t>
  </si>
  <si>
    <t>DA Chem Solutions &amp; Strategic Accounts</t>
  </si>
  <si>
    <t>DB Analytical &amp; Bio Solutions</t>
  </si>
  <si>
    <t>DC Commercial Excellence &amp; Operation</t>
  </si>
  <si>
    <t>China Office and Business Transformation</t>
  </si>
  <si>
    <t>DR Business Management Excellence</t>
  </si>
  <si>
    <t>DU LS China GBA and BD</t>
  </si>
  <si>
    <t>Advanced Solutions Commercial China</t>
  </si>
  <si>
    <t>AB BioM China Sales</t>
  </si>
  <si>
    <t>AD DxRM Solutions</t>
  </si>
  <si>
    <t>AL Lab Water China Sales &amp; Services</t>
  </si>
  <si>
    <t>AT CTS Commercial China</t>
  </si>
  <si>
    <t>Innovation &amp; Portfolio Management</t>
  </si>
  <si>
    <t>Tissue and Molecular Diagnostics</t>
  </si>
  <si>
    <t>Business Planning &amp; Execution</t>
  </si>
  <si>
    <t>Commercial Americas</t>
  </si>
  <si>
    <t>DxRM Sales Region East</t>
  </si>
  <si>
    <t>DxRM Inside Sales</t>
  </si>
  <si>
    <t>DxRM Latam</t>
  </si>
  <si>
    <t>DxRM Sales Region West</t>
  </si>
  <si>
    <t>IVD Sales Region West</t>
  </si>
  <si>
    <t>IVD Sales Region East</t>
  </si>
  <si>
    <t>Commercial EMEA</t>
  </si>
  <si>
    <t>Commercial APeC</t>
  </si>
  <si>
    <t>Sales Specialists</t>
  </si>
  <si>
    <t>AS Strategy Mgmt</t>
  </si>
  <si>
    <t>AS Strategy BPs</t>
  </si>
  <si>
    <t>LSS ComEx Legacy - not to be used</t>
  </si>
  <si>
    <t>ComEx Mgmt</t>
  </si>
  <si>
    <t>Commercial Performance</t>
  </si>
  <si>
    <t>Commercial Analytics &amp; Customer EX</t>
  </si>
  <si>
    <t>LS Education &amp; Capability planning</t>
  </si>
  <si>
    <t>CRM Excellence</t>
  </si>
  <si>
    <t>IBM</t>
  </si>
  <si>
    <t>Cell Biology Solutions</t>
  </si>
  <si>
    <t>L000011911</t>
  </si>
  <si>
    <t>HUB Organoids</t>
  </si>
  <si>
    <t>HUB Organoids Sales Marketing BD</t>
  </si>
  <si>
    <t>HUB Organoids HR</t>
  </si>
  <si>
    <t>HUB Organoids Operations</t>
  </si>
  <si>
    <t>HUB Organoids Legal</t>
  </si>
  <si>
    <t>HUB Organoids Science</t>
  </si>
  <si>
    <t>DiS Commercial Office</t>
  </si>
  <si>
    <t>Commercial Office Mgmt</t>
  </si>
  <si>
    <t>Commercial Excellence</t>
  </si>
  <si>
    <t>Commercial Analytics</t>
  </si>
  <si>
    <t>Commercial Marketing Biology</t>
  </si>
  <si>
    <t>Commercial Marketing Chemistry</t>
  </si>
  <si>
    <t>Marketing Communications</t>
  </si>
  <si>
    <t>Comm. Projects &amp; Impl.</t>
  </si>
  <si>
    <t>Customer Success</t>
  </si>
  <si>
    <t>Digital Enablement</t>
  </si>
  <si>
    <t>Sales Support</t>
  </si>
  <si>
    <t>BraMex</t>
  </si>
  <si>
    <t>L000007925</t>
  </si>
  <si>
    <t>Sales Development</t>
  </si>
  <si>
    <t>Regional Territories East</t>
  </si>
  <si>
    <t>Regional Territories West</t>
  </si>
  <si>
    <t>Commercial Americas Legacy-to be deleted</t>
  </si>
  <si>
    <t>Major Accounts</t>
  </si>
  <si>
    <t>NA Key Accounts</t>
  </si>
  <si>
    <t>EEMEA &amp; WE Dealer</t>
  </si>
  <si>
    <t>L000008563</t>
  </si>
  <si>
    <t>South Africa</t>
  </si>
  <si>
    <t>Middle East Egypt &amp; Pakistan</t>
  </si>
  <si>
    <t>Channel Contract Execution</t>
  </si>
  <si>
    <t>Central &amp; north</t>
  </si>
  <si>
    <t>Southwest &amp; Nordics</t>
  </si>
  <si>
    <t>Commercial recycler Prgm mgmt</t>
  </si>
  <si>
    <t>Eastern Europe</t>
  </si>
  <si>
    <t>Turkey Maghreb</t>
  </si>
  <si>
    <t>EEMEA Commercial</t>
  </si>
  <si>
    <t>Legacy SLS EMEA - to be deleted</t>
  </si>
  <si>
    <t>EMEA Sales Development</t>
  </si>
  <si>
    <t>EMEA Regional Territories</t>
  </si>
  <si>
    <t>Field CE/SO</t>
  </si>
  <si>
    <t>Dield NO/WE</t>
  </si>
  <si>
    <t>Inside</t>
  </si>
  <si>
    <t>Regional EE4</t>
  </si>
  <si>
    <t>EMEA Sales Specialists</t>
  </si>
  <si>
    <t>EMEA Major accounts</t>
  </si>
  <si>
    <t>Major accounts</t>
  </si>
  <si>
    <t>Innovation</t>
  </si>
  <si>
    <t>Customer Engagement</t>
  </si>
  <si>
    <t>Innovation Delivery and Value Managment</t>
  </si>
  <si>
    <t>Digital Lab Solutions</t>
  </si>
  <si>
    <t>Innovation , Project &amp; Portfolio Mgmt</t>
  </si>
  <si>
    <t>Scientific Thought Leader &amp; Tech Scout</t>
  </si>
  <si>
    <t>Global Scientific Leadersip</t>
  </si>
  <si>
    <t>GSA BPI</t>
  </si>
  <si>
    <t>Former Bex legacy - not to be used</t>
  </si>
  <si>
    <t>CS Process Excellence</t>
  </si>
  <si>
    <t>LS bad Debt</t>
  </si>
  <si>
    <t>Supply Chain Planning</t>
  </si>
  <si>
    <t>L000009959</t>
  </si>
  <si>
    <t>Supply Chain Planning Management</t>
  </si>
  <si>
    <t>LS-ODL Supply Chain DS</t>
  </si>
  <si>
    <t>LS-ODE Supply Chain Advancements</t>
  </si>
  <si>
    <t>Supply Chain AS</t>
  </si>
  <si>
    <t>L000011345</t>
  </si>
  <si>
    <t>Market Intelligence</t>
  </si>
  <si>
    <t>Strategic Program Management</t>
  </si>
  <si>
    <t>L000010623</t>
  </si>
  <si>
    <t>IT project IC holding cost centers</t>
  </si>
  <si>
    <t>Communications &amp; Portfolio Branding</t>
  </si>
  <si>
    <t>Corporate &amp; Portfolio Branding</t>
  </si>
  <si>
    <t>Business Process Excellence</t>
  </si>
  <si>
    <t>L000008345</t>
  </si>
  <si>
    <t>DM Commercial Marketing</t>
  </si>
  <si>
    <t>Advanced Solutions</t>
  </si>
  <si>
    <t>Global testing Operations</t>
  </si>
  <si>
    <t>L000007200</t>
  </si>
  <si>
    <t>Contract Testing Services APAC</t>
  </si>
  <si>
    <t>L000007211</t>
  </si>
  <si>
    <t>Commercial NA and Europe</t>
  </si>
  <si>
    <t>AS Strategy &amp; Transformation</t>
  </si>
  <si>
    <t>AS Commercial Excellence</t>
  </si>
  <si>
    <t>Marketing Communication</t>
  </si>
  <si>
    <t>AS Management -G</t>
  </si>
  <si>
    <t>L000013365</t>
  </si>
  <si>
    <t>AS GoGlobal -G</t>
  </si>
  <si>
    <t>AS Exceptionals</t>
  </si>
  <si>
    <t>L000013187</t>
  </si>
  <si>
    <t>AS Sales &amp; COGS</t>
  </si>
  <si>
    <t>Discovery Solutions</t>
  </si>
  <si>
    <t>L000007850</t>
  </si>
  <si>
    <t>Biology Workflow Essentials</t>
  </si>
  <si>
    <t>L000007892</t>
  </si>
  <si>
    <t>Separation &amp; Purification Solutions</t>
  </si>
  <si>
    <t>L000007904</t>
  </si>
  <si>
    <t>Protein Science Solutions</t>
  </si>
  <si>
    <t>L000013113</t>
  </si>
  <si>
    <t>Integration Planning &amp; Execution</t>
  </si>
  <si>
    <t>L000013706</t>
  </si>
  <si>
    <t>Strategic Marketing</t>
  </si>
  <si>
    <t>APeC -G</t>
  </si>
  <si>
    <t>L000005091</t>
  </si>
  <si>
    <t>DiS APeC - Attrition-G</t>
  </si>
  <si>
    <t>L000005114</t>
  </si>
  <si>
    <t>Head of DiS APeC-G</t>
  </si>
  <si>
    <t>DiS APeC - Other</t>
  </si>
  <si>
    <t>L000008295</t>
  </si>
  <si>
    <t>Australia &amp; New Zealand</t>
  </si>
  <si>
    <t>L000008350</t>
  </si>
  <si>
    <t>APeC Dealer Stratification &amp; Governance</t>
  </si>
  <si>
    <t>L000008367</t>
  </si>
  <si>
    <t>India</t>
  </si>
  <si>
    <t>L000008393</t>
  </si>
  <si>
    <t>Japan</t>
  </si>
  <si>
    <t>South Korea</t>
  </si>
  <si>
    <t>L000008463</t>
  </si>
  <si>
    <t>Southeast Asia</t>
  </si>
  <si>
    <t>L000008442</t>
  </si>
  <si>
    <t>Singapore Commercial -G</t>
  </si>
  <si>
    <t>Taiwan</t>
  </si>
  <si>
    <t>DiS APeC- Savings</t>
  </si>
  <si>
    <t>DiS APeC - Initiatives</t>
  </si>
  <si>
    <t>DiS Chief of Staff</t>
  </si>
  <si>
    <t>Strategy &amp; Transformation</t>
  </si>
  <si>
    <t>L000005327</t>
  </si>
  <si>
    <t>Strategy Development &amp; Market Insights</t>
  </si>
  <si>
    <t>InnovationPMO</t>
  </si>
  <si>
    <t>L000005434</t>
  </si>
  <si>
    <t>Innovation PMO Biology</t>
  </si>
  <si>
    <t>L000009198</t>
  </si>
  <si>
    <t>Innovation PMO Chemistry</t>
  </si>
  <si>
    <t>L000005299</t>
  </si>
  <si>
    <t>Discovery Solutions Mgmt</t>
  </si>
  <si>
    <t>L000005302</t>
  </si>
  <si>
    <t>DiS Go Global Program -G</t>
  </si>
  <si>
    <t>L000005305</t>
  </si>
  <si>
    <t>DiS Management -G</t>
  </si>
  <si>
    <t>L000005307</t>
  </si>
  <si>
    <t>DiS Miscellaneous -G</t>
  </si>
  <si>
    <t>L000013188</t>
  </si>
  <si>
    <t>DiS Sales &amp; COGs -G</t>
  </si>
  <si>
    <t>L000005321</t>
  </si>
  <si>
    <t>DiS Special Projects -G</t>
  </si>
  <si>
    <t>Americas</t>
  </si>
  <si>
    <t>L000007714</t>
  </si>
  <si>
    <t>Dealer NA</t>
  </si>
  <si>
    <t>L000007998</t>
  </si>
  <si>
    <t>LATAM excl BraMex</t>
  </si>
  <si>
    <t>EMEA</t>
  </si>
  <si>
    <t>L000008564</t>
  </si>
  <si>
    <t>Tech Service</t>
  </si>
  <si>
    <t>GSA Operations</t>
  </si>
  <si>
    <t>Customer Service</t>
  </si>
  <si>
    <t>PS Product Development</t>
  </si>
  <si>
    <t>LW - Marketing Ops - R&amp;D</t>
  </si>
  <si>
    <t>L000013782</t>
  </si>
  <si>
    <t>LW - Marketing Ops - SG&amp;A</t>
  </si>
  <si>
    <t>L000012434</t>
  </si>
  <si>
    <t>L000008324</t>
  </si>
  <si>
    <t>L000013167</t>
  </si>
  <si>
    <t>L000005441</t>
  </si>
  <si>
    <t>L000007859</t>
  </si>
  <si>
    <t>L000005425</t>
  </si>
  <si>
    <t>L000005366</t>
  </si>
  <si>
    <t>L000005430</t>
  </si>
  <si>
    <t>L000005447</t>
  </si>
  <si>
    <t>L000007741</t>
  </si>
  <si>
    <t>L000013166</t>
  </si>
  <si>
    <t>L000013607</t>
  </si>
  <si>
    <t>L000013606</t>
  </si>
  <si>
    <t>Integrated Communications</t>
  </si>
  <si>
    <t>Discovery Solutions Commercial China</t>
  </si>
  <si>
    <t>Customer Service DS / AS China</t>
  </si>
  <si>
    <t>DxRM - Custom and Immunoassay Solutions</t>
  </si>
  <si>
    <t>GSA</t>
  </si>
  <si>
    <t>Digital &amp; Strategy Realization</t>
  </si>
  <si>
    <t>Innovation PMO</t>
  </si>
  <si>
    <t>Product management Ops (Biology) -G</t>
  </si>
  <si>
    <t>to be deleted SLS Marcom -G</t>
  </si>
  <si>
    <t>Pricing</t>
  </si>
  <si>
    <t>Distributor</t>
  </si>
  <si>
    <t>GSA Cluster 6</t>
  </si>
  <si>
    <t>CS Americas</t>
  </si>
  <si>
    <t>CS EMEA</t>
  </si>
  <si>
    <t>CS APAC</t>
  </si>
  <si>
    <t>CS GSA&amp;Export</t>
  </si>
  <si>
    <t>DxRM - APeC Business Operations</t>
  </si>
  <si>
    <t>L000011348</t>
  </si>
  <si>
    <t>L000011112</t>
  </si>
  <si>
    <t>L000011124</t>
  </si>
  <si>
    <t>L000006752</t>
  </si>
  <si>
    <t>L000006774</t>
  </si>
  <si>
    <t>L000008320</t>
  </si>
  <si>
    <t>L000008325</t>
  </si>
  <si>
    <t>L000008326</t>
  </si>
  <si>
    <t>L000008331</t>
  </si>
  <si>
    <t>L000008332</t>
  </si>
  <si>
    <t>L000008333</t>
  </si>
  <si>
    <t>L000008334</t>
  </si>
  <si>
    <t>L000008335</t>
  </si>
  <si>
    <t>L000008342</t>
  </si>
  <si>
    <t>L000008343</t>
  </si>
  <si>
    <t>L000008349</t>
  </si>
  <si>
    <t>L000005625</t>
  </si>
  <si>
    <t>L000011487</t>
  </si>
  <si>
    <t>L000007239</t>
  </si>
  <si>
    <t>L000005843</t>
  </si>
  <si>
    <t>L000013125</t>
  </si>
  <si>
    <t>L000013609</t>
  </si>
  <si>
    <t>L000011549</t>
  </si>
  <si>
    <t>L000013354</t>
  </si>
  <si>
    <t>L000013356</t>
  </si>
  <si>
    <t>L000007835</t>
  </si>
  <si>
    <t>L000008991</t>
  </si>
  <si>
    <t>L000011888</t>
  </si>
  <si>
    <t>L000007847</t>
  </si>
  <si>
    <t>L000007871</t>
  </si>
  <si>
    <t>L000007844</t>
  </si>
  <si>
    <t>L000007733</t>
  </si>
  <si>
    <t>L000013172</t>
  </si>
  <si>
    <t>L000008985</t>
  </si>
  <si>
    <t>L000008753</t>
  </si>
  <si>
    <t>L000011810</t>
  </si>
  <si>
    <t>L000007991</t>
  </si>
  <si>
    <t>L000012411</t>
  </si>
  <si>
    <t>L000008010</t>
  </si>
  <si>
    <t>L000008068</t>
  </si>
  <si>
    <t>L000013674</t>
  </si>
  <si>
    <t>L000013675</t>
  </si>
  <si>
    <t>L000013168</t>
  </si>
  <si>
    <t>L000008649</t>
  </si>
  <si>
    <t>L000008895</t>
  </si>
  <si>
    <t>L000013619</t>
  </si>
  <si>
    <t>L000013663</t>
  </si>
  <si>
    <t>L000007710</t>
  </si>
  <si>
    <t>L000007709</t>
  </si>
  <si>
    <t>L000007292</t>
  </si>
  <si>
    <t>L000007462</t>
  </si>
  <si>
    <t>L000007463</t>
  </si>
  <si>
    <t>L000007466</t>
  </si>
  <si>
    <t>L000007470</t>
  </si>
  <si>
    <t>L000007471</t>
  </si>
  <si>
    <t>L000007475</t>
  </si>
  <si>
    <t>L000007961</t>
  </si>
  <si>
    <t>L000011809</t>
  </si>
  <si>
    <t>L000008693</t>
  </si>
  <si>
    <t>L000008697</t>
  </si>
  <si>
    <t>L000008739</t>
  </si>
  <si>
    <t>L000012412</t>
  </si>
  <si>
    <t>L000008299</t>
  </si>
  <si>
    <t>L000008383</t>
  </si>
  <si>
    <t>L000008405</t>
  </si>
  <si>
    <t>L000008439</t>
  </si>
  <si>
    <t>L000008446</t>
  </si>
  <si>
    <t>L000008547</t>
  </si>
  <si>
    <t>L000008791</t>
  </si>
  <si>
    <t>L000011720</t>
  </si>
  <si>
    <t>L000011721</t>
  </si>
  <si>
    <t>L000011723</t>
  </si>
  <si>
    <t>L000011726</t>
  </si>
  <si>
    <t>L000011727</t>
  </si>
  <si>
    <t>L000011728</t>
  </si>
  <si>
    <t>L000012595</t>
  </si>
  <si>
    <t>L000008698</t>
  </si>
  <si>
    <t>L000011741</t>
  </si>
  <si>
    <t>L000008650</t>
  </si>
  <si>
    <t>L000007116</t>
  </si>
  <si>
    <t>L000013227</t>
  </si>
  <si>
    <t>L000013228</t>
  </si>
  <si>
    <t>L000011773</t>
  </si>
  <si>
    <t>L000008829</t>
  </si>
  <si>
    <t>L000008408</t>
  </si>
  <si>
    <t>L000008386</t>
  </si>
  <si>
    <t>L000008453</t>
  </si>
  <si>
    <t>L000008479</t>
  </si>
  <si>
    <t>L000008427</t>
  </si>
  <si>
    <t>L000008553</t>
  </si>
  <si>
    <t>L000008300</t>
  </si>
  <si>
    <t>L000008305</t>
  </si>
  <si>
    <t>L000008502</t>
  </si>
  <si>
    <t>L000008515</t>
  </si>
  <si>
    <t>L000008527</t>
  </si>
  <si>
    <t>L000008537</t>
  </si>
  <si>
    <t>L000012795</t>
  </si>
  <si>
    <t>L000012796</t>
  </si>
  <si>
    <t>L000013672</t>
  </si>
  <si>
    <t>L000006422</t>
  </si>
  <si>
    <t>L000013735</t>
  </si>
  <si>
    <t>L000005348</t>
  </si>
  <si>
    <t>L000005351</t>
  </si>
  <si>
    <t>L000005353</t>
  </si>
  <si>
    <t>L000005355</t>
  </si>
  <si>
    <t>L000005356</t>
  </si>
  <si>
    <t>L000005357</t>
  </si>
  <si>
    <t>L000009145</t>
  </si>
  <si>
    <t>L000009147</t>
  </si>
  <si>
    <t>L000009148</t>
  </si>
  <si>
    <t>L000009177</t>
  </si>
  <si>
    <t>L000013737</t>
  </si>
  <si>
    <t>L000013738</t>
  </si>
  <si>
    <t>L000011323</t>
  </si>
  <si>
    <t>L000011324</t>
  </si>
  <si>
    <t>L000011325</t>
  </si>
  <si>
    <t>L000011326</t>
  </si>
  <si>
    <t>L000011111</t>
  </si>
  <si>
    <t>FR8173399</t>
  </si>
  <si>
    <t>Remove</t>
  </si>
  <si>
    <t>FR8171045</t>
  </si>
  <si>
    <t>ON TM1</t>
  </si>
  <si>
    <t>L000013916</t>
  </si>
  <si>
    <t>L000013917</t>
  </si>
  <si>
    <t>L000013918</t>
  </si>
  <si>
    <t>L000013919</t>
  </si>
  <si>
    <t>L000013920</t>
  </si>
  <si>
    <t>L000013921</t>
  </si>
  <si>
    <t>L000013922</t>
  </si>
  <si>
    <t>L000013923</t>
  </si>
  <si>
    <t>L000013924</t>
  </si>
  <si>
    <t>L000013925</t>
  </si>
  <si>
    <t>L000013926</t>
  </si>
  <si>
    <t>L000013927</t>
  </si>
  <si>
    <t>L000013928</t>
  </si>
  <si>
    <t>L000013929</t>
  </si>
  <si>
    <t>L000013930</t>
  </si>
  <si>
    <t>L000013931</t>
  </si>
  <si>
    <t>L000013932</t>
  </si>
  <si>
    <t>L000013933</t>
  </si>
  <si>
    <t>L000013934</t>
  </si>
  <si>
    <t>L000013935</t>
  </si>
  <si>
    <t>L000013936</t>
  </si>
  <si>
    <t>L000013937</t>
  </si>
  <si>
    <t>L000013938</t>
  </si>
  <si>
    <t>L000013939</t>
  </si>
  <si>
    <t>L000013940</t>
  </si>
  <si>
    <t>L000013941</t>
  </si>
  <si>
    <t>L000013942</t>
  </si>
  <si>
    <t>L000013943</t>
  </si>
  <si>
    <t>L000013944</t>
  </si>
  <si>
    <t>L000013945</t>
  </si>
  <si>
    <t>L000013946</t>
  </si>
  <si>
    <t>L000013947</t>
  </si>
  <si>
    <t>L000013948</t>
  </si>
  <si>
    <t>L000013949</t>
  </si>
  <si>
    <t>L000013950</t>
  </si>
  <si>
    <t>L000013951</t>
  </si>
  <si>
    <t>L000013952</t>
  </si>
  <si>
    <t>L000013953</t>
  </si>
  <si>
    <t>L000013954</t>
  </si>
  <si>
    <t>L000013955</t>
  </si>
  <si>
    <t>L000013956</t>
  </si>
  <si>
    <t>L000013957</t>
  </si>
  <si>
    <t>L000013958</t>
  </si>
  <si>
    <t>L000013959</t>
  </si>
  <si>
    <t>L000013960</t>
  </si>
  <si>
    <t>L000013961</t>
  </si>
  <si>
    <t>L000013962</t>
  </si>
  <si>
    <t>L000013963</t>
  </si>
  <si>
    <t>L000013964</t>
  </si>
  <si>
    <t>L000013965</t>
  </si>
  <si>
    <t>L000013966</t>
  </si>
  <si>
    <t>L000013967</t>
  </si>
  <si>
    <t>L000013968</t>
  </si>
  <si>
    <t>L000013969</t>
  </si>
  <si>
    <t>L000013970</t>
  </si>
  <si>
    <t>L000013971</t>
  </si>
  <si>
    <t>L000013972</t>
  </si>
  <si>
    <t>L000013973</t>
  </si>
  <si>
    <t>L000013974</t>
  </si>
  <si>
    <t>L000013975</t>
  </si>
  <si>
    <t>L000013976</t>
  </si>
  <si>
    <t>L000013977</t>
  </si>
  <si>
    <t>L000013978</t>
  </si>
  <si>
    <t>L000013979</t>
  </si>
  <si>
    <t>L000013980</t>
  </si>
  <si>
    <t>L000013981</t>
  </si>
  <si>
    <t>L000013982</t>
  </si>
  <si>
    <t>L000013983</t>
  </si>
  <si>
    <t>L000013984</t>
  </si>
  <si>
    <t>L000013985</t>
  </si>
  <si>
    <t>L000013986</t>
  </si>
  <si>
    <t>L000013987</t>
  </si>
  <si>
    <t>L000013988</t>
  </si>
  <si>
    <t>L000013989</t>
  </si>
  <si>
    <t>L000013990</t>
  </si>
  <si>
    <t>L000013991</t>
  </si>
  <si>
    <t>L000013992</t>
  </si>
  <si>
    <t>L000013993</t>
  </si>
  <si>
    <t>L000013994</t>
  </si>
  <si>
    <t>L000013995</t>
  </si>
  <si>
    <t>L000013996</t>
  </si>
  <si>
    <t>L000013997</t>
  </si>
  <si>
    <t>L000013998</t>
  </si>
  <si>
    <t>L000013999</t>
  </si>
  <si>
    <t>L000014000</t>
  </si>
  <si>
    <t>L000014001</t>
  </si>
  <si>
    <t>L000014002</t>
  </si>
  <si>
    <t>L000014003</t>
  </si>
  <si>
    <t>L000014004</t>
  </si>
  <si>
    <t>L000014005</t>
  </si>
  <si>
    <t>L000014006</t>
  </si>
  <si>
    <t>L000014007</t>
  </si>
  <si>
    <t>L000014008</t>
  </si>
  <si>
    <t>L000014009</t>
  </si>
  <si>
    <t>L000014010</t>
  </si>
  <si>
    <t>L000014011</t>
  </si>
  <si>
    <t>L000014012</t>
  </si>
  <si>
    <t>L000014013</t>
  </si>
  <si>
    <t>L000014014</t>
  </si>
  <si>
    <t>L000014015</t>
  </si>
  <si>
    <t>L000014016</t>
  </si>
  <si>
    <t>L000014017</t>
  </si>
  <si>
    <t>L000014018</t>
  </si>
  <si>
    <t>L000014019</t>
  </si>
  <si>
    <t>L000014020</t>
  </si>
  <si>
    <t>L000014021</t>
  </si>
  <si>
    <t>L000014022</t>
  </si>
  <si>
    <t>L000014023</t>
  </si>
  <si>
    <t>L000014024</t>
  </si>
  <si>
    <t>L000014025</t>
  </si>
  <si>
    <t>L000014026</t>
  </si>
  <si>
    <t>L000014027</t>
  </si>
  <si>
    <t>L000014028</t>
  </si>
  <si>
    <t>L000014029</t>
  </si>
  <si>
    <t>L000014030</t>
  </si>
  <si>
    <t>L000014031</t>
  </si>
  <si>
    <t>L000014032</t>
  </si>
  <si>
    <t>L000014033</t>
  </si>
  <si>
    <t>L000014034</t>
  </si>
  <si>
    <t>L000014035</t>
  </si>
  <si>
    <t>L000014036</t>
  </si>
  <si>
    <t>L000014037</t>
  </si>
  <si>
    <t>L000014038</t>
  </si>
  <si>
    <t>L000014039</t>
  </si>
  <si>
    <t>L000014040</t>
  </si>
  <si>
    <t>L000014041</t>
  </si>
  <si>
    <t>L000014042</t>
  </si>
  <si>
    <t>L000014043</t>
  </si>
  <si>
    <t>L000014044</t>
  </si>
  <si>
    <t>L000014045</t>
  </si>
  <si>
    <t>L000014046</t>
  </si>
  <si>
    <t>L000014047</t>
  </si>
  <si>
    <t>L000014048</t>
  </si>
  <si>
    <t>L000014049</t>
  </si>
  <si>
    <t>L000014050</t>
  </si>
  <si>
    <t>L000014051</t>
  </si>
  <si>
    <t>L000014052</t>
  </si>
  <si>
    <t>L000014053</t>
  </si>
  <si>
    <t>L000014054</t>
  </si>
  <si>
    <t>L000014055</t>
  </si>
  <si>
    <t>L000014056</t>
  </si>
  <si>
    <t>L000014057</t>
  </si>
  <si>
    <t>L000014058</t>
  </si>
  <si>
    <t>L000014059</t>
  </si>
  <si>
    <t>L000014060</t>
  </si>
  <si>
    <t>L000014061</t>
  </si>
  <si>
    <t>L000014062</t>
  </si>
  <si>
    <t>RDC0000100</t>
  </si>
  <si>
    <t>FR8179935</t>
  </si>
  <si>
    <t>O000000010</t>
  </si>
  <si>
    <t>IT Charges</t>
  </si>
  <si>
    <t>Global Run (IS)</t>
  </si>
  <si>
    <t>IT Service Charges</t>
  </si>
  <si>
    <t>IT Projects Charges</t>
  </si>
  <si>
    <t>FR8184076</t>
  </si>
  <si>
    <t>FR8184664</t>
  </si>
  <si>
    <t>GDC ST - BD &amp; Strategy Innovation China</t>
  </si>
  <si>
    <t>FR8184798</t>
  </si>
  <si>
    <t>Exceptional Evolution</t>
  </si>
  <si>
    <t>Syn. &amp; Purif. US Container Engineering</t>
  </si>
  <si>
    <t>DIS-DE-DA G1+N5 Small Scale</t>
  </si>
  <si>
    <t>Formul. &amp; Opt. Cluster Mgmt Functions</t>
  </si>
  <si>
    <t>EL-CN-S Semi Materials China Head</t>
  </si>
  <si>
    <t>EL-CN-S4 Project Management Office</t>
  </si>
  <si>
    <t>EL-CN-S5 Semi Materials China-EHS&amp;S</t>
  </si>
  <si>
    <t>EL-CN-S6 Customer Applications</t>
  </si>
  <si>
    <t>EL-CN-S8 Strategy &amp; Development</t>
  </si>
  <si>
    <t>EL-FO Formulations Head</t>
  </si>
  <si>
    <t>EL-FO-AR Planarization R&amp;D Patents</t>
  </si>
  <si>
    <t>EL-FO-A Planarization Sales &amp; COGs</t>
  </si>
  <si>
    <t>EL-FO-PA PAT Customer Applications Head</t>
  </si>
  <si>
    <t>EL-FO-PC PAT Silica Materials Head</t>
  </si>
  <si>
    <t>EL-FO-PCA Silica Sales &amp; Marketing</t>
  </si>
  <si>
    <t>EL-FO-PCB Silica Project Management</t>
  </si>
  <si>
    <t>EL-FO-PCH Silica Materials, Kaohsiung</t>
  </si>
  <si>
    <t>EL-FO-PCK Silica, Quality &amp; Product Eng.</t>
  </si>
  <si>
    <t>EL-FO-PCN Silica, Supply Chain Planning</t>
  </si>
  <si>
    <t>EL-FO-PCS Silica Materials R&amp;D</t>
  </si>
  <si>
    <t>Silica Materials R&amp;D Organization</t>
  </si>
  <si>
    <t>Silica Materials R&amp;D Projects</t>
  </si>
  <si>
    <t>Silica Materials R&amp;D Other</t>
  </si>
  <si>
    <t>Silica Materials R&amp;D Patents</t>
  </si>
  <si>
    <t>EL-FO-PM Patterning Marketing Head</t>
  </si>
  <si>
    <t>EL-FO-PR Patterning R&amp;D Patents</t>
  </si>
  <si>
    <t>EL-TF Thin Film Head</t>
  </si>
  <si>
    <t>EL-TF-E Global Executive Acc. Mgmt.</t>
  </si>
  <si>
    <t>EL-TF-I Dielectrics Business Head</t>
  </si>
  <si>
    <t>EL-TF-M Metallics Business Head</t>
  </si>
  <si>
    <t>EL-TF-R Thin Film R&amp;D Patents</t>
  </si>
  <si>
    <t>EL-TF-T MD Taiwan</t>
  </si>
  <si>
    <t>EL-TF-T MD Taiwan Head</t>
  </si>
  <si>
    <t>EL-TF Thin Film Sales &amp; COGs</t>
  </si>
  <si>
    <t>EL-SG Specialty Gases Head</t>
  </si>
  <si>
    <t>EL-SG-G Specialty Gases Commercial Head</t>
  </si>
  <si>
    <t>EL-SG Specialty Gases Sales &amp; COGs</t>
  </si>
  <si>
    <t>EL-SG-I Specialty Gases R&amp;D Patents</t>
  </si>
  <si>
    <t>EL-OP-L LC/DPM Head</t>
  </si>
  <si>
    <t>EL-OP-M Metrology &amp; Inspection Head</t>
  </si>
  <si>
    <t>EL-OP-O OLED Head</t>
  </si>
  <si>
    <t>EL-OP-W LC Windows Head</t>
  </si>
  <si>
    <t>EL-OP Optronics Sales &amp; COGs</t>
  </si>
  <si>
    <t>EL-OP-LR LC/DPM R&amp;D Patents</t>
  </si>
  <si>
    <t>EL-OP-BF OT R&amp;D Patents</t>
  </si>
  <si>
    <t>EL-SC-D Organization</t>
  </si>
  <si>
    <t>EL-SC-DO Organization</t>
  </si>
  <si>
    <t>EL-SC-DE Organization</t>
  </si>
  <si>
    <t>EL-SC-DF Organization</t>
  </si>
  <si>
    <t>EL-SC-DI Organization</t>
  </si>
  <si>
    <t>EL-SC-DX Organization</t>
  </si>
  <si>
    <t>EL-SC-DS Organization</t>
  </si>
  <si>
    <t>EL-SC-DU Organization</t>
  </si>
  <si>
    <t>EL-SC-DG Organization</t>
  </si>
  <si>
    <t>EL-SC-DU Other</t>
  </si>
  <si>
    <t>EL-SC-D Other</t>
  </si>
  <si>
    <t>EL-SC-DO Other</t>
  </si>
  <si>
    <t>EL-SC-DE Other</t>
  </si>
  <si>
    <t>EL-SC-DF Other</t>
  </si>
  <si>
    <t>EL-SC-DI Other</t>
  </si>
  <si>
    <t>EL-SC-DX Other</t>
  </si>
  <si>
    <t>EL-SC-DS Other</t>
  </si>
  <si>
    <t>EL-SC-DG Other</t>
  </si>
  <si>
    <t>EL-SC-DG Projects</t>
  </si>
  <si>
    <t>Cluster Equipment General</t>
  </si>
  <si>
    <t>P000001143</t>
  </si>
  <si>
    <t>P000000641</t>
  </si>
  <si>
    <t>P000000644</t>
  </si>
  <si>
    <t>EL-OP-SD LH+SC Buildings, TC</t>
  </si>
  <si>
    <t>EL-OP-SD LH+SC Buildings, D&amp;A</t>
  </si>
  <si>
    <t>DIS-DE-DA G1 Production</t>
  </si>
  <si>
    <t>EL-OP BU Other</t>
  </si>
  <si>
    <t>EL-OP-LR LC/DPM R&amp;D Other</t>
  </si>
  <si>
    <t>EL-OP-OR OLED R&amp;D Other</t>
  </si>
  <si>
    <t>EL-OP-B Business Strategy &amp; Service</t>
  </si>
  <si>
    <t>EL-OP-BF OT R&amp;D Other</t>
  </si>
  <si>
    <t>EL-OP-B Business Strategy &amp; Service Head</t>
  </si>
  <si>
    <t>P000000572</t>
  </si>
  <si>
    <t>EL-CN-S1 Semi Business</t>
  </si>
  <si>
    <t>P000000573</t>
  </si>
  <si>
    <t>EL-CN-S2 Electronics Tech Center China</t>
  </si>
  <si>
    <t>P000000574</t>
  </si>
  <si>
    <t>EL-CN-S3 Key Account Management</t>
  </si>
  <si>
    <t>XXX North America &amp; Europe General M</t>
  </si>
  <si>
    <t>XXX Asia General Management</t>
  </si>
  <si>
    <t>XXX Korea &amp; Japan General Management</t>
  </si>
  <si>
    <t>EL-ND DS&amp;S Head</t>
  </si>
  <si>
    <t>EL-ND DS&amp;S Commercial</t>
  </si>
  <si>
    <t>EL-ND DS&amp;S Sales &amp; COGs</t>
  </si>
  <si>
    <t>EL-TF-R Thin Film R&amp;D</t>
  </si>
  <si>
    <t>EL-TF-R Thin Film R&amp;D Projects</t>
  </si>
  <si>
    <t>EL-TF-R Thin Film R&amp;D Organization</t>
  </si>
  <si>
    <t>EL-TF-R Thin Film R&amp;D Other</t>
  </si>
  <si>
    <t>EL-SG-G Specialty Gases Commercial</t>
  </si>
  <si>
    <t>EL-SG-I Specialty Gases R&amp;D</t>
  </si>
  <si>
    <t>EL-SG-I Specialty Gases R&amp;D Projects</t>
  </si>
  <si>
    <t>EL-SG-I Specialty Gases R&amp;D Organization</t>
  </si>
  <si>
    <t>EL-SG-I Specialty Gases R&amp;D Other</t>
  </si>
  <si>
    <t>P000001173</t>
  </si>
  <si>
    <t>EL-SC-D IO</t>
  </si>
  <si>
    <t>EL-SC-DO IO</t>
  </si>
  <si>
    <t>P000001175</t>
  </si>
  <si>
    <t>EL-SC-DE IO</t>
  </si>
  <si>
    <t>P000001176</t>
  </si>
  <si>
    <t>EL-SC-DF IO</t>
  </si>
  <si>
    <t>P000001177</t>
  </si>
  <si>
    <t>P000001179</t>
  </si>
  <si>
    <t>EL-SC-DX IO</t>
  </si>
  <si>
    <t>P000001180</t>
  </si>
  <si>
    <t>EL-SC-DS IO</t>
  </si>
  <si>
    <t>P000001181</t>
  </si>
  <si>
    <t>EL-SC-DU IO</t>
  </si>
  <si>
    <t>EL-FO-P Patterning Solutions Head</t>
  </si>
  <si>
    <t>EL-FO-PR Patterning R&amp;D Projects</t>
  </si>
  <si>
    <t>EL-FO-PR Patterning R&amp;D Organization</t>
  </si>
  <si>
    <t>EL-FO-PR Patterning R&amp;D Other</t>
  </si>
  <si>
    <t>EL-FO-PC Patterning Silica</t>
  </si>
  <si>
    <t>EL-FO-A Planarization Head</t>
  </si>
  <si>
    <t>EL-FO-AR Planarization R&amp;D Projects</t>
  </si>
  <si>
    <t>EL-FO-AR Planarization R&amp;D Organization</t>
  </si>
  <si>
    <t>EL-FO-AR Planarization R&amp;D Other</t>
  </si>
  <si>
    <t>EL-OP Optronics Head</t>
  </si>
  <si>
    <t>EL-OP-OR OLED R&amp;D Patents</t>
  </si>
  <si>
    <t>EL-OP-LR LC/DPM R&amp;D Organization</t>
  </si>
  <si>
    <t>EL-OP-OR OLED R&amp;D Organization</t>
  </si>
  <si>
    <t>EL-OP-BF OT R&amp;D Organization</t>
  </si>
  <si>
    <t>Asia Sales</t>
  </si>
  <si>
    <t>Korea Sales</t>
  </si>
  <si>
    <t>NA &amp; EU Sales</t>
  </si>
  <si>
    <t>NA Services</t>
  </si>
  <si>
    <t>EL-ND Marketing &amp; Product Strategy</t>
  </si>
  <si>
    <t>EL-ND Project &amp; Portfolio Management</t>
  </si>
  <si>
    <t>EL-ND Global Turnkey &amp; Installation</t>
  </si>
  <si>
    <t>Korea Services</t>
  </si>
  <si>
    <t>Asia Services</t>
  </si>
  <si>
    <t>EL-ND R&amp;D / Innovation</t>
  </si>
  <si>
    <t>Equipment Technology</t>
  </si>
  <si>
    <t>New Product Introduction</t>
  </si>
  <si>
    <t>EL-ND Korea General Management</t>
  </si>
  <si>
    <t>EL-TF-S TF Global Sales Head</t>
  </si>
  <si>
    <t>EL-FO-PP PAT Global Product Mgmt Head</t>
  </si>
  <si>
    <t>EL-FO-PS PAT Sales Head</t>
  </si>
  <si>
    <t>EL-FO-P Patterning Sales &amp; COGs</t>
  </si>
  <si>
    <t>P000000473</t>
  </si>
  <si>
    <t>P000000477</t>
  </si>
  <si>
    <t>PL_ED_CNC1</t>
  </si>
  <si>
    <t>PL_ED_KRB2</t>
  </si>
  <si>
    <t>PL_ED_USD6</t>
  </si>
  <si>
    <t>L000008500</t>
  </si>
  <si>
    <t>O000000011</t>
  </si>
  <si>
    <t>O000000012</t>
  </si>
  <si>
    <t>O000000013</t>
  </si>
  <si>
    <t>G000001462</t>
  </si>
  <si>
    <t>P000001416</t>
  </si>
  <si>
    <t>P000001417</t>
  </si>
  <si>
    <t>P000001418</t>
  </si>
  <si>
    <t>P000001419</t>
  </si>
  <si>
    <t>P000001420</t>
  </si>
  <si>
    <t>P000001421</t>
  </si>
  <si>
    <t>P000001422</t>
  </si>
  <si>
    <t>P000001423</t>
  </si>
  <si>
    <t>P000001424</t>
  </si>
  <si>
    <t>P000001425</t>
  </si>
  <si>
    <t>P000001426</t>
  </si>
  <si>
    <t>P000001427</t>
  </si>
  <si>
    <t>P000001428</t>
  </si>
  <si>
    <t>P000001429</t>
  </si>
  <si>
    <t>P000001430</t>
  </si>
  <si>
    <t>P000001431</t>
  </si>
  <si>
    <t>P000001432</t>
  </si>
  <si>
    <t>P000001433</t>
  </si>
  <si>
    <t>P000001434</t>
  </si>
  <si>
    <t>P000001435</t>
  </si>
  <si>
    <t>P000001436</t>
  </si>
  <si>
    <t>P000001437</t>
  </si>
  <si>
    <t>P000001438</t>
  </si>
  <si>
    <t>P000001439</t>
  </si>
  <si>
    <t>P000001440</t>
  </si>
  <si>
    <t>P000001441</t>
  </si>
  <si>
    <t>P000001442</t>
  </si>
  <si>
    <t>P000001443</t>
  </si>
  <si>
    <t>P000001444</t>
  </si>
  <si>
    <t>P000001445</t>
  </si>
  <si>
    <t>P000001446</t>
  </si>
  <si>
    <t>P000001447</t>
  </si>
  <si>
    <t>P000001448</t>
  </si>
  <si>
    <t>P000001449</t>
  </si>
  <si>
    <t>P000001450</t>
  </si>
  <si>
    <t>P000001451</t>
  </si>
  <si>
    <t>P000001452</t>
  </si>
  <si>
    <t>P000001453</t>
  </si>
  <si>
    <t>P000001454</t>
  </si>
  <si>
    <t>P000001455</t>
  </si>
  <si>
    <t>P000001456</t>
  </si>
  <si>
    <t>P000001457</t>
  </si>
  <si>
    <t>P000001458</t>
  </si>
  <si>
    <t>P000001459</t>
  </si>
  <si>
    <t>P000001460</t>
  </si>
  <si>
    <t>P000001461</t>
  </si>
  <si>
    <t>P000001462</t>
  </si>
  <si>
    <t>P000001463</t>
  </si>
  <si>
    <t>P000001464</t>
  </si>
  <si>
    <t>P000001465</t>
  </si>
  <si>
    <t>P000001466</t>
  </si>
  <si>
    <t>P000001467</t>
  </si>
  <si>
    <t>P000001468</t>
  </si>
  <si>
    <t>P000001469</t>
  </si>
  <si>
    <t>P000001470</t>
  </si>
  <si>
    <t>P000001471</t>
  </si>
  <si>
    <t>P000001472</t>
  </si>
  <si>
    <t>P000001473</t>
  </si>
  <si>
    <t>P000001474</t>
  </si>
  <si>
    <t>P000001475</t>
  </si>
  <si>
    <t>P000001476</t>
  </si>
  <si>
    <t>P000001477</t>
  </si>
  <si>
    <t>P000001478</t>
  </si>
  <si>
    <t>P000001479</t>
  </si>
  <si>
    <t>P000001480</t>
  </si>
  <si>
    <t>P000001481</t>
  </si>
  <si>
    <t>P000001482</t>
  </si>
  <si>
    <t>P000001483</t>
  </si>
  <si>
    <t>P000001484</t>
  </si>
  <si>
    <t>P000001485</t>
  </si>
  <si>
    <t>P000001486</t>
  </si>
  <si>
    <t>RDC0000951</t>
  </si>
  <si>
    <t>Ogsiveo</t>
  </si>
  <si>
    <t>RDC0000952</t>
  </si>
  <si>
    <t>Gomekli/Ezmekly</t>
  </si>
  <si>
    <t>RDC0000953</t>
  </si>
  <si>
    <t>Rare Tumor Other</t>
  </si>
  <si>
    <t>FR8185832</t>
  </si>
  <si>
    <t>FR8193700</t>
  </si>
  <si>
    <t>100 Nirogacestat</t>
  </si>
  <si>
    <t>120 Mirdametinib</t>
  </si>
  <si>
    <t>130 BGB-3245</t>
  </si>
  <si>
    <t>510 TEAD Inhibitors</t>
  </si>
  <si>
    <t>530 JAK2 Inhibitors</t>
  </si>
  <si>
    <t>540 PP2A Inhibitors</t>
  </si>
  <si>
    <t>100.10 Niro, DT</t>
  </si>
  <si>
    <t>100.17 Niro, GCT</t>
  </si>
  <si>
    <t>120.00 Mirda-No Program</t>
  </si>
  <si>
    <t>120.10 Mirda, NF1-PN</t>
  </si>
  <si>
    <t>120.11 Mirda+Lif</t>
  </si>
  <si>
    <t>130.12 BGB-3245, AU</t>
  </si>
  <si>
    <t>510.10 TEAD SW-682, AST</t>
  </si>
  <si>
    <t>530.00 JAK2-No Program</t>
  </si>
  <si>
    <t>540.10 PP2A SW-3431</t>
  </si>
  <si>
    <t>H000000688</t>
  </si>
  <si>
    <t>H000004932</t>
  </si>
  <si>
    <t>H000004933</t>
  </si>
  <si>
    <t>H000004934</t>
  </si>
  <si>
    <t>H000004935</t>
  </si>
  <si>
    <t>H000004936</t>
  </si>
  <si>
    <t>H000004937</t>
  </si>
  <si>
    <t>H000004938</t>
  </si>
  <si>
    <t>H000004939</t>
  </si>
  <si>
    <t>H000004940</t>
  </si>
  <si>
    <t>H000004941</t>
  </si>
  <si>
    <t>H000004942</t>
  </si>
  <si>
    <t>H000004943</t>
  </si>
  <si>
    <t>H000004944</t>
  </si>
  <si>
    <t>H000004945</t>
  </si>
  <si>
    <t>H000004946</t>
  </si>
  <si>
    <t>H000004947</t>
  </si>
  <si>
    <t>H000004948</t>
  </si>
  <si>
    <t>H000004949</t>
  </si>
  <si>
    <t>H000004950</t>
  </si>
  <si>
    <t>FR8196435</t>
  </si>
  <si>
    <t>L000005617</t>
  </si>
  <si>
    <t>FR8196697</t>
  </si>
  <si>
    <t>L000005495</t>
  </si>
  <si>
    <t>L000013693</t>
  </si>
  <si>
    <t>FR8200368</t>
  </si>
  <si>
    <t>G7J DX - Lumina FTO</t>
  </si>
  <si>
    <t>G7K DX - Lumina Financial Steering</t>
  </si>
  <si>
    <t>G7L DX - Lumina Financial Close</t>
  </si>
  <si>
    <t>G7M DX - Lumina Data Quality</t>
  </si>
  <si>
    <t>G7N DX - Lumina Regulatory Reporting</t>
  </si>
  <si>
    <t>G000000235</t>
  </si>
  <si>
    <t>FR8204813</t>
  </si>
  <si>
    <t>L000013681</t>
  </si>
  <si>
    <t>FR8204919</t>
  </si>
  <si>
    <t>FR8205239</t>
  </si>
  <si>
    <t>DS Value Stream</t>
  </si>
  <si>
    <t>H000001412</t>
  </si>
  <si>
    <t>H000001505</t>
  </si>
  <si>
    <t>FR8215482</t>
  </si>
  <si>
    <t>FR8219165</t>
  </si>
  <si>
    <t>FR8224823</t>
  </si>
  <si>
    <t>Rare Tumor SW</t>
  </si>
  <si>
    <t>100.00 Niro-No Program</t>
  </si>
  <si>
    <t>100.11 Niro, MM-GSK</t>
  </si>
  <si>
    <t>100.15 Niro, MM</t>
  </si>
  <si>
    <t>Count of Node</t>
  </si>
  <si>
    <t>H000000472</t>
  </si>
  <si>
    <t>H000000473</t>
  </si>
  <si>
    <t>H000000474</t>
  </si>
  <si>
    <t>H000000475</t>
  </si>
  <si>
    <t>H000000476</t>
  </si>
  <si>
    <t>H000000477</t>
  </si>
  <si>
    <t>H000000478</t>
  </si>
  <si>
    <t>H000000479</t>
  </si>
  <si>
    <t>Anna Maria Urbano</t>
  </si>
  <si>
    <t>FR8240027</t>
  </si>
  <si>
    <t>FR8240264</t>
  </si>
  <si>
    <t>FR8244765</t>
  </si>
  <si>
    <t>Analyn Ayson</t>
  </si>
  <si>
    <t>G000000875</t>
  </si>
  <si>
    <t>RETURNED TO ORIGINAL NODE</t>
  </si>
  <si>
    <t>G000000354</t>
  </si>
  <si>
    <t>FR8246982</t>
  </si>
  <si>
    <t>EL-BP-I Classic IT</t>
  </si>
  <si>
    <t>EL-BP-I IT Projects</t>
  </si>
  <si>
    <t>EL-BP-IC Cyber Security</t>
  </si>
  <si>
    <t>EL-BP-IIE IT/OT</t>
  </si>
  <si>
    <t>EL-BP-IAE Digital &amp; Data</t>
  </si>
  <si>
    <t>FR8255778</t>
  </si>
  <si>
    <t>FR8256118</t>
  </si>
  <si>
    <t>PL - FERT</t>
  </si>
  <si>
    <t>PL - ISS FERT</t>
  </si>
  <si>
    <t>PL - FF FERT</t>
  </si>
  <si>
    <t>H000003572</t>
  </si>
  <si>
    <t>H000003590</t>
  </si>
  <si>
    <t>H000003591</t>
  </si>
  <si>
    <t>H000004120</t>
  </si>
  <si>
    <t>PL - CM&amp;E</t>
  </si>
  <si>
    <t>PL - ISS CM&amp;E</t>
  </si>
  <si>
    <t>Field Force CM&amp;E</t>
  </si>
  <si>
    <t>H000003585</t>
  </si>
  <si>
    <t>Henry Jr Ifurung</t>
  </si>
  <si>
    <t>H000004951</t>
  </si>
  <si>
    <t>H000004952</t>
  </si>
  <si>
    <t>H000004953</t>
  </si>
  <si>
    <t>FR8256127</t>
  </si>
  <si>
    <t>Core Markets</t>
  </si>
  <si>
    <t>H000004954</t>
  </si>
  <si>
    <t>Regional Core Markets</t>
  </si>
  <si>
    <t>H000000185</t>
  </si>
  <si>
    <t>H000000180</t>
  </si>
  <si>
    <t>H000000199</t>
  </si>
  <si>
    <t>H000000202</t>
  </si>
  <si>
    <t>H000000392</t>
  </si>
  <si>
    <t>France</t>
  </si>
  <si>
    <t>Italy</t>
  </si>
  <si>
    <t>Spain</t>
  </si>
  <si>
    <t>United Kingdom</t>
  </si>
  <si>
    <t>Australia / NZ</t>
  </si>
  <si>
    <t>H000000198</t>
  </si>
  <si>
    <t>H000000209</t>
  </si>
  <si>
    <t>H000000391</t>
  </si>
  <si>
    <t>H000000395</t>
  </si>
  <si>
    <t>H000000933</t>
  </si>
  <si>
    <t>H000000934</t>
  </si>
  <si>
    <t>FR8256141</t>
  </si>
  <si>
    <t>H000000394</t>
  </si>
  <si>
    <t>H000000420</t>
  </si>
  <si>
    <t>China Region</t>
  </si>
  <si>
    <t>Emerging Growth Markets</t>
  </si>
  <si>
    <t>H000000918</t>
  </si>
  <si>
    <t>Regional Hub META</t>
  </si>
  <si>
    <t>H000000914</t>
  </si>
  <si>
    <t>H000000244</t>
  </si>
  <si>
    <t>UAE and Gulf</t>
  </si>
  <si>
    <t>LATAM</t>
  </si>
  <si>
    <t>Middle East, Turkey, Africa</t>
  </si>
  <si>
    <t>APAC</t>
  </si>
  <si>
    <t>H000004955</t>
  </si>
  <si>
    <t>H000000335</t>
  </si>
  <si>
    <t>H000000339</t>
  </si>
  <si>
    <t>H000000913</t>
  </si>
  <si>
    <t>H000000303</t>
  </si>
  <si>
    <t>H000000397</t>
  </si>
  <si>
    <t>H000000449</t>
  </si>
  <si>
    <t>H000000920</t>
  </si>
  <si>
    <t>H000000003</t>
  </si>
  <si>
    <t>FR8256207</t>
  </si>
  <si>
    <t>H000000935</t>
  </si>
  <si>
    <t>H000000178</t>
  </si>
  <si>
    <t>FR8256278</t>
  </si>
  <si>
    <t>HC Sector Strategy and Business Alliance</t>
  </si>
  <si>
    <t>DE - RD Field Force</t>
  </si>
  <si>
    <t>DE - RD Marketing</t>
  </si>
  <si>
    <t>DE - RD  Sales Promotion</t>
  </si>
  <si>
    <t>DE - Ogsiveo Sales Promotion</t>
  </si>
  <si>
    <t>DE - Ezmekly Sales Promotion</t>
  </si>
  <si>
    <t>GB - RD Field Force</t>
  </si>
  <si>
    <t>GB - RD Marketing</t>
  </si>
  <si>
    <t>GB - RD Sales Promotion</t>
  </si>
  <si>
    <t>GB - Ogsiveo Sales Promotion</t>
  </si>
  <si>
    <t>GB - Ezmekly Sales Promotion</t>
  </si>
  <si>
    <t>ES - Field Force RD</t>
  </si>
  <si>
    <t>ES - RD Marketing</t>
  </si>
  <si>
    <t>ES - RD Sales Promotion</t>
  </si>
  <si>
    <t>ES - Ogsiveo Sales Promotion</t>
  </si>
  <si>
    <t>ES - Ezmekly Sales Promotion</t>
  </si>
  <si>
    <t>IT - Field Force RD</t>
  </si>
  <si>
    <t>IT - Marketing RD</t>
  </si>
  <si>
    <t>IT - RD Sales Promotion</t>
  </si>
  <si>
    <t>IT - Ogsiveo Sales Promotion</t>
  </si>
  <si>
    <t>IT - Ezmekly Sales Promotion</t>
  </si>
  <si>
    <t>FR - Field Force RD</t>
  </si>
  <si>
    <t>FR - Marketing RD</t>
  </si>
  <si>
    <t>FR - RD Sales Promotion</t>
  </si>
  <si>
    <t>FR - Ogsiveo Sales Promotion</t>
  </si>
  <si>
    <t>FR - Ezmekly Sales Promotion</t>
  </si>
  <si>
    <t>AT - Field Force RD</t>
  </si>
  <si>
    <t>AT - Marketing RD</t>
  </si>
  <si>
    <t>AT - RD Sales Promotion</t>
  </si>
  <si>
    <t>AT - Ogsiveo Sales Promotion</t>
  </si>
  <si>
    <t>CH - Field Force RD</t>
  </si>
  <si>
    <t>CH - Marketing RD</t>
  </si>
  <si>
    <t>CH - RD Sales Promotion</t>
  </si>
  <si>
    <t>CH - Ogsiveo Sales Promotion</t>
  </si>
  <si>
    <t>PT - Field Force RD</t>
  </si>
  <si>
    <t>PT - Marketing RD</t>
  </si>
  <si>
    <t>PT - RD Sales Promotion</t>
  </si>
  <si>
    <t>PT - Ogsiveo Sales Promotion</t>
  </si>
  <si>
    <t>PT - Ezmekly Sales Promotion</t>
  </si>
  <si>
    <t>IL - Field Force RD</t>
  </si>
  <si>
    <t>IL - Marketing RD</t>
  </si>
  <si>
    <t>IL - RD Sales Promotion</t>
  </si>
  <si>
    <t>IL - Ogsiveo Sales Promotion</t>
  </si>
  <si>
    <t>IL - Ezmekly Sales Promotion</t>
  </si>
  <si>
    <t>PL - Field Force RD</t>
  </si>
  <si>
    <t>PL - Marketing RD</t>
  </si>
  <si>
    <t>PL - Ogsiveo Sales Promotion</t>
  </si>
  <si>
    <t>PL - Ezmekly Sales Promotion</t>
  </si>
  <si>
    <t>BE - Field Force RD</t>
  </si>
  <si>
    <t>BE - Marketing RD</t>
  </si>
  <si>
    <t>BE - Ogsiveo Sales Promotion</t>
  </si>
  <si>
    <t>BE - Ezmekly Sales Promotion</t>
  </si>
  <si>
    <t>NL - Field Force RD</t>
  </si>
  <si>
    <t>NL - Marketing RD</t>
  </si>
  <si>
    <t>NL - Ogsiveo Sales Promotion</t>
  </si>
  <si>
    <t>NL - Ezmekly Sales Promotion</t>
  </si>
  <si>
    <t>RO - Field Force RD</t>
  </si>
  <si>
    <t>RO - Marketing RD</t>
  </si>
  <si>
    <t>RO - Ogsiveo Sales Promotion</t>
  </si>
  <si>
    <t>RO - Ezmekly Sales Promotion</t>
  </si>
  <si>
    <t>DK - Field Force RD</t>
  </si>
  <si>
    <t>DK - Marketing RD</t>
  </si>
  <si>
    <t>DK - Ogsiveo Sales Promotion</t>
  </si>
  <si>
    <t>DK - Ezmekly Sales Promotion</t>
  </si>
  <si>
    <t>SE - Field Force RD</t>
  </si>
  <si>
    <t>SE - Marketing RD</t>
  </si>
  <si>
    <t>SE - Ogsiveo Sales Promotion</t>
  </si>
  <si>
    <t>SE - Ezmekly Sales Promotion</t>
  </si>
  <si>
    <t>FI - Field Force RD</t>
  </si>
  <si>
    <t>FI - Marketing RD</t>
  </si>
  <si>
    <t>FI - Ogsiveo Sales Promotion</t>
  </si>
  <si>
    <t>FI - Ezmekly Sales Promotion</t>
  </si>
  <si>
    <t>NO - Field Force RD</t>
  </si>
  <si>
    <t>NO - Marketing RD</t>
  </si>
  <si>
    <t>NO - Ogsiveo Sales Promotion</t>
  </si>
  <si>
    <t>NO - Ezmekly Sales Promotion</t>
  </si>
  <si>
    <t>CZ - Field Force RD</t>
  </si>
  <si>
    <t>CZ - Marketing RD</t>
  </si>
  <si>
    <t>CZ - Ogsiveo Sales Promotion</t>
  </si>
  <si>
    <t>CZ - Ezmekly Sales Promotion</t>
  </si>
  <si>
    <t>HU - Field Force RD</t>
  </si>
  <si>
    <t>HU - Marketing RD</t>
  </si>
  <si>
    <t>HU - Ogsiveo Sales Promotion</t>
  </si>
  <si>
    <t>HU - Ezmekly Sales Promotion</t>
  </si>
  <si>
    <t>GR - Field Force RD</t>
  </si>
  <si>
    <t>GR - Marketing RD</t>
  </si>
  <si>
    <t>GR - Ogsiveo Sales Promotion</t>
  </si>
  <si>
    <t>GR - Ezmekly Sales Promotion</t>
  </si>
  <si>
    <t>SI - Field Force RD</t>
  </si>
  <si>
    <t>SI - Marketing RD</t>
  </si>
  <si>
    <t>SI - Ogsiveo Sales Promotion</t>
  </si>
  <si>
    <t>SI - Ezmekly Sales Promotion</t>
  </si>
  <si>
    <t>BG - Field Force RD</t>
  </si>
  <si>
    <t>BG - Marketing RD</t>
  </si>
  <si>
    <t>BG - Ogsiveo Sales Promotion</t>
  </si>
  <si>
    <t>BG - Ezmekly Sales Promotion</t>
  </si>
  <si>
    <t>DE - RD Medical cost center</t>
  </si>
  <si>
    <t>DE - Medical Non-R&amp;D Activities</t>
  </si>
  <si>
    <t>DE - Ogsiveo Medical Activities</t>
  </si>
  <si>
    <t>DE - Ezmekly Medical Activities</t>
  </si>
  <si>
    <t>DE - Local R&amp;D - Studies</t>
  </si>
  <si>
    <t>DE - Ogsiveo Local R&amp;D Studies</t>
  </si>
  <si>
    <t>DE - Ezmekly Local R&amp;D Studies</t>
  </si>
  <si>
    <t>GB - RD Medical cost center</t>
  </si>
  <si>
    <t>GB - Medical Non-R&amp;D Activities</t>
  </si>
  <si>
    <t>GB - Ogsiveo Medical Activities</t>
  </si>
  <si>
    <t>GB - Ezmekly Medical Activities</t>
  </si>
  <si>
    <t>GB - Local R&amp;D - Studies</t>
  </si>
  <si>
    <t>GB - Ogsiveo Local R&amp;D Studies</t>
  </si>
  <si>
    <t>GB - Ezmekly Local R&amp;D Studies</t>
  </si>
  <si>
    <t>ES - RD Medical cost center</t>
  </si>
  <si>
    <t>ES - Medical Non-R&amp;D Activities</t>
  </si>
  <si>
    <t>ES - Ogsiveo Medical Activities</t>
  </si>
  <si>
    <t>ES - Ezmekly Medical Activities</t>
  </si>
  <si>
    <t>ES - Local R&amp;D - Studies</t>
  </si>
  <si>
    <t>ES - Ogsiveo Local R&amp;D Studies</t>
  </si>
  <si>
    <t>ES - Ezmekly Local R&amp;D Studies</t>
  </si>
  <si>
    <t>IT - Medical cost center</t>
  </si>
  <si>
    <t>IT - Medical Non-R&amp;D Activities</t>
  </si>
  <si>
    <t>IT - Ogsiveo Medical Activities</t>
  </si>
  <si>
    <t>IT - Ezmekly Medical Activities</t>
  </si>
  <si>
    <t>IT - Local R&amp;D - Studies</t>
  </si>
  <si>
    <t>IT - Ogsiveo Local R&amp;D Studies</t>
  </si>
  <si>
    <t>IT - Ezmekly Local R&amp;D Studies</t>
  </si>
  <si>
    <t>FR - Medical cost center</t>
  </si>
  <si>
    <t>FR - Medical Non-R&amp;D Activities</t>
  </si>
  <si>
    <t>FR - Ogsiveo Medical Activities</t>
  </si>
  <si>
    <t>FR - Ezmekly Medical Activities</t>
  </si>
  <si>
    <t>FR - Local R&amp;D - Studies</t>
  </si>
  <si>
    <t>FR - Ogsiveo Local R&amp;D Studies</t>
  </si>
  <si>
    <t>FR - Ezmekly Local R&amp;D Studies</t>
  </si>
  <si>
    <t>AT - Medical cost center</t>
  </si>
  <si>
    <t>AT - Medical Non-R&amp;D Activities</t>
  </si>
  <si>
    <t>AT - Ogsiveo Medical Activities</t>
  </si>
  <si>
    <t>AT - Ezmekly Medical Activities</t>
  </si>
  <si>
    <t>AT - Local R&amp;D - Studies</t>
  </si>
  <si>
    <t>AT - Ogsiveo Local R&amp;D Studies</t>
  </si>
  <si>
    <t>AT - Ezmekly Local R&amp;D Studies</t>
  </si>
  <si>
    <t>CH - Medical cost center</t>
  </si>
  <si>
    <t>CH - Medical Non-R&amp;D Act</t>
  </si>
  <si>
    <t>CH - Ogsiveo Medical Act</t>
  </si>
  <si>
    <t>CH - Ezmekly Medical Act</t>
  </si>
  <si>
    <t>CH - Local R&amp;D - Studies</t>
  </si>
  <si>
    <t>CH - Ogsiveo Local R&amp;D Studies</t>
  </si>
  <si>
    <t>CH - Ezmekly Local R&amp;D Studies</t>
  </si>
  <si>
    <t>PT - Medical cost center</t>
  </si>
  <si>
    <t>PT - Medical Non-R&amp;D Activities</t>
  </si>
  <si>
    <t>PT - Ogsiveo Medical Activities</t>
  </si>
  <si>
    <t>PT - Ezmekly Medical Activities</t>
  </si>
  <si>
    <t>PT - Local R&amp;D - Studies</t>
  </si>
  <si>
    <t>PT - Ogsiveo Local R&amp;D Studies</t>
  </si>
  <si>
    <t>PT - Ezmekly Local R&amp;D Studies</t>
  </si>
  <si>
    <t>IL - Medical cost center</t>
  </si>
  <si>
    <t>IL - Medical Non-R&amp;D Activities</t>
  </si>
  <si>
    <t>IL - Ogsiveo Medical Activities</t>
  </si>
  <si>
    <t>IL - Ezmekly Medical Activities</t>
  </si>
  <si>
    <t>IL - Local R&amp;D - Studies</t>
  </si>
  <si>
    <t>IL - Ogsiveo Local R&amp;D Studies</t>
  </si>
  <si>
    <t>IL - Ezmekly Local R&amp;D Studies</t>
  </si>
  <si>
    <t>PL - Medical cost center</t>
  </si>
  <si>
    <t>PL - Medical Non-R&amp;D Activities</t>
  </si>
  <si>
    <t>PL - Ogsiveo Medical Activities</t>
  </si>
  <si>
    <t>PL - Ezmekly Medical Activities</t>
  </si>
  <si>
    <t>PL - Local R&amp;D - Studies</t>
  </si>
  <si>
    <t>PL - Ogsiveo Local R&amp;D Studies</t>
  </si>
  <si>
    <t>PL - Ezmekly Local R&amp;D Studies</t>
  </si>
  <si>
    <t>BE - Medical cost center</t>
  </si>
  <si>
    <t>BE - Medical Non-R&amp;D Activities</t>
  </si>
  <si>
    <t>BE - Ogsiveo Medical Activities</t>
  </si>
  <si>
    <t>BE - Ezmekly Medical Activities</t>
  </si>
  <si>
    <t>BE - Local R&amp;D - Studies</t>
  </si>
  <si>
    <t>BE - Ogsiveo Local R&amp;D Studies</t>
  </si>
  <si>
    <t>BE - Ezmekly Local R&amp;D Studies</t>
  </si>
  <si>
    <t>NL - Medical cost center</t>
  </si>
  <si>
    <t>NL - Medical Non-R&amp;D Act</t>
  </si>
  <si>
    <t>NL - Ogsiveo Medical Act</t>
  </si>
  <si>
    <t>NL - Ezmekly Medical Act</t>
  </si>
  <si>
    <t>NL - Local R&amp;D - Studies</t>
  </si>
  <si>
    <t>NL - Ogsiveo Local R&amp;D Studies</t>
  </si>
  <si>
    <t>NL - Ezmekly Local R&amp;D Studies</t>
  </si>
  <si>
    <t>RO - Medical cost center</t>
  </si>
  <si>
    <t>RO - Medical Non-R&amp;D Activities</t>
  </si>
  <si>
    <t>RO - Ogsiveo Medical Activities</t>
  </si>
  <si>
    <t>RO - Ezmekly Medical Activities</t>
  </si>
  <si>
    <t>RO - Local R&amp;D - Studies</t>
  </si>
  <si>
    <t>RO - Ogsiveo Local R&amp;D Studies</t>
  </si>
  <si>
    <t>RO - Ezmekly Local R&amp;D Studies</t>
  </si>
  <si>
    <t>DK - Medical cost center</t>
  </si>
  <si>
    <t>DK - Medical Non-R&amp;D Activities</t>
  </si>
  <si>
    <t>DK - Ogsiveo Medical Activities</t>
  </si>
  <si>
    <t>DK - Ezmekly Medical Activities</t>
  </si>
  <si>
    <t>DK - Local R&amp;D - Studies</t>
  </si>
  <si>
    <t>DK - Ogsiveo Local R&amp;D Studies</t>
  </si>
  <si>
    <t>DK - Ezmekly Local R&amp;D Studies</t>
  </si>
  <si>
    <t>SE - Medical cost center</t>
  </si>
  <si>
    <t>SE - Medical Non-R&amp;D Activities</t>
  </si>
  <si>
    <t>SE - Ogsiveo Medical Activities</t>
  </si>
  <si>
    <t>SE - Ezmekly Medical Activities</t>
  </si>
  <si>
    <t>SE - Local R&amp;D - Studies</t>
  </si>
  <si>
    <t>SE - Ogsiveo Local R&amp;D Studies</t>
  </si>
  <si>
    <t>SE - Ezmekly Local R&amp;D Studies</t>
  </si>
  <si>
    <t>FI - Medical cost center</t>
  </si>
  <si>
    <t>FI - Medical Non-R&amp;D Activities</t>
  </si>
  <si>
    <t>FI - Ogsiveo Medical Activities</t>
  </si>
  <si>
    <t>FI - Ezmekly Medical Activities</t>
  </si>
  <si>
    <t>FI - Local R&amp;D - Studies</t>
  </si>
  <si>
    <t>FI - Ogsiveo Local R&amp;D Studies</t>
  </si>
  <si>
    <t>FI - Ezmekly Local R&amp;D Studies</t>
  </si>
  <si>
    <t>NO - Medical cost center</t>
  </si>
  <si>
    <t>NO - Medical Non-R&amp;D Activities</t>
  </si>
  <si>
    <t>NO - Ogsiveo Medical Activities</t>
  </si>
  <si>
    <t>NO - Ezmekly Medical Activities</t>
  </si>
  <si>
    <t>NO - Local R&amp;D - Studies</t>
  </si>
  <si>
    <t>NO - Ogsiveo Local R&amp;D Studies</t>
  </si>
  <si>
    <t>NO - Ezmekly Local R&amp;D Studies</t>
  </si>
  <si>
    <t>CZ - Medical cost center</t>
  </si>
  <si>
    <t>CZ - Medical Non-R&amp;D Activities</t>
  </si>
  <si>
    <t>CZ - Ogsiveo Medical Activities</t>
  </si>
  <si>
    <t>CZ - Ezmekly Medical Activities</t>
  </si>
  <si>
    <t>CZ - Local R&amp;D - Studies</t>
  </si>
  <si>
    <t>CZ - Ogsiveo Local R&amp;D Studies</t>
  </si>
  <si>
    <t>CZ - Ezmekly Local R&amp;D Studies</t>
  </si>
  <si>
    <t>HU - Medical cost center</t>
  </si>
  <si>
    <t>HU - Medical Non-R&amp;D Activities</t>
  </si>
  <si>
    <t>HU - Ogsiveo Medical Activities</t>
  </si>
  <si>
    <t>HU - Ezmekly Medical Activities</t>
  </si>
  <si>
    <t>HU - Local R&amp;D - Studies</t>
  </si>
  <si>
    <t>HU - Ogsiveo Local R&amp;D Studies</t>
  </si>
  <si>
    <t>HU - Ezmekly Local R&amp;D Studies</t>
  </si>
  <si>
    <t>GR - Medical cost center</t>
  </si>
  <si>
    <t>GR - Medical Non-R&amp;D Activities</t>
  </si>
  <si>
    <t>GR - Ogsiveo Medical Activities</t>
  </si>
  <si>
    <t>GR - Ezmekly Medical Activities</t>
  </si>
  <si>
    <t>GR - Local R&amp;D - Studies</t>
  </si>
  <si>
    <t>GR - Ogsiveo Local R&amp;D Studies</t>
  </si>
  <si>
    <t>GR - Ezmekly Local R&amp;D Studies</t>
  </si>
  <si>
    <t>SI - Medical cost center</t>
  </si>
  <si>
    <t>SI - Medical Non-R&amp;D Activities</t>
  </si>
  <si>
    <t>SI - Ogsiveo Medical Activities</t>
  </si>
  <si>
    <t>SI - Ezmekly Medical Activities</t>
  </si>
  <si>
    <t>SI - Local R&amp;D - Studies</t>
  </si>
  <si>
    <t>SI - Ogsiveo Local R&amp;D Studies</t>
  </si>
  <si>
    <t>SI - Ezmekly Local R&amp;D Studies</t>
  </si>
  <si>
    <t>BG - Medical cost center</t>
  </si>
  <si>
    <t>BG - Medical Non-R&amp;D Activities</t>
  </si>
  <si>
    <t>BG - Ogsiveo Medical Activities</t>
  </si>
  <si>
    <t>BG - Ezmekly Medical Activities</t>
  </si>
  <si>
    <t>BG - Local R&amp;D - Studies</t>
  </si>
  <si>
    <t>BG - Ogsiveo Local R&amp;D Studies</t>
  </si>
  <si>
    <t>BG - Ezmekly Local R&amp;D Studies</t>
  </si>
  <si>
    <t>DE - BU Rare Diseases</t>
  </si>
  <si>
    <t>GB - BU Rare Diseases</t>
  </si>
  <si>
    <t>ES - BU Rare Diseases</t>
  </si>
  <si>
    <t>IT - BU Rare Diseases</t>
  </si>
  <si>
    <t>FR - BU Rare Diseases</t>
  </si>
  <si>
    <t>AT - BU Rare Diseases</t>
  </si>
  <si>
    <t>CH - BU Rare Diseases</t>
  </si>
  <si>
    <t>PT - BU Rare Diseases</t>
  </si>
  <si>
    <t>IL - BU Rare Diseases</t>
  </si>
  <si>
    <t>PL - BU Rare Diseases</t>
  </si>
  <si>
    <t>BE - BU Rare Diseases</t>
  </si>
  <si>
    <t>NL - BU Rare Diseases</t>
  </si>
  <si>
    <t>RO - BU Rare Diseases</t>
  </si>
  <si>
    <t>DK - BU Rare Diseases</t>
  </si>
  <si>
    <t>SE - BU Rare Diseases</t>
  </si>
  <si>
    <t>FI - BU Rare Diseases</t>
  </si>
  <si>
    <t>NO - BU Rare Diseases</t>
  </si>
  <si>
    <t>CZ - BU Rare Diseases</t>
  </si>
  <si>
    <t>HU - BU Rare Diseases</t>
  </si>
  <si>
    <t>GR - BU Rare Diseases</t>
  </si>
  <si>
    <t>SI - BU Rare Diseases</t>
  </si>
  <si>
    <t>BG - BU Rare Diseases</t>
  </si>
  <si>
    <t>DE - Medical Rare Diseases</t>
  </si>
  <si>
    <t>GB Medical Rare Diseases</t>
  </si>
  <si>
    <t>ES - Medical Dptm. Rare Diseases</t>
  </si>
  <si>
    <t>IT Medical Rare Diseases</t>
  </si>
  <si>
    <t>FR Medical Rare Diseases</t>
  </si>
  <si>
    <t>AT Medical Rare Diseases</t>
  </si>
  <si>
    <t>CH Medical Rare Diseases</t>
  </si>
  <si>
    <t>PT Medical Rare Diseases</t>
  </si>
  <si>
    <t>IL Medical Rare Diseases</t>
  </si>
  <si>
    <t>PL Medical Rare Diseases</t>
  </si>
  <si>
    <t>BE Medical Rare Diseases</t>
  </si>
  <si>
    <t>NL Medical Rare Diseases</t>
  </si>
  <si>
    <t>RO Medical Rare Diseases</t>
  </si>
  <si>
    <t>DK Medical Rare Diseases</t>
  </si>
  <si>
    <t>SE Medical Rare Diseases</t>
  </si>
  <si>
    <t>FI Medical Rare Diseases</t>
  </si>
  <si>
    <t>NO Medical Rare Diseases</t>
  </si>
  <si>
    <t>CZ Medical Rare Diseases</t>
  </si>
  <si>
    <t>HU Medical Rare Diseases</t>
  </si>
  <si>
    <t>GR Medical Rare Diseases</t>
  </si>
  <si>
    <t>SI Medical Rare Diseases</t>
  </si>
  <si>
    <t>BG Medical Rare Diseases</t>
  </si>
  <si>
    <t>H000001745</t>
  </si>
  <si>
    <t>H000002079</t>
  </si>
  <si>
    <t>H000001844</t>
  </si>
  <si>
    <t>H000001607</t>
  </si>
  <si>
    <t>H000003619</t>
  </si>
  <si>
    <t>H000001981</t>
  </si>
  <si>
    <t>H000001935</t>
  </si>
  <si>
    <t>H000003569</t>
  </si>
  <si>
    <t>H000001695</t>
  </si>
  <si>
    <t>H000002026</t>
  </si>
  <si>
    <t>H000003613</t>
  </si>
  <si>
    <t>H000002158</t>
  </si>
  <si>
    <t>H000002407</t>
  </si>
  <si>
    <t>H000002228</t>
  </si>
  <si>
    <t>H000002372</t>
  </si>
  <si>
    <t>H000002141</t>
  </si>
  <si>
    <t>H000003640</t>
  </si>
  <si>
    <t>H000002269</t>
  </si>
  <si>
    <t>H000002153</t>
  </si>
  <si>
    <t>H000003566</t>
  </si>
  <si>
    <t>H000001765</t>
  </si>
  <si>
    <t>H000002110</t>
  </si>
  <si>
    <t>H000001890</t>
  </si>
  <si>
    <t>H000001633</t>
  </si>
  <si>
    <t>H000003629</t>
  </si>
  <si>
    <t>H000002006</t>
  </si>
  <si>
    <t>H000001959</t>
  </si>
  <si>
    <t>H000003570</t>
  </si>
  <si>
    <t>H000003592</t>
  </si>
  <si>
    <t>H000001712</t>
  </si>
  <si>
    <t>H000002046</t>
  </si>
  <si>
    <t>H000003614</t>
  </si>
  <si>
    <t>H000002171</t>
  </si>
  <si>
    <t>H000002420</t>
  </si>
  <si>
    <t>H000002241</t>
  </si>
  <si>
    <t>H000002385</t>
  </si>
  <si>
    <t>H000002142</t>
  </si>
  <si>
    <t>H000003641</t>
  </si>
  <si>
    <t>H000002282</t>
  </si>
  <si>
    <t>H000002154</t>
  </si>
  <si>
    <t>H000003567</t>
  </si>
  <si>
    <t>Global Commercial Strategy</t>
  </si>
  <si>
    <t>Rare Diseases</t>
  </si>
  <si>
    <t>H000004956</t>
  </si>
  <si>
    <t>H000000454</t>
  </si>
  <si>
    <t>H000000162</t>
  </si>
  <si>
    <t>H000000176</t>
  </si>
  <si>
    <t>H000000160</t>
  </si>
  <si>
    <t>H000000457</t>
  </si>
  <si>
    <t>H000000948</t>
  </si>
  <si>
    <t>H000001056</t>
  </si>
  <si>
    <t>H000000159</t>
  </si>
  <si>
    <t>H000000976</t>
  </si>
  <si>
    <t>H000000161</t>
  </si>
  <si>
    <t>FR8256240</t>
  </si>
  <si>
    <t>FR8262648</t>
  </si>
  <si>
    <t>IT06060900</t>
  </si>
  <si>
    <t>FR8262698</t>
  </si>
  <si>
    <t>IT06060300</t>
  </si>
  <si>
    <t>IT06060800</t>
  </si>
  <si>
    <t>1401CA - Calais (CCH node)</t>
  </si>
  <si>
    <t>1401CA - OPERATIONS</t>
  </si>
  <si>
    <t>1401CA - MANUFACTURING</t>
  </si>
  <si>
    <t>1401CA - API</t>
  </si>
  <si>
    <t>1401CA - EQUIPMENTS</t>
  </si>
  <si>
    <t>1401CA - LABOR</t>
  </si>
  <si>
    <t>1401CA - INDIRECT SERVICES</t>
  </si>
  <si>
    <t>1401CA - MCC</t>
  </si>
  <si>
    <t>1401CA - OPERATIONS SUPPORT SERVICES</t>
  </si>
  <si>
    <t>1401CA - MAINTENANCE AND ENGINEERING</t>
  </si>
  <si>
    <t>1401CA - SUPPLY AND PLANNING</t>
  </si>
  <si>
    <t>1401CA - SITE SERVICES</t>
  </si>
  <si>
    <t>1401CA - SITE INFRASTRUCTURE</t>
  </si>
  <si>
    <t>1401CA - OTHER FACILITIES</t>
  </si>
  <si>
    <t>1401CA - QUALITY</t>
  </si>
  <si>
    <t>1401CA - OTHERS</t>
  </si>
  <si>
    <t>1401CA - START-UP</t>
  </si>
  <si>
    <t>1401CA - IDLE COSTS</t>
  </si>
  <si>
    <t>1401CA - MISC</t>
  </si>
  <si>
    <t>1401ME - Meyzieu (CCH)</t>
  </si>
  <si>
    <t>1401ME - OPERATIONS</t>
  </si>
  <si>
    <t>1401ME-MANUFACTURING</t>
  </si>
  <si>
    <t>1401ME - API</t>
  </si>
  <si>
    <t>1401ME - EQUIPMENTS</t>
  </si>
  <si>
    <t>1401ME - LABOR</t>
  </si>
  <si>
    <t>1401ME - INDIRECT SERVICES</t>
  </si>
  <si>
    <t>1401ME - MCC</t>
  </si>
  <si>
    <t>1401ME - OPERATIONS SUPPORT SERVICES</t>
  </si>
  <si>
    <t>1401ME - MAINTENANCE AND ENGINEERING</t>
  </si>
  <si>
    <t>1401ME - SUPPLY AND PLANNING</t>
  </si>
  <si>
    <t>1401ME - SITE SERVICES</t>
  </si>
  <si>
    <t>1401ME - SITE INFRASTRUCTURE</t>
  </si>
  <si>
    <t>1401ME - OTHER FACILITIES</t>
  </si>
  <si>
    <t>1401ME - QUALITY</t>
  </si>
  <si>
    <t>1401ME - OTHERS</t>
  </si>
  <si>
    <t>1401ME - START-UP</t>
  </si>
  <si>
    <t>1401ME - IDLE COSTS</t>
  </si>
  <si>
    <t>1401ME - MISC</t>
  </si>
  <si>
    <t>FR8263498</t>
  </si>
  <si>
    <t>H000004957</t>
  </si>
  <si>
    <t>H000004958</t>
  </si>
  <si>
    <t>H000004959</t>
  </si>
  <si>
    <t>H000004960</t>
  </si>
  <si>
    <t>H000004961</t>
  </si>
  <si>
    <t>H000004962</t>
  </si>
  <si>
    <t>H000004963</t>
  </si>
  <si>
    <t>H000004964</t>
  </si>
  <si>
    <t>H000004965</t>
  </si>
  <si>
    <t>H000004966</t>
  </si>
  <si>
    <t>H000004967</t>
  </si>
  <si>
    <t>H000004968</t>
  </si>
  <si>
    <t>H000004969</t>
  </si>
  <si>
    <t>H000004970</t>
  </si>
  <si>
    <t>H000004971</t>
  </si>
  <si>
    <t>H000004972</t>
  </si>
  <si>
    <t>H000004973</t>
  </si>
  <si>
    <t>H000004974</t>
  </si>
  <si>
    <t>H000004975</t>
  </si>
  <si>
    <t>H000004976</t>
  </si>
  <si>
    <t>H000004977</t>
  </si>
  <si>
    <t>H000004978</t>
  </si>
  <si>
    <t>H000004979</t>
  </si>
  <si>
    <t>H000004980</t>
  </si>
  <si>
    <t>H000004981</t>
  </si>
  <si>
    <t>H000004982</t>
  </si>
  <si>
    <t>H000004983</t>
  </si>
  <si>
    <t>H000004984</t>
  </si>
  <si>
    <t>H000004985</t>
  </si>
  <si>
    <t>H000004986</t>
  </si>
  <si>
    <t>H000004987</t>
  </si>
  <si>
    <t>H000004988</t>
  </si>
  <si>
    <t>H000004989</t>
  </si>
  <si>
    <t>H000004990</t>
  </si>
  <si>
    <t>H000004991</t>
  </si>
  <si>
    <t>H000004992</t>
  </si>
  <si>
    <t>H000004993</t>
  </si>
  <si>
    <t>H000004994</t>
  </si>
  <si>
    <t>Dale Ian Castaneda</t>
  </si>
  <si>
    <t>G000000892</t>
  </si>
  <si>
    <t>FR8263998</t>
  </si>
  <si>
    <t>FR8264377</t>
  </si>
  <si>
    <t>Oligonucleotide Therapeutics</t>
  </si>
  <si>
    <t>H000004995</t>
  </si>
  <si>
    <t>H000000554</t>
  </si>
  <si>
    <t>H000000561</t>
  </si>
  <si>
    <t>1401SE Manufacturing (bulk)</t>
  </si>
  <si>
    <t>1401SE Visual Inspection</t>
  </si>
  <si>
    <t>1401SE Packaging</t>
  </si>
  <si>
    <t>1401SE Vrac</t>
  </si>
  <si>
    <t>1401SE Steril (Lyo)</t>
  </si>
  <si>
    <t>1401SE GM</t>
  </si>
  <si>
    <t>1401SE Logistics</t>
  </si>
  <si>
    <t>1401SE Start-Up GPM</t>
  </si>
  <si>
    <t>1401SE Start-Up HCQ</t>
  </si>
  <si>
    <t>H000004996</t>
  </si>
  <si>
    <t>H000004997</t>
  </si>
  <si>
    <t>H000004998</t>
  </si>
  <si>
    <t>H000004999</t>
  </si>
  <si>
    <t>H000005000</t>
  </si>
  <si>
    <t>H000005001</t>
  </si>
  <si>
    <t>H000005002</t>
  </si>
  <si>
    <t>H000005003</t>
  </si>
  <si>
    <t>H000005004</t>
  </si>
  <si>
    <t>FR8277779</t>
  </si>
  <si>
    <t>MRE closed cost center</t>
  </si>
  <si>
    <t>Heiko Wagner</t>
  </si>
  <si>
    <t>FR8278169</t>
  </si>
  <si>
    <t>GEB ST - BD &amp; Strategy Innovation China</t>
  </si>
  <si>
    <t>FR8278389</t>
  </si>
  <si>
    <t>H000002738</t>
  </si>
  <si>
    <t>H000002739</t>
  </si>
  <si>
    <t>H000002753</t>
  </si>
  <si>
    <t>MX - BU Endo &amp; Fert</t>
  </si>
  <si>
    <t>MX - BU N&amp;I &amp; Onco</t>
  </si>
  <si>
    <t>H000002762</t>
  </si>
  <si>
    <t>H000002740</t>
  </si>
  <si>
    <t>FR8287091</t>
  </si>
  <si>
    <t>Eduardo Morillo</t>
  </si>
  <si>
    <t>FR8294254</t>
  </si>
  <si>
    <t>1401CA - Calais (Before CCH)</t>
  </si>
  <si>
    <t>1401ME - Meyzieu (Before CCH)</t>
  </si>
  <si>
    <t>H000000581</t>
  </si>
  <si>
    <t>H000000582</t>
  </si>
  <si>
    <t>H000000583</t>
  </si>
  <si>
    <t>H000000584</t>
  </si>
  <si>
    <t>H000000585</t>
  </si>
  <si>
    <t>H000000586</t>
  </si>
  <si>
    <t>H000000587</t>
  </si>
  <si>
    <t>H000000588</t>
  </si>
  <si>
    <t>PL_E5_FR40</t>
  </si>
  <si>
    <t>H000000590</t>
  </si>
  <si>
    <t>H000000591</t>
  </si>
  <si>
    <t>H000000592</t>
  </si>
  <si>
    <t>H000000593</t>
  </si>
  <si>
    <t>H000000594</t>
  </si>
  <si>
    <t>H000000595</t>
  </si>
  <si>
    <t>H000000596</t>
  </si>
  <si>
    <t>H000000597</t>
  </si>
  <si>
    <t>PL_E5_FR42</t>
  </si>
  <si>
    <t>FR8295469</t>
  </si>
  <si>
    <t>H000005005</t>
  </si>
  <si>
    <t>H000005006</t>
  </si>
  <si>
    <t>FR8305485</t>
  </si>
  <si>
    <t>TR - BU Rare Diseases</t>
  </si>
  <si>
    <t>TR - Field Force Rare Diseases</t>
  </si>
  <si>
    <t>TR - Marketing Rare Diseases</t>
  </si>
  <si>
    <t>TR - Sales Promotion Rare Diseases</t>
  </si>
  <si>
    <t>TR - Medical Rare Diseases</t>
  </si>
  <si>
    <t>TR - Medical Team</t>
  </si>
  <si>
    <t>TR - Medical Activities Non R&amp;D RD</t>
  </si>
  <si>
    <t>Global Clinical Development</t>
  </si>
  <si>
    <t>H000000955</t>
  </si>
  <si>
    <t>Program Strategy and Leadership</t>
  </si>
  <si>
    <t>H000000827</t>
  </si>
  <si>
    <t>FR8305921</t>
  </si>
  <si>
    <t>120.12 Mirda+BGB-3245</t>
  </si>
  <si>
    <t>130.00 BGB-3245-No Program</t>
  </si>
  <si>
    <t>510.10 TEAD-No Program</t>
  </si>
  <si>
    <t>510.11 TEAD SW-1656, AST</t>
  </si>
  <si>
    <t>550 VRK1</t>
  </si>
  <si>
    <t>550.00 VRK1 |No Program</t>
  </si>
  <si>
    <t>900 Capital Projects</t>
  </si>
  <si>
    <t>910  IT Projects</t>
  </si>
  <si>
    <t>920 Other Opex Projects</t>
  </si>
  <si>
    <t>SW Integration - exeptionals</t>
  </si>
  <si>
    <t>H000000974</t>
  </si>
  <si>
    <t>FR8314237</t>
  </si>
  <si>
    <t>Tina Kempe</t>
  </si>
  <si>
    <t>FR8318496</t>
  </si>
  <si>
    <t>FR8320194</t>
  </si>
  <si>
    <t>Research &amp; Development</t>
  </si>
  <si>
    <t>Local Medical</t>
  </si>
  <si>
    <t>Non R&amp;D Local Medical</t>
  </si>
  <si>
    <t>Local R&amp;D Direct Costs</t>
  </si>
  <si>
    <t>Local R&amp;D other</t>
  </si>
  <si>
    <t>Local R&amp;D Indirect Costs</t>
  </si>
  <si>
    <t>H000000687</t>
  </si>
  <si>
    <t>Global R&amp;D</t>
  </si>
  <si>
    <t>Global R&amp;D Direct Costs</t>
  </si>
  <si>
    <t>Global R&amp;D other</t>
  </si>
  <si>
    <t>H000000975</t>
  </si>
  <si>
    <t>Global R&amp;D Indirect Costs</t>
  </si>
  <si>
    <t>FR8326040</t>
  </si>
  <si>
    <t>CA - Rare (Commercial)</t>
  </si>
  <si>
    <t>CA - People/OH (Rare Comm)</t>
  </si>
  <si>
    <t>CA - People/OH FF (Rare Comm)</t>
  </si>
  <si>
    <t>CA - People/OH ISS (Rare Comm)</t>
  </si>
  <si>
    <t>CA - Program (Rare Comm)</t>
  </si>
  <si>
    <t>CA - Rare (Medical)</t>
  </si>
  <si>
    <t>CA - People/OH (Rare Med)</t>
  </si>
  <si>
    <t>CA - TA Direct Med (Rare)</t>
  </si>
  <si>
    <t>CA - Med Non-R&amp;D (Rare)</t>
  </si>
  <si>
    <t>CA - Program (Rare Med)</t>
  </si>
  <si>
    <t>FR8326429</t>
  </si>
  <si>
    <t>US - Rare Diseases</t>
  </si>
  <si>
    <t>US - Rare Diseases - People/OH</t>
  </si>
  <si>
    <t>US - Rare Diseases - Field</t>
  </si>
  <si>
    <t>US - Rare Diseases - ISS/Marketing</t>
  </si>
  <si>
    <t>US - Rare Diseases - Admin</t>
  </si>
  <si>
    <t>US - Rare Diseases - Program</t>
  </si>
  <si>
    <t>US - Rare Diseases - Field Program</t>
  </si>
  <si>
    <t>US - Rare Diseases - Marketing Admin</t>
  </si>
  <si>
    <t>US - Rare Diseases - Brand Marketing</t>
  </si>
  <si>
    <t>US - Rare Diseases - Other M&amp;S - FDA Fee</t>
  </si>
  <si>
    <t>US - Rare Diseases - MAPS Patient Access</t>
  </si>
  <si>
    <t>US - Rare Diseases - MAPS - Access Mktg</t>
  </si>
  <si>
    <t>US - Rare Diseases - OE&amp;I</t>
  </si>
  <si>
    <t>US - Rare Diseases - LR&amp;D</t>
  </si>
  <si>
    <t>US - Rare Diseases - MSL Training</t>
  </si>
  <si>
    <t>US - Rare Diseases - Congresses</t>
  </si>
  <si>
    <t>US - Rare Diseases - Consulting</t>
  </si>
  <si>
    <t>US - Rare Diseases - Med Comm, Pubs</t>
  </si>
  <si>
    <t>US - Rare Diseases - Medical Info</t>
  </si>
  <si>
    <t>US - Rare Diseases - NEVD</t>
  </si>
  <si>
    <t>H000005007</t>
  </si>
  <si>
    <t>H000005008</t>
  </si>
  <si>
    <t>H000005009</t>
  </si>
  <si>
    <t>H000005010</t>
  </si>
  <si>
    <t>H000005011</t>
  </si>
  <si>
    <t>H000005012</t>
  </si>
  <si>
    <t>H000005013</t>
  </si>
  <si>
    <t>H000005014</t>
  </si>
  <si>
    <t>H000005015</t>
  </si>
  <si>
    <t>H000005019</t>
  </si>
  <si>
    <t>H000005016</t>
  </si>
  <si>
    <t>H000005017</t>
  </si>
  <si>
    <t>H000005018</t>
  </si>
  <si>
    <t>H000005020</t>
  </si>
  <si>
    <t>H000005021</t>
  </si>
  <si>
    <t>H000005022</t>
  </si>
  <si>
    <t>H000005023</t>
  </si>
  <si>
    <t>H000005024</t>
  </si>
  <si>
    <t>H000005025</t>
  </si>
  <si>
    <t>H000005026</t>
  </si>
  <si>
    <t>General allocation SW</t>
  </si>
  <si>
    <t>H000003490</t>
  </si>
  <si>
    <t>H000003462</t>
  </si>
  <si>
    <t>H000005027</t>
  </si>
  <si>
    <t>H000005028</t>
  </si>
  <si>
    <t>H000005029</t>
  </si>
  <si>
    <t>H000005030</t>
  </si>
  <si>
    <t>H000005031</t>
  </si>
  <si>
    <t>H000005032</t>
  </si>
  <si>
    <t>H000005033</t>
  </si>
  <si>
    <t>H000005034</t>
  </si>
  <si>
    <t>H000005035</t>
  </si>
  <si>
    <t>H000005036</t>
  </si>
  <si>
    <t>H000005037</t>
  </si>
  <si>
    <t>H000005038</t>
  </si>
  <si>
    <t>H000005039</t>
  </si>
  <si>
    <t>H000005040</t>
  </si>
  <si>
    <t>H000005041</t>
  </si>
  <si>
    <t>H000005042</t>
  </si>
  <si>
    <t>H000005043</t>
  </si>
  <si>
    <t>H000005044</t>
  </si>
  <si>
    <t>H000005045</t>
  </si>
  <si>
    <t>H000005046</t>
  </si>
  <si>
    <t>H000005047</t>
  </si>
  <si>
    <t>H000005048</t>
  </si>
  <si>
    <t>H000005049</t>
  </si>
  <si>
    <t>H000005050</t>
  </si>
  <si>
    <t>H000005051</t>
  </si>
  <si>
    <t>H000005052</t>
  </si>
  <si>
    <t>H000005053</t>
  </si>
  <si>
    <t>H000005054</t>
  </si>
  <si>
    <t>H000005055</t>
  </si>
  <si>
    <t>H000005056</t>
  </si>
  <si>
    <t>H000005057</t>
  </si>
  <si>
    <t>H000005058</t>
  </si>
  <si>
    <t>H000005059</t>
  </si>
  <si>
    <t>H000005060</t>
  </si>
  <si>
    <t>H000005061</t>
  </si>
  <si>
    <t>H000005062</t>
  </si>
  <si>
    <t>H000005063</t>
  </si>
  <si>
    <t>H000005064</t>
  </si>
  <si>
    <t>H000005065</t>
  </si>
  <si>
    <t>H000003901</t>
  </si>
  <si>
    <t>H000003921</t>
  </si>
  <si>
    <t>H000003643</t>
  </si>
  <si>
    <t>H000003732</t>
  </si>
  <si>
    <t>FR8333129</t>
  </si>
  <si>
    <t>GBF Rare Diseases</t>
  </si>
  <si>
    <t>FR8339436</t>
  </si>
  <si>
    <t>FR8340782</t>
  </si>
  <si>
    <t>US - Rare - Opinion Leader Laison</t>
  </si>
  <si>
    <t>US - Rare GSI - Market Insights &amp; Frcst</t>
  </si>
  <si>
    <t>US - Rare OE&amp;I - Cap. Bldg Eng. &amp; Events</t>
  </si>
  <si>
    <t>US - Rare Diseases - GPA - Advocacy</t>
  </si>
  <si>
    <t>US - Rare Diseases - GPA - Govt Affairs</t>
  </si>
  <si>
    <t>US - Rare GPA - Innovative Med Policy</t>
  </si>
  <si>
    <t>US - Rare Diseases - Communications</t>
  </si>
  <si>
    <t>US - Rare Diseases - New Product</t>
  </si>
  <si>
    <t>US - Rare Diseases - Hedge</t>
  </si>
  <si>
    <t>US - Rare Diseases - OE&amp;I - Comm Ops</t>
  </si>
  <si>
    <t>US - Rare Diseases - MAPS Value&amp;Access</t>
  </si>
  <si>
    <t>US - Rare - MAPS Field Patient Svcs</t>
  </si>
  <si>
    <t>US - Rare Diseases - Medical Education</t>
  </si>
  <si>
    <t>US - Rare Diseases - Charitable Cont</t>
  </si>
  <si>
    <t>US - Rare Diseases - MSL Programs</t>
  </si>
  <si>
    <t>US - Rare Diseases - Internal Meetings</t>
  </si>
  <si>
    <t>US - Rare Diseases - Ad Boards</t>
  </si>
  <si>
    <t>US - Rare Diseases - Speaker Programs</t>
  </si>
  <si>
    <t>US - Rare Diseases - IST / ISS</t>
  </si>
  <si>
    <t>US - Rare Diseases - Program Hedge</t>
  </si>
  <si>
    <t>US - Rare Diseases - Studies</t>
  </si>
  <si>
    <t>US - Rare Diseases - Samples</t>
  </si>
  <si>
    <t>Gearlene Joy Valenzuela</t>
  </si>
  <si>
    <t>US - Rare Diseases - OE&amp;I Data Strat</t>
  </si>
  <si>
    <t>L000009814</t>
  </si>
  <si>
    <t>Cranbury 3PL WH -G</t>
  </si>
  <si>
    <t>FR8340846</t>
  </si>
  <si>
    <t>H00000</t>
  </si>
  <si>
    <t>H000005066</t>
  </si>
  <si>
    <t>H000005067</t>
  </si>
  <si>
    <t>H000005068</t>
  </si>
  <si>
    <t>H000005069</t>
  </si>
  <si>
    <t>H000005070</t>
  </si>
  <si>
    <t>H000005071</t>
  </si>
  <si>
    <t>H000005072</t>
  </si>
  <si>
    <t>H000005073</t>
  </si>
  <si>
    <t>H000005074</t>
  </si>
  <si>
    <t>H000005075</t>
  </si>
  <si>
    <t>H000005076</t>
  </si>
  <si>
    <t>H000005077</t>
  </si>
  <si>
    <t>H000005078</t>
  </si>
  <si>
    <t>H000005079</t>
  </si>
  <si>
    <t>H000005080</t>
  </si>
  <si>
    <t>H000005081</t>
  </si>
  <si>
    <t>H000005082</t>
  </si>
  <si>
    <t>H000005083</t>
  </si>
  <si>
    <t>H000005084</t>
  </si>
  <si>
    <t>H000005085</t>
  </si>
  <si>
    <t>H000005086</t>
  </si>
  <si>
    <t>H000005087</t>
  </si>
  <si>
    <t>RDC0000142</t>
  </si>
  <si>
    <t>Oligo Therapeutics</t>
  </si>
  <si>
    <t>Focus30 Global R&amp;D</t>
  </si>
  <si>
    <t>H000000965</t>
  </si>
  <si>
    <t>Focus30 Local R&amp;D</t>
  </si>
  <si>
    <t>FR8342498</t>
  </si>
  <si>
    <t>FR8345021</t>
  </si>
  <si>
    <t xml:space="preserve">H000005016 </t>
  </si>
  <si>
    <t>510.00 TEAD-No Program</t>
  </si>
  <si>
    <t>FR8348206</t>
  </si>
  <si>
    <t>H000005088</t>
  </si>
  <si>
    <t>H000005089</t>
  </si>
  <si>
    <t>Standard</t>
  </si>
  <si>
    <t>G00000XXXX</t>
  </si>
  <si>
    <t>G000000XXX</t>
  </si>
  <si>
    <t>GEC MBS Hub Manila - Procurement Ops</t>
  </si>
  <si>
    <t>FTD VP - VPPA</t>
  </si>
  <si>
    <t>VP - MGF Reporting</t>
  </si>
  <si>
    <t>VP - non-MGF Reporting</t>
  </si>
  <si>
    <t>GED VP -VPPA (L2)</t>
  </si>
  <si>
    <t>FTD VP - Intercompany Charges</t>
  </si>
  <si>
    <t>FTD VP - Exceptionals</t>
  </si>
  <si>
    <t>FP&amp;A CO BS91</t>
  </si>
  <si>
    <t>FTE SR - Strategy Realization Office</t>
  </si>
  <si>
    <t>SR - MGF Reporting</t>
  </si>
  <si>
    <t>SR - non-MGF Reporting</t>
  </si>
  <si>
    <t>GEE SR -Strategy Realization Office (L2)</t>
  </si>
  <si>
    <t>FTE SR - Intercompany Charges</t>
  </si>
  <si>
    <t>FTE SR - Exceptionals</t>
  </si>
  <si>
    <t>FTF MZ - Merck Zeitservice</t>
  </si>
  <si>
    <t>MZ - MGF Reporting</t>
  </si>
  <si>
    <t>MZ - non-MGF Reporting</t>
  </si>
  <si>
    <t>GEF MZ -Strategy Realization Office (L2)</t>
  </si>
  <si>
    <t>FTF MZ - Intercompany Charges</t>
  </si>
  <si>
    <t>FTF MZ - Exceptionals</t>
  </si>
  <si>
    <t>FTG BK - Merck BKK Health Insurance</t>
  </si>
  <si>
    <t>BK - MGF Reporting</t>
  </si>
  <si>
    <t>BK - non-MGF Reporting</t>
  </si>
  <si>
    <t>GEG BK - Merck BKK Health Insurance (L2)</t>
  </si>
  <si>
    <t>FTG BK - Intercompany Charges</t>
  </si>
  <si>
    <t>FTG BK - Exceptionals</t>
  </si>
  <si>
    <t>FTH BR - Works Council</t>
  </si>
  <si>
    <t>BR - MGF Reporting</t>
  </si>
  <si>
    <t>BR - non-MGF Reporting</t>
  </si>
  <si>
    <t>GEH BR - Works Council (L2)</t>
  </si>
  <si>
    <t>FTH BR - Intercompany Charges</t>
  </si>
  <si>
    <t>FTH BR - Exceptionals</t>
  </si>
  <si>
    <t>G000001142 MBS Hub Manila - MGF Reporting</t>
  </si>
  <si>
    <t>G000000547 Other P&amp;L CO</t>
  </si>
  <si>
    <t>G00000XXXX FTD VP VPPA</t>
  </si>
  <si>
    <t>G00000XXXX VP - MGF Reporting</t>
  </si>
  <si>
    <t>G00000XXXX VP - non-MGF Reporting</t>
  </si>
  <si>
    <t>G000000001 E21 EF - Enabling Functions</t>
  </si>
  <si>
    <t>G00000XXXX FTE SR Strategy Realization Office</t>
  </si>
  <si>
    <t>G00000XXXX SR - MGF Reporting</t>
  </si>
  <si>
    <t>G00000XXXX SR - non-MGF Reporting</t>
  </si>
  <si>
    <t>G00000XXXX FTF MZ - Merck Zeitservice</t>
  </si>
  <si>
    <t>G00000XXXX MZ - MGF Reporting</t>
  </si>
  <si>
    <t>G00000XXXX MZ - non-MGF Reporting</t>
  </si>
  <si>
    <t>G00000XXXX FTG BK - Merck BKK Health Insurance</t>
  </si>
  <si>
    <t>G00000XXXX BK - MGF Reporting</t>
  </si>
  <si>
    <t>G00000XXXX BK - non-MGF Reporting</t>
  </si>
  <si>
    <t>G00000XXXX FTH BR - Works Council</t>
  </si>
  <si>
    <t>G00000XXXX BR - MGF Reporting</t>
  </si>
  <si>
    <t>G00000XXXX BR - non-MGF Reporting</t>
  </si>
  <si>
    <t>FR8382016</t>
  </si>
  <si>
    <t>G000001162</t>
  </si>
  <si>
    <t>GNL MBS Hub Manila - Proc T&amp;E and VMD</t>
  </si>
  <si>
    <t>G000001163</t>
  </si>
  <si>
    <t>GNM MBS Hub Manila - Proc P2P</t>
  </si>
  <si>
    <t>G000000057</t>
  </si>
  <si>
    <t>G1I PO - Procurement Excellence</t>
  </si>
  <si>
    <t>G000000761</t>
  </si>
  <si>
    <t>Finished projects</t>
  </si>
  <si>
    <t>G000000762</t>
  </si>
  <si>
    <t>LTIP time value</t>
  </si>
  <si>
    <t>G7J DX - Lumina Enablement Office</t>
  </si>
  <si>
    <t>GEI PS - Databases</t>
  </si>
  <si>
    <t>G000000590 PS - MGF Reporting</t>
  </si>
  <si>
    <t>G000001285 GMU SQ - Bioethics</t>
  </si>
  <si>
    <t>Please dump all objects to O000000007 – Closed Cost Centers</t>
  </si>
  <si>
    <t>G000000562 G6V HR - HR Project Consultants</t>
  </si>
  <si>
    <t>FR8402006</t>
  </si>
  <si>
    <t>H0001</t>
  </si>
  <si>
    <t>CN - Rare Tumors/Rare Disease</t>
  </si>
  <si>
    <t>H000001386</t>
  </si>
  <si>
    <t>H0002</t>
  </si>
  <si>
    <t>CN - RT Field Force</t>
  </si>
  <si>
    <t>H0003</t>
  </si>
  <si>
    <t>CN - RT Internal Sales Service</t>
  </si>
  <si>
    <t>H0004</t>
  </si>
  <si>
    <t>CN - RT Sales Promotion</t>
  </si>
  <si>
    <t>H0005</t>
  </si>
  <si>
    <t>CN - RT ISS Custumer Solution</t>
  </si>
  <si>
    <t>H0006</t>
  </si>
  <si>
    <t>CN - RT ISS Biomarker</t>
  </si>
  <si>
    <t>H0007</t>
  </si>
  <si>
    <t>CN - RT ISS Marketing</t>
  </si>
  <si>
    <t>H0008</t>
  </si>
  <si>
    <t>CN - RT ISS Francise Head</t>
  </si>
  <si>
    <t>H0009</t>
  </si>
  <si>
    <t>CN - RT FF Pimi</t>
  </si>
  <si>
    <t>H0010</t>
  </si>
  <si>
    <t>CN - RT Sales Promotion Pimi</t>
  </si>
  <si>
    <t>H0011</t>
  </si>
  <si>
    <t>CN - RT ISS MKT Pimi</t>
  </si>
  <si>
    <t>H0012</t>
  </si>
  <si>
    <t>CN - RT FF Ogsiveo</t>
  </si>
  <si>
    <t>H0013</t>
  </si>
  <si>
    <t>CN - RT Sales Promotion Ogsiveo</t>
  </si>
  <si>
    <t>H0014</t>
  </si>
  <si>
    <t>CN - RT ISS MKT Ogsiveo</t>
  </si>
  <si>
    <t>H0015</t>
  </si>
  <si>
    <t>CN - RT FF Gomekli/Ezmekly</t>
  </si>
  <si>
    <t>H0016</t>
  </si>
  <si>
    <t>CN - RT Sales Promotion Gomekli/Ezmekly</t>
  </si>
  <si>
    <t>H0017</t>
  </si>
  <si>
    <t>CN - RT ISS MKT Gomekli/Ezmekly</t>
  </si>
  <si>
    <t>H0018</t>
  </si>
  <si>
    <t>H0019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</si>
</sst>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FFFFFF"/>
      <name val="Segoe UI"/>
      <family val="2"/>
    </font>
    <font>
      <b/>
      <sz val="11"/>
      <color rgb="FFFFFFFF"/>
      <name val="Calibri"/>
      <family val="2"/>
    </font>
    <font>
      <b/>
      <sz val="10"/>
      <color rgb="FF303A46"/>
      <name val="Arial"/>
      <family val="2"/>
    </font>
    <font>
      <sz val="10"/>
      <color rgb="FF000000"/>
      <name val="Arial"/>
      <family val="2"/>
    </font>
    <font>
      <sz val="10"/>
      <color rgb="FF151920"/>
      <name val="Verdana"/>
      <family val="2"/>
    </font>
    <font>
      <b/>
      <sz val="11"/>
      <color rgb="FF00B050"/>
      <name val="Calibri"/>
      <family val="2"/>
    </font>
    <font>
      <sz val="11"/>
      <color rgb="FFA6A6A6"/>
      <name val="Calibri"/>
      <family val="2"/>
    </font>
    <font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E3F3"/>
      </patternFill>
    </fill>
    <fill>
      <patternFill patternType="solid">
        <fgColor rgb="FF4472C4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/>
      <right/>
      <top/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8FAADC"/>
      </left>
      <right style="thin">
        <color rgb="FFC6C6C6"/>
      </right>
      <top style="thin">
        <color rgb="FF8FAADC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FAADC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8FAADC"/>
      </right>
      <top style="thin">
        <color rgb="FFC6C6C6"/>
      </top>
      <bottom style="thin">
        <color rgb="FF8FAAD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</borders>
  <cellStyleXfs count="127">
    <xf numFmtId="0" fontId="0" fillId="0" borderId="0"/>
    <xf numFmtId="0" fontId="12" fillId="0" borderId="1"/>
    <xf numFmtId="0" fontId="13" fillId="0" borderId="15" applyNumberFormat="0" applyFill="0" applyProtection="0">
      <alignment horizontal="center" vertical="center"/>
    </xf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4" fillId="0" borderId="16" applyFont="0" applyFill="0" applyAlignment="0" applyProtection="0"/>
    <xf numFmtId="3" fontId="13" fillId="0" borderId="15" applyNumberFormat="0" applyFill="0" applyAlignment="0" applyProtection="0"/>
    <xf numFmtId="0" fontId="13" fillId="0" borderId="15" applyNumberFormat="0" applyFill="0" applyAlignment="0" applyProtection="0"/>
    <xf numFmtId="3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" applyNumberFormat="0" applyBorder="0" applyAlignment="0" applyProtection="0"/>
    <xf numFmtId="3" fontId="14" fillId="0" borderId="16" applyNumberFormat="0" applyBorder="0" applyAlignment="0" applyProtection="0"/>
    <xf numFmtId="3" fontId="14" fillId="0" borderId="16" applyNumberFormat="0" applyBorder="0" applyAlignment="0" applyProtection="0"/>
    <xf numFmtId="3" fontId="14" fillId="0" borderId="16" applyNumberFormat="0" applyBorder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>
      <alignment horizontal="right" vertical="center"/>
    </xf>
    <xf numFmtId="3" fontId="14" fillId="8" borderId="16">
      <alignment horizontal="center" vertical="center"/>
    </xf>
    <xf numFmtId="0" fontId="14" fillId="8" borderId="16">
      <alignment horizontal="right" vertical="center"/>
    </xf>
    <xf numFmtId="0" fontId="13" fillId="0" borderId="17">
      <alignment horizontal="left" vertical="center"/>
    </xf>
    <xf numFmtId="0" fontId="13" fillId="0" borderId="18">
      <alignment horizontal="center" vertical="center"/>
    </xf>
    <xf numFmtId="0" fontId="15" fillId="0" borderId="19">
      <alignment horizontal="center" vertical="center"/>
    </xf>
    <xf numFmtId="0" fontId="14" fillId="9" borderId="16"/>
    <xf numFmtId="3" fontId="13" fillId="0" borderId="15" applyFill="0" applyAlignment="0" applyProtection="0"/>
    <xf numFmtId="3" fontId="13" fillId="0" borderId="15" applyFill="0" applyAlignment="0" applyProtection="0"/>
    <xf numFmtId="3" fontId="13" fillId="0" borderId="15" applyFill="0" applyAlignment="0" applyProtection="0"/>
    <xf numFmtId="3" fontId="13" fillId="0" borderId="15" applyFill="0" applyAlignment="0" applyProtection="0"/>
    <xf numFmtId="0" fontId="13" fillId="0" borderId="15" applyFill="0" applyAlignment="0" applyProtection="0"/>
    <xf numFmtId="3" fontId="13" fillId="0" borderId="15" applyFill="0" applyAlignment="0" applyProtection="0"/>
    <xf numFmtId="0" fontId="13" fillId="0" borderId="18">
      <alignment horizontal="center" vertical="center"/>
    </xf>
    <xf numFmtId="0" fontId="13" fillId="0" borderId="18">
      <alignment horizontal="center" vertical="center"/>
    </xf>
    <xf numFmtId="3" fontId="14" fillId="0" borderId="16" applyFont="0" applyFill="0" applyAlignment="0" applyProtection="0"/>
    <xf numFmtId="0" fontId="14" fillId="0" borderId="16" applyFill="0" applyAlignment="0" applyProtection="0"/>
    <xf numFmtId="0" fontId="13" fillId="0" borderId="15" applyFill="0" applyAlignment="0" applyProtection="0"/>
    <xf numFmtId="3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5" applyFill="0" applyAlignment="0" applyProtection="0"/>
    <xf numFmtId="0" fontId="13" fillId="0" borderId="17">
      <alignment horizontal="left" vertical="center"/>
    </xf>
    <xf numFmtId="3" fontId="13" fillId="0" borderId="15" applyFill="0" applyAlignment="0" applyProtection="0"/>
    <xf numFmtId="3" fontId="16" fillId="0" borderId="16"/>
    <xf numFmtId="3" fontId="17" fillId="0" borderId="16"/>
    <xf numFmtId="0" fontId="13" fillId="0" borderId="18">
      <alignment horizontal="left" vertical="top"/>
    </xf>
    <xf numFmtId="0" fontId="18" fillId="0" borderId="16"/>
    <xf numFmtId="0" fontId="13" fillId="0" borderId="18">
      <alignment horizontal="left" vertical="center"/>
    </xf>
    <xf numFmtId="0" fontId="14" fillId="8" borderId="14"/>
    <xf numFmtId="3" fontId="14" fillId="0" borderId="16">
      <alignment horizontal="right" vertical="center"/>
    </xf>
    <xf numFmtId="0" fontId="13" fillId="0" borderId="18">
      <alignment horizontal="right" vertical="center"/>
    </xf>
    <xf numFmtId="0" fontId="14" fillId="0" borderId="19">
      <alignment horizontal="center" vertical="center"/>
    </xf>
    <xf numFmtId="3" fontId="14" fillId="0" borderId="16"/>
    <xf numFmtId="3" fontId="14" fillId="0" borderId="16"/>
    <xf numFmtId="0" fontId="14" fillId="0" borderId="19">
      <alignment horizontal="center" vertical="center" wrapText="1"/>
    </xf>
    <xf numFmtId="0" fontId="19" fillId="0" borderId="19">
      <alignment horizontal="left" vertical="center" indent="1"/>
    </xf>
    <xf numFmtId="0" fontId="20" fillId="0" borderId="16"/>
    <xf numFmtId="0" fontId="13" fillId="0" borderId="17">
      <alignment horizontal="left" vertical="center"/>
    </xf>
    <xf numFmtId="3" fontId="14" fillId="0" borderId="16">
      <alignment horizontal="center" vertical="center"/>
    </xf>
    <xf numFmtId="0" fontId="13" fillId="0" borderId="18">
      <alignment horizontal="center" vertical="center"/>
    </xf>
    <xf numFmtId="0" fontId="13" fillId="0" borderId="18">
      <alignment horizontal="center" vertical="center"/>
    </xf>
    <xf numFmtId="0" fontId="13" fillId="0" borderId="17">
      <alignment horizontal="left" vertical="center"/>
    </xf>
    <xf numFmtId="0" fontId="13" fillId="0" borderId="17">
      <alignment horizontal="left" vertical="center"/>
    </xf>
    <xf numFmtId="0" fontId="21" fillId="0" borderId="16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3" fontId="14" fillId="0" borderId="16" applyFill="0" applyAlignment="0" applyProtection="0"/>
    <xf numFmtId="3" fontId="13" fillId="10" borderId="24" applyNumberFormat="0" applyFont="0" applyAlignment="0" applyProtection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11" borderId="27" applyNumberFormat="0" applyFont="0" applyAlignment="0" applyProtection="0"/>
    <xf numFmtId="0" fontId="12" fillId="0" borderId="1"/>
    <xf numFmtId="0" fontId="12" fillId="0" borderId="1"/>
    <xf numFmtId="0" fontId="12" fillId="0" borderId="1"/>
  </cellStyleXfs>
  <cellXfs count="10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0" fontId="2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5" fillId="3" borderId="5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3" fontId="2" fillId="0" borderId="7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4" borderId="9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5" fillId="3" borderId="10" xfId="0" applyNumberFormat="1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0" fillId="0" borderId="0" xfId="0" applyAlignment="1"/>
    <xf numFmtId="0" fontId="10" fillId="6" borderId="13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7" borderId="0" xfId="0" applyFont="1" applyFill="1" applyAlignment="1"/>
    <xf numFmtId="0" fontId="0" fillId="7" borderId="20" xfId="0" applyFont="1" applyFill="1" applyBorder="1" applyAlignment="1"/>
    <xf numFmtId="0" fontId="0" fillId="0" borderId="1" xfId="0" applyFill="1" applyBorder="1" applyAlignment="1"/>
    <xf numFmtId="0" fontId="2" fillId="0" borderId="1" xfId="0" applyNumberFormat="1" applyFont="1" applyBorder="1" applyAlignment="1">
      <alignment horizontal="right"/>
    </xf>
    <xf numFmtId="0" fontId="0" fillId="0" borderId="21" xfId="0" applyFont="1" applyBorder="1" applyAlignment="1"/>
    <xf numFmtId="0" fontId="0" fillId="0" borderId="0" xfId="0" applyNumberFormat="1"/>
    <xf numFmtId="0" fontId="0" fillId="0" borderId="0" xfId="0" pivotButton="1"/>
    <xf numFmtId="0" fontId="22" fillId="0" borderId="22" xfId="0" applyFont="1" applyBorder="1" applyAlignment="1">
      <alignment horizontal="left"/>
    </xf>
    <xf numFmtId="0" fontId="0" fillId="0" borderId="23" xfId="0" applyFont="1" applyBorder="1" applyAlignment="1"/>
    <xf numFmtId="0" fontId="2" fillId="0" borderId="25" xfId="0" applyNumberFormat="1" applyFont="1" applyBorder="1" applyAlignment="1">
      <alignment horizontal="right"/>
    </xf>
    <xf numFmtId="0" fontId="0" fillId="0" borderId="26" xfId="0" applyFont="1" applyBorder="1" applyAlignment="1"/>
    <xf numFmtId="0" fontId="8" fillId="0" borderId="23" xfId="0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9" fillId="0" borderId="23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2" fillId="0" borderId="1" xfId="88"/>
    <xf numFmtId="0" fontId="7" fillId="0" borderId="23" xfId="0" applyFont="1" applyBorder="1" applyAlignment="1">
      <alignment horizontal="left"/>
    </xf>
    <xf numFmtId="0" fontId="0" fillId="0" borderId="23" xfId="0" applyFont="1" applyBorder="1" applyAlignment="1">
      <alignment wrapText="1"/>
    </xf>
    <xf numFmtId="0" fontId="0" fillId="0" borderId="23" xfId="76" applyNumberFormat="1" applyFont="1" applyBorder="1" applyAlignment="1"/>
    <xf numFmtId="0" fontId="0" fillId="0" borderId="23" xfId="78" applyNumberFormat="1" applyFont="1" applyBorder="1" applyAlignment="1"/>
    <xf numFmtId="0" fontId="0" fillId="0" borderId="23" xfId="79" applyNumberFormat="1" applyFont="1" applyBorder="1" applyAlignment="1"/>
    <xf numFmtId="0" fontId="0" fillId="0" borderId="23" xfId="82" applyNumberFormat="1" applyFont="1" applyBorder="1" applyAlignment="1"/>
    <xf numFmtId="0" fontId="0" fillId="0" borderId="23" xfId="83" applyNumberFormat="1" applyFont="1" applyBorder="1" applyAlignment="1"/>
    <xf numFmtId="0" fontId="0" fillId="0" borderId="23" xfId="84" applyNumberFormat="1" applyFont="1" applyBorder="1" applyAlignment="1"/>
    <xf numFmtId="0" fontId="0" fillId="0" borderId="23" xfId="85" applyNumberFormat="1" applyFont="1" applyBorder="1" applyAlignment="1"/>
    <xf numFmtId="0" fontId="0" fillId="0" borderId="23" xfId="86" applyNumberFormat="1" applyFont="1" applyBorder="1" applyAlignment="1"/>
    <xf numFmtId="0" fontId="0" fillId="0" borderId="23" xfId="0" applyFont="1" applyBorder="1"/>
    <xf numFmtId="0" fontId="12" fillId="0" borderId="1" xfId="89"/>
    <xf numFmtId="0" fontId="0" fillId="0" borderId="0" xfId="0" applyAlignment="1">
      <alignment horizontal="left" indent="1"/>
    </xf>
    <xf numFmtId="0" fontId="12" fillId="0" borderId="1" xfId="90"/>
    <xf numFmtId="0" fontId="12" fillId="0" borderId="1" xfId="91"/>
    <xf numFmtId="0" fontId="24" fillId="0" borderId="0" xfId="0" applyFont="1"/>
    <xf numFmtId="0" fontId="12" fillId="0" borderId="1" xfId="92"/>
    <xf numFmtId="0" fontId="12" fillId="0" borderId="1" xfId="93"/>
    <xf numFmtId="0" fontId="12" fillId="0" borderId="1" xfId="94"/>
    <xf numFmtId="0" fontId="12" fillId="0" borderId="1" xfId="95"/>
    <xf numFmtId="0" fontId="12" fillId="0" borderId="1" xfId="96"/>
    <xf numFmtId="0" fontId="12" fillId="0" borderId="1" xfId="97"/>
    <xf numFmtId="0" fontId="12" fillId="0" borderId="1" xfId="98"/>
    <xf numFmtId="0" fontId="12" fillId="0" borderId="1" xfId="99"/>
    <xf numFmtId="0" fontId="12" fillId="0" borderId="1" xfId="100"/>
    <xf numFmtId="0" fontId="12" fillId="0" borderId="1" xfId="102"/>
    <xf numFmtId="0" fontId="12" fillId="0" borderId="1" xfId="103"/>
    <xf numFmtId="0" fontId="12" fillId="0" borderId="1" xfId="104"/>
    <xf numFmtId="0" fontId="12" fillId="0" borderId="1" xfId="105"/>
    <xf numFmtId="0" fontId="12" fillId="0" borderId="1" xfId="106"/>
    <xf numFmtId="0" fontId="12" fillId="0" borderId="1" xfId="107"/>
    <xf numFmtId="0" fontId="12" fillId="0" borderId="1" xfId="108"/>
    <xf numFmtId="0" fontId="12" fillId="0" borderId="1" xfId="111"/>
    <xf numFmtId="0" fontId="12" fillId="0" borderId="1" xfId="112"/>
    <xf numFmtId="0" fontId="12" fillId="0" borderId="1" xfId="114"/>
    <xf numFmtId="0" fontId="12" fillId="0" borderId="1" xfId="115"/>
    <xf numFmtId="0" fontId="12" fillId="0" borderId="1" xfId="116"/>
    <xf numFmtId="0" fontId="12" fillId="0" borderId="1" xfId="117"/>
    <xf numFmtId="0" fontId="12" fillId="0" borderId="1" xfId="118"/>
    <xf numFmtId="0" fontId="12" fillId="0" borderId="1" xfId="119"/>
    <xf numFmtId="0" fontId="12" fillId="0" borderId="1" xfId="120"/>
    <xf numFmtId="0" fontId="12" fillId="0" borderId="1" xfId="121"/>
    <xf numFmtId="0" fontId="12" fillId="0" borderId="1" xfId="122"/>
    <xf numFmtId="0" fontId="12" fillId="0" borderId="1" xfId="124"/>
    <xf numFmtId="0" fontId="12" fillId="0" borderId="1" xfId="125"/>
    <xf numFmtId="0" fontId="12" fillId="0" borderId="1" xfId="126"/>
  </cellXfs>
  <cellStyles count="127">
    <cellStyle name="AF Column - IBM Cognos" xfId="2" xr:uid="{1E09822F-DC82-4AAF-9C16-52326A9CFF51}"/>
    <cellStyle name="AF Data - IBM Cognos" xfId="3" xr:uid="{3FF330D5-F6AA-4B56-AAE7-D9D826E84C8E}"/>
    <cellStyle name="AF Data 0 - IBM Cognos" xfId="4" xr:uid="{2044617D-7D6D-4DD1-99A3-B5AA9E36D46C}"/>
    <cellStyle name="AF Data 1 - IBM Cognos" xfId="5" xr:uid="{A6BED60A-2552-4E59-9278-4A88FABF0B2E}"/>
    <cellStyle name="AF Data 2 - IBM Cognos" xfId="6" xr:uid="{2A3D7880-2088-49B5-B04C-3B9230DA6197}"/>
    <cellStyle name="AF Data 3 - IBM Cognos" xfId="7" xr:uid="{01CE6577-DA3A-4C28-97A9-FD455EE97B1F}"/>
    <cellStyle name="AF Data 4 - IBM Cognos" xfId="8" xr:uid="{23842BE4-7DEB-4D53-8635-B135E97E0882}"/>
    <cellStyle name="AF Data 5 - IBM Cognos" xfId="9" xr:uid="{E9931062-13D0-4DC8-B0B3-79C662F8F1C7}"/>
    <cellStyle name="AF Data Leaf - IBM Cognos" xfId="10" xr:uid="{45DD0261-F47D-4981-BCBB-607711BF4181}"/>
    <cellStyle name="AF Header - IBM Cognos" xfId="11" xr:uid="{2EED84D3-B571-45C8-A876-D41289233C0A}"/>
    <cellStyle name="AF Header 0 - IBM Cognos" xfId="12" xr:uid="{6CC9D87B-37D4-4611-8160-FD87C69C28C8}"/>
    <cellStyle name="AF Header 1 - IBM Cognos" xfId="13" xr:uid="{0FA5DC66-0C62-4754-AD72-82711D08787B}"/>
    <cellStyle name="AF Header 2 - IBM Cognos" xfId="14" xr:uid="{A79E5F98-66AC-47C8-84EE-2F5855288A7E}"/>
    <cellStyle name="AF Header 3 - IBM Cognos" xfId="15" xr:uid="{BF36D573-8829-454A-8684-6F9576D4AE50}"/>
    <cellStyle name="AF Header 4 - IBM Cognos" xfId="16" xr:uid="{9EF0C33E-42DE-4B24-B464-D9E8C7111A3B}"/>
    <cellStyle name="AF Header 5 - IBM Cognos" xfId="17" xr:uid="{66AE4637-CE6E-40C7-9B3C-68019F5DC17E}"/>
    <cellStyle name="AF Header Leaf - IBM Cognos" xfId="18" xr:uid="{DF38FCAD-1B9F-4E24-99C7-DEFEA71B303C}"/>
    <cellStyle name="AF Row - IBM Cognos" xfId="19" xr:uid="{DF204113-1E25-454F-9464-9D54F1816283}"/>
    <cellStyle name="AF Row 0 - IBM Cognos" xfId="20" xr:uid="{01FBD603-88E3-4759-BBC3-B457AFA421B0}"/>
    <cellStyle name="AF Row 1 - IBM Cognos" xfId="21" xr:uid="{58BC2CB2-C40D-41D6-A119-EF124B86DC80}"/>
    <cellStyle name="AF Row 2 - IBM Cognos" xfId="22" xr:uid="{04DA35BF-9560-443C-A0C7-84153F8B5CBB}"/>
    <cellStyle name="AF Row 3 - IBM Cognos" xfId="23" xr:uid="{0D0D36E6-E766-428B-B71D-3DAA20DA8DE4}"/>
    <cellStyle name="AF Row 4 - IBM Cognos" xfId="24" xr:uid="{12AD1E5F-02D1-44B9-8792-DF247A6C301B}"/>
    <cellStyle name="AF Row 5 - IBM Cognos" xfId="25" xr:uid="{AABB40B5-7F50-4604-8B53-F2509C208089}"/>
    <cellStyle name="AF Row Leaf - IBM Cognos" xfId="26" xr:uid="{643FD985-61FD-4EA2-A98B-676F9FDC2AD7}"/>
    <cellStyle name="AF Subnm - IBM Cognos" xfId="27" xr:uid="{52728845-2364-4330-BD9C-FF3A0056D407}"/>
    <cellStyle name="AF Title - IBM Cognos" xfId="28" xr:uid="{F37B0A9F-E391-4354-A8F2-F0C6A62B481A}"/>
    <cellStyle name="Calculated Column - IBM Cognos" xfId="29" xr:uid="{5C83E2BA-542F-4FB9-B8D1-D4F75A384448}"/>
    <cellStyle name="Calculated Column Name - IBM Cognos" xfId="30" xr:uid="{FD69CE48-43EE-46A4-B4A7-7ACF720F6742}"/>
    <cellStyle name="Calculated Row - IBM Cognos" xfId="31" xr:uid="{EF77D418-E6A9-40B3-B217-32D32AEF1DD6}"/>
    <cellStyle name="Calculated Row Name - IBM Cognos" xfId="32" xr:uid="{8FFE0DA6-39B0-41D7-949C-F2C77170B1E5}"/>
    <cellStyle name="Column Name - IBM Cognos" xfId="33" xr:uid="{B4925A4A-2CD0-46EF-92F6-B6F989B9D02A}"/>
    <cellStyle name="Column Template - IBM Cognos" xfId="34" xr:uid="{E2076B90-6CBD-47E2-849A-F5FBC7F7BF86}"/>
    <cellStyle name="Differs From Base - IBM Cognos" xfId="35" xr:uid="{DAC56D8C-B957-4629-9429-12906ECF8E03}"/>
    <cellStyle name="DQR Column 0 - IBM Cognos" xfId="36" xr:uid="{AFB66F70-5D23-4889-8B33-657A9D291B0C}"/>
    <cellStyle name="DQR Column 1 - IBM Cognos" xfId="37" xr:uid="{CDC1A507-2967-46B1-8A14-3FF04D224600}"/>
    <cellStyle name="DQR Column 2 - IBM Cognos" xfId="38" xr:uid="{73672D0B-00A6-4A18-BF09-51F6E9DE7CC9}"/>
    <cellStyle name="DQR Column 3 - IBM Cognos" xfId="39" xr:uid="{677DEE6A-A56A-412A-8DAD-C27968FCD0EF}"/>
    <cellStyle name="DQR Column 4 - IBM Cognos" xfId="40" xr:uid="{85597E2C-F941-4ADD-8F9C-E3A0A46AE738}"/>
    <cellStyle name="DQR Column 5 - IBM Cognos" xfId="41" xr:uid="{F9EE8D14-7C64-4F29-AF85-3757E19282B7}"/>
    <cellStyle name="DQR Column Default - IBM Cognos" xfId="42" xr:uid="{D7634D32-2379-4F42-AF36-EFAD6397FBD1}"/>
    <cellStyle name="DQR Column Leaf - IBM Cognos" xfId="43" xr:uid="{8307F018-1AE7-421B-9F77-FD16BE0AD0CC}"/>
    <cellStyle name="DQR Data Default - IBM Cognos" xfId="44" xr:uid="{2C328895-FA7F-4A19-86EB-232D71E4D398}"/>
    <cellStyle name="DQR Data Default - IBM Cognos 2" xfId="80" xr:uid="{3B201CA0-64A9-4F59-BB4D-C8C06FD541B1}"/>
    <cellStyle name="DQR Default - IBM Cognos" xfId="45" xr:uid="{7E2BCDBC-48C8-46A8-B5B3-CA500AD01EE3}"/>
    <cellStyle name="DQR Gutter Default - IBM Cognos" xfId="81" xr:uid="{BFAED657-FC39-4A67-89D4-6E95D1EECBBC}"/>
    <cellStyle name="DQR Gutter Default (OFF) - IBM Cognos" xfId="123" xr:uid="{2D24DD81-7239-4B6C-916C-583E413D9173}"/>
    <cellStyle name="DQR Row 0 - IBM Cognos" xfId="46" xr:uid="{822F3232-64EC-4BCB-B052-9AC0F77C788E}"/>
    <cellStyle name="DQR Row 1 - IBM Cognos" xfId="47" xr:uid="{B733F39E-4FCC-4803-9833-9C9861E3A476}"/>
    <cellStyle name="DQR Row 2 - IBM Cognos" xfId="48" xr:uid="{D53A8B1C-EE23-42FD-8539-CC50E4F7733C}"/>
    <cellStyle name="DQR Row 3 - IBM Cognos" xfId="49" xr:uid="{1C6A7DCB-BD5D-47DB-B6F3-89BCC1A7EFBB}"/>
    <cellStyle name="DQR Row 4 - IBM Cognos" xfId="50" xr:uid="{B090F7D4-17AD-4DA3-A9AE-D16259937C90}"/>
    <cellStyle name="DQR Row 5 - IBM Cognos" xfId="51" xr:uid="{737A2C87-1A27-4A28-B482-374287B26923}"/>
    <cellStyle name="DQR Row Default - IBM Cognos" xfId="52" xr:uid="{56E9F118-0424-47E4-A4B7-01D69FDBA798}"/>
    <cellStyle name="DQR Row Leaf - IBM Cognos" xfId="53" xr:uid="{B1E2EA54-12B1-48D9-A7D0-A7C4B5BBBEDD}"/>
    <cellStyle name="Edit - IBM Cognos" xfId="54" xr:uid="{B0D395F7-690F-471A-BA98-C995EA2EE89A}"/>
    <cellStyle name="Formula - IBM Cognos" xfId="55" xr:uid="{036B53F9-5E40-47D7-9341-C8765BDDA73E}"/>
    <cellStyle name="Group Name - IBM Cognos" xfId="56" xr:uid="{FD87C53A-25A1-4932-8704-F638B93016B9}"/>
    <cellStyle name="Hold Values - IBM Cognos" xfId="57" xr:uid="{C4A7D3BB-8F74-4057-A32E-B081A2594200}"/>
    <cellStyle name="List Name - IBM Cognos" xfId="58" xr:uid="{298A26DE-05A8-4724-A6F4-1F9C76E7CC20}"/>
    <cellStyle name="Locked - IBM Cognos" xfId="59" xr:uid="{F60A186E-3FAD-4C41-8617-07134BEBD4F9}"/>
    <cellStyle name="Measure - IBM Cognos" xfId="60" xr:uid="{E95F8C8C-DB40-4BDC-A8EC-116168C37765}"/>
    <cellStyle name="Measure Header - IBM Cognos" xfId="61" xr:uid="{A98C79C2-3CB8-4975-BD78-ED7F1CCC08D6}"/>
    <cellStyle name="Measure Name - IBM Cognos" xfId="62" xr:uid="{98C7E650-0275-41A7-BAA8-32CE5AEAA9B9}"/>
    <cellStyle name="Measure Summary - IBM Cognos" xfId="63" xr:uid="{5CA2156A-F848-4412-83B6-8754D2D29B76}"/>
    <cellStyle name="Measure Summary TM1 - IBM Cognos" xfId="64" xr:uid="{D286B264-CAEC-47FC-A1A2-F8A85DD7F7B9}"/>
    <cellStyle name="Measure Template - IBM Cognos" xfId="65" xr:uid="{2668F797-ED1B-4663-82DA-E96841F4883B}"/>
    <cellStyle name="More - IBM Cognos" xfId="66" xr:uid="{4FFB6794-DF18-4CAB-9700-0FDB3F2FD3EF}"/>
    <cellStyle name="Normal" xfId="0" builtinId="0"/>
    <cellStyle name="Normal 10" xfId="84" xr:uid="{758BCAD8-4580-4238-8669-6B60AD6BF4E2}"/>
    <cellStyle name="Normal 11" xfId="85" xr:uid="{47488300-3094-4F48-B8D0-00EA95B2D469}"/>
    <cellStyle name="Normal 12" xfId="86" xr:uid="{75C22671-720A-4CA0-ABC1-433237D10037}"/>
    <cellStyle name="Normal 13" xfId="87" xr:uid="{CC192466-3CD8-4710-B018-CA0A718BAB5C}"/>
    <cellStyle name="Normal 14" xfId="88" xr:uid="{6D8774F0-F063-44BC-890F-9B7DC8E1571A}"/>
    <cellStyle name="Normal 15" xfId="89" xr:uid="{B6559173-E36B-4E33-BAF9-9A7F30E40D07}"/>
    <cellStyle name="Normal 16" xfId="90" xr:uid="{7B69BDA6-7E18-4C8E-ABB5-7CE43E07ED5C}"/>
    <cellStyle name="Normal 17" xfId="91" xr:uid="{DD7CC3F2-5FCA-4E45-9820-9ADAC3BFA01F}"/>
    <cellStyle name="Normal 18" xfId="92" xr:uid="{7425B554-08E8-4155-9FB2-9A1F490656D8}"/>
    <cellStyle name="Normal 19" xfId="93" xr:uid="{EC39B09A-38FF-49D4-8B0B-1295FD4B5B43}"/>
    <cellStyle name="Normal 2" xfId="1" xr:uid="{0370416A-7945-48B2-A854-EADAF855D00F}"/>
    <cellStyle name="Normal 20" xfId="94" xr:uid="{A05F4A09-6F5F-4DFF-A254-3206E379F0DF}"/>
    <cellStyle name="Normal 21" xfId="95" xr:uid="{AC98D979-9D83-4087-A0B7-054F1B9D00D8}"/>
    <cellStyle name="Normal 22" xfId="96" xr:uid="{9334217A-6A1B-47C8-ADB7-66AB2197CF9A}"/>
    <cellStyle name="Normal 23" xfId="97" xr:uid="{22AC2F18-F4F8-456E-B22B-200FD880333F}"/>
    <cellStyle name="Normal 24" xfId="98" xr:uid="{F1DD47A9-CF2B-42CF-A937-50584FF64EB5}"/>
    <cellStyle name="Normal 25" xfId="99" xr:uid="{09849E3D-E191-4825-A330-39BA82B9F9CB}"/>
    <cellStyle name="Normal 26" xfId="100" xr:uid="{7C4B5D70-6B67-45E4-A65C-AB2453836219}"/>
    <cellStyle name="Normal 27" xfId="101" xr:uid="{B4CF21C2-E4B4-4B94-A839-9503B861846D}"/>
    <cellStyle name="Normal 28" xfId="102" xr:uid="{7B331A54-2B94-48A5-AE34-A2B486E8153D}"/>
    <cellStyle name="Normal 29" xfId="103" xr:uid="{A2F40653-FD8A-47E0-AED2-AACEFA8266E1}"/>
    <cellStyle name="Normal 3" xfId="75" xr:uid="{FE92A037-C18A-47D6-A6CB-6A73FAA324BB}"/>
    <cellStyle name="Normal 30" xfId="104" xr:uid="{BB4AB034-9D52-48E1-99F1-14F5144E1B61}"/>
    <cellStyle name="Normal 31" xfId="105" xr:uid="{3575F799-FA2D-4A1A-9A8F-59600BDFB51A}"/>
    <cellStyle name="Normal 32" xfId="106" xr:uid="{AE4AD545-D9B2-4987-B29E-F91C8AE911A8}"/>
    <cellStyle name="Normal 33" xfId="107" xr:uid="{E6A30F6F-C75E-41C5-AF1B-392C0DA4890D}"/>
    <cellStyle name="Normal 34" xfId="108" xr:uid="{07BD8286-BF2A-41D4-B571-476C35CD3ECC}"/>
    <cellStyle name="Normal 35" xfId="109" xr:uid="{50A833EF-72B3-4015-8156-36D74AFE459D}"/>
    <cellStyle name="Normal 36" xfId="110" xr:uid="{19F7246B-85EC-46DE-B35A-559CB54A72E6}"/>
    <cellStyle name="Normal 37" xfId="111" xr:uid="{4E60A4A7-07BF-4ECD-9A57-BBAAF326F323}"/>
    <cellStyle name="Normal 38" xfId="112" xr:uid="{C1CEE765-D9A0-4953-93AC-BA6E4CE2C4E7}"/>
    <cellStyle name="Normal 39" xfId="113" xr:uid="{F0C78C2F-46FE-474D-BC4F-A29BE3174099}"/>
    <cellStyle name="Normal 4" xfId="77" xr:uid="{779A76B2-919A-459D-9D46-0590D982EB4E}"/>
    <cellStyle name="Normal 40" xfId="114" xr:uid="{EEBECB0D-3DCB-4D6B-AFF3-BEE407ABAE37}"/>
    <cellStyle name="Normal 41" xfId="115" xr:uid="{4F7F6BDD-122E-4328-8D0A-49D9C2E4977A}"/>
    <cellStyle name="Normal 42" xfId="116" xr:uid="{1DD0AC60-6769-4D46-BB8A-63139ABFD174}"/>
    <cellStyle name="Normal 43" xfId="117" xr:uid="{5D945449-9C7B-4096-86F5-011DC50E901B}"/>
    <cellStyle name="Normal 44" xfId="118" xr:uid="{8455D58C-7A18-4970-985C-6C2149F8BE65}"/>
    <cellStyle name="Normal 45" xfId="119" xr:uid="{508814FC-D38D-42A6-8AB8-CE617AE6AA24}"/>
    <cellStyle name="Normal 46" xfId="120" xr:uid="{B17E2A9A-C4D2-45A9-AA5D-1B186AF3FA4D}"/>
    <cellStyle name="Normal 47" xfId="121" xr:uid="{478357D9-5FE5-416F-A0D0-4EEB998A07FA}"/>
    <cellStyle name="Normal 48" xfId="122" xr:uid="{39858F39-8156-4CD9-9C02-613949D38F06}"/>
    <cellStyle name="Normal 49" xfId="124" xr:uid="{FDF10B21-D1EF-49BF-AEDB-8DDCDA5D9D97}"/>
    <cellStyle name="Normal 5" xfId="76" xr:uid="{DD32114E-D68F-4C98-9252-763E9B18EDBB}"/>
    <cellStyle name="Normal 50" xfId="125" xr:uid="{CE559312-F84A-4C9D-9A21-5AFBF0AD14D8}"/>
    <cellStyle name="Normal 51" xfId="126" xr:uid="{065E90BB-9A7F-470A-AEEC-8077C8062143}"/>
    <cellStyle name="Normal 6" xfId="78" xr:uid="{868D1B38-0635-4D75-9D7F-ED183F722467}"/>
    <cellStyle name="Normal 7" xfId="79" xr:uid="{2C68E34F-D6D0-4660-A915-65D808CC3C1E}"/>
    <cellStyle name="Normal 8" xfId="82" xr:uid="{E0D1ED2E-7AED-4D04-B17F-588D7ABBF2B9}"/>
    <cellStyle name="Normal 9" xfId="83" xr:uid="{D1B01CEC-B0B1-4ED6-8AA1-58014F2C610B}"/>
    <cellStyle name="Pending Change - IBM Cognos" xfId="67" xr:uid="{66C86358-A6F2-4FC5-8A98-675E05D7F39D}"/>
    <cellStyle name="Row Name - IBM Cognos" xfId="68" xr:uid="{9C569B4A-DDF3-4D79-A7A5-1DCDBC3D4851}"/>
    <cellStyle name="Row Template - IBM Cognos" xfId="69" xr:uid="{FCDCD3F1-2452-4567-9533-6698145647BB}"/>
    <cellStyle name="Summary Column Name - IBM Cognos" xfId="70" xr:uid="{EE41CBEE-3856-4325-8EC0-C0B733E3BE19}"/>
    <cellStyle name="Summary Column Name TM1 - IBM Cognos" xfId="71" xr:uid="{E8E5C229-F9DA-4EFE-9448-F2C6C2598127}"/>
    <cellStyle name="Summary Row Name - IBM Cognos" xfId="72" xr:uid="{887C6753-7929-4E1D-B1B7-9025AB6488BB}"/>
    <cellStyle name="Summary Row Name TM1 - IBM Cognos" xfId="73" xr:uid="{99F3A760-7170-4A61-BAD9-E3AB583BF065}"/>
    <cellStyle name="Unsaved Change - IBM Cognos" xfId="74" xr:uid="{8B9DC975-A328-427A-A8B6-65F461C554BF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 Collado" refreshedDate="46120.149814467593" createdVersion="7" refreshedVersion="7" minRefreshableVersion="3" recordCount="1557" xr:uid="{8907D14E-877C-4C87-ADA2-8B592C01A6B5}">
  <cacheSource type="worksheet">
    <worksheetSource name="Table2"/>
  </cacheSource>
  <cacheFields count="13">
    <cacheField name="No." numFmtId="0">
      <sharedItems containsSemiMixedTypes="0" containsString="0" containsNumber="1" containsInteger="1" minValue="1" maxValue="1557"/>
    </cacheField>
    <cacheField name="Forecast?" numFmtId="0">
      <sharedItems/>
    </cacheField>
    <cacheField name="Ticket" numFmtId="0">
      <sharedItems containsBlank="1" count="155">
        <s v="FR8003901"/>
        <s v="FR8026550"/>
        <s v="FR8025258"/>
        <s v="FR8068790"/>
        <s v="FR8078176"/>
        <s v="FR8089834"/>
        <s v="FR8110672"/>
        <s v="FR8118359"/>
        <s v="FR8131311"/>
        <s v="FR8143873"/>
        <s v="FR8173686"/>
        <s v="FR8173399"/>
        <s v="FR8171045"/>
        <s v="FR8179935"/>
        <s v="FR8184076"/>
        <s v="FR8184664"/>
        <s v="FR8184798"/>
        <s v="FR8185832"/>
        <s v="FR8193700"/>
        <s v="FR8196435"/>
        <s v="FR8196697"/>
        <s v="FR8200368"/>
        <s v="FR8204813"/>
        <s v="FR8204919"/>
        <s v="FR8205239"/>
        <s v="FR8215482"/>
        <s v="FR8219165"/>
        <s v="FR8224823"/>
        <s v="FR8240027"/>
        <s v="FR8240264"/>
        <s v="FR8244765"/>
        <s v="FR8246982"/>
        <s v="FR8255778"/>
        <s v="FR8256118"/>
        <s v="FR8256127"/>
        <s v="FR8256141"/>
        <s v="FR8256207"/>
        <s v="FR8256278"/>
        <s v="FR8256240"/>
        <s v="FR8262648"/>
        <s v="FR8262698"/>
        <s v="FR8263498"/>
        <s v="FR8263998"/>
        <s v="FR8264377"/>
        <s v="FR8277779"/>
        <s v="FR8278169"/>
        <s v="FR8278389"/>
        <s v="FR8287091"/>
        <s v="FR8294254"/>
        <s v="FR8295469"/>
        <s v="FR8305485"/>
        <s v="FR8305921"/>
        <s v="FR8314237"/>
        <s v="FR8318496"/>
        <s v="FR8320194"/>
        <s v="FR8326040"/>
        <s v="FR8326429"/>
        <s v="FR8333129"/>
        <s v="FR8339436"/>
        <s v="FR8340782"/>
        <s v="FR8340846"/>
        <s v="FR8342498"/>
        <s v="FR8345021"/>
        <s v="FR8348206"/>
        <m u="1"/>
        <s v="FR7835665" u="1"/>
        <s v="FR7307568" u="1"/>
        <s v="FR6803608" u="1"/>
        <s v="FR7292048" u="1"/>
        <s v="FR7079486" u="1"/>
        <s v="FR7525863" u="1"/>
        <s v="FR7479999" u="1"/>
        <s v="FR6855390" u="1"/>
        <s v="FR6884110" u="1"/>
        <s v="FR7864413" u="1"/>
        <s v="FR7189330" u="1"/>
        <s v="FR6995596" u="1"/>
        <s v="FR7559409" u="1"/>
        <s v="FR7803031" u="1"/>
        <s v="FR7569473" u="1"/>
        <s v="FR7533963" u="1"/>
        <s v="FR7538056" u="1"/>
        <s v="FR7568691" u="1"/>
        <s v="FR7052523" u="1"/>
        <s v="FR7920295" u="1"/>
        <s v="FR6914320" u="1"/>
        <s v="FR7289705" u="1"/>
        <s v="FR6762200" u="1"/>
        <s v="FR7040358" u="1"/>
        <s v="FR7205621" u="1"/>
        <s v="FR6831903" u="1"/>
        <s v="FR6700341" u="1"/>
        <s v="FR7668502" u="1"/>
        <s v="FR7705106" u="1"/>
        <s v="FR7989109" u="1"/>
        <s v="FR6797793" u="1"/>
        <s v="FR7040888" u="1"/>
        <s v="FR7681936" u="1"/>
        <s v="FR6837097" u="1"/>
        <s v="FR7390952" u="1"/>
        <s v="FR7037412" u="1"/>
        <s v="FR7558680" u="1"/>
        <s v="FR6853680" u="1"/>
        <s v="FR7918730" u="1"/>
        <s v="FR6879588" u="1"/>
        <s v="FR7529156" u="1"/>
        <s v="FR7534927" u="1"/>
        <s v="FR7606159" u="1"/>
        <s v="FR7473158" u="1"/>
        <s v="FR6821884" u="1"/>
        <s v="FR7520668" u="1"/>
        <s v="FR7052768" u="1"/>
        <s v="FR7314162" u="1"/>
        <s v="FR7015139" u="1"/>
        <s v="FR7797613" u="1"/>
        <s v="FR7675306" u="1"/>
        <s v="FR7131058" u="1"/>
        <s v="FR6801039" u="1"/>
        <s v="FR7060566" u="1"/>
        <s v="FR7659991" u="1"/>
        <s v="FR6799262" u="1"/>
        <s v="FR7526809" u="1"/>
        <s v="FR7784231" u="1"/>
        <s v="FR7986848" u="1"/>
        <s v="FR7896868" u="1"/>
        <s v="FR7668842" u="1"/>
        <s v="FR7571201" u="1"/>
        <s v="FR7049853" u="1"/>
        <s v="FR7126424" u="1"/>
        <s v="FR6737570" u="1"/>
        <s v="FR7537580" u="1"/>
        <s v="FR7064446" u="1"/>
        <s v="FR7861562" u="1"/>
        <s v="FR6711984" u="1"/>
        <s v="FR6934915" u="1"/>
        <s v="FR7047478" u="1"/>
        <s v="FR7760803" u="1"/>
        <s v="FR7468738" u="1"/>
        <s v="FR7313392" u="1"/>
        <s v="FR6894527" u="1"/>
        <s v="FR7287230" u="1"/>
        <s v="FR7778403" u="1"/>
        <s v="FR7010885" u="1"/>
        <s v="FR7917547" u="1"/>
        <s v="FR6736844" u="1"/>
        <s v="FR7505106" u="1"/>
        <s v="FR7198292" u="1"/>
        <s v="FR7917475" u="1"/>
        <s v="FR6952137" u="1"/>
        <s v="FR7280998" u="1"/>
        <s v="FR6712079" u="1"/>
        <s v="FR6808342" u="1"/>
        <s v="FR7889853" u="1"/>
        <s v="FR7856979" u="1"/>
        <s v="FR7557992" u="1"/>
      </sharedItems>
    </cacheField>
    <cacheField name="Node" numFmtId="0">
      <sharedItems/>
    </cacheField>
    <cacheField name="Name" numFmtId="0">
      <sharedItems containsBlank="1"/>
    </cacheField>
    <cacheField name="Parent" numFmtId="0">
      <sharedItems containsBlank="1"/>
    </cacheField>
    <cacheField name="Action" numFmtId="0">
      <sharedItems/>
    </cacheField>
    <cacheField name="STATUS" numFmtId="0">
      <sharedItems containsMixedTypes="1" containsNumber="1" containsInteger="1" minValue="0" maxValue="0" count="3">
        <s v="ok"/>
        <s v=""/>
        <n v="0" u="1"/>
      </sharedItems>
    </cacheField>
    <cacheField name="STATUS Check" numFmtId="0">
      <sharedItems containsMixedTypes="1" containsNumber="1" containsInteger="1" minValue="0" maxValue="0" count="3">
        <s v="ON TM1"/>
        <s v="RETURNED TO ORIGINAL NODE"/>
        <n v="0" u="1"/>
      </sharedItems>
    </cacheField>
    <cacheField name="Sector" numFmtId="0">
      <sharedItems containsBlank="1"/>
    </cacheField>
    <cacheField name="Comments" numFmtId="0">
      <sharedItems containsNonDate="0" containsString="0" containsBlank="1"/>
    </cacheField>
    <cacheField name="SANITY" numFmtId="0">
      <sharedItems containsNonDate="0" containsString="0" containsBlank="1"/>
    </cacheField>
    <cacheField name="Auth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7">
  <r>
    <n v="1"/>
    <s v="F1"/>
    <x v="0"/>
    <s v="IT08030000"/>
    <s v="MGF_(non-IT)"/>
    <s v="G000000244"/>
    <s v="New"/>
    <x v="0"/>
    <x v="0"/>
    <s v="MGF"/>
    <m/>
    <m/>
    <s v="Joshua Cachola"/>
  </r>
  <r>
    <n v="2"/>
    <s v="F1"/>
    <x v="0"/>
    <s v="G000000850"/>
    <m/>
    <s v="G000000400"/>
    <s v="Move"/>
    <x v="0"/>
    <x v="0"/>
    <s v="MGF"/>
    <m/>
    <m/>
    <s v="Manuel Walther"/>
  </r>
  <r>
    <n v="3"/>
    <s v="F1"/>
    <x v="0"/>
    <s v="G000000927"/>
    <s v="NO USE"/>
    <s v="G000000873"/>
    <s v="Rename/Move"/>
    <x v="0"/>
    <x v="0"/>
    <s v="MGF"/>
    <m/>
    <m/>
    <s v="Manuel Walther"/>
  </r>
  <r>
    <n v="4"/>
    <s v="F1"/>
    <x v="0"/>
    <s v="G000000928"/>
    <s v="NO USE"/>
    <s v="G000000873"/>
    <s v="Rename/Move"/>
    <x v="0"/>
    <x v="0"/>
    <s v="MGF"/>
    <m/>
    <m/>
    <s v="Manuel Walther"/>
  </r>
  <r>
    <n v="5"/>
    <s v="F1"/>
    <x v="0"/>
    <s v="G000000849"/>
    <s v="NO USE"/>
    <s v="G000000873"/>
    <s v="Rename/Move"/>
    <x v="0"/>
    <x v="0"/>
    <s v="MGF"/>
    <m/>
    <m/>
    <s v="Manuel Walther"/>
  </r>
  <r>
    <n v="6"/>
    <s v="F1"/>
    <x v="0"/>
    <s v="G000000851"/>
    <s v="NO USE"/>
    <s v="G000000873"/>
    <s v="Rename/Move"/>
    <x v="0"/>
    <x v="0"/>
    <s v="MGF"/>
    <m/>
    <m/>
    <s v="Manuel Walther"/>
  </r>
  <r>
    <n v="7"/>
    <s v="F1"/>
    <x v="0"/>
    <s v="G000000847"/>
    <s v="SM-G Mirror CC Typ-C Equipment"/>
    <m/>
    <s v="Rename"/>
    <x v="0"/>
    <x v="0"/>
    <s v="MGF"/>
    <m/>
    <m/>
    <s v="Manuel Walther"/>
  </r>
  <r>
    <n v="8"/>
    <s v="F1"/>
    <x v="0"/>
    <s v="G000000848"/>
    <s v="SM-G Mirror CC Typ-R Reimburs. (h alloc)"/>
    <m/>
    <s v="Rename"/>
    <x v="0"/>
    <x v="0"/>
    <s v="MGF"/>
    <m/>
    <m/>
    <s v="Manuel Walther"/>
  </r>
  <r>
    <n v="9"/>
    <s v="F1"/>
    <x v="0"/>
    <s v="G000000929"/>
    <s v="NO USE"/>
    <m/>
    <s v="Rename"/>
    <x v="0"/>
    <x v="0"/>
    <s v="MGF"/>
    <m/>
    <m/>
    <s v="Manuel Walther"/>
  </r>
  <r>
    <n v="10"/>
    <s v="F1"/>
    <x v="0"/>
    <s v="G000000930"/>
    <s v="NO USE"/>
    <m/>
    <s v="Rename"/>
    <x v="0"/>
    <x v="0"/>
    <s v="MGF"/>
    <m/>
    <m/>
    <s v="Manuel Walther"/>
  </r>
  <r>
    <n v="11"/>
    <s v="F1"/>
    <x v="0"/>
    <s v="G000000931"/>
    <s v="NO USE"/>
    <m/>
    <s v="Rename"/>
    <x v="0"/>
    <x v="0"/>
    <s v="MGF"/>
    <m/>
    <m/>
    <s v="Manuel Walther"/>
  </r>
  <r>
    <n v="12"/>
    <s v="F1"/>
    <x v="0"/>
    <s v="G000000926"/>
    <s v="NO USE"/>
    <m/>
    <s v="Rename"/>
    <x v="0"/>
    <x v="0"/>
    <s v="MGF"/>
    <m/>
    <m/>
    <s v="Manuel Walther"/>
  </r>
  <r>
    <n v="13"/>
    <s v="F1"/>
    <x v="0"/>
    <s v="G000000852"/>
    <s v="NO USE"/>
    <m/>
    <s v="Rename"/>
    <x v="0"/>
    <x v="0"/>
    <s v="MGF"/>
    <m/>
    <m/>
    <s v="Manuel Walther"/>
  </r>
  <r>
    <n v="14"/>
    <s v="F1"/>
    <x v="0"/>
    <s v="G000000935"/>
    <s v="NO USE"/>
    <m/>
    <s v="Rename"/>
    <x v="0"/>
    <x v="0"/>
    <s v="MGF"/>
    <m/>
    <m/>
    <s v="Manuel Walther"/>
  </r>
  <r>
    <n v="15"/>
    <s v="F1"/>
    <x v="0"/>
    <s v="G000000936"/>
    <s v="NO USE"/>
    <m/>
    <s v="Rename"/>
    <x v="0"/>
    <x v="0"/>
    <s v="MGF"/>
    <m/>
    <m/>
    <s v="Manuel Walther"/>
  </r>
  <r>
    <n v="16"/>
    <s v="F1"/>
    <x v="0"/>
    <s v="G000000937"/>
    <s v="NO USE"/>
    <m/>
    <s v="Rename"/>
    <x v="0"/>
    <x v="0"/>
    <s v="MGF"/>
    <m/>
    <m/>
    <s v="Manuel Walther"/>
  </r>
  <r>
    <n v="17"/>
    <s v="F1"/>
    <x v="0"/>
    <s v="G000000938"/>
    <s v="NO USE"/>
    <m/>
    <s v="Rename"/>
    <x v="0"/>
    <x v="0"/>
    <s v="MGF"/>
    <m/>
    <m/>
    <s v="Manuel Walther"/>
  </r>
  <r>
    <n v="18"/>
    <s v="F1"/>
    <x v="0"/>
    <s v="G000000939"/>
    <s v="NO USE"/>
    <m/>
    <s v="Rename"/>
    <x v="0"/>
    <x v="0"/>
    <s v="MGF"/>
    <m/>
    <m/>
    <s v="Manuel Walther"/>
  </r>
  <r>
    <n v="19"/>
    <s v="F1"/>
    <x v="0"/>
    <s v="G000000940"/>
    <s v="NO USE"/>
    <m/>
    <s v="Rename"/>
    <x v="0"/>
    <x v="0"/>
    <s v="MGF"/>
    <m/>
    <m/>
    <s v="Manuel Walther"/>
  </r>
  <r>
    <n v="20"/>
    <s v="F1"/>
    <x v="1"/>
    <s v="RDC0000095"/>
    <m/>
    <s v="H000004396"/>
    <s v="Move"/>
    <x v="0"/>
    <x v="0"/>
    <s v="MGF"/>
    <m/>
    <m/>
    <s v="Erjo Miguel Tagle"/>
  </r>
  <r>
    <n v="21"/>
    <s v="F1"/>
    <x v="2"/>
    <s v="H000004863"/>
    <s v="SCALA_1248 A350"/>
    <s v="H000000726"/>
    <s v="New"/>
    <x v="0"/>
    <x v="0"/>
    <s v="MGF"/>
    <m/>
    <m/>
    <s v="Erjo Miguel Tagle"/>
  </r>
  <r>
    <n v="22"/>
    <s v="F1"/>
    <x v="2"/>
    <s v="H000004864"/>
    <s v="SCALA_1248 A351"/>
    <s v="H000000802"/>
    <s v="New"/>
    <x v="0"/>
    <x v="0"/>
    <s v="MGF"/>
    <m/>
    <m/>
    <s v="Erjo Miguel Tagle"/>
  </r>
  <r>
    <n v="23"/>
    <s v="F1"/>
    <x v="2"/>
    <s v="H000004865"/>
    <s v="SCALA_1248 A353"/>
    <s v="H000000802"/>
    <s v="New"/>
    <x v="0"/>
    <x v="0"/>
    <s v="MGF"/>
    <m/>
    <m/>
    <s v="Erjo Miguel Tagle"/>
  </r>
  <r>
    <n v="24"/>
    <s v="F1"/>
    <x v="2"/>
    <s v="RDC0000095"/>
    <m/>
    <s v="H000004396"/>
    <s v="Move"/>
    <x v="0"/>
    <x v="0"/>
    <s v="MGF"/>
    <m/>
    <m/>
    <s v="Erjo Miguel Tagle"/>
  </r>
  <r>
    <n v="25"/>
    <s v="F1"/>
    <x v="3"/>
    <s v="H000004866"/>
    <s v="MERCK SERONO ITALY - BARI (CCH)"/>
    <s v="H000000471"/>
    <s v="New"/>
    <x v="0"/>
    <x v="0"/>
    <s v="HC"/>
    <m/>
    <m/>
    <s v="Murilo Barbosa"/>
  </r>
  <r>
    <n v="26"/>
    <s v="F1"/>
    <x v="3"/>
    <s v="H000004867"/>
    <s v="1250BA - OPERATIONS"/>
    <s v="H000004866"/>
    <s v="New"/>
    <x v="0"/>
    <x v="0"/>
    <s v="HC"/>
    <m/>
    <m/>
    <s v="Murilo Barbosa"/>
  </r>
  <r>
    <n v="27"/>
    <s v="F1"/>
    <x v="3"/>
    <s v="H000004868"/>
    <s v="1250BA - OPERATIONS SUPPORT SERVICES"/>
    <s v="H000004866"/>
    <s v="New"/>
    <x v="0"/>
    <x v="0"/>
    <s v="HC"/>
    <m/>
    <m/>
    <s v="Murilo Barbosa"/>
  </r>
  <r>
    <n v="28"/>
    <s v="F1"/>
    <x v="3"/>
    <s v="H000004869"/>
    <s v="1250BA - SITE INFRASTRUCTURE"/>
    <s v="H000004866"/>
    <s v="New"/>
    <x v="0"/>
    <x v="0"/>
    <s v="HC"/>
    <m/>
    <m/>
    <s v="Murilo Barbosa"/>
  </r>
  <r>
    <n v="29"/>
    <s v="F1"/>
    <x v="3"/>
    <s v="H000004870"/>
    <s v="1250BA - QUALITY"/>
    <s v="H000004866"/>
    <s v="New"/>
    <x v="0"/>
    <x v="0"/>
    <s v="HC"/>
    <m/>
    <m/>
    <s v="Murilo Barbosa"/>
  </r>
  <r>
    <n v="30"/>
    <s v="F1"/>
    <x v="3"/>
    <s v="H000004871"/>
    <s v="1250BA - OTHERS"/>
    <s v="H000004866"/>
    <s v="New"/>
    <x v="0"/>
    <x v="0"/>
    <s v="HC"/>
    <m/>
    <m/>
    <s v="Murilo Barbosa"/>
  </r>
  <r>
    <n v="31"/>
    <s v="F1"/>
    <x v="3"/>
    <s v="H000004872"/>
    <s v="1250BA - MANUFACTURING"/>
    <s v="H000004867"/>
    <s v="New"/>
    <x v="0"/>
    <x v="0"/>
    <s v="HC"/>
    <m/>
    <m/>
    <s v="Murilo Barbosa"/>
  </r>
  <r>
    <n v="32"/>
    <s v="F1"/>
    <x v="3"/>
    <s v="H000004873"/>
    <s v="1250BA - PACKAGING"/>
    <s v="H000004867"/>
    <s v="New"/>
    <x v="0"/>
    <x v="0"/>
    <s v="HC"/>
    <m/>
    <m/>
    <s v="Murilo Barbosa"/>
  </r>
  <r>
    <n v="33"/>
    <s v="F1"/>
    <x v="3"/>
    <s v="H000004874"/>
    <s v="1250BA - MAINTENANCE AND ENGINEERING"/>
    <s v="H000004868"/>
    <s v="New"/>
    <x v="0"/>
    <x v="0"/>
    <s v="HC"/>
    <m/>
    <m/>
    <s v="Murilo Barbosa"/>
  </r>
  <r>
    <n v="34"/>
    <s v="F1"/>
    <x v="3"/>
    <s v="H000004875"/>
    <s v="1250BA - SUPPLY AND PLANNING"/>
    <s v="H000004868"/>
    <s v="New"/>
    <x v="0"/>
    <x v="0"/>
    <s v="HC"/>
    <m/>
    <m/>
    <s v="Murilo Barbosa"/>
  </r>
  <r>
    <n v="35"/>
    <s v="F1"/>
    <x v="3"/>
    <s v="H000004876"/>
    <s v="1250BA - SITE SERVICES"/>
    <s v="H000004868"/>
    <s v="New"/>
    <x v="0"/>
    <x v="0"/>
    <s v="HC"/>
    <m/>
    <m/>
    <s v="Murilo Barbosa"/>
  </r>
  <r>
    <n v="36"/>
    <s v="F1"/>
    <x v="3"/>
    <s v="H000004877"/>
    <s v="1250BA - MANUFACTURING FACILITIES"/>
    <s v="H000004869"/>
    <s v="New"/>
    <x v="0"/>
    <x v="0"/>
    <s v="HC"/>
    <m/>
    <m/>
    <s v="Murilo Barbosa"/>
  </r>
  <r>
    <n v="37"/>
    <s v="F1"/>
    <x v="3"/>
    <s v="H000004878"/>
    <s v="1250BA - PACKAGING FACILITIES"/>
    <s v="H000004869"/>
    <s v="New"/>
    <x v="0"/>
    <x v="0"/>
    <s v="HC"/>
    <m/>
    <m/>
    <s v="Murilo Barbosa"/>
  </r>
  <r>
    <n v="38"/>
    <s v="F1"/>
    <x v="3"/>
    <s v="H000004879"/>
    <s v="1250BA - SHARED OPERATIONS FACILITIES"/>
    <s v="H000004869"/>
    <s v="New"/>
    <x v="0"/>
    <x v="0"/>
    <s v="HC"/>
    <m/>
    <m/>
    <s v="Murilo Barbosa"/>
  </r>
  <r>
    <n v="39"/>
    <s v="F1"/>
    <x v="3"/>
    <s v="H000004880"/>
    <s v="1250BA - OTHER FACILITIES"/>
    <s v="H000004869"/>
    <s v="New"/>
    <x v="0"/>
    <x v="0"/>
    <s v="HC"/>
    <m/>
    <m/>
    <s v="Murilo Barbosa"/>
  </r>
  <r>
    <n v="40"/>
    <s v="F1"/>
    <x v="3"/>
    <s v="H000004881"/>
    <s v="1250BA - DP"/>
    <s v="H000004872"/>
    <s v="New"/>
    <x v="0"/>
    <x v="0"/>
    <s v="HC"/>
    <m/>
    <m/>
    <s v="Murilo Barbosa"/>
  </r>
  <r>
    <n v="41"/>
    <s v="F1"/>
    <x v="3"/>
    <s v="H000004882"/>
    <s v="1250BA - FP"/>
    <s v="H000004873"/>
    <s v="New"/>
    <x v="0"/>
    <x v="0"/>
    <s v="HC"/>
    <m/>
    <m/>
    <s v="Murilo Barbosa"/>
  </r>
  <r>
    <n v="42"/>
    <s v="F1"/>
    <x v="3"/>
    <s v="H000004883"/>
    <s v="1250BA - LABOR"/>
    <s v="H000004872"/>
    <s v="New"/>
    <x v="0"/>
    <x v="0"/>
    <s v="HC"/>
    <m/>
    <m/>
    <s v="Murilo Barbosa"/>
  </r>
  <r>
    <n v="43"/>
    <s v="F1"/>
    <x v="3"/>
    <s v="H000004884"/>
    <s v="1250BA - EQUIPMENTS"/>
    <s v="H000004872"/>
    <s v="New"/>
    <x v="0"/>
    <x v="0"/>
    <s v="HC"/>
    <m/>
    <m/>
    <s v="Murilo Barbosa"/>
  </r>
  <r>
    <n v="44"/>
    <s v="F1"/>
    <x v="3"/>
    <s v="H000004885"/>
    <s v="1250BA - INDIRECT SERVICES"/>
    <s v="H000004872"/>
    <s v="New"/>
    <x v="0"/>
    <x v="0"/>
    <s v="HC"/>
    <m/>
    <m/>
    <s v="Murilo Barbosa"/>
  </r>
  <r>
    <n v="45"/>
    <s v="F1"/>
    <x v="3"/>
    <s v="H000004886"/>
    <s v="1250BA - MCC"/>
    <s v="H000004872"/>
    <s v="New"/>
    <x v="0"/>
    <x v="0"/>
    <s v="HC"/>
    <m/>
    <m/>
    <s v="Murilo Barbosa"/>
  </r>
  <r>
    <n v="46"/>
    <s v="F1"/>
    <x v="3"/>
    <s v="H000004887"/>
    <s v="1250BA - LABOR"/>
    <s v="H000004873"/>
    <s v="New"/>
    <x v="0"/>
    <x v="0"/>
    <s v="HC"/>
    <m/>
    <m/>
    <s v="Murilo Barbosa"/>
  </r>
  <r>
    <n v="47"/>
    <s v="F1"/>
    <x v="3"/>
    <s v="H000004888"/>
    <s v="1250BA - EQUIPMENTS"/>
    <s v="H000004873"/>
    <s v="New"/>
    <x v="0"/>
    <x v="0"/>
    <s v="HC"/>
    <m/>
    <m/>
    <s v="Murilo Barbosa"/>
  </r>
  <r>
    <n v="48"/>
    <s v="F1"/>
    <x v="3"/>
    <s v="H000004889"/>
    <s v="1250BA - INDIRECT SERVICES"/>
    <s v="H000004873"/>
    <s v="New"/>
    <x v="0"/>
    <x v="0"/>
    <s v="HC"/>
    <m/>
    <m/>
    <s v="Murilo Barbosa"/>
  </r>
  <r>
    <n v="49"/>
    <s v="F1"/>
    <x v="3"/>
    <s v="H000004890"/>
    <s v="1250BA - MCC"/>
    <s v="H000004873"/>
    <s v="New"/>
    <x v="0"/>
    <x v="0"/>
    <s v="HC"/>
    <m/>
    <m/>
    <s v="Murilo Barbosa"/>
  </r>
  <r>
    <n v="50"/>
    <s v="F1"/>
    <x v="3"/>
    <s v="H000004891"/>
    <s v="MERCK SERONO ITALY - BARI ( BEFORE CCH)"/>
    <s v="H000000471"/>
    <s v="New"/>
    <x v="0"/>
    <x v="0"/>
    <s v="HC"/>
    <m/>
    <m/>
    <s v="Murilo Barbosa"/>
  </r>
  <r>
    <n v="51"/>
    <s v="F1"/>
    <x v="4"/>
    <s v="G000001461"/>
    <s v="EF-DS-TIX Special Projects"/>
    <s v="G000000273"/>
    <s v="New"/>
    <x v="0"/>
    <x v="0"/>
    <s v="MGF"/>
    <m/>
    <m/>
    <s v="Jay-R Lizardo"/>
  </r>
  <r>
    <n v="52"/>
    <s v="F1"/>
    <x v="4"/>
    <s v="IT06042600"/>
    <s v="EF-DS-TIX Special Projects"/>
    <s v="G000001461"/>
    <s v="New"/>
    <x v="0"/>
    <x v="0"/>
    <s v="MGF"/>
    <m/>
    <m/>
    <s v="Jay-R Lizardo"/>
  </r>
  <r>
    <n v="53"/>
    <s v="F1"/>
    <x v="5"/>
    <s v="G000000416"/>
    <s v="SM-RG Restaurants &amp; Catering"/>
    <m/>
    <s v="Rename"/>
    <x v="0"/>
    <x v="0"/>
    <s v="HC"/>
    <m/>
    <m/>
    <m/>
  </r>
  <r>
    <n v="54"/>
    <s v="F1"/>
    <x v="5"/>
    <s v="G000000882"/>
    <s v="SM-RG Catering &amp; Ursprung"/>
    <m/>
    <s v="Rename"/>
    <x v="0"/>
    <x v="0"/>
    <s v="HC"/>
    <m/>
    <m/>
    <m/>
  </r>
  <r>
    <n v="55"/>
    <s v="F1"/>
    <x v="6"/>
    <s v="P000001381"/>
    <s v="Discontinued/Divested Sites"/>
    <s v="P000000578"/>
    <s v="New"/>
    <x v="0"/>
    <x v="0"/>
    <s v="EL"/>
    <m/>
    <m/>
    <s v="John Rowie Del Rosario"/>
  </r>
  <r>
    <n v="56"/>
    <s v="F1"/>
    <x v="6"/>
    <s v="P000001382"/>
    <s v="Customer Supply Management"/>
    <s v="P000000467"/>
    <s v="New"/>
    <x v="0"/>
    <x v="0"/>
    <s v="EL"/>
    <m/>
    <m/>
    <s v="John Rowie Del Rosario"/>
  </r>
  <r>
    <n v="57"/>
    <s v="F1"/>
    <x v="6"/>
    <s v="P000001383"/>
    <s v="Supply Planning Asia 1 (TW &amp; CN)"/>
    <s v="P000000467"/>
    <s v="New"/>
    <x v="0"/>
    <x v="0"/>
    <s v="EL"/>
    <m/>
    <m/>
    <s v="John Rowie Del Rosario"/>
  </r>
  <r>
    <n v="58"/>
    <s v="F1"/>
    <x v="6"/>
    <s v="P000001384"/>
    <s v="Supply Planning Asia 2 (KR &amp; JP)"/>
    <s v="P000000467"/>
    <s v="New"/>
    <x v="0"/>
    <x v="0"/>
    <s v="EL"/>
    <m/>
    <m/>
    <s v="John Rowie Del Rosario"/>
  </r>
  <r>
    <n v="59"/>
    <s v="F1"/>
    <x v="6"/>
    <s v="P000001385"/>
    <s v="Supply Planning Europe"/>
    <s v="P000000467"/>
    <s v="New"/>
    <x v="0"/>
    <x v="0"/>
    <s v="EL"/>
    <m/>
    <m/>
    <s v="John Rowie Del Rosario"/>
  </r>
  <r>
    <n v="60"/>
    <s v="F1"/>
    <x v="6"/>
    <s v="P000001386"/>
    <s v="Supply Planning US"/>
    <s v="P000000467"/>
    <s v="New"/>
    <x v="0"/>
    <x v="0"/>
    <s v="EL"/>
    <m/>
    <m/>
    <s v="John Rowie Del Rosario"/>
  </r>
  <r>
    <n v="61"/>
    <s v="F1"/>
    <x v="6"/>
    <s v="P000001387"/>
    <s v="S&amp;OP &amp; SPOC Form. &amp; Optronics"/>
    <s v="P000000467"/>
    <s v="New"/>
    <x v="0"/>
    <x v="0"/>
    <s v="EL"/>
    <m/>
    <m/>
    <s v="John Rowie Del Rosario"/>
  </r>
  <r>
    <n v="62"/>
    <s v="F1"/>
    <x v="6"/>
    <s v="P000001388"/>
    <s v="S&amp;OP &amp; SPOC Spec Gas &amp; Thin Films"/>
    <s v="P000000467"/>
    <s v="New"/>
    <x v="0"/>
    <x v="0"/>
    <s v="EL"/>
    <m/>
    <m/>
    <s v="John Rowie Del Rosario"/>
  </r>
  <r>
    <n v="63"/>
    <s v="F1"/>
    <x v="6"/>
    <s v="P000001389"/>
    <s v="Supply Chain Enablement"/>
    <s v="P000000467"/>
    <s v="New"/>
    <x v="0"/>
    <x v="0"/>
    <s v="EL"/>
    <m/>
    <m/>
    <s v="John Rowie Del Rosario"/>
  </r>
  <r>
    <n v="64"/>
    <s v="F1"/>
    <x v="6"/>
    <s v="P000001390"/>
    <s v="Global Synthesis &amp; Purification Quality"/>
    <s v="P000000483"/>
    <s v="New"/>
    <x v="0"/>
    <x v="0"/>
    <s v="EL"/>
    <m/>
    <m/>
    <s v="John Rowie Del Rosario"/>
  </r>
  <r>
    <n v="65"/>
    <s v="F1"/>
    <x v="6"/>
    <s v="P000001391"/>
    <s v="Global Formulations &amp; Optronics Quality"/>
    <s v="P000000483"/>
    <s v="New"/>
    <x v="0"/>
    <x v="0"/>
    <s v="EL"/>
    <m/>
    <m/>
    <s v="John Rowie Del Rosario"/>
  </r>
  <r>
    <n v="66"/>
    <s v="F1"/>
    <x v="6"/>
    <s v="P000001392"/>
    <s v="Global Supply Chain Quality"/>
    <s v="P000000483"/>
    <s v="New"/>
    <x v="0"/>
    <x v="0"/>
    <s v="EL"/>
    <m/>
    <m/>
    <s v="John Rowie Del Rosario"/>
  </r>
  <r>
    <n v="67"/>
    <s v="F1"/>
    <x v="6"/>
    <s v="P000001393"/>
    <s v="Global Metrology Quality"/>
    <s v="P000000483"/>
    <s v="New"/>
    <x v="0"/>
    <x v="0"/>
    <s v="EL"/>
    <m/>
    <m/>
    <s v="John Rowie Del Rosario"/>
  </r>
  <r>
    <n v="68"/>
    <s v="F1"/>
    <x v="6"/>
    <s v="P000001394"/>
    <s v="ISC Strategy Realization"/>
    <s v="P000000466"/>
    <s v="New"/>
    <x v="0"/>
    <x v="0"/>
    <s v="EL"/>
    <m/>
    <m/>
    <s v="John Rowie Del Rosario"/>
  </r>
  <r>
    <n v="69"/>
    <s v="F1"/>
    <x v="6"/>
    <s v="P000001395"/>
    <s v="Processes &amp; Systems"/>
    <s v="P000001394"/>
    <s v="New"/>
    <x v="0"/>
    <x v="0"/>
    <s v="EL"/>
    <m/>
    <m/>
    <s v="John Rowie Del Rosario"/>
  </r>
  <r>
    <n v="70"/>
    <s v="F1"/>
    <x v="6"/>
    <s v="P000001396"/>
    <s v="ISC Strategy Network Optimization"/>
    <s v="P000001394"/>
    <s v="New"/>
    <x v="0"/>
    <x v="0"/>
    <s v="EL"/>
    <m/>
    <m/>
    <s v="John Rowie Del Rosario"/>
  </r>
  <r>
    <n v="71"/>
    <s v="F1"/>
    <x v="6"/>
    <s v="P000001397"/>
    <s v="ISC Strategy Smart Prod. FO/OP/DS&amp;S"/>
    <s v="P000001394"/>
    <s v="New"/>
    <x v="0"/>
    <x v="0"/>
    <s v="EL"/>
    <m/>
    <m/>
    <s v="John Rowie Del Rosario"/>
  </r>
  <r>
    <n v="72"/>
    <s v="F1"/>
    <x v="6"/>
    <s v="P000001398"/>
    <s v="ISC Strategy Smart Prod. Synth. &amp; Purif."/>
    <s v="P000001394"/>
    <s v="New"/>
    <x v="0"/>
    <x v="0"/>
    <s v="EL"/>
    <m/>
    <m/>
    <s v="John Rowie Del Rosario"/>
  </r>
  <r>
    <n v="73"/>
    <s v="F1"/>
    <x v="6"/>
    <s v="P000001399"/>
    <s v="Cluster Formulations &amp; Optronics"/>
    <s v="P000000466"/>
    <s v="New"/>
    <x v="0"/>
    <x v="0"/>
    <s v="EL"/>
    <m/>
    <m/>
    <s v="John Rowie Del Rosario"/>
  </r>
  <r>
    <n v="74"/>
    <s v="F1"/>
    <x v="6"/>
    <s v="P000001400"/>
    <s v="Formul. &amp; Opt. China Sites"/>
    <s v="P000001399"/>
    <s v="New"/>
    <x v="0"/>
    <x v="0"/>
    <s v="EL"/>
    <m/>
    <m/>
    <s v="John Rowie Del Rosario"/>
  </r>
  <r>
    <n v="75"/>
    <s v="F1"/>
    <x v="6"/>
    <s v="P000001401"/>
    <s v="China Tolling"/>
    <s v="P000001400"/>
    <s v="New"/>
    <x v="0"/>
    <x v="0"/>
    <s v="EL"/>
    <m/>
    <m/>
    <s v="John Rowie Del Rosario"/>
  </r>
  <r>
    <n v="76"/>
    <s v="F1"/>
    <x v="6"/>
    <s v="P000001402"/>
    <s v="Formul. &amp; Opt. Taiwan Sites"/>
    <s v="P000001399"/>
    <s v="New"/>
    <x v="0"/>
    <x v="0"/>
    <s v="EL"/>
    <m/>
    <m/>
    <s v="John Rowie Del Rosario"/>
  </r>
  <r>
    <n v="77"/>
    <s v="F1"/>
    <x v="6"/>
    <s v="P000001403"/>
    <s v="Taiwan Tolling"/>
    <s v="P000001400"/>
    <s v="New"/>
    <x v="0"/>
    <x v="0"/>
    <s v="EL"/>
    <m/>
    <m/>
    <s v="John Rowie Del Rosario"/>
  </r>
  <r>
    <n v="78"/>
    <s v="F1"/>
    <x v="6"/>
    <s v="P000001404"/>
    <s v="Formul. &amp; Opt. Japan Sites"/>
    <s v="P000001399"/>
    <s v="New"/>
    <x v="0"/>
    <x v="0"/>
    <s v="EL"/>
    <m/>
    <m/>
    <s v="John Rowie Del Rosario"/>
  </r>
  <r>
    <n v="79"/>
    <s v="F1"/>
    <x v="6"/>
    <s v="P000001405"/>
    <s v="Formul. &amp; Opt. EU Sites"/>
    <s v="P000001399"/>
    <s v="New"/>
    <x v="0"/>
    <x v="0"/>
    <s v="EL"/>
    <m/>
    <m/>
    <s v="John Rowie Del Rosario"/>
  </r>
  <r>
    <n v="80"/>
    <s v="F1"/>
    <x v="6"/>
    <s v="P000001406"/>
    <s v="EU Tolling"/>
    <s v="P000001405"/>
    <s v="New"/>
    <x v="0"/>
    <x v="0"/>
    <s v="EL"/>
    <m/>
    <m/>
    <s v="John Rowie Del Rosario"/>
  </r>
  <r>
    <n v="81"/>
    <s v="F1"/>
    <x v="6"/>
    <s v="P000001407"/>
    <s v="Quality Darmstadt"/>
    <s v="P000001399"/>
    <s v="New"/>
    <x v="0"/>
    <x v="0"/>
    <s v="EL"/>
    <m/>
    <m/>
    <s v="John Rowie Del Rosario"/>
  </r>
  <r>
    <n v="82"/>
    <s v="F1"/>
    <x v="6"/>
    <s v="P000001408"/>
    <s v="Formul. &amp; Opt. Korea Sites"/>
    <s v="P000001399"/>
    <s v="New"/>
    <x v="0"/>
    <x v="0"/>
    <s v="EL"/>
    <m/>
    <m/>
    <s v="John Rowie Del Rosario"/>
  </r>
  <r>
    <n v="83"/>
    <s v="F1"/>
    <x v="6"/>
    <s v="P000001409"/>
    <s v="Formul. &amp; Opt. US Sites"/>
    <s v="P000001399"/>
    <s v="New"/>
    <x v="0"/>
    <x v="0"/>
    <s v="EL"/>
    <m/>
    <m/>
    <s v="John Rowie Del Rosario"/>
  </r>
  <r>
    <n v="84"/>
    <s v="F1"/>
    <x v="6"/>
    <s v="P000001410"/>
    <s v="US Tolling"/>
    <s v="P000001409"/>
    <s v="New"/>
    <x v="0"/>
    <x v="0"/>
    <s v="EL"/>
    <m/>
    <m/>
    <s v="John Rowie Del Rosario"/>
  </r>
  <r>
    <n v="85"/>
    <s v="F1"/>
    <x v="6"/>
    <s v="P000001411"/>
    <s v="Cluster Equipment (DS&amp;S)"/>
    <s v="P000000466"/>
    <s v="New"/>
    <x v="0"/>
    <x v="0"/>
    <s v="EL"/>
    <m/>
    <m/>
    <s v="John Rowie Del Rosario"/>
  </r>
  <r>
    <n v="86"/>
    <s v="F1"/>
    <x v="6"/>
    <s v="P000001412"/>
    <s v="Cluster Synthesis &amp; Purification"/>
    <s v="P000000466"/>
    <s v="New"/>
    <x v="0"/>
    <x v="0"/>
    <s v="EL"/>
    <m/>
    <m/>
    <s v="John Rowie Del Rosario"/>
  </r>
  <r>
    <n v="87"/>
    <s v="F1"/>
    <x v="6"/>
    <s v="P000001413"/>
    <s v="Syn. &amp; Purif. Taiwan &amp; China Sites"/>
    <s v="P000001412"/>
    <s v="New"/>
    <x v="0"/>
    <x v="0"/>
    <s v="EL"/>
    <m/>
    <m/>
    <s v="John Rowie Del Rosario"/>
  </r>
  <r>
    <n v="88"/>
    <s v="F1"/>
    <x v="6"/>
    <s v="P000001414"/>
    <s v="Syn. &amp; Purif. Korea Sites"/>
    <s v="P000001412"/>
    <s v="New"/>
    <x v="0"/>
    <x v="0"/>
    <s v="EL"/>
    <m/>
    <m/>
    <s v="John Rowie Del Rosario"/>
  </r>
  <r>
    <n v="89"/>
    <s v="F1"/>
    <x v="6"/>
    <s v="P000001415"/>
    <s v="Syn. &amp; Purif. US Sites"/>
    <s v="P000001412"/>
    <s v="New"/>
    <x v="0"/>
    <x v="0"/>
    <s v="EL"/>
    <m/>
    <m/>
    <s v="John Rowie Del Rosario"/>
  </r>
  <r>
    <n v="90"/>
    <s v="F1"/>
    <x v="6"/>
    <s v="P000000494"/>
    <m/>
    <s v="P000000555"/>
    <s v="Move"/>
    <x v="0"/>
    <x v="0"/>
    <s v="EL"/>
    <m/>
    <m/>
    <s v="John Rowie Del Rosario"/>
  </r>
  <r>
    <n v="91"/>
    <s v="F1"/>
    <x v="6"/>
    <s v="P000000259"/>
    <m/>
    <s v="P000000642"/>
    <s v="Move"/>
    <x v="0"/>
    <x v="0"/>
    <s v="EL"/>
    <m/>
    <m/>
    <s v="John Rowie Del Rosario"/>
  </r>
  <r>
    <n v="92"/>
    <s v="F1"/>
    <x v="6"/>
    <s v="P000000269"/>
    <m/>
    <s v="P000000642"/>
    <s v="Move"/>
    <x v="0"/>
    <x v="0"/>
    <s v="EL"/>
    <m/>
    <m/>
    <s v="John Rowie Del Rosario"/>
  </r>
  <r>
    <n v="93"/>
    <s v="F1"/>
    <x v="6"/>
    <s v="P000000466"/>
    <m/>
    <s v="P000000000"/>
    <s v="Move"/>
    <x v="0"/>
    <x v="0"/>
    <s v="EL"/>
    <m/>
    <m/>
    <s v="John Rowie Del Rosario"/>
  </r>
  <r>
    <n v="94"/>
    <s v="F1"/>
    <x v="6"/>
    <s v="P000000087"/>
    <m/>
    <s v="P000001381"/>
    <s v="Move"/>
    <x v="0"/>
    <x v="0"/>
    <s v="EL"/>
    <m/>
    <m/>
    <s v="John Rowie Del Rosario"/>
  </r>
  <r>
    <n v="95"/>
    <s v="F1"/>
    <x v="6"/>
    <s v="P000000526"/>
    <m/>
    <s v="P000000578"/>
    <s v="Move"/>
    <x v="0"/>
    <x v="0"/>
    <s v="EL"/>
    <m/>
    <m/>
    <s v="John Rowie Del Rosario"/>
  </r>
  <r>
    <n v="96"/>
    <s v="F1"/>
    <x v="6"/>
    <s v="P000000513"/>
    <m/>
    <s v="P000000578"/>
    <s v="Move"/>
    <x v="0"/>
    <x v="0"/>
    <s v="EL"/>
    <m/>
    <m/>
    <s v="John Rowie Del Rosario"/>
  </r>
  <r>
    <n v="97"/>
    <s v="F1"/>
    <x v="6"/>
    <s v="P000000520"/>
    <m/>
    <s v="P000000578"/>
    <s v="Move"/>
    <x v="0"/>
    <x v="0"/>
    <s v="EL"/>
    <m/>
    <m/>
    <s v="John Rowie Del Rosario"/>
  </r>
  <r>
    <n v="98"/>
    <s v="F1"/>
    <x v="6"/>
    <s v="P000000522"/>
    <m/>
    <s v="P000000578"/>
    <s v="Move"/>
    <x v="0"/>
    <x v="0"/>
    <s v="EL"/>
    <m/>
    <m/>
    <s v="John Rowie Del Rosario"/>
  </r>
  <r>
    <n v="99"/>
    <s v="F1"/>
    <x v="6"/>
    <s v="P000001171"/>
    <m/>
    <s v="P000000522"/>
    <s v="Move"/>
    <x v="0"/>
    <x v="0"/>
    <s v="EL"/>
    <m/>
    <m/>
    <s v="John Rowie Del Rosario"/>
  </r>
  <r>
    <n v="100"/>
    <s v="F1"/>
    <x v="6"/>
    <s v="P000000506"/>
    <m/>
    <s v="P000000467"/>
    <s v="Move"/>
    <x v="0"/>
    <x v="0"/>
    <s v="EL"/>
    <m/>
    <m/>
    <s v="John Rowie Del Rosario"/>
  </r>
  <r>
    <n v="101"/>
    <s v="F1"/>
    <x v="6"/>
    <s v="P000001280"/>
    <m/>
    <s v="P000000467"/>
    <s v="Move"/>
    <x v="0"/>
    <x v="0"/>
    <s v="EL"/>
    <m/>
    <m/>
    <s v="John Rowie Del Rosario"/>
  </r>
  <r>
    <n v="102"/>
    <s v="F1"/>
    <x v="6"/>
    <s v="P000001146"/>
    <m/>
    <s v="P000001280"/>
    <s v="Move"/>
    <x v="0"/>
    <x v="0"/>
    <s v="EL"/>
    <m/>
    <m/>
    <s v="John Rowie Del Rosario"/>
  </r>
  <r>
    <n v="103"/>
    <s v="F1"/>
    <x v="6"/>
    <s v="P000001150"/>
    <m/>
    <s v="P000001280"/>
    <s v="Move"/>
    <x v="0"/>
    <x v="0"/>
    <s v="EL"/>
    <m/>
    <m/>
    <s v="John Rowie Del Rosario"/>
  </r>
  <r>
    <n v="104"/>
    <s v="F1"/>
    <x v="6"/>
    <s v="P000001154"/>
    <m/>
    <s v="P000001280"/>
    <s v="Move"/>
    <x v="0"/>
    <x v="0"/>
    <s v="EL"/>
    <m/>
    <m/>
    <s v="John Rowie Del Rosario"/>
  </r>
  <r>
    <n v="105"/>
    <s v="F1"/>
    <x v="6"/>
    <s v="P000000800"/>
    <m/>
    <s v="P000001390"/>
    <s v="Move"/>
    <x v="0"/>
    <x v="0"/>
    <s v="EL"/>
    <m/>
    <m/>
    <s v="John Rowie Del Rosario"/>
  </r>
  <r>
    <n v="106"/>
    <s v="F1"/>
    <x v="6"/>
    <s v="P000000904"/>
    <m/>
    <s v="P000001390"/>
    <s v="Move"/>
    <x v="0"/>
    <x v="0"/>
    <s v="EL"/>
    <m/>
    <m/>
    <s v="John Rowie Del Rosario"/>
  </r>
  <r>
    <n v="107"/>
    <s v="F1"/>
    <x v="6"/>
    <s v="P000000865"/>
    <m/>
    <s v="P000001391"/>
    <s v="Move"/>
    <x v="0"/>
    <x v="0"/>
    <s v="EL"/>
    <m/>
    <m/>
    <s v="John Rowie Del Rosario"/>
  </r>
  <r>
    <n v="108"/>
    <s v="F1"/>
    <x v="6"/>
    <s v="P000000837"/>
    <m/>
    <s v="P000001391"/>
    <s v="Move"/>
    <x v="0"/>
    <x v="0"/>
    <s v="EL"/>
    <m/>
    <m/>
    <s v="John Rowie Del Rosario"/>
  </r>
  <r>
    <n v="109"/>
    <s v="F1"/>
    <x v="6"/>
    <s v="P000000507"/>
    <m/>
    <s v="P000001391"/>
    <s v="Move"/>
    <x v="0"/>
    <x v="0"/>
    <s v="EL"/>
    <m/>
    <m/>
    <s v="John Rowie Del Rosario"/>
  </r>
  <r>
    <n v="110"/>
    <s v="F1"/>
    <x v="6"/>
    <s v="P000001283"/>
    <m/>
    <s v="P000000483"/>
    <s v="Move"/>
    <x v="0"/>
    <x v="0"/>
    <s v="EL"/>
    <m/>
    <m/>
    <s v="John Rowie Del Rosario"/>
  </r>
  <r>
    <n v="111"/>
    <s v="F1"/>
    <x v="6"/>
    <s v="P000000478"/>
    <m/>
    <s v="P000001394"/>
    <s v="Move"/>
    <x v="0"/>
    <x v="0"/>
    <s v="EL"/>
    <m/>
    <m/>
    <s v="John Rowie Del Rosario"/>
  </r>
  <r>
    <n v="112"/>
    <s v="F1"/>
    <x v="6"/>
    <s v="P000000584"/>
    <m/>
    <s v="P000001394"/>
    <s v="Move"/>
    <x v="0"/>
    <x v="0"/>
    <s v="EL"/>
    <m/>
    <m/>
    <s v="John Rowie Del Rosario"/>
  </r>
  <r>
    <n v="113"/>
    <s v="F1"/>
    <x v="6"/>
    <s v="P000001282"/>
    <m/>
    <s v="P000000584"/>
    <s v="Move"/>
    <x v="0"/>
    <x v="0"/>
    <s v="EL"/>
    <m/>
    <m/>
    <s v="John Rowie Del Rosario"/>
  </r>
  <r>
    <n v="114"/>
    <s v="F1"/>
    <x v="6"/>
    <s v="P000000097"/>
    <m/>
    <s v="P000001400"/>
    <s v="Move"/>
    <x v="0"/>
    <x v="0"/>
    <s v="EL"/>
    <m/>
    <m/>
    <s v="John Rowie Del Rosario"/>
  </r>
  <r>
    <n v="115"/>
    <s v="F1"/>
    <x v="6"/>
    <s v="P000000137"/>
    <m/>
    <s v="P000001400"/>
    <s v="Move"/>
    <x v="0"/>
    <x v="0"/>
    <s v="EL"/>
    <m/>
    <m/>
    <s v="John Rowie Del Rosario"/>
  </r>
  <r>
    <n v="116"/>
    <s v="F1"/>
    <x v="6"/>
    <s v="P000000107"/>
    <m/>
    <s v="P000001402"/>
    <s v="Move"/>
    <x v="0"/>
    <x v="0"/>
    <s v="EL"/>
    <m/>
    <m/>
    <s v="John Rowie Del Rosario"/>
  </r>
  <r>
    <n v="117"/>
    <s v="F1"/>
    <x v="6"/>
    <s v="P000000117"/>
    <m/>
    <s v="P000001402"/>
    <s v="Move"/>
    <x v="0"/>
    <x v="0"/>
    <s v="EL"/>
    <m/>
    <m/>
    <s v="John Rowie Del Rosario"/>
  </r>
  <r>
    <n v="118"/>
    <s v="F1"/>
    <x v="6"/>
    <s v="P000000229"/>
    <m/>
    <s v="P000001404"/>
    <s v="Move"/>
    <x v="0"/>
    <x v="0"/>
    <s v="EL"/>
    <m/>
    <m/>
    <s v="John Rowie Del Rosario"/>
  </r>
  <r>
    <n v="119"/>
    <s v="F1"/>
    <x v="6"/>
    <s v="P000000521"/>
    <m/>
    <s v="P000001404"/>
    <s v="Move"/>
    <x v="0"/>
    <x v="0"/>
    <s v="EL"/>
    <m/>
    <m/>
    <s v="John Rowie Del Rosario"/>
  </r>
  <r>
    <n v="120"/>
    <s v="F1"/>
    <x v="6"/>
    <s v="P000000056"/>
    <m/>
    <s v="P000001405"/>
    <s v="Move"/>
    <x v="0"/>
    <x v="0"/>
    <s v="EL"/>
    <m/>
    <m/>
    <s v="John Rowie Del Rosario"/>
  </r>
  <r>
    <n v="121"/>
    <s v="F1"/>
    <x v="6"/>
    <s v="P000001168"/>
    <m/>
    <s v="P000001405"/>
    <s v="Move"/>
    <x v="0"/>
    <x v="0"/>
    <s v="EL"/>
    <m/>
    <m/>
    <s v="John Rowie Del Rosario"/>
  </r>
  <r>
    <n v="122"/>
    <s v="F1"/>
    <x v="6"/>
    <s v="P000000239"/>
    <m/>
    <s v="P000001405"/>
    <s v="Move"/>
    <x v="0"/>
    <x v="0"/>
    <s v="EL"/>
    <m/>
    <m/>
    <s v="John Rowie Del Rosario"/>
  </r>
  <r>
    <n v="123"/>
    <s v="F1"/>
    <x v="6"/>
    <s v="P000000279"/>
    <m/>
    <s v="P000001408"/>
    <s v="Move"/>
    <x v="0"/>
    <x v="0"/>
    <s v="EL"/>
    <m/>
    <m/>
    <s v="John Rowie Del Rosario"/>
  </r>
  <r>
    <n v="124"/>
    <s v="F1"/>
    <x v="6"/>
    <s v="P000000525"/>
    <m/>
    <s v="P000001408"/>
    <s v="Move"/>
    <x v="0"/>
    <x v="0"/>
    <s v="EL"/>
    <m/>
    <m/>
    <s v="John Rowie Del Rosario"/>
  </r>
  <r>
    <n v="125"/>
    <s v="F1"/>
    <x v="6"/>
    <s v="P000000127"/>
    <m/>
    <s v="P000001408"/>
    <s v="Move"/>
    <x v="0"/>
    <x v="0"/>
    <s v="EL"/>
    <m/>
    <m/>
    <s v="John Rowie Del Rosario"/>
  </r>
  <r>
    <n v="126"/>
    <s v="F1"/>
    <x v="6"/>
    <s v="P000000524"/>
    <m/>
    <s v="P000001409"/>
    <s v="Move"/>
    <x v="0"/>
    <x v="0"/>
    <s v="EL"/>
    <m/>
    <m/>
    <s v="John Rowie Del Rosario"/>
  </r>
  <r>
    <n v="127"/>
    <s v="F1"/>
    <x v="6"/>
    <s v="P000000523"/>
    <m/>
    <s v="P000001409"/>
    <s v="Move"/>
    <x v="0"/>
    <x v="0"/>
    <s v="EL"/>
    <m/>
    <m/>
    <s v="John Rowie Del Rosario"/>
  </r>
  <r>
    <n v="128"/>
    <s v="F1"/>
    <x v="6"/>
    <s v="P000000209"/>
    <m/>
    <s v="P000001409"/>
    <s v="Move"/>
    <x v="0"/>
    <x v="0"/>
    <s v="EL"/>
    <m/>
    <m/>
    <s v="John Rowie Del Rosario"/>
  </r>
  <r>
    <n v="129"/>
    <s v="F1"/>
    <x v="6"/>
    <s v="P000001278"/>
    <m/>
    <s v="P000001411"/>
    <s v="Move"/>
    <x v="0"/>
    <x v="0"/>
    <s v="EL"/>
    <m/>
    <m/>
    <s v="John Rowie Del Rosario"/>
  </r>
  <r>
    <n v="130"/>
    <s v="F1"/>
    <x v="6"/>
    <s v="P000000966"/>
    <m/>
    <s v="P000001411"/>
    <s v="Move"/>
    <x v="0"/>
    <x v="0"/>
    <s v="EL"/>
    <m/>
    <m/>
    <s v="John Rowie Del Rosario"/>
  </r>
  <r>
    <n v="131"/>
    <s v="F1"/>
    <x v="6"/>
    <s v="P000000994"/>
    <m/>
    <s v="P000000966"/>
    <s v="Move"/>
    <x v="0"/>
    <x v="0"/>
    <s v="EL"/>
    <m/>
    <m/>
    <s v="John Rowie Del Rosario"/>
  </r>
  <r>
    <n v="132"/>
    <s v="F1"/>
    <x v="6"/>
    <s v="P000000981"/>
    <m/>
    <s v="P000000966"/>
    <s v="Move"/>
    <x v="0"/>
    <x v="0"/>
    <s v="EL"/>
    <m/>
    <m/>
    <s v="John Rowie Del Rosario"/>
  </r>
  <r>
    <n v="133"/>
    <s v="F1"/>
    <x v="6"/>
    <s v="P000000986"/>
    <m/>
    <s v="P000000966"/>
    <s v="Move"/>
    <x v="0"/>
    <x v="0"/>
    <s v="EL"/>
    <m/>
    <m/>
    <s v="John Rowie Del Rosario"/>
  </r>
  <r>
    <n v="134"/>
    <s v="F1"/>
    <x v="6"/>
    <s v="P000001281"/>
    <m/>
    <s v="P000001411"/>
    <s v="Move"/>
    <x v="0"/>
    <x v="0"/>
    <s v="EL"/>
    <m/>
    <m/>
    <s v="John Rowie Del Rosario"/>
  </r>
  <r>
    <n v="135"/>
    <s v="F1"/>
    <x v="6"/>
    <s v="P000000517"/>
    <m/>
    <s v="P000001413"/>
    <s v="Move"/>
    <x v="0"/>
    <x v="0"/>
    <s v="EL"/>
    <m/>
    <m/>
    <s v="John Rowie Del Rosario"/>
  </r>
  <r>
    <n v="136"/>
    <s v="F1"/>
    <x v="6"/>
    <s v="P000000249"/>
    <m/>
    <s v="P000001413"/>
    <s v="Move"/>
    <x v="0"/>
    <x v="0"/>
    <s v="EL"/>
    <m/>
    <m/>
    <s v="John Rowie Del Rosario"/>
  </r>
  <r>
    <n v="137"/>
    <s v="F1"/>
    <x v="6"/>
    <s v="P000000808"/>
    <m/>
    <s v="P000001413"/>
    <s v="Move"/>
    <x v="0"/>
    <x v="0"/>
    <s v="EL"/>
    <m/>
    <m/>
    <s v="John Rowie Del Rosario"/>
  </r>
  <r>
    <n v="138"/>
    <s v="F1"/>
    <x v="6"/>
    <s v="P000000909"/>
    <m/>
    <s v="P000001413"/>
    <s v="Move"/>
    <x v="0"/>
    <x v="0"/>
    <s v="EL"/>
    <m/>
    <m/>
    <s v="John Rowie Del Rosario"/>
  </r>
  <r>
    <n v="139"/>
    <s v="F1"/>
    <x v="6"/>
    <s v="P000000528"/>
    <m/>
    <s v="P000001414"/>
    <s v="Move"/>
    <x v="0"/>
    <x v="0"/>
    <s v="EL"/>
    <m/>
    <m/>
    <s v="John Rowie Del Rosario"/>
  </r>
  <r>
    <n v="140"/>
    <s v="F1"/>
    <x v="6"/>
    <s v="P000000805"/>
    <m/>
    <s v="P000001414"/>
    <s v="Move"/>
    <x v="0"/>
    <x v="0"/>
    <s v="EL"/>
    <m/>
    <m/>
    <s v="John Rowie Del Rosario"/>
  </r>
  <r>
    <n v="141"/>
    <s v="F1"/>
    <x v="6"/>
    <s v="P000000515"/>
    <m/>
    <s v="P000001414"/>
    <s v="Move"/>
    <x v="0"/>
    <x v="0"/>
    <s v="EL"/>
    <m/>
    <m/>
    <s v="John Rowie Del Rosario"/>
  </r>
  <r>
    <n v="142"/>
    <s v="F1"/>
    <x v="6"/>
    <s v="P000000514"/>
    <m/>
    <s v="P000001414"/>
    <s v="Move"/>
    <x v="0"/>
    <x v="0"/>
    <s v="EL"/>
    <m/>
    <m/>
    <s v="John Rowie Del Rosario"/>
  </r>
  <r>
    <n v="143"/>
    <s v="F1"/>
    <x v="6"/>
    <s v="P000000527"/>
    <m/>
    <s v="P000001415"/>
    <s v="Move"/>
    <x v="0"/>
    <x v="0"/>
    <s v="EL"/>
    <m/>
    <m/>
    <s v="John Rowie Del Rosario"/>
  </r>
  <r>
    <n v="144"/>
    <s v="F1"/>
    <x v="6"/>
    <s v="P000000518"/>
    <m/>
    <s v="P000001415"/>
    <s v="Move"/>
    <x v="0"/>
    <x v="0"/>
    <s v="EL"/>
    <m/>
    <m/>
    <s v="John Rowie Del Rosario"/>
  </r>
  <r>
    <n v="145"/>
    <s v="F1"/>
    <x v="6"/>
    <s v="P000000516"/>
    <m/>
    <s v="P000001415"/>
    <s v="Move"/>
    <x v="0"/>
    <x v="0"/>
    <s v="EL"/>
    <m/>
    <m/>
    <s v="John Rowie Del Rosario"/>
  </r>
  <r>
    <n v="146"/>
    <s v="F1"/>
    <x v="6"/>
    <s v="P000000149"/>
    <m/>
    <s v="P000001412"/>
    <s v="Move"/>
    <x v="0"/>
    <x v="0"/>
    <s v="EL"/>
    <m/>
    <m/>
    <s v="John Rowie Del Rosario"/>
  </r>
  <r>
    <n v="147"/>
    <s v="F1"/>
    <x v="6"/>
    <s v="P000001280"/>
    <s v="Supply Planning &amp; S&amp;OP DS&amp;S"/>
    <m/>
    <s v="Rename"/>
    <x v="0"/>
    <x v="0"/>
    <s v="EL"/>
    <m/>
    <m/>
    <s v="John Rowie Del Rosario"/>
  </r>
  <r>
    <n v="148"/>
    <s v="F1"/>
    <x v="6"/>
    <s v="P000000521"/>
    <s v="Japan Tolling incl. PHPS Ops"/>
    <m/>
    <s v="Rename"/>
    <x v="0"/>
    <x v="0"/>
    <s v="EL"/>
    <m/>
    <m/>
    <s v="John Rowie Del Rosario"/>
  </r>
  <r>
    <n v="149"/>
    <s v="F1"/>
    <x v="6"/>
    <s v="P000000486"/>
    <s v="Global Customer Quality"/>
    <m/>
    <s v="Rename"/>
    <x v="0"/>
    <x v="0"/>
    <s v="EL"/>
    <m/>
    <m/>
    <s v="John Rowie Del Rosario"/>
  </r>
  <r>
    <n v="150"/>
    <s v="F1"/>
    <x v="6"/>
    <s v="P000000488"/>
    <s v="Global Process Quality"/>
    <m/>
    <s v="Rename"/>
    <x v="0"/>
    <x v="0"/>
    <s v="EL"/>
    <m/>
    <m/>
    <s v="John Rowie Del Rosario"/>
  </r>
  <r>
    <n v="151"/>
    <s v="F1"/>
    <x v="6"/>
    <s v="P000000484"/>
    <s v="EL-SC-Q Proj. &amp; Program Mgmt"/>
    <m/>
    <s v="Rename"/>
    <x v="0"/>
    <x v="0"/>
    <s v="EL"/>
    <m/>
    <m/>
    <s v="John Rowie Del Rosario"/>
  </r>
  <r>
    <n v="152"/>
    <s v="F1"/>
    <x v="7"/>
    <s v="G000001461"/>
    <m/>
    <s v="G000000272"/>
    <s v="Move"/>
    <x v="0"/>
    <x v="0"/>
    <s v="MGF"/>
    <m/>
    <m/>
    <s v="Jay-R Lizardo"/>
  </r>
  <r>
    <n v="153"/>
    <s v="F1"/>
    <x v="8"/>
    <s v="H000004892"/>
    <s v="MERCK BRAZIL - RIO (CCH)"/>
    <s v="H000000544"/>
    <s v="New"/>
    <x v="0"/>
    <x v="0"/>
    <s v="HC"/>
    <m/>
    <m/>
    <s v="Peter Souza"/>
  </r>
  <r>
    <n v="154"/>
    <s v="F1"/>
    <x v="8"/>
    <s v="H000004893"/>
    <s v="1227RI - OPERATIONS"/>
    <s v="H000004892"/>
    <s v="New"/>
    <x v="0"/>
    <x v="0"/>
    <s v="HC"/>
    <m/>
    <m/>
    <s v="Peter Souza"/>
  </r>
  <r>
    <n v="155"/>
    <s v="F1"/>
    <x v="8"/>
    <s v="H000004894"/>
    <s v="1227RI - OPERATIONS SUPPORT SERVICES"/>
    <s v="H000004892"/>
    <s v="New"/>
    <x v="0"/>
    <x v="0"/>
    <s v="HC"/>
    <m/>
    <m/>
    <s v="Peter Souza"/>
  </r>
  <r>
    <n v="156"/>
    <s v="F1"/>
    <x v="8"/>
    <s v="H000004895"/>
    <s v="1227RI - SITE INFRASTRUCTURE"/>
    <s v="H000004892"/>
    <s v="New"/>
    <x v="0"/>
    <x v="0"/>
    <s v="HC"/>
    <m/>
    <m/>
    <s v="Peter Souza"/>
  </r>
  <r>
    <n v="157"/>
    <s v="F1"/>
    <x v="8"/>
    <s v="H000004896"/>
    <s v="1227RI - QUALITY"/>
    <s v="H000004892"/>
    <s v="New"/>
    <x v="0"/>
    <x v="0"/>
    <s v="HC"/>
    <m/>
    <m/>
    <s v="Peter Souza"/>
  </r>
  <r>
    <n v="158"/>
    <s v="F1"/>
    <x v="8"/>
    <s v="H000004897"/>
    <s v="1227RI - OTHERS"/>
    <s v="H000004892"/>
    <s v="New"/>
    <x v="0"/>
    <x v="0"/>
    <s v="HC"/>
    <m/>
    <m/>
    <s v="Peter Souza"/>
  </r>
  <r>
    <n v="159"/>
    <s v="F1"/>
    <x v="8"/>
    <s v="H000004898"/>
    <s v="1227RI - MANUFACTURING"/>
    <s v="H000004893"/>
    <s v="New"/>
    <x v="0"/>
    <x v="0"/>
    <s v="HC"/>
    <m/>
    <m/>
    <s v="Peter Souza"/>
  </r>
  <r>
    <n v="160"/>
    <s v="F1"/>
    <x v="8"/>
    <s v="H000004899"/>
    <s v="1227RI - PACKAGING"/>
    <s v="H000004893"/>
    <s v="New"/>
    <x v="0"/>
    <x v="0"/>
    <s v="HC"/>
    <m/>
    <m/>
    <s v="Peter Souza"/>
  </r>
  <r>
    <n v="161"/>
    <s v="F1"/>
    <x v="8"/>
    <s v="H000004900"/>
    <s v="1227RI - MAINTENANCE AND ENGINEERING"/>
    <s v="H000004894"/>
    <s v="New"/>
    <x v="0"/>
    <x v="0"/>
    <s v="HC"/>
    <m/>
    <m/>
    <s v="Peter Souza"/>
  </r>
  <r>
    <n v="162"/>
    <s v="F1"/>
    <x v="8"/>
    <s v="H000004901"/>
    <s v="1227RI - SUPPLY AND PLANNING"/>
    <s v="H000004894"/>
    <s v="New"/>
    <x v="0"/>
    <x v="0"/>
    <s v="HC"/>
    <m/>
    <m/>
    <s v="Peter Souza"/>
  </r>
  <r>
    <n v="163"/>
    <s v="F1"/>
    <x v="8"/>
    <s v="H000004902"/>
    <s v="1227RI - SITE SERVICES"/>
    <s v="H000004894"/>
    <s v="New"/>
    <x v="0"/>
    <x v="0"/>
    <s v="HC"/>
    <m/>
    <m/>
    <s v="Peter Souza"/>
  </r>
  <r>
    <n v="164"/>
    <s v="F1"/>
    <x v="8"/>
    <s v="H000004903"/>
    <s v="1227RI - MANUFACTURING FACILITIES"/>
    <s v="H000004895"/>
    <s v="New"/>
    <x v="0"/>
    <x v="0"/>
    <s v="HC"/>
    <m/>
    <m/>
    <s v="Peter Souza"/>
  </r>
  <r>
    <n v="165"/>
    <s v="F1"/>
    <x v="8"/>
    <s v="H000004904"/>
    <s v="1227RI - PACKAGING FACILITIES"/>
    <s v="H000004895"/>
    <s v="New"/>
    <x v="0"/>
    <x v="0"/>
    <s v="HC"/>
    <m/>
    <m/>
    <s v="Peter Souza"/>
  </r>
  <r>
    <n v="166"/>
    <s v="F1"/>
    <x v="8"/>
    <s v="H000004905"/>
    <s v="1227RI - SHARED OPERATIONS FACILITIES"/>
    <s v="H000004895"/>
    <s v="New"/>
    <x v="0"/>
    <x v="0"/>
    <s v="HC"/>
    <m/>
    <m/>
    <s v="Peter Souza"/>
  </r>
  <r>
    <n v="167"/>
    <s v="F1"/>
    <x v="8"/>
    <s v="H000004906"/>
    <s v="1227RI - OTHER FACILITIES"/>
    <s v="H000004895"/>
    <s v="New"/>
    <x v="0"/>
    <x v="0"/>
    <s v="HC"/>
    <m/>
    <m/>
    <s v="Peter Souza"/>
  </r>
  <r>
    <n v="168"/>
    <s v="F1"/>
    <x v="8"/>
    <s v="H000004907"/>
    <s v="1227RI - SOLIDS"/>
    <s v="H000004898"/>
    <s v="New"/>
    <x v="0"/>
    <x v="0"/>
    <s v="HC"/>
    <m/>
    <m/>
    <s v="Peter Souza"/>
  </r>
  <r>
    <n v="169"/>
    <s v="F1"/>
    <x v="8"/>
    <s v="H000004908"/>
    <s v="1227RI - SOLIDS"/>
    <s v="H000004899"/>
    <s v="New"/>
    <x v="0"/>
    <x v="0"/>
    <s v="HC"/>
    <m/>
    <m/>
    <s v="Peter Souza"/>
  </r>
  <r>
    <n v="170"/>
    <s v="F1"/>
    <x v="8"/>
    <s v="H000004909"/>
    <s v="1227RI - LABOR"/>
    <s v="H000004907"/>
    <s v="New"/>
    <x v="0"/>
    <x v="0"/>
    <s v="HC"/>
    <m/>
    <m/>
    <s v="Peter Souza"/>
  </r>
  <r>
    <n v="171"/>
    <s v="F1"/>
    <x v="8"/>
    <s v="H000004910"/>
    <s v="1227RI - EQUIPMENTS"/>
    <s v="H000004907"/>
    <s v="New"/>
    <x v="0"/>
    <x v="0"/>
    <s v="HC"/>
    <m/>
    <m/>
    <s v="Peter Souza"/>
  </r>
  <r>
    <n v="172"/>
    <s v="F1"/>
    <x v="8"/>
    <s v="H000004911"/>
    <s v="1227RI - INDIRECT SERVICES"/>
    <s v="H000004907"/>
    <s v="New"/>
    <x v="0"/>
    <x v="0"/>
    <s v="HC"/>
    <m/>
    <m/>
    <s v="Peter Souza"/>
  </r>
  <r>
    <n v="173"/>
    <s v="F1"/>
    <x v="8"/>
    <s v="H000004912"/>
    <s v="1227RI - MCC"/>
    <s v="H000004907"/>
    <s v="New"/>
    <x v="0"/>
    <x v="0"/>
    <s v="HC"/>
    <m/>
    <m/>
    <s v="Peter Souza"/>
  </r>
  <r>
    <n v="174"/>
    <s v="F1"/>
    <x v="8"/>
    <s v="H000004913"/>
    <s v="1227RI - LABOR"/>
    <s v="H000004907"/>
    <s v="New"/>
    <x v="0"/>
    <x v="0"/>
    <s v="HC"/>
    <m/>
    <m/>
    <s v="Peter Souza"/>
  </r>
  <r>
    <n v="175"/>
    <s v="F1"/>
    <x v="8"/>
    <s v="H000004914"/>
    <s v="1227RI - EQUIPMENTS"/>
    <s v="H000004907"/>
    <s v="New"/>
    <x v="0"/>
    <x v="0"/>
    <s v="HC"/>
    <m/>
    <m/>
    <s v="Peter Souza"/>
  </r>
  <r>
    <n v="176"/>
    <s v="F1"/>
    <x v="8"/>
    <s v="H000004915"/>
    <s v="1227RI - INDIRECT SERVICES"/>
    <s v="H000004907"/>
    <s v="New"/>
    <x v="0"/>
    <x v="0"/>
    <s v="HC"/>
    <m/>
    <m/>
    <s v="Peter Souza"/>
  </r>
  <r>
    <n v="177"/>
    <s v="F1"/>
    <x v="8"/>
    <s v="H000004916"/>
    <s v="1227RI - MCC"/>
    <s v="H000004907"/>
    <s v="New"/>
    <x v="0"/>
    <x v="0"/>
    <s v="HC"/>
    <m/>
    <m/>
    <s v="Peter Souza"/>
  </r>
  <r>
    <n v="178"/>
    <s v="F1"/>
    <x v="8"/>
    <s v="H000004913"/>
    <m/>
    <s v="H000004908"/>
    <s v="Move"/>
    <x v="0"/>
    <x v="0"/>
    <s v="HC"/>
    <m/>
    <m/>
    <s v="Peter Souza"/>
  </r>
  <r>
    <n v="179"/>
    <s v="F1"/>
    <x v="8"/>
    <s v="H000004914"/>
    <m/>
    <s v="H000004908"/>
    <s v="Move"/>
    <x v="0"/>
    <x v="0"/>
    <s v="HC"/>
    <m/>
    <m/>
    <s v="Peter Souza"/>
  </r>
  <r>
    <n v="180"/>
    <s v="F1"/>
    <x v="8"/>
    <s v="H000004915"/>
    <m/>
    <s v="H000004908"/>
    <s v="Move"/>
    <x v="0"/>
    <x v="0"/>
    <s v="HC"/>
    <m/>
    <m/>
    <s v="Peter Souza"/>
  </r>
  <r>
    <n v="181"/>
    <s v="F1"/>
    <x v="8"/>
    <s v="H000004916"/>
    <m/>
    <s v="H000004908"/>
    <s v="Move"/>
    <x v="0"/>
    <x v="0"/>
    <s v="HC"/>
    <m/>
    <m/>
    <s v="Peter Souza"/>
  </r>
  <r>
    <n v="182"/>
    <s v="F1"/>
    <x v="8"/>
    <s v="H000004917"/>
    <s v="SCALA_1248 A350"/>
    <s v="H000000726"/>
    <s v="New"/>
    <x v="0"/>
    <x v="0"/>
    <s v="HC"/>
    <m/>
    <m/>
    <s v="Erjo Miguel Tagle"/>
  </r>
  <r>
    <n v="183"/>
    <s v="F1"/>
    <x v="8"/>
    <s v="H000004918"/>
    <s v="SCALA_1248 A351"/>
    <s v="H000000802"/>
    <s v="New"/>
    <x v="0"/>
    <x v="0"/>
    <s v="HC"/>
    <m/>
    <m/>
    <s v="Erjo Miguel Tagle"/>
  </r>
  <r>
    <n v="184"/>
    <s v="F1"/>
    <x v="8"/>
    <s v="H000004919"/>
    <s v="SCALA_1248 A353"/>
    <s v="H000000802"/>
    <s v="New"/>
    <x v="0"/>
    <x v="0"/>
    <s v="HC"/>
    <m/>
    <m/>
    <s v="Erjo Miguel Tagle"/>
  </r>
  <r>
    <n v="185"/>
    <s v="F1"/>
    <x v="9"/>
    <s v="H000004920"/>
    <s v="Business Unit RT"/>
    <s v="H000003975"/>
    <s v="New"/>
    <x v="0"/>
    <x v="0"/>
    <s v="HC"/>
    <m/>
    <m/>
    <s v="Rayneil"/>
  </r>
  <r>
    <n v="186"/>
    <s v="F1"/>
    <x v="9"/>
    <s v="H000004921"/>
    <s v="Field Force RT"/>
    <s v="H000004920"/>
    <s v="New"/>
    <x v="0"/>
    <x v="0"/>
    <s v="HC"/>
    <m/>
    <m/>
    <s v="Rayneil"/>
  </r>
  <r>
    <n v="187"/>
    <s v="F1"/>
    <x v="9"/>
    <s v="H000004922"/>
    <s v="ISS RT"/>
    <s v="H000004920"/>
    <s v="New"/>
    <x v="0"/>
    <x v="0"/>
    <s v="HC"/>
    <m/>
    <m/>
    <s v="Rayneil"/>
  </r>
  <r>
    <n v="188"/>
    <s v="F1"/>
    <x v="9"/>
    <s v="H000004923"/>
    <s v="Sales Promotion Ogsiveo"/>
    <s v="H000004920"/>
    <s v="New"/>
    <x v="0"/>
    <x v="0"/>
    <s v="HC"/>
    <m/>
    <m/>
    <s v="Rayneil"/>
  </r>
  <r>
    <n v="189"/>
    <s v="F1"/>
    <x v="9"/>
    <s v="H000004924"/>
    <s v="Sales Promotion Ezmekli"/>
    <s v="H000004920"/>
    <s v="New"/>
    <x v="0"/>
    <x v="0"/>
    <s v="HC"/>
    <m/>
    <m/>
    <s v="Rayneil"/>
  </r>
  <r>
    <n v="190"/>
    <s v="F1"/>
    <x v="9"/>
    <s v="H000004925"/>
    <s v="Medical Dptm. RT"/>
    <s v="H000003990"/>
    <s v="New"/>
    <x v="0"/>
    <x v="0"/>
    <s v="HC"/>
    <m/>
    <m/>
    <s v="Rayneil"/>
  </r>
  <r>
    <n v="191"/>
    <s v="F1"/>
    <x v="9"/>
    <s v="H000004926"/>
    <s v="Medical non R&amp;D Ogsiveo"/>
    <s v="H000003990"/>
    <s v="New"/>
    <x v="0"/>
    <x v="0"/>
    <s v="HC"/>
    <m/>
    <m/>
    <s v="Rayneil"/>
  </r>
  <r>
    <n v="192"/>
    <s v="F1"/>
    <x v="9"/>
    <s v="H000004927"/>
    <s v="Medical non R&amp;D Ezmekli"/>
    <s v="H000003990"/>
    <s v="New"/>
    <x v="0"/>
    <x v="0"/>
    <s v="HC"/>
    <m/>
    <m/>
    <s v="Rayneil"/>
  </r>
  <r>
    <n v="193"/>
    <s v="F1"/>
    <x v="9"/>
    <s v="H000004928"/>
    <s v="Medical Studies Ogsiveo"/>
    <s v="H000003990"/>
    <s v="New"/>
    <x v="0"/>
    <x v="0"/>
    <s v="HC"/>
    <m/>
    <m/>
    <s v="Rayneil"/>
  </r>
  <r>
    <n v="194"/>
    <s v="F1"/>
    <x v="9"/>
    <s v="H000004929"/>
    <s v="Medical Studies Ezmekli"/>
    <s v="H000003990"/>
    <s v="New"/>
    <x v="0"/>
    <x v="0"/>
    <s v="HC"/>
    <m/>
    <m/>
    <s v="Rayneil"/>
  </r>
  <r>
    <n v="195"/>
    <s v="F1"/>
    <x v="10"/>
    <s v="H000004930"/>
    <s v="Global Strategy and BD &amp; Alliance Mgmt."/>
    <s v="H000000000"/>
    <s v="New"/>
    <x v="0"/>
    <x v="0"/>
    <s v="HC"/>
    <m/>
    <m/>
    <s v="Luis Rivoir"/>
  </r>
  <r>
    <n v="196"/>
    <s v="F1"/>
    <x v="10"/>
    <s v="H000004931"/>
    <s v="HC HF CFO Area"/>
    <s v="H000000005"/>
    <s v="New"/>
    <x v="0"/>
    <x v="0"/>
    <s v="HC"/>
    <m/>
    <m/>
    <s v="Luis Rivoir"/>
  </r>
  <r>
    <n v="197"/>
    <s v="F1"/>
    <x v="10"/>
    <s v="H000000949"/>
    <m/>
    <s v="H000004930"/>
    <s v="Move"/>
    <x v="0"/>
    <x v="0"/>
    <s v="HC"/>
    <m/>
    <m/>
    <s v="Luis Rivoir"/>
  </r>
  <r>
    <n v="198"/>
    <s v="F1"/>
    <x v="10"/>
    <s v="H000000947"/>
    <m/>
    <s v="H000004930"/>
    <s v="Move"/>
    <x v="0"/>
    <x v="0"/>
    <s v="HC"/>
    <m/>
    <m/>
    <s v="Luis Rivoir"/>
  </r>
  <r>
    <n v="199"/>
    <s v="F1"/>
    <x v="10"/>
    <s v="H000004379"/>
    <m/>
    <s v="H000004930"/>
    <s v="Move"/>
    <x v="0"/>
    <x v="0"/>
    <s v="HC"/>
    <m/>
    <m/>
    <s v="Luis Rivoir"/>
  </r>
  <r>
    <n v="200"/>
    <s v="F1"/>
    <x v="10"/>
    <s v="H000000456"/>
    <m/>
    <s v="H000004931"/>
    <s v="Move"/>
    <x v="0"/>
    <x v="0"/>
    <s v="HC"/>
    <m/>
    <m/>
    <s v="Luis Rivoir"/>
  </r>
  <r>
    <n v="201"/>
    <s v="F1"/>
    <x v="10"/>
    <s v="H000004165"/>
    <m/>
    <s v="H000004931"/>
    <s v="Move"/>
    <x v="0"/>
    <x v="0"/>
    <s v="HC"/>
    <m/>
    <m/>
    <s v="Luis Rivoir"/>
  </r>
  <r>
    <n v="202"/>
    <s v="F1"/>
    <x v="10"/>
    <s v="H000004174"/>
    <m/>
    <s v="H000004931"/>
    <s v="Move"/>
    <x v="0"/>
    <x v="0"/>
    <s v="HC"/>
    <m/>
    <m/>
    <s v="Luis Rivoir"/>
  </r>
  <r>
    <n v="203"/>
    <s v="F1"/>
    <x v="10"/>
    <s v="H000004177"/>
    <m/>
    <s v="H000004931"/>
    <s v="Move"/>
    <x v="0"/>
    <x v="0"/>
    <s v="HC"/>
    <m/>
    <m/>
    <s v="Luis Rivoir"/>
  </r>
  <r>
    <n v="204"/>
    <s v="F1"/>
    <x v="11"/>
    <s v="L000013916"/>
    <s v="AS Value Stream"/>
    <s v="L000009201"/>
    <s v="New"/>
    <x v="0"/>
    <x v="0"/>
    <s v="LS"/>
    <m/>
    <m/>
    <s v="Ruby Grace Garcia"/>
  </r>
  <r>
    <n v="205"/>
    <s v="F1"/>
    <x v="11"/>
    <s v="L000013917"/>
    <s v="Global EHS"/>
    <s v="L000009201"/>
    <s v="New"/>
    <x v="0"/>
    <x v="0"/>
    <s v="LS"/>
    <m/>
    <m/>
    <s v="Ruby Grace Garcia"/>
  </r>
  <r>
    <n v="206"/>
    <s v="F1"/>
    <x v="11"/>
    <s v="L000013918"/>
    <s v="Value Chain Chemistry"/>
    <s v="L000013422"/>
    <s v="New"/>
    <x v="0"/>
    <x v="0"/>
    <s v="LS"/>
    <m/>
    <m/>
    <s v="Ruby Grace Garcia"/>
  </r>
  <r>
    <n v="207"/>
    <s v="F1"/>
    <x v="11"/>
    <s v="L000013919"/>
    <s v="Value Chain Biology"/>
    <s v="L000013422"/>
    <s v="New"/>
    <x v="0"/>
    <x v="0"/>
    <s v="LS"/>
    <m/>
    <m/>
    <s v="Ruby Grace Garcia"/>
  </r>
  <r>
    <n v="208"/>
    <s v="F1"/>
    <x v="11"/>
    <s v="L000013920"/>
    <s v="Process Governance &amp; Cap"/>
    <s v="L000013422"/>
    <s v="New"/>
    <x v="0"/>
    <x v="0"/>
    <s v="LS"/>
    <m/>
    <m/>
    <s v="Ruby Grace Garcia"/>
  </r>
  <r>
    <n v="209"/>
    <s v="F1"/>
    <x v="11"/>
    <s v="L000013921"/>
    <s v="Downfilling COE"/>
    <s v="L000013422"/>
    <s v="New"/>
    <x v="0"/>
    <x v="0"/>
    <s v="LS"/>
    <m/>
    <m/>
    <s v="Ruby Grace Garcia"/>
  </r>
  <r>
    <n v="210"/>
    <s v="F1"/>
    <x v="11"/>
    <s v="L000013922"/>
    <s v="Global Packaging"/>
    <s v="L000013422"/>
    <s v="New"/>
    <x v="0"/>
    <x v="0"/>
    <s v="LS"/>
    <m/>
    <m/>
    <s v="Ruby Grace Garcia"/>
  </r>
  <r>
    <n v="211"/>
    <s v="F1"/>
    <x v="11"/>
    <s v="L000013923"/>
    <s v="3PFG &amp; Resale"/>
    <s v="L000013422"/>
    <s v="New"/>
    <x v="0"/>
    <x v="0"/>
    <s v="LS"/>
    <m/>
    <m/>
    <s v="Ruby Grace Garcia"/>
  </r>
  <r>
    <n v="212"/>
    <s v="F1"/>
    <x v="11"/>
    <s v="L000013924"/>
    <s v="Value Chain DxRM"/>
    <s v="L000013916"/>
    <s v="New"/>
    <x v="0"/>
    <x v="0"/>
    <s v="LS"/>
    <m/>
    <m/>
    <s v="Ruby Grace Garcia"/>
  </r>
  <r>
    <n v="213"/>
    <s v="F1"/>
    <x v="11"/>
    <s v="L000013925"/>
    <s v="Value Chain BioM"/>
    <s v="L000013916"/>
    <s v="New"/>
    <x v="0"/>
    <x v="0"/>
    <s v="LS"/>
    <m/>
    <m/>
    <s v="Ruby Grace Garcia"/>
  </r>
  <r>
    <n v="214"/>
    <s v="F1"/>
    <x v="11"/>
    <s v="L000013926"/>
    <s v="Strat Projects"/>
    <s v="L000013916"/>
    <s v="New"/>
    <x v="0"/>
    <x v="0"/>
    <s v="LS"/>
    <m/>
    <m/>
    <s v="Ruby Grace Garcia"/>
  </r>
  <r>
    <n v="215"/>
    <s v="F1"/>
    <x v="11"/>
    <s v="L000013927"/>
    <s v="Value Chain LabW"/>
    <s v="L000013916"/>
    <s v="New"/>
    <x v="0"/>
    <x v="0"/>
    <s v="LS"/>
    <m/>
    <m/>
    <s v="Ruby Grace Garcia"/>
  </r>
  <r>
    <n v="216"/>
    <s v="F1"/>
    <x v="11"/>
    <s v="L000013928"/>
    <s v="Global Distribution"/>
    <s v="L000009201"/>
    <s v="New"/>
    <x v="0"/>
    <x v="0"/>
    <s v="LS"/>
    <m/>
    <m/>
    <s v="Ruby Grace Garcia"/>
  </r>
  <r>
    <n v="217"/>
    <s v="F1"/>
    <x v="11"/>
    <s v="L000013929"/>
    <s v="Integrated Business Management"/>
    <s v="L000009794"/>
    <s v="New"/>
    <x v="0"/>
    <x v="0"/>
    <s v="LS"/>
    <m/>
    <m/>
    <s v="Ruby Grace Garcia"/>
  </r>
  <r>
    <n v="218"/>
    <s v="F1"/>
    <x v="11"/>
    <s v="L000013930"/>
    <s v="Plan to Deliver ERP BPO"/>
    <s v="L000009794"/>
    <s v="New"/>
    <x v="0"/>
    <x v="0"/>
    <s v="LS"/>
    <m/>
    <m/>
    <s v="Ruby Grace Garcia"/>
  </r>
  <r>
    <n v="219"/>
    <s v="F1"/>
    <x v="11"/>
    <s v="L000013931"/>
    <s v="LS ERP Sustain &amp; Enhance"/>
    <s v="L000013728"/>
    <s v="New"/>
    <x v="0"/>
    <x v="0"/>
    <s v="LS"/>
    <m/>
    <m/>
    <s v="Ruby Grace Garcia"/>
  </r>
  <r>
    <n v="220"/>
    <s v="F1"/>
    <x v="11"/>
    <s v="L000013932"/>
    <s v="St. Louis Admin (Non-GPO)"/>
    <s v="L000013445"/>
    <s v="New"/>
    <x v="0"/>
    <x v="0"/>
    <s v="LS"/>
    <m/>
    <m/>
    <s v="Ruby Grace Garcia"/>
  </r>
  <r>
    <n v="221"/>
    <s v="F1"/>
    <x v="11"/>
    <s v="L000013933"/>
    <s v="Business Development AS"/>
    <s v="L000011322"/>
    <s v="New"/>
    <x v="0"/>
    <x v="0"/>
    <s v="LS"/>
    <m/>
    <m/>
    <s v="Ruby Grace Garcia"/>
  </r>
  <r>
    <n v="222"/>
    <s v="F1"/>
    <x v="11"/>
    <s v="L000013934"/>
    <s v="Business Development Ops"/>
    <s v="L000011322"/>
    <s v="New"/>
    <x v="0"/>
    <x v="0"/>
    <s v="LS"/>
    <m/>
    <m/>
    <s v="Ruby Grace Garcia"/>
  </r>
  <r>
    <n v="223"/>
    <s v="F1"/>
    <x v="11"/>
    <s v="L000013935"/>
    <s v="Business Development DS"/>
    <s v="L000011322"/>
    <s v="New"/>
    <x v="0"/>
    <x v="0"/>
    <s v="LS"/>
    <m/>
    <m/>
    <s v="Ruby Grace Garcia"/>
  </r>
  <r>
    <n v="224"/>
    <s v="F1"/>
    <x v="11"/>
    <s v="L000013936"/>
    <s v="Business Development PS"/>
    <s v="L000011322"/>
    <s v="New"/>
    <x v="0"/>
    <x v="0"/>
    <s v="LS"/>
    <m/>
    <m/>
    <s v="Ruby Grace Garcia"/>
  </r>
  <r>
    <n v="225"/>
    <s v="F1"/>
    <x v="11"/>
    <s v="L000013937"/>
    <s v="Business Development APAC"/>
    <s v="L000011322"/>
    <s v="New"/>
    <x v="0"/>
    <x v="0"/>
    <s v="LS"/>
    <m/>
    <m/>
    <s v="Ruby Grace Garcia"/>
  </r>
  <r>
    <n v="226"/>
    <s v="F1"/>
    <x v="11"/>
    <s v="L000013938"/>
    <s v="Out Licensing"/>
    <s v="L000011322"/>
    <s v="New"/>
    <x v="0"/>
    <x v="0"/>
    <s v="LS"/>
    <m/>
    <m/>
    <s v="Ruby Grace Garcia"/>
  </r>
  <r>
    <n v="227"/>
    <s v="F1"/>
    <x v="11"/>
    <s v="L000013939"/>
    <s v="In Organic Strategy"/>
    <s v="L000011322"/>
    <s v="New"/>
    <x v="0"/>
    <x v="0"/>
    <s v="LS"/>
    <m/>
    <m/>
    <s v="Ruby Grace Garcia"/>
  </r>
  <r>
    <n v="228"/>
    <s v="F1"/>
    <x v="11"/>
    <s v="L000013940"/>
    <s v="Pipeline Development &amp; Integration"/>
    <s v="L000011322"/>
    <s v="New"/>
    <x v="0"/>
    <x v="0"/>
    <s v="LS"/>
    <m/>
    <m/>
    <s v="Ruby Grace Garcia"/>
  </r>
  <r>
    <n v="229"/>
    <s v="F1"/>
    <x v="11"/>
    <s v="L000013941"/>
    <s v="LS Transformation"/>
    <s v="L000013623"/>
    <s v="New"/>
    <x v="0"/>
    <x v="0"/>
    <s v="LS"/>
    <m/>
    <m/>
    <s v="Ruby Grace Garcia"/>
  </r>
  <r>
    <n v="230"/>
    <s v="F1"/>
    <x v="11"/>
    <s v="L000013942"/>
    <s v="G1C PO - LS Process Solutions"/>
    <s v="L000013385"/>
    <s v="New"/>
    <x v="0"/>
    <x v="0"/>
    <s v="LS"/>
    <m/>
    <m/>
    <s v="Ruby Grace Garcia"/>
  </r>
  <r>
    <n v="231"/>
    <s v="F1"/>
    <x v="11"/>
    <s v="L000013943"/>
    <s v="G1C PO - LS Discovery Solutions"/>
    <s v="L000013385"/>
    <s v="New"/>
    <x v="0"/>
    <x v="0"/>
    <s v="LS"/>
    <m/>
    <m/>
    <s v="Ruby Grace Garcia"/>
  </r>
  <r>
    <n v="232"/>
    <s v="F1"/>
    <x v="11"/>
    <s v="L000013944"/>
    <s v="G1C PO - LS Advanced Solutions"/>
    <s v="L000013385"/>
    <s v="New"/>
    <x v="0"/>
    <x v="0"/>
    <s v="LS"/>
    <m/>
    <m/>
    <s v="Ruby Grace Garcia"/>
  </r>
  <r>
    <n v="233"/>
    <s v="F1"/>
    <x v="11"/>
    <s v="L000013945"/>
    <s v="G1C PO - LS Packaging"/>
    <s v="L000013385"/>
    <s v="New"/>
    <x v="0"/>
    <x v="0"/>
    <s v="LS"/>
    <m/>
    <m/>
    <s v="Ruby Grace Garcia"/>
  </r>
  <r>
    <n v="234"/>
    <s v="F1"/>
    <x v="11"/>
    <s v="L000013946"/>
    <s v="G1C PO - LS Global Sourcing Ops"/>
    <s v="L000013385"/>
    <s v="New"/>
    <x v="0"/>
    <x v="0"/>
    <s v="LS"/>
    <m/>
    <m/>
    <s v="Ruby Grace Garcia"/>
  </r>
  <r>
    <n v="235"/>
    <s v="F1"/>
    <x v="11"/>
    <s v="L000013947"/>
    <s v="G1C PO - LS Transformation"/>
    <s v="L000013385"/>
    <s v="New"/>
    <x v="0"/>
    <x v="0"/>
    <s v="LS"/>
    <m/>
    <m/>
    <s v="Ruby Grace Garcia"/>
  </r>
  <r>
    <n v="236"/>
    <s v="F1"/>
    <x v="11"/>
    <s v="L000013948"/>
    <s v="R&amp;D Innovation IT projects"/>
    <s v="L000010752"/>
    <s v="New"/>
    <x v="0"/>
    <x v="0"/>
    <s v="LS"/>
    <m/>
    <m/>
    <s v="Ruby Grace Garcia"/>
  </r>
  <r>
    <n v="237"/>
    <s v="F1"/>
    <x v="11"/>
    <s v="L000013949"/>
    <s v="Supply Chain &amp; MFG IT projects"/>
    <s v="L000010752"/>
    <s v="New"/>
    <x v="0"/>
    <x v="0"/>
    <s v="LS"/>
    <m/>
    <m/>
    <s v="Ruby Grace Garcia"/>
  </r>
  <r>
    <n v="238"/>
    <s v="F1"/>
    <x v="11"/>
    <s v="L000013950"/>
    <s v="Quality &amp; Regulatory IT projects"/>
    <s v="L000010752"/>
    <s v="New"/>
    <x v="0"/>
    <x v="0"/>
    <s v="LS"/>
    <m/>
    <m/>
    <s v="Ruby Grace Garcia"/>
  </r>
  <r>
    <n v="239"/>
    <s v="F1"/>
    <x v="11"/>
    <s v="L000013951"/>
    <s v="Customer Exp/Marketing &amp; Sales IT Proj"/>
    <s v="L000010752"/>
    <s v="New"/>
    <x v="0"/>
    <x v="0"/>
    <s v="LS"/>
    <m/>
    <m/>
    <s v="Ruby Grace Garcia"/>
  </r>
  <r>
    <n v="240"/>
    <s v="F1"/>
    <x v="11"/>
    <s v="L000013952"/>
    <s v="Global Business Partners Communications"/>
    <s v="L000013734"/>
    <s v="New"/>
    <x v="0"/>
    <x v="0"/>
    <s v="LS"/>
    <m/>
    <m/>
    <s v="Ruby Grace Garcia"/>
  </r>
  <r>
    <n v="241"/>
    <s v="F1"/>
    <x v="11"/>
    <s v="L000013953"/>
    <s v="Employee Communications &amp; Engagement"/>
    <s v="L000013734"/>
    <s v="New"/>
    <x v="0"/>
    <x v="0"/>
    <s v="LS"/>
    <m/>
    <m/>
    <s v="Ruby Grace Garcia"/>
  </r>
  <r>
    <n v="242"/>
    <s v="F1"/>
    <x v="11"/>
    <s v="L000013954"/>
    <s v="Regional Communication"/>
    <s v="L000013734"/>
    <s v="New"/>
    <x v="0"/>
    <x v="0"/>
    <s v="LS"/>
    <m/>
    <m/>
    <s v="Ruby Grace Garcia"/>
  </r>
  <r>
    <n v="243"/>
    <s v="F1"/>
    <x v="11"/>
    <s v="L000013955"/>
    <s v="Comms Strategy Realization Office"/>
    <s v="L000013734"/>
    <s v="New"/>
    <x v="0"/>
    <x v="0"/>
    <s v="LS"/>
    <m/>
    <m/>
    <s v="Ruby Grace Garcia"/>
  </r>
  <r>
    <n v="244"/>
    <s v="F1"/>
    <x v="11"/>
    <s v="L000013956"/>
    <s v="Change Management"/>
    <s v="L000013955"/>
    <s v="New"/>
    <x v="0"/>
    <x v="0"/>
    <s v="LS"/>
    <m/>
    <m/>
    <s v="Ruby Grace Garcia"/>
  </r>
  <r>
    <n v="245"/>
    <s v="F1"/>
    <x v="11"/>
    <s v="L000013957"/>
    <s v="Project Management"/>
    <s v="L000013955"/>
    <s v="New"/>
    <x v="0"/>
    <x v="0"/>
    <s v="LS"/>
    <m/>
    <m/>
    <s v="Ruby Grace Garcia"/>
  </r>
  <r>
    <n v="246"/>
    <s v="F1"/>
    <x v="11"/>
    <s v="L000013958"/>
    <s v="Tradeshows &amp; Events"/>
    <s v="L000013955"/>
    <s v="New"/>
    <x v="0"/>
    <x v="0"/>
    <s v="LS"/>
    <m/>
    <m/>
    <s v="Ruby Grace Garcia"/>
  </r>
  <r>
    <n v="247"/>
    <s v="F1"/>
    <x v="11"/>
    <s v="L000013959"/>
    <s v="LS China"/>
    <s v="L000000000"/>
    <s v="New"/>
    <x v="0"/>
    <x v="0"/>
    <s v="LS"/>
    <m/>
    <m/>
    <s v="Ruby Grace Garcia"/>
  </r>
  <r>
    <n v="248"/>
    <s v="F1"/>
    <x v="11"/>
    <s v="L000013960"/>
    <s v="Customer Service PS China"/>
    <s v="L000013969"/>
    <s v="New"/>
    <x v="0"/>
    <x v="0"/>
    <s v="LS"/>
    <m/>
    <m/>
    <s v="Ruby Grace Garcia"/>
  </r>
  <r>
    <n v="249"/>
    <s v="F1"/>
    <x v="11"/>
    <s v="L000013961"/>
    <s v="old PS China - Not to be used"/>
    <s v="L000013880"/>
    <s v="New"/>
    <x v="0"/>
    <x v="0"/>
    <s v="LS"/>
    <m/>
    <m/>
    <s v="Ruby Grace Garcia"/>
  </r>
  <r>
    <n v="250"/>
    <s v="F1"/>
    <x v="11"/>
    <s v="L000013962"/>
    <s v="Process Solutions Commercial China"/>
    <s v="L000013880"/>
    <s v="New"/>
    <x v="0"/>
    <x v="0"/>
    <s v="LS"/>
    <m/>
    <m/>
    <s v="Ruby Grace Garcia"/>
  </r>
  <r>
    <n v="251"/>
    <s v="F1"/>
    <x v="11"/>
    <s v="L000013963"/>
    <s v="Customer Application China"/>
    <s v="L000013880"/>
    <s v="New"/>
    <x v="0"/>
    <x v="0"/>
    <s v="LS"/>
    <m/>
    <m/>
    <s v="Ruby Grace Garcia"/>
  </r>
  <r>
    <n v="252"/>
    <s v="F1"/>
    <x v="11"/>
    <s v="L000013964"/>
    <s v="Sales China"/>
    <s v="L000013880"/>
    <s v="New"/>
    <x v="0"/>
    <x v="0"/>
    <s v="LS"/>
    <m/>
    <m/>
    <s v="Ruby Grace Garcia"/>
  </r>
  <r>
    <n v="253"/>
    <s v="F1"/>
    <x v="11"/>
    <s v="L000013965"/>
    <s v="Field Service China"/>
    <s v="L000013880"/>
    <s v="New"/>
    <x v="0"/>
    <x v="0"/>
    <s v="LS"/>
    <m/>
    <m/>
    <s v="Ruby Grace Garcia"/>
  </r>
  <r>
    <n v="254"/>
    <s v="F1"/>
    <x v="11"/>
    <s v="L000013966"/>
    <s v="Sales Enablement &amp; Operations China"/>
    <s v="L000013880"/>
    <s v="New"/>
    <x v="0"/>
    <x v="0"/>
    <s v="LS"/>
    <m/>
    <m/>
    <s v="Ruby Grace Garcia"/>
  </r>
  <r>
    <n v="255"/>
    <s v="F1"/>
    <x v="11"/>
    <s v="L000013967"/>
    <s v="Technical &amp; Scientific Solutions China"/>
    <s v="L000013880"/>
    <s v="New"/>
    <x v="0"/>
    <x v="0"/>
    <s v="LS"/>
    <m/>
    <m/>
    <s v="Ruby Grace Garcia"/>
  </r>
  <r>
    <n v="256"/>
    <s v="F1"/>
    <x v="11"/>
    <s v="L000013968"/>
    <s v="China Office"/>
    <s v="L000013959"/>
    <s v="New"/>
    <x v="0"/>
    <x v="0"/>
    <s v="LS"/>
    <m/>
    <m/>
    <s v="Ruby Grace Garcia"/>
  </r>
  <r>
    <n v="257"/>
    <s v="F1"/>
    <x v="11"/>
    <s v="L000013969"/>
    <s v="Customer Service China"/>
    <s v="L000013959"/>
    <s v="New"/>
    <x v="0"/>
    <x v="0"/>
    <s v="LS"/>
    <m/>
    <m/>
    <s v="Ruby Grace Garcia"/>
  </r>
  <r>
    <n v="258"/>
    <s v="F1"/>
    <x v="11"/>
    <s v="L000013970"/>
    <s v="old SLS China - Not to be used"/>
    <s v="L000008319"/>
    <s v="New"/>
    <x v="0"/>
    <x v="0"/>
    <s v="LS"/>
    <m/>
    <m/>
    <s v="Ruby Grace Garcia"/>
  </r>
  <r>
    <n v="259"/>
    <s v="F1"/>
    <x v="11"/>
    <s v="L000013971"/>
    <s v="DA Chem Solutions &amp; Strategic Accounts"/>
    <s v="L000008319"/>
    <s v="New"/>
    <x v="0"/>
    <x v="0"/>
    <s v="LS"/>
    <m/>
    <m/>
    <s v="Ruby Grace Garcia"/>
  </r>
  <r>
    <n v="260"/>
    <s v="F1"/>
    <x v="11"/>
    <s v="L000013972"/>
    <s v="DB Analytical &amp; Bio Solutions"/>
    <s v="L000008319"/>
    <s v="New"/>
    <x v="0"/>
    <x v="0"/>
    <s v="LS"/>
    <m/>
    <m/>
    <s v="Ruby Grace Garcia"/>
  </r>
  <r>
    <n v="261"/>
    <s v="F1"/>
    <x v="11"/>
    <s v="L000013973"/>
    <s v="DC Commercial Excellence &amp; Operation"/>
    <s v="L000008319"/>
    <s v="New"/>
    <x v="0"/>
    <x v="0"/>
    <s v="LS"/>
    <m/>
    <m/>
    <s v="Ruby Grace Garcia"/>
  </r>
  <r>
    <n v="262"/>
    <s v="F1"/>
    <x v="11"/>
    <s v="L000013974"/>
    <s v="China Office and Business Transformation"/>
    <s v="L000008319"/>
    <s v="New"/>
    <x v="0"/>
    <x v="0"/>
    <s v="LS"/>
    <m/>
    <m/>
    <s v="Ruby Grace Garcia"/>
  </r>
  <r>
    <n v="263"/>
    <s v="F1"/>
    <x v="11"/>
    <s v="L000013975"/>
    <s v="DR Business Management Excellence"/>
    <s v="L000008319"/>
    <s v="New"/>
    <x v="0"/>
    <x v="0"/>
    <s v="LS"/>
    <m/>
    <m/>
    <s v="Ruby Grace Garcia"/>
  </r>
  <r>
    <n v="264"/>
    <s v="F1"/>
    <x v="11"/>
    <s v="L000013976"/>
    <s v="DU LS China GBA and BD"/>
    <s v="L000008319"/>
    <s v="New"/>
    <x v="0"/>
    <x v="0"/>
    <s v="LS"/>
    <m/>
    <m/>
    <s v="Ruby Grace Garcia"/>
  </r>
  <r>
    <n v="265"/>
    <s v="F1"/>
    <x v="11"/>
    <s v="L000013977"/>
    <s v="Advanced Solutions Commercial China"/>
    <s v="L000013959"/>
    <s v="New"/>
    <x v="0"/>
    <x v="0"/>
    <s v="LS"/>
    <m/>
    <m/>
    <s v="Ruby Grace Garcia"/>
  </r>
  <r>
    <n v="266"/>
    <s v="F1"/>
    <x v="11"/>
    <s v="L000013978"/>
    <s v="AB BioM China Sales"/>
    <s v="L000013977"/>
    <s v="New"/>
    <x v="0"/>
    <x v="0"/>
    <s v="LS"/>
    <m/>
    <m/>
    <s v="Ruby Grace Garcia"/>
  </r>
  <r>
    <n v="267"/>
    <s v="F1"/>
    <x v="11"/>
    <s v="L000013979"/>
    <s v="AD DxRM Solutions"/>
    <s v="L000013977"/>
    <s v="New"/>
    <x v="0"/>
    <x v="0"/>
    <s v="LS"/>
    <m/>
    <m/>
    <s v="Ruby Grace Garcia"/>
  </r>
  <r>
    <n v="268"/>
    <s v="F1"/>
    <x v="11"/>
    <s v="L000013980"/>
    <s v="AL Lab Water China Sales &amp; Services"/>
    <s v="L000013977"/>
    <s v="New"/>
    <x v="0"/>
    <x v="0"/>
    <s v="LS"/>
    <m/>
    <m/>
    <s v="Ruby Grace Garcia"/>
  </r>
  <r>
    <n v="269"/>
    <s v="F1"/>
    <x v="11"/>
    <s v="L000013981"/>
    <s v="AB BioM China Sales"/>
    <s v="L000013977"/>
    <s v="New"/>
    <x v="0"/>
    <x v="0"/>
    <s v="LS"/>
    <m/>
    <m/>
    <s v="Ruby Grace Garcia"/>
  </r>
  <r>
    <n v="270"/>
    <s v="F1"/>
    <x v="11"/>
    <s v="L000013982"/>
    <s v="AT CTS Commercial China"/>
    <s v="L000013977"/>
    <s v="New"/>
    <x v="0"/>
    <x v="0"/>
    <s v="LS"/>
    <m/>
    <m/>
    <s v="Ruby Grace Garcia"/>
  </r>
  <r>
    <n v="271"/>
    <s v="F1"/>
    <x v="11"/>
    <s v="L000013983"/>
    <s v="Innovation &amp; Portfolio Management"/>
    <s v="L000007121"/>
    <s v="New"/>
    <x v="0"/>
    <x v="0"/>
    <s v="LS"/>
    <m/>
    <m/>
    <s v="Ruby Grace Garcia"/>
  </r>
  <r>
    <n v="272"/>
    <s v="F1"/>
    <x v="11"/>
    <s v="L000013984"/>
    <s v="Tissue and Molecular Diagnostics"/>
    <s v="L000005842"/>
    <s v="New"/>
    <x v="0"/>
    <x v="0"/>
    <s v="LS"/>
    <m/>
    <m/>
    <s v="Ruby Grace Garcia"/>
  </r>
  <r>
    <n v="273"/>
    <s v="F1"/>
    <x v="11"/>
    <s v="L000013985"/>
    <s v="Business Planning &amp; Execution"/>
    <s v="L000005842"/>
    <s v="New"/>
    <x v="0"/>
    <x v="0"/>
    <s v="LS"/>
    <m/>
    <m/>
    <s v="Ruby Grace Garcia"/>
  </r>
  <r>
    <n v="274"/>
    <s v="F1"/>
    <x v="11"/>
    <s v="L000013986"/>
    <s v="Commercial Americas"/>
    <s v="L000005842"/>
    <s v="New"/>
    <x v="0"/>
    <x v="0"/>
    <s v="LS"/>
    <m/>
    <m/>
    <s v="Ruby Grace Garcia"/>
  </r>
  <r>
    <n v="275"/>
    <s v="F1"/>
    <x v="11"/>
    <s v="L000013987"/>
    <s v="DxRM Sales Region East"/>
    <s v="L000013986"/>
    <s v="New"/>
    <x v="0"/>
    <x v="0"/>
    <s v="LS"/>
    <m/>
    <m/>
    <s v="Ruby Grace Garcia"/>
  </r>
  <r>
    <n v="276"/>
    <s v="F1"/>
    <x v="11"/>
    <s v="L000013988"/>
    <s v="DxRM Inside Sales"/>
    <s v="L000013986"/>
    <s v="New"/>
    <x v="0"/>
    <x v="0"/>
    <s v="LS"/>
    <m/>
    <m/>
    <s v="Ruby Grace Garcia"/>
  </r>
  <r>
    <n v="277"/>
    <s v="F1"/>
    <x v="11"/>
    <s v="L000013989"/>
    <s v="DxRM Latam"/>
    <s v="L000013986"/>
    <s v="New"/>
    <x v="0"/>
    <x v="0"/>
    <s v="LS"/>
    <m/>
    <m/>
    <s v="Ruby Grace Garcia"/>
  </r>
  <r>
    <n v="278"/>
    <s v="F1"/>
    <x v="11"/>
    <s v="L000013990"/>
    <s v="DxRM Sales Region West"/>
    <s v="L000013986"/>
    <s v="New"/>
    <x v="0"/>
    <x v="0"/>
    <s v="LS"/>
    <m/>
    <m/>
    <s v="Ruby Grace Garcia"/>
  </r>
  <r>
    <n v="279"/>
    <s v="F1"/>
    <x v="11"/>
    <s v="L000013991"/>
    <s v="IVD Sales Region West"/>
    <s v="L000013986"/>
    <s v="New"/>
    <x v="0"/>
    <x v="0"/>
    <s v="LS"/>
    <m/>
    <m/>
    <s v="Ruby Grace Garcia"/>
  </r>
  <r>
    <n v="280"/>
    <s v="F1"/>
    <x v="11"/>
    <s v="L000013992"/>
    <s v="IVD Sales Region East"/>
    <s v="L000013986"/>
    <s v="New"/>
    <x v="0"/>
    <x v="0"/>
    <s v="LS"/>
    <m/>
    <m/>
    <s v="Ruby Grace Garcia"/>
  </r>
  <r>
    <n v="281"/>
    <s v="F1"/>
    <x v="11"/>
    <s v="L000013993"/>
    <s v="Commercial EMEA"/>
    <s v="L000005842"/>
    <s v="New"/>
    <x v="0"/>
    <x v="0"/>
    <s v="LS"/>
    <m/>
    <m/>
    <s v="Ruby Grace Garcia"/>
  </r>
  <r>
    <n v="282"/>
    <s v="F1"/>
    <x v="11"/>
    <s v="L000013994"/>
    <s v="Commercial APeC"/>
    <s v="L000005842"/>
    <s v="New"/>
    <x v="0"/>
    <x v="0"/>
    <s v="LS"/>
    <m/>
    <m/>
    <s v="Ruby Grace Garcia"/>
  </r>
  <r>
    <n v="283"/>
    <s v="F1"/>
    <x v="11"/>
    <s v="L000013995"/>
    <s v="Sales Specialists"/>
    <s v="L000005842"/>
    <s v="New"/>
    <x v="0"/>
    <x v="0"/>
    <s v="LS"/>
    <m/>
    <m/>
    <s v="Ruby Grace Garcia"/>
  </r>
  <r>
    <n v="284"/>
    <s v="F1"/>
    <x v="11"/>
    <s v="L000013996"/>
    <s v="AS Strategy Mgmt"/>
    <s v="L000012321"/>
    <s v="New"/>
    <x v="0"/>
    <x v="0"/>
    <s v="LS"/>
    <m/>
    <m/>
    <s v="Ruby Grace Garcia"/>
  </r>
  <r>
    <n v="285"/>
    <s v="F1"/>
    <x v="11"/>
    <s v="L000013997"/>
    <s v="AS Strategy BPs"/>
    <s v="L000012321"/>
    <s v="New"/>
    <x v="0"/>
    <x v="0"/>
    <s v="LS"/>
    <m/>
    <m/>
    <s v="Ruby Grace Garcia"/>
  </r>
  <r>
    <n v="286"/>
    <s v="F1"/>
    <x v="11"/>
    <s v="L000013998"/>
    <s v="LSS ComEx Legacy - not to be used"/>
    <s v="L000013183"/>
    <s v="New"/>
    <x v="0"/>
    <x v="0"/>
    <s v="LS"/>
    <m/>
    <m/>
    <s v="Ruby Grace Garcia"/>
  </r>
  <r>
    <n v="287"/>
    <s v="F1"/>
    <x v="11"/>
    <s v="L000013999"/>
    <s v="ComEx Mgmt"/>
    <s v="L000013183"/>
    <s v="New"/>
    <x v="0"/>
    <x v="0"/>
    <s v="LS"/>
    <m/>
    <m/>
    <s v="Ruby Grace Garcia"/>
  </r>
  <r>
    <n v="288"/>
    <s v="F1"/>
    <x v="11"/>
    <s v="L000014000"/>
    <s v="Commercial Performance"/>
    <s v="L000013183"/>
    <s v="New"/>
    <x v="0"/>
    <x v="0"/>
    <s v="LS"/>
    <m/>
    <m/>
    <s v="Ruby Grace Garcia"/>
  </r>
  <r>
    <n v="289"/>
    <s v="F1"/>
    <x v="11"/>
    <s v="L000014001"/>
    <s v="Commercial Analytics &amp; Customer EX"/>
    <s v="L000013183"/>
    <s v="New"/>
    <x v="0"/>
    <x v="0"/>
    <s v="LS"/>
    <m/>
    <m/>
    <s v="Ruby Grace Garcia"/>
  </r>
  <r>
    <n v="290"/>
    <s v="F1"/>
    <x v="11"/>
    <s v="L000014002"/>
    <s v="LS Education &amp; Capability planning"/>
    <s v="L000013183"/>
    <s v="New"/>
    <x v="0"/>
    <x v="0"/>
    <s v="LS"/>
    <m/>
    <m/>
    <s v="Ruby Grace Garcia"/>
  </r>
  <r>
    <n v="291"/>
    <s v="F1"/>
    <x v="11"/>
    <s v="L000014003"/>
    <s v="CRM Excellence"/>
    <s v="L000013183"/>
    <s v="New"/>
    <x v="0"/>
    <x v="0"/>
    <s v="LS"/>
    <m/>
    <m/>
    <s v="Ruby Grace Garcia"/>
  </r>
  <r>
    <n v="292"/>
    <s v="F1"/>
    <x v="11"/>
    <s v="L000014004"/>
    <s v="IBM"/>
    <s v="L000013183"/>
    <s v="New"/>
    <x v="0"/>
    <x v="0"/>
    <s v="LS"/>
    <m/>
    <m/>
    <s v="Ruby Grace Garcia"/>
  </r>
  <r>
    <n v="293"/>
    <s v="F1"/>
    <x v="11"/>
    <s v="L000014005"/>
    <s v="Cell Biology Solutions"/>
    <s v="L000011911"/>
    <s v="New"/>
    <x v="0"/>
    <x v="0"/>
    <s v="LS"/>
    <m/>
    <m/>
    <s v="Ruby Grace Garcia"/>
  </r>
  <r>
    <n v="294"/>
    <s v="F1"/>
    <x v="11"/>
    <s v="L000014006"/>
    <s v="HUB Organoids"/>
    <s v="L000011911"/>
    <s v="New"/>
    <x v="0"/>
    <x v="0"/>
    <s v="LS"/>
    <m/>
    <m/>
    <s v="Ruby Grace Garcia"/>
  </r>
  <r>
    <n v="295"/>
    <s v="F1"/>
    <x v="11"/>
    <s v="L000014007"/>
    <s v="HUB Organoids Sales Marketing BD"/>
    <s v="L000014006"/>
    <s v="New"/>
    <x v="0"/>
    <x v="0"/>
    <s v="LS"/>
    <m/>
    <m/>
    <s v="Ruby Grace Garcia"/>
  </r>
  <r>
    <n v="296"/>
    <s v="F1"/>
    <x v="11"/>
    <s v="L000014008"/>
    <s v="HUB Organoids HR"/>
    <s v="L000014006"/>
    <s v="New"/>
    <x v="0"/>
    <x v="0"/>
    <s v="LS"/>
    <m/>
    <m/>
    <s v="Ruby Grace Garcia"/>
  </r>
  <r>
    <n v="297"/>
    <s v="F1"/>
    <x v="11"/>
    <s v="L000014009"/>
    <s v="HUB Organoids Operations"/>
    <s v="L000014006"/>
    <s v="New"/>
    <x v="0"/>
    <x v="0"/>
    <s v="LS"/>
    <m/>
    <m/>
    <s v="Ruby Grace Garcia"/>
  </r>
  <r>
    <n v="298"/>
    <s v="F1"/>
    <x v="11"/>
    <s v="L000014010"/>
    <s v="HUB Organoids Legal"/>
    <s v="L000014006"/>
    <s v="New"/>
    <x v="0"/>
    <x v="0"/>
    <s v="LS"/>
    <m/>
    <m/>
    <s v="Ruby Grace Garcia"/>
  </r>
  <r>
    <n v="299"/>
    <s v="F1"/>
    <x v="11"/>
    <s v="L000014011"/>
    <s v="HUB Organoids Science"/>
    <s v="L000014006"/>
    <s v="New"/>
    <x v="0"/>
    <x v="0"/>
    <s v="LS"/>
    <m/>
    <m/>
    <s v="Ruby Grace Garcia"/>
  </r>
  <r>
    <n v="300"/>
    <s v="F1"/>
    <x v="11"/>
    <s v="L000014012"/>
    <s v="DiS Commercial Office"/>
    <s v="L000007596"/>
    <s v="New"/>
    <x v="0"/>
    <x v="0"/>
    <s v="LS"/>
    <m/>
    <m/>
    <s v="Ruby Grace Garcia"/>
  </r>
  <r>
    <n v="301"/>
    <s v="F1"/>
    <x v="11"/>
    <s v="L000014013"/>
    <s v="Commercial Office Mgmt"/>
    <s v="L000014012"/>
    <s v="New"/>
    <x v="0"/>
    <x v="0"/>
    <s v="LS"/>
    <m/>
    <m/>
    <s v="Ruby Grace Garcia"/>
  </r>
  <r>
    <n v="302"/>
    <s v="F1"/>
    <x v="11"/>
    <s v="L000014014"/>
    <s v="Commercial Excellence"/>
    <s v="L000014012"/>
    <s v="New"/>
    <x v="0"/>
    <x v="0"/>
    <s v="LS"/>
    <m/>
    <m/>
    <s v="Ruby Grace Garcia"/>
  </r>
  <r>
    <n v="303"/>
    <s v="F1"/>
    <x v="11"/>
    <s v="L000014015"/>
    <s v="Commercial Analytics"/>
    <s v="L000014014"/>
    <s v="New"/>
    <x v="0"/>
    <x v="0"/>
    <s v="LS"/>
    <m/>
    <m/>
    <s v="Ruby Grace Garcia"/>
  </r>
  <r>
    <n v="304"/>
    <s v="F1"/>
    <x v="11"/>
    <s v="L000014016"/>
    <s v="Commercial Marketing Biology"/>
    <s v="L000014014"/>
    <s v="New"/>
    <x v="0"/>
    <x v="0"/>
    <s v="LS"/>
    <m/>
    <m/>
    <s v="Ruby Grace Garcia"/>
  </r>
  <r>
    <n v="305"/>
    <s v="F1"/>
    <x v="11"/>
    <s v="L000014017"/>
    <s v="Commercial Marketing Chemistry"/>
    <s v="L000014014"/>
    <s v="New"/>
    <x v="0"/>
    <x v="0"/>
    <s v="LS"/>
    <m/>
    <m/>
    <s v="Ruby Grace Garcia"/>
  </r>
  <r>
    <n v="306"/>
    <s v="F1"/>
    <x v="11"/>
    <s v="L000014018"/>
    <s v="Marketing Communications"/>
    <s v="L000014014"/>
    <s v="New"/>
    <x v="0"/>
    <x v="0"/>
    <s v="LS"/>
    <m/>
    <m/>
    <s v="Ruby Grace Garcia"/>
  </r>
  <r>
    <n v="307"/>
    <s v="F1"/>
    <x v="11"/>
    <s v="L000014019"/>
    <s v="Commercial Performance"/>
    <s v="L000014014"/>
    <s v="New"/>
    <x v="0"/>
    <x v="0"/>
    <s v="LS"/>
    <m/>
    <m/>
    <s v="Ruby Grace Garcia"/>
  </r>
  <r>
    <n v="308"/>
    <s v="F1"/>
    <x v="11"/>
    <s v="L000014020"/>
    <s v="Comm. Projects &amp; Impl."/>
    <s v="L000014012"/>
    <s v="New"/>
    <x v="0"/>
    <x v="0"/>
    <s v="LS"/>
    <m/>
    <m/>
    <s v="Ruby Grace Garcia"/>
  </r>
  <r>
    <n v="309"/>
    <s v="F1"/>
    <x v="11"/>
    <s v="L000014021"/>
    <s v="Customer Success"/>
    <s v="L000014012"/>
    <s v="New"/>
    <x v="0"/>
    <x v="0"/>
    <s v="LS"/>
    <m/>
    <m/>
    <s v="Ruby Grace Garcia"/>
  </r>
  <r>
    <n v="310"/>
    <s v="F1"/>
    <x v="11"/>
    <s v="L000014022"/>
    <s v="Digital Enablement"/>
    <s v="L000014021"/>
    <s v="New"/>
    <x v="0"/>
    <x v="0"/>
    <s v="LS"/>
    <m/>
    <m/>
    <s v="Ruby Grace Garcia"/>
  </r>
  <r>
    <n v="311"/>
    <s v="F1"/>
    <x v="11"/>
    <s v="L000014023"/>
    <s v="Sales Support"/>
    <s v="L000014021"/>
    <s v="New"/>
    <x v="0"/>
    <x v="0"/>
    <s v="LS"/>
    <m/>
    <m/>
    <s v="Ruby Grace Garcia"/>
  </r>
  <r>
    <n v="312"/>
    <s v="F1"/>
    <x v="11"/>
    <s v="L000014024"/>
    <s v="BraMex"/>
    <s v="L000007925"/>
    <s v="New"/>
    <x v="0"/>
    <x v="0"/>
    <s v="LS"/>
    <m/>
    <m/>
    <s v="Ruby Grace Garcia"/>
  </r>
  <r>
    <n v="313"/>
    <s v="F1"/>
    <x v="11"/>
    <s v="L000014025"/>
    <s v="Sales Development"/>
    <s v="L000007925"/>
    <s v="New"/>
    <x v="0"/>
    <x v="0"/>
    <s v="LS"/>
    <m/>
    <m/>
    <s v="Ruby Grace Garcia"/>
  </r>
  <r>
    <n v="314"/>
    <s v="F1"/>
    <x v="11"/>
    <s v="L000014026"/>
    <s v="Regional Territories East"/>
    <s v="L000007925"/>
    <s v="New"/>
    <x v="0"/>
    <x v="0"/>
    <s v="LS"/>
    <m/>
    <m/>
    <s v="Ruby Grace Garcia"/>
  </r>
  <r>
    <n v="315"/>
    <s v="F1"/>
    <x v="11"/>
    <s v="L000014027"/>
    <s v="Regional Territories West"/>
    <s v="L000007925"/>
    <s v="New"/>
    <x v="0"/>
    <x v="0"/>
    <s v="LS"/>
    <m/>
    <m/>
    <s v="Ruby Grace Garcia"/>
  </r>
  <r>
    <n v="316"/>
    <s v="F1"/>
    <x v="11"/>
    <s v="L000014028"/>
    <s v="Commercial Americas Legacy-to be deleted"/>
    <s v="L000007925"/>
    <s v="New"/>
    <x v="0"/>
    <x v="0"/>
    <s v="LS"/>
    <m/>
    <m/>
    <s v="Ruby Grace Garcia"/>
  </r>
  <r>
    <n v="317"/>
    <s v="F1"/>
    <x v="11"/>
    <s v="L000014029"/>
    <s v="Major Accounts"/>
    <s v="L000007925"/>
    <s v="New"/>
    <x v="0"/>
    <x v="0"/>
    <s v="LS"/>
    <m/>
    <m/>
    <s v="Ruby Grace Garcia"/>
  </r>
  <r>
    <n v="318"/>
    <s v="F1"/>
    <x v="11"/>
    <s v="L000014030"/>
    <s v="NA Key Accounts"/>
    <s v="L000014029"/>
    <s v="New"/>
    <x v="0"/>
    <x v="0"/>
    <s v="LS"/>
    <m/>
    <m/>
    <s v="Ruby Grace Garcia"/>
  </r>
  <r>
    <n v="319"/>
    <s v="F1"/>
    <x v="11"/>
    <s v="L000014031"/>
    <s v="EEMEA &amp; WE Dealer"/>
    <s v="L000008563"/>
    <s v="New"/>
    <x v="0"/>
    <x v="0"/>
    <s v="LS"/>
    <m/>
    <m/>
    <s v="Ruby Grace Garcia"/>
  </r>
  <r>
    <n v="320"/>
    <s v="F1"/>
    <x v="11"/>
    <s v="L000014032"/>
    <s v="South Africa"/>
    <s v="L000014031"/>
    <s v="New"/>
    <x v="0"/>
    <x v="0"/>
    <s v="LS"/>
    <m/>
    <m/>
    <s v="Ruby Grace Garcia"/>
  </r>
  <r>
    <n v="321"/>
    <s v="F1"/>
    <x v="11"/>
    <s v="L000014033"/>
    <s v="Middle East Egypt &amp; Pakistan"/>
    <s v="L000014031"/>
    <s v="New"/>
    <x v="0"/>
    <x v="0"/>
    <s v="LS"/>
    <m/>
    <m/>
    <s v="Ruby Grace Garcia"/>
  </r>
  <r>
    <n v="322"/>
    <s v="F1"/>
    <x v="11"/>
    <s v="L000014034"/>
    <s v="Channel Contract Execution"/>
    <s v="L000014031"/>
    <s v="New"/>
    <x v="0"/>
    <x v="0"/>
    <s v="LS"/>
    <m/>
    <m/>
    <s v="Ruby Grace Garcia"/>
  </r>
  <r>
    <n v="323"/>
    <s v="F1"/>
    <x v="11"/>
    <s v="L000014035"/>
    <s v="Central &amp; north"/>
    <s v="L000014031"/>
    <s v="New"/>
    <x v="0"/>
    <x v="0"/>
    <s v="LS"/>
    <m/>
    <m/>
    <s v="Ruby Grace Garcia"/>
  </r>
  <r>
    <n v="324"/>
    <s v="F1"/>
    <x v="11"/>
    <s v="L000014036"/>
    <s v="Southwest &amp; Nordics"/>
    <s v="L000014031"/>
    <s v="New"/>
    <x v="0"/>
    <x v="0"/>
    <s v="LS"/>
    <m/>
    <m/>
    <s v="Ruby Grace Garcia"/>
  </r>
  <r>
    <n v="325"/>
    <s v="F1"/>
    <x v="11"/>
    <s v="L000014037"/>
    <s v="Commercial recycler Prgm mgmt"/>
    <s v="L000014031"/>
    <s v="New"/>
    <x v="0"/>
    <x v="0"/>
    <s v="LS"/>
    <m/>
    <m/>
    <s v="Ruby Grace Garcia"/>
  </r>
  <r>
    <n v="326"/>
    <s v="F1"/>
    <x v="11"/>
    <s v="L000014038"/>
    <s v="Eastern Europe"/>
    <s v="L000014031"/>
    <s v="New"/>
    <x v="0"/>
    <x v="0"/>
    <s v="LS"/>
    <m/>
    <m/>
    <s v="Ruby Grace Garcia"/>
  </r>
  <r>
    <n v="327"/>
    <s v="F1"/>
    <x v="11"/>
    <s v="L000014039"/>
    <s v="Turkey Maghreb"/>
    <s v="L000014031"/>
    <s v="New"/>
    <x v="0"/>
    <x v="0"/>
    <s v="LS"/>
    <m/>
    <m/>
    <s v="Ruby Grace Garcia"/>
  </r>
  <r>
    <n v="328"/>
    <s v="F1"/>
    <x v="11"/>
    <s v="L000014040"/>
    <s v="EEMEA Commercial"/>
    <s v="L000014031"/>
    <s v="New"/>
    <x v="0"/>
    <x v="0"/>
    <s v="LS"/>
    <m/>
    <m/>
    <s v="Ruby Grace Garcia"/>
  </r>
  <r>
    <n v="329"/>
    <s v="F1"/>
    <x v="11"/>
    <s v="L000014041"/>
    <s v="Legacy SLS EMEA - to be deleted"/>
    <s v="L000008563"/>
    <s v="New"/>
    <x v="0"/>
    <x v="0"/>
    <s v="LS"/>
    <m/>
    <m/>
    <s v="Ruby Grace Garcia"/>
  </r>
  <r>
    <n v="330"/>
    <s v="F1"/>
    <x v="11"/>
    <s v="L000014042"/>
    <s v="EMEA Sales Development"/>
    <s v="L000008563"/>
    <s v="New"/>
    <x v="0"/>
    <x v="0"/>
    <s v="LS"/>
    <m/>
    <m/>
    <s v="Ruby Grace Garcia"/>
  </r>
  <r>
    <n v="331"/>
    <s v="F1"/>
    <x v="11"/>
    <s v="L000014043"/>
    <s v="EMEA Regional Territories"/>
    <s v="L000008563"/>
    <s v="New"/>
    <x v="0"/>
    <x v="0"/>
    <s v="LS"/>
    <m/>
    <m/>
    <s v="Ruby Grace Garcia"/>
  </r>
  <r>
    <n v="332"/>
    <s v="F1"/>
    <x v="11"/>
    <s v="L000014044"/>
    <s v="Field CE/SO"/>
    <s v="L000014043"/>
    <s v="New"/>
    <x v="0"/>
    <x v="0"/>
    <s v="LS"/>
    <m/>
    <m/>
    <s v="Ruby Grace Garcia"/>
  </r>
  <r>
    <n v="333"/>
    <s v="F1"/>
    <x v="11"/>
    <s v="L000014045"/>
    <s v="Dield NO/WE"/>
    <s v="L000014043"/>
    <s v="New"/>
    <x v="0"/>
    <x v="0"/>
    <s v="LS"/>
    <m/>
    <m/>
    <s v="Ruby Grace Garcia"/>
  </r>
  <r>
    <n v="334"/>
    <s v="F1"/>
    <x v="11"/>
    <s v="L000014046"/>
    <s v="Inside"/>
    <s v="L000014043"/>
    <s v="New"/>
    <x v="0"/>
    <x v="0"/>
    <s v="LS"/>
    <m/>
    <m/>
    <s v="Ruby Grace Garcia"/>
  </r>
  <r>
    <n v="335"/>
    <s v="F1"/>
    <x v="11"/>
    <s v="L000014047"/>
    <s v="Regional EE4"/>
    <s v="L000014043"/>
    <s v="New"/>
    <x v="0"/>
    <x v="0"/>
    <s v="LS"/>
    <m/>
    <m/>
    <s v="Ruby Grace Garcia"/>
  </r>
  <r>
    <n v="336"/>
    <s v="F1"/>
    <x v="11"/>
    <s v="L000014048"/>
    <s v="EMEA Sales Specialists"/>
    <s v="L000008563"/>
    <s v="New"/>
    <x v="0"/>
    <x v="0"/>
    <s v="LS"/>
    <m/>
    <m/>
    <s v="Ruby Grace Garcia"/>
  </r>
  <r>
    <n v="337"/>
    <s v="F1"/>
    <x v="11"/>
    <s v="L000014049"/>
    <s v="EMEA Major accounts"/>
    <s v="L000008563"/>
    <s v="New"/>
    <x v="0"/>
    <x v="0"/>
    <s v="LS"/>
    <m/>
    <m/>
    <s v="Ruby Grace Garcia"/>
  </r>
  <r>
    <n v="338"/>
    <s v="F1"/>
    <x v="11"/>
    <s v="L000014050"/>
    <s v="Major accounts"/>
    <s v="L000014049"/>
    <s v="New"/>
    <x v="0"/>
    <x v="0"/>
    <s v="LS"/>
    <m/>
    <m/>
    <s v="Ruby Grace Garcia"/>
  </r>
  <r>
    <n v="339"/>
    <s v="F1"/>
    <x v="11"/>
    <s v="L000014051"/>
    <s v="Innovation"/>
    <s v="L000006294"/>
    <s v="New"/>
    <x v="0"/>
    <x v="0"/>
    <s v="LS"/>
    <m/>
    <m/>
    <s v="Ruby Grace Garcia"/>
  </r>
  <r>
    <n v="340"/>
    <s v="F1"/>
    <x v="11"/>
    <s v="L000014052"/>
    <s v="Customer Engagement"/>
    <s v="L000014051"/>
    <s v="New"/>
    <x v="0"/>
    <x v="0"/>
    <s v="LS"/>
    <m/>
    <m/>
    <s v="Ruby Grace Garcia"/>
  </r>
  <r>
    <n v="341"/>
    <s v="F1"/>
    <x v="11"/>
    <s v="L000014053"/>
    <s v="Innovation Delivery and Value Managment"/>
    <s v="L000014052"/>
    <s v="New"/>
    <x v="0"/>
    <x v="0"/>
    <s v="LS"/>
    <m/>
    <m/>
    <s v="Ruby Grace Garcia"/>
  </r>
  <r>
    <n v="342"/>
    <s v="F1"/>
    <x v="11"/>
    <s v="L000014054"/>
    <s v="Digital Lab Solutions"/>
    <s v="L000014051"/>
    <s v="New"/>
    <x v="0"/>
    <x v="0"/>
    <s v="LS"/>
    <m/>
    <m/>
    <s v="Ruby Grace Garcia"/>
  </r>
  <r>
    <n v="343"/>
    <s v="F1"/>
    <x v="11"/>
    <s v="L000014055"/>
    <s v="Innovation , Project &amp; Portfolio Mgmt"/>
    <s v="L000012359"/>
    <s v="New"/>
    <x v="0"/>
    <x v="0"/>
    <s v="LS"/>
    <m/>
    <m/>
    <s v="Ruby Grace Garcia"/>
  </r>
  <r>
    <n v="344"/>
    <s v="F1"/>
    <x v="11"/>
    <s v="L000014056"/>
    <s v="Scientific Thought Leader &amp; Tech Scout"/>
    <s v="L000014051"/>
    <s v="New"/>
    <x v="0"/>
    <x v="0"/>
    <s v="LS"/>
    <m/>
    <m/>
    <s v="Ruby Grace Garcia"/>
  </r>
  <r>
    <n v="345"/>
    <s v="F1"/>
    <x v="11"/>
    <s v="L000014057"/>
    <s v="Global Scientific Leadersip"/>
    <s v="L000014056"/>
    <s v="New"/>
    <x v="0"/>
    <x v="0"/>
    <s v="LS"/>
    <m/>
    <m/>
    <s v="Ruby Grace Garcia"/>
  </r>
  <r>
    <n v="346"/>
    <s v="F1"/>
    <x v="11"/>
    <s v="L000014058"/>
    <s v="Business Planning &amp; Implementation"/>
    <s v="L000013289"/>
    <s v="New"/>
    <x v="0"/>
    <x v="0"/>
    <s v="LS"/>
    <m/>
    <m/>
    <s v="Ruby Grace Garcia"/>
  </r>
  <r>
    <n v="347"/>
    <s v="F1"/>
    <x v="11"/>
    <s v="L000014059"/>
    <s v="GSA BPI"/>
    <s v="L000011690"/>
    <s v="New"/>
    <x v="0"/>
    <x v="0"/>
    <s v="LS"/>
    <m/>
    <m/>
    <s v="Ruby Grace Garcia"/>
  </r>
  <r>
    <n v="348"/>
    <s v="F1"/>
    <x v="11"/>
    <s v="L000014060"/>
    <s v="Former Bex legacy - not to be used"/>
    <s v="L000011719"/>
    <s v="New"/>
    <x v="0"/>
    <x v="0"/>
    <s v="LS"/>
    <m/>
    <m/>
    <s v="Ruby Grace Garcia"/>
  </r>
  <r>
    <n v="349"/>
    <s v="F1"/>
    <x v="11"/>
    <s v="L000014061"/>
    <s v="CS Process Excellence"/>
    <s v="L000011719"/>
    <s v="New"/>
    <x v="0"/>
    <x v="0"/>
    <s v="LS"/>
    <m/>
    <m/>
    <s v="Ruby Grace Garcia"/>
  </r>
  <r>
    <n v="350"/>
    <s v="F1"/>
    <x v="11"/>
    <s v="L000014062"/>
    <s v="LS bad Debt"/>
    <s v="L000011719"/>
    <s v="New"/>
    <x v="0"/>
    <x v="0"/>
    <s v="LS"/>
    <m/>
    <m/>
    <s v="Ruby Grace Garcia"/>
  </r>
  <r>
    <n v="351"/>
    <s v="F1"/>
    <x v="11"/>
    <s v="L000009794"/>
    <s v="Supply Chain Planning"/>
    <m/>
    <s v="Rename"/>
    <x v="0"/>
    <x v="0"/>
    <s v="LS"/>
    <m/>
    <m/>
    <s v="Ruby Grace Garcia"/>
  </r>
  <r>
    <n v="352"/>
    <s v="F1"/>
    <x v="11"/>
    <s v="L000009959"/>
    <s v="Supply Chain Planning Management"/>
    <m/>
    <s v="Rename"/>
    <x v="0"/>
    <x v="0"/>
    <s v="LS"/>
    <m/>
    <m/>
    <s v="Ruby Grace Garcia"/>
  </r>
  <r>
    <n v="353"/>
    <s v="F1"/>
    <x v="11"/>
    <s v="L000010057"/>
    <s v="LS-ODL Supply Chain DS"/>
    <m/>
    <s v="Rename"/>
    <x v="0"/>
    <x v="0"/>
    <s v="LS"/>
    <m/>
    <m/>
    <s v="Ruby Grace Garcia"/>
  </r>
  <r>
    <n v="354"/>
    <s v="F1"/>
    <x v="11"/>
    <s v="L000013436"/>
    <s v="LS-ODE Supply Chain Advancements"/>
    <m/>
    <s v="Rename"/>
    <x v="0"/>
    <x v="0"/>
    <s v="LS"/>
    <m/>
    <m/>
    <s v="Ruby Grace Garcia"/>
  </r>
  <r>
    <n v="355"/>
    <s v="F1"/>
    <x v="11"/>
    <s v="L000013797"/>
    <s v="Supply Chain AS"/>
    <m/>
    <s v="Rename"/>
    <x v="0"/>
    <x v="0"/>
    <s v="LS"/>
    <m/>
    <m/>
    <s v="Ruby Grace Garcia"/>
  </r>
  <r>
    <n v="356"/>
    <s v="F1"/>
    <x v="11"/>
    <s v="L000013422"/>
    <s v="AS Value Stream"/>
    <m/>
    <s v="Rename"/>
    <x v="0"/>
    <x v="0"/>
    <s v="LS"/>
    <m/>
    <m/>
    <s v="Ruby Grace Garcia"/>
  </r>
  <r>
    <n v="357"/>
    <s v="F1"/>
    <x v="11"/>
    <s v="L000011345"/>
    <s v="Market Intelligence"/>
    <m/>
    <s v="Rename"/>
    <x v="0"/>
    <x v="0"/>
    <s v="LS"/>
    <m/>
    <m/>
    <s v="Ruby Grace Garcia"/>
  </r>
  <r>
    <n v="358"/>
    <s v="F1"/>
    <x v="11"/>
    <s v="L000011353"/>
    <s v="Strategic Program Management"/>
    <m/>
    <s v="Rename"/>
    <x v="0"/>
    <x v="0"/>
    <s v="LS"/>
    <m/>
    <m/>
    <s v="Ruby Grace Garcia"/>
  </r>
  <r>
    <n v="359"/>
    <s v="F1"/>
    <x v="11"/>
    <s v="L000010623"/>
    <s v="IT project IC holding cost centers"/>
    <m/>
    <s v="Rename"/>
    <x v="0"/>
    <x v="0"/>
    <s v="LS"/>
    <m/>
    <m/>
    <s v="Ruby Grace Garcia"/>
  </r>
  <r>
    <n v="360"/>
    <s v="F1"/>
    <x v="11"/>
    <s v="L000013734"/>
    <s v="Communications &amp; Portfolio Branding"/>
    <m/>
    <s v="Rename"/>
    <x v="0"/>
    <x v="0"/>
    <s v="LS"/>
    <m/>
    <m/>
    <s v="Ruby Grace Garcia"/>
  </r>
  <r>
    <n v="361"/>
    <s v="F1"/>
    <x v="11"/>
    <s v="L000011328"/>
    <s v="Corporate &amp; Portfolio Branding"/>
    <m/>
    <s v="Rename"/>
    <x v="0"/>
    <x v="0"/>
    <s v="LS"/>
    <m/>
    <m/>
    <s v="Ruby Grace Garcia"/>
  </r>
  <r>
    <n v="362"/>
    <s v="F1"/>
    <x v="11"/>
    <s v="L000013904"/>
    <s v="Business Process Excellence"/>
    <m/>
    <s v="Rename"/>
    <x v="0"/>
    <x v="0"/>
    <s v="LS"/>
    <m/>
    <m/>
    <s v="Ruby Grace Garcia"/>
  </r>
  <r>
    <n v="363"/>
    <s v="F1"/>
    <x v="11"/>
    <s v="L000008345"/>
    <s v="DM Commercial Marketing"/>
    <m/>
    <s v="Rename"/>
    <x v="0"/>
    <x v="0"/>
    <s v="LS"/>
    <m/>
    <m/>
    <s v="Ruby Grace Garcia"/>
  </r>
  <r>
    <n v="364"/>
    <s v="F1"/>
    <x v="11"/>
    <s v="L000013128"/>
    <s v="Advanced Solutions"/>
    <m/>
    <s v="Rename"/>
    <x v="0"/>
    <x v="0"/>
    <s v="LS"/>
    <m/>
    <m/>
    <s v="Ruby Grace Garcia"/>
  </r>
  <r>
    <n v="365"/>
    <s v="F1"/>
    <x v="11"/>
    <s v="L000007122"/>
    <s v="Global testing Operations"/>
    <m/>
    <s v="Rename"/>
    <x v="0"/>
    <x v="0"/>
    <s v="LS"/>
    <m/>
    <m/>
    <s v="Ruby Grace Garcia"/>
  </r>
  <r>
    <n v="366"/>
    <s v="F1"/>
    <x v="11"/>
    <s v="L000007200"/>
    <s v="Contract Testing Services APAC"/>
    <m/>
    <s v="Rename"/>
    <x v="0"/>
    <x v="0"/>
    <s v="LS"/>
    <m/>
    <m/>
    <s v="Ruby Grace Garcia"/>
  </r>
  <r>
    <n v="367"/>
    <s v="F1"/>
    <x v="11"/>
    <s v="L000007211"/>
    <s v="Commercial NA and Europe"/>
    <m/>
    <s v="Rename"/>
    <x v="0"/>
    <x v="0"/>
    <s v="LS"/>
    <m/>
    <m/>
    <s v="Ruby Grace Garcia"/>
  </r>
  <r>
    <n v="368"/>
    <s v="F1"/>
    <x v="11"/>
    <s v="L000012321"/>
    <s v="AS Strategy &amp; Transformation"/>
    <m/>
    <s v="Rename"/>
    <x v="0"/>
    <x v="0"/>
    <s v="LS"/>
    <m/>
    <m/>
    <s v="Ruby Grace Garcia"/>
  </r>
  <r>
    <n v="369"/>
    <s v="F1"/>
    <x v="11"/>
    <s v="L000013183"/>
    <s v="AS Commercial Excellence"/>
    <m/>
    <s v="Rename"/>
    <x v="0"/>
    <x v="0"/>
    <s v="LS"/>
    <m/>
    <m/>
    <s v="Ruby Grace Garcia"/>
  </r>
  <r>
    <n v="370"/>
    <s v="F1"/>
    <x v="11"/>
    <s v="L000013814"/>
    <s v="Marketing Communication"/>
    <m/>
    <s v="Rename"/>
    <x v="0"/>
    <x v="0"/>
    <s v="LS"/>
    <m/>
    <m/>
    <s v="Ruby Grace Garcia"/>
  </r>
  <r>
    <n v="371"/>
    <s v="F1"/>
    <x v="11"/>
    <s v="L000013182"/>
    <s v="AS Management -G"/>
    <m/>
    <s v="Rename"/>
    <x v="0"/>
    <x v="0"/>
    <s v="LS"/>
    <m/>
    <m/>
    <s v="Ruby Grace Garcia"/>
  </r>
  <r>
    <n v="372"/>
    <s v="F1"/>
    <x v="11"/>
    <s v="L000013365"/>
    <s v="AS GoGlobal -G"/>
    <m/>
    <s v="Rename"/>
    <x v="0"/>
    <x v="0"/>
    <s v="LS"/>
    <m/>
    <m/>
    <s v="Ruby Grace Garcia"/>
  </r>
  <r>
    <n v="373"/>
    <s v="F1"/>
    <x v="11"/>
    <s v="L000013461"/>
    <s v="AS Exceptionals"/>
    <m/>
    <s v="Rename"/>
    <x v="0"/>
    <x v="0"/>
    <s v="LS"/>
    <m/>
    <m/>
    <s v="Ruby Grace Garcia"/>
  </r>
  <r>
    <n v="374"/>
    <s v="F1"/>
    <x v="11"/>
    <s v="L000013187"/>
    <s v="AS Sales &amp; COGS"/>
    <m/>
    <s v="Rename"/>
    <x v="0"/>
    <x v="0"/>
    <s v="LS"/>
    <m/>
    <m/>
    <s v="Ruby Grace Garcia"/>
  </r>
  <r>
    <n v="375"/>
    <s v="F1"/>
    <x v="11"/>
    <s v="L000007596"/>
    <s v="Discovery Solutions"/>
    <m/>
    <s v="Rename"/>
    <x v="0"/>
    <x v="0"/>
    <s v="LS"/>
    <m/>
    <m/>
    <s v="Ruby Grace Garcia"/>
  </r>
  <r>
    <n v="376"/>
    <s v="F1"/>
    <x v="11"/>
    <s v="L000007850"/>
    <s v="Biology Workflow Essentials"/>
    <m/>
    <s v="Rename"/>
    <x v="0"/>
    <x v="0"/>
    <s v="LS"/>
    <m/>
    <m/>
    <s v="Ruby Grace Garcia"/>
  </r>
  <r>
    <n v="377"/>
    <s v="F1"/>
    <x v="11"/>
    <s v="L000007892"/>
    <s v="Separation &amp; Purification Solutions"/>
    <m/>
    <s v="Rename"/>
    <x v="0"/>
    <x v="0"/>
    <s v="LS"/>
    <m/>
    <m/>
    <s v="Ruby Grace Garcia"/>
  </r>
  <r>
    <n v="378"/>
    <s v="F1"/>
    <x v="11"/>
    <s v="L000007904"/>
    <s v="Protein Science Solutions"/>
    <m/>
    <s v="Rename"/>
    <x v="0"/>
    <x v="0"/>
    <s v="LS"/>
    <m/>
    <m/>
    <s v="Ruby Grace Garcia"/>
  </r>
  <r>
    <n v="379"/>
    <s v="F1"/>
    <x v="11"/>
    <s v="L000013113"/>
    <s v="Integration Planning &amp; Execution"/>
    <m/>
    <s v="Rename"/>
    <x v="0"/>
    <x v="0"/>
    <s v="LS"/>
    <m/>
    <m/>
    <s v="Ruby Grace Garcia"/>
  </r>
  <r>
    <n v="380"/>
    <s v="F1"/>
    <x v="11"/>
    <s v="L000013706"/>
    <s v="Strategic Marketing"/>
    <m/>
    <s v="Rename"/>
    <x v="0"/>
    <x v="0"/>
    <s v="LS"/>
    <m/>
    <m/>
    <s v="Ruby Grace Garcia"/>
  </r>
  <r>
    <n v="381"/>
    <s v="F1"/>
    <x v="11"/>
    <s v="L000008293"/>
    <s v="APeC -G"/>
    <m/>
    <s v="Rename"/>
    <x v="0"/>
    <x v="0"/>
    <s v="LS"/>
    <m/>
    <m/>
    <s v="Ruby Grace Garcia"/>
  </r>
  <r>
    <n v="382"/>
    <s v="F1"/>
    <x v="11"/>
    <s v="L000005091"/>
    <s v="DiS APeC - Attrition-G"/>
    <m/>
    <s v="Rename"/>
    <x v="0"/>
    <x v="0"/>
    <s v="LS"/>
    <m/>
    <m/>
    <s v="Ruby Grace Garcia"/>
  </r>
  <r>
    <n v="383"/>
    <s v="F1"/>
    <x v="11"/>
    <s v="L000005114"/>
    <s v="Head of DiS APeC-G"/>
    <m/>
    <s v="Rename"/>
    <x v="0"/>
    <x v="0"/>
    <s v="LS"/>
    <m/>
    <m/>
    <s v="Ruby Grace Garcia"/>
  </r>
  <r>
    <n v="384"/>
    <s v="F1"/>
    <x v="11"/>
    <s v="L000008294"/>
    <s v="DiS APeC - Other"/>
    <m/>
    <s v="Rename"/>
    <x v="0"/>
    <x v="0"/>
    <s v="LS"/>
    <m/>
    <m/>
    <s v="Ruby Grace Garcia"/>
  </r>
  <r>
    <n v="385"/>
    <s v="F1"/>
    <x v="11"/>
    <s v="L000008295"/>
    <s v="Australia &amp; New Zealand"/>
    <m/>
    <s v="Rename"/>
    <x v="0"/>
    <x v="0"/>
    <s v="LS"/>
    <m/>
    <m/>
    <s v="Ruby Grace Garcia"/>
  </r>
  <r>
    <n v="386"/>
    <s v="F1"/>
    <x v="11"/>
    <s v="L000008350"/>
    <s v="APeC Dealer Stratification &amp; Governance"/>
    <m/>
    <s v="Rename"/>
    <x v="0"/>
    <x v="0"/>
    <s v="LS"/>
    <m/>
    <m/>
    <s v="Ruby Grace Garcia"/>
  </r>
  <r>
    <n v="387"/>
    <s v="F1"/>
    <x v="11"/>
    <s v="L000008367"/>
    <s v="India"/>
    <m/>
    <s v="Rename"/>
    <x v="0"/>
    <x v="0"/>
    <s v="LS"/>
    <m/>
    <m/>
    <s v="Ruby Grace Garcia"/>
  </r>
  <r>
    <n v="388"/>
    <s v="F1"/>
    <x v="11"/>
    <s v="L000008393"/>
    <s v="Japan"/>
    <m/>
    <s v="Rename"/>
    <x v="0"/>
    <x v="0"/>
    <s v="LS"/>
    <m/>
    <m/>
    <s v="Ruby Grace Garcia"/>
  </r>
  <r>
    <n v="389"/>
    <s v="F1"/>
    <x v="11"/>
    <s v="L000008414"/>
    <s v="South Korea"/>
    <m/>
    <s v="Rename"/>
    <x v="0"/>
    <x v="0"/>
    <s v="LS"/>
    <m/>
    <m/>
    <s v="Ruby Grace Garcia"/>
  </r>
  <r>
    <n v="390"/>
    <s v="F1"/>
    <x v="11"/>
    <s v="L000008463"/>
    <s v="Southeast Asia"/>
    <m/>
    <s v="Rename"/>
    <x v="0"/>
    <x v="0"/>
    <s v="LS"/>
    <m/>
    <m/>
    <s v="Ruby Grace Garcia"/>
  </r>
  <r>
    <n v="391"/>
    <s v="F1"/>
    <x v="11"/>
    <s v="L000008442"/>
    <s v="Singapore Commercial -G"/>
    <m/>
    <s v="Rename"/>
    <x v="0"/>
    <x v="0"/>
    <s v="LS"/>
    <m/>
    <m/>
    <s v="Ruby Grace Garcia"/>
  </r>
  <r>
    <n v="392"/>
    <s v="F1"/>
    <x v="11"/>
    <s v="L000008545"/>
    <s v="Taiwan"/>
    <m/>
    <s v="Rename"/>
    <x v="0"/>
    <x v="0"/>
    <s v="LS"/>
    <m/>
    <m/>
    <s v="Ruby Grace Garcia"/>
  </r>
  <r>
    <n v="393"/>
    <s v="F1"/>
    <x v="11"/>
    <s v="L000012001"/>
    <s v="DiS APeC- Savings"/>
    <m/>
    <s v="Rename"/>
    <x v="0"/>
    <x v="0"/>
    <s v="LS"/>
    <m/>
    <m/>
    <s v="Ruby Grace Garcia"/>
  </r>
  <r>
    <n v="394"/>
    <s v="F1"/>
    <x v="11"/>
    <s v="L000013111"/>
    <s v="DiS APeC - Initiatives"/>
    <m/>
    <s v="Rename"/>
    <x v="0"/>
    <x v="0"/>
    <s v="LS"/>
    <m/>
    <m/>
    <s v="Ruby Grace Garcia"/>
  </r>
  <r>
    <n v="395"/>
    <s v="F1"/>
    <x v="11"/>
    <s v="L000005300"/>
    <s v="DiS Chief of Staff"/>
    <m/>
    <s v="Rename"/>
    <x v="0"/>
    <x v="0"/>
    <s v="LS"/>
    <m/>
    <m/>
    <s v="Ruby Grace Garcia"/>
  </r>
  <r>
    <n v="396"/>
    <s v="F1"/>
    <x v="11"/>
    <s v="L000005326"/>
    <s v="Strategy &amp; Transformation"/>
    <m/>
    <s v="Rename"/>
    <x v="0"/>
    <x v="0"/>
    <s v="LS"/>
    <m/>
    <m/>
    <s v="Ruby Grace Garcia"/>
  </r>
  <r>
    <n v="397"/>
    <s v="F1"/>
    <x v="11"/>
    <s v="L000005327"/>
    <s v="Strategy Development &amp; Market Insights"/>
    <m/>
    <s v="Rename"/>
    <x v="0"/>
    <x v="0"/>
    <s v="LS"/>
    <m/>
    <m/>
    <s v="Ruby Grace Garcia"/>
  </r>
  <r>
    <n v="398"/>
    <s v="F1"/>
    <x v="11"/>
    <s v="L000005433"/>
    <s v="InnovationPMO"/>
    <m/>
    <s v="Rename"/>
    <x v="0"/>
    <x v="0"/>
    <s v="LS"/>
    <m/>
    <m/>
    <s v="Ruby Grace Garcia"/>
  </r>
  <r>
    <n v="399"/>
    <s v="F1"/>
    <x v="11"/>
    <s v="L000005434"/>
    <s v="Innovation PMO Biology"/>
    <m/>
    <s v="Rename"/>
    <x v="0"/>
    <x v="0"/>
    <s v="LS"/>
    <m/>
    <m/>
    <s v="Ruby Grace Garcia"/>
  </r>
  <r>
    <n v="400"/>
    <s v="F1"/>
    <x v="11"/>
    <s v="L000009198"/>
    <s v="Innovation PMO Chemistry"/>
    <m/>
    <s v="Rename"/>
    <x v="0"/>
    <x v="0"/>
    <s v="LS"/>
    <m/>
    <m/>
    <s v="Ruby Grace Garcia"/>
  </r>
  <r>
    <n v="401"/>
    <s v="F1"/>
    <x v="11"/>
    <s v="L000005299"/>
    <s v="Discovery Solutions Mgmt"/>
    <m/>
    <s v="Rename"/>
    <x v="0"/>
    <x v="0"/>
    <s v="LS"/>
    <m/>
    <m/>
    <s v="Ruby Grace Garcia"/>
  </r>
  <r>
    <n v="402"/>
    <s v="F1"/>
    <x v="11"/>
    <s v="L000005302"/>
    <s v="DiS Go Global Program -G"/>
    <m/>
    <s v="Rename"/>
    <x v="0"/>
    <x v="0"/>
    <s v="LS"/>
    <m/>
    <m/>
    <s v="Ruby Grace Garcia"/>
  </r>
  <r>
    <n v="403"/>
    <s v="F1"/>
    <x v="11"/>
    <s v="L000005305"/>
    <s v="DiS Management -G"/>
    <m/>
    <s v="Rename"/>
    <x v="0"/>
    <x v="0"/>
    <s v="LS"/>
    <m/>
    <m/>
    <s v="Ruby Grace Garcia"/>
  </r>
  <r>
    <n v="404"/>
    <s v="F1"/>
    <x v="11"/>
    <s v="L000005307"/>
    <s v="DiS Miscellaneous -G"/>
    <m/>
    <s v="Rename"/>
    <x v="0"/>
    <x v="0"/>
    <s v="LS"/>
    <m/>
    <m/>
    <s v="Ruby Grace Garcia"/>
  </r>
  <r>
    <n v="405"/>
    <s v="F1"/>
    <x v="11"/>
    <s v="L000013188"/>
    <s v="DiS Sales &amp; COGs -G"/>
    <m/>
    <s v="Rename"/>
    <x v="0"/>
    <x v="0"/>
    <s v="LS"/>
    <m/>
    <m/>
    <s v="Ruby Grace Garcia"/>
  </r>
  <r>
    <n v="406"/>
    <s v="F1"/>
    <x v="11"/>
    <s v="L000005321"/>
    <s v="DiS Special Projects -G"/>
    <m/>
    <s v="Rename"/>
    <x v="0"/>
    <x v="0"/>
    <s v="LS"/>
    <m/>
    <m/>
    <s v="Ruby Grace Garcia"/>
  </r>
  <r>
    <n v="407"/>
    <s v="F1"/>
    <x v="11"/>
    <s v="L000007925"/>
    <s v="Americas"/>
    <m/>
    <s v="Rename"/>
    <x v="0"/>
    <x v="0"/>
    <s v="LS"/>
    <m/>
    <m/>
    <s v="Ruby Grace Garcia"/>
  </r>
  <r>
    <n v="408"/>
    <s v="F1"/>
    <x v="11"/>
    <s v="L000007714"/>
    <s v="Dealer NA"/>
    <m/>
    <s v="Rename"/>
    <x v="0"/>
    <x v="0"/>
    <s v="LS"/>
    <m/>
    <m/>
    <s v="Ruby Grace Garcia"/>
  </r>
  <r>
    <n v="409"/>
    <s v="F1"/>
    <x v="11"/>
    <s v="L000007998"/>
    <s v="LATAM excl BraMex"/>
    <m/>
    <s v="Rename"/>
    <x v="0"/>
    <x v="0"/>
    <s v="LS"/>
    <m/>
    <m/>
    <s v="Ruby Grace Garcia"/>
  </r>
  <r>
    <n v="410"/>
    <s v="F1"/>
    <x v="11"/>
    <s v="L000008563"/>
    <s v="EMEA"/>
    <m/>
    <s v="Rename"/>
    <x v="0"/>
    <x v="0"/>
    <s v="LS"/>
    <m/>
    <m/>
    <s v="Ruby Grace Garcia"/>
  </r>
  <r>
    <n v="411"/>
    <s v="F1"/>
    <x v="11"/>
    <s v="L000008564"/>
    <s v="Tech Service"/>
    <m/>
    <s v="Rename"/>
    <x v="0"/>
    <x v="0"/>
    <s v="LS"/>
    <m/>
    <m/>
    <s v="Ruby Grace Garcia"/>
  </r>
  <r>
    <n v="412"/>
    <s v="F1"/>
    <x v="11"/>
    <s v="L000013514"/>
    <s v="Strategy Development &amp; Market Insights"/>
    <m/>
    <s v="Rename"/>
    <x v="0"/>
    <x v="0"/>
    <s v="LS"/>
    <m/>
    <m/>
    <s v="Ruby Grace Garcia"/>
  </r>
  <r>
    <n v="413"/>
    <s v="F1"/>
    <x v="11"/>
    <s v="L000013520"/>
    <s v="GSA Operations"/>
    <m/>
    <s v="Rename"/>
    <x v="0"/>
    <x v="0"/>
    <s v="LS"/>
    <m/>
    <m/>
    <s v="Ruby Grace Garcia"/>
  </r>
  <r>
    <n v="414"/>
    <s v="F1"/>
    <x v="11"/>
    <s v="L000011719"/>
    <s v="Customer Service"/>
    <m/>
    <s v="Rename"/>
    <x v="0"/>
    <x v="0"/>
    <s v="LS"/>
    <m/>
    <m/>
    <s v="Ruby Grace Garcia"/>
  </r>
  <r>
    <n v="415"/>
    <s v="F1"/>
    <x v="11"/>
    <s v="L000006602"/>
    <s v="PS Product Development"/>
    <m/>
    <s v="Rename"/>
    <x v="0"/>
    <x v="0"/>
    <s v="LS"/>
    <m/>
    <m/>
    <s v="Ruby Grace Garcia"/>
  </r>
  <r>
    <n v="416"/>
    <s v="F1"/>
    <x v="11"/>
    <s v="L000013198"/>
    <s v="LW - Marketing Ops - R&amp;D"/>
    <m/>
    <s v="Rename"/>
    <x v="0"/>
    <x v="0"/>
    <s v="LS"/>
    <m/>
    <m/>
    <s v="Ruby Grace Garcia"/>
  </r>
  <r>
    <n v="417"/>
    <s v="F1"/>
    <x v="11"/>
    <s v="L000013782"/>
    <s v="LW - Marketing Ops - SG&amp;A"/>
    <m/>
    <s v="Rename"/>
    <x v="0"/>
    <x v="0"/>
    <s v="LS"/>
    <m/>
    <m/>
    <s v="Ruby Grace Garcia"/>
  </r>
  <r>
    <n v="418"/>
    <s v="F1"/>
    <x v="11"/>
    <s v="L000012434"/>
    <s v="Integrated Communications"/>
    <s v="L000013734"/>
    <s v="Rename/Move"/>
    <x v="0"/>
    <x v="0"/>
    <s v="LS"/>
    <m/>
    <m/>
    <s v="Ruby Grace Garcia"/>
  </r>
  <r>
    <n v="419"/>
    <s v="F1"/>
    <x v="11"/>
    <s v="L000013880"/>
    <s v="Process Solutions Commercial China"/>
    <s v="L000013959"/>
    <s v="Rename/Move"/>
    <x v="0"/>
    <x v="0"/>
    <s v="LS"/>
    <m/>
    <m/>
    <s v="Ruby Grace Garcia"/>
  </r>
  <r>
    <n v="420"/>
    <s v="F1"/>
    <x v="11"/>
    <s v="L000008319"/>
    <s v="Discovery Solutions Commercial China"/>
    <s v="L000013959"/>
    <s v="Rename/Move"/>
    <x v="0"/>
    <x v="0"/>
    <s v="LS"/>
    <m/>
    <m/>
    <s v="Ruby Grace Garcia"/>
  </r>
  <r>
    <n v="421"/>
    <s v="F1"/>
    <x v="11"/>
    <s v="L000008324"/>
    <s v="Customer Service DS / AS China"/>
    <s v="L000013969"/>
    <s v="Rename/Move"/>
    <x v="0"/>
    <x v="0"/>
    <s v="LS"/>
    <m/>
    <m/>
    <s v="Ruby Grace Garcia"/>
  </r>
  <r>
    <n v="422"/>
    <s v="F1"/>
    <x v="11"/>
    <s v="L000013610"/>
    <s v="DxRM - Custom and Immunoassay Solutions"/>
    <s v="L000005842"/>
    <s v="Rename/Move"/>
    <x v="0"/>
    <x v="0"/>
    <s v="LS"/>
    <m/>
    <m/>
    <s v="Ruby Grace Garcia"/>
  </r>
  <r>
    <n v="423"/>
    <s v="F1"/>
    <x v="11"/>
    <s v="L000013167"/>
    <s v="GSA"/>
    <s v="L000005842"/>
    <s v="Rename/Move"/>
    <x v="0"/>
    <x v="0"/>
    <s v="LS"/>
    <m/>
    <m/>
    <s v="Ruby Grace Garcia"/>
  </r>
  <r>
    <n v="424"/>
    <s v="F1"/>
    <x v="11"/>
    <s v="L000013779"/>
    <s v="Digital &amp; Strategy Realization"/>
    <s v="L000012321"/>
    <s v="Rename/Move"/>
    <x v="0"/>
    <x v="0"/>
    <s v="LS"/>
    <m/>
    <m/>
    <s v="Ruby Grace Garcia"/>
  </r>
  <r>
    <n v="425"/>
    <s v="F1"/>
    <x v="11"/>
    <s v="L000005441"/>
    <s v="Innovation PMO"/>
    <s v="L000012321"/>
    <s v="Rename/Move"/>
    <x v="0"/>
    <x v="0"/>
    <s v="LS"/>
    <m/>
    <m/>
    <s v="Ruby Grace Garcia"/>
  </r>
  <r>
    <n v="426"/>
    <s v="F1"/>
    <x v="11"/>
    <s v="L000007859"/>
    <s v="Product management Ops (Biology) -G"/>
    <s v="L000013606"/>
    <s v="Rename/Move"/>
    <x v="0"/>
    <x v="0"/>
    <s v="LS"/>
    <m/>
    <m/>
    <s v="Ruby Grace Garcia"/>
  </r>
  <r>
    <n v="427"/>
    <s v="F1"/>
    <x v="11"/>
    <s v="L000005425"/>
    <s v="Tradeshows &amp; Events"/>
    <s v="L000013734"/>
    <s v="Rename/Move"/>
    <x v="0"/>
    <x v="0"/>
    <s v="LS"/>
    <m/>
    <m/>
    <s v="Ruby Grace Garcia"/>
  </r>
  <r>
    <n v="428"/>
    <s v="F1"/>
    <x v="11"/>
    <s v="L000005366"/>
    <s v="to be deleted SLS Marcom -G"/>
    <s v="L000005326"/>
    <s v="Rename/Move"/>
    <x v="0"/>
    <x v="0"/>
    <s v="LS"/>
    <m/>
    <m/>
    <s v="Ruby Grace Garcia"/>
  </r>
  <r>
    <n v="429"/>
    <s v="F1"/>
    <x v="11"/>
    <s v="L000005430"/>
    <s v="Integrated Business Management"/>
    <s v="L000005326"/>
    <s v="Rename/Move"/>
    <x v="0"/>
    <x v="0"/>
    <s v="LS"/>
    <m/>
    <m/>
    <s v="Ruby Grace Garcia"/>
  </r>
  <r>
    <n v="430"/>
    <s v="F1"/>
    <x v="11"/>
    <s v="L000005447"/>
    <s v="Pricing"/>
    <s v="L000014014"/>
    <s v="Rename/Move"/>
    <x v="0"/>
    <x v="0"/>
    <s v="LS"/>
    <m/>
    <m/>
    <s v="Ruby Grace Garcia"/>
  </r>
  <r>
    <n v="431"/>
    <s v="F1"/>
    <x v="11"/>
    <s v="L000007741"/>
    <s v="Distributor"/>
    <s v="L000014031"/>
    <s v="Rename/Move"/>
    <x v="0"/>
    <x v="0"/>
    <s v="LS"/>
    <m/>
    <m/>
    <s v="Ruby Grace Garcia"/>
  </r>
  <r>
    <n v="432"/>
    <s v="F1"/>
    <x v="11"/>
    <s v="L000012364"/>
    <s v="Commercial Excellence"/>
    <s v="L000013289"/>
    <s v="Rename/Move"/>
    <x v="0"/>
    <x v="0"/>
    <s v="LS"/>
    <m/>
    <m/>
    <s v="Ruby Grace Garcia"/>
  </r>
  <r>
    <n v="433"/>
    <s v="F1"/>
    <x v="11"/>
    <s v="L000013166"/>
    <s v="GSA Cluster 6"/>
    <s v="L000011690"/>
    <s v="Rename/Move"/>
    <x v="0"/>
    <x v="0"/>
    <s v="LS"/>
    <m/>
    <m/>
    <s v="Ruby Grace Garcia"/>
  </r>
  <r>
    <n v="434"/>
    <s v="F1"/>
    <x v="11"/>
    <s v="L000011589"/>
    <s v="CS Americas"/>
    <s v="L000011719"/>
    <s v="Rename/Move"/>
    <x v="0"/>
    <x v="0"/>
    <s v="LS"/>
    <m/>
    <m/>
    <s v="Ruby Grace Garcia"/>
  </r>
  <r>
    <n v="435"/>
    <s v="F1"/>
    <x v="11"/>
    <s v="L000011656"/>
    <s v="CS EMEA"/>
    <s v="L000011719"/>
    <s v="Rename/Move"/>
    <x v="0"/>
    <x v="0"/>
    <s v="LS"/>
    <m/>
    <m/>
    <s v="Ruby Grace Garcia"/>
  </r>
  <r>
    <n v="436"/>
    <s v="F1"/>
    <x v="11"/>
    <s v="L000011687"/>
    <s v="CS APAC"/>
    <s v="L000011719"/>
    <s v="Rename/Move"/>
    <x v="0"/>
    <x v="0"/>
    <s v="LS"/>
    <m/>
    <m/>
    <s v="Ruby Grace Garcia"/>
  </r>
  <r>
    <n v="437"/>
    <s v="F1"/>
    <x v="11"/>
    <s v="L000013526"/>
    <s v="CS GSA&amp;Export"/>
    <s v="L000011719"/>
    <s v="Rename/Move"/>
    <x v="0"/>
    <x v="0"/>
    <s v="LS"/>
    <m/>
    <m/>
    <s v="Ruby Grace Garcia"/>
  </r>
  <r>
    <n v="438"/>
    <s v="F1"/>
    <x v="11"/>
    <s v="L000013607"/>
    <s v="DxRM - APeC Business Operations"/>
    <s v="L000013994"/>
    <s v="Rename/Move"/>
    <x v="0"/>
    <x v="0"/>
    <s v="LS"/>
    <m/>
    <m/>
    <s v="Ruby Grace Garcia"/>
  </r>
  <r>
    <n v="439"/>
    <s v="F1"/>
    <x v="11"/>
    <s v="L000009723"/>
    <m/>
    <s v="L000013447"/>
    <s v="Move"/>
    <x v="0"/>
    <x v="0"/>
    <s v="LS"/>
    <m/>
    <m/>
    <s v="Ruby Grace Garcia"/>
  </r>
  <r>
    <n v="440"/>
    <s v="F1"/>
    <x v="11"/>
    <s v="L000013816"/>
    <m/>
    <s v="L000013447"/>
    <s v="Move"/>
    <x v="0"/>
    <x v="0"/>
    <s v="LS"/>
    <m/>
    <m/>
    <s v="Ruby Grace Garcia"/>
  </r>
  <r>
    <n v="441"/>
    <s v="F1"/>
    <x v="11"/>
    <s v="L000011348"/>
    <m/>
    <s v="L000011353"/>
    <s v="Move"/>
    <x v="0"/>
    <x v="0"/>
    <s v="LS"/>
    <m/>
    <m/>
    <s v="Ruby Grace Garcia"/>
  </r>
  <r>
    <n v="442"/>
    <s v="F1"/>
    <x v="11"/>
    <s v="L000012995"/>
    <m/>
    <s v="L000013275"/>
    <s v="Move"/>
    <x v="0"/>
    <x v="0"/>
    <s v="LS"/>
    <m/>
    <m/>
    <s v="Ruby Grace Garcia"/>
  </r>
  <r>
    <n v="443"/>
    <s v="F1"/>
    <x v="11"/>
    <s v="L000013118"/>
    <m/>
    <s v="L000009794"/>
    <s v="Move"/>
    <x v="0"/>
    <x v="0"/>
    <s v="LS"/>
    <m/>
    <m/>
    <s v="Ruby Grace Garcia"/>
  </r>
  <r>
    <n v="444"/>
    <s v="F1"/>
    <x v="11"/>
    <s v="L000013905"/>
    <m/>
    <s v="L000013941"/>
    <s v="Move"/>
    <x v="0"/>
    <x v="0"/>
    <s v="LS"/>
    <m/>
    <m/>
    <s v="Ruby Grace Garcia"/>
  </r>
  <r>
    <n v="445"/>
    <s v="F1"/>
    <x v="11"/>
    <s v="L000013324"/>
    <m/>
    <s v="L000013886"/>
    <s v="Move"/>
    <x v="0"/>
    <x v="0"/>
    <s v="LS"/>
    <m/>
    <m/>
    <s v="Ruby Grace Garcia"/>
  </r>
  <r>
    <n v="446"/>
    <s v="F1"/>
    <x v="11"/>
    <s v="L000011112"/>
    <m/>
    <s v="L000013734"/>
    <s v="Move"/>
    <x v="0"/>
    <x v="0"/>
    <s v="LS"/>
    <m/>
    <m/>
    <s v="Ruby Grace Garcia"/>
  </r>
  <r>
    <n v="447"/>
    <s v="F1"/>
    <x v="11"/>
    <s v="L000011124"/>
    <m/>
    <s v="L000013734"/>
    <s v="Move"/>
    <x v="0"/>
    <x v="0"/>
    <s v="LS"/>
    <m/>
    <m/>
    <s v="Ruby Grace Garcia"/>
  </r>
  <r>
    <n v="448"/>
    <s v="F1"/>
    <x v="11"/>
    <s v="L000013903"/>
    <m/>
    <s v="L000000000"/>
    <s v="Move"/>
    <x v="0"/>
    <x v="0"/>
    <s v="LS"/>
    <m/>
    <m/>
    <s v="Ruby Grace Garcia"/>
  </r>
  <r>
    <n v="449"/>
    <s v="F1"/>
    <x v="11"/>
    <s v="L000011665"/>
    <m/>
    <s v="L000013961"/>
    <s v="Move"/>
    <x v="0"/>
    <x v="0"/>
    <s v="LS"/>
    <m/>
    <m/>
    <s v="Ruby Grace Garcia"/>
  </r>
  <r>
    <n v="450"/>
    <s v="F1"/>
    <x v="11"/>
    <s v="L000006752"/>
    <m/>
    <s v="L000013960"/>
    <s v="Move"/>
    <x v="0"/>
    <x v="0"/>
    <s v="LS"/>
    <m/>
    <m/>
    <s v="Ruby Grace Garcia"/>
  </r>
  <r>
    <n v="451"/>
    <s v="F1"/>
    <x v="11"/>
    <s v="L000013564"/>
    <m/>
    <s v="L000013961"/>
    <s v="Move"/>
    <x v="0"/>
    <x v="0"/>
    <s v="LS"/>
    <m/>
    <m/>
    <s v="Ruby Grace Garcia"/>
  </r>
  <r>
    <n v="452"/>
    <s v="F1"/>
    <x v="11"/>
    <s v="L000006774"/>
    <m/>
    <s v="L000013964"/>
    <s v="Move"/>
    <x v="0"/>
    <x v="0"/>
    <s v="LS"/>
    <m/>
    <m/>
    <s v="Ruby Grace Garcia"/>
  </r>
  <r>
    <n v="453"/>
    <s v="F1"/>
    <x v="11"/>
    <s v="L000008320"/>
    <m/>
    <s v="L000013968"/>
    <s v="Move"/>
    <x v="0"/>
    <x v="0"/>
    <s v="LS"/>
    <m/>
    <m/>
    <s v="Ruby Grace Garcia"/>
  </r>
  <r>
    <n v="454"/>
    <s v="F1"/>
    <x v="11"/>
    <s v="L000008325"/>
    <m/>
    <s v="L000013973"/>
    <s v="Move"/>
    <x v="0"/>
    <x v="0"/>
    <s v="LS"/>
    <m/>
    <m/>
    <s v="Ruby Grace Garcia"/>
  </r>
  <r>
    <n v="455"/>
    <s v="F1"/>
    <x v="11"/>
    <s v="L000008326"/>
    <m/>
    <s v="L000013973"/>
    <s v="Move"/>
    <x v="0"/>
    <x v="0"/>
    <s v="LS"/>
    <m/>
    <m/>
    <s v="Ruby Grace Garcia"/>
  </r>
  <r>
    <n v="456"/>
    <s v="F1"/>
    <x v="11"/>
    <s v="L000008331"/>
    <m/>
    <s v="L000013970"/>
    <s v="Move"/>
    <x v="0"/>
    <x v="0"/>
    <s v="LS"/>
    <m/>
    <m/>
    <s v="Ruby Grace Garcia"/>
  </r>
  <r>
    <n v="457"/>
    <s v="F1"/>
    <x v="11"/>
    <s v="L000008332"/>
    <m/>
    <s v="L000013970"/>
    <s v="Move"/>
    <x v="0"/>
    <x v="0"/>
    <s v="LS"/>
    <m/>
    <m/>
    <s v="Ruby Grace Garcia"/>
  </r>
  <r>
    <n v="458"/>
    <s v="F1"/>
    <x v="11"/>
    <s v="L000008333"/>
    <m/>
    <s v="L000013970"/>
    <s v="Move"/>
    <x v="0"/>
    <x v="0"/>
    <s v="LS"/>
    <m/>
    <m/>
    <s v="Ruby Grace Garcia"/>
  </r>
  <r>
    <n v="459"/>
    <s v="F1"/>
    <x v="11"/>
    <s v="L000008334"/>
    <m/>
    <s v="L000013970"/>
    <s v="Move"/>
    <x v="0"/>
    <x v="0"/>
    <s v="LS"/>
    <m/>
    <m/>
    <s v="Ruby Grace Garcia"/>
  </r>
  <r>
    <n v="460"/>
    <s v="F1"/>
    <x v="11"/>
    <s v="L000008335"/>
    <m/>
    <s v="L000013970"/>
    <s v="Move"/>
    <x v="0"/>
    <x v="0"/>
    <s v="LS"/>
    <m/>
    <m/>
    <s v="Ruby Grace Garcia"/>
  </r>
  <r>
    <n v="461"/>
    <s v="F1"/>
    <x v="11"/>
    <s v="L000008342"/>
    <m/>
    <s v="L000013970"/>
    <s v="Move"/>
    <x v="0"/>
    <x v="0"/>
    <s v="LS"/>
    <m/>
    <m/>
    <s v="Ruby Grace Garcia"/>
  </r>
  <r>
    <n v="462"/>
    <s v="F1"/>
    <x v="11"/>
    <s v="L000008343"/>
    <m/>
    <s v="L000013970"/>
    <s v="Move"/>
    <x v="0"/>
    <x v="0"/>
    <s v="LS"/>
    <m/>
    <m/>
    <s v="Ruby Grace Garcia"/>
  </r>
  <r>
    <n v="463"/>
    <s v="F1"/>
    <x v="11"/>
    <s v="L000008349"/>
    <m/>
    <s v="L000013970"/>
    <s v="Move"/>
    <x v="0"/>
    <x v="0"/>
    <s v="LS"/>
    <m/>
    <m/>
    <s v="Ruby Grace Garcia"/>
  </r>
  <r>
    <n v="464"/>
    <s v="F1"/>
    <x v="11"/>
    <s v="L000005625"/>
    <m/>
    <s v="L000013978"/>
    <s v="Move"/>
    <x v="0"/>
    <x v="0"/>
    <s v="LS"/>
    <m/>
    <m/>
    <s v="Ruby Grace Garcia"/>
  </r>
  <r>
    <n v="465"/>
    <s v="F1"/>
    <x v="11"/>
    <s v="L000011487"/>
    <m/>
    <s v="L000013982"/>
    <s v="Move"/>
    <x v="0"/>
    <x v="0"/>
    <s v="LS"/>
    <m/>
    <m/>
    <s v="Ruby Grace Garcia"/>
  </r>
  <r>
    <n v="466"/>
    <s v="F1"/>
    <x v="11"/>
    <s v="L000013412"/>
    <m/>
    <s v="L000007121"/>
    <s v="Move"/>
    <x v="0"/>
    <x v="0"/>
    <s v="LS"/>
    <m/>
    <m/>
    <s v="Ruby Grace Garcia"/>
  </r>
  <r>
    <n v="467"/>
    <s v="F1"/>
    <x v="11"/>
    <s v="L000007239"/>
    <m/>
    <s v="L000013983"/>
    <s v="Move"/>
    <x v="0"/>
    <x v="0"/>
    <s v="LS"/>
    <m/>
    <m/>
    <s v="Ruby Grace Garcia"/>
  </r>
  <r>
    <n v="468"/>
    <s v="F1"/>
    <x v="11"/>
    <s v="L000013414"/>
    <m/>
    <s v="L000013983"/>
    <s v="Move"/>
    <x v="0"/>
    <x v="0"/>
    <s v="LS"/>
    <m/>
    <m/>
    <s v="Ruby Grace Garcia"/>
  </r>
  <r>
    <n v="469"/>
    <s v="F1"/>
    <x v="11"/>
    <s v="L000005843"/>
    <m/>
    <s v="L000013984"/>
    <s v="Move"/>
    <x v="0"/>
    <x v="0"/>
    <s v="LS"/>
    <m/>
    <m/>
    <s v="Ruby Grace Garcia"/>
  </r>
  <r>
    <n v="470"/>
    <s v="F1"/>
    <x v="11"/>
    <s v="L000005926"/>
    <m/>
    <s v="L000013984"/>
    <s v="Move"/>
    <x v="0"/>
    <x v="0"/>
    <s v="LS"/>
    <m/>
    <m/>
    <s v="Ruby Grace Garcia"/>
  </r>
  <r>
    <n v="471"/>
    <s v="F1"/>
    <x v="11"/>
    <s v="L000013125"/>
    <m/>
    <s v="L000013985"/>
    <s v="Move"/>
    <x v="0"/>
    <x v="0"/>
    <s v="LS"/>
    <m/>
    <m/>
    <s v="Ruby Grace Garcia"/>
  </r>
  <r>
    <n v="472"/>
    <s v="F1"/>
    <x v="11"/>
    <s v="L000013609"/>
    <m/>
    <s v="L000013985"/>
    <s v="Move"/>
    <x v="0"/>
    <x v="0"/>
    <s v="LS"/>
    <m/>
    <m/>
    <s v="Ruby Grace Garcia"/>
  </r>
  <r>
    <n v="473"/>
    <s v="F1"/>
    <x v="11"/>
    <s v="L000011549"/>
    <m/>
    <s v="L000013998"/>
    <s v="Move"/>
    <x v="0"/>
    <x v="0"/>
    <s v="LS"/>
    <m/>
    <m/>
    <s v="Ruby Grace Garcia"/>
  </r>
  <r>
    <n v="474"/>
    <s v="F1"/>
    <x v="11"/>
    <s v="L000013354"/>
    <m/>
    <s v="L000013998"/>
    <s v="Move"/>
    <x v="0"/>
    <x v="0"/>
    <s v="LS"/>
    <m/>
    <m/>
    <s v="Ruby Grace Garcia"/>
  </r>
  <r>
    <n v="475"/>
    <s v="F1"/>
    <x v="11"/>
    <s v="L000013356"/>
    <m/>
    <s v="L000013998"/>
    <s v="Move"/>
    <x v="0"/>
    <x v="0"/>
    <s v="LS"/>
    <m/>
    <m/>
    <s v="Ruby Grace Garcia"/>
  </r>
  <r>
    <n v="476"/>
    <s v="F1"/>
    <x v="11"/>
    <s v="L000013815"/>
    <m/>
    <s v="L000014003"/>
    <s v="Move"/>
    <x v="0"/>
    <x v="0"/>
    <s v="LS"/>
    <m/>
    <m/>
    <s v="Ruby Grace Garcia"/>
  </r>
  <r>
    <n v="477"/>
    <s v="F1"/>
    <x v="11"/>
    <s v="L000007835"/>
    <m/>
    <s v="L000014002"/>
    <s v="Move"/>
    <x v="0"/>
    <x v="0"/>
    <s v="LS"/>
    <m/>
    <m/>
    <s v="Ruby Grace Garcia"/>
  </r>
  <r>
    <n v="478"/>
    <s v="F1"/>
    <x v="11"/>
    <s v="L000012360"/>
    <m/>
    <s v="L000014002"/>
    <s v="Move"/>
    <x v="0"/>
    <x v="0"/>
    <s v="LS"/>
    <m/>
    <m/>
    <s v="Ruby Grace Garcia"/>
  </r>
  <r>
    <n v="479"/>
    <s v="F1"/>
    <x v="11"/>
    <s v="L000008991"/>
    <m/>
    <s v="L000014003"/>
    <s v="Move"/>
    <x v="0"/>
    <x v="0"/>
    <s v="LS"/>
    <m/>
    <m/>
    <s v="Ruby Grace Garcia"/>
  </r>
  <r>
    <n v="480"/>
    <s v="F1"/>
    <x v="11"/>
    <s v="L000008992"/>
    <m/>
    <s v="L000014003"/>
    <s v="Move"/>
    <x v="0"/>
    <x v="0"/>
    <s v="LS"/>
    <m/>
    <m/>
    <s v="Ruby Grace Garcia"/>
  </r>
  <r>
    <n v="481"/>
    <s v="F1"/>
    <x v="11"/>
    <s v="L000011888"/>
    <m/>
    <s v="L000014003"/>
    <s v="Move"/>
    <x v="0"/>
    <x v="0"/>
    <s v="LS"/>
    <m/>
    <m/>
    <s v="Ruby Grace Garcia"/>
  </r>
  <r>
    <n v="482"/>
    <s v="F1"/>
    <x v="11"/>
    <s v="L000007847"/>
    <m/>
    <s v="L000014005"/>
    <s v="Move"/>
    <x v="0"/>
    <x v="0"/>
    <s v="LS"/>
    <m/>
    <m/>
    <s v="Ruby Grace Garcia"/>
  </r>
  <r>
    <n v="483"/>
    <s v="F1"/>
    <x v="11"/>
    <s v="L000007871"/>
    <m/>
    <s v="L000014005"/>
    <s v="Move"/>
    <x v="0"/>
    <x v="0"/>
    <s v="LS"/>
    <m/>
    <m/>
    <s v="Ruby Grace Garcia"/>
  </r>
  <r>
    <n v="484"/>
    <s v="F1"/>
    <x v="11"/>
    <s v="L000007844"/>
    <m/>
    <s v="L000011911"/>
    <s v="Move"/>
    <x v="0"/>
    <x v="0"/>
    <s v="LS"/>
    <m/>
    <m/>
    <s v="Ruby Grace Garcia"/>
  </r>
  <r>
    <n v="485"/>
    <s v="F1"/>
    <x v="11"/>
    <s v="L000007733"/>
    <m/>
    <s v="L000013606"/>
    <s v="Move"/>
    <x v="0"/>
    <x v="0"/>
    <s v="LS"/>
    <m/>
    <m/>
    <s v="Ruby Grace Garcia"/>
  </r>
  <r>
    <n v="486"/>
    <s v="F1"/>
    <x v="11"/>
    <s v="L000013172"/>
    <m/>
    <s v="L000014015"/>
    <s v="Move"/>
    <x v="0"/>
    <x v="0"/>
    <s v="LS"/>
    <m/>
    <m/>
    <s v="Ruby Grace Garcia"/>
  </r>
  <r>
    <n v="487"/>
    <s v="F1"/>
    <x v="11"/>
    <s v="L000008985"/>
    <m/>
    <s v="L000014015"/>
    <s v="Move"/>
    <x v="0"/>
    <x v="0"/>
    <s v="LS"/>
    <m/>
    <m/>
    <s v="Ruby Grace Garcia"/>
  </r>
  <r>
    <n v="488"/>
    <s v="F1"/>
    <x v="11"/>
    <s v="L000008753"/>
    <m/>
    <s v="L000014023"/>
    <s v="Move"/>
    <x v="0"/>
    <x v="0"/>
    <s v="LS"/>
    <m/>
    <m/>
    <s v="Ruby Grace Garcia"/>
  </r>
  <r>
    <n v="489"/>
    <s v="F1"/>
    <x v="11"/>
    <s v="L000011810"/>
    <m/>
    <s v="L000014023"/>
    <s v="Move"/>
    <x v="0"/>
    <x v="0"/>
    <s v="LS"/>
    <m/>
    <m/>
    <s v="Ruby Grace Garcia"/>
  </r>
  <r>
    <n v="490"/>
    <s v="F1"/>
    <x v="11"/>
    <s v="L000007991"/>
    <m/>
    <s v="L000007925"/>
    <s v="Move"/>
    <x v="0"/>
    <x v="0"/>
    <s v="LS"/>
    <m/>
    <m/>
    <s v="Ruby Grace Garcia"/>
  </r>
  <r>
    <n v="491"/>
    <s v="F1"/>
    <x v="11"/>
    <s v="L000012411"/>
    <m/>
    <s v="L000007925"/>
    <s v="Move"/>
    <x v="0"/>
    <x v="0"/>
    <s v="LS"/>
    <m/>
    <m/>
    <s v="Ruby Grace Garcia"/>
  </r>
  <r>
    <n v="492"/>
    <s v="F1"/>
    <x v="11"/>
    <s v="L000008010"/>
    <m/>
    <s v="L000014024"/>
    <s v="Move"/>
    <x v="0"/>
    <x v="0"/>
    <s v="LS"/>
    <m/>
    <m/>
    <s v="Ruby Grace Garcia"/>
  </r>
  <r>
    <n v="493"/>
    <s v="F1"/>
    <x v="11"/>
    <s v="L000008068"/>
    <m/>
    <s v="L000014024"/>
    <s v="Move"/>
    <x v="0"/>
    <x v="0"/>
    <s v="LS"/>
    <m/>
    <m/>
    <s v="Ruby Grace Garcia"/>
  </r>
  <r>
    <n v="494"/>
    <s v="F1"/>
    <x v="11"/>
    <s v="L000013674"/>
    <m/>
    <s v="L000014028"/>
    <s v="Move"/>
    <x v="0"/>
    <x v="0"/>
    <s v="LS"/>
    <m/>
    <m/>
    <s v="Ruby Grace Garcia"/>
  </r>
  <r>
    <n v="495"/>
    <s v="F1"/>
    <x v="11"/>
    <s v="L000013675"/>
    <m/>
    <s v="L000014028"/>
    <s v="Move"/>
    <x v="0"/>
    <x v="0"/>
    <s v="LS"/>
    <m/>
    <m/>
    <s v="Ruby Grace Garcia"/>
  </r>
  <r>
    <n v="496"/>
    <s v="F1"/>
    <x v="11"/>
    <s v="L000013168"/>
    <m/>
    <s v="L000014029"/>
    <s v="Move"/>
    <x v="0"/>
    <x v="0"/>
    <s v="LS"/>
    <m/>
    <m/>
    <s v="Ruby Grace Garcia"/>
  </r>
  <r>
    <n v="497"/>
    <s v="F1"/>
    <x v="11"/>
    <s v="L000008649"/>
    <m/>
    <s v="L000014041"/>
    <s v="Move"/>
    <x v="0"/>
    <x v="0"/>
    <s v="LS"/>
    <m/>
    <m/>
    <s v="Ruby Grace Garcia"/>
  </r>
  <r>
    <n v="498"/>
    <s v="F1"/>
    <x v="11"/>
    <s v="L000008895"/>
    <m/>
    <s v="L000014041"/>
    <s v="Move"/>
    <x v="0"/>
    <x v="0"/>
    <s v="LS"/>
    <m/>
    <m/>
    <s v="Ruby Grace Garcia"/>
  </r>
  <r>
    <n v="499"/>
    <s v="F1"/>
    <x v="11"/>
    <s v="L000013619"/>
    <m/>
    <s v="L000014041"/>
    <s v="Move"/>
    <x v="0"/>
    <x v="0"/>
    <s v="LS"/>
    <m/>
    <m/>
    <s v="Ruby Grace Garcia"/>
  </r>
  <r>
    <n v="500"/>
    <s v="F1"/>
    <x v="11"/>
    <s v="L000013663"/>
    <m/>
    <s v="L000014041"/>
    <s v="Move"/>
    <x v="0"/>
    <x v="0"/>
    <s v="LS"/>
    <m/>
    <m/>
    <s v="Ruby Grace Garcia"/>
  </r>
  <r>
    <n v="501"/>
    <s v="F1"/>
    <x v="11"/>
    <s v="L000007710"/>
    <m/>
    <s v="L000014049"/>
    <s v="Move"/>
    <x v="0"/>
    <x v="0"/>
    <s v="LS"/>
    <m/>
    <m/>
    <s v="Ruby Grace Garcia"/>
  </r>
  <r>
    <n v="502"/>
    <s v="F1"/>
    <x v="11"/>
    <s v="L000007709"/>
    <m/>
    <s v="L000013680"/>
    <s v="Move"/>
    <x v="0"/>
    <x v="0"/>
    <s v="LS"/>
    <m/>
    <m/>
    <s v="Ruby Grace Garcia"/>
  </r>
  <r>
    <n v="503"/>
    <s v="F1"/>
    <x v="11"/>
    <s v="L000012359"/>
    <m/>
    <s v="L000014051"/>
    <s v="Move"/>
    <x v="0"/>
    <x v="0"/>
    <s v="LS"/>
    <m/>
    <m/>
    <s v="Ruby Grace Garcia"/>
  </r>
  <r>
    <n v="504"/>
    <s v="F1"/>
    <x v="11"/>
    <s v="L000012361"/>
    <m/>
    <s v="L000013289"/>
    <s v="Move"/>
    <x v="0"/>
    <x v="0"/>
    <s v="LS"/>
    <m/>
    <m/>
    <s v="Ruby Grace Garcia"/>
  </r>
  <r>
    <n v="505"/>
    <s v="F1"/>
    <x v="11"/>
    <s v="L000013915"/>
    <m/>
    <s v="L000012361"/>
    <s v="Move"/>
    <x v="0"/>
    <x v="0"/>
    <s v="LS"/>
    <m/>
    <m/>
    <s v="Ruby Grace Garcia"/>
  </r>
  <r>
    <n v="506"/>
    <s v="F1"/>
    <x v="11"/>
    <s v="L000007292"/>
    <m/>
    <s v="L000014060"/>
    <s v="Move"/>
    <x v="0"/>
    <x v="0"/>
    <s v="LS"/>
    <m/>
    <m/>
    <s v="Ruby Grace Garcia"/>
  </r>
  <r>
    <n v="507"/>
    <s v="F1"/>
    <x v="11"/>
    <s v="L000007462"/>
    <m/>
    <s v="L000014060"/>
    <s v="Move"/>
    <x v="0"/>
    <x v="0"/>
    <s v="LS"/>
    <m/>
    <m/>
    <s v="Ruby Grace Garcia"/>
  </r>
  <r>
    <n v="508"/>
    <s v="F1"/>
    <x v="11"/>
    <s v="L000007463"/>
    <m/>
    <s v="L000014060"/>
    <s v="Move"/>
    <x v="0"/>
    <x v="0"/>
    <s v="LS"/>
    <m/>
    <m/>
    <s v="Ruby Grace Garcia"/>
  </r>
  <r>
    <n v="509"/>
    <s v="F1"/>
    <x v="11"/>
    <s v="L000007466"/>
    <m/>
    <s v="L000014060"/>
    <s v="Move"/>
    <x v="0"/>
    <x v="0"/>
    <s v="LS"/>
    <m/>
    <m/>
    <s v="Ruby Grace Garcia"/>
  </r>
  <r>
    <n v="510"/>
    <s v="F1"/>
    <x v="11"/>
    <s v="L000007470"/>
    <m/>
    <s v="L000014060"/>
    <s v="Move"/>
    <x v="0"/>
    <x v="0"/>
    <s v="LS"/>
    <m/>
    <m/>
    <s v="Ruby Grace Garcia"/>
  </r>
  <r>
    <n v="511"/>
    <s v="F1"/>
    <x v="11"/>
    <s v="L000007471"/>
    <m/>
    <s v="L000014060"/>
    <s v="Move"/>
    <x v="0"/>
    <x v="0"/>
    <s v="LS"/>
    <m/>
    <m/>
    <s v="Ruby Grace Garcia"/>
  </r>
  <r>
    <n v="512"/>
    <s v="F1"/>
    <x v="11"/>
    <s v="L000007475"/>
    <m/>
    <s v="L000014060"/>
    <s v="Move"/>
    <x v="0"/>
    <x v="0"/>
    <s v="LS"/>
    <m/>
    <m/>
    <s v="Ruby Grace Garcia"/>
  </r>
  <r>
    <n v="513"/>
    <s v="F1"/>
    <x v="11"/>
    <s v="L000011696"/>
    <m/>
    <s v="L000014060"/>
    <s v="Move"/>
    <x v="0"/>
    <x v="0"/>
    <s v="LS"/>
    <m/>
    <m/>
    <s v="Ruby Grace Garcia"/>
  </r>
  <r>
    <n v="514"/>
    <s v="F1"/>
    <x v="11"/>
    <s v="L000007961"/>
    <m/>
    <s v="L000011589"/>
    <s v="Move"/>
    <x v="0"/>
    <x v="0"/>
    <s v="LS"/>
    <m/>
    <m/>
    <s v="Ruby Grace Garcia"/>
  </r>
  <r>
    <n v="515"/>
    <s v="F1"/>
    <x v="11"/>
    <s v="L000011809"/>
    <m/>
    <s v="L000011589"/>
    <s v="Move"/>
    <x v="0"/>
    <x v="0"/>
    <s v="LS"/>
    <m/>
    <m/>
    <s v="Ruby Grace Garcia"/>
  </r>
  <r>
    <n v="516"/>
    <s v="F1"/>
    <x v="11"/>
    <s v="L000008693"/>
    <m/>
    <s v="L000011656"/>
    <s v="Move"/>
    <x v="0"/>
    <x v="0"/>
    <s v="LS"/>
    <m/>
    <m/>
    <s v="Ruby Grace Garcia"/>
  </r>
  <r>
    <n v="517"/>
    <s v="F1"/>
    <x v="11"/>
    <s v="L000008697"/>
    <m/>
    <s v="L000011656"/>
    <s v="Move"/>
    <x v="0"/>
    <x v="0"/>
    <s v="LS"/>
    <m/>
    <m/>
    <s v="Ruby Grace Garcia"/>
  </r>
  <r>
    <n v="518"/>
    <s v="F1"/>
    <x v="11"/>
    <s v="L000008739"/>
    <m/>
    <s v="L000011656"/>
    <s v="Move"/>
    <x v="0"/>
    <x v="0"/>
    <s v="LS"/>
    <m/>
    <m/>
    <s v="Ruby Grace Garcia"/>
  </r>
  <r>
    <n v="519"/>
    <s v="F1"/>
    <x v="11"/>
    <s v="L000012412"/>
    <m/>
    <s v="L000011656"/>
    <s v="Move"/>
    <x v="0"/>
    <x v="0"/>
    <s v="LS"/>
    <m/>
    <m/>
    <s v="Ruby Grace Garcia"/>
  </r>
  <r>
    <n v="520"/>
    <s v="F1"/>
    <x v="11"/>
    <s v="L000008299"/>
    <m/>
    <s v="L000011687"/>
    <s v="Move"/>
    <x v="0"/>
    <x v="0"/>
    <s v="LS"/>
    <m/>
    <m/>
    <s v="Ruby Grace Garcia"/>
  </r>
  <r>
    <n v="521"/>
    <s v="F1"/>
    <x v="11"/>
    <s v="L000008383"/>
    <m/>
    <s v="L000011687"/>
    <s v="Move"/>
    <x v="0"/>
    <x v="0"/>
    <s v="LS"/>
    <m/>
    <m/>
    <s v="Ruby Grace Garcia"/>
  </r>
  <r>
    <n v="522"/>
    <s v="F1"/>
    <x v="11"/>
    <s v="L000008405"/>
    <m/>
    <s v="L000011687"/>
    <s v="Move"/>
    <x v="0"/>
    <x v="0"/>
    <s v="LS"/>
    <m/>
    <m/>
    <s v="Ruby Grace Garcia"/>
  </r>
  <r>
    <n v="523"/>
    <s v="F1"/>
    <x v="11"/>
    <s v="L000008439"/>
    <m/>
    <s v="L000011687"/>
    <s v="Move"/>
    <x v="0"/>
    <x v="0"/>
    <s v="LS"/>
    <m/>
    <m/>
    <s v="Ruby Grace Garcia"/>
  </r>
  <r>
    <n v="524"/>
    <s v="F1"/>
    <x v="11"/>
    <s v="L000008446"/>
    <m/>
    <s v="L000011687"/>
    <s v="Move"/>
    <x v="0"/>
    <x v="0"/>
    <s v="LS"/>
    <m/>
    <m/>
    <s v="Ruby Grace Garcia"/>
  </r>
  <r>
    <n v="525"/>
    <s v="F1"/>
    <x v="11"/>
    <s v="L000011881"/>
    <m/>
    <s v="L000011687"/>
    <s v="Move"/>
    <x v="0"/>
    <x v="0"/>
    <s v="LS"/>
    <m/>
    <m/>
    <s v="Ruby Grace Garcia"/>
  </r>
  <r>
    <n v="526"/>
    <s v="F1"/>
    <x v="11"/>
    <s v="L000008547"/>
    <m/>
    <s v="L000011687"/>
    <s v="Move"/>
    <x v="0"/>
    <x v="0"/>
    <s v="LS"/>
    <m/>
    <m/>
    <s v="Ruby Grace Garcia"/>
  </r>
  <r>
    <n v="527"/>
    <s v="F1"/>
    <x v="11"/>
    <s v="L000008791"/>
    <m/>
    <s v="L000013526"/>
    <s v="Move"/>
    <x v="0"/>
    <x v="0"/>
    <s v="LS"/>
    <m/>
    <m/>
    <s v="Ruby Grace Garcia"/>
  </r>
  <r>
    <n v="528"/>
    <s v="F1"/>
    <x v="11"/>
    <s v="L000011720"/>
    <m/>
    <s v="L000014060"/>
    <s v="Move"/>
    <x v="0"/>
    <x v="0"/>
    <s v="LS"/>
    <m/>
    <m/>
    <s v="Ruby Grace Garcia"/>
  </r>
  <r>
    <n v="529"/>
    <s v="F1"/>
    <x v="11"/>
    <s v="L000011721"/>
    <m/>
    <s v="L000014060"/>
    <s v="Move"/>
    <x v="0"/>
    <x v="0"/>
    <s v="LS"/>
    <m/>
    <m/>
    <s v="Ruby Grace Garcia"/>
  </r>
  <r>
    <n v="530"/>
    <s v="F1"/>
    <x v="11"/>
    <s v="L000011723"/>
    <m/>
    <s v="L000014060"/>
    <s v="Move"/>
    <x v="0"/>
    <x v="0"/>
    <s v="LS"/>
    <m/>
    <m/>
    <s v="Ruby Grace Garcia"/>
  </r>
  <r>
    <n v="531"/>
    <s v="F1"/>
    <x v="11"/>
    <s v="L000011726"/>
    <m/>
    <s v="L000014060"/>
    <s v="Move"/>
    <x v="0"/>
    <x v="0"/>
    <s v="LS"/>
    <m/>
    <m/>
    <s v="Ruby Grace Garcia"/>
  </r>
  <r>
    <n v="532"/>
    <s v="F1"/>
    <x v="11"/>
    <s v="L000011727"/>
    <m/>
    <s v="L000014060"/>
    <s v="Move"/>
    <x v="0"/>
    <x v="0"/>
    <s v="LS"/>
    <m/>
    <m/>
    <s v="Ruby Grace Garcia"/>
  </r>
  <r>
    <n v="533"/>
    <s v="F1"/>
    <x v="11"/>
    <s v="L000011728"/>
    <m/>
    <s v="L000014060"/>
    <s v="Move"/>
    <x v="0"/>
    <x v="0"/>
    <s v="LS"/>
    <m/>
    <m/>
    <s v="Ruby Grace Garcia"/>
  </r>
  <r>
    <n v="534"/>
    <s v="F1"/>
    <x v="11"/>
    <s v="L000012595"/>
    <m/>
    <s v="L000014060"/>
    <s v="Move"/>
    <x v="0"/>
    <x v="0"/>
    <s v="LS"/>
    <m/>
    <m/>
    <s v="Ruby Grace Garcia"/>
  </r>
  <r>
    <n v="535"/>
    <s v="F1"/>
    <x v="11"/>
    <s v="L000012596"/>
    <m/>
    <s v="L000014060"/>
    <s v="Move"/>
    <x v="0"/>
    <x v="0"/>
    <s v="LS"/>
    <m/>
    <m/>
    <s v="Ruby Grace Garcia"/>
  </r>
  <r>
    <n v="536"/>
    <s v="F1"/>
    <x v="11"/>
    <s v="L000013518"/>
    <m/>
    <s v="L000014060"/>
    <s v="Move"/>
    <x v="0"/>
    <x v="0"/>
    <s v="LS"/>
    <m/>
    <m/>
    <s v="Ruby Grace Garcia"/>
  </r>
  <r>
    <n v="537"/>
    <s v="F1"/>
    <x v="11"/>
    <s v="L000013528"/>
    <m/>
    <s v="L000014060"/>
    <s v="Move"/>
    <x v="0"/>
    <x v="0"/>
    <s v="LS"/>
    <m/>
    <m/>
    <s v="Ruby Grace Garcia"/>
  </r>
  <r>
    <n v="538"/>
    <s v="F1"/>
    <x v="11"/>
    <s v="L000013530"/>
    <m/>
    <s v="L000014061"/>
    <s v="Move"/>
    <x v="0"/>
    <x v="0"/>
    <s v="LS"/>
    <m/>
    <m/>
    <s v="Ruby Grace Garcia"/>
  </r>
  <r>
    <n v="539"/>
    <s v="F1"/>
    <x v="11"/>
    <s v="L000008698"/>
    <m/>
    <s v="L000014061"/>
    <s v="Move"/>
    <x v="0"/>
    <x v="0"/>
    <s v="LS"/>
    <m/>
    <m/>
    <s v="Ruby Grace Garcia"/>
  </r>
  <r>
    <n v="540"/>
    <s v="F1"/>
    <x v="11"/>
    <s v="L000011741"/>
    <m/>
    <s v="L000014062"/>
    <s v="Move"/>
    <x v="0"/>
    <x v="0"/>
    <s v="LS"/>
    <m/>
    <m/>
    <s v="Ruby Grace Garcia"/>
  </r>
  <r>
    <n v="541"/>
    <s v="F1"/>
    <x v="11"/>
    <s v="L000008650"/>
    <m/>
    <s v="L000014062"/>
    <s v="Move"/>
    <x v="0"/>
    <x v="0"/>
    <s v="LS"/>
    <m/>
    <m/>
    <s v="Ruby Grace Garcia"/>
  </r>
  <r>
    <n v="542"/>
    <s v="F1"/>
    <x v="11"/>
    <s v="L000007116"/>
    <m/>
    <s v="L000014062"/>
    <s v="Move"/>
    <x v="0"/>
    <x v="0"/>
    <s v="LS"/>
    <m/>
    <m/>
    <s v="Ruby Grace Garcia"/>
  </r>
  <r>
    <n v="543"/>
    <s v="F1"/>
    <x v="11"/>
    <s v="L000013227"/>
    <m/>
    <s v="L000014062"/>
    <s v="Move"/>
    <x v="0"/>
    <x v="0"/>
    <s v="LS"/>
    <m/>
    <m/>
    <s v="Ruby Grace Garcia"/>
  </r>
  <r>
    <n v="544"/>
    <s v="F1"/>
    <x v="11"/>
    <s v="L000013228"/>
    <m/>
    <s v="L000014062"/>
    <s v="Move"/>
    <x v="0"/>
    <x v="0"/>
    <s v="LS"/>
    <m/>
    <m/>
    <s v="Ruby Grace Garcia"/>
  </r>
  <r>
    <n v="545"/>
    <s v="F1"/>
    <x v="11"/>
    <s v="L000011773"/>
    <m/>
    <s v="L000014062"/>
    <s v="Move"/>
    <x v="0"/>
    <x v="0"/>
    <s v="LS"/>
    <m/>
    <m/>
    <s v="Ruby Grace Garcia"/>
  </r>
  <r>
    <n v="546"/>
    <s v="F1"/>
    <x v="11"/>
    <s v="L000008829"/>
    <m/>
    <s v="L000014062"/>
    <s v="Move"/>
    <x v="0"/>
    <x v="0"/>
    <s v="LS"/>
    <m/>
    <m/>
    <s v="Ruby Grace Garcia"/>
  </r>
  <r>
    <n v="547"/>
    <s v="F1"/>
    <x v="11"/>
    <s v="L000008408"/>
    <m/>
    <s v="L000014062"/>
    <s v="Move"/>
    <x v="0"/>
    <x v="0"/>
    <s v="LS"/>
    <m/>
    <m/>
    <s v="Ruby Grace Garcia"/>
  </r>
  <r>
    <n v="548"/>
    <s v="F1"/>
    <x v="11"/>
    <s v="L000008386"/>
    <m/>
    <s v="L000014062"/>
    <s v="Move"/>
    <x v="0"/>
    <x v="0"/>
    <s v="LS"/>
    <m/>
    <m/>
    <s v="Ruby Grace Garcia"/>
  </r>
  <r>
    <n v="549"/>
    <s v="F1"/>
    <x v="11"/>
    <s v="L000008453"/>
    <m/>
    <s v="L000014062"/>
    <s v="Move"/>
    <x v="0"/>
    <x v="0"/>
    <s v="LS"/>
    <m/>
    <m/>
    <s v="Ruby Grace Garcia"/>
  </r>
  <r>
    <n v="550"/>
    <s v="F1"/>
    <x v="11"/>
    <s v="L000008479"/>
    <m/>
    <s v="L000014062"/>
    <s v="Move"/>
    <x v="0"/>
    <x v="0"/>
    <s v="LS"/>
    <m/>
    <m/>
    <s v="Ruby Grace Garcia"/>
  </r>
  <r>
    <n v="551"/>
    <s v="F1"/>
    <x v="11"/>
    <s v="L000008427"/>
    <m/>
    <s v="L000014062"/>
    <s v="Move"/>
    <x v="0"/>
    <x v="0"/>
    <s v="LS"/>
    <m/>
    <m/>
    <s v="Ruby Grace Garcia"/>
  </r>
  <r>
    <n v="552"/>
    <s v="F1"/>
    <x v="11"/>
    <s v="L000008553"/>
    <m/>
    <s v="L000014062"/>
    <s v="Move"/>
    <x v="0"/>
    <x v="0"/>
    <s v="LS"/>
    <m/>
    <m/>
    <s v="Ruby Grace Garcia"/>
  </r>
  <r>
    <n v="553"/>
    <s v="F1"/>
    <x v="11"/>
    <s v="L000008300"/>
    <m/>
    <s v="L000014062"/>
    <s v="Move"/>
    <x v="0"/>
    <x v="0"/>
    <s v="LS"/>
    <m/>
    <m/>
    <s v="Ruby Grace Garcia"/>
  </r>
  <r>
    <n v="554"/>
    <s v="F1"/>
    <x v="11"/>
    <s v="L000008305"/>
    <m/>
    <s v="L000014062"/>
    <s v="Move"/>
    <x v="0"/>
    <x v="0"/>
    <s v="LS"/>
    <m/>
    <m/>
    <s v="Ruby Grace Garcia"/>
  </r>
  <r>
    <n v="555"/>
    <s v="F1"/>
    <x v="11"/>
    <s v="L000008502"/>
    <m/>
    <s v="L000014062"/>
    <s v="Move"/>
    <x v="0"/>
    <x v="0"/>
    <s v="LS"/>
    <m/>
    <m/>
    <s v="Ruby Grace Garcia"/>
  </r>
  <r>
    <n v="556"/>
    <s v="F1"/>
    <x v="11"/>
    <s v="L000008515"/>
    <m/>
    <s v="L000014062"/>
    <s v="Move"/>
    <x v="0"/>
    <x v="0"/>
    <s v="LS"/>
    <m/>
    <m/>
    <s v="Ruby Grace Garcia"/>
  </r>
  <r>
    <n v="557"/>
    <s v="F1"/>
    <x v="11"/>
    <s v="L000008527"/>
    <m/>
    <s v="L000014062"/>
    <s v="Move"/>
    <x v="0"/>
    <x v="0"/>
    <s v="LS"/>
    <m/>
    <m/>
    <s v="Ruby Grace Garcia"/>
  </r>
  <r>
    <n v="558"/>
    <s v="F1"/>
    <x v="11"/>
    <s v="L000008537"/>
    <m/>
    <s v="L000014062"/>
    <s v="Move"/>
    <x v="0"/>
    <x v="0"/>
    <s v="LS"/>
    <m/>
    <m/>
    <s v="Ruby Grace Garcia"/>
  </r>
  <r>
    <n v="559"/>
    <s v="F1"/>
    <x v="11"/>
    <s v="L000013312"/>
    <m/>
    <s v="L000013829"/>
    <s v="Move"/>
    <x v="0"/>
    <x v="0"/>
    <s v="LS"/>
    <m/>
    <m/>
    <s v="Ruby Grace Garcia"/>
  </r>
  <r>
    <n v="560"/>
    <s v="F1"/>
    <x v="11"/>
    <s v="L000006085"/>
    <m/>
    <s v="L000013782"/>
    <s v="Move"/>
    <x v="0"/>
    <x v="0"/>
    <s v="LS"/>
    <m/>
    <m/>
    <s v="Ruby Grace Garcia"/>
  </r>
  <r>
    <n v="561"/>
    <s v="F1"/>
    <x v="11"/>
    <s v="L000012795"/>
    <m/>
    <s v="L000013782"/>
    <s v="Move"/>
    <x v="0"/>
    <x v="0"/>
    <s v="LS"/>
    <m/>
    <m/>
    <s v="Ruby Grace Garcia"/>
  </r>
  <r>
    <n v="562"/>
    <s v="F1"/>
    <x v="11"/>
    <s v="L000012796"/>
    <m/>
    <s v="L000013782"/>
    <s v="Move"/>
    <x v="0"/>
    <x v="0"/>
    <s v="LS"/>
    <m/>
    <m/>
    <s v="Ruby Grace Garcia"/>
  </r>
  <r>
    <n v="563"/>
    <s v="F1"/>
    <x v="11"/>
    <s v="L000013672"/>
    <m/>
    <s v="L000011322"/>
    <s v="Move"/>
    <x v="0"/>
    <x v="0"/>
    <s v="LS"/>
    <m/>
    <m/>
    <s v="Ruby Grace Garcia"/>
  </r>
  <r>
    <n v="564"/>
    <s v="F1"/>
    <x v="11"/>
    <s v="L000006677"/>
    <m/>
    <s v="L000013514"/>
    <s v="Move"/>
    <x v="0"/>
    <x v="0"/>
    <s v="LS"/>
    <m/>
    <m/>
    <s v="Ruby Grace Garcia"/>
  </r>
  <r>
    <n v="565"/>
    <s v="F1"/>
    <x v="11"/>
    <s v="L000006678"/>
    <m/>
    <s v="L000013514"/>
    <s v="Move"/>
    <x v="0"/>
    <x v="0"/>
    <s v="LS"/>
    <m/>
    <m/>
    <s v="Ruby Grace Garcia"/>
  </r>
  <r>
    <n v="566"/>
    <s v="F1"/>
    <x v="11"/>
    <s v="L000013515"/>
    <m/>
    <s v="L000013514"/>
    <s v="Move"/>
    <x v="0"/>
    <x v="0"/>
    <s v="LS"/>
    <m/>
    <m/>
    <s v="Ruby Grace Garcia"/>
  </r>
  <r>
    <n v="567"/>
    <s v="F1"/>
    <x v="11"/>
    <s v="L000013516"/>
    <m/>
    <s v="L000013514"/>
    <s v="Move"/>
    <x v="0"/>
    <x v="0"/>
    <s v="LS"/>
    <m/>
    <m/>
    <s v="Ruby Grace Garcia"/>
  </r>
  <r>
    <n v="568"/>
    <s v="F1"/>
    <x v="11"/>
    <s v="L000006422"/>
    <m/>
    <s v="L000013685"/>
    <s v="Remove"/>
    <x v="0"/>
    <x v="0"/>
    <s v="LS"/>
    <m/>
    <m/>
    <s v="Ruby Grace Garcia"/>
  </r>
  <r>
    <n v="569"/>
    <s v="F1"/>
    <x v="11"/>
    <s v="L000013003"/>
    <m/>
    <s v="L000013687"/>
    <s v="Remove"/>
    <x v="0"/>
    <x v="0"/>
    <s v="LS"/>
    <m/>
    <m/>
    <s v="Ruby Grace Garcia"/>
  </r>
  <r>
    <n v="570"/>
    <s v="F1"/>
    <x v="11"/>
    <s v="L000013735"/>
    <m/>
    <s v="L000013687"/>
    <s v="Remove"/>
    <x v="0"/>
    <x v="0"/>
    <s v="LS"/>
    <m/>
    <m/>
    <s v="Ruby Grace Garcia"/>
  </r>
  <r>
    <n v="571"/>
    <s v="F1"/>
    <x v="11"/>
    <s v="L000013736"/>
    <m/>
    <s v="L000013687"/>
    <s v="Remove"/>
    <x v="0"/>
    <x v="0"/>
    <s v="LS"/>
    <m/>
    <m/>
    <s v="Ruby Grace Garcia"/>
  </r>
  <r>
    <n v="572"/>
    <s v="F1"/>
    <x v="11"/>
    <s v="L000005336"/>
    <m/>
    <s v="L000013687"/>
    <s v="Remove"/>
    <x v="0"/>
    <x v="0"/>
    <s v="LS"/>
    <m/>
    <m/>
    <s v="Ruby Grace Garcia"/>
  </r>
  <r>
    <n v="573"/>
    <s v="F1"/>
    <x v="11"/>
    <s v="L000005348"/>
    <m/>
    <s v="L000013687"/>
    <s v="Remove"/>
    <x v="0"/>
    <x v="0"/>
    <s v="LS"/>
    <m/>
    <m/>
    <s v="Ruby Grace Garcia"/>
  </r>
  <r>
    <n v="574"/>
    <s v="F1"/>
    <x v="11"/>
    <s v="L000005351"/>
    <m/>
    <s v="L000013687"/>
    <s v="Remove"/>
    <x v="0"/>
    <x v="0"/>
    <s v="LS"/>
    <m/>
    <m/>
    <s v="Ruby Grace Garcia"/>
  </r>
  <r>
    <n v="575"/>
    <s v="F1"/>
    <x v="11"/>
    <s v="L000005353"/>
    <m/>
    <s v="L000013687"/>
    <s v="Remove"/>
    <x v="0"/>
    <x v="0"/>
    <s v="LS"/>
    <m/>
    <m/>
    <s v="Ruby Grace Garcia"/>
  </r>
  <r>
    <n v="576"/>
    <s v="F1"/>
    <x v="11"/>
    <s v="L000005355"/>
    <m/>
    <s v="L000013687"/>
    <s v="Remove"/>
    <x v="0"/>
    <x v="0"/>
    <s v="LS"/>
    <m/>
    <m/>
    <s v="Ruby Grace Garcia"/>
  </r>
  <r>
    <n v="577"/>
    <s v="F1"/>
    <x v="11"/>
    <s v="L000005356"/>
    <m/>
    <s v="L000013687"/>
    <s v="Remove"/>
    <x v="0"/>
    <x v="0"/>
    <s v="LS"/>
    <m/>
    <m/>
    <s v="Ruby Grace Garcia"/>
  </r>
  <r>
    <n v="578"/>
    <s v="F1"/>
    <x v="11"/>
    <s v="L000005357"/>
    <m/>
    <s v="L000013687"/>
    <s v="Remove"/>
    <x v="0"/>
    <x v="0"/>
    <s v="LS"/>
    <m/>
    <m/>
    <s v="Ruby Grace Garcia"/>
  </r>
  <r>
    <n v="579"/>
    <s v="F1"/>
    <x v="11"/>
    <s v="L000009145"/>
    <m/>
    <s v="L000013687"/>
    <s v="Remove"/>
    <x v="0"/>
    <x v="0"/>
    <s v="LS"/>
    <m/>
    <m/>
    <s v="Ruby Grace Garcia"/>
  </r>
  <r>
    <n v="580"/>
    <s v="F1"/>
    <x v="11"/>
    <s v="L000009147"/>
    <m/>
    <s v="L000013687"/>
    <s v="Remove"/>
    <x v="0"/>
    <x v="0"/>
    <s v="LS"/>
    <m/>
    <m/>
    <s v="Ruby Grace Garcia"/>
  </r>
  <r>
    <n v="581"/>
    <s v="F1"/>
    <x v="11"/>
    <s v="L000009148"/>
    <m/>
    <s v="L000013687"/>
    <s v="Remove"/>
    <x v="0"/>
    <x v="0"/>
    <s v="LS"/>
    <m/>
    <m/>
    <s v="Ruby Grace Garcia"/>
  </r>
  <r>
    <n v="582"/>
    <s v="F1"/>
    <x v="11"/>
    <s v="L000009177"/>
    <m/>
    <s v="L000013687"/>
    <s v="Remove"/>
    <x v="0"/>
    <x v="0"/>
    <s v="LS"/>
    <m/>
    <m/>
    <s v="Ruby Grace Garcia"/>
  </r>
  <r>
    <n v="583"/>
    <s v="F1"/>
    <x v="11"/>
    <s v="L000013737"/>
    <m/>
    <s v="L000013687"/>
    <s v="Remove"/>
    <x v="0"/>
    <x v="0"/>
    <s v="LS"/>
    <m/>
    <m/>
    <s v="Ruby Grace Garcia"/>
  </r>
  <r>
    <n v="584"/>
    <s v="F1"/>
    <x v="11"/>
    <s v="L000013738"/>
    <m/>
    <s v="L000013687"/>
    <s v="Remove"/>
    <x v="0"/>
    <x v="0"/>
    <s v="LS"/>
    <m/>
    <m/>
    <s v="Ruby Grace Garcia"/>
  </r>
  <r>
    <n v="585"/>
    <s v="F1"/>
    <x v="11"/>
    <s v="L000011323"/>
    <m/>
    <s v="L000013687"/>
    <s v="Remove"/>
    <x v="0"/>
    <x v="0"/>
    <s v="LS"/>
    <m/>
    <m/>
    <s v="Ruby Grace Garcia"/>
  </r>
  <r>
    <n v="586"/>
    <s v="F1"/>
    <x v="11"/>
    <s v="L000011324"/>
    <m/>
    <s v="L000013687"/>
    <s v="Remove"/>
    <x v="0"/>
    <x v="0"/>
    <s v="LS"/>
    <m/>
    <m/>
    <s v="Ruby Grace Garcia"/>
  </r>
  <r>
    <n v="587"/>
    <s v="F1"/>
    <x v="11"/>
    <s v="L000011325"/>
    <m/>
    <s v="L000013687"/>
    <s v="Remove"/>
    <x v="0"/>
    <x v="0"/>
    <s v="LS"/>
    <m/>
    <m/>
    <s v="Ruby Grace Garcia"/>
  </r>
  <r>
    <n v="588"/>
    <s v="F1"/>
    <x v="11"/>
    <s v="L000011326"/>
    <m/>
    <s v="L000013687"/>
    <s v="Remove"/>
    <x v="0"/>
    <x v="0"/>
    <s v="LS"/>
    <m/>
    <m/>
    <s v="Ruby Grace Garcia"/>
  </r>
  <r>
    <n v="589"/>
    <s v="F1"/>
    <x v="11"/>
    <s v="L000011111"/>
    <m/>
    <s v="L000013687"/>
    <s v="Remove"/>
    <x v="0"/>
    <x v="0"/>
    <s v="LS"/>
    <m/>
    <m/>
    <s v="Ruby Grace Garcia"/>
  </r>
  <r>
    <n v="590"/>
    <s v="F1"/>
    <x v="12"/>
    <s v="H000004917"/>
    <m/>
    <s v="O000000009"/>
    <s v="Remove"/>
    <x v="0"/>
    <x v="0"/>
    <s v="HC"/>
    <m/>
    <m/>
    <s v="Erjo Miguel Tagle"/>
  </r>
  <r>
    <n v="591"/>
    <s v="F1"/>
    <x v="12"/>
    <s v="H000004865"/>
    <m/>
    <s v="O000000009"/>
    <s v="Remove"/>
    <x v="0"/>
    <x v="0"/>
    <s v="HC"/>
    <m/>
    <m/>
    <s v="Erjo Miguel Tagle"/>
  </r>
  <r>
    <n v="592"/>
    <s v="F1"/>
    <x v="12"/>
    <s v="H000004919"/>
    <m/>
    <s v="O000000009"/>
    <s v="Remove"/>
    <x v="0"/>
    <x v="0"/>
    <s v="HC"/>
    <m/>
    <m/>
    <s v="Erjo Miguel Tagle"/>
  </r>
  <r>
    <n v="593"/>
    <s v="F1"/>
    <x v="13"/>
    <s v="RDC0000095"/>
    <m/>
    <s v="RDC0000100"/>
    <s v="Move"/>
    <x v="0"/>
    <x v="0"/>
    <s v="HC"/>
    <m/>
    <m/>
    <s v="Erjo Miguel Tagle"/>
  </r>
  <r>
    <n v="594"/>
    <s v="F1"/>
    <x v="14"/>
    <s v="O000000010"/>
    <s v="IT Charges"/>
    <m/>
    <s v="Rename"/>
    <x v="0"/>
    <x v="0"/>
    <s v="MGF"/>
    <m/>
    <m/>
    <s v="Joshua Cachola"/>
  </r>
  <r>
    <n v="595"/>
    <s v="F1"/>
    <x v="14"/>
    <s v="O000000011"/>
    <s v="Global Run (IS)"/>
    <s v="O000000010"/>
    <s v="New"/>
    <x v="0"/>
    <x v="0"/>
    <s v="MGF"/>
    <m/>
    <m/>
    <s v="Joshua Cachola"/>
  </r>
  <r>
    <n v="596"/>
    <s v="F1"/>
    <x v="14"/>
    <s v="O000000012"/>
    <s v="IT Service Charges"/>
    <s v="O000000010"/>
    <s v="New"/>
    <x v="0"/>
    <x v="0"/>
    <s v="MGF"/>
    <m/>
    <m/>
    <s v="Joshua Cachola"/>
  </r>
  <r>
    <n v="597"/>
    <s v="F1"/>
    <x v="14"/>
    <s v="O000000013"/>
    <s v="IT Projects Charges"/>
    <s v="O000000010"/>
    <s v="New"/>
    <x v="0"/>
    <x v="0"/>
    <s v="MGF"/>
    <m/>
    <m/>
    <s v="Joshua Cachola"/>
  </r>
  <r>
    <n v="598"/>
    <s v="F1"/>
    <x v="15"/>
    <s v="G000001462"/>
    <s v="GDC ST - BD &amp; Strategy Innovation China"/>
    <s v="G000000596"/>
    <s v="New"/>
    <x v="0"/>
    <x v="0"/>
    <s v="MGF"/>
    <m/>
    <m/>
    <s v="Jojeff Tagnong"/>
  </r>
  <r>
    <n v="599"/>
    <s v="F1"/>
    <x v="16"/>
    <s v="P000001416"/>
    <s v="Exceptional Evolution"/>
    <s v="P000000426"/>
    <s v="New"/>
    <x v="0"/>
    <x v="0"/>
    <s v="EL"/>
    <m/>
    <m/>
    <s v="John Rowie Del Rosario"/>
  </r>
  <r>
    <n v="600"/>
    <s v="F1"/>
    <x v="16"/>
    <s v="P000001417"/>
    <s v="Syn. &amp; Purif. US Container Engineering"/>
    <s v="P000001415"/>
    <s v="New"/>
    <x v="0"/>
    <x v="0"/>
    <s v="EL"/>
    <m/>
    <m/>
    <s v="John Rowie Del Rosario"/>
  </r>
  <r>
    <n v="601"/>
    <s v="F1"/>
    <x v="16"/>
    <s v="P000001418"/>
    <s v="DIS-DE-DA G1+N5 Small Scale"/>
    <s v="P000000062"/>
    <s v="New"/>
    <x v="0"/>
    <x v="0"/>
    <s v="EL"/>
    <m/>
    <m/>
    <s v="John Rowie Del Rosario"/>
  </r>
  <r>
    <n v="602"/>
    <s v="F1"/>
    <x v="16"/>
    <s v="P000001419"/>
    <s v="Formul. &amp; Opt. Cluster Mgmt Functions"/>
    <s v="P000001399"/>
    <s v="New"/>
    <x v="0"/>
    <x v="0"/>
    <s v="EL"/>
    <m/>
    <m/>
    <s v="John Rowie Del Rosario"/>
  </r>
  <r>
    <n v="603"/>
    <s v="F1"/>
    <x v="16"/>
    <s v="P000001420"/>
    <s v="EL-CN-S Semi Materials China Head"/>
    <s v="P000000571"/>
    <s v="New"/>
    <x v="0"/>
    <x v="0"/>
    <s v="EL"/>
    <m/>
    <m/>
    <s v="John Rowie Del Rosario"/>
  </r>
  <r>
    <n v="604"/>
    <s v="F1"/>
    <x v="16"/>
    <s v="P000001421"/>
    <s v="EL-CN-S4 Project Management Office"/>
    <s v="P000000571"/>
    <s v="New"/>
    <x v="0"/>
    <x v="0"/>
    <s v="EL"/>
    <m/>
    <m/>
    <s v="John Rowie Del Rosario"/>
  </r>
  <r>
    <n v="605"/>
    <s v="F1"/>
    <x v="16"/>
    <s v="P000001422"/>
    <s v="EL-CN-S5 Semi Materials China-EHS&amp;S"/>
    <s v="P000000571"/>
    <s v="New"/>
    <x v="0"/>
    <x v="0"/>
    <s v="EL"/>
    <m/>
    <m/>
    <s v="John Rowie Del Rosario"/>
  </r>
  <r>
    <n v="606"/>
    <s v="F1"/>
    <x v="16"/>
    <s v="P000001423"/>
    <s v="EL-CN-S6 Customer Applications"/>
    <s v="P000000571"/>
    <s v="New"/>
    <x v="0"/>
    <x v="0"/>
    <s v="EL"/>
    <m/>
    <m/>
    <s v="John Rowie Del Rosario"/>
  </r>
  <r>
    <n v="607"/>
    <s v="F1"/>
    <x v="16"/>
    <s v="P000001424"/>
    <s v="EL-CN-S8 Strategy &amp; Development"/>
    <s v="P000000571"/>
    <s v="New"/>
    <x v="0"/>
    <x v="0"/>
    <s v="EL"/>
    <m/>
    <m/>
    <s v="John Rowie Del Rosario"/>
  </r>
  <r>
    <n v="608"/>
    <s v="F1"/>
    <x v="16"/>
    <s v="P000001425"/>
    <s v="EL-FO Formulations Head"/>
    <s v="P000001143"/>
    <s v="New"/>
    <x v="0"/>
    <x v="0"/>
    <s v="EL"/>
    <m/>
    <m/>
    <s v="John Rowie Del Rosario"/>
  </r>
  <r>
    <n v="609"/>
    <s v="F1"/>
    <x v="16"/>
    <s v="P000001426"/>
    <s v="EL-FO-AR Planarization R&amp;D Patents"/>
    <s v="P000000546"/>
    <s v="New"/>
    <x v="0"/>
    <x v="0"/>
    <s v="EL"/>
    <m/>
    <m/>
    <s v="John Rowie Del Rosario"/>
  </r>
  <r>
    <n v="610"/>
    <s v="F1"/>
    <x v="16"/>
    <s v="P000001427"/>
    <s v="EL-FO-A Planarization Sales &amp; COGs"/>
    <s v="P000000643"/>
    <s v="New"/>
    <x v="0"/>
    <x v="0"/>
    <s v="EL"/>
    <m/>
    <m/>
    <s v="John Rowie Del Rosario"/>
  </r>
  <r>
    <n v="611"/>
    <s v="F1"/>
    <x v="16"/>
    <s v="P000001428"/>
    <s v="EL-FO-PA PAT Customer Applications Head"/>
    <s v="P000000856"/>
    <s v="New"/>
    <x v="0"/>
    <x v="0"/>
    <s v="EL"/>
    <m/>
    <m/>
    <s v="John Rowie Del Rosario"/>
  </r>
  <r>
    <n v="612"/>
    <s v="F1"/>
    <x v="16"/>
    <s v="P000001429"/>
    <s v="EL-FO-PC PAT Silica Materials Head"/>
    <s v="P000001165"/>
    <s v="New"/>
    <x v="0"/>
    <x v="0"/>
    <s v="EL"/>
    <m/>
    <m/>
    <s v="John Rowie Del Rosario"/>
  </r>
  <r>
    <n v="613"/>
    <s v="F1"/>
    <x v="16"/>
    <s v="P000001430"/>
    <s v="EL-FO-PCA Silica Sales &amp; Marketing"/>
    <s v="P000001165"/>
    <s v="New"/>
    <x v="0"/>
    <x v="0"/>
    <s v="EL"/>
    <m/>
    <m/>
    <s v="John Rowie Del Rosario"/>
  </r>
  <r>
    <n v="614"/>
    <s v="F1"/>
    <x v="16"/>
    <s v="P000001431"/>
    <s v="EL-FO-PCB Silica Project Management"/>
    <s v="P000001165"/>
    <s v="New"/>
    <x v="0"/>
    <x v="0"/>
    <s v="EL"/>
    <m/>
    <m/>
    <s v="John Rowie Del Rosario"/>
  </r>
  <r>
    <n v="615"/>
    <s v="F1"/>
    <x v="16"/>
    <s v="P000001432"/>
    <s v="EL-FO-PCH Silica Materials, Kaohsiung"/>
    <s v="P000001165"/>
    <s v="New"/>
    <x v="0"/>
    <x v="0"/>
    <s v="EL"/>
    <m/>
    <m/>
    <s v="John Rowie Del Rosario"/>
  </r>
  <r>
    <n v="616"/>
    <s v="F1"/>
    <x v="16"/>
    <s v="P000001433"/>
    <s v="EL-FO-PCK Silica, Quality &amp; Product Eng."/>
    <s v="P000001165"/>
    <s v="New"/>
    <x v="0"/>
    <x v="0"/>
    <s v="EL"/>
    <m/>
    <m/>
    <s v="John Rowie Del Rosario"/>
  </r>
  <r>
    <n v="617"/>
    <s v="F1"/>
    <x v="16"/>
    <s v="P000001434"/>
    <s v="EL-FO-PCN Silica, Supply Chain Planning"/>
    <s v="P000001165"/>
    <s v="New"/>
    <x v="0"/>
    <x v="0"/>
    <s v="EL"/>
    <m/>
    <m/>
    <s v="John Rowie Del Rosario"/>
  </r>
  <r>
    <n v="618"/>
    <s v="F1"/>
    <x v="16"/>
    <s v="P000001435"/>
    <s v="EL-FO-PCS Silica Materials R&amp;D"/>
    <s v="P000001165"/>
    <s v="New"/>
    <x v="0"/>
    <x v="0"/>
    <s v="EL"/>
    <m/>
    <m/>
    <s v="John Rowie Del Rosario"/>
  </r>
  <r>
    <n v="619"/>
    <s v="F1"/>
    <x v="16"/>
    <s v="P000001436"/>
    <s v="Silica Materials R&amp;D Organization"/>
    <s v="P000001435"/>
    <s v="New"/>
    <x v="0"/>
    <x v="0"/>
    <s v="EL"/>
    <m/>
    <m/>
    <s v="John Rowie Del Rosario"/>
  </r>
  <r>
    <n v="620"/>
    <s v="F1"/>
    <x v="16"/>
    <s v="P000001437"/>
    <s v="Silica Materials R&amp;D Projects"/>
    <s v="P000001435"/>
    <s v="New"/>
    <x v="0"/>
    <x v="0"/>
    <s v="EL"/>
    <m/>
    <m/>
    <s v="John Rowie Del Rosario"/>
  </r>
  <r>
    <n v="621"/>
    <s v="F1"/>
    <x v="16"/>
    <s v="P000001438"/>
    <s v="Silica Materials R&amp;D Other"/>
    <s v="P000001435"/>
    <s v="New"/>
    <x v="0"/>
    <x v="0"/>
    <s v="EL"/>
    <m/>
    <m/>
    <s v="John Rowie Del Rosario"/>
  </r>
  <r>
    <n v="622"/>
    <s v="F1"/>
    <x v="16"/>
    <s v="P000001439"/>
    <s v="Silica Materials R&amp;D Patents"/>
    <s v="P000001435"/>
    <s v="New"/>
    <x v="0"/>
    <x v="0"/>
    <s v="EL"/>
    <m/>
    <m/>
    <s v="John Rowie Del Rosario"/>
  </r>
  <r>
    <n v="623"/>
    <s v="F1"/>
    <x v="16"/>
    <s v="P000001440"/>
    <s v="EL-FO-PM Patterning Marketing Head"/>
    <s v="P000000854"/>
    <s v="New"/>
    <x v="0"/>
    <x v="0"/>
    <s v="EL"/>
    <m/>
    <m/>
    <s v="John Rowie Del Rosario"/>
  </r>
  <r>
    <n v="624"/>
    <s v="F1"/>
    <x v="16"/>
    <s v="P000001441"/>
    <s v="EL-FO-PR Patterning R&amp;D Patents"/>
    <s v="P000000545"/>
    <s v="New"/>
    <x v="0"/>
    <x v="0"/>
    <s v="EL"/>
    <m/>
    <m/>
    <s v="John Rowie Del Rosario"/>
  </r>
  <r>
    <n v="625"/>
    <s v="F1"/>
    <x v="16"/>
    <s v="P000001442"/>
    <s v="EL-TF Thin Film Head"/>
    <s v="P000000641"/>
    <s v="New"/>
    <x v="0"/>
    <x v="0"/>
    <s v="EL"/>
    <m/>
    <m/>
    <s v="John Rowie Del Rosario"/>
  </r>
  <r>
    <n v="626"/>
    <s v="F1"/>
    <x v="16"/>
    <s v="P000001443"/>
    <s v="EL-TF-E Global Executive Acc. Mgmt."/>
    <s v="P000000641"/>
    <s v="New"/>
    <x v="0"/>
    <x v="0"/>
    <s v="EL"/>
    <m/>
    <m/>
    <s v="John Rowie Del Rosario"/>
  </r>
  <r>
    <n v="627"/>
    <s v="F1"/>
    <x v="16"/>
    <s v="P000001444"/>
    <s v="EL-TF-I Dielectrics Business Head"/>
    <s v="P000000832"/>
    <s v="New"/>
    <x v="0"/>
    <x v="0"/>
    <s v="EL"/>
    <m/>
    <m/>
    <s v="John Rowie Del Rosario"/>
  </r>
  <r>
    <n v="628"/>
    <s v="F1"/>
    <x v="16"/>
    <s v="P000001445"/>
    <s v="EL-TF-M Metallics Business Head"/>
    <s v="P000000833"/>
    <s v="New"/>
    <x v="0"/>
    <x v="0"/>
    <s v="EL"/>
    <m/>
    <m/>
    <s v="John Rowie Del Rosario"/>
  </r>
  <r>
    <n v="629"/>
    <s v="F1"/>
    <x v="16"/>
    <s v="P000001446"/>
    <s v="EL-TF-R Thin Film R&amp;D Patents"/>
    <s v="P000000544"/>
    <s v="New"/>
    <x v="0"/>
    <x v="0"/>
    <s v="EL"/>
    <m/>
    <m/>
    <s v="John Rowie Del Rosario"/>
  </r>
  <r>
    <n v="630"/>
    <s v="F1"/>
    <x v="16"/>
    <s v="P000001447"/>
    <s v="EL-TF-T MD Taiwan"/>
    <s v="P000000641"/>
    <s v="New"/>
    <x v="0"/>
    <x v="0"/>
    <s v="EL"/>
    <m/>
    <m/>
    <s v="John Rowie Del Rosario"/>
  </r>
  <r>
    <n v="631"/>
    <s v="F1"/>
    <x v="16"/>
    <s v="P000001448"/>
    <s v="EL-TF-T MD Taiwan Head"/>
    <s v="P000001447"/>
    <s v="New"/>
    <x v="0"/>
    <x v="0"/>
    <s v="EL"/>
    <m/>
    <m/>
    <s v="John Rowie Del Rosario"/>
  </r>
  <r>
    <n v="632"/>
    <s v="F1"/>
    <x v="16"/>
    <s v="P000001449"/>
    <s v="EL-TF Thin Film Sales &amp; COGs"/>
    <s v="P000000641"/>
    <s v="New"/>
    <x v="0"/>
    <x v="0"/>
    <s v="EL"/>
    <m/>
    <m/>
    <s v="John Rowie Del Rosario"/>
  </r>
  <r>
    <n v="633"/>
    <s v="F1"/>
    <x v="16"/>
    <s v="P000001450"/>
    <s v="EL-SG Specialty Gases Head"/>
    <s v="P000000644"/>
    <s v="New"/>
    <x v="0"/>
    <x v="0"/>
    <s v="EL"/>
    <m/>
    <m/>
    <s v="John Rowie Del Rosario"/>
  </r>
  <r>
    <n v="634"/>
    <s v="F1"/>
    <x v="16"/>
    <s v="P000001451"/>
    <s v="EL-SG-G Specialty Gases Commercial Head"/>
    <s v="P000000536"/>
    <s v="New"/>
    <x v="0"/>
    <x v="0"/>
    <s v="EL"/>
    <m/>
    <m/>
    <s v="John Rowie Del Rosario"/>
  </r>
  <r>
    <n v="635"/>
    <s v="F1"/>
    <x v="16"/>
    <s v="P000001452"/>
    <s v="EL-SG Specialty Gases Sales &amp; COGs"/>
    <s v="P000000644"/>
    <s v="New"/>
    <x v="0"/>
    <x v="0"/>
    <s v="EL"/>
    <m/>
    <m/>
    <s v="John Rowie Del Rosario"/>
  </r>
  <r>
    <n v="636"/>
    <s v="F1"/>
    <x v="16"/>
    <s v="P000001453"/>
    <s v="EL-SG-I Specialty Gases R&amp;D Patents"/>
    <s v="P000000547"/>
    <s v="New"/>
    <x v="0"/>
    <x v="0"/>
    <s v="EL"/>
    <m/>
    <m/>
    <s v="John Rowie Del Rosario"/>
  </r>
  <r>
    <n v="637"/>
    <s v="F1"/>
    <x v="16"/>
    <s v="P000001454"/>
    <s v="EL-OP-L LC/DPM Head"/>
    <s v="P000001109"/>
    <s v="New"/>
    <x v="0"/>
    <x v="0"/>
    <s v="EL"/>
    <m/>
    <m/>
    <s v="John Rowie Del Rosario"/>
  </r>
  <r>
    <n v="638"/>
    <s v="F1"/>
    <x v="16"/>
    <s v="P000001455"/>
    <s v="EL-OP-M Metrology &amp; Inspection Head"/>
    <s v="P000001254"/>
    <s v="New"/>
    <x v="0"/>
    <x v="0"/>
    <s v="EL"/>
    <m/>
    <m/>
    <s v="John Rowie Del Rosario"/>
  </r>
  <r>
    <n v="639"/>
    <s v="F1"/>
    <x v="16"/>
    <s v="P000001456"/>
    <s v="EL-OP-O OLED Head"/>
    <s v="P000001118"/>
    <s v="New"/>
    <x v="0"/>
    <x v="0"/>
    <s v="EL"/>
    <m/>
    <m/>
    <s v="John Rowie Del Rosario"/>
  </r>
  <r>
    <n v="640"/>
    <s v="F1"/>
    <x v="16"/>
    <s v="P000001457"/>
    <s v="EL-OP-W LC Windows Head"/>
    <s v="P000000022"/>
    <s v="New"/>
    <x v="0"/>
    <x v="0"/>
    <s v="EL"/>
    <m/>
    <m/>
    <s v="John Rowie Del Rosario"/>
  </r>
  <r>
    <n v="641"/>
    <s v="F1"/>
    <x v="16"/>
    <s v="P000001458"/>
    <s v="EL-OP Optronics Sales &amp; COGs"/>
    <s v="P000000001"/>
    <s v="New"/>
    <x v="0"/>
    <x v="0"/>
    <s v="EL"/>
    <m/>
    <m/>
    <s v="John Rowie Del Rosario"/>
  </r>
  <r>
    <n v="642"/>
    <s v="F1"/>
    <x v="16"/>
    <s v="P000001459"/>
    <s v="EL-OP-LR LC/DPM R&amp;D Patents"/>
    <s v="P000001117"/>
    <s v="New"/>
    <x v="0"/>
    <x v="0"/>
    <s v="EL"/>
    <m/>
    <m/>
    <s v="John Rowie Del Rosario"/>
  </r>
  <r>
    <n v="643"/>
    <s v="F1"/>
    <x v="16"/>
    <s v="P000001460"/>
    <s v="EL-OP-BF OT R&amp;D Patents"/>
    <s v="P000001130"/>
    <s v="New"/>
    <x v="0"/>
    <x v="0"/>
    <s v="EL"/>
    <m/>
    <m/>
    <s v="John Rowie Del Rosario"/>
  </r>
  <r>
    <n v="644"/>
    <s v="F1"/>
    <x v="16"/>
    <s v="P000001461"/>
    <s v="EL-SC-D Organization"/>
    <s v="P000000495"/>
    <s v="New"/>
    <x v="0"/>
    <x v="0"/>
    <s v="EL"/>
    <m/>
    <m/>
    <s v="John Rowie Del Rosario"/>
  </r>
  <r>
    <n v="645"/>
    <s v="F1"/>
    <x v="16"/>
    <s v="P000001462"/>
    <s v="EL-SC-DO Organization"/>
    <s v="P000000497"/>
    <s v="New"/>
    <x v="0"/>
    <x v="0"/>
    <s v="EL"/>
    <m/>
    <m/>
    <s v="John Rowie Del Rosario"/>
  </r>
  <r>
    <n v="646"/>
    <s v="F1"/>
    <x v="16"/>
    <s v="P000001463"/>
    <s v="EL-SC-DE Organization"/>
    <s v="P000000498"/>
    <s v="New"/>
    <x v="0"/>
    <x v="0"/>
    <s v="EL"/>
    <m/>
    <m/>
    <s v="John Rowie Del Rosario"/>
  </r>
  <r>
    <n v="647"/>
    <s v="F1"/>
    <x v="16"/>
    <s v="P000001464"/>
    <s v="EL-SC-DF Organization"/>
    <s v="P000000499"/>
    <s v="New"/>
    <x v="0"/>
    <x v="0"/>
    <s v="EL"/>
    <m/>
    <m/>
    <s v="John Rowie Del Rosario"/>
  </r>
  <r>
    <n v="648"/>
    <s v="F1"/>
    <x v="16"/>
    <s v="P000001465"/>
    <s v="EL-SC-DI Organization"/>
    <s v="P000000500"/>
    <s v="New"/>
    <x v="0"/>
    <x v="0"/>
    <s v="EL"/>
    <m/>
    <m/>
    <s v="John Rowie Del Rosario"/>
  </r>
  <r>
    <n v="649"/>
    <s v="F1"/>
    <x v="16"/>
    <s v="P000001466"/>
    <s v="EL-SC-DX Organization"/>
    <s v="P000000502"/>
    <s v="New"/>
    <x v="0"/>
    <x v="0"/>
    <s v="EL"/>
    <m/>
    <m/>
    <s v="John Rowie Del Rosario"/>
  </r>
  <r>
    <n v="650"/>
    <s v="F1"/>
    <x v="16"/>
    <s v="P000001467"/>
    <s v="EL-SC-DS Organization"/>
    <s v="P000000503"/>
    <s v="New"/>
    <x v="0"/>
    <x v="0"/>
    <s v="EL"/>
    <m/>
    <m/>
    <s v="John Rowie Del Rosario"/>
  </r>
  <r>
    <n v="651"/>
    <s v="F1"/>
    <x v="16"/>
    <s v="P000001468"/>
    <s v="EL-SC-DU Organization"/>
    <s v="P000000504"/>
    <s v="New"/>
    <x v="0"/>
    <x v="0"/>
    <s v="EL"/>
    <m/>
    <m/>
    <s v="John Rowie Del Rosario"/>
  </r>
  <r>
    <n v="652"/>
    <s v="F1"/>
    <x v="16"/>
    <s v="P000001469"/>
    <s v="EL-SC-DI Organization"/>
    <s v="P000001178"/>
    <s v="New"/>
    <x v="0"/>
    <x v="0"/>
    <s v="EL"/>
    <m/>
    <m/>
    <s v="John Rowie Del Rosario"/>
  </r>
  <r>
    <n v="653"/>
    <s v="F1"/>
    <x v="16"/>
    <s v="P000001470"/>
    <s v="EL-SC-DG Organization"/>
    <s v="P000001337"/>
    <s v="New"/>
    <x v="0"/>
    <x v="0"/>
    <s v="EL"/>
    <m/>
    <m/>
    <s v="John Rowie Del Rosario"/>
  </r>
  <r>
    <n v="654"/>
    <s v="F1"/>
    <x v="16"/>
    <s v="P000001471"/>
    <s v="EL-SC-DU Organization"/>
    <s v="P000001338"/>
    <s v="New"/>
    <x v="0"/>
    <x v="0"/>
    <s v="EL"/>
    <m/>
    <m/>
    <s v="John Rowie Del Rosario"/>
  </r>
  <r>
    <n v="655"/>
    <s v="F1"/>
    <x v="16"/>
    <s v="P000001472"/>
    <s v="EL-SC-DU Projects"/>
    <s v="P000001338"/>
    <s v="New"/>
    <x v="0"/>
    <x v="0"/>
    <s v="EL"/>
    <m/>
    <m/>
    <s v="John Rowie Del Rosario"/>
  </r>
  <r>
    <n v="656"/>
    <s v="F1"/>
    <x v="16"/>
    <s v="P000001473"/>
    <s v="EL-SC-DU Other"/>
    <s v="P000001338"/>
    <s v="New"/>
    <x v="0"/>
    <x v="0"/>
    <s v="EL"/>
    <m/>
    <m/>
    <s v="John Rowie Del Rosario"/>
  </r>
  <r>
    <n v="657"/>
    <s v="F1"/>
    <x v="16"/>
    <s v="P000001474"/>
    <s v="EL-SC-D Other"/>
    <s v="P000000495"/>
    <s v="New"/>
    <x v="0"/>
    <x v="0"/>
    <s v="EL"/>
    <m/>
    <m/>
    <s v="John Rowie Del Rosario"/>
  </r>
  <r>
    <n v="658"/>
    <s v="F1"/>
    <x v="16"/>
    <s v="P000001475"/>
    <s v="EL-SC-DO Other"/>
    <s v="P000000497"/>
    <s v="New"/>
    <x v="0"/>
    <x v="0"/>
    <s v="EL"/>
    <m/>
    <m/>
    <s v="John Rowie Del Rosario"/>
  </r>
  <r>
    <n v="659"/>
    <s v="F1"/>
    <x v="16"/>
    <s v="P000001476"/>
    <s v="EL-SC-DE Other"/>
    <s v="P000000498"/>
    <s v="New"/>
    <x v="0"/>
    <x v="0"/>
    <s v="EL"/>
    <m/>
    <m/>
    <s v="John Rowie Del Rosario"/>
  </r>
  <r>
    <n v="660"/>
    <s v="F1"/>
    <x v="16"/>
    <s v="P000001477"/>
    <s v="EL-SC-DF Other"/>
    <s v="P000000499"/>
    <s v="New"/>
    <x v="0"/>
    <x v="0"/>
    <s v="EL"/>
    <m/>
    <m/>
    <s v="John Rowie Del Rosario"/>
  </r>
  <r>
    <n v="661"/>
    <s v="F1"/>
    <x v="16"/>
    <s v="P000001478"/>
    <s v="EL-SC-DI Other"/>
    <s v="P000000500"/>
    <s v="New"/>
    <x v="0"/>
    <x v="0"/>
    <s v="EL"/>
    <m/>
    <m/>
    <s v="John Rowie Del Rosario"/>
  </r>
  <r>
    <n v="662"/>
    <s v="F1"/>
    <x v="16"/>
    <s v="P000001479"/>
    <s v="EL-SC-DX Other"/>
    <s v="P000000502"/>
    <s v="New"/>
    <x v="0"/>
    <x v="0"/>
    <s v="EL"/>
    <m/>
    <m/>
    <s v="John Rowie Del Rosario"/>
  </r>
  <r>
    <n v="663"/>
    <s v="F1"/>
    <x v="16"/>
    <s v="P000001480"/>
    <s v="EL-SC-DS Other"/>
    <s v="P000000503"/>
    <s v="New"/>
    <x v="0"/>
    <x v="0"/>
    <s v="EL"/>
    <m/>
    <m/>
    <s v="John Rowie Del Rosario"/>
  </r>
  <r>
    <n v="664"/>
    <s v="F1"/>
    <x v="16"/>
    <s v="P000001481"/>
    <s v="EL-SC-DU Other"/>
    <s v="P000000504"/>
    <s v="New"/>
    <x v="0"/>
    <x v="0"/>
    <s v="EL"/>
    <m/>
    <m/>
    <s v="John Rowie Del Rosario"/>
  </r>
  <r>
    <n v="665"/>
    <s v="F1"/>
    <x v="16"/>
    <s v="P000001482"/>
    <s v="EL-SC-DI Other"/>
    <s v="P000001178"/>
    <s v="New"/>
    <x v="0"/>
    <x v="0"/>
    <s v="EL"/>
    <m/>
    <m/>
    <s v="John Rowie Del Rosario"/>
  </r>
  <r>
    <n v="666"/>
    <s v="F1"/>
    <x v="16"/>
    <s v="P000001483"/>
    <s v="EL-SC-DG Other"/>
    <s v="P000001337"/>
    <s v="New"/>
    <x v="0"/>
    <x v="0"/>
    <s v="EL"/>
    <m/>
    <m/>
    <s v="John Rowie Del Rosario"/>
  </r>
  <r>
    <n v="667"/>
    <s v="F1"/>
    <x v="16"/>
    <s v="P000001484"/>
    <s v="EL-SC-DG Projects"/>
    <s v="P000001337"/>
    <s v="New"/>
    <x v="0"/>
    <x v="0"/>
    <s v="EL"/>
    <m/>
    <m/>
    <s v="John Rowie Del Rosario"/>
  </r>
  <r>
    <n v="668"/>
    <s v="F1"/>
    <x v="16"/>
    <s v="P000001485"/>
    <s v="EL-SC-DI Projects"/>
    <s v="P000001178"/>
    <s v="New"/>
    <x v="0"/>
    <x v="0"/>
    <s v="EL"/>
    <m/>
    <m/>
    <s v="John Rowie Del Rosario"/>
  </r>
  <r>
    <n v="669"/>
    <s v="F1"/>
    <x v="16"/>
    <s v="P000001486"/>
    <s v="Cluster Equipment General"/>
    <s v="P000001411"/>
    <s v="New"/>
    <x v="0"/>
    <x v="0"/>
    <s v="EL"/>
    <m/>
    <m/>
    <s v="John Rowie Del Rosario"/>
  </r>
  <r>
    <n v="670"/>
    <s v="F1"/>
    <x v="16"/>
    <s v="G000000954"/>
    <s v="EL-OP-SD LH+SC Buildings, TC"/>
    <m/>
    <s v="Rename"/>
    <x v="0"/>
    <x v="0"/>
    <s v="EL"/>
    <m/>
    <m/>
    <s v="John Rowie Del Rosario"/>
  </r>
  <r>
    <n v="671"/>
    <s v="F1"/>
    <x v="16"/>
    <s v="G000001028"/>
    <s v="EL-OP-SD LH+SC Buildings, D&amp;A"/>
    <m/>
    <s v="Rename"/>
    <x v="0"/>
    <x v="0"/>
    <s v="EL"/>
    <m/>
    <m/>
    <s v="John Rowie Del Rosario"/>
  </r>
  <r>
    <n v="672"/>
    <s v="F1"/>
    <x v="16"/>
    <s v="P000000060"/>
    <s v="DIS-DE-DA G1 Production"/>
    <m/>
    <s v="Rename"/>
    <x v="0"/>
    <x v="0"/>
    <s v="EL"/>
    <m/>
    <m/>
    <s v="John Rowie Del Rosario"/>
  </r>
  <r>
    <n v="673"/>
    <s v="F1"/>
    <x v="16"/>
    <s v="P000000002"/>
    <s v="EL-OP BU Other"/>
    <m/>
    <s v="Rename"/>
    <x v="0"/>
    <x v="0"/>
    <s v="EL"/>
    <m/>
    <m/>
    <s v="John Rowie Del Rosario"/>
  </r>
  <r>
    <n v="674"/>
    <s v="F1"/>
    <x v="16"/>
    <s v="P000001209"/>
    <s v="EL-OP-LR LC/DPM R&amp;D Other"/>
    <m/>
    <s v="Rename"/>
    <x v="0"/>
    <x v="0"/>
    <s v="EL"/>
    <m/>
    <m/>
    <s v="John Rowie Del Rosario"/>
  </r>
  <r>
    <n v="675"/>
    <s v="F1"/>
    <x v="16"/>
    <s v="P000001221"/>
    <s v="EL-OP-OR OLED R&amp;D Other"/>
    <m/>
    <s v="Rename"/>
    <x v="0"/>
    <x v="0"/>
    <s v="EL"/>
    <m/>
    <m/>
    <s v="John Rowie Del Rosario"/>
  </r>
  <r>
    <n v="676"/>
    <s v="F1"/>
    <x v="16"/>
    <s v="P000001127"/>
    <s v="EL-OP-B Business Strategy &amp; Service"/>
    <m/>
    <s v="Rename"/>
    <x v="0"/>
    <x v="0"/>
    <s v="EL"/>
    <m/>
    <m/>
    <s v="John Rowie Del Rosario"/>
  </r>
  <r>
    <n v="677"/>
    <s v="F1"/>
    <x v="16"/>
    <s v="P000001243"/>
    <s v="EL-OP-BF OT R&amp;D Other"/>
    <m/>
    <s v="Rename"/>
    <x v="0"/>
    <x v="0"/>
    <s v="EL"/>
    <m/>
    <m/>
    <s v="John Rowie Del Rosario"/>
  </r>
  <r>
    <n v="678"/>
    <s v="F1"/>
    <x v="16"/>
    <s v="P000001134"/>
    <s v="EL-OP-B Business Strategy &amp; Service Head"/>
    <m/>
    <s v="Rename"/>
    <x v="0"/>
    <x v="0"/>
    <s v="EL"/>
    <m/>
    <m/>
    <s v="John Rowie Del Rosario"/>
  </r>
  <r>
    <n v="679"/>
    <s v="F1"/>
    <x v="16"/>
    <s v="P000000572"/>
    <s v="EL-CN-S1 Semi Business"/>
    <m/>
    <s v="Rename"/>
    <x v="0"/>
    <x v="0"/>
    <s v="EL"/>
    <m/>
    <m/>
    <s v="John Rowie Del Rosario"/>
  </r>
  <r>
    <n v="680"/>
    <s v="F1"/>
    <x v="16"/>
    <s v="P000000573"/>
    <s v="EL-CN-S2 Electronics Tech Center China"/>
    <m/>
    <s v="Rename"/>
    <x v="0"/>
    <x v="0"/>
    <s v="EL"/>
    <m/>
    <m/>
    <s v="John Rowie Del Rosario"/>
  </r>
  <r>
    <n v="681"/>
    <s v="F1"/>
    <x v="16"/>
    <s v="P000000574"/>
    <s v="EL-CN-S3 Key Account Management"/>
    <m/>
    <s v="Rename"/>
    <x v="0"/>
    <x v="0"/>
    <s v="EL"/>
    <m/>
    <m/>
    <s v="John Rowie Del Rosario"/>
  </r>
  <r>
    <n v="682"/>
    <s v="F1"/>
    <x v="16"/>
    <s v="P000000706"/>
    <s v="XXX North America &amp; Europe General M"/>
    <m/>
    <s v="Rename"/>
    <x v="0"/>
    <x v="0"/>
    <s v="EL"/>
    <m/>
    <m/>
    <s v="John Rowie Del Rosario"/>
  </r>
  <r>
    <n v="683"/>
    <s v="F1"/>
    <x v="16"/>
    <s v="P000000720"/>
    <s v="XXX Asia General Management"/>
    <m/>
    <s v="Rename"/>
    <x v="0"/>
    <x v="0"/>
    <s v="EL"/>
    <m/>
    <m/>
    <s v="John Rowie Del Rosario"/>
  </r>
  <r>
    <n v="684"/>
    <s v="F1"/>
    <x v="16"/>
    <s v="P000000727"/>
    <s v="XXX Korea &amp; Japan General Management"/>
    <m/>
    <s v="Rename"/>
    <x v="0"/>
    <x v="0"/>
    <s v="EL"/>
    <m/>
    <m/>
    <s v="John Rowie Del Rosario"/>
  </r>
  <r>
    <n v="685"/>
    <s v="F1"/>
    <x v="16"/>
    <s v="P000001274"/>
    <s v="EL-ND DS&amp;S Head"/>
    <m/>
    <s v="Rename"/>
    <x v="0"/>
    <x v="0"/>
    <s v="EL"/>
    <m/>
    <m/>
    <s v="John Rowie Del Rosario"/>
  </r>
  <r>
    <n v="686"/>
    <s v="F1"/>
    <x v="16"/>
    <s v="P000001276"/>
    <s v="EL-ND DS&amp;S Commercial"/>
    <m/>
    <s v="Rename"/>
    <x v="0"/>
    <x v="0"/>
    <s v="EL"/>
    <m/>
    <m/>
    <s v="John Rowie Del Rosario"/>
  </r>
  <r>
    <n v="687"/>
    <s v="F1"/>
    <x v="16"/>
    <s v="P000001277"/>
    <s v="EL-ND DS&amp;S Sales &amp; COGs"/>
    <m/>
    <s v="Rename"/>
    <x v="0"/>
    <x v="0"/>
    <s v="EL"/>
    <m/>
    <m/>
    <s v="John Rowie Del Rosario"/>
  </r>
  <r>
    <n v="688"/>
    <s v="F1"/>
    <x v="16"/>
    <s v="P000000544"/>
    <s v="EL-TF-R Thin Film R&amp;D"/>
    <m/>
    <s v="Rename"/>
    <x v="0"/>
    <x v="0"/>
    <s v="EL"/>
    <m/>
    <m/>
    <s v="John Rowie Del Rosario"/>
  </r>
  <r>
    <n v="689"/>
    <s v="F1"/>
    <x v="16"/>
    <s v="P000001010"/>
    <s v="EL-TF-R Thin Film R&amp;D Projects"/>
    <m/>
    <s v="Rename"/>
    <x v="0"/>
    <x v="0"/>
    <s v="EL"/>
    <m/>
    <m/>
    <s v="John Rowie Del Rosario"/>
  </r>
  <r>
    <n v="690"/>
    <s v="F1"/>
    <x v="16"/>
    <s v="P000001011"/>
    <s v="EL-TF-R Thin Film R&amp;D Organization"/>
    <m/>
    <s v="Rename"/>
    <x v="0"/>
    <x v="0"/>
    <s v="EL"/>
    <m/>
    <m/>
    <s v="John Rowie Del Rosario"/>
  </r>
  <r>
    <n v="691"/>
    <s v="F1"/>
    <x v="16"/>
    <s v="P000001012"/>
    <s v="EL-TF-R Thin Film R&amp;D Other"/>
    <m/>
    <s v="Rename"/>
    <x v="0"/>
    <x v="0"/>
    <s v="EL"/>
    <m/>
    <m/>
    <s v="John Rowie Del Rosario"/>
  </r>
  <r>
    <n v="692"/>
    <s v="F1"/>
    <x v="16"/>
    <s v="P000000536"/>
    <s v="EL-SG-G Specialty Gases Commercial"/>
    <m/>
    <s v="Rename"/>
    <x v="0"/>
    <x v="0"/>
    <s v="EL"/>
    <m/>
    <m/>
    <s v="John Rowie Del Rosario"/>
  </r>
  <r>
    <n v="693"/>
    <s v="F1"/>
    <x v="16"/>
    <s v="P000000547"/>
    <s v="EL-SG-I Specialty Gases R&amp;D"/>
    <m/>
    <s v="Rename"/>
    <x v="0"/>
    <x v="0"/>
    <s v="EL"/>
    <m/>
    <m/>
    <s v="John Rowie Del Rosario"/>
  </r>
  <r>
    <n v="694"/>
    <s v="F1"/>
    <x v="16"/>
    <s v="P000001019"/>
    <s v="EL-SG-I Specialty Gases R&amp;D Projects"/>
    <m/>
    <s v="Rename"/>
    <x v="0"/>
    <x v="0"/>
    <s v="EL"/>
    <m/>
    <m/>
    <s v="John Rowie Del Rosario"/>
  </r>
  <r>
    <n v="695"/>
    <s v="F1"/>
    <x v="16"/>
    <s v="P000001020"/>
    <s v="EL-SG-I Specialty Gases R&amp;D Organization"/>
    <m/>
    <s v="Rename"/>
    <x v="0"/>
    <x v="0"/>
    <s v="EL"/>
    <m/>
    <m/>
    <s v="John Rowie Del Rosario"/>
  </r>
  <r>
    <n v="696"/>
    <s v="F1"/>
    <x v="16"/>
    <s v="P000001021"/>
    <s v="EL-SG-I Specialty Gases R&amp;D Other"/>
    <m/>
    <s v="Rename"/>
    <x v="0"/>
    <x v="0"/>
    <s v="EL"/>
    <m/>
    <m/>
    <s v="John Rowie Del Rosario"/>
  </r>
  <r>
    <n v="697"/>
    <s v="F1"/>
    <x v="16"/>
    <s v="P000001173"/>
    <s v="EL-SC-D IO"/>
    <m/>
    <s v="Rename"/>
    <x v="0"/>
    <x v="0"/>
    <s v="EL"/>
    <m/>
    <m/>
    <s v="John Rowie Del Rosario"/>
  </r>
  <r>
    <n v="698"/>
    <s v="F1"/>
    <x v="16"/>
    <s v="P000001174"/>
    <s v="EL-SC-DO IO"/>
    <m/>
    <s v="Rename"/>
    <x v="0"/>
    <x v="0"/>
    <s v="EL"/>
    <m/>
    <m/>
    <s v="John Rowie Del Rosario"/>
  </r>
  <r>
    <n v="699"/>
    <s v="F1"/>
    <x v="16"/>
    <s v="P000001175"/>
    <s v="EL-SC-DE IO"/>
    <m/>
    <s v="Rename"/>
    <x v="0"/>
    <x v="0"/>
    <s v="EL"/>
    <m/>
    <m/>
    <s v="John Rowie Del Rosario"/>
  </r>
  <r>
    <n v="700"/>
    <s v="F1"/>
    <x v="16"/>
    <s v="P000001176"/>
    <s v="EL-SC-DF IO"/>
    <m/>
    <s v="Rename"/>
    <x v="0"/>
    <x v="0"/>
    <s v="EL"/>
    <m/>
    <m/>
    <s v="John Rowie Del Rosario"/>
  </r>
  <r>
    <n v="701"/>
    <s v="F1"/>
    <x v="16"/>
    <s v="P000001177"/>
    <s v="EL-SC-DF IO"/>
    <m/>
    <s v="Rename"/>
    <x v="0"/>
    <x v="0"/>
    <s v="EL"/>
    <m/>
    <m/>
    <s v="John Rowie Del Rosario"/>
  </r>
  <r>
    <n v="702"/>
    <s v="F1"/>
    <x v="16"/>
    <s v="P000001179"/>
    <s v="EL-SC-DX IO"/>
    <m/>
    <s v="Rename"/>
    <x v="0"/>
    <x v="0"/>
    <s v="EL"/>
    <m/>
    <m/>
    <s v="John Rowie Del Rosario"/>
  </r>
  <r>
    <n v="703"/>
    <s v="F1"/>
    <x v="16"/>
    <s v="P000001180"/>
    <s v="EL-SC-DS IO"/>
    <m/>
    <s v="Rename"/>
    <x v="0"/>
    <x v="0"/>
    <s v="EL"/>
    <m/>
    <m/>
    <s v="John Rowie Del Rosario"/>
  </r>
  <r>
    <n v="704"/>
    <s v="F1"/>
    <x v="16"/>
    <s v="P000001181"/>
    <s v="EL-SC-DU IO"/>
    <m/>
    <s v="Rename"/>
    <x v="0"/>
    <x v="0"/>
    <s v="EL"/>
    <m/>
    <m/>
    <s v="John Rowie Del Rosario"/>
  </r>
  <r>
    <n v="705"/>
    <s v="F1"/>
    <x v="16"/>
    <s v="P000000534"/>
    <s v="EL-FO-P Patterning Solutions Head"/>
    <m/>
    <s v="Rename"/>
    <x v="0"/>
    <x v="0"/>
    <s v="EL"/>
    <m/>
    <m/>
    <s v="John Rowie Del Rosario"/>
  </r>
  <r>
    <n v="706"/>
    <s v="F1"/>
    <x v="16"/>
    <s v="P000001013"/>
    <s v="EL-FO-PR Patterning R&amp;D Projects"/>
    <m/>
    <s v="Rename"/>
    <x v="0"/>
    <x v="0"/>
    <s v="EL"/>
    <m/>
    <m/>
    <s v="John Rowie Del Rosario"/>
  </r>
  <r>
    <n v="707"/>
    <s v="F1"/>
    <x v="16"/>
    <s v="P000001014"/>
    <s v="EL-FO-PR Patterning R&amp;D Organization"/>
    <m/>
    <s v="Rename"/>
    <x v="0"/>
    <x v="0"/>
    <s v="EL"/>
    <m/>
    <m/>
    <s v="John Rowie Del Rosario"/>
  </r>
  <r>
    <n v="708"/>
    <s v="F1"/>
    <x v="16"/>
    <s v="P000001015"/>
    <s v="EL-FO-PR Patterning R&amp;D Other"/>
    <m/>
    <s v="Rename"/>
    <x v="0"/>
    <x v="0"/>
    <s v="EL"/>
    <m/>
    <m/>
    <s v="John Rowie Del Rosario"/>
  </r>
  <r>
    <n v="709"/>
    <s v="F1"/>
    <x v="16"/>
    <s v="P000001165"/>
    <s v="EL-FO-PC Patterning Silica"/>
    <m/>
    <s v="Rename"/>
    <x v="0"/>
    <x v="0"/>
    <s v="EL"/>
    <m/>
    <m/>
    <s v="John Rowie Del Rosario"/>
  </r>
  <r>
    <n v="710"/>
    <s v="F1"/>
    <x v="16"/>
    <s v="P000000535"/>
    <s v="EL-FO-A Planarization Head"/>
    <m/>
    <s v="Rename"/>
    <x v="0"/>
    <x v="0"/>
    <s v="EL"/>
    <m/>
    <m/>
    <s v="John Rowie Del Rosario"/>
  </r>
  <r>
    <n v="711"/>
    <s v="F1"/>
    <x v="16"/>
    <s v="P000001016"/>
    <s v="EL-FO-AR Planarization R&amp;D Projects"/>
    <m/>
    <s v="Rename"/>
    <x v="0"/>
    <x v="0"/>
    <s v="EL"/>
    <m/>
    <m/>
    <s v="John Rowie Del Rosario"/>
  </r>
  <r>
    <n v="712"/>
    <s v="F1"/>
    <x v="16"/>
    <s v="P000001017"/>
    <s v="EL-FO-AR Planarization R&amp;D Organization"/>
    <m/>
    <s v="Rename"/>
    <x v="0"/>
    <x v="0"/>
    <s v="EL"/>
    <m/>
    <m/>
    <s v="John Rowie Del Rosario"/>
  </r>
  <r>
    <n v="713"/>
    <s v="F1"/>
    <x v="16"/>
    <s v="P000001018"/>
    <s v="EL-FO-AR Planarization R&amp;D Other"/>
    <m/>
    <s v="Rename"/>
    <x v="0"/>
    <x v="0"/>
    <s v="EL"/>
    <m/>
    <m/>
    <s v="John Rowie Del Rosario"/>
  </r>
  <r>
    <n v="714"/>
    <s v="F1"/>
    <x v="16"/>
    <s v="P000000695"/>
    <s v="EL-OP Optronics Head"/>
    <s v="P000000001"/>
    <s v="Rename/Move"/>
    <x v="0"/>
    <x v="0"/>
    <s v="EL"/>
    <m/>
    <m/>
    <s v="John Rowie Del Rosario"/>
  </r>
  <r>
    <n v="715"/>
    <s v="F1"/>
    <x v="16"/>
    <s v="P000000594"/>
    <s v="EL-OP-OR OLED R&amp;D Patents"/>
    <s v="P000001126"/>
    <s v="Rename/Move"/>
    <x v="0"/>
    <x v="0"/>
    <s v="EL"/>
    <m/>
    <m/>
    <s v="John Rowie Del Rosario"/>
  </r>
  <r>
    <n v="716"/>
    <s v="F1"/>
    <x v="16"/>
    <s v="P000001211"/>
    <s v="EL-OP-LR LC/DPM R&amp;D Organization"/>
    <s v="P000001117"/>
    <s v="Rename/Move"/>
    <x v="0"/>
    <x v="0"/>
    <s v="EL"/>
    <m/>
    <m/>
    <s v="John Rowie Del Rosario"/>
  </r>
  <r>
    <n v="717"/>
    <s v="F1"/>
    <x v="16"/>
    <s v="P000001224"/>
    <s v="EL-OP-OR OLED R&amp;D Organization"/>
    <s v="P000001126"/>
    <s v="Rename/Move"/>
    <x v="0"/>
    <x v="0"/>
    <s v="EL"/>
    <m/>
    <m/>
    <s v="John Rowie Del Rosario"/>
  </r>
  <r>
    <n v="718"/>
    <s v="F1"/>
    <x v="16"/>
    <s v="P000001244"/>
    <s v="EL-OP-BF OT R&amp;D Organization"/>
    <s v="P000001130"/>
    <s v="Rename/Move"/>
    <x v="0"/>
    <x v="0"/>
    <s v="EL"/>
    <m/>
    <m/>
    <s v="John Rowie Del Rosario"/>
  </r>
  <r>
    <n v="719"/>
    <s v="F1"/>
    <x v="16"/>
    <s v="P000001325"/>
    <s v="Asia Sales"/>
    <s v="P000001276"/>
    <s v="Rename/Move"/>
    <x v="0"/>
    <x v="0"/>
    <s v="EL"/>
    <m/>
    <m/>
    <s v="John Rowie Del Rosario"/>
  </r>
  <r>
    <n v="720"/>
    <s v="F1"/>
    <x v="16"/>
    <s v="P000001326"/>
    <s v="Korea Sales"/>
    <s v="P000001276"/>
    <s v="Rename/Move"/>
    <x v="0"/>
    <x v="0"/>
    <s v="EL"/>
    <m/>
    <m/>
    <s v="John Rowie Del Rosario"/>
  </r>
  <r>
    <n v="721"/>
    <s v="F1"/>
    <x v="16"/>
    <s v="P000001327"/>
    <s v="NA &amp; EU Sales"/>
    <s v="P000001276"/>
    <s v="Rename/Move"/>
    <x v="0"/>
    <x v="0"/>
    <s v="EL"/>
    <m/>
    <m/>
    <s v="John Rowie Del Rosario"/>
  </r>
  <r>
    <n v="722"/>
    <s v="F1"/>
    <x v="16"/>
    <s v="P000001328"/>
    <s v="NA Services"/>
    <s v="P000001276"/>
    <s v="Rename/Move"/>
    <x v="0"/>
    <x v="0"/>
    <s v="EL"/>
    <m/>
    <m/>
    <s v="John Rowie Del Rosario"/>
  </r>
  <r>
    <n v="723"/>
    <s v="F1"/>
    <x v="16"/>
    <s v="P000001284"/>
    <s v="EL-ND Marketing &amp; Product Strategy"/>
    <s v="P000000554"/>
    <s v="Rename/Move"/>
    <x v="0"/>
    <x v="0"/>
    <s v="EL"/>
    <m/>
    <m/>
    <s v="John Rowie Del Rosario"/>
  </r>
  <r>
    <n v="724"/>
    <s v="F1"/>
    <x v="16"/>
    <s v="P000001285"/>
    <s v="EL-ND Project &amp; Portfolio Management"/>
    <s v="P000000554"/>
    <s v="Rename/Move"/>
    <x v="0"/>
    <x v="0"/>
    <s v="EL"/>
    <m/>
    <m/>
    <s v="John Rowie Del Rosario"/>
  </r>
  <r>
    <n v="725"/>
    <s v="F1"/>
    <x v="16"/>
    <s v="P000001286"/>
    <s v="EL-ND Global Turnkey &amp; Installation"/>
    <s v="P000000554"/>
    <s v="Rename/Move"/>
    <x v="0"/>
    <x v="0"/>
    <s v="EL"/>
    <m/>
    <m/>
    <s v="John Rowie Del Rosario"/>
  </r>
  <r>
    <n v="726"/>
    <s v="F1"/>
    <x v="16"/>
    <s v="P000001312"/>
    <s v="Korea Services"/>
    <s v="P000001276"/>
    <s v="Rename/Move"/>
    <x v="0"/>
    <x v="0"/>
    <s v="EL"/>
    <m/>
    <m/>
    <s v="John Rowie Del Rosario"/>
  </r>
  <r>
    <n v="727"/>
    <s v="F1"/>
    <x v="16"/>
    <s v="P000001313"/>
    <s v="Asia Services"/>
    <s v="P000001276"/>
    <s v="Rename/Move"/>
    <x v="0"/>
    <x v="0"/>
    <s v="EL"/>
    <m/>
    <m/>
    <s v="John Rowie Del Rosario"/>
  </r>
  <r>
    <n v="728"/>
    <s v="F1"/>
    <x v="16"/>
    <s v="P000001314"/>
    <s v="EL-ND R&amp;D / Innovation"/>
    <s v="P000000554"/>
    <s v="Rename/Move"/>
    <x v="0"/>
    <x v="0"/>
    <s v="EL"/>
    <m/>
    <m/>
    <s v="John Rowie Del Rosario"/>
  </r>
  <r>
    <n v="729"/>
    <s v="F1"/>
    <x v="16"/>
    <s v="P000001287"/>
    <s v="Equipment Technology"/>
    <s v="P000001314"/>
    <s v="Rename/Move"/>
    <x v="0"/>
    <x v="0"/>
    <s v="EL"/>
    <m/>
    <m/>
    <s v="John Rowie Del Rosario"/>
  </r>
  <r>
    <n v="730"/>
    <s v="F1"/>
    <x v="16"/>
    <s v="P000001315"/>
    <s v="New Product Introduction"/>
    <s v="P000001314"/>
    <s v="Rename/Move"/>
    <x v="0"/>
    <x v="0"/>
    <s v="EL"/>
    <m/>
    <m/>
    <s v="John Rowie Del Rosario"/>
  </r>
  <r>
    <n v="731"/>
    <s v="F1"/>
    <x v="16"/>
    <s v="P000001316"/>
    <s v="EL-ND Korea General Management"/>
    <s v="P000000554"/>
    <s v="Rename/Move"/>
    <x v="0"/>
    <x v="0"/>
    <s v="EL"/>
    <m/>
    <m/>
    <s v="John Rowie Del Rosario"/>
  </r>
  <r>
    <n v="732"/>
    <s v="F1"/>
    <x v="16"/>
    <s v="P000000533"/>
    <s v="EL-TF-S TF Global Sales Head"/>
    <s v="P000000829"/>
    <s v="Rename/Move"/>
    <x v="0"/>
    <x v="0"/>
    <s v="EL"/>
    <m/>
    <m/>
    <s v="John Rowie Del Rosario"/>
  </r>
  <r>
    <n v="733"/>
    <s v="F1"/>
    <x v="16"/>
    <s v="P000000541"/>
    <s v="EL-FO-PP PAT Global Product Mgmt Head"/>
    <s v="P000000852"/>
    <s v="Rename/Move"/>
    <x v="0"/>
    <x v="0"/>
    <s v="EL"/>
    <m/>
    <m/>
    <s v="John Rowie Del Rosario"/>
  </r>
  <r>
    <n v="734"/>
    <s v="F1"/>
    <x v="16"/>
    <s v="P000000853"/>
    <s v="EL-FO-PS PAT Sales Head"/>
    <s v="P000000850"/>
    <s v="Rename/Move"/>
    <x v="0"/>
    <x v="0"/>
    <s v="EL"/>
    <m/>
    <m/>
    <s v="John Rowie Del Rosario"/>
  </r>
  <r>
    <n v="735"/>
    <s v="F1"/>
    <x v="16"/>
    <s v="P000000855"/>
    <s v="EL-FO-P Patterning Sales &amp; COGs"/>
    <s v="P000000642"/>
    <s v="Rename/Move"/>
    <x v="0"/>
    <x v="0"/>
    <s v="EL"/>
    <m/>
    <m/>
    <s v="John Rowie Del Rosario"/>
  </r>
  <r>
    <n v="736"/>
    <s v="F1"/>
    <x v="16"/>
    <s v="P000000073"/>
    <m/>
    <s v="P000000069"/>
    <s v="Move"/>
    <x v="0"/>
    <x v="0"/>
    <s v="EL"/>
    <m/>
    <m/>
    <s v="John Rowie Del Rosario"/>
  </r>
  <r>
    <n v="737"/>
    <s v="F1"/>
    <x v="16"/>
    <s v="P000000478"/>
    <m/>
    <s v="P000001395"/>
    <s v="Move"/>
    <x v="0"/>
    <x v="0"/>
    <s v="EL"/>
    <m/>
    <m/>
    <s v="John Rowie Del Rosario"/>
  </r>
  <r>
    <n v="738"/>
    <s v="F1"/>
    <x v="16"/>
    <s v="P000000473"/>
    <m/>
    <s v="P000000468"/>
    <s v="Move"/>
    <x v="0"/>
    <x v="0"/>
    <s v="EL"/>
    <m/>
    <m/>
    <s v="John Rowie Del Rosario"/>
  </r>
  <r>
    <n v="739"/>
    <s v="F1"/>
    <x v="16"/>
    <s v="P000000476"/>
    <m/>
    <s v="P000000468"/>
    <s v="Move"/>
    <x v="0"/>
    <x v="0"/>
    <s v="EL"/>
    <m/>
    <m/>
    <s v="John Rowie Del Rosario"/>
  </r>
  <r>
    <n v="740"/>
    <s v="F1"/>
    <x v="16"/>
    <s v="P000000477"/>
    <m/>
    <s v="P000000468"/>
    <s v="Move"/>
    <x v="0"/>
    <x v="0"/>
    <s v="EL"/>
    <m/>
    <m/>
    <s v="John Rowie Del Rosario"/>
  </r>
  <r>
    <n v="741"/>
    <s v="F1"/>
    <x v="16"/>
    <s v="P000000219"/>
    <m/>
    <s v="P000001381"/>
    <s v="Move"/>
    <x v="0"/>
    <x v="0"/>
    <s v="EL"/>
    <m/>
    <m/>
    <s v="John Rowie Del Rosario"/>
  </r>
  <r>
    <n v="742"/>
    <s v="F1"/>
    <x v="16"/>
    <s v="P000001403"/>
    <m/>
    <s v="P000001402"/>
    <s v="Move"/>
    <x v="0"/>
    <x v="0"/>
    <s v="EL"/>
    <m/>
    <m/>
    <s v="John Rowie Del Rosario"/>
  </r>
  <r>
    <n v="743"/>
    <s v="F1"/>
    <x v="16"/>
    <s v="P000000506"/>
    <m/>
    <s v="P000000468"/>
    <s v="Move"/>
    <x v="0"/>
    <x v="0"/>
    <s v="EL"/>
    <m/>
    <m/>
    <s v="John Rowie Del Rosario"/>
  </r>
  <r>
    <n v="744"/>
    <s v="F1"/>
    <x v="16"/>
    <s v="P000001108"/>
    <m/>
    <s v="P000001277"/>
    <s v="Move"/>
    <x v="0"/>
    <x v="0"/>
    <s v="EL"/>
    <m/>
    <m/>
    <s v="John Rowie Del Rosario"/>
  </r>
  <r>
    <n v="745"/>
    <s v="F1"/>
    <x v="16"/>
    <s v="P000000829"/>
    <m/>
    <s v="P000000641"/>
    <s v="Move"/>
    <x v="0"/>
    <x v="0"/>
    <s v="EL"/>
    <m/>
    <m/>
    <s v="John Rowie Del Rosario"/>
  </r>
  <r>
    <n v="746"/>
    <s v="F1"/>
    <x v="16"/>
    <s v="P000000850"/>
    <m/>
    <s v="P000000642"/>
    <s v="Move"/>
    <x v="0"/>
    <x v="0"/>
    <s v="EL"/>
    <m/>
    <m/>
    <s v="John Rowie Del Rosario"/>
  </r>
  <r>
    <n v="747"/>
    <s v="F1"/>
    <x v="16"/>
    <s v="P000000852"/>
    <m/>
    <s v="P000000642"/>
    <s v="Move"/>
    <x v="0"/>
    <x v="0"/>
    <s v="EL"/>
    <m/>
    <m/>
    <s v="John Rowie Del Rosario"/>
  </r>
  <r>
    <n v="748"/>
    <s v="F1"/>
    <x v="16"/>
    <s v="P000000854"/>
    <m/>
    <s v="P000000642"/>
    <s v="Move"/>
    <x v="0"/>
    <x v="0"/>
    <s v="EL"/>
    <m/>
    <m/>
    <s v="John Rowie Del Rosario"/>
  </r>
  <r>
    <n v="749"/>
    <s v="F1"/>
    <x v="16"/>
    <s v="P000000856"/>
    <m/>
    <s v="P000000642"/>
    <s v="Move"/>
    <x v="0"/>
    <x v="0"/>
    <s v="EL"/>
    <m/>
    <m/>
    <s v="John Rowie Del Rosario"/>
  </r>
  <r>
    <n v="750"/>
    <s v="F1"/>
    <x v="16"/>
    <s v="P000000901"/>
    <m/>
    <s v="P000000643"/>
    <s v="Move"/>
    <x v="0"/>
    <x v="0"/>
    <s v="EL"/>
    <m/>
    <m/>
    <s v="John Rowie Del Rosario"/>
  </r>
  <r>
    <n v="751"/>
    <s v="F1"/>
    <x v="16"/>
    <s v="P000000902"/>
    <m/>
    <s v="P000000643"/>
    <s v="Move"/>
    <x v="0"/>
    <x v="0"/>
    <s v="EL"/>
    <m/>
    <m/>
    <s v="John Rowie Del Rosario"/>
  </r>
  <r>
    <n v="752"/>
    <s v="F1"/>
    <x v="16"/>
    <s v="P000000903"/>
    <m/>
    <s v="P000000643"/>
    <s v="Move"/>
    <x v="0"/>
    <x v="0"/>
    <s v="EL"/>
    <m/>
    <m/>
    <s v="John Rowie Del Rosario"/>
  </r>
  <r>
    <n v="753"/>
    <s v="F1"/>
    <x v="16"/>
    <s v="PL_ED_CNC1"/>
    <m/>
    <s v="P000000985"/>
    <s v="Move"/>
    <x v="0"/>
    <x v="0"/>
    <s v="EL"/>
    <m/>
    <m/>
    <s v="John Rowie Del Rosario"/>
  </r>
  <r>
    <n v="754"/>
    <s v="F1"/>
    <x v="16"/>
    <s v="PL_ED_KRB2"/>
    <m/>
    <s v="P000000998"/>
    <s v="Move"/>
    <x v="0"/>
    <x v="0"/>
    <s v="EL"/>
    <m/>
    <m/>
    <s v="John Rowie Del Rosario"/>
  </r>
  <r>
    <n v="755"/>
    <s v="F1"/>
    <x v="16"/>
    <s v="PL_ED_USD6"/>
    <m/>
    <s v="P000000971"/>
    <s v="Move"/>
    <x v="0"/>
    <x v="0"/>
    <s v="EL"/>
    <m/>
    <m/>
    <s v="John Rowie Del Rosario"/>
  </r>
  <r>
    <n v="756"/>
    <s v="F1"/>
    <x v="16"/>
    <s v="P000000967"/>
    <m/>
    <s v="P000001411"/>
    <s v="Move"/>
    <x v="0"/>
    <x v="0"/>
    <s v="EL"/>
    <m/>
    <m/>
    <s v="John Rowie Del Rosario"/>
  </r>
  <r>
    <n v="757"/>
    <s v="F1"/>
    <x v="16"/>
    <s v="P000000972"/>
    <m/>
    <s v="P000001411"/>
    <s v="Move"/>
    <x v="0"/>
    <x v="0"/>
    <s v="EL"/>
    <m/>
    <m/>
    <s v="John Rowie Del Rosario"/>
  </r>
  <r>
    <n v="758"/>
    <s v="F1"/>
    <x v="16"/>
    <s v="P000000994"/>
    <m/>
    <s v="P000001411"/>
    <s v="Move"/>
    <x v="0"/>
    <x v="0"/>
    <s v="EL"/>
    <m/>
    <m/>
    <s v="John Rowie Del Rosario"/>
  </r>
  <r>
    <n v="759"/>
    <s v="F1"/>
    <x v="16"/>
    <s v="P000000981"/>
    <m/>
    <s v="P000001411"/>
    <s v="Move"/>
    <x v="0"/>
    <x v="0"/>
    <s v="EL"/>
    <m/>
    <m/>
    <s v="John Rowie Del Rosario"/>
  </r>
  <r>
    <n v="760"/>
    <s v="F1"/>
    <x v="16"/>
    <s v="P000000986"/>
    <m/>
    <s v="P000001411"/>
    <s v="Move"/>
    <x v="0"/>
    <x v="0"/>
    <s v="EL"/>
    <m/>
    <m/>
    <s v="John Rowie Del Rosario"/>
  </r>
  <r>
    <n v="761"/>
    <s v="F1"/>
    <x v="16"/>
    <s v="P000000841"/>
    <m/>
    <s v="O000000009"/>
    <s v="Remove"/>
    <x v="0"/>
    <x v="0"/>
    <s v="EL"/>
    <m/>
    <m/>
    <s v="John Rowie Del Rosario"/>
  </r>
  <r>
    <n v="762"/>
    <s v="F1"/>
    <x v="16"/>
    <s v="P000000776"/>
    <m/>
    <s v="O000000009"/>
    <s v="Remove"/>
    <x v="0"/>
    <x v="0"/>
    <s v="EL"/>
    <m/>
    <m/>
    <s v="John Rowie Del Rosario"/>
  </r>
  <r>
    <n v="763"/>
    <s v="F1"/>
    <x v="16"/>
    <s v="P000000088"/>
    <m/>
    <s v="O000000009"/>
    <s v="Remove"/>
    <x v="0"/>
    <x v="0"/>
    <s v="EL"/>
    <m/>
    <m/>
    <s v="John Rowie Del Rosario"/>
  </r>
  <r>
    <n v="764"/>
    <s v="F1"/>
    <x v="16"/>
    <s v="P000000089"/>
    <m/>
    <s v="O000000009"/>
    <s v="Remove"/>
    <x v="0"/>
    <x v="0"/>
    <s v="EL"/>
    <m/>
    <m/>
    <s v="John Rowie Del Rosario"/>
  </r>
  <r>
    <n v="765"/>
    <s v="F1"/>
    <x v="16"/>
    <s v="P000000090"/>
    <m/>
    <s v="O000000009"/>
    <s v="Remove"/>
    <x v="0"/>
    <x v="0"/>
    <s v="EL"/>
    <m/>
    <m/>
    <s v="John Rowie Del Rosario"/>
  </r>
  <r>
    <n v="766"/>
    <s v="F1"/>
    <x v="16"/>
    <s v="P000000091"/>
    <m/>
    <s v="O000000009"/>
    <s v="Remove"/>
    <x v="0"/>
    <x v="0"/>
    <s v="EL"/>
    <m/>
    <m/>
    <s v="John Rowie Del Rosario"/>
  </r>
  <r>
    <n v="767"/>
    <s v="F1"/>
    <x v="16"/>
    <s v="P000000092"/>
    <m/>
    <s v="O000000009"/>
    <s v="Remove"/>
    <x v="0"/>
    <x v="0"/>
    <s v="EL"/>
    <m/>
    <m/>
    <s v="John Rowie Del Rosario"/>
  </r>
  <r>
    <n v="768"/>
    <s v="F1"/>
    <x v="16"/>
    <s v="P000000093"/>
    <m/>
    <s v="O000000009"/>
    <s v="Remove"/>
    <x v="0"/>
    <x v="0"/>
    <s v="EL"/>
    <m/>
    <m/>
    <s v="John Rowie Del Rosario"/>
  </r>
  <r>
    <n v="769"/>
    <s v="F1"/>
    <x v="16"/>
    <s v="P000000094"/>
    <m/>
    <s v="O000000009"/>
    <s v="Remove"/>
    <x v="0"/>
    <x v="0"/>
    <s v="EL"/>
    <m/>
    <m/>
    <s v="John Rowie Del Rosario"/>
  </r>
  <r>
    <n v="770"/>
    <s v="F1"/>
    <x v="16"/>
    <s v="P000000095"/>
    <m/>
    <s v="O000000009"/>
    <s v="Remove"/>
    <x v="0"/>
    <x v="0"/>
    <s v="EL"/>
    <m/>
    <m/>
    <s v="John Rowie Del Rosario"/>
  </r>
  <r>
    <n v="771"/>
    <s v="F1"/>
    <x v="16"/>
    <s v="P000000096"/>
    <m/>
    <s v="O000000009"/>
    <s v="Remove"/>
    <x v="0"/>
    <x v="0"/>
    <s v="EL"/>
    <m/>
    <m/>
    <s v="John Rowie Del Rosario"/>
  </r>
  <r>
    <n v="772"/>
    <s v="F1"/>
    <x v="16"/>
    <s v="P000000306"/>
    <m/>
    <s v="O000000009"/>
    <s v="Remove"/>
    <x v="0"/>
    <x v="0"/>
    <s v="EL"/>
    <m/>
    <m/>
    <s v="John Rowie Del Rosario"/>
  </r>
  <r>
    <n v="773"/>
    <s v="F1"/>
    <x v="16"/>
    <s v="P000000307"/>
    <m/>
    <s v="O000000009"/>
    <s v="Remove"/>
    <x v="0"/>
    <x v="0"/>
    <s v="EL"/>
    <m/>
    <m/>
    <s v="John Rowie Del Rosario"/>
  </r>
  <r>
    <n v="774"/>
    <s v="F1"/>
    <x v="16"/>
    <s v="P000000220"/>
    <m/>
    <s v="O000000009"/>
    <s v="Remove"/>
    <x v="0"/>
    <x v="0"/>
    <s v="EL"/>
    <m/>
    <m/>
    <s v="John Rowie Del Rosario"/>
  </r>
  <r>
    <n v="775"/>
    <s v="F1"/>
    <x v="16"/>
    <s v="P000000221"/>
    <m/>
    <s v="O000000009"/>
    <s v="Remove"/>
    <x v="0"/>
    <x v="0"/>
    <s v="EL"/>
    <m/>
    <m/>
    <s v="John Rowie Del Rosario"/>
  </r>
  <r>
    <n v="776"/>
    <s v="F1"/>
    <x v="16"/>
    <s v="P000000222"/>
    <m/>
    <s v="O000000009"/>
    <s v="Remove"/>
    <x v="0"/>
    <x v="0"/>
    <s v="EL"/>
    <m/>
    <m/>
    <s v="John Rowie Del Rosario"/>
  </r>
  <r>
    <n v="777"/>
    <s v="F1"/>
    <x v="16"/>
    <s v="P000000223"/>
    <m/>
    <s v="O000000009"/>
    <s v="Remove"/>
    <x v="0"/>
    <x v="0"/>
    <s v="EL"/>
    <m/>
    <m/>
    <s v="John Rowie Del Rosario"/>
  </r>
  <r>
    <n v="778"/>
    <s v="F1"/>
    <x v="16"/>
    <s v="P000000224"/>
    <m/>
    <s v="O000000009"/>
    <s v="Remove"/>
    <x v="0"/>
    <x v="0"/>
    <s v="EL"/>
    <m/>
    <m/>
    <s v="John Rowie Del Rosario"/>
  </r>
  <r>
    <n v="779"/>
    <s v="F1"/>
    <x v="16"/>
    <s v="P000000225"/>
    <m/>
    <s v="O000000009"/>
    <s v="Remove"/>
    <x v="0"/>
    <x v="0"/>
    <s v="EL"/>
    <m/>
    <m/>
    <s v="John Rowie Del Rosario"/>
  </r>
  <r>
    <n v="780"/>
    <s v="F1"/>
    <x v="16"/>
    <s v="P000000226"/>
    <m/>
    <s v="O000000009"/>
    <s v="Remove"/>
    <x v="0"/>
    <x v="0"/>
    <s v="EL"/>
    <m/>
    <m/>
    <s v="John Rowie Del Rosario"/>
  </r>
  <r>
    <n v="781"/>
    <s v="F1"/>
    <x v="16"/>
    <s v="P000000227"/>
    <m/>
    <s v="O000000009"/>
    <s v="Remove"/>
    <x v="0"/>
    <x v="0"/>
    <s v="EL"/>
    <m/>
    <m/>
    <s v="John Rowie Del Rosario"/>
  </r>
  <r>
    <n v="782"/>
    <s v="F1"/>
    <x v="16"/>
    <s v="P000000228"/>
    <m/>
    <s v="O000000009"/>
    <s v="Remove"/>
    <x v="0"/>
    <x v="0"/>
    <s v="EL"/>
    <m/>
    <m/>
    <s v="John Rowie Del Rosario"/>
  </r>
  <r>
    <n v="783"/>
    <s v="F1"/>
    <x v="16"/>
    <s v="P000000841"/>
    <m/>
    <s v="O000000009"/>
    <s v="Remove"/>
    <x v="0"/>
    <x v="0"/>
    <s v="EL"/>
    <m/>
    <m/>
    <s v="John Rowie Del Rosario"/>
  </r>
  <r>
    <n v="784"/>
    <s v="F1"/>
    <x v="16"/>
    <s v="P000000007"/>
    <m/>
    <s v="O000000009"/>
    <s v="Remove"/>
    <x v="0"/>
    <x v="0"/>
    <s v="EL"/>
    <m/>
    <m/>
    <s v="John Rowie Del Rosario"/>
  </r>
  <r>
    <n v="785"/>
    <s v="F1"/>
    <x v="16"/>
    <s v="P000000735"/>
    <m/>
    <s v="O000000009"/>
    <s v="Remove"/>
    <x v="0"/>
    <x v="0"/>
    <s v="EL"/>
    <m/>
    <m/>
    <s v="John Rowie Del Rosario"/>
  </r>
  <r>
    <n v="786"/>
    <s v="F1"/>
    <x v="16"/>
    <s v="P000001104"/>
    <m/>
    <s v="O000000009"/>
    <s v="Remove"/>
    <x v="0"/>
    <x v="0"/>
    <s v="EL"/>
    <m/>
    <m/>
    <s v="John Rowie Del Rosario"/>
  </r>
  <r>
    <n v="787"/>
    <s v="F1"/>
    <x v="16"/>
    <s v="P000000705"/>
    <m/>
    <s v="O000000009"/>
    <s v="Remove"/>
    <x v="0"/>
    <x v="0"/>
    <s v="EL"/>
    <m/>
    <m/>
    <s v="John Rowie Del Rosario"/>
  </r>
  <r>
    <n v="788"/>
    <s v="F1"/>
    <x v="16"/>
    <s v="P000001105"/>
    <m/>
    <s v="O000000009"/>
    <s v="Remove"/>
    <x v="0"/>
    <x v="0"/>
    <s v="EL"/>
    <m/>
    <m/>
    <s v="John Rowie Del Rosario"/>
  </r>
  <r>
    <n v="789"/>
    <s v="F1"/>
    <x v="16"/>
    <s v="P000001106"/>
    <m/>
    <s v="O000000009"/>
    <s v="Remove"/>
    <x v="0"/>
    <x v="0"/>
    <s v="EL"/>
    <m/>
    <m/>
    <s v="John Rowie Del Rosario"/>
  </r>
  <r>
    <n v="790"/>
    <s v="F1"/>
    <x v="16"/>
    <s v="P000001107"/>
    <m/>
    <s v="O000000009"/>
    <s v="Remove"/>
    <x v="0"/>
    <x v="0"/>
    <s v="EL"/>
    <m/>
    <m/>
    <s v="John Rowie Del Rosario"/>
  </r>
  <r>
    <n v="791"/>
    <s v="F1"/>
    <x v="16"/>
    <s v="P000001317"/>
    <m/>
    <s v="O000000009"/>
    <s v="Remove"/>
    <x v="0"/>
    <x v="0"/>
    <s v="EL"/>
    <m/>
    <m/>
    <s v="John Rowie Del Rosario"/>
  </r>
  <r>
    <n v="792"/>
    <s v="F1"/>
    <x v="16"/>
    <s v="P000001288"/>
    <m/>
    <s v="O000000009"/>
    <s v="Remove"/>
    <x v="0"/>
    <x v="0"/>
    <s v="EL"/>
    <m/>
    <m/>
    <s v="John Rowie Del Rosario"/>
  </r>
  <r>
    <n v="793"/>
    <s v="F1"/>
    <x v="16"/>
    <s v="L000008500"/>
    <m/>
    <s v="O000000009"/>
    <s v="Remove"/>
    <x v="0"/>
    <x v="0"/>
    <s v="EL"/>
    <m/>
    <m/>
    <s v="John Rowie Del Rosario"/>
  </r>
  <r>
    <n v="794"/>
    <s v="F1"/>
    <x v="16"/>
    <s v="P000001278"/>
    <m/>
    <s v="O000000009"/>
    <s v="Remove"/>
    <x v="0"/>
    <x v="0"/>
    <s v="EL"/>
    <m/>
    <m/>
    <s v="John Rowie Del Rosario"/>
  </r>
  <r>
    <n v="795"/>
    <s v="F1"/>
    <x v="16"/>
    <s v="P000001289"/>
    <m/>
    <s v="O000000009"/>
    <s v="Remove"/>
    <x v="0"/>
    <x v="0"/>
    <s v="EL"/>
    <m/>
    <m/>
    <s v="John Rowie Del Rosario"/>
  </r>
  <r>
    <n v="796"/>
    <s v="F1"/>
    <x v="16"/>
    <s v="P000001290"/>
    <m/>
    <s v="O000000009"/>
    <s v="Remove"/>
    <x v="0"/>
    <x v="0"/>
    <s v="EL"/>
    <m/>
    <m/>
    <s v="John Rowie Del Rosario"/>
  </r>
  <r>
    <n v="797"/>
    <s v="F1"/>
    <x v="16"/>
    <s v="P000001291"/>
    <m/>
    <s v="O000000009"/>
    <s v="Remove"/>
    <x v="0"/>
    <x v="0"/>
    <s v="EL"/>
    <m/>
    <m/>
    <s v="John Rowie Del Rosario"/>
  </r>
  <r>
    <n v="798"/>
    <s v="F1"/>
    <x v="16"/>
    <s v="P000001292"/>
    <m/>
    <s v="O000000009"/>
    <s v="Remove"/>
    <x v="0"/>
    <x v="0"/>
    <s v="EL"/>
    <m/>
    <m/>
    <s v="John Rowie Del Rosario"/>
  </r>
  <r>
    <n v="799"/>
    <s v="F1"/>
    <x v="16"/>
    <s v="P000001293"/>
    <m/>
    <s v="O000000009"/>
    <s v="Remove"/>
    <x v="0"/>
    <x v="0"/>
    <s v="EL"/>
    <m/>
    <m/>
    <s v="John Rowie Del Rosario"/>
  </r>
  <r>
    <n v="800"/>
    <s v="F1"/>
    <x v="16"/>
    <s v="P000000966"/>
    <m/>
    <s v="O000000009"/>
    <s v="Remove"/>
    <x v="0"/>
    <x v="0"/>
    <s v="EL"/>
    <m/>
    <m/>
    <s v="John Rowie Del Rosario"/>
  </r>
  <r>
    <n v="801"/>
    <s v="F1"/>
    <x v="17"/>
    <s v="RDC0000951"/>
    <s v="Ogsiveo"/>
    <s v="RDC0000095"/>
    <s v="New"/>
    <x v="0"/>
    <x v="0"/>
    <s v="HC"/>
    <m/>
    <m/>
    <s v="Gay Geanuza del Mundo"/>
  </r>
  <r>
    <n v="802"/>
    <s v="F1"/>
    <x v="17"/>
    <s v="RDC0000952"/>
    <s v="Gomekli/Ezmekly"/>
    <s v="RDC0000095"/>
    <s v="New"/>
    <x v="0"/>
    <x v="0"/>
    <s v="HC"/>
    <m/>
    <m/>
    <s v="Gay Geanuza del Mundo"/>
  </r>
  <r>
    <n v="803"/>
    <s v="F1"/>
    <x v="17"/>
    <s v="RDC0000953"/>
    <s v="Rare Tumor Other"/>
    <s v="RDC0000095"/>
    <s v="New"/>
    <x v="0"/>
    <x v="0"/>
    <s v="HC"/>
    <m/>
    <m/>
    <s v="Gay Geanuza del Mundo"/>
  </r>
  <r>
    <n v="804"/>
    <s v="F1"/>
    <x v="18"/>
    <s v="H000004918"/>
    <m/>
    <s v="O000000009"/>
    <s v="Remove"/>
    <x v="0"/>
    <x v="0"/>
    <s v="HC"/>
    <m/>
    <m/>
    <s v="Erjo Miguel Tagle"/>
  </r>
  <r>
    <n v="805"/>
    <s v="F1"/>
    <x v="18"/>
    <s v="H000004932"/>
    <s v="Rare Tumor SW"/>
    <s v="H000000688"/>
    <s v="New"/>
    <x v="0"/>
    <x v="0"/>
    <s v="HC"/>
    <m/>
    <m/>
    <s v="Erjo Miguel Tagle"/>
  </r>
  <r>
    <n v="806"/>
    <s v="F1"/>
    <x v="18"/>
    <s v="H000004933"/>
    <s v="100 Nirogacestat"/>
    <s v="H000004932"/>
    <s v="New"/>
    <x v="0"/>
    <x v="0"/>
    <s v="HC"/>
    <m/>
    <m/>
    <s v="Erjo Miguel Tagle"/>
  </r>
  <r>
    <n v="807"/>
    <s v="F1"/>
    <x v="18"/>
    <s v="H000004934"/>
    <s v="120 Mirdametinib"/>
    <s v="H000004932"/>
    <s v="New"/>
    <x v="0"/>
    <x v="0"/>
    <s v="HC"/>
    <m/>
    <m/>
    <s v="Erjo Miguel Tagle"/>
  </r>
  <r>
    <n v="808"/>
    <s v="F1"/>
    <x v="18"/>
    <s v="H000004935"/>
    <s v="130 BGB-3245"/>
    <s v="H000004932"/>
    <s v="New"/>
    <x v="0"/>
    <x v="0"/>
    <s v="HC"/>
    <m/>
    <m/>
    <s v="Erjo Miguel Tagle"/>
  </r>
  <r>
    <n v="809"/>
    <s v="F1"/>
    <x v="18"/>
    <s v="H000004936"/>
    <s v="510 TEAD Inhibitors"/>
    <s v="H000004932"/>
    <s v="New"/>
    <x v="0"/>
    <x v="0"/>
    <s v="HC"/>
    <m/>
    <m/>
    <s v="Erjo Miguel Tagle"/>
  </r>
  <r>
    <n v="810"/>
    <s v="F1"/>
    <x v="18"/>
    <s v="H000004937"/>
    <s v="530 JAK2 Inhibitors"/>
    <s v="H000004932"/>
    <s v="New"/>
    <x v="0"/>
    <x v="0"/>
    <s v="HC"/>
    <m/>
    <m/>
    <s v="Erjo Miguel Tagle"/>
  </r>
  <r>
    <n v="811"/>
    <s v="F1"/>
    <x v="18"/>
    <s v="H000004938"/>
    <s v="540 PP2A Inhibitors"/>
    <s v="H000004932"/>
    <s v="New"/>
    <x v="0"/>
    <x v="0"/>
    <s v="HC"/>
    <m/>
    <m/>
    <s v="Erjo Miguel Tagle"/>
  </r>
  <r>
    <n v="812"/>
    <s v="F1"/>
    <x v="18"/>
    <s v="H000004939"/>
    <s v="100.00 Niro-No Program"/>
    <s v="H000004933"/>
    <s v="New"/>
    <x v="0"/>
    <x v="0"/>
    <s v="HC"/>
    <m/>
    <m/>
    <s v="Erjo Miguel Tagle"/>
  </r>
  <r>
    <n v="813"/>
    <s v="F1"/>
    <x v="18"/>
    <s v="H000004940"/>
    <s v="100.10 Niro, DT"/>
    <s v="H000004933"/>
    <s v="New"/>
    <x v="0"/>
    <x v="0"/>
    <s v="HC"/>
    <m/>
    <m/>
    <s v="Erjo Miguel Tagle"/>
  </r>
  <r>
    <n v="814"/>
    <s v="F1"/>
    <x v="18"/>
    <s v="H000004941"/>
    <s v="100.11 Niro, MM-GSK"/>
    <s v="H000004933"/>
    <s v="New"/>
    <x v="0"/>
    <x v="0"/>
    <s v="HC"/>
    <m/>
    <m/>
    <s v="Erjo Miguel Tagle"/>
  </r>
  <r>
    <n v="815"/>
    <s v="F1"/>
    <x v="18"/>
    <s v="H000004942"/>
    <s v="100.15 Niro, MM"/>
    <s v="H000004933"/>
    <s v="New"/>
    <x v="0"/>
    <x v="0"/>
    <s v="HC"/>
    <m/>
    <m/>
    <s v="Erjo Miguel Tagle"/>
  </r>
  <r>
    <n v="816"/>
    <s v="F1"/>
    <x v="18"/>
    <s v="H000004943"/>
    <s v="100.17 Niro, GCT"/>
    <s v="H000004933"/>
    <s v="New"/>
    <x v="0"/>
    <x v="0"/>
    <s v="HC"/>
    <m/>
    <m/>
    <s v="Erjo Miguel Tagle"/>
  </r>
  <r>
    <n v="817"/>
    <s v="F1"/>
    <x v="18"/>
    <s v="H000004944"/>
    <s v="120.00 Mirda-No Program"/>
    <s v="H000004934"/>
    <s v="New"/>
    <x v="0"/>
    <x v="0"/>
    <s v="HC"/>
    <m/>
    <m/>
    <s v="Erjo Miguel Tagle"/>
  </r>
  <r>
    <n v="818"/>
    <s v="F1"/>
    <x v="18"/>
    <s v="H000004945"/>
    <s v="120.10 Mirda, NF1-PN"/>
    <s v="H000004934"/>
    <s v="New"/>
    <x v="0"/>
    <x v="0"/>
    <s v="HC"/>
    <m/>
    <m/>
    <s v="Erjo Miguel Tagle"/>
  </r>
  <r>
    <n v="819"/>
    <s v="F1"/>
    <x v="18"/>
    <s v="H000004946"/>
    <s v="120.11 Mirda+Lif"/>
    <s v="H000004934"/>
    <s v="New"/>
    <x v="0"/>
    <x v="0"/>
    <s v="HC"/>
    <m/>
    <m/>
    <s v="Erjo Miguel Tagle"/>
  </r>
  <r>
    <n v="820"/>
    <s v="F1"/>
    <x v="18"/>
    <s v="H000004947"/>
    <s v="130.12 BGB-3245, AU"/>
    <s v="H000004935"/>
    <s v="New"/>
    <x v="0"/>
    <x v="0"/>
    <s v="HC"/>
    <m/>
    <m/>
    <s v="Erjo Miguel Tagle"/>
  </r>
  <r>
    <n v="821"/>
    <s v="F1"/>
    <x v="18"/>
    <s v="H000004948"/>
    <s v="510.10 TEAD SW-682, AST"/>
    <s v="H000004936"/>
    <s v="New"/>
    <x v="0"/>
    <x v="0"/>
    <s v="HC"/>
    <m/>
    <m/>
    <s v="Erjo Miguel Tagle"/>
  </r>
  <r>
    <n v="822"/>
    <s v="F1"/>
    <x v="18"/>
    <s v="H000004949"/>
    <s v="530.00 JAK2-No Program"/>
    <s v="H000004937"/>
    <s v="New"/>
    <x v="0"/>
    <x v="0"/>
    <s v="HC"/>
    <m/>
    <m/>
    <s v="Erjo Miguel Tagle"/>
  </r>
  <r>
    <n v="823"/>
    <s v="F1"/>
    <x v="18"/>
    <s v="H000004950"/>
    <s v="540.10 PP2A SW-3431"/>
    <s v="H000004938"/>
    <s v="New"/>
    <x v="0"/>
    <x v="0"/>
    <s v="HC"/>
    <m/>
    <m/>
    <s v="Erjo Miguel Tagle"/>
  </r>
  <r>
    <n v="824"/>
    <s v="F1"/>
    <x v="19"/>
    <s v="L000005617"/>
    <m/>
    <s v="L000013128"/>
    <s v="Move"/>
    <x v="0"/>
    <x v="0"/>
    <s v="LS"/>
    <m/>
    <m/>
    <s v="Ruby Grace Garcia"/>
  </r>
  <r>
    <n v="825"/>
    <s v="F1"/>
    <x v="19"/>
    <s v="L000005964"/>
    <m/>
    <s v="L000013128"/>
    <s v="Move"/>
    <x v="0"/>
    <x v="0"/>
    <s v="LS"/>
    <m/>
    <m/>
    <s v="Ruby Grace Garcia"/>
  </r>
  <r>
    <n v="826"/>
    <s v="F1"/>
    <x v="19"/>
    <s v="L000005842"/>
    <m/>
    <s v="L000013128"/>
    <s v="Move"/>
    <x v="0"/>
    <x v="0"/>
    <s v="LS"/>
    <m/>
    <m/>
    <s v="Ruby Grace Garcia"/>
  </r>
  <r>
    <n v="827"/>
    <s v="F1"/>
    <x v="20"/>
    <s v="L000005495"/>
    <m/>
    <s v="L000013187"/>
    <s v="Move"/>
    <x v="0"/>
    <x v="0"/>
    <s v="LS"/>
    <m/>
    <m/>
    <s v="Ruby Grace Garcia"/>
  </r>
  <r>
    <n v="828"/>
    <s v="F1"/>
    <x v="21"/>
    <s v="L000013693"/>
    <m/>
    <s v="L000013955"/>
    <s v="Move"/>
    <x v="0"/>
    <x v="0"/>
    <s v="LS"/>
    <m/>
    <m/>
    <s v="Ruby Grace Garcia"/>
  </r>
  <r>
    <n v="829"/>
    <s v="F1"/>
    <x v="21"/>
    <s v="L000013958"/>
    <m/>
    <s v="L000013687"/>
    <s v="Remove"/>
    <x v="0"/>
    <x v="0"/>
    <s v="LS"/>
    <m/>
    <m/>
    <s v="Ruby Grace Garcia"/>
  </r>
  <r>
    <n v="830"/>
    <s v="F1"/>
    <x v="22"/>
    <s v="G000001360"/>
    <s v="G7J DX - Lumina FTO"/>
    <m/>
    <s v="Rename"/>
    <x v="0"/>
    <x v="0"/>
    <s v="MGF"/>
    <m/>
    <m/>
    <s v="Jojeff Tagnong"/>
  </r>
  <r>
    <n v="831"/>
    <s v="F1"/>
    <x v="22"/>
    <s v="G000001361"/>
    <s v="G7K DX - Lumina Financial Steering"/>
    <m/>
    <s v="Rename"/>
    <x v="0"/>
    <x v="0"/>
    <s v="MGF"/>
    <m/>
    <m/>
    <s v="Jojeff Tagnong"/>
  </r>
  <r>
    <n v="832"/>
    <s v="F1"/>
    <x v="22"/>
    <s v="G000001362"/>
    <s v="G7L DX - Lumina Financial Close"/>
    <m/>
    <s v="Rename"/>
    <x v="0"/>
    <x v="0"/>
    <s v="MGF"/>
    <m/>
    <m/>
    <s v="Jojeff Tagnong"/>
  </r>
  <r>
    <n v="833"/>
    <s v="F1"/>
    <x v="22"/>
    <s v="G000001363"/>
    <s v="G7M DX - Lumina Data Quality"/>
    <m/>
    <s v="Rename"/>
    <x v="0"/>
    <x v="0"/>
    <s v="MGF"/>
    <m/>
    <m/>
    <s v="Jojeff Tagnong"/>
  </r>
  <r>
    <n v="834"/>
    <s v="F1"/>
    <x v="22"/>
    <s v="G000001364"/>
    <s v="G7N DX - Lumina Regulatory Reporting"/>
    <m/>
    <s v="Rename"/>
    <x v="0"/>
    <x v="0"/>
    <s v="MGF"/>
    <m/>
    <m/>
    <s v="Jojeff Tagnong"/>
  </r>
  <r>
    <n v="835"/>
    <s v="F1"/>
    <x v="22"/>
    <s v="G000000235"/>
    <m/>
    <s v="O000000009"/>
    <s v="Remove"/>
    <x v="0"/>
    <x v="0"/>
    <s v="MGF"/>
    <m/>
    <m/>
    <s v="Jojeff Tagnong"/>
  </r>
  <r>
    <n v="836"/>
    <s v="F1"/>
    <x v="23"/>
    <s v="L000013928"/>
    <m/>
    <s v="L000013681"/>
    <s v="Move"/>
    <x v="0"/>
    <x v="0"/>
    <s v="LS"/>
    <m/>
    <m/>
    <s v="Ruby Grace Garcia"/>
  </r>
  <r>
    <n v="837"/>
    <s v="F1"/>
    <x v="23"/>
    <s v="L000013728"/>
    <m/>
    <s v="L000009201"/>
    <s v="Move"/>
    <x v="0"/>
    <x v="0"/>
    <s v="LS"/>
    <m/>
    <m/>
    <s v="Ruby Grace Garcia"/>
  </r>
  <r>
    <n v="838"/>
    <s v="F1"/>
    <x v="24"/>
    <s v="L000013422"/>
    <s v="DS Value Stream"/>
    <m/>
    <s v="Rename"/>
    <x v="0"/>
    <x v="0"/>
    <s v="LS"/>
    <m/>
    <m/>
    <s v="Ruby Grace Garcia"/>
  </r>
  <r>
    <n v="839"/>
    <s v="F1"/>
    <x v="25"/>
    <s v="H000004861"/>
    <m/>
    <s v="H000004861"/>
    <s v="Move"/>
    <x v="0"/>
    <x v="1"/>
    <s v="HC"/>
    <m/>
    <m/>
    <s v="John Poulie Borromeo"/>
  </r>
  <r>
    <n v="840"/>
    <s v="F1"/>
    <x v="25"/>
    <s v="H000001412"/>
    <m/>
    <s v="H000001412"/>
    <s v="Move"/>
    <x v="0"/>
    <x v="1"/>
    <s v="HC"/>
    <m/>
    <m/>
    <s v="John Poulie Borromeo"/>
  </r>
  <r>
    <n v="841"/>
    <s v="F1"/>
    <x v="25"/>
    <s v="H000001412"/>
    <m/>
    <s v="H000001412"/>
    <s v="Move"/>
    <x v="0"/>
    <x v="1"/>
    <s v="HC"/>
    <m/>
    <m/>
    <s v="John Poulie Borromeo"/>
  </r>
  <r>
    <n v="842"/>
    <s v="F1"/>
    <x v="25"/>
    <s v="H000001505"/>
    <m/>
    <s v="H000001505"/>
    <s v="Move"/>
    <x v="0"/>
    <x v="1"/>
    <s v="HC"/>
    <m/>
    <m/>
    <s v="John Poulie Borromeo"/>
  </r>
  <r>
    <n v="843"/>
    <s v="F1"/>
    <x v="25"/>
    <s v="H000001412"/>
    <m/>
    <s v="H000001412"/>
    <s v="Move"/>
    <x v="0"/>
    <x v="1"/>
    <s v="HC"/>
    <m/>
    <m/>
    <s v="John Poulie Borromeo"/>
  </r>
  <r>
    <n v="844"/>
    <s v="F1"/>
    <x v="25"/>
    <s v="H000001421"/>
    <m/>
    <s v="H000001421"/>
    <s v="Move"/>
    <x v="0"/>
    <x v="1"/>
    <s v="HC"/>
    <m/>
    <m/>
    <s v="John Poulie Borromeo"/>
  </r>
  <r>
    <n v="845"/>
    <s v="F1"/>
    <x v="26"/>
    <s v="P000000259"/>
    <m/>
    <s v="P000001165"/>
    <s v="Move"/>
    <x v="0"/>
    <x v="0"/>
    <s v="EL"/>
    <m/>
    <m/>
    <s v="John Rowie Del Rosario"/>
  </r>
  <r>
    <n v="846"/>
    <s v="F1"/>
    <x v="26"/>
    <s v="P000000269"/>
    <m/>
    <s v="P000001165"/>
    <s v="Move"/>
    <x v="0"/>
    <x v="0"/>
    <s v="EL"/>
    <m/>
    <m/>
    <s v="John Rowie Del Rosario"/>
  </r>
  <r>
    <n v="847"/>
    <s v="F1"/>
    <x v="27"/>
    <s v="L000013903"/>
    <m/>
    <s v="L000013687"/>
    <s v="Move"/>
    <x v="0"/>
    <x v="0"/>
    <s v="LS"/>
    <m/>
    <m/>
    <s v="Ruby Grace Garcia"/>
  </r>
  <r>
    <n v="848"/>
    <s v="F2"/>
    <x v="28"/>
    <s v="H000000472"/>
    <m/>
    <s v="H000004891"/>
    <s v="Move"/>
    <x v="0"/>
    <x v="0"/>
    <s v="HC"/>
    <m/>
    <m/>
    <s v="Anna Maria Urbano"/>
  </r>
  <r>
    <n v="849"/>
    <s v="F2"/>
    <x v="28"/>
    <s v="H000000473"/>
    <m/>
    <s v="H000004891"/>
    <s v="Move"/>
    <x v="0"/>
    <x v="0"/>
    <s v="HC"/>
    <m/>
    <m/>
    <s v="Anna Maria Urbano"/>
  </r>
  <r>
    <n v="850"/>
    <s v="F2"/>
    <x v="28"/>
    <s v="H000000474"/>
    <m/>
    <s v="H000004891"/>
    <s v="Move"/>
    <x v="0"/>
    <x v="0"/>
    <s v="HC"/>
    <m/>
    <m/>
    <s v="Anna Maria Urbano"/>
  </r>
  <r>
    <n v="851"/>
    <s v="F2"/>
    <x v="28"/>
    <s v="H000000475"/>
    <m/>
    <s v="H000004891"/>
    <s v="Move"/>
    <x v="0"/>
    <x v="0"/>
    <s v="HC"/>
    <m/>
    <m/>
    <s v="Anna Maria Urbano"/>
  </r>
  <r>
    <n v="852"/>
    <s v="F2"/>
    <x v="28"/>
    <s v="H000000476"/>
    <m/>
    <s v="H000004891"/>
    <s v="Move"/>
    <x v="0"/>
    <x v="0"/>
    <s v="HC"/>
    <m/>
    <m/>
    <s v="Anna Maria Urbano"/>
  </r>
  <r>
    <n v="853"/>
    <s v="F2"/>
    <x v="28"/>
    <s v="H000000477"/>
    <m/>
    <s v="H000004891"/>
    <s v="Move"/>
    <x v="0"/>
    <x v="0"/>
    <s v="HC"/>
    <m/>
    <m/>
    <s v="Anna Maria Urbano"/>
  </r>
  <r>
    <n v="854"/>
    <s v="F2"/>
    <x v="28"/>
    <s v="H000000478"/>
    <m/>
    <s v="H000004891"/>
    <s v="Move"/>
    <x v="0"/>
    <x v="0"/>
    <s v="HC"/>
    <m/>
    <m/>
    <s v="Anna Maria Urbano"/>
  </r>
  <r>
    <n v="855"/>
    <s v="F2"/>
    <x v="28"/>
    <s v="H000000479"/>
    <m/>
    <s v="H000004891"/>
    <s v="Move"/>
    <x v="0"/>
    <x v="0"/>
    <s v="HC"/>
    <m/>
    <m/>
    <s v="Anna Maria Urbano"/>
  </r>
  <r>
    <n v="856"/>
    <s v="F2"/>
    <x v="28"/>
    <s v="H000000658"/>
    <m/>
    <s v="H000004891"/>
    <s v="Move"/>
    <x v="0"/>
    <x v="0"/>
    <s v="HC"/>
    <m/>
    <m/>
    <s v="Anna Maria Urbano"/>
  </r>
  <r>
    <n v="857"/>
    <s v="F2"/>
    <x v="29"/>
    <s v="G000000444"/>
    <m/>
    <s v="G000000442"/>
    <s v="Move"/>
    <x v="0"/>
    <x v="0"/>
    <s v="MGF"/>
    <m/>
    <m/>
    <s v="Marcus Morowski"/>
  </r>
  <r>
    <n v="858"/>
    <s v="F2"/>
    <x v="30"/>
    <s v="G000000544"/>
    <m/>
    <s v="G000000875"/>
    <s v="Move"/>
    <x v="0"/>
    <x v="0"/>
    <s v="MGF"/>
    <m/>
    <m/>
    <s v="Analyn Ayson"/>
  </r>
  <r>
    <n v="859"/>
    <s v="F2"/>
    <x v="31"/>
    <s v="G000000434"/>
    <m/>
    <s v="G000000354"/>
    <s v="Move"/>
    <x v="0"/>
    <x v="0"/>
    <s v="MGF"/>
    <m/>
    <m/>
    <s v="Marcus Morowski"/>
  </r>
  <r>
    <n v="860"/>
    <s v="F2"/>
    <x v="32"/>
    <s v="P000001319"/>
    <s v="EL-BP-I Classic IT"/>
    <m/>
    <s v="Rename"/>
    <x v="0"/>
    <x v="0"/>
    <s v="EL"/>
    <m/>
    <m/>
    <s v="John Rowie Del Rosario"/>
  </r>
  <r>
    <n v="861"/>
    <s v="F2"/>
    <x v="32"/>
    <s v="P000001320"/>
    <s v="EL-BP-I IT Projects"/>
    <m/>
    <s v="Rename"/>
    <x v="0"/>
    <x v="0"/>
    <s v="EL"/>
    <m/>
    <m/>
    <s v="John Rowie Del Rosario"/>
  </r>
  <r>
    <n v="862"/>
    <s v="F2"/>
    <x v="32"/>
    <s v="P000001321"/>
    <s v="EL-BP-IC Cyber Security"/>
    <m/>
    <s v="Rename"/>
    <x v="0"/>
    <x v="0"/>
    <s v="EL"/>
    <m/>
    <m/>
    <s v="John Rowie Del Rosario"/>
  </r>
  <r>
    <n v="863"/>
    <s v="F2"/>
    <x v="32"/>
    <s v="P000001322"/>
    <s v="EL-BP-IIE IT/OT"/>
    <m/>
    <s v="Rename"/>
    <x v="0"/>
    <x v="0"/>
    <s v="EL"/>
    <m/>
    <m/>
    <s v="John Rowie Del Rosario"/>
  </r>
  <r>
    <n v="864"/>
    <s v="F2"/>
    <x v="32"/>
    <s v="P000001323"/>
    <s v="EL-BP-IAE Digital &amp; Data"/>
    <m/>
    <s v="Rename"/>
    <x v="0"/>
    <x v="0"/>
    <s v="EL"/>
    <m/>
    <m/>
    <s v="John Rowie Del Rosario"/>
  </r>
  <r>
    <n v="865"/>
    <s v="F2"/>
    <x v="33"/>
    <s v="H000004951"/>
    <s v="PL - FERT"/>
    <s v="H000003572"/>
    <s v="New"/>
    <x v="0"/>
    <x v="0"/>
    <s v="HC"/>
    <m/>
    <m/>
    <s v="Henry Jr Ifurung"/>
  </r>
  <r>
    <n v="866"/>
    <s v="F2"/>
    <x v="33"/>
    <s v="H000004952"/>
    <s v="PL - ISS FERT"/>
    <s v="H000004951"/>
    <s v="New"/>
    <x v="0"/>
    <x v="0"/>
    <s v="HC"/>
    <m/>
    <m/>
    <s v="Henry Jr Ifurung"/>
  </r>
  <r>
    <n v="867"/>
    <s v="F2"/>
    <x v="33"/>
    <s v="H000004953"/>
    <s v="PL - FF FERT"/>
    <s v="H000004951"/>
    <s v="New"/>
    <x v="0"/>
    <x v="0"/>
    <s v="HC"/>
    <m/>
    <m/>
    <s v="Henry Jr Ifurung"/>
  </r>
  <r>
    <n v="868"/>
    <s v="F2"/>
    <x v="33"/>
    <s v="H000003590"/>
    <s v="PL - CM&amp;E"/>
    <m/>
    <s v="Rename"/>
    <x v="0"/>
    <x v="0"/>
    <s v="HC"/>
    <m/>
    <m/>
    <s v="Henry Jr Ifurung"/>
  </r>
  <r>
    <n v="869"/>
    <s v="F2"/>
    <x v="33"/>
    <s v="H000003591"/>
    <s v="PL - ISS CM&amp;E"/>
    <m/>
    <s v="Rename"/>
    <x v="0"/>
    <x v="0"/>
    <s v="HC"/>
    <m/>
    <m/>
    <s v="Henry Jr Ifurung"/>
  </r>
  <r>
    <n v="870"/>
    <s v="F2"/>
    <x v="33"/>
    <s v="H000004120"/>
    <s v="Field Force CM&amp;E"/>
    <m/>
    <s v="Rename"/>
    <x v="0"/>
    <x v="0"/>
    <s v="HC"/>
    <m/>
    <m/>
    <s v="Henry Jr Ifurung"/>
  </r>
  <r>
    <n v="871"/>
    <s v="F2"/>
    <x v="33"/>
    <s v="H000003585"/>
    <m/>
    <s v="H000004951"/>
    <s v="Move"/>
    <x v="0"/>
    <x v="0"/>
    <s v="HC"/>
    <m/>
    <m/>
    <s v="Henry Jr Ifurung"/>
  </r>
  <r>
    <n v="872"/>
    <s v="F2"/>
    <x v="34"/>
    <s v="H000004954"/>
    <s v="Core Markets"/>
    <s v="H000000000"/>
    <s v="New"/>
    <x v="0"/>
    <x v="0"/>
    <s v="HC"/>
    <m/>
    <m/>
    <s v="Henry Jr Ifurung"/>
  </r>
  <r>
    <n v="873"/>
    <s v="F2"/>
    <x v="34"/>
    <s v="H000000912"/>
    <s v="Regional Core Markets"/>
    <m/>
    <s v="Rename"/>
    <x v="0"/>
    <x v="0"/>
    <s v="HC"/>
    <m/>
    <m/>
    <s v="Henry Jr Ifurung"/>
  </r>
  <r>
    <n v="874"/>
    <s v="F2"/>
    <x v="34"/>
    <s v="H000000185"/>
    <s v="France"/>
    <s v="H000004954"/>
    <s v="Rename/Move"/>
    <x v="0"/>
    <x v="0"/>
    <s v="HC"/>
    <m/>
    <m/>
    <s v="Henry Jr Ifurung"/>
  </r>
  <r>
    <n v="875"/>
    <s v="F2"/>
    <x v="34"/>
    <s v="H000000180"/>
    <s v="Italy"/>
    <s v="H000004954"/>
    <s v="Rename/Move"/>
    <x v="0"/>
    <x v="0"/>
    <s v="HC"/>
    <m/>
    <m/>
    <s v="Henry Jr Ifurung"/>
  </r>
  <r>
    <n v="876"/>
    <s v="F2"/>
    <x v="34"/>
    <s v="H000000199"/>
    <s v="Spain"/>
    <s v="H000004954"/>
    <s v="Rename/Move"/>
    <x v="0"/>
    <x v="0"/>
    <s v="HC"/>
    <m/>
    <m/>
    <s v="Henry Jr Ifurung"/>
  </r>
  <r>
    <n v="877"/>
    <s v="F2"/>
    <x v="34"/>
    <s v="H000000202"/>
    <s v="United Kingdom"/>
    <s v="H000004954"/>
    <s v="Rename/Move"/>
    <x v="0"/>
    <x v="0"/>
    <s v="HC"/>
    <m/>
    <m/>
    <s v="Henry Jr Ifurung"/>
  </r>
  <r>
    <n v="878"/>
    <s v="F2"/>
    <x v="34"/>
    <s v="H000000392"/>
    <s v="Australia / NZ"/>
    <s v="H000004954"/>
    <s v="Rename/Move"/>
    <x v="0"/>
    <x v="0"/>
    <s v="HC"/>
    <m/>
    <m/>
    <s v="Henry Jr Ifurung"/>
  </r>
  <r>
    <n v="879"/>
    <s v="F2"/>
    <x v="34"/>
    <s v="H000000198"/>
    <m/>
    <s v="H000004954"/>
    <s v="Move"/>
    <x v="0"/>
    <x v="0"/>
    <s v="HC"/>
    <m/>
    <m/>
    <s v="Henry Jr Ifurung"/>
  </r>
  <r>
    <n v="880"/>
    <s v="F2"/>
    <x v="34"/>
    <s v="H000000209"/>
    <m/>
    <s v="H000004954"/>
    <s v="Move"/>
    <x v="0"/>
    <x v="0"/>
    <s v="HC"/>
    <m/>
    <m/>
    <s v="Henry Jr Ifurung"/>
  </r>
  <r>
    <n v="881"/>
    <s v="F2"/>
    <x v="34"/>
    <s v="H000000391"/>
    <m/>
    <s v="H000004954"/>
    <s v="Move"/>
    <x v="0"/>
    <x v="0"/>
    <s v="HC"/>
    <m/>
    <m/>
    <s v="Henry Jr Ifurung"/>
  </r>
  <r>
    <n v="882"/>
    <s v="F2"/>
    <x v="34"/>
    <s v="H000000395"/>
    <m/>
    <s v="H000004954"/>
    <s v="Move"/>
    <x v="0"/>
    <x v="0"/>
    <s v="HC"/>
    <m/>
    <m/>
    <s v="Henry Jr Ifurung"/>
  </r>
  <r>
    <n v="883"/>
    <s v="F2"/>
    <x v="34"/>
    <s v="H000000933"/>
    <m/>
    <s v="H000004954"/>
    <s v="Move"/>
    <x v="0"/>
    <x v="0"/>
    <s v="HC"/>
    <m/>
    <m/>
    <s v="Henry Jr Ifurung"/>
  </r>
  <r>
    <n v="884"/>
    <s v="F2"/>
    <x v="34"/>
    <s v="H000000934"/>
    <m/>
    <s v="O000000009"/>
    <s v="Remove"/>
    <x v="0"/>
    <x v="0"/>
    <s v="HC"/>
    <m/>
    <m/>
    <s v="Henry Jr Ifurung"/>
  </r>
  <r>
    <n v="885"/>
    <s v="F2"/>
    <x v="35"/>
    <s v="H000000387"/>
    <s v="China Region"/>
    <s v="H000000000"/>
    <s v="Rename/Move"/>
    <x v="0"/>
    <x v="0"/>
    <s v="HC"/>
    <m/>
    <m/>
    <s v="Henry Jr Ifurung"/>
  </r>
  <r>
    <n v="886"/>
    <s v="F2"/>
    <x v="35"/>
    <s v="H000000394"/>
    <m/>
    <s v="H000000387"/>
    <s v="Move"/>
    <x v="0"/>
    <x v="0"/>
    <s v="HC"/>
    <m/>
    <m/>
    <s v="Henry Jr Ifurung"/>
  </r>
  <r>
    <n v="887"/>
    <s v="F2"/>
    <x v="35"/>
    <s v="H000000420"/>
    <m/>
    <s v="H000000387"/>
    <s v="Move"/>
    <x v="0"/>
    <x v="0"/>
    <s v="HC"/>
    <m/>
    <m/>
    <s v="Henry Jr Ifurung"/>
  </r>
  <r>
    <n v="888"/>
    <s v="F2"/>
    <x v="36"/>
    <s v="H000004955"/>
    <s v="Emerging Growth Markets"/>
    <s v="H000000000"/>
    <s v="New"/>
    <x v="0"/>
    <x v="0"/>
    <s v="HC"/>
    <m/>
    <m/>
    <s v="Henry Jr Ifurung"/>
  </r>
  <r>
    <n v="889"/>
    <s v="F2"/>
    <x v="36"/>
    <s v="H000000918"/>
    <s v="Regional Hub META"/>
    <m/>
    <s v="Rename"/>
    <x v="0"/>
    <x v="0"/>
    <s v="HC"/>
    <m/>
    <m/>
    <s v="Henry Jr Ifurung"/>
  </r>
  <r>
    <n v="890"/>
    <s v="F2"/>
    <x v="36"/>
    <s v="H000000914"/>
    <s v="UAE and Gulf"/>
    <s v="H000004955"/>
    <s v="Rename/Move"/>
    <x v="0"/>
    <x v="0"/>
    <s v="HC"/>
    <m/>
    <m/>
    <s v="Henry Jr Ifurung"/>
  </r>
  <r>
    <n v="891"/>
    <s v="F2"/>
    <x v="36"/>
    <s v="H000000332"/>
    <s v="LATAM"/>
    <s v="H000004955"/>
    <s v="Rename/Move"/>
    <x v="0"/>
    <x v="0"/>
    <s v="HC"/>
    <m/>
    <m/>
    <s v="Henry Jr Ifurung"/>
  </r>
  <r>
    <n v="892"/>
    <s v="F2"/>
    <x v="36"/>
    <s v="H000000244"/>
    <s v="Middle East, Turkey, Africa"/>
    <s v="H000004955"/>
    <s v="Rename/Move"/>
    <x v="0"/>
    <x v="0"/>
    <s v="HC"/>
    <m/>
    <m/>
    <s v="Henry Jr Ifurung"/>
  </r>
  <r>
    <n v="893"/>
    <s v="F2"/>
    <x v="36"/>
    <s v="H000000390"/>
    <s v="APAC"/>
    <s v="H000004955"/>
    <s v="Rename/Move"/>
    <x v="0"/>
    <x v="0"/>
    <s v="HC"/>
    <m/>
    <m/>
    <s v="Henry Jr Ifurung"/>
  </r>
  <r>
    <n v="894"/>
    <s v="F2"/>
    <x v="36"/>
    <s v="H000000335"/>
    <m/>
    <s v="H000004955"/>
    <s v="Move"/>
    <x v="0"/>
    <x v="0"/>
    <s v="HC"/>
    <m/>
    <m/>
    <s v="Henry Jr Ifurung"/>
  </r>
  <r>
    <n v="895"/>
    <s v="F2"/>
    <x v="36"/>
    <s v="H000000339"/>
    <m/>
    <s v="H000004955"/>
    <s v="Move"/>
    <x v="0"/>
    <x v="0"/>
    <s v="HC"/>
    <m/>
    <m/>
    <s v="Henry Jr Ifurung"/>
  </r>
  <r>
    <n v="896"/>
    <s v="F2"/>
    <x v="36"/>
    <s v="H000000913"/>
    <m/>
    <s v="H000004955"/>
    <s v="Move"/>
    <x v="0"/>
    <x v="0"/>
    <s v="HC"/>
    <m/>
    <m/>
    <s v="Henry Jr Ifurung"/>
  </r>
  <r>
    <n v="897"/>
    <s v="F2"/>
    <x v="36"/>
    <s v="H000000411"/>
    <m/>
    <s v="H000004955"/>
    <s v="Move"/>
    <x v="0"/>
    <x v="0"/>
    <s v="HC"/>
    <m/>
    <m/>
    <s v="Henry Jr Ifurung"/>
  </r>
  <r>
    <n v="898"/>
    <s v="F2"/>
    <x v="36"/>
    <s v="H000000303"/>
    <m/>
    <s v="H000004955"/>
    <s v="Move"/>
    <x v="0"/>
    <x v="0"/>
    <s v="HC"/>
    <m/>
    <m/>
    <s v="Henry Jr Ifurung"/>
  </r>
  <r>
    <n v="899"/>
    <s v="F2"/>
    <x v="36"/>
    <s v="H000000397"/>
    <m/>
    <s v="H000000390"/>
    <s v="Move"/>
    <x v="0"/>
    <x v="0"/>
    <s v="HC"/>
    <m/>
    <m/>
    <s v="Henry Jr Ifurung"/>
  </r>
  <r>
    <n v="900"/>
    <s v="F2"/>
    <x v="36"/>
    <s v="H000000449"/>
    <m/>
    <s v="H000004955"/>
    <s v="Move"/>
    <x v="0"/>
    <x v="0"/>
    <s v="HC"/>
    <m/>
    <m/>
    <s v="Henry Jr Ifurung"/>
  </r>
  <r>
    <n v="901"/>
    <s v="F2"/>
    <x v="36"/>
    <s v="H000004394"/>
    <m/>
    <s v="H000004955"/>
    <s v="Move"/>
    <x v="0"/>
    <x v="0"/>
    <s v="HC"/>
    <m/>
    <m/>
    <s v="Henry Jr Ifurung"/>
  </r>
  <r>
    <n v="902"/>
    <s v="F2"/>
    <x v="36"/>
    <s v="H000000173"/>
    <m/>
    <s v="H000000003"/>
    <s v="Move"/>
    <x v="0"/>
    <x v="0"/>
    <s v="HC"/>
    <m/>
    <m/>
    <s v="Henry Jr Ifurung"/>
  </r>
  <r>
    <n v="903"/>
    <s v="F2"/>
    <x v="36"/>
    <s v="H000000177"/>
    <m/>
    <s v="H000000003"/>
    <s v="Move"/>
    <x v="0"/>
    <x v="0"/>
    <s v="HC"/>
    <m/>
    <m/>
    <s v="Henry Jr Ifurung"/>
  </r>
  <r>
    <n v="904"/>
    <s v="F2"/>
    <x v="36"/>
    <s v="H000000920"/>
    <m/>
    <s v="H000000003"/>
    <s v="Move"/>
    <x v="0"/>
    <x v="0"/>
    <s v="HC"/>
    <m/>
    <m/>
    <s v="Henry Jr Ifurung"/>
  </r>
  <r>
    <n v="905"/>
    <s v="F2"/>
    <x v="36"/>
    <s v="H000000935"/>
    <m/>
    <s v="O000000009"/>
    <s v="Remove"/>
    <x v="0"/>
    <x v="0"/>
    <s v="HC"/>
    <m/>
    <m/>
    <s v="Henry Jr Ifurung"/>
  </r>
  <r>
    <n v="906"/>
    <s v="F2"/>
    <x v="36"/>
    <s v="H000000172"/>
    <m/>
    <s v="O000000009"/>
    <s v="Remove"/>
    <x v="0"/>
    <x v="0"/>
    <s v="HC"/>
    <m/>
    <m/>
    <s v="Henry Jr Ifurung"/>
  </r>
  <r>
    <n v="907"/>
    <s v="F2"/>
    <x v="36"/>
    <s v="H000004395"/>
    <m/>
    <s v="O000000009"/>
    <s v="Remove"/>
    <x v="0"/>
    <x v="0"/>
    <s v="HC"/>
    <m/>
    <m/>
    <s v="Henry Jr Ifurung"/>
  </r>
  <r>
    <n v="908"/>
    <s v="F2"/>
    <x v="36"/>
    <s v="H000000178"/>
    <m/>
    <s v="O000000009"/>
    <s v="Remove"/>
    <x v="0"/>
    <x v="0"/>
    <s v="HC"/>
    <m/>
    <m/>
    <s v="Henry Jr Ifurung"/>
  </r>
  <r>
    <n v="909"/>
    <s v="F2"/>
    <x v="36"/>
    <s v="H000000448"/>
    <m/>
    <s v="O000000009"/>
    <s v="Remove"/>
    <x v="0"/>
    <x v="0"/>
    <s v="HC"/>
    <m/>
    <m/>
    <s v="Henry Jr Ifurung"/>
  </r>
  <r>
    <n v="910"/>
    <s v="F2"/>
    <x v="37"/>
    <s v="H000004930"/>
    <s v="HC Sector Strategy and Business Alliance"/>
    <m/>
    <s v="Rename"/>
    <x v="0"/>
    <x v="0"/>
    <s v="HC"/>
    <m/>
    <m/>
    <s v="Henry Jr Ifurung"/>
  </r>
  <r>
    <n v="911"/>
    <s v="F2"/>
    <x v="37"/>
    <s v="H000004412"/>
    <s v="DE - RD Field Force"/>
    <m/>
    <s v="Rename"/>
    <x v="0"/>
    <x v="0"/>
    <s v="HC"/>
    <m/>
    <m/>
    <s v="Henry Jr Ifurung"/>
  </r>
  <r>
    <n v="912"/>
    <s v="F2"/>
    <x v="37"/>
    <s v="H000004413"/>
    <s v="DE - RD Marketing"/>
    <m/>
    <s v="Rename"/>
    <x v="0"/>
    <x v="0"/>
    <s v="HC"/>
    <m/>
    <m/>
    <s v="Henry Jr Ifurung"/>
  </r>
  <r>
    <n v="913"/>
    <s v="F2"/>
    <x v="37"/>
    <s v="H000004414"/>
    <s v="DE - RD  Sales Promotion"/>
    <m/>
    <s v="Rename"/>
    <x v="0"/>
    <x v="0"/>
    <s v="HC"/>
    <m/>
    <m/>
    <s v="Henry Jr Ifurung"/>
  </r>
  <r>
    <n v="914"/>
    <s v="F2"/>
    <x v="37"/>
    <s v="H000004415"/>
    <s v="DE - Ogsiveo Sales Promotion"/>
    <m/>
    <s v="Rename"/>
    <x v="0"/>
    <x v="0"/>
    <s v="HC"/>
    <m/>
    <m/>
    <s v="Henry Jr Ifurung"/>
  </r>
  <r>
    <n v="915"/>
    <s v="F2"/>
    <x v="37"/>
    <s v="H000004416"/>
    <s v="DE - Ezmekly Sales Promotion"/>
    <m/>
    <s v="Rename"/>
    <x v="0"/>
    <x v="0"/>
    <s v="HC"/>
    <m/>
    <m/>
    <s v="Henry Jr Ifurung"/>
  </r>
  <r>
    <n v="916"/>
    <s v="F2"/>
    <x v="37"/>
    <s v="H000004433"/>
    <s v="GB - RD Field Force"/>
    <m/>
    <s v="Rename"/>
    <x v="0"/>
    <x v="0"/>
    <s v="HC"/>
    <m/>
    <m/>
    <s v="Henry Jr Ifurung"/>
  </r>
  <r>
    <n v="917"/>
    <s v="F2"/>
    <x v="37"/>
    <s v="H000004434"/>
    <s v="GB - RD Marketing"/>
    <m/>
    <s v="Rename"/>
    <x v="0"/>
    <x v="0"/>
    <s v="HC"/>
    <m/>
    <m/>
    <s v="Henry Jr Ifurung"/>
  </r>
  <r>
    <n v="918"/>
    <s v="F2"/>
    <x v="37"/>
    <s v="H000004435"/>
    <s v="GB - RD Sales Promotion"/>
    <m/>
    <s v="Rename"/>
    <x v="0"/>
    <x v="0"/>
    <s v="HC"/>
    <m/>
    <m/>
    <s v="Henry Jr Ifurung"/>
  </r>
  <r>
    <n v="919"/>
    <s v="F2"/>
    <x v="37"/>
    <s v="H000004436"/>
    <s v="GB - Ogsiveo Sales Promotion"/>
    <m/>
    <s v="Rename"/>
    <x v="0"/>
    <x v="0"/>
    <s v="HC"/>
    <m/>
    <m/>
    <s v="Henry Jr Ifurung"/>
  </r>
  <r>
    <n v="920"/>
    <s v="F2"/>
    <x v="37"/>
    <s v="H000004437"/>
    <s v="GB - Ezmekly Sales Promotion"/>
    <m/>
    <s v="Rename"/>
    <x v="0"/>
    <x v="0"/>
    <s v="HC"/>
    <m/>
    <m/>
    <s v="Henry Jr Ifurung"/>
  </r>
  <r>
    <n v="921"/>
    <s v="F2"/>
    <x v="37"/>
    <s v="H000004453"/>
    <s v="ES - Field Force RD"/>
    <m/>
    <s v="Rename"/>
    <x v="0"/>
    <x v="0"/>
    <s v="HC"/>
    <m/>
    <m/>
    <s v="Henry Jr Ifurung"/>
  </r>
  <r>
    <n v="922"/>
    <s v="F2"/>
    <x v="37"/>
    <s v="H000004454"/>
    <s v="ES - RD Marketing"/>
    <m/>
    <s v="Rename"/>
    <x v="0"/>
    <x v="0"/>
    <s v="HC"/>
    <m/>
    <m/>
    <s v="Henry Jr Ifurung"/>
  </r>
  <r>
    <n v="923"/>
    <s v="F2"/>
    <x v="37"/>
    <s v="H000004455"/>
    <s v="ES - RD Sales Promotion"/>
    <m/>
    <s v="Rename"/>
    <x v="0"/>
    <x v="0"/>
    <s v="HC"/>
    <m/>
    <m/>
    <s v="Henry Jr Ifurung"/>
  </r>
  <r>
    <n v="924"/>
    <s v="F2"/>
    <x v="37"/>
    <s v="H000004456"/>
    <s v="ES - Ogsiveo Sales Promotion"/>
    <m/>
    <s v="Rename"/>
    <x v="0"/>
    <x v="0"/>
    <s v="HC"/>
    <m/>
    <m/>
    <s v="Henry Jr Ifurung"/>
  </r>
  <r>
    <n v="925"/>
    <s v="F2"/>
    <x v="37"/>
    <s v="H000004457"/>
    <s v="ES - Ezmekly Sales Promotion"/>
    <m/>
    <s v="Rename"/>
    <x v="0"/>
    <x v="0"/>
    <s v="HC"/>
    <m/>
    <m/>
    <s v="Henry Jr Ifurung"/>
  </r>
  <r>
    <n v="926"/>
    <s v="F2"/>
    <x v="37"/>
    <s v="H000004473"/>
    <s v="IT - Field Force RD"/>
    <m/>
    <s v="Rename"/>
    <x v="0"/>
    <x v="0"/>
    <s v="HC"/>
    <m/>
    <m/>
    <s v="Henry Jr Ifurung"/>
  </r>
  <r>
    <n v="927"/>
    <s v="F2"/>
    <x v="37"/>
    <s v="H000004474"/>
    <s v="IT - Marketing RD"/>
    <m/>
    <s v="Rename"/>
    <x v="0"/>
    <x v="0"/>
    <s v="HC"/>
    <m/>
    <m/>
    <s v="Henry Jr Ifurung"/>
  </r>
  <r>
    <n v="928"/>
    <s v="F2"/>
    <x v="37"/>
    <s v="H000004475"/>
    <s v="IT - RD Sales Promotion"/>
    <m/>
    <s v="Rename"/>
    <x v="0"/>
    <x v="0"/>
    <s v="HC"/>
    <m/>
    <m/>
    <s v="Henry Jr Ifurung"/>
  </r>
  <r>
    <n v="929"/>
    <s v="F2"/>
    <x v="37"/>
    <s v="H000004476"/>
    <s v="IT - Ogsiveo Sales Promotion"/>
    <m/>
    <s v="Rename"/>
    <x v="0"/>
    <x v="0"/>
    <s v="HC"/>
    <m/>
    <m/>
    <s v="Henry Jr Ifurung"/>
  </r>
  <r>
    <n v="930"/>
    <s v="F2"/>
    <x v="37"/>
    <s v="H000004477"/>
    <s v="IT - Ezmekly Sales Promotion"/>
    <m/>
    <s v="Rename"/>
    <x v="0"/>
    <x v="0"/>
    <s v="HC"/>
    <m/>
    <m/>
    <s v="Henry Jr Ifurung"/>
  </r>
  <r>
    <n v="931"/>
    <s v="F2"/>
    <x v="37"/>
    <s v="H000004493"/>
    <s v="FR - Field Force RD"/>
    <m/>
    <s v="Rename"/>
    <x v="0"/>
    <x v="0"/>
    <s v="HC"/>
    <m/>
    <m/>
    <s v="Henry Jr Ifurung"/>
  </r>
  <r>
    <n v="932"/>
    <s v="F2"/>
    <x v="37"/>
    <s v="H000004494"/>
    <s v="FR - Marketing RD"/>
    <m/>
    <s v="Rename"/>
    <x v="0"/>
    <x v="0"/>
    <s v="HC"/>
    <m/>
    <m/>
    <s v="Henry Jr Ifurung"/>
  </r>
  <r>
    <n v="933"/>
    <s v="F2"/>
    <x v="37"/>
    <s v="H000004495"/>
    <s v="FR - RD Sales Promotion"/>
    <m/>
    <s v="Rename"/>
    <x v="0"/>
    <x v="0"/>
    <s v="HC"/>
    <m/>
    <m/>
    <s v="Henry Jr Ifurung"/>
  </r>
  <r>
    <n v="934"/>
    <s v="F2"/>
    <x v="37"/>
    <s v="H000004496"/>
    <s v="FR - Ogsiveo Sales Promotion"/>
    <m/>
    <s v="Rename"/>
    <x v="0"/>
    <x v="0"/>
    <s v="HC"/>
    <m/>
    <m/>
    <s v="Henry Jr Ifurung"/>
  </r>
  <r>
    <n v="935"/>
    <s v="F2"/>
    <x v="37"/>
    <s v="H000004497"/>
    <s v="FR - Ezmekly Sales Promotion"/>
    <m/>
    <s v="Rename"/>
    <x v="0"/>
    <x v="0"/>
    <s v="HC"/>
    <m/>
    <m/>
    <s v="Henry Jr Ifurung"/>
  </r>
  <r>
    <n v="936"/>
    <s v="F2"/>
    <x v="37"/>
    <s v="H000004513"/>
    <s v="AT - Field Force RD"/>
    <m/>
    <s v="Rename"/>
    <x v="0"/>
    <x v="0"/>
    <s v="HC"/>
    <m/>
    <m/>
    <s v="Henry Jr Ifurung"/>
  </r>
  <r>
    <n v="937"/>
    <s v="F2"/>
    <x v="37"/>
    <s v="H000004514"/>
    <s v="AT - Marketing RD"/>
    <m/>
    <s v="Rename"/>
    <x v="0"/>
    <x v="0"/>
    <s v="HC"/>
    <m/>
    <m/>
    <s v="Henry Jr Ifurung"/>
  </r>
  <r>
    <n v="938"/>
    <s v="F2"/>
    <x v="37"/>
    <s v="H000004515"/>
    <s v="AT - RD Sales Promotion"/>
    <m/>
    <s v="Rename"/>
    <x v="0"/>
    <x v="0"/>
    <s v="HC"/>
    <m/>
    <m/>
    <s v="Henry Jr Ifurung"/>
  </r>
  <r>
    <n v="939"/>
    <s v="F2"/>
    <x v="37"/>
    <s v="H000004516"/>
    <s v="AT - Ogsiveo Sales Promotion"/>
    <m/>
    <s v="Rename"/>
    <x v="0"/>
    <x v="0"/>
    <s v="HC"/>
    <m/>
    <m/>
    <s v="Henry Jr Ifurung"/>
  </r>
  <r>
    <n v="940"/>
    <s v="F2"/>
    <x v="37"/>
    <s v="H000004517"/>
    <s v="AT - Ogsiveo Sales Promotion"/>
    <m/>
    <s v="Rename"/>
    <x v="0"/>
    <x v="0"/>
    <s v="HC"/>
    <m/>
    <m/>
    <s v="Henry Jr Ifurung"/>
  </r>
  <r>
    <n v="941"/>
    <s v="F2"/>
    <x v="37"/>
    <s v="H000004533"/>
    <s v="CH - Field Force RD"/>
    <m/>
    <s v="Rename"/>
    <x v="0"/>
    <x v="0"/>
    <s v="HC"/>
    <m/>
    <m/>
    <s v="Henry Jr Ifurung"/>
  </r>
  <r>
    <n v="942"/>
    <s v="F2"/>
    <x v="37"/>
    <s v="H000004534"/>
    <s v="CH - Marketing RD"/>
    <m/>
    <s v="Rename"/>
    <x v="0"/>
    <x v="0"/>
    <s v="HC"/>
    <m/>
    <m/>
    <s v="Henry Jr Ifurung"/>
  </r>
  <r>
    <n v="943"/>
    <s v="F2"/>
    <x v="37"/>
    <s v="H000004535"/>
    <s v="CH - RD Sales Promotion"/>
    <m/>
    <s v="Rename"/>
    <x v="0"/>
    <x v="0"/>
    <s v="HC"/>
    <m/>
    <m/>
    <s v="Henry Jr Ifurung"/>
  </r>
  <r>
    <n v="944"/>
    <s v="F2"/>
    <x v="37"/>
    <s v="H000004536"/>
    <s v="CH - Ogsiveo Sales Promotion"/>
    <m/>
    <s v="Rename"/>
    <x v="0"/>
    <x v="0"/>
    <s v="HC"/>
    <m/>
    <m/>
    <s v="Henry Jr Ifurung"/>
  </r>
  <r>
    <n v="945"/>
    <s v="F2"/>
    <x v="37"/>
    <s v="H000004537"/>
    <s v="CH - Ogsiveo Sales Promotion"/>
    <m/>
    <s v="Rename"/>
    <x v="0"/>
    <x v="0"/>
    <s v="HC"/>
    <m/>
    <m/>
    <s v="Henry Jr Ifurung"/>
  </r>
  <r>
    <n v="946"/>
    <s v="F2"/>
    <x v="37"/>
    <s v="H000004553"/>
    <s v="PT - Field Force RD"/>
    <m/>
    <s v="Rename"/>
    <x v="0"/>
    <x v="0"/>
    <s v="HC"/>
    <m/>
    <m/>
    <s v="Henry Jr Ifurung"/>
  </r>
  <r>
    <n v="947"/>
    <s v="F2"/>
    <x v="37"/>
    <s v="H000004554"/>
    <s v="PT - Marketing RD"/>
    <m/>
    <s v="Rename"/>
    <x v="0"/>
    <x v="0"/>
    <s v="HC"/>
    <m/>
    <m/>
    <s v="Henry Jr Ifurung"/>
  </r>
  <r>
    <n v="948"/>
    <s v="F2"/>
    <x v="37"/>
    <s v="H000004555"/>
    <s v="PT - RD Sales Promotion"/>
    <m/>
    <s v="Rename"/>
    <x v="0"/>
    <x v="0"/>
    <s v="HC"/>
    <m/>
    <m/>
    <s v="Henry Jr Ifurung"/>
  </r>
  <r>
    <n v="949"/>
    <s v="F2"/>
    <x v="37"/>
    <s v="H000004556"/>
    <s v="PT - Ogsiveo Sales Promotion"/>
    <m/>
    <s v="Rename"/>
    <x v="0"/>
    <x v="0"/>
    <s v="HC"/>
    <m/>
    <m/>
    <s v="Henry Jr Ifurung"/>
  </r>
  <r>
    <n v="950"/>
    <s v="F2"/>
    <x v="37"/>
    <s v="H000004557"/>
    <s v="PT - Ezmekly Sales Promotion"/>
    <m/>
    <s v="Rename"/>
    <x v="0"/>
    <x v="0"/>
    <s v="HC"/>
    <m/>
    <m/>
    <s v="Henry Jr Ifurung"/>
  </r>
  <r>
    <n v="951"/>
    <s v="F2"/>
    <x v="37"/>
    <s v="H000004573"/>
    <s v="IL - Field Force RD"/>
    <m/>
    <s v="Rename"/>
    <x v="0"/>
    <x v="0"/>
    <s v="HC"/>
    <m/>
    <m/>
    <s v="Henry Jr Ifurung"/>
  </r>
  <r>
    <n v="952"/>
    <s v="F2"/>
    <x v="37"/>
    <s v="H000004574"/>
    <s v="IL - Marketing RD"/>
    <m/>
    <s v="Rename"/>
    <x v="0"/>
    <x v="0"/>
    <s v="HC"/>
    <m/>
    <m/>
    <s v="Henry Jr Ifurung"/>
  </r>
  <r>
    <n v="953"/>
    <s v="F2"/>
    <x v="37"/>
    <s v="H000004575"/>
    <s v="IL - RD Sales Promotion"/>
    <m/>
    <s v="Rename"/>
    <x v="0"/>
    <x v="0"/>
    <s v="HC"/>
    <m/>
    <m/>
    <s v="Henry Jr Ifurung"/>
  </r>
  <r>
    <n v="954"/>
    <s v="F2"/>
    <x v="37"/>
    <s v="H000004576"/>
    <s v="IL - Ogsiveo Sales Promotion"/>
    <m/>
    <s v="Rename"/>
    <x v="0"/>
    <x v="0"/>
    <s v="HC"/>
    <m/>
    <m/>
    <s v="Henry Jr Ifurung"/>
  </r>
  <r>
    <n v="955"/>
    <s v="F2"/>
    <x v="37"/>
    <s v="H000004577"/>
    <s v="IL - Ezmekly Sales Promotion"/>
    <m/>
    <s v="Rename"/>
    <x v="0"/>
    <x v="0"/>
    <s v="HC"/>
    <m/>
    <m/>
    <s v="Henry Jr Ifurung"/>
  </r>
  <r>
    <n v="956"/>
    <s v="F2"/>
    <x v="37"/>
    <s v="H000004593"/>
    <s v="PL - Field Force RD"/>
    <m/>
    <s v="Rename"/>
    <x v="0"/>
    <x v="0"/>
    <s v="HC"/>
    <m/>
    <m/>
    <s v="Henry Jr Ifurung"/>
  </r>
  <r>
    <n v="957"/>
    <s v="F2"/>
    <x v="37"/>
    <s v="H000004594"/>
    <s v="PL - Marketing RD"/>
    <m/>
    <s v="Rename"/>
    <x v="0"/>
    <x v="0"/>
    <s v="HC"/>
    <m/>
    <m/>
    <s v="Henry Jr Ifurung"/>
  </r>
  <r>
    <n v="958"/>
    <s v="F2"/>
    <x v="37"/>
    <s v="H000004595"/>
    <s v="PL - Ogsiveo Sales Promotion"/>
    <m/>
    <s v="Rename"/>
    <x v="0"/>
    <x v="0"/>
    <s v="HC"/>
    <m/>
    <m/>
    <s v="Henry Jr Ifurung"/>
  </r>
  <r>
    <n v="959"/>
    <s v="F2"/>
    <x v="37"/>
    <s v="H000004596"/>
    <s v="PL - Ogsiveo Sales Promotion"/>
    <m/>
    <s v="Rename"/>
    <x v="0"/>
    <x v="0"/>
    <s v="HC"/>
    <m/>
    <m/>
    <s v="Henry Jr Ifurung"/>
  </r>
  <r>
    <n v="960"/>
    <s v="F2"/>
    <x v="37"/>
    <s v="H000004597"/>
    <s v="PL - Ezmekly Sales Promotion"/>
    <m/>
    <s v="Rename"/>
    <x v="0"/>
    <x v="0"/>
    <s v="HC"/>
    <m/>
    <m/>
    <s v="Henry Jr Ifurung"/>
  </r>
  <r>
    <n v="961"/>
    <s v="F2"/>
    <x v="37"/>
    <s v="H000004613"/>
    <s v="BE - Field Force RD"/>
    <m/>
    <s v="Rename"/>
    <x v="0"/>
    <x v="0"/>
    <s v="HC"/>
    <m/>
    <m/>
    <s v="Henry Jr Ifurung"/>
  </r>
  <r>
    <n v="962"/>
    <s v="F2"/>
    <x v="37"/>
    <s v="H000004614"/>
    <s v="BE - Marketing RD"/>
    <m/>
    <s v="Rename"/>
    <x v="0"/>
    <x v="0"/>
    <s v="HC"/>
    <m/>
    <m/>
    <s v="Henry Jr Ifurung"/>
  </r>
  <r>
    <n v="963"/>
    <s v="F2"/>
    <x v="37"/>
    <s v="H000004615"/>
    <s v="BE - Ogsiveo Sales Promotion"/>
    <m/>
    <s v="Rename"/>
    <x v="0"/>
    <x v="0"/>
    <s v="HC"/>
    <m/>
    <m/>
    <s v="Henry Jr Ifurung"/>
  </r>
  <r>
    <n v="964"/>
    <s v="F2"/>
    <x v="37"/>
    <s v="H000004616"/>
    <s v="BE - Ogsiveo Sales Promotion"/>
    <m/>
    <s v="Rename"/>
    <x v="0"/>
    <x v="0"/>
    <s v="HC"/>
    <m/>
    <m/>
    <s v="Henry Jr Ifurung"/>
  </r>
  <r>
    <n v="965"/>
    <s v="F2"/>
    <x v="37"/>
    <s v="H000004617"/>
    <s v="BE - Ezmekly Sales Promotion"/>
    <m/>
    <s v="Rename"/>
    <x v="0"/>
    <x v="0"/>
    <s v="HC"/>
    <m/>
    <m/>
    <s v="Henry Jr Ifurung"/>
  </r>
  <r>
    <n v="966"/>
    <s v="F2"/>
    <x v="37"/>
    <s v="H000004633"/>
    <s v="NL - Field Force RD"/>
    <m/>
    <s v="Rename"/>
    <x v="0"/>
    <x v="0"/>
    <s v="HC"/>
    <m/>
    <m/>
    <s v="Henry Jr Ifurung"/>
  </r>
  <r>
    <n v="967"/>
    <s v="F2"/>
    <x v="37"/>
    <s v="H000004634"/>
    <s v="NL - Marketing RD"/>
    <m/>
    <s v="Rename"/>
    <x v="0"/>
    <x v="0"/>
    <s v="HC"/>
    <m/>
    <m/>
    <s v="Henry Jr Ifurung"/>
  </r>
  <r>
    <n v="968"/>
    <s v="F2"/>
    <x v="37"/>
    <s v="H000004635"/>
    <s v="NL - Ogsiveo Sales Promotion"/>
    <m/>
    <s v="Rename"/>
    <x v="0"/>
    <x v="0"/>
    <s v="HC"/>
    <m/>
    <m/>
    <s v="Henry Jr Ifurung"/>
  </r>
  <r>
    <n v="969"/>
    <s v="F2"/>
    <x v="37"/>
    <s v="H000004636"/>
    <s v="NL - Ogsiveo Sales Promotion"/>
    <m/>
    <s v="Rename"/>
    <x v="0"/>
    <x v="0"/>
    <s v="HC"/>
    <m/>
    <m/>
    <s v="Henry Jr Ifurung"/>
  </r>
  <r>
    <n v="970"/>
    <s v="F2"/>
    <x v="37"/>
    <s v="H000004637"/>
    <s v="NL - Ezmekly Sales Promotion"/>
    <m/>
    <s v="Rename"/>
    <x v="0"/>
    <x v="0"/>
    <s v="HC"/>
    <m/>
    <m/>
    <s v="Henry Jr Ifurung"/>
  </r>
  <r>
    <n v="971"/>
    <s v="F2"/>
    <x v="37"/>
    <s v="H000004653"/>
    <s v="RO - Field Force RD"/>
    <m/>
    <s v="Rename"/>
    <x v="0"/>
    <x v="0"/>
    <s v="HC"/>
    <m/>
    <m/>
    <s v="Henry Jr Ifurung"/>
  </r>
  <r>
    <n v="972"/>
    <s v="F2"/>
    <x v="37"/>
    <s v="H000004654"/>
    <s v="RO - Marketing RD"/>
    <m/>
    <s v="Rename"/>
    <x v="0"/>
    <x v="0"/>
    <s v="HC"/>
    <m/>
    <m/>
    <s v="Henry Jr Ifurung"/>
  </r>
  <r>
    <n v="973"/>
    <s v="F2"/>
    <x v="37"/>
    <s v="H000004655"/>
    <s v="RO - Ogsiveo Sales Promotion"/>
    <m/>
    <s v="Rename"/>
    <x v="0"/>
    <x v="0"/>
    <s v="HC"/>
    <m/>
    <m/>
    <s v="Henry Jr Ifurung"/>
  </r>
  <r>
    <n v="974"/>
    <s v="F2"/>
    <x v="37"/>
    <s v="H000004656"/>
    <s v="RO - Ogsiveo Sales Promotion"/>
    <m/>
    <s v="Rename"/>
    <x v="0"/>
    <x v="0"/>
    <s v="HC"/>
    <m/>
    <m/>
    <s v="Henry Jr Ifurung"/>
  </r>
  <r>
    <n v="975"/>
    <s v="F2"/>
    <x v="37"/>
    <s v="H000004657"/>
    <s v="RO - Ezmekly Sales Promotion"/>
    <m/>
    <s v="Rename"/>
    <x v="0"/>
    <x v="0"/>
    <s v="HC"/>
    <m/>
    <m/>
    <s v="Henry Jr Ifurung"/>
  </r>
  <r>
    <n v="976"/>
    <s v="F2"/>
    <x v="37"/>
    <s v="H000004673"/>
    <s v="DK - Field Force RD"/>
    <m/>
    <s v="Rename"/>
    <x v="0"/>
    <x v="0"/>
    <s v="HC"/>
    <m/>
    <m/>
    <s v="Henry Jr Ifurung"/>
  </r>
  <r>
    <n v="977"/>
    <s v="F2"/>
    <x v="37"/>
    <s v="H000004674"/>
    <s v="DK - Marketing RD"/>
    <m/>
    <s v="Rename"/>
    <x v="0"/>
    <x v="0"/>
    <s v="HC"/>
    <m/>
    <m/>
    <s v="Henry Jr Ifurung"/>
  </r>
  <r>
    <n v="978"/>
    <s v="F2"/>
    <x v="37"/>
    <s v="H000004675"/>
    <s v="DK - Ogsiveo Sales Promotion"/>
    <m/>
    <s v="Rename"/>
    <x v="0"/>
    <x v="0"/>
    <s v="HC"/>
    <m/>
    <m/>
    <s v="Henry Jr Ifurung"/>
  </r>
  <r>
    <n v="979"/>
    <s v="F2"/>
    <x v="37"/>
    <s v="H000004676"/>
    <s v="DK - Ogsiveo Sales Promotion"/>
    <m/>
    <s v="Rename"/>
    <x v="0"/>
    <x v="0"/>
    <s v="HC"/>
    <m/>
    <m/>
    <s v="Henry Jr Ifurung"/>
  </r>
  <r>
    <n v="980"/>
    <s v="F2"/>
    <x v="37"/>
    <s v="H000004677"/>
    <s v="DK - Ezmekly Sales Promotion"/>
    <m/>
    <s v="Rename"/>
    <x v="0"/>
    <x v="0"/>
    <s v="HC"/>
    <m/>
    <m/>
    <s v="Henry Jr Ifurung"/>
  </r>
  <r>
    <n v="981"/>
    <s v="F2"/>
    <x v="37"/>
    <s v="H000004693"/>
    <s v="SE - Field Force RD"/>
    <m/>
    <s v="Rename"/>
    <x v="0"/>
    <x v="0"/>
    <s v="HC"/>
    <m/>
    <m/>
    <s v="Henry Jr Ifurung"/>
  </r>
  <r>
    <n v="982"/>
    <s v="F2"/>
    <x v="37"/>
    <s v="H000004694"/>
    <s v="SE - Marketing RD"/>
    <m/>
    <s v="Rename"/>
    <x v="0"/>
    <x v="0"/>
    <s v="HC"/>
    <m/>
    <m/>
    <s v="Henry Jr Ifurung"/>
  </r>
  <r>
    <n v="983"/>
    <s v="F2"/>
    <x v="37"/>
    <s v="H000004695"/>
    <s v="SE - Ogsiveo Sales Promotion"/>
    <m/>
    <s v="Rename"/>
    <x v="0"/>
    <x v="0"/>
    <s v="HC"/>
    <m/>
    <m/>
    <s v="Henry Jr Ifurung"/>
  </r>
  <r>
    <n v="984"/>
    <s v="F2"/>
    <x v="37"/>
    <s v="H000004696"/>
    <s v="SE - Ogsiveo Sales Promotion"/>
    <m/>
    <s v="Rename"/>
    <x v="0"/>
    <x v="0"/>
    <s v="HC"/>
    <m/>
    <m/>
    <s v="Henry Jr Ifurung"/>
  </r>
  <r>
    <n v="985"/>
    <s v="F2"/>
    <x v="37"/>
    <s v="H000004697"/>
    <s v="SE - Ezmekly Sales Promotion"/>
    <m/>
    <s v="Rename"/>
    <x v="0"/>
    <x v="0"/>
    <s v="HC"/>
    <m/>
    <m/>
    <s v="Henry Jr Ifurung"/>
  </r>
  <r>
    <n v="986"/>
    <s v="F2"/>
    <x v="37"/>
    <s v="H000004713"/>
    <s v="FI - Field Force RD"/>
    <m/>
    <s v="Rename"/>
    <x v="0"/>
    <x v="0"/>
    <s v="HC"/>
    <m/>
    <m/>
    <s v="Henry Jr Ifurung"/>
  </r>
  <r>
    <n v="987"/>
    <s v="F2"/>
    <x v="37"/>
    <s v="H000004714"/>
    <s v="FI - Marketing RD"/>
    <m/>
    <s v="Rename"/>
    <x v="0"/>
    <x v="0"/>
    <s v="HC"/>
    <m/>
    <m/>
    <s v="Henry Jr Ifurung"/>
  </r>
  <r>
    <n v="988"/>
    <s v="F2"/>
    <x v="37"/>
    <s v="H000004715"/>
    <s v="FI - Ogsiveo Sales Promotion"/>
    <m/>
    <s v="Rename"/>
    <x v="0"/>
    <x v="0"/>
    <s v="HC"/>
    <m/>
    <m/>
    <s v="Henry Jr Ifurung"/>
  </r>
  <r>
    <n v="989"/>
    <s v="F2"/>
    <x v="37"/>
    <s v="H000004716"/>
    <s v="FI - Ogsiveo Sales Promotion"/>
    <m/>
    <s v="Rename"/>
    <x v="0"/>
    <x v="0"/>
    <s v="HC"/>
    <m/>
    <m/>
    <s v="Henry Jr Ifurung"/>
  </r>
  <r>
    <n v="990"/>
    <s v="F2"/>
    <x v="37"/>
    <s v="H000004717"/>
    <s v="FI - Ezmekly Sales Promotion"/>
    <m/>
    <s v="Rename"/>
    <x v="0"/>
    <x v="0"/>
    <s v="HC"/>
    <m/>
    <m/>
    <s v="Henry Jr Ifurung"/>
  </r>
  <r>
    <n v="991"/>
    <s v="F2"/>
    <x v="37"/>
    <s v="H000004733"/>
    <s v="NO - Field Force RD"/>
    <m/>
    <s v="Rename"/>
    <x v="0"/>
    <x v="0"/>
    <s v="HC"/>
    <m/>
    <m/>
    <s v="Henry Jr Ifurung"/>
  </r>
  <r>
    <n v="992"/>
    <s v="F2"/>
    <x v="37"/>
    <s v="H000004734"/>
    <s v="NO - Marketing RD"/>
    <m/>
    <s v="Rename"/>
    <x v="0"/>
    <x v="0"/>
    <s v="HC"/>
    <m/>
    <m/>
    <s v="Henry Jr Ifurung"/>
  </r>
  <r>
    <n v="993"/>
    <s v="F2"/>
    <x v="37"/>
    <s v="H000004735"/>
    <s v="NO - Ogsiveo Sales Promotion"/>
    <m/>
    <s v="Rename"/>
    <x v="0"/>
    <x v="0"/>
    <s v="HC"/>
    <m/>
    <m/>
    <s v="Henry Jr Ifurung"/>
  </r>
  <r>
    <n v="994"/>
    <s v="F2"/>
    <x v="37"/>
    <s v="H000004736"/>
    <s v="NO - Ogsiveo Sales Promotion"/>
    <m/>
    <s v="Rename"/>
    <x v="0"/>
    <x v="0"/>
    <s v="HC"/>
    <m/>
    <m/>
    <s v="Henry Jr Ifurung"/>
  </r>
  <r>
    <n v="995"/>
    <s v="F2"/>
    <x v="37"/>
    <s v="H000004737"/>
    <s v="NO - Ezmekly Sales Promotion"/>
    <m/>
    <s v="Rename"/>
    <x v="0"/>
    <x v="0"/>
    <s v="HC"/>
    <m/>
    <m/>
    <s v="Henry Jr Ifurung"/>
  </r>
  <r>
    <n v="996"/>
    <s v="F2"/>
    <x v="37"/>
    <s v="H000004753"/>
    <s v="CZ - Field Force RD"/>
    <m/>
    <s v="Rename"/>
    <x v="0"/>
    <x v="0"/>
    <s v="HC"/>
    <m/>
    <m/>
    <s v="Henry Jr Ifurung"/>
  </r>
  <r>
    <n v="997"/>
    <s v="F2"/>
    <x v="37"/>
    <s v="H000004754"/>
    <s v="CZ - Marketing RD"/>
    <m/>
    <s v="Rename"/>
    <x v="0"/>
    <x v="0"/>
    <s v="HC"/>
    <m/>
    <m/>
    <s v="Henry Jr Ifurung"/>
  </r>
  <r>
    <n v="998"/>
    <s v="F2"/>
    <x v="37"/>
    <s v="H000004755"/>
    <s v="CZ - Ogsiveo Sales Promotion"/>
    <m/>
    <s v="Rename"/>
    <x v="0"/>
    <x v="0"/>
    <s v="HC"/>
    <m/>
    <m/>
    <s v="Henry Jr Ifurung"/>
  </r>
  <r>
    <n v="999"/>
    <s v="F2"/>
    <x v="37"/>
    <s v="H000004756"/>
    <s v="CZ - Ogsiveo Sales Promotion"/>
    <m/>
    <s v="Rename"/>
    <x v="0"/>
    <x v="0"/>
    <s v="HC"/>
    <m/>
    <m/>
    <s v="Henry Jr Ifurung"/>
  </r>
  <r>
    <n v="1000"/>
    <s v="F2"/>
    <x v="37"/>
    <s v="H000004757"/>
    <s v="CZ - Ezmekly Sales Promotion"/>
    <m/>
    <s v="Rename"/>
    <x v="0"/>
    <x v="0"/>
    <s v="HC"/>
    <m/>
    <m/>
    <s v="Henry Jr Ifurung"/>
  </r>
  <r>
    <n v="1001"/>
    <s v="F2"/>
    <x v="37"/>
    <s v="H000004773"/>
    <s v="HU - Field Force RD"/>
    <m/>
    <s v="Rename"/>
    <x v="0"/>
    <x v="0"/>
    <s v="HC"/>
    <m/>
    <m/>
    <s v="Henry Jr Ifurung"/>
  </r>
  <r>
    <n v="1002"/>
    <s v="F2"/>
    <x v="37"/>
    <s v="H000004774"/>
    <s v="HU - Marketing RD"/>
    <m/>
    <s v="Rename"/>
    <x v="0"/>
    <x v="0"/>
    <s v="HC"/>
    <m/>
    <m/>
    <s v="Henry Jr Ifurung"/>
  </r>
  <r>
    <n v="1003"/>
    <s v="F2"/>
    <x v="37"/>
    <s v="H000004775"/>
    <s v="HU - Ogsiveo Sales Promotion"/>
    <m/>
    <s v="Rename"/>
    <x v="0"/>
    <x v="0"/>
    <s v="HC"/>
    <m/>
    <m/>
    <s v="Henry Jr Ifurung"/>
  </r>
  <r>
    <n v="1004"/>
    <s v="F2"/>
    <x v="37"/>
    <s v="H000004776"/>
    <s v="HU - Ogsiveo Sales Promotion"/>
    <m/>
    <s v="Rename"/>
    <x v="0"/>
    <x v="0"/>
    <s v="HC"/>
    <m/>
    <m/>
    <s v="Henry Jr Ifurung"/>
  </r>
  <r>
    <n v="1005"/>
    <s v="F2"/>
    <x v="37"/>
    <s v="H000004777"/>
    <s v="HU - Ezmekly Sales Promotion"/>
    <m/>
    <s v="Rename"/>
    <x v="0"/>
    <x v="0"/>
    <s v="HC"/>
    <m/>
    <m/>
    <s v="Henry Jr Ifurung"/>
  </r>
  <r>
    <n v="1006"/>
    <s v="F2"/>
    <x v="37"/>
    <s v="H000004793"/>
    <s v="GR - Field Force RD"/>
    <m/>
    <s v="Rename"/>
    <x v="0"/>
    <x v="0"/>
    <s v="HC"/>
    <m/>
    <m/>
    <s v="Henry Jr Ifurung"/>
  </r>
  <r>
    <n v="1007"/>
    <s v="F2"/>
    <x v="37"/>
    <s v="H000004794"/>
    <s v="GR - Marketing RD"/>
    <m/>
    <s v="Rename"/>
    <x v="0"/>
    <x v="0"/>
    <s v="HC"/>
    <m/>
    <m/>
    <s v="Henry Jr Ifurung"/>
  </r>
  <r>
    <n v="1008"/>
    <s v="F2"/>
    <x v="37"/>
    <s v="H000004795"/>
    <s v="GR - Ogsiveo Sales Promotion"/>
    <m/>
    <s v="Rename"/>
    <x v="0"/>
    <x v="0"/>
    <s v="HC"/>
    <m/>
    <m/>
    <s v="Henry Jr Ifurung"/>
  </r>
  <r>
    <n v="1009"/>
    <s v="F2"/>
    <x v="37"/>
    <s v="H000004796"/>
    <s v="GR - Ogsiveo Sales Promotion"/>
    <m/>
    <s v="Rename"/>
    <x v="0"/>
    <x v="0"/>
    <s v="HC"/>
    <m/>
    <m/>
    <s v="Henry Jr Ifurung"/>
  </r>
  <r>
    <n v="1010"/>
    <s v="F2"/>
    <x v="37"/>
    <s v="H000004797"/>
    <s v="GR - Ezmekly Sales Promotion"/>
    <m/>
    <s v="Rename"/>
    <x v="0"/>
    <x v="0"/>
    <s v="HC"/>
    <m/>
    <m/>
    <s v="Henry Jr Ifurung"/>
  </r>
  <r>
    <n v="1011"/>
    <s v="F2"/>
    <x v="37"/>
    <s v="H000004813"/>
    <s v="SI - Field Force RD"/>
    <m/>
    <s v="Rename"/>
    <x v="0"/>
    <x v="0"/>
    <s v="HC"/>
    <m/>
    <m/>
    <s v="Henry Jr Ifurung"/>
  </r>
  <r>
    <n v="1012"/>
    <s v="F2"/>
    <x v="37"/>
    <s v="H000004814"/>
    <s v="SI - Marketing RD"/>
    <m/>
    <s v="Rename"/>
    <x v="0"/>
    <x v="0"/>
    <s v="HC"/>
    <m/>
    <m/>
    <s v="Henry Jr Ifurung"/>
  </r>
  <r>
    <n v="1013"/>
    <s v="F2"/>
    <x v="37"/>
    <s v="H000004815"/>
    <s v="SI - Ogsiveo Sales Promotion"/>
    <m/>
    <s v="Rename"/>
    <x v="0"/>
    <x v="0"/>
    <s v="HC"/>
    <m/>
    <m/>
    <s v="Henry Jr Ifurung"/>
  </r>
  <r>
    <n v="1014"/>
    <s v="F2"/>
    <x v="37"/>
    <s v="H000004816"/>
    <s v="SI - Ogsiveo Sales Promotion"/>
    <m/>
    <s v="Rename"/>
    <x v="0"/>
    <x v="0"/>
    <s v="HC"/>
    <m/>
    <m/>
    <s v="Henry Jr Ifurung"/>
  </r>
  <r>
    <n v="1015"/>
    <s v="F2"/>
    <x v="37"/>
    <s v="H000004817"/>
    <s v="SI - Ezmekly Sales Promotion"/>
    <m/>
    <s v="Rename"/>
    <x v="0"/>
    <x v="0"/>
    <s v="HC"/>
    <m/>
    <m/>
    <s v="Henry Jr Ifurung"/>
  </r>
  <r>
    <n v="1016"/>
    <s v="F2"/>
    <x v="37"/>
    <s v="H000004833"/>
    <s v="BG - Field Force RD"/>
    <m/>
    <s v="Rename"/>
    <x v="0"/>
    <x v="0"/>
    <s v="HC"/>
    <m/>
    <m/>
    <s v="Henry Jr Ifurung"/>
  </r>
  <r>
    <n v="1017"/>
    <s v="F2"/>
    <x v="37"/>
    <s v="H000004834"/>
    <s v="BG - Marketing RD"/>
    <m/>
    <s v="Rename"/>
    <x v="0"/>
    <x v="0"/>
    <s v="HC"/>
    <m/>
    <m/>
    <s v="Henry Jr Ifurung"/>
  </r>
  <r>
    <n v="1018"/>
    <s v="F2"/>
    <x v="37"/>
    <s v="H000004835"/>
    <s v="BG - Ogsiveo Sales Promotion"/>
    <m/>
    <s v="Rename"/>
    <x v="0"/>
    <x v="0"/>
    <s v="HC"/>
    <m/>
    <m/>
    <s v="Henry Jr Ifurung"/>
  </r>
  <r>
    <n v="1019"/>
    <s v="F2"/>
    <x v="37"/>
    <s v="H000004836"/>
    <s v="BG - Ogsiveo Sales Promotion"/>
    <m/>
    <s v="Rename"/>
    <x v="0"/>
    <x v="0"/>
    <s v="HC"/>
    <m/>
    <m/>
    <s v="Henry Jr Ifurung"/>
  </r>
  <r>
    <n v="1020"/>
    <s v="F2"/>
    <x v="37"/>
    <s v="H000004837"/>
    <s v="BG - Ezmekly Sales Promotion"/>
    <m/>
    <s v="Rename"/>
    <x v="0"/>
    <x v="0"/>
    <s v="HC"/>
    <m/>
    <m/>
    <s v="Henry Jr Ifurung"/>
  </r>
  <r>
    <n v="1021"/>
    <s v="F2"/>
    <x v="37"/>
    <s v="H000004424"/>
    <s v="DE - RD Medical cost center"/>
    <m/>
    <s v="Rename"/>
    <x v="0"/>
    <x v="0"/>
    <s v="HC"/>
    <m/>
    <m/>
    <s v="Henry Jr Ifurung"/>
  </r>
  <r>
    <n v="1022"/>
    <s v="F2"/>
    <x v="37"/>
    <s v="H000004425"/>
    <s v="DE - Medical Non-R&amp;D Activities"/>
    <m/>
    <s v="Rename"/>
    <x v="0"/>
    <x v="0"/>
    <s v="HC"/>
    <m/>
    <m/>
    <s v="Henry Jr Ifurung"/>
  </r>
  <r>
    <n v="1023"/>
    <s v="F2"/>
    <x v="37"/>
    <s v="H000004426"/>
    <s v="DE - Ogsiveo Medical Activities"/>
    <m/>
    <s v="Rename"/>
    <x v="0"/>
    <x v="0"/>
    <s v="HC"/>
    <m/>
    <m/>
    <s v="Henry Jr Ifurung"/>
  </r>
  <r>
    <n v="1024"/>
    <s v="F2"/>
    <x v="37"/>
    <s v="H000004427"/>
    <s v="DE - Ezmekly Medical Activities"/>
    <m/>
    <s v="Rename"/>
    <x v="0"/>
    <x v="0"/>
    <s v="HC"/>
    <m/>
    <m/>
    <s v="Henry Jr Ifurung"/>
  </r>
  <r>
    <n v="1025"/>
    <s v="F2"/>
    <x v="37"/>
    <s v="H000004428"/>
    <s v="DE - Local R&amp;D - Studies"/>
    <m/>
    <s v="Rename"/>
    <x v="0"/>
    <x v="0"/>
    <s v="HC"/>
    <m/>
    <m/>
    <s v="Henry Jr Ifurung"/>
  </r>
  <r>
    <n v="1026"/>
    <s v="F2"/>
    <x v="37"/>
    <s v="H000004429"/>
    <s v="DE - Ogsiveo Local R&amp;D Studies"/>
    <m/>
    <s v="Rename"/>
    <x v="0"/>
    <x v="0"/>
    <s v="HC"/>
    <m/>
    <m/>
    <s v="Henry Jr Ifurung"/>
  </r>
  <r>
    <n v="1027"/>
    <s v="F2"/>
    <x v="37"/>
    <s v="H000004430"/>
    <s v="DE - Ezmekly Local R&amp;D Studies"/>
    <m/>
    <s v="Rename"/>
    <x v="0"/>
    <x v="0"/>
    <s v="HC"/>
    <m/>
    <m/>
    <s v="Henry Jr Ifurung"/>
  </r>
  <r>
    <n v="1028"/>
    <s v="F2"/>
    <x v="37"/>
    <s v="H000004445"/>
    <s v="GB - RD Medical cost center"/>
    <m/>
    <s v="Rename"/>
    <x v="0"/>
    <x v="0"/>
    <s v="HC"/>
    <m/>
    <m/>
    <s v="Henry Jr Ifurung"/>
  </r>
  <r>
    <n v="1029"/>
    <s v="F2"/>
    <x v="37"/>
    <s v="H000004446"/>
    <s v="GB - Medical Non-R&amp;D Activities"/>
    <m/>
    <s v="Rename"/>
    <x v="0"/>
    <x v="0"/>
    <s v="HC"/>
    <m/>
    <m/>
    <s v="Henry Jr Ifurung"/>
  </r>
  <r>
    <n v="1030"/>
    <s v="F2"/>
    <x v="37"/>
    <s v="H000004447"/>
    <s v="GB - Ogsiveo Medical Activities"/>
    <m/>
    <s v="Rename"/>
    <x v="0"/>
    <x v="0"/>
    <s v="HC"/>
    <m/>
    <m/>
    <s v="Henry Jr Ifurung"/>
  </r>
  <r>
    <n v="1031"/>
    <s v="F2"/>
    <x v="37"/>
    <s v="H000004448"/>
    <s v="GB - Ezmekly Medical Activities"/>
    <m/>
    <s v="Rename"/>
    <x v="0"/>
    <x v="0"/>
    <s v="HC"/>
    <m/>
    <m/>
    <s v="Henry Jr Ifurung"/>
  </r>
  <r>
    <n v="1032"/>
    <s v="F2"/>
    <x v="37"/>
    <s v="H000004449"/>
    <s v="GB - Local R&amp;D - Studies"/>
    <m/>
    <s v="Rename"/>
    <x v="0"/>
    <x v="0"/>
    <s v="HC"/>
    <m/>
    <m/>
    <s v="Henry Jr Ifurung"/>
  </r>
  <r>
    <n v="1033"/>
    <s v="F2"/>
    <x v="37"/>
    <s v="H000004450"/>
    <s v="GB - Ogsiveo Local R&amp;D Studies"/>
    <m/>
    <s v="Rename"/>
    <x v="0"/>
    <x v="0"/>
    <s v="HC"/>
    <m/>
    <m/>
    <s v="Henry Jr Ifurung"/>
  </r>
  <r>
    <n v="1034"/>
    <s v="F2"/>
    <x v="37"/>
    <s v="H000004451"/>
    <s v="GB - Ezmekly Local R&amp;D Studies"/>
    <m/>
    <s v="Rename"/>
    <x v="0"/>
    <x v="0"/>
    <s v="HC"/>
    <m/>
    <m/>
    <s v="Henry Jr Ifurung"/>
  </r>
  <r>
    <n v="1035"/>
    <s v="F2"/>
    <x v="37"/>
    <s v="H000004465"/>
    <s v="ES - RD Medical cost center"/>
    <m/>
    <s v="Rename"/>
    <x v="0"/>
    <x v="0"/>
    <s v="HC"/>
    <m/>
    <m/>
    <s v="Henry Jr Ifurung"/>
  </r>
  <r>
    <n v="1036"/>
    <s v="F2"/>
    <x v="37"/>
    <s v="H000004466"/>
    <s v="ES - Medical Non-R&amp;D Activities"/>
    <m/>
    <s v="Rename"/>
    <x v="0"/>
    <x v="0"/>
    <s v="HC"/>
    <m/>
    <m/>
    <s v="Henry Jr Ifurung"/>
  </r>
  <r>
    <n v="1037"/>
    <s v="F2"/>
    <x v="37"/>
    <s v="H000004467"/>
    <s v="ES - Ogsiveo Medical Activities"/>
    <m/>
    <s v="Rename"/>
    <x v="0"/>
    <x v="0"/>
    <s v="HC"/>
    <m/>
    <m/>
    <s v="Henry Jr Ifurung"/>
  </r>
  <r>
    <n v="1038"/>
    <s v="F2"/>
    <x v="37"/>
    <s v="H000004468"/>
    <s v="ES - Ezmekly Medical Activities"/>
    <m/>
    <s v="Rename"/>
    <x v="0"/>
    <x v="0"/>
    <s v="HC"/>
    <m/>
    <m/>
    <s v="Henry Jr Ifurung"/>
  </r>
  <r>
    <n v="1039"/>
    <s v="F2"/>
    <x v="37"/>
    <s v="H000004469"/>
    <s v="ES - Local R&amp;D - Studies"/>
    <m/>
    <s v="Rename"/>
    <x v="0"/>
    <x v="0"/>
    <s v="HC"/>
    <m/>
    <m/>
    <s v="Henry Jr Ifurung"/>
  </r>
  <r>
    <n v="1040"/>
    <s v="F2"/>
    <x v="37"/>
    <s v="H000004470"/>
    <s v="ES - Ogsiveo Local R&amp;D Studies"/>
    <m/>
    <s v="Rename"/>
    <x v="0"/>
    <x v="0"/>
    <s v="HC"/>
    <m/>
    <m/>
    <s v="Henry Jr Ifurung"/>
  </r>
  <r>
    <n v="1041"/>
    <s v="F2"/>
    <x v="37"/>
    <s v="H000004471"/>
    <s v="ES - Ezmekly Local R&amp;D Studies"/>
    <m/>
    <s v="Rename"/>
    <x v="0"/>
    <x v="0"/>
    <s v="HC"/>
    <m/>
    <m/>
    <s v="Henry Jr Ifurung"/>
  </r>
  <r>
    <n v="1042"/>
    <s v="F2"/>
    <x v="37"/>
    <s v="H000004485"/>
    <s v="IT - Medical cost center"/>
    <m/>
    <s v="Rename"/>
    <x v="0"/>
    <x v="0"/>
    <s v="HC"/>
    <m/>
    <m/>
    <s v="Henry Jr Ifurung"/>
  </r>
  <r>
    <n v="1043"/>
    <s v="F2"/>
    <x v="37"/>
    <s v="H000004486"/>
    <s v="IT - Medical Non-R&amp;D Activities"/>
    <m/>
    <s v="Rename"/>
    <x v="0"/>
    <x v="0"/>
    <s v="HC"/>
    <m/>
    <m/>
    <s v="Henry Jr Ifurung"/>
  </r>
  <r>
    <n v="1044"/>
    <s v="F2"/>
    <x v="37"/>
    <s v="H000004487"/>
    <s v="IT - Ogsiveo Medical Activities"/>
    <m/>
    <s v="Rename"/>
    <x v="0"/>
    <x v="0"/>
    <s v="HC"/>
    <m/>
    <m/>
    <s v="Henry Jr Ifurung"/>
  </r>
  <r>
    <n v="1045"/>
    <s v="F2"/>
    <x v="37"/>
    <s v="H000004488"/>
    <s v="IT - Ezmekly Medical Activities"/>
    <m/>
    <s v="Rename"/>
    <x v="0"/>
    <x v="0"/>
    <s v="HC"/>
    <m/>
    <m/>
    <s v="Henry Jr Ifurung"/>
  </r>
  <r>
    <n v="1046"/>
    <s v="F2"/>
    <x v="37"/>
    <s v="H000004489"/>
    <s v="IT - Local R&amp;D - Studies"/>
    <m/>
    <s v="Rename"/>
    <x v="0"/>
    <x v="0"/>
    <s v="HC"/>
    <m/>
    <m/>
    <s v="Henry Jr Ifurung"/>
  </r>
  <r>
    <n v="1047"/>
    <s v="F2"/>
    <x v="37"/>
    <s v="H000004490"/>
    <s v="IT - Ogsiveo Local R&amp;D Studies"/>
    <m/>
    <s v="Rename"/>
    <x v="0"/>
    <x v="0"/>
    <s v="HC"/>
    <m/>
    <m/>
    <s v="Henry Jr Ifurung"/>
  </r>
  <r>
    <n v="1048"/>
    <s v="F2"/>
    <x v="37"/>
    <s v="H000004491"/>
    <s v="IT - Ezmekly Local R&amp;D Studies"/>
    <m/>
    <s v="Rename"/>
    <x v="0"/>
    <x v="0"/>
    <s v="HC"/>
    <m/>
    <m/>
    <s v="Henry Jr Ifurung"/>
  </r>
  <r>
    <n v="1049"/>
    <s v="F2"/>
    <x v="37"/>
    <s v="H000004505"/>
    <s v="FR - Medical cost center"/>
    <m/>
    <s v="Rename"/>
    <x v="0"/>
    <x v="0"/>
    <s v="HC"/>
    <m/>
    <m/>
    <s v="Henry Jr Ifurung"/>
  </r>
  <r>
    <n v="1050"/>
    <s v="F2"/>
    <x v="37"/>
    <s v="H000004506"/>
    <s v="FR - Medical Non-R&amp;D Activities"/>
    <m/>
    <s v="Rename"/>
    <x v="0"/>
    <x v="0"/>
    <s v="HC"/>
    <m/>
    <m/>
    <s v="Henry Jr Ifurung"/>
  </r>
  <r>
    <n v="1051"/>
    <s v="F2"/>
    <x v="37"/>
    <s v="H000004507"/>
    <s v="FR - Ogsiveo Medical Activities"/>
    <m/>
    <s v="Rename"/>
    <x v="0"/>
    <x v="0"/>
    <s v="HC"/>
    <m/>
    <m/>
    <s v="Henry Jr Ifurung"/>
  </r>
  <r>
    <n v="1052"/>
    <s v="F2"/>
    <x v="37"/>
    <s v="H000004508"/>
    <s v="FR - Ezmekly Medical Activities"/>
    <m/>
    <s v="Rename"/>
    <x v="0"/>
    <x v="0"/>
    <s v="HC"/>
    <m/>
    <m/>
    <s v="Henry Jr Ifurung"/>
  </r>
  <r>
    <n v="1053"/>
    <s v="F2"/>
    <x v="37"/>
    <s v="H000004509"/>
    <s v="FR - Local R&amp;D - Studies"/>
    <m/>
    <s v="Rename"/>
    <x v="0"/>
    <x v="0"/>
    <s v="HC"/>
    <m/>
    <m/>
    <s v="Henry Jr Ifurung"/>
  </r>
  <r>
    <n v="1054"/>
    <s v="F2"/>
    <x v="37"/>
    <s v="H000004510"/>
    <s v="FR - Ogsiveo Local R&amp;D Studies"/>
    <m/>
    <s v="Rename"/>
    <x v="0"/>
    <x v="0"/>
    <s v="HC"/>
    <m/>
    <m/>
    <s v="Henry Jr Ifurung"/>
  </r>
  <r>
    <n v="1055"/>
    <s v="F2"/>
    <x v="37"/>
    <s v="H000004511"/>
    <s v="FR - Ezmekly Local R&amp;D Studies"/>
    <m/>
    <s v="Rename"/>
    <x v="0"/>
    <x v="0"/>
    <s v="HC"/>
    <m/>
    <m/>
    <s v="Henry Jr Ifurung"/>
  </r>
  <r>
    <n v="1056"/>
    <s v="F2"/>
    <x v="37"/>
    <s v="H000004525"/>
    <s v="AT - Medical cost center"/>
    <m/>
    <s v="Rename"/>
    <x v="0"/>
    <x v="0"/>
    <s v="HC"/>
    <m/>
    <m/>
    <s v="Henry Jr Ifurung"/>
  </r>
  <r>
    <n v="1057"/>
    <s v="F2"/>
    <x v="37"/>
    <s v="H000004526"/>
    <s v="AT - Medical Non-R&amp;D Activities"/>
    <m/>
    <s v="Rename"/>
    <x v="0"/>
    <x v="0"/>
    <s v="HC"/>
    <m/>
    <m/>
    <s v="Henry Jr Ifurung"/>
  </r>
  <r>
    <n v="1058"/>
    <s v="F2"/>
    <x v="37"/>
    <s v="H000004527"/>
    <s v="AT - Ogsiveo Medical Activities"/>
    <m/>
    <s v="Rename"/>
    <x v="0"/>
    <x v="0"/>
    <s v="HC"/>
    <m/>
    <m/>
    <s v="Henry Jr Ifurung"/>
  </r>
  <r>
    <n v="1059"/>
    <s v="F2"/>
    <x v="37"/>
    <s v="H000004528"/>
    <s v="AT - Ezmekly Medical Activities"/>
    <m/>
    <s v="Rename"/>
    <x v="0"/>
    <x v="0"/>
    <s v="HC"/>
    <m/>
    <m/>
    <s v="Henry Jr Ifurung"/>
  </r>
  <r>
    <n v="1060"/>
    <s v="F2"/>
    <x v="37"/>
    <s v="H000004529"/>
    <s v="AT - Local R&amp;D - Studies"/>
    <m/>
    <s v="Rename"/>
    <x v="0"/>
    <x v="0"/>
    <s v="HC"/>
    <m/>
    <m/>
    <s v="Henry Jr Ifurung"/>
  </r>
  <r>
    <n v="1061"/>
    <s v="F2"/>
    <x v="37"/>
    <s v="H000004530"/>
    <s v="AT - Ogsiveo Local R&amp;D Studies"/>
    <m/>
    <s v="Rename"/>
    <x v="0"/>
    <x v="0"/>
    <s v="HC"/>
    <m/>
    <m/>
    <s v="Henry Jr Ifurung"/>
  </r>
  <r>
    <n v="1062"/>
    <s v="F2"/>
    <x v="37"/>
    <s v="H000004531"/>
    <s v="AT - Ezmekly Local R&amp;D Studies"/>
    <m/>
    <s v="Rename"/>
    <x v="0"/>
    <x v="0"/>
    <s v="HC"/>
    <m/>
    <m/>
    <s v="Henry Jr Ifurung"/>
  </r>
  <r>
    <n v="1063"/>
    <s v="F2"/>
    <x v="37"/>
    <s v="H000004545"/>
    <s v="CH - Medical cost center"/>
    <m/>
    <s v="Rename"/>
    <x v="0"/>
    <x v="0"/>
    <s v="HC"/>
    <m/>
    <m/>
    <s v="Henry Jr Ifurung"/>
  </r>
  <r>
    <n v="1064"/>
    <s v="F2"/>
    <x v="37"/>
    <s v="H000004546"/>
    <s v="CH - Medical Non-R&amp;D Act"/>
    <m/>
    <s v="Rename"/>
    <x v="0"/>
    <x v="0"/>
    <s v="HC"/>
    <m/>
    <m/>
    <s v="Henry Jr Ifurung"/>
  </r>
  <r>
    <n v="1065"/>
    <s v="F2"/>
    <x v="37"/>
    <s v="H000004547"/>
    <s v="CH - Ogsiveo Medical Act"/>
    <m/>
    <s v="Rename"/>
    <x v="0"/>
    <x v="0"/>
    <s v="HC"/>
    <m/>
    <m/>
    <s v="Henry Jr Ifurung"/>
  </r>
  <r>
    <n v="1066"/>
    <s v="F2"/>
    <x v="37"/>
    <s v="H000004548"/>
    <s v="CH - Ezmekly Medical Act"/>
    <m/>
    <s v="Rename"/>
    <x v="0"/>
    <x v="0"/>
    <s v="HC"/>
    <m/>
    <m/>
    <s v="Henry Jr Ifurung"/>
  </r>
  <r>
    <n v="1067"/>
    <s v="F2"/>
    <x v="37"/>
    <s v="H000004549"/>
    <s v="CH - Local R&amp;D - Studies"/>
    <m/>
    <s v="Rename"/>
    <x v="0"/>
    <x v="0"/>
    <s v="HC"/>
    <m/>
    <m/>
    <s v="Henry Jr Ifurung"/>
  </r>
  <r>
    <n v="1068"/>
    <s v="F2"/>
    <x v="37"/>
    <s v="H000004550"/>
    <s v="CH - Ogsiveo Local R&amp;D Studies"/>
    <m/>
    <s v="Rename"/>
    <x v="0"/>
    <x v="0"/>
    <s v="HC"/>
    <m/>
    <m/>
    <s v="Henry Jr Ifurung"/>
  </r>
  <r>
    <n v="1069"/>
    <s v="F2"/>
    <x v="37"/>
    <s v="H000004551"/>
    <s v="CH - Ezmekly Local R&amp;D Studies"/>
    <m/>
    <s v="Rename"/>
    <x v="0"/>
    <x v="0"/>
    <s v="HC"/>
    <m/>
    <m/>
    <s v="Henry Jr Ifurung"/>
  </r>
  <r>
    <n v="1070"/>
    <s v="F2"/>
    <x v="37"/>
    <s v="H000004565"/>
    <s v="PT - Medical cost center"/>
    <m/>
    <s v="Rename"/>
    <x v="0"/>
    <x v="0"/>
    <s v="HC"/>
    <m/>
    <m/>
    <s v="Henry Jr Ifurung"/>
  </r>
  <r>
    <n v="1071"/>
    <s v="F2"/>
    <x v="37"/>
    <s v="H000004566"/>
    <s v="PT - Medical Non-R&amp;D Activities"/>
    <m/>
    <s v="Rename"/>
    <x v="0"/>
    <x v="0"/>
    <s v="HC"/>
    <m/>
    <m/>
    <s v="Henry Jr Ifurung"/>
  </r>
  <r>
    <n v="1072"/>
    <s v="F2"/>
    <x v="37"/>
    <s v="H000004567"/>
    <s v="PT - Ogsiveo Medical Activities"/>
    <m/>
    <s v="Rename"/>
    <x v="0"/>
    <x v="0"/>
    <s v="HC"/>
    <m/>
    <m/>
    <s v="Henry Jr Ifurung"/>
  </r>
  <r>
    <n v="1073"/>
    <s v="F2"/>
    <x v="37"/>
    <s v="H000004568"/>
    <s v="PT - Ezmekly Medical Activities"/>
    <m/>
    <s v="Rename"/>
    <x v="0"/>
    <x v="0"/>
    <s v="HC"/>
    <m/>
    <m/>
    <s v="Henry Jr Ifurung"/>
  </r>
  <r>
    <n v="1074"/>
    <s v="F2"/>
    <x v="37"/>
    <s v="H000004569"/>
    <s v="PT - Local R&amp;D - Studies"/>
    <m/>
    <s v="Rename"/>
    <x v="0"/>
    <x v="0"/>
    <s v="HC"/>
    <m/>
    <m/>
    <s v="Henry Jr Ifurung"/>
  </r>
  <r>
    <n v="1075"/>
    <s v="F2"/>
    <x v="37"/>
    <s v="H000004570"/>
    <s v="PT - Ogsiveo Local R&amp;D Studies"/>
    <m/>
    <s v="Rename"/>
    <x v="0"/>
    <x v="0"/>
    <s v="HC"/>
    <m/>
    <m/>
    <s v="Henry Jr Ifurung"/>
  </r>
  <r>
    <n v="1076"/>
    <s v="F2"/>
    <x v="37"/>
    <s v="H000004571"/>
    <s v="PT - Ezmekly Local R&amp;D Studies"/>
    <m/>
    <s v="Rename"/>
    <x v="0"/>
    <x v="0"/>
    <s v="HC"/>
    <m/>
    <m/>
    <s v="Henry Jr Ifurung"/>
  </r>
  <r>
    <n v="1077"/>
    <s v="F2"/>
    <x v="37"/>
    <s v="H000004585"/>
    <s v="IL - Medical cost center"/>
    <m/>
    <s v="Rename"/>
    <x v="0"/>
    <x v="0"/>
    <s v="HC"/>
    <m/>
    <m/>
    <s v="Henry Jr Ifurung"/>
  </r>
  <r>
    <n v="1078"/>
    <s v="F2"/>
    <x v="37"/>
    <s v="H000004586"/>
    <s v="IL - Medical Non-R&amp;D Activities"/>
    <m/>
    <s v="Rename"/>
    <x v="0"/>
    <x v="0"/>
    <s v="HC"/>
    <m/>
    <m/>
    <s v="Henry Jr Ifurung"/>
  </r>
  <r>
    <n v="1079"/>
    <s v="F2"/>
    <x v="37"/>
    <s v="H000004587"/>
    <s v="IL - Ogsiveo Medical Activities"/>
    <m/>
    <s v="Rename"/>
    <x v="0"/>
    <x v="0"/>
    <s v="HC"/>
    <m/>
    <m/>
    <s v="Henry Jr Ifurung"/>
  </r>
  <r>
    <n v="1080"/>
    <s v="F2"/>
    <x v="37"/>
    <s v="H000004588"/>
    <s v="IL - Ezmekly Medical Activities"/>
    <m/>
    <s v="Rename"/>
    <x v="0"/>
    <x v="0"/>
    <s v="HC"/>
    <m/>
    <m/>
    <s v="Henry Jr Ifurung"/>
  </r>
  <r>
    <n v="1081"/>
    <s v="F2"/>
    <x v="37"/>
    <s v="H000004589"/>
    <s v="IL - Local R&amp;D - Studies"/>
    <m/>
    <s v="Rename"/>
    <x v="0"/>
    <x v="0"/>
    <s v="HC"/>
    <m/>
    <m/>
    <s v="Henry Jr Ifurung"/>
  </r>
  <r>
    <n v="1082"/>
    <s v="F2"/>
    <x v="37"/>
    <s v="H000004590"/>
    <s v="IL - Ogsiveo Local R&amp;D Studies"/>
    <m/>
    <s v="Rename"/>
    <x v="0"/>
    <x v="0"/>
    <s v="HC"/>
    <m/>
    <m/>
    <s v="Henry Jr Ifurung"/>
  </r>
  <r>
    <n v="1083"/>
    <s v="F2"/>
    <x v="37"/>
    <s v="H000004591"/>
    <s v="IL - Ezmekly Local R&amp;D Studies"/>
    <m/>
    <s v="Rename"/>
    <x v="0"/>
    <x v="0"/>
    <s v="HC"/>
    <m/>
    <m/>
    <s v="Henry Jr Ifurung"/>
  </r>
  <r>
    <n v="1084"/>
    <s v="F2"/>
    <x v="37"/>
    <s v="H000004605"/>
    <s v="PL - Medical cost center"/>
    <m/>
    <s v="Rename"/>
    <x v="0"/>
    <x v="0"/>
    <s v="HC"/>
    <m/>
    <m/>
    <s v="Henry Jr Ifurung"/>
  </r>
  <r>
    <n v="1085"/>
    <s v="F2"/>
    <x v="37"/>
    <s v="H000004606"/>
    <s v="PL - Medical Non-R&amp;D Activities"/>
    <m/>
    <s v="Rename"/>
    <x v="0"/>
    <x v="0"/>
    <s v="HC"/>
    <m/>
    <m/>
    <s v="Henry Jr Ifurung"/>
  </r>
  <r>
    <n v="1086"/>
    <s v="F2"/>
    <x v="37"/>
    <s v="H000004607"/>
    <s v="PL - Ogsiveo Medical Activities"/>
    <m/>
    <s v="Rename"/>
    <x v="0"/>
    <x v="0"/>
    <s v="HC"/>
    <m/>
    <m/>
    <s v="Henry Jr Ifurung"/>
  </r>
  <r>
    <n v="1087"/>
    <s v="F2"/>
    <x v="37"/>
    <s v="H000004608"/>
    <s v="PL - Ezmekly Medical Activities"/>
    <m/>
    <s v="Rename"/>
    <x v="0"/>
    <x v="0"/>
    <s v="HC"/>
    <m/>
    <m/>
    <s v="Henry Jr Ifurung"/>
  </r>
  <r>
    <n v="1088"/>
    <s v="F2"/>
    <x v="37"/>
    <s v="H000004609"/>
    <s v="PL - Local R&amp;D - Studies"/>
    <m/>
    <s v="Rename"/>
    <x v="0"/>
    <x v="0"/>
    <s v="HC"/>
    <m/>
    <m/>
    <s v="Henry Jr Ifurung"/>
  </r>
  <r>
    <n v="1089"/>
    <s v="F2"/>
    <x v="37"/>
    <s v="H000004610"/>
    <s v="PL - Ogsiveo Local R&amp;D Studies"/>
    <m/>
    <s v="Rename"/>
    <x v="0"/>
    <x v="0"/>
    <s v="HC"/>
    <m/>
    <m/>
    <s v="Henry Jr Ifurung"/>
  </r>
  <r>
    <n v="1090"/>
    <s v="F2"/>
    <x v="37"/>
    <s v="H000004611"/>
    <s v="PL - Ezmekly Local R&amp;D Studies"/>
    <m/>
    <s v="Rename"/>
    <x v="0"/>
    <x v="0"/>
    <s v="HC"/>
    <m/>
    <m/>
    <s v="Henry Jr Ifurung"/>
  </r>
  <r>
    <n v="1091"/>
    <s v="F2"/>
    <x v="37"/>
    <s v="H000004625"/>
    <s v="BE - Medical cost center"/>
    <m/>
    <s v="Rename"/>
    <x v="0"/>
    <x v="0"/>
    <s v="HC"/>
    <m/>
    <m/>
    <s v="Henry Jr Ifurung"/>
  </r>
  <r>
    <n v="1092"/>
    <s v="F2"/>
    <x v="37"/>
    <s v="H000004626"/>
    <s v="BE - Medical Non-R&amp;D Activities"/>
    <m/>
    <s v="Rename"/>
    <x v="0"/>
    <x v="0"/>
    <s v="HC"/>
    <m/>
    <m/>
    <s v="Henry Jr Ifurung"/>
  </r>
  <r>
    <n v="1093"/>
    <s v="F2"/>
    <x v="37"/>
    <s v="H000004627"/>
    <s v="BE - Ogsiveo Medical Activities"/>
    <m/>
    <s v="Rename"/>
    <x v="0"/>
    <x v="0"/>
    <s v="HC"/>
    <m/>
    <m/>
    <s v="Henry Jr Ifurung"/>
  </r>
  <r>
    <n v="1094"/>
    <s v="F2"/>
    <x v="37"/>
    <s v="H000004628"/>
    <s v="BE - Ezmekly Medical Activities"/>
    <m/>
    <s v="Rename"/>
    <x v="0"/>
    <x v="0"/>
    <s v="HC"/>
    <m/>
    <m/>
    <s v="Henry Jr Ifurung"/>
  </r>
  <r>
    <n v="1095"/>
    <s v="F2"/>
    <x v="37"/>
    <s v="H000004629"/>
    <s v="BE - Local R&amp;D - Studies"/>
    <m/>
    <s v="Rename"/>
    <x v="0"/>
    <x v="0"/>
    <s v="HC"/>
    <m/>
    <m/>
    <s v="Henry Jr Ifurung"/>
  </r>
  <r>
    <n v="1096"/>
    <s v="F2"/>
    <x v="37"/>
    <s v="H000004630"/>
    <s v="BE - Ogsiveo Local R&amp;D Studies"/>
    <m/>
    <s v="Rename"/>
    <x v="0"/>
    <x v="0"/>
    <s v="HC"/>
    <m/>
    <m/>
    <s v="Henry Jr Ifurung"/>
  </r>
  <r>
    <n v="1097"/>
    <s v="F2"/>
    <x v="37"/>
    <s v="H000004631"/>
    <s v="BE - Ezmekly Local R&amp;D Studies"/>
    <m/>
    <s v="Rename"/>
    <x v="0"/>
    <x v="0"/>
    <s v="HC"/>
    <m/>
    <m/>
    <s v="Henry Jr Ifurung"/>
  </r>
  <r>
    <n v="1098"/>
    <s v="F2"/>
    <x v="37"/>
    <s v="H000004645"/>
    <s v="NL - Medical cost center"/>
    <m/>
    <s v="Rename"/>
    <x v="0"/>
    <x v="0"/>
    <s v="HC"/>
    <m/>
    <m/>
    <s v="Henry Jr Ifurung"/>
  </r>
  <r>
    <n v="1099"/>
    <s v="F2"/>
    <x v="37"/>
    <s v="H000004646"/>
    <s v="NL - Medical Non-R&amp;D Act"/>
    <m/>
    <s v="Rename"/>
    <x v="0"/>
    <x v="0"/>
    <s v="HC"/>
    <m/>
    <m/>
    <s v="Henry Jr Ifurung"/>
  </r>
  <r>
    <n v="1100"/>
    <s v="F2"/>
    <x v="37"/>
    <s v="H000004647"/>
    <s v="NL - Ogsiveo Medical Act"/>
    <m/>
    <s v="Rename"/>
    <x v="0"/>
    <x v="0"/>
    <s v="HC"/>
    <m/>
    <m/>
    <s v="Henry Jr Ifurung"/>
  </r>
  <r>
    <n v="1101"/>
    <s v="F2"/>
    <x v="37"/>
    <s v="H000004648"/>
    <s v="NL - Ezmekly Medical Act"/>
    <m/>
    <s v="Rename"/>
    <x v="0"/>
    <x v="0"/>
    <s v="HC"/>
    <m/>
    <m/>
    <s v="Henry Jr Ifurung"/>
  </r>
  <r>
    <n v="1102"/>
    <s v="F2"/>
    <x v="37"/>
    <s v="H000004649"/>
    <s v="NL - Local R&amp;D - Studies"/>
    <m/>
    <s v="Rename"/>
    <x v="0"/>
    <x v="0"/>
    <s v="HC"/>
    <m/>
    <m/>
    <s v="Henry Jr Ifurung"/>
  </r>
  <r>
    <n v="1103"/>
    <s v="F2"/>
    <x v="37"/>
    <s v="H000004650"/>
    <s v="NL - Ogsiveo Local R&amp;D Studies"/>
    <m/>
    <s v="Rename"/>
    <x v="0"/>
    <x v="0"/>
    <s v="HC"/>
    <m/>
    <m/>
    <s v="Henry Jr Ifurung"/>
  </r>
  <r>
    <n v="1104"/>
    <s v="F2"/>
    <x v="37"/>
    <s v="H000004651"/>
    <s v="NL - Ezmekly Local R&amp;D Studies"/>
    <m/>
    <s v="Rename"/>
    <x v="0"/>
    <x v="0"/>
    <s v="HC"/>
    <m/>
    <m/>
    <s v="Henry Jr Ifurung"/>
  </r>
  <r>
    <n v="1105"/>
    <s v="F2"/>
    <x v="37"/>
    <s v="H000004665"/>
    <s v="RO - Medical cost center"/>
    <m/>
    <s v="Rename"/>
    <x v="0"/>
    <x v="0"/>
    <s v="HC"/>
    <m/>
    <m/>
    <s v="Henry Jr Ifurung"/>
  </r>
  <r>
    <n v="1106"/>
    <s v="F2"/>
    <x v="37"/>
    <s v="H000004666"/>
    <s v="RO - Medical Non-R&amp;D Activities"/>
    <m/>
    <s v="Rename"/>
    <x v="0"/>
    <x v="0"/>
    <s v="HC"/>
    <m/>
    <m/>
    <s v="Henry Jr Ifurung"/>
  </r>
  <r>
    <n v="1107"/>
    <s v="F2"/>
    <x v="37"/>
    <s v="H000004667"/>
    <s v="RO - Ogsiveo Medical Activities"/>
    <m/>
    <s v="Rename"/>
    <x v="0"/>
    <x v="0"/>
    <s v="HC"/>
    <m/>
    <m/>
    <s v="Henry Jr Ifurung"/>
  </r>
  <r>
    <n v="1108"/>
    <s v="F2"/>
    <x v="37"/>
    <s v="H000004668"/>
    <s v="RO - Ezmekly Medical Activities"/>
    <m/>
    <s v="Rename"/>
    <x v="0"/>
    <x v="0"/>
    <s v="HC"/>
    <m/>
    <m/>
    <s v="Henry Jr Ifurung"/>
  </r>
  <r>
    <n v="1109"/>
    <s v="F2"/>
    <x v="37"/>
    <s v="H000004669"/>
    <s v="RO - Local R&amp;D - Studies"/>
    <m/>
    <s v="Rename"/>
    <x v="0"/>
    <x v="0"/>
    <s v="HC"/>
    <m/>
    <m/>
    <s v="Henry Jr Ifurung"/>
  </r>
  <r>
    <n v="1110"/>
    <s v="F2"/>
    <x v="37"/>
    <s v="H000004670"/>
    <s v="RO - Ogsiveo Local R&amp;D Studies"/>
    <m/>
    <s v="Rename"/>
    <x v="0"/>
    <x v="0"/>
    <s v="HC"/>
    <m/>
    <m/>
    <s v="Henry Jr Ifurung"/>
  </r>
  <r>
    <n v="1111"/>
    <s v="F2"/>
    <x v="37"/>
    <s v="H000004671"/>
    <s v="RO - Ezmekly Local R&amp;D Studies"/>
    <m/>
    <s v="Rename"/>
    <x v="0"/>
    <x v="0"/>
    <s v="HC"/>
    <m/>
    <m/>
    <s v="Henry Jr Ifurung"/>
  </r>
  <r>
    <n v="1112"/>
    <s v="F2"/>
    <x v="37"/>
    <s v="H000004685"/>
    <s v="DK - Medical cost center"/>
    <m/>
    <s v="Rename"/>
    <x v="0"/>
    <x v="0"/>
    <s v="HC"/>
    <m/>
    <m/>
    <s v="Henry Jr Ifurung"/>
  </r>
  <r>
    <n v="1113"/>
    <s v="F2"/>
    <x v="37"/>
    <s v="H000004686"/>
    <s v="DK - Medical Non-R&amp;D Activities"/>
    <m/>
    <s v="Rename"/>
    <x v="0"/>
    <x v="0"/>
    <s v="HC"/>
    <m/>
    <m/>
    <s v="Henry Jr Ifurung"/>
  </r>
  <r>
    <n v="1114"/>
    <s v="F2"/>
    <x v="37"/>
    <s v="H000004687"/>
    <s v="DK - Ogsiveo Medical Activities"/>
    <m/>
    <s v="Rename"/>
    <x v="0"/>
    <x v="0"/>
    <s v="HC"/>
    <m/>
    <m/>
    <s v="Henry Jr Ifurung"/>
  </r>
  <r>
    <n v="1115"/>
    <s v="F2"/>
    <x v="37"/>
    <s v="H000004688"/>
    <s v="DK - Ezmekly Medical Activities"/>
    <m/>
    <s v="Rename"/>
    <x v="0"/>
    <x v="0"/>
    <s v="HC"/>
    <m/>
    <m/>
    <s v="Henry Jr Ifurung"/>
  </r>
  <r>
    <n v="1116"/>
    <s v="F2"/>
    <x v="37"/>
    <s v="H000004689"/>
    <s v="DK - Local R&amp;D - Studies"/>
    <m/>
    <s v="Rename"/>
    <x v="0"/>
    <x v="0"/>
    <s v="HC"/>
    <m/>
    <m/>
    <s v="Henry Jr Ifurung"/>
  </r>
  <r>
    <n v="1117"/>
    <s v="F2"/>
    <x v="37"/>
    <s v="H000004690"/>
    <s v="DK - Ogsiveo Local R&amp;D Studies"/>
    <m/>
    <s v="Rename"/>
    <x v="0"/>
    <x v="0"/>
    <s v="HC"/>
    <m/>
    <m/>
    <s v="Henry Jr Ifurung"/>
  </r>
  <r>
    <n v="1118"/>
    <s v="F2"/>
    <x v="37"/>
    <s v="H000004691"/>
    <s v="DK - Ezmekly Local R&amp;D Studies"/>
    <m/>
    <s v="Rename"/>
    <x v="0"/>
    <x v="0"/>
    <s v="HC"/>
    <m/>
    <m/>
    <s v="Henry Jr Ifurung"/>
  </r>
  <r>
    <n v="1119"/>
    <s v="F2"/>
    <x v="37"/>
    <s v="H000004705"/>
    <s v="SE - Medical cost center"/>
    <m/>
    <s v="Rename"/>
    <x v="0"/>
    <x v="0"/>
    <s v="HC"/>
    <m/>
    <m/>
    <s v="Henry Jr Ifurung"/>
  </r>
  <r>
    <n v="1120"/>
    <s v="F2"/>
    <x v="37"/>
    <s v="H000004706"/>
    <s v="SE - Medical Non-R&amp;D Activities"/>
    <m/>
    <s v="Rename"/>
    <x v="0"/>
    <x v="0"/>
    <s v="HC"/>
    <m/>
    <m/>
    <s v="Henry Jr Ifurung"/>
  </r>
  <r>
    <n v="1121"/>
    <s v="F2"/>
    <x v="37"/>
    <s v="H000004707"/>
    <s v="SE - Ogsiveo Medical Activities"/>
    <m/>
    <s v="Rename"/>
    <x v="0"/>
    <x v="0"/>
    <s v="HC"/>
    <m/>
    <m/>
    <s v="Henry Jr Ifurung"/>
  </r>
  <r>
    <n v="1122"/>
    <s v="F2"/>
    <x v="37"/>
    <s v="H000004708"/>
    <s v="SE - Ezmekly Medical Activities"/>
    <m/>
    <s v="Rename"/>
    <x v="0"/>
    <x v="0"/>
    <s v="HC"/>
    <m/>
    <m/>
    <s v="Henry Jr Ifurung"/>
  </r>
  <r>
    <n v="1123"/>
    <s v="F2"/>
    <x v="37"/>
    <s v="H000004709"/>
    <s v="SE - Local R&amp;D - Studies"/>
    <m/>
    <s v="Rename"/>
    <x v="0"/>
    <x v="0"/>
    <s v="HC"/>
    <m/>
    <m/>
    <s v="Henry Jr Ifurung"/>
  </r>
  <r>
    <n v="1124"/>
    <s v="F2"/>
    <x v="37"/>
    <s v="H000004710"/>
    <s v="SE - Ogsiveo Local R&amp;D Studies"/>
    <m/>
    <s v="Rename"/>
    <x v="0"/>
    <x v="0"/>
    <s v="HC"/>
    <m/>
    <m/>
    <s v="Henry Jr Ifurung"/>
  </r>
  <r>
    <n v="1125"/>
    <s v="F2"/>
    <x v="37"/>
    <s v="H000004711"/>
    <s v="SE - Ezmekly Local R&amp;D Studies"/>
    <m/>
    <s v="Rename"/>
    <x v="0"/>
    <x v="0"/>
    <s v="HC"/>
    <m/>
    <m/>
    <s v="Henry Jr Ifurung"/>
  </r>
  <r>
    <n v="1126"/>
    <s v="F2"/>
    <x v="37"/>
    <s v="H000004725"/>
    <s v="FI - Medical cost center"/>
    <m/>
    <s v="Rename"/>
    <x v="0"/>
    <x v="0"/>
    <s v="HC"/>
    <m/>
    <m/>
    <s v="Henry Jr Ifurung"/>
  </r>
  <r>
    <n v="1127"/>
    <s v="F2"/>
    <x v="37"/>
    <s v="H000004726"/>
    <s v="FI - Medical Non-R&amp;D Activities"/>
    <m/>
    <s v="Rename"/>
    <x v="0"/>
    <x v="0"/>
    <s v="HC"/>
    <m/>
    <m/>
    <s v="Henry Jr Ifurung"/>
  </r>
  <r>
    <n v="1128"/>
    <s v="F2"/>
    <x v="37"/>
    <s v="H000004727"/>
    <s v="FI - Ogsiveo Medical Activities"/>
    <m/>
    <s v="Rename"/>
    <x v="0"/>
    <x v="0"/>
    <s v="HC"/>
    <m/>
    <m/>
    <s v="Henry Jr Ifurung"/>
  </r>
  <r>
    <n v="1129"/>
    <s v="F2"/>
    <x v="37"/>
    <s v="H000004728"/>
    <s v="FI - Ezmekly Medical Activities"/>
    <m/>
    <s v="Rename"/>
    <x v="0"/>
    <x v="0"/>
    <s v="HC"/>
    <m/>
    <m/>
    <s v="Henry Jr Ifurung"/>
  </r>
  <r>
    <n v="1130"/>
    <s v="F2"/>
    <x v="37"/>
    <s v="H000004729"/>
    <s v="FI - Local R&amp;D - Studies"/>
    <m/>
    <s v="Rename"/>
    <x v="0"/>
    <x v="0"/>
    <s v="HC"/>
    <m/>
    <m/>
    <s v="Henry Jr Ifurung"/>
  </r>
  <r>
    <n v="1131"/>
    <s v="F2"/>
    <x v="37"/>
    <s v="H000004730"/>
    <s v="FI - Ogsiveo Local R&amp;D Studies"/>
    <m/>
    <s v="Rename"/>
    <x v="0"/>
    <x v="0"/>
    <s v="HC"/>
    <m/>
    <m/>
    <s v="Henry Jr Ifurung"/>
  </r>
  <r>
    <n v="1132"/>
    <s v="F2"/>
    <x v="37"/>
    <s v="H000004731"/>
    <s v="FI - Ezmekly Local R&amp;D Studies"/>
    <m/>
    <s v="Rename"/>
    <x v="0"/>
    <x v="0"/>
    <s v="HC"/>
    <m/>
    <m/>
    <s v="Henry Jr Ifurung"/>
  </r>
  <r>
    <n v="1133"/>
    <s v="F2"/>
    <x v="37"/>
    <s v="H000004745"/>
    <s v="NO - Medical cost center"/>
    <m/>
    <s v="Rename"/>
    <x v="0"/>
    <x v="0"/>
    <s v="HC"/>
    <m/>
    <m/>
    <s v="Henry Jr Ifurung"/>
  </r>
  <r>
    <n v="1134"/>
    <s v="F2"/>
    <x v="37"/>
    <s v="H000004746"/>
    <s v="NO - Medical Non-R&amp;D Activities"/>
    <m/>
    <s v="Rename"/>
    <x v="0"/>
    <x v="0"/>
    <s v="HC"/>
    <m/>
    <m/>
    <s v="Henry Jr Ifurung"/>
  </r>
  <r>
    <n v="1135"/>
    <s v="F2"/>
    <x v="37"/>
    <s v="H000004747"/>
    <s v="NO - Ogsiveo Medical Activities"/>
    <m/>
    <s v="Rename"/>
    <x v="0"/>
    <x v="0"/>
    <s v="HC"/>
    <m/>
    <m/>
    <s v="Henry Jr Ifurung"/>
  </r>
  <r>
    <n v="1136"/>
    <s v="F2"/>
    <x v="37"/>
    <s v="H000004748"/>
    <s v="NO - Ezmekly Medical Activities"/>
    <m/>
    <s v="Rename"/>
    <x v="0"/>
    <x v="0"/>
    <s v="HC"/>
    <m/>
    <m/>
    <s v="Henry Jr Ifurung"/>
  </r>
  <r>
    <n v="1137"/>
    <s v="F2"/>
    <x v="37"/>
    <s v="H000004749"/>
    <s v="NO - Local R&amp;D - Studies"/>
    <m/>
    <s v="Rename"/>
    <x v="0"/>
    <x v="0"/>
    <s v="HC"/>
    <m/>
    <m/>
    <s v="Henry Jr Ifurung"/>
  </r>
  <r>
    <n v="1138"/>
    <s v="F2"/>
    <x v="37"/>
    <s v="H000004750"/>
    <s v="NO - Ogsiveo Local R&amp;D Studies"/>
    <m/>
    <s v="Rename"/>
    <x v="0"/>
    <x v="0"/>
    <s v="HC"/>
    <m/>
    <m/>
    <s v="Henry Jr Ifurung"/>
  </r>
  <r>
    <n v="1139"/>
    <s v="F2"/>
    <x v="37"/>
    <s v="H000004751"/>
    <s v="NO - Ezmekly Local R&amp;D Studies"/>
    <m/>
    <s v="Rename"/>
    <x v="0"/>
    <x v="0"/>
    <s v="HC"/>
    <m/>
    <m/>
    <s v="Henry Jr Ifurung"/>
  </r>
  <r>
    <n v="1140"/>
    <s v="F2"/>
    <x v="37"/>
    <s v="H000004765"/>
    <s v="CZ - Medical cost center"/>
    <m/>
    <s v="Rename"/>
    <x v="0"/>
    <x v="0"/>
    <s v="HC"/>
    <m/>
    <m/>
    <s v="Henry Jr Ifurung"/>
  </r>
  <r>
    <n v="1141"/>
    <s v="F2"/>
    <x v="37"/>
    <s v="H000004766"/>
    <s v="CZ - Medical Non-R&amp;D Activities"/>
    <m/>
    <s v="Rename"/>
    <x v="0"/>
    <x v="0"/>
    <s v="HC"/>
    <m/>
    <m/>
    <s v="Henry Jr Ifurung"/>
  </r>
  <r>
    <n v="1142"/>
    <s v="F2"/>
    <x v="37"/>
    <s v="H000004767"/>
    <s v="CZ - Ogsiveo Medical Activities"/>
    <m/>
    <s v="Rename"/>
    <x v="0"/>
    <x v="0"/>
    <s v="HC"/>
    <m/>
    <m/>
    <s v="Henry Jr Ifurung"/>
  </r>
  <r>
    <n v="1143"/>
    <s v="F2"/>
    <x v="37"/>
    <s v="H000004768"/>
    <s v="CZ - Ezmekly Medical Activities"/>
    <m/>
    <s v="Rename"/>
    <x v="0"/>
    <x v="0"/>
    <s v="HC"/>
    <m/>
    <m/>
    <s v="Henry Jr Ifurung"/>
  </r>
  <r>
    <n v="1144"/>
    <s v="F2"/>
    <x v="37"/>
    <s v="H000004769"/>
    <s v="CZ - Local R&amp;D - Studies"/>
    <m/>
    <s v="Rename"/>
    <x v="0"/>
    <x v="0"/>
    <s v="HC"/>
    <m/>
    <m/>
    <s v="Henry Jr Ifurung"/>
  </r>
  <r>
    <n v="1145"/>
    <s v="F2"/>
    <x v="37"/>
    <s v="H000004770"/>
    <s v="CZ - Ogsiveo Local R&amp;D Studies"/>
    <m/>
    <s v="Rename"/>
    <x v="0"/>
    <x v="0"/>
    <s v="HC"/>
    <m/>
    <m/>
    <s v="Henry Jr Ifurung"/>
  </r>
  <r>
    <n v="1146"/>
    <s v="F2"/>
    <x v="37"/>
    <s v="H000004771"/>
    <s v="CZ - Ezmekly Local R&amp;D Studies"/>
    <m/>
    <s v="Rename"/>
    <x v="0"/>
    <x v="0"/>
    <s v="HC"/>
    <m/>
    <m/>
    <s v="Henry Jr Ifurung"/>
  </r>
  <r>
    <n v="1147"/>
    <s v="F2"/>
    <x v="37"/>
    <s v="H000004785"/>
    <s v="HU - Medical cost center"/>
    <m/>
    <s v="Rename"/>
    <x v="0"/>
    <x v="0"/>
    <s v="HC"/>
    <m/>
    <m/>
    <s v="Henry Jr Ifurung"/>
  </r>
  <r>
    <n v="1148"/>
    <s v="F2"/>
    <x v="37"/>
    <s v="H000004786"/>
    <s v="HU - Medical Non-R&amp;D Activities"/>
    <m/>
    <s v="Rename"/>
    <x v="0"/>
    <x v="0"/>
    <s v="HC"/>
    <m/>
    <m/>
    <s v="Henry Jr Ifurung"/>
  </r>
  <r>
    <n v="1149"/>
    <s v="F2"/>
    <x v="37"/>
    <s v="H000004787"/>
    <s v="HU - Ogsiveo Medical Activities"/>
    <m/>
    <s v="Rename"/>
    <x v="0"/>
    <x v="0"/>
    <s v="HC"/>
    <m/>
    <m/>
    <s v="Henry Jr Ifurung"/>
  </r>
  <r>
    <n v="1150"/>
    <s v="F2"/>
    <x v="37"/>
    <s v="H000004788"/>
    <s v="HU - Ezmekly Medical Activities"/>
    <m/>
    <s v="Rename"/>
    <x v="0"/>
    <x v="0"/>
    <s v="HC"/>
    <m/>
    <m/>
    <s v="Henry Jr Ifurung"/>
  </r>
  <r>
    <n v="1151"/>
    <s v="F2"/>
    <x v="37"/>
    <s v="H000004789"/>
    <s v="HU - Local R&amp;D - Studies"/>
    <m/>
    <s v="Rename"/>
    <x v="0"/>
    <x v="0"/>
    <s v="HC"/>
    <m/>
    <m/>
    <s v="Henry Jr Ifurung"/>
  </r>
  <r>
    <n v="1152"/>
    <s v="F2"/>
    <x v="37"/>
    <s v="H000004790"/>
    <s v="HU - Ogsiveo Local R&amp;D Studies"/>
    <m/>
    <s v="Rename"/>
    <x v="0"/>
    <x v="0"/>
    <s v="HC"/>
    <m/>
    <m/>
    <s v="Henry Jr Ifurung"/>
  </r>
  <r>
    <n v="1153"/>
    <s v="F2"/>
    <x v="37"/>
    <s v="H000004791"/>
    <s v="HU - Ezmekly Local R&amp;D Studies"/>
    <m/>
    <s v="Rename"/>
    <x v="0"/>
    <x v="0"/>
    <s v="HC"/>
    <m/>
    <m/>
    <s v="Henry Jr Ifurung"/>
  </r>
  <r>
    <n v="1154"/>
    <s v="F2"/>
    <x v="37"/>
    <s v="H000004805"/>
    <s v="GR - Medical cost center"/>
    <m/>
    <s v="Rename"/>
    <x v="0"/>
    <x v="0"/>
    <s v="HC"/>
    <m/>
    <m/>
    <s v="Henry Jr Ifurung"/>
  </r>
  <r>
    <n v="1155"/>
    <s v="F2"/>
    <x v="37"/>
    <s v="H000004806"/>
    <s v="GR - Medical Non-R&amp;D Activities"/>
    <m/>
    <s v="Rename"/>
    <x v="0"/>
    <x v="0"/>
    <s v="HC"/>
    <m/>
    <m/>
    <s v="Henry Jr Ifurung"/>
  </r>
  <r>
    <n v="1156"/>
    <s v="F2"/>
    <x v="37"/>
    <s v="H000004807"/>
    <s v="GR - Ogsiveo Medical Activities"/>
    <m/>
    <s v="Rename"/>
    <x v="0"/>
    <x v="0"/>
    <s v="HC"/>
    <m/>
    <m/>
    <s v="Henry Jr Ifurung"/>
  </r>
  <r>
    <n v="1157"/>
    <s v="F2"/>
    <x v="37"/>
    <s v="H000004808"/>
    <s v="GR - Ezmekly Medical Activities"/>
    <m/>
    <s v="Rename"/>
    <x v="0"/>
    <x v="0"/>
    <s v="HC"/>
    <m/>
    <m/>
    <s v="Henry Jr Ifurung"/>
  </r>
  <r>
    <n v="1158"/>
    <s v="F2"/>
    <x v="37"/>
    <s v="H000004809"/>
    <s v="GR - Local R&amp;D - Studies"/>
    <m/>
    <s v="Rename"/>
    <x v="0"/>
    <x v="0"/>
    <s v="HC"/>
    <m/>
    <m/>
    <s v="Henry Jr Ifurung"/>
  </r>
  <r>
    <n v="1159"/>
    <s v="F2"/>
    <x v="37"/>
    <s v="H000004810"/>
    <s v="GR - Ogsiveo Local R&amp;D Studies"/>
    <m/>
    <s v="Rename"/>
    <x v="0"/>
    <x v="0"/>
    <s v="HC"/>
    <m/>
    <m/>
    <s v="Henry Jr Ifurung"/>
  </r>
  <r>
    <n v="1160"/>
    <s v="F2"/>
    <x v="37"/>
    <s v="H000004811"/>
    <s v="GR - Ezmekly Local R&amp;D Studies"/>
    <m/>
    <s v="Rename"/>
    <x v="0"/>
    <x v="0"/>
    <s v="HC"/>
    <m/>
    <m/>
    <s v="Henry Jr Ifurung"/>
  </r>
  <r>
    <n v="1161"/>
    <s v="F2"/>
    <x v="37"/>
    <s v="H000004825"/>
    <s v="SI - Medical cost center"/>
    <m/>
    <s v="Rename"/>
    <x v="0"/>
    <x v="0"/>
    <s v="HC"/>
    <m/>
    <m/>
    <s v="Henry Jr Ifurung"/>
  </r>
  <r>
    <n v="1162"/>
    <s v="F2"/>
    <x v="37"/>
    <s v="H000004826"/>
    <s v="SI - Medical Non-R&amp;D Activities"/>
    <m/>
    <s v="Rename"/>
    <x v="0"/>
    <x v="0"/>
    <s v="HC"/>
    <m/>
    <m/>
    <s v="Henry Jr Ifurung"/>
  </r>
  <r>
    <n v="1163"/>
    <s v="F2"/>
    <x v="37"/>
    <s v="H000004827"/>
    <s v="SI - Ogsiveo Medical Activities"/>
    <m/>
    <s v="Rename"/>
    <x v="0"/>
    <x v="0"/>
    <s v="HC"/>
    <m/>
    <m/>
    <s v="Henry Jr Ifurung"/>
  </r>
  <r>
    <n v="1164"/>
    <s v="F2"/>
    <x v="37"/>
    <s v="H000004828"/>
    <s v="SI - Ezmekly Medical Activities"/>
    <m/>
    <s v="Rename"/>
    <x v="0"/>
    <x v="0"/>
    <s v="HC"/>
    <m/>
    <m/>
    <s v="Henry Jr Ifurung"/>
  </r>
  <r>
    <n v="1165"/>
    <s v="F2"/>
    <x v="37"/>
    <s v="H000004829"/>
    <s v="SI - Local R&amp;D - Studies"/>
    <m/>
    <s v="Rename"/>
    <x v="0"/>
    <x v="0"/>
    <s v="HC"/>
    <m/>
    <m/>
    <s v="Henry Jr Ifurung"/>
  </r>
  <r>
    <n v="1166"/>
    <s v="F2"/>
    <x v="37"/>
    <s v="H000004830"/>
    <s v="SI - Ogsiveo Local R&amp;D Studies"/>
    <m/>
    <s v="Rename"/>
    <x v="0"/>
    <x v="0"/>
    <s v="HC"/>
    <m/>
    <m/>
    <s v="Henry Jr Ifurung"/>
  </r>
  <r>
    <n v="1167"/>
    <s v="F2"/>
    <x v="37"/>
    <s v="H000004831"/>
    <s v="SI - Ezmekly Local R&amp;D Studies"/>
    <m/>
    <s v="Rename"/>
    <x v="0"/>
    <x v="0"/>
    <s v="HC"/>
    <m/>
    <m/>
    <s v="Henry Jr Ifurung"/>
  </r>
  <r>
    <n v="1168"/>
    <s v="F2"/>
    <x v="37"/>
    <s v="H000004845"/>
    <s v="BG - Medical cost center"/>
    <m/>
    <s v="Rename"/>
    <x v="0"/>
    <x v="0"/>
    <s v="HC"/>
    <m/>
    <m/>
    <s v="Henry Jr Ifurung"/>
  </r>
  <r>
    <n v="1169"/>
    <s v="F2"/>
    <x v="37"/>
    <s v="H000004846"/>
    <s v="BG - Medical Non-R&amp;D Activities"/>
    <m/>
    <s v="Rename"/>
    <x v="0"/>
    <x v="0"/>
    <s v="HC"/>
    <m/>
    <m/>
    <s v="Henry Jr Ifurung"/>
  </r>
  <r>
    <n v="1170"/>
    <s v="F2"/>
    <x v="37"/>
    <s v="H000004847"/>
    <s v="BG - Ogsiveo Medical Activities"/>
    <m/>
    <s v="Rename"/>
    <x v="0"/>
    <x v="0"/>
    <s v="HC"/>
    <m/>
    <m/>
    <s v="Henry Jr Ifurung"/>
  </r>
  <r>
    <n v="1171"/>
    <s v="F2"/>
    <x v="37"/>
    <s v="H000004848"/>
    <s v="BG - Ezmekly Medical Activities"/>
    <m/>
    <s v="Rename"/>
    <x v="0"/>
    <x v="0"/>
    <s v="HC"/>
    <m/>
    <m/>
    <s v="Henry Jr Ifurung"/>
  </r>
  <r>
    <n v="1172"/>
    <s v="F2"/>
    <x v="37"/>
    <s v="H000004849"/>
    <s v="BG - Local R&amp;D - Studies"/>
    <m/>
    <s v="Rename"/>
    <x v="0"/>
    <x v="0"/>
    <s v="HC"/>
    <m/>
    <m/>
    <s v="Henry Jr Ifurung"/>
  </r>
  <r>
    <n v="1173"/>
    <s v="F2"/>
    <x v="37"/>
    <s v="H000004850"/>
    <s v="BG - Ogsiveo Local R&amp;D Studies"/>
    <m/>
    <s v="Rename"/>
    <x v="0"/>
    <x v="0"/>
    <s v="HC"/>
    <m/>
    <m/>
    <s v="Henry Jr Ifurung"/>
  </r>
  <r>
    <n v="1174"/>
    <s v="F2"/>
    <x v="37"/>
    <s v="H000004851"/>
    <s v="BG - Ezmekly Local R&amp;D Studies"/>
    <m/>
    <s v="Rename"/>
    <x v="0"/>
    <x v="0"/>
    <s v="HC"/>
    <m/>
    <m/>
    <s v="Henry Jr Ifurung"/>
  </r>
  <r>
    <n v="1175"/>
    <s v="F2"/>
    <x v="37"/>
    <s v="H000004411"/>
    <s v="DE - BU Rare Diseases"/>
    <s v="H000001745"/>
    <s v="Rename/Move"/>
    <x v="0"/>
    <x v="0"/>
    <s v="HC"/>
    <m/>
    <m/>
    <s v="Henry Jr Ifurung"/>
  </r>
  <r>
    <n v="1176"/>
    <s v="F2"/>
    <x v="37"/>
    <s v="H000004432"/>
    <s v="GB - BU Rare Diseases"/>
    <s v="H000002079"/>
    <s v="Rename/Move"/>
    <x v="0"/>
    <x v="0"/>
    <s v="HC"/>
    <m/>
    <m/>
    <s v="Henry Jr Ifurung"/>
  </r>
  <r>
    <n v="1177"/>
    <s v="F2"/>
    <x v="37"/>
    <s v="H000004452"/>
    <s v="ES - BU Rare Diseases"/>
    <s v="H000003975"/>
    <s v="Rename/Move"/>
    <x v="0"/>
    <x v="0"/>
    <s v="HC"/>
    <m/>
    <m/>
    <s v="Henry Jr Ifurung"/>
  </r>
  <r>
    <n v="1178"/>
    <s v="F2"/>
    <x v="37"/>
    <s v="H000004472"/>
    <s v="IT - BU Rare Diseases"/>
    <s v="H000001844"/>
    <s v="Rename/Move"/>
    <x v="0"/>
    <x v="0"/>
    <s v="HC"/>
    <m/>
    <m/>
    <s v="Henry Jr Ifurung"/>
  </r>
  <r>
    <n v="1179"/>
    <s v="F2"/>
    <x v="37"/>
    <s v="H000004492"/>
    <s v="FR - BU Rare Diseases"/>
    <s v="H000001607"/>
    <s v="Rename/Move"/>
    <x v="0"/>
    <x v="0"/>
    <s v="HC"/>
    <m/>
    <m/>
    <s v="Henry Jr Ifurung"/>
  </r>
  <r>
    <n v="1180"/>
    <s v="F2"/>
    <x v="37"/>
    <s v="H000004512"/>
    <s v="AT - BU Rare Diseases"/>
    <s v="H000003619"/>
    <s v="Rename/Move"/>
    <x v="0"/>
    <x v="0"/>
    <s v="HC"/>
    <m/>
    <m/>
    <s v="Henry Jr Ifurung"/>
  </r>
  <r>
    <n v="1181"/>
    <s v="F2"/>
    <x v="37"/>
    <s v="H000004532"/>
    <s v="CH - BU Rare Diseases"/>
    <s v="H000001981"/>
    <s v="Rename/Move"/>
    <x v="0"/>
    <x v="0"/>
    <s v="HC"/>
    <m/>
    <m/>
    <s v="Henry Jr Ifurung"/>
  </r>
  <r>
    <n v="1182"/>
    <s v="F2"/>
    <x v="37"/>
    <s v="H000004552"/>
    <s v="PT - BU Rare Diseases"/>
    <s v="H000001935"/>
    <s v="Rename/Move"/>
    <x v="0"/>
    <x v="0"/>
    <s v="HC"/>
    <m/>
    <m/>
    <s v="Henry Jr Ifurung"/>
  </r>
  <r>
    <n v="1183"/>
    <s v="F2"/>
    <x v="37"/>
    <s v="H000004572"/>
    <s v="IL - BU Rare Diseases"/>
    <s v="H000003569"/>
    <s v="Rename/Move"/>
    <x v="0"/>
    <x v="0"/>
    <s v="HC"/>
    <m/>
    <m/>
    <s v="Henry Jr Ifurung"/>
  </r>
  <r>
    <n v="1184"/>
    <s v="F2"/>
    <x v="37"/>
    <s v="H000004592"/>
    <s v="PL - BU Rare Diseases"/>
    <s v="H000003572"/>
    <s v="Rename/Move"/>
    <x v="0"/>
    <x v="0"/>
    <s v="HC"/>
    <m/>
    <m/>
    <s v="Henry Jr Ifurung"/>
  </r>
  <r>
    <n v="1185"/>
    <s v="F2"/>
    <x v="37"/>
    <s v="H000004612"/>
    <s v="BE - BU Rare Diseases"/>
    <s v="H000001695"/>
    <s v="Rename/Move"/>
    <x v="0"/>
    <x v="0"/>
    <s v="HC"/>
    <m/>
    <m/>
    <s v="Henry Jr Ifurung"/>
  </r>
  <r>
    <n v="1186"/>
    <s v="F2"/>
    <x v="37"/>
    <s v="H000004632"/>
    <s v="NL - BU Rare Diseases"/>
    <s v="H000002026"/>
    <s v="Rename/Move"/>
    <x v="0"/>
    <x v="0"/>
    <s v="HC"/>
    <m/>
    <m/>
    <s v="Henry Jr Ifurung"/>
  </r>
  <r>
    <n v="1187"/>
    <s v="F2"/>
    <x v="37"/>
    <s v="H000004652"/>
    <s v="RO - BU Rare Diseases"/>
    <s v="H000003613"/>
    <s v="Rename/Move"/>
    <x v="0"/>
    <x v="0"/>
    <s v="HC"/>
    <m/>
    <m/>
    <s v="Henry Jr Ifurung"/>
  </r>
  <r>
    <n v="1188"/>
    <s v="F2"/>
    <x v="37"/>
    <s v="H000004672"/>
    <s v="DK - BU Rare Diseases"/>
    <s v="H000002158"/>
    <s v="Rename/Move"/>
    <x v="0"/>
    <x v="0"/>
    <s v="HC"/>
    <m/>
    <m/>
    <s v="Henry Jr Ifurung"/>
  </r>
  <r>
    <n v="1189"/>
    <s v="F2"/>
    <x v="37"/>
    <s v="H000004692"/>
    <s v="SE - BU Rare Diseases"/>
    <s v="H000002407"/>
    <s v="Rename/Move"/>
    <x v="0"/>
    <x v="0"/>
    <s v="HC"/>
    <m/>
    <m/>
    <s v="Henry Jr Ifurung"/>
  </r>
  <r>
    <n v="1190"/>
    <s v="F2"/>
    <x v="37"/>
    <s v="H000004712"/>
    <s v="FI - BU Rare Diseases"/>
    <s v="H000002228"/>
    <s v="Rename/Move"/>
    <x v="0"/>
    <x v="0"/>
    <s v="HC"/>
    <m/>
    <m/>
    <s v="Henry Jr Ifurung"/>
  </r>
  <r>
    <n v="1191"/>
    <s v="F2"/>
    <x v="37"/>
    <s v="H000004732"/>
    <s v="NO - BU Rare Diseases"/>
    <s v="H000002372"/>
    <s v="Rename/Move"/>
    <x v="0"/>
    <x v="0"/>
    <s v="HC"/>
    <m/>
    <m/>
    <s v="Henry Jr Ifurung"/>
  </r>
  <r>
    <n v="1192"/>
    <s v="F2"/>
    <x v="37"/>
    <s v="H000004752"/>
    <s v="CZ - BU Rare Diseases"/>
    <s v="H000002141"/>
    <s v="Rename/Move"/>
    <x v="0"/>
    <x v="0"/>
    <s v="HC"/>
    <m/>
    <m/>
    <s v="Henry Jr Ifurung"/>
  </r>
  <r>
    <n v="1193"/>
    <s v="F2"/>
    <x v="37"/>
    <s v="H000004772"/>
    <s v="HU - BU Rare Diseases"/>
    <s v="H000003640"/>
    <s v="Rename/Move"/>
    <x v="0"/>
    <x v="0"/>
    <s v="HC"/>
    <m/>
    <m/>
    <s v="Henry Jr Ifurung"/>
  </r>
  <r>
    <n v="1194"/>
    <s v="F2"/>
    <x v="37"/>
    <s v="H000004792"/>
    <s v="GR - BU Rare Diseases"/>
    <s v="H000002269"/>
    <s v="Rename/Move"/>
    <x v="0"/>
    <x v="0"/>
    <s v="HC"/>
    <m/>
    <m/>
    <s v="Henry Jr Ifurung"/>
  </r>
  <r>
    <n v="1195"/>
    <s v="F2"/>
    <x v="37"/>
    <s v="H000004812"/>
    <s v="SI - BU Rare Diseases"/>
    <s v="H000002153"/>
    <s v="Rename/Move"/>
    <x v="0"/>
    <x v="0"/>
    <s v="HC"/>
    <m/>
    <m/>
    <s v="Henry Jr Ifurung"/>
  </r>
  <r>
    <n v="1196"/>
    <s v="F2"/>
    <x v="37"/>
    <s v="H000004832"/>
    <s v="BG - BU Rare Diseases"/>
    <s v="H000003566"/>
    <s v="Rename/Move"/>
    <x v="0"/>
    <x v="0"/>
    <s v="HC"/>
    <m/>
    <m/>
    <s v="Henry Jr Ifurung"/>
  </r>
  <r>
    <n v="1197"/>
    <s v="F2"/>
    <x v="37"/>
    <s v="H000004423"/>
    <s v="DE - Medical Rare Diseases"/>
    <s v="H000001765"/>
    <s v="Rename/Move"/>
    <x v="0"/>
    <x v="0"/>
    <s v="HC"/>
    <m/>
    <m/>
    <s v="Henry Jr Ifurung"/>
  </r>
  <r>
    <n v="1198"/>
    <s v="F2"/>
    <x v="37"/>
    <s v="H000004444"/>
    <s v="GB Medical Rare Diseases"/>
    <s v="H000002110"/>
    <s v="Rename/Move"/>
    <x v="0"/>
    <x v="0"/>
    <s v="HC"/>
    <m/>
    <m/>
    <s v="Henry Jr Ifurung"/>
  </r>
  <r>
    <n v="1199"/>
    <s v="F2"/>
    <x v="37"/>
    <s v="H000004464"/>
    <s v="ES - Medical Dptm. Rare Diseases"/>
    <s v="H000003990"/>
    <s v="Rename/Move"/>
    <x v="0"/>
    <x v="0"/>
    <s v="HC"/>
    <m/>
    <m/>
    <s v="Henry Jr Ifurung"/>
  </r>
  <r>
    <n v="1200"/>
    <s v="F2"/>
    <x v="37"/>
    <s v="H000004484"/>
    <s v="IT Medical Rare Diseases"/>
    <s v="H000001890"/>
    <s v="Rename/Move"/>
    <x v="0"/>
    <x v="0"/>
    <s v="HC"/>
    <m/>
    <m/>
    <s v="Henry Jr Ifurung"/>
  </r>
  <r>
    <n v="1201"/>
    <s v="F2"/>
    <x v="37"/>
    <s v="H000004504"/>
    <s v="FR Medical Rare Diseases"/>
    <s v="H000001633"/>
    <s v="Rename/Move"/>
    <x v="0"/>
    <x v="0"/>
    <s v="HC"/>
    <m/>
    <m/>
    <s v="Henry Jr Ifurung"/>
  </r>
  <r>
    <n v="1202"/>
    <s v="F2"/>
    <x v="37"/>
    <s v="H000004524"/>
    <s v="AT Medical Rare Diseases"/>
    <s v="H000003629"/>
    <s v="Rename/Move"/>
    <x v="0"/>
    <x v="0"/>
    <s v="HC"/>
    <m/>
    <m/>
    <s v="Henry Jr Ifurung"/>
  </r>
  <r>
    <n v="1203"/>
    <s v="F2"/>
    <x v="37"/>
    <s v="H000004544"/>
    <s v="CH Medical Rare Diseases"/>
    <s v="H000002006"/>
    <s v="Rename/Move"/>
    <x v="0"/>
    <x v="0"/>
    <s v="HC"/>
    <m/>
    <m/>
    <s v="Henry Jr Ifurung"/>
  </r>
  <r>
    <n v="1204"/>
    <s v="F2"/>
    <x v="37"/>
    <s v="H000004564"/>
    <s v="PT Medical Rare Diseases"/>
    <s v="H000001959"/>
    <s v="Rename/Move"/>
    <x v="0"/>
    <x v="0"/>
    <s v="HC"/>
    <m/>
    <m/>
    <s v="Henry Jr Ifurung"/>
  </r>
  <r>
    <n v="1205"/>
    <s v="F2"/>
    <x v="37"/>
    <s v="H000004584"/>
    <s v="IL Medical Rare Diseases"/>
    <s v="H000003570"/>
    <s v="Rename/Move"/>
    <x v="0"/>
    <x v="0"/>
    <s v="HC"/>
    <m/>
    <m/>
    <s v="Henry Jr Ifurung"/>
  </r>
  <r>
    <n v="1206"/>
    <s v="F2"/>
    <x v="37"/>
    <s v="H000004604"/>
    <s v="PL Medical Rare Diseases"/>
    <s v="H000003592"/>
    <s v="Rename/Move"/>
    <x v="0"/>
    <x v="0"/>
    <s v="HC"/>
    <m/>
    <m/>
    <s v="Henry Jr Ifurung"/>
  </r>
  <r>
    <n v="1207"/>
    <s v="F2"/>
    <x v="37"/>
    <s v="H000004624"/>
    <s v="BE Medical Rare Diseases"/>
    <s v="H000001712"/>
    <s v="Rename/Move"/>
    <x v="0"/>
    <x v="0"/>
    <s v="HC"/>
    <m/>
    <m/>
    <s v="Henry Jr Ifurung"/>
  </r>
  <r>
    <n v="1208"/>
    <s v="F2"/>
    <x v="37"/>
    <s v="H000004644"/>
    <s v="NL Medical Rare Diseases"/>
    <s v="H000002046"/>
    <s v="Rename/Move"/>
    <x v="0"/>
    <x v="0"/>
    <s v="HC"/>
    <m/>
    <m/>
    <s v="Henry Jr Ifurung"/>
  </r>
  <r>
    <n v="1209"/>
    <s v="F2"/>
    <x v="37"/>
    <s v="H000004664"/>
    <s v="RO Medical Rare Diseases"/>
    <s v="H000003614"/>
    <s v="Rename/Move"/>
    <x v="0"/>
    <x v="0"/>
    <s v="HC"/>
    <m/>
    <m/>
    <s v="Henry Jr Ifurung"/>
  </r>
  <r>
    <n v="1210"/>
    <s v="F2"/>
    <x v="37"/>
    <s v="H000004684"/>
    <s v="DK Medical Rare Diseases"/>
    <s v="H000002171"/>
    <s v="Rename/Move"/>
    <x v="0"/>
    <x v="0"/>
    <s v="HC"/>
    <m/>
    <m/>
    <s v="Henry Jr Ifurung"/>
  </r>
  <r>
    <n v="1211"/>
    <s v="F2"/>
    <x v="37"/>
    <s v="H000004704"/>
    <s v="SE Medical Rare Diseases"/>
    <s v="H000002420"/>
    <s v="Rename/Move"/>
    <x v="0"/>
    <x v="0"/>
    <s v="HC"/>
    <m/>
    <m/>
    <s v="Henry Jr Ifurung"/>
  </r>
  <r>
    <n v="1212"/>
    <s v="F2"/>
    <x v="37"/>
    <s v="H000004724"/>
    <s v="FI Medical Rare Diseases"/>
    <s v="H000002241"/>
    <s v="Rename/Move"/>
    <x v="0"/>
    <x v="0"/>
    <s v="HC"/>
    <m/>
    <m/>
    <s v="Henry Jr Ifurung"/>
  </r>
  <r>
    <n v="1213"/>
    <s v="F2"/>
    <x v="37"/>
    <s v="H000004744"/>
    <s v="NO Medical Rare Diseases"/>
    <s v="H000002385"/>
    <s v="Rename/Move"/>
    <x v="0"/>
    <x v="0"/>
    <s v="HC"/>
    <m/>
    <m/>
    <s v="Henry Jr Ifurung"/>
  </r>
  <r>
    <n v="1214"/>
    <s v="F2"/>
    <x v="37"/>
    <s v="H000004764"/>
    <s v="CZ Medical Rare Diseases"/>
    <s v="H000002142"/>
    <s v="Rename/Move"/>
    <x v="0"/>
    <x v="0"/>
    <s v="HC"/>
    <m/>
    <m/>
    <s v="Henry Jr Ifurung"/>
  </r>
  <r>
    <n v="1215"/>
    <s v="F2"/>
    <x v="37"/>
    <s v="H000004784"/>
    <s v="HU Medical Rare Diseases"/>
    <s v="H000003641"/>
    <s v="Rename/Move"/>
    <x v="0"/>
    <x v="0"/>
    <s v="HC"/>
    <m/>
    <m/>
    <s v="Henry Jr Ifurung"/>
  </r>
  <r>
    <n v="1216"/>
    <s v="F2"/>
    <x v="37"/>
    <s v="H000004804"/>
    <s v="GR Medical Rare Diseases"/>
    <s v="H000002282"/>
    <s v="Rename/Move"/>
    <x v="0"/>
    <x v="0"/>
    <s v="HC"/>
    <m/>
    <m/>
    <s v="Henry Jr Ifurung"/>
  </r>
  <r>
    <n v="1217"/>
    <s v="F2"/>
    <x v="37"/>
    <s v="H000004824"/>
    <s v="SI Medical Rare Diseases"/>
    <s v="H000002154"/>
    <s v="Rename/Move"/>
    <x v="0"/>
    <x v="0"/>
    <s v="HC"/>
    <m/>
    <m/>
    <s v="Henry Jr Ifurung"/>
  </r>
  <r>
    <n v="1218"/>
    <s v="F2"/>
    <x v="37"/>
    <s v="H000004844"/>
    <s v="BG Medical Rare Diseases"/>
    <s v="H000003567"/>
    <s v="Rename/Move"/>
    <x v="0"/>
    <x v="0"/>
    <s v="HC"/>
    <m/>
    <m/>
    <s v="Henry Jr Ifurung"/>
  </r>
  <r>
    <n v="1219"/>
    <s v="F2"/>
    <x v="37"/>
    <s v="H000004407"/>
    <m/>
    <s v="O000000009"/>
    <s v="Remove"/>
    <x v="0"/>
    <x v="0"/>
    <s v="HC"/>
    <m/>
    <m/>
    <s v="Henry Jr Ifurung"/>
  </r>
  <r>
    <n v="1220"/>
    <s v="F2"/>
    <x v="37"/>
    <s v="H000004408"/>
    <m/>
    <s v="O000000009"/>
    <s v="Remove"/>
    <x v="0"/>
    <x v="0"/>
    <s v="HC"/>
    <m/>
    <m/>
    <s v="Henry Jr Ifurung"/>
  </r>
  <r>
    <n v="1221"/>
    <s v="F2"/>
    <x v="37"/>
    <s v="H000004417"/>
    <m/>
    <s v="O000000009"/>
    <s v="Remove"/>
    <x v="0"/>
    <x v="0"/>
    <s v="HC"/>
    <m/>
    <m/>
    <s v="Henry Jr Ifurung"/>
  </r>
  <r>
    <n v="1222"/>
    <s v="F2"/>
    <x v="37"/>
    <s v="H000004418"/>
    <m/>
    <s v="O000000009"/>
    <s v="Remove"/>
    <x v="0"/>
    <x v="0"/>
    <s v="HC"/>
    <m/>
    <m/>
    <s v="Henry Jr Ifurung"/>
  </r>
  <r>
    <n v="1223"/>
    <s v="F2"/>
    <x v="37"/>
    <s v="H000004419"/>
    <m/>
    <s v="O000000009"/>
    <s v="Remove"/>
    <x v="0"/>
    <x v="0"/>
    <s v="HC"/>
    <m/>
    <m/>
    <s v="Henry Jr Ifurung"/>
  </r>
  <r>
    <n v="1224"/>
    <s v="F2"/>
    <x v="37"/>
    <s v="H000004420"/>
    <m/>
    <s v="O000000009"/>
    <s v="Remove"/>
    <x v="0"/>
    <x v="0"/>
    <s v="HC"/>
    <m/>
    <m/>
    <s v="Henry Jr Ifurung"/>
  </r>
  <r>
    <n v="1225"/>
    <s v="F2"/>
    <x v="37"/>
    <s v="H000004421"/>
    <m/>
    <s v="O000000009"/>
    <s v="Remove"/>
    <x v="0"/>
    <x v="0"/>
    <s v="HC"/>
    <m/>
    <m/>
    <s v="Henry Jr Ifurung"/>
  </r>
  <r>
    <n v="1226"/>
    <s v="F2"/>
    <x v="37"/>
    <s v="H000004422"/>
    <m/>
    <s v="O000000009"/>
    <s v="Remove"/>
    <x v="0"/>
    <x v="0"/>
    <s v="HC"/>
    <m/>
    <m/>
    <s v="Henry Jr Ifurung"/>
  </r>
  <r>
    <n v="1227"/>
    <s v="F2"/>
    <x v="37"/>
    <s v="H000004438"/>
    <m/>
    <s v="O000000009"/>
    <s v="Remove"/>
    <x v="0"/>
    <x v="0"/>
    <s v="HC"/>
    <m/>
    <m/>
    <s v="Henry Jr Ifurung"/>
  </r>
  <r>
    <n v="1228"/>
    <s v="F2"/>
    <x v="37"/>
    <s v="H000004439"/>
    <m/>
    <s v="O000000009"/>
    <s v="Remove"/>
    <x v="0"/>
    <x v="0"/>
    <s v="HC"/>
    <m/>
    <m/>
    <s v="Henry Jr Ifurung"/>
  </r>
  <r>
    <n v="1229"/>
    <s v="F2"/>
    <x v="37"/>
    <s v="H000004440"/>
    <m/>
    <s v="O000000009"/>
    <s v="Remove"/>
    <x v="0"/>
    <x v="0"/>
    <s v="HC"/>
    <m/>
    <m/>
    <s v="Henry Jr Ifurung"/>
  </r>
  <r>
    <n v="1230"/>
    <s v="F2"/>
    <x v="37"/>
    <s v="H000004441"/>
    <m/>
    <s v="O000000009"/>
    <s v="Remove"/>
    <x v="0"/>
    <x v="0"/>
    <s v="HC"/>
    <m/>
    <m/>
    <s v="Henry Jr Ifurung"/>
  </r>
  <r>
    <n v="1231"/>
    <s v="F2"/>
    <x v="37"/>
    <s v="H000004442"/>
    <m/>
    <s v="O000000009"/>
    <s v="Remove"/>
    <x v="0"/>
    <x v="0"/>
    <s v="HC"/>
    <m/>
    <m/>
    <s v="Henry Jr Ifurung"/>
  </r>
  <r>
    <n v="1232"/>
    <s v="F2"/>
    <x v="37"/>
    <s v="H000004443"/>
    <m/>
    <s v="O000000009"/>
    <s v="Remove"/>
    <x v="0"/>
    <x v="0"/>
    <s v="HC"/>
    <m/>
    <m/>
    <s v="Henry Jr Ifurung"/>
  </r>
  <r>
    <n v="1233"/>
    <s v="F2"/>
    <x v="37"/>
    <s v="H000004458"/>
    <m/>
    <s v="O000000009"/>
    <s v="Remove"/>
    <x v="0"/>
    <x v="0"/>
    <s v="HC"/>
    <m/>
    <m/>
    <s v="Henry Jr Ifurung"/>
  </r>
  <r>
    <n v="1234"/>
    <s v="F2"/>
    <x v="37"/>
    <s v="H000004459"/>
    <m/>
    <s v="O000000009"/>
    <s v="Remove"/>
    <x v="0"/>
    <x v="0"/>
    <s v="HC"/>
    <m/>
    <m/>
    <s v="Henry Jr Ifurung"/>
  </r>
  <r>
    <n v="1235"/>
    <s v="F2"/>
    <x v="37"/>
    <s v="H000004460"/>
    <m/>
    <s v="O000000009"/>
    <s v="Remove"/>
    <x v="0"/>
    <x v="0"/>
    <s v="HC"/>
    <m/>
    <m/>
    <s v="Henry Jr Ifurung"/>
  </r>
  <r>
    <n v="1236"/>
    <s v="F2"/>
    <x v="37"/>
    <s v="H000004461"/>
    <m/>
    <s v="O000000009"/>
    <s v="Remove"/>
    <x v="0"/>
    <x v="0"/>
    <s v="HC"/>
    <m/>
    <m/>
    <s v="Henry Jr Ifurung"/>
  </r>
  <r>
    <n v="1237"/>
    <s v="F2"/>
    <x v="37"/>
    <s v="H000004462"/>
    <m/>
    <s v="O000000009"/>
    <s v="Remove"/>
    <x v="0"/>
    <x v="0"/>
    <s v="HC"/>
    <m/>
    <m/>
    <s v="Henry Jr Ifurung"/>
  </r>
  <r>
    <n v="1238"/>
    <s v="F2"/>
    <x v="37"/>
    <s v="H000004463"/>
    <m/>
    <s v="O000000009"/>
    <s v="Remove"/>
    <x v="0"/>
    <x v="0"/>
    <s v="HC"/>
    <m/>
    <m/>
    <s v="Henry Jr Ifurung"/>
  </r>
  <r>
    <n v="1239"/>
    <s v="F2"/>
    <x v="37"/>
    <s v="H000004478"/>
    <m/>
    <s v="O000000009"/>
    <s v="Remove"/>
    <x v="0"/>
    <x v="0"/>
    <s v="HC"/>
    <m/>
    <m/>
    <s v="Henry Jr Ifurung"/>
  </r>
  <r>
    <n v="1240"/>
    <s v="F2"/>
    <x v="37"/>
    <s v="H000004479"/>
    <m/>
    <s v="O000000009"/>
    <s v="Remove"/>
    <x v="0"/>
    <x v="0"/>
    <s v="HC"/>
    <m/>
    <m/>
    <s v="Henry Jr Ifurung"/>
  </r>
  <r>
    <n v="1241"/>
    <s v="F2"/>
    <x v="37"/>
    <s v="H000004480"/>
    <m/>
    <s v="O000000009"/>
    <s v="Remove"/>
    <x v="0"/>
    <x v="0"/>
    <s v="HC"/>
    <m/>
    <m/>
    <s v="Henry Jr Ifurung"/>
  </r>
  <r>
    <n v="1242"/>
    <s v="F2"/>
    <x v="37"/>
    <s v="H000004481"/>
    <m/>
    <s v="O000000009"/>
    <s v="Remove"/>
    <x v="0"/>
    <x v="0"/>
    <s v="HC"/>
    <m/>
    <m/>
    <s v="Henry Jr Ifurung"/>
  </r>
  <r>
    <n v="1243"/>
    <s v="F2"/>
    <x v="37"/>
    <s v="H000004482"/>
    <m/>
    <s v="O000000009"/>
    <s v="Remove"/>
    <x v="0"/>
    <x v="0"/>
    <s v="HC"/>
    <m/>
    <m/>
    <s v="Henry Jr Ifurung"/>
  </r>
  <r>
    <n v="1244"/>
    <s v="F2"/>
    <x v="37"/>
    <s v="H000004483"/>
    <m/>
    <s v="O000000009"/>
    <s v="Remove"/>
    <x v="0"/>
    <x v="0"/>
    <s v="HC"/>
    <m/>
    <m/>
    <s v="Henry Jr Ifurung"/>
  </r>
  <r>
    <n v="1245"/>
    <s v="F2"/>
    <x v="37"/>
    <s v="H000004498"/>
    <m/>
    <s v="O000000009"/>
    <s v="Remove"/>
    <x v="0"/>
    <x v="0"/>
    <s v="HC"/>
    <m/>
    <m/>
    <s v="Henry Jr Ifurung"/>
  </r>
  <r>
    <n v="1246"/>
    <s v="F2"/>
    <x v="37"/>
    <s v="H000004499"/>
    <m/>
    <s v="O000000009"/>
    <s v="Remove"/>
    <x v="0"/>
    <x v="0"/>
    <s v="HC"/>
    <m/>
    <m/>
    <s v="Henry Jr Ifurung"/>
  </r>
  <r>
    <n v="1247"/>
    <s v="F2"/>
    <x v="37"/>
    <s v="H000004500"/>
    <m/>
    <s v="O000000009"/>
    <s v="Remove"/>
    <x v="0"/>
    <x v="0"/>
    <s v="HC"/>
    <m/>
    <m/>
    <s v="Henry Jr Ifurung"/>
  </r>
  <r>
    <n v="1248"/>
    <s v="F2"/>
    <x v="37"/>
    <s v="H000004501"/>
    <m/>
    <s v="O000000009"/>
    <s v="Remove"/>
    <x v="0"/>
    <x v="0"/>
    <s v="HC"/>
    <m/>
    <m/>
    <s v="Henry Jr Ifurung"/>
  </r>
  <r>
    <n v="1249"/>
    <s v="F2"/>
    <x v="37"/>
    <s v="H000004502"/>
    <m/>
    <s v="O000000009"/>
    <s v="Remove"/>
    <x v="0"/>
    <x v="0"/>
    <s v="HC"/>
    <m/>
    <m/>
    <s v="Henry Jr Ifurung"/>
  </r>
  <r>
    <n v="1250"/>
    <s v="F2"/>
    <x v="37"/>
    <s v="H000004503"/>
    <m/>
    <s v="O000000009"/>
    <s v="Remove"/>
    <x v="0"/>
    <x v="0"/>
    <s v="HC"/>
    <m/>
    <m/>
    <s v="Henry Jr Ifurung"/>
  </r>
  <r>
    <n v="1251"/>
    <s v="F2"/>
    <x v="37"/>
    <s v="H000004518"/>
    <m/>
    <s v="O000000009"/>
    <s v="Remove"/>
    <x v="0"/>
    <x v="0"/>
    <s v="HC"/>
    <m/>
    <m/>
    <s v="Henry Jr Ifurung"/>
  </r>
  <r>
    <n v="1252"/>
    <s v="F2"/>
    <x v="37"/>
    <s v="H000004519"/>
    <m/>
    <s v="O000000009"/>
    <s v="Remove"/>
    <x v="0"/>
    <x v="0"/>
    <s v="HC"/>
    <m/>
    <m/>
    <s v="Henry Jr Ifurung"/>
  </r>
  <r>
    <n v="1253"/>
    <s v="F2"/>
    <x v="37"/>
    <s v="H000004520"/>
    <m/>
    <s v="O000000009"/>
    <s v="Remove"/>
    <x v="0"/>
    <x v="0"/>
    <s v="HC"/>
    <m/>
    <m/>
    <s v="Henry Jr Ifurung"/>
  </r>
  <r>
    <n v="1254"/>
    <s v="F2"/>
    <x v="37"/>
    <s v="H000004521"/>
    <m/>
    <s v="O000000009"/>
    <s v="Remove"/>
    <x v="0"/>
    <x v="0"/>
    <s v="HC"/>
    <m/>
    <m/>
    <s v="Henry Jr Ifurung"/>
  </r>
  <r>
    <n v="1255"/>
    <s v="F2"/>
    <x v="37"/>
    <s v="H000004522"/>
    <m/>
    <s v="O000000009"/>
    <s v="Remove"/>
    <x v="0"/>
    <x v="0"/>
    <s v="HC"/>
    <m/>
    <m/>
    <s v="Henry Jr Ifurung"/>
  </r>
  <r>
    <n v="1256"/>
    <s v="F2"/>
    <x v="37"/>
    <s v="H000004523"/>
    <m/>
    <s v="O000000009"/>
    <s v="Remove"/>
    <x v="0"/>
    <x v="0"/>
    <s v="HC"/>
    <m/>
    <m/>
    <s v="Henry Jr Ifurung"/>
  </r>
  <r>
    <n v="1257"/>
    <s v="F2"/>
    <x v="37"/>
    <s v="H000004538"/>
    <m/>
    <s v="O000000009"/>
    <s v="Remove"/>
    <x v="0"/>
    <x v="0"/>
    <s v="HC"/>
    <m/>
    <m/>
    <s v="Henry Jr Ifurung"/>
  </r>
  <r>
    <n v="1258"/>
    <s v="F2"/>
    <x v="37"/>
    <s v="H000004539"/>
    <m/>
    <s v="O000000009"/>
    <s v="Remove"/>
    <x v="0"/>
    <x v="0"/>
    <s v="HC"/>
    <m/>
    <m/>
    <s v="Henry Jr Ifurung"/>
  </r>
  <r>
    <n v="1259"/>
    <s v="F2"/>
    <x v="37"/>
    <s v="H000004540"/>
    <m/>
    <s v="O000000009"/>
    <s v="Remove"/>
    <x v="0"/>
    <x v="0"/>
    <s v="HC"/>
    <m/>
    <m/>
    <s v="Henry Jr Ifurung"/>
  </r>
  <r>
    <n v="1260"/>
    <s v="F2"/>
    <x v="37"/>
    <s v="H000004541"/>
    <m/>
    <s v="O000000009"/>
    <s v="Remove"/>
    <x v="0"/>
    <x v="0"/>
    <s v="HC"/>
    <m/>
    <m/>
    <s v="Henry Jr Ifurung"/>
  </r>
  <r>
    <n v="1261"/>
    <s v="F2"/>
    <x v="37"/>
    <s v="H000004542"/>
    <m/>
    <s v="O000000009"/>
    <s v="Remove"/>
    <x v="0"/>
    <x v="0"/>
    <s v="HC"/>
    <m/>
    <m/>
    <s v="Henry Jr Ifurung"/>
  </r>
  <r>
    <n v="1262"/>
    <s v="F2"/>
    <x v="37"/>
    <s v="H000004543"/>
    <m/>
    <s v="O000000009"/>
    <s v="Remove"/>
    <x v="0"/>
    <x v="0"/>
    <s v="HC"/>
    <m/>
    <m/>
    <s v="Henry Jr Ifurung"/>
  </r>
  <r>
    <n v="1263"/>
    <s v="F2"/>
    <x v="37"/>
    <s v="H000004558"/>
    <m/>
    <s v="O000000009"/>
    <s v="Remove"/>
    <x v="0"/>
    <x v="0"/>
    <s v="HC"/>
    <m/>
    <m/>
    <s v="Henry Jr Ifurung"/>
  </r>
  <r>
    <n v="1264"/>
    <s v="F2"/>
    <x v="37"/>
    <s v="H000004559"/>
    <m/>
    <s v="O000000009"/>
    <s v="Remove"/>
    <x v="0"/>
    <x v="0"/>
    <s v="HC"/>
    <m/>
    <m/>
    <s v="Henry Jr Ifurung"/>
  </r>
  <r>
    <n v="1265"/>
    <s v="F2"/>
    <x v="37"/>
    <s v="H000004560"/>
    <m/>
    <s v="O000000009"/>
    <s v="Remove"/>
    <x v="0"/>
    <x v="0"/>
    <s v="HC"/>
    <m/>
    <m/>
    <s v="Henry Jr Ifurung"/>
  </r>
  <r>
    <n v="1266"/>
    <s v="F2"/>
    <x v="37"/>
    <s v="H000004561"/>
    <m/>
    <s v="O000000009"/>
    <s v="Remove"/>
    <x v="0"/>
    <x v="0"/>
    <s v="HC"/>
    <m/>
    <m/>
    <s v="Henry Jr Ifurung"/>
  </r>
  <r>
    <n v="1267"/>
    <s v="F2"/>
    <x v="37"/>
    <s v="H000004562"/>
    <m/>
    <s v="O000000009"/>
    <s v="Remove"/>
    <x v="0"/>
    <x v="0"/>
    <s v="HC"/>
    <m/>
    <m/>
    <s v="Henry Jr Ifurung"/>
  </r>
  <r>
    <n v="1268"/>
    <s v="F2"/>
    <x v="37"/>
    <s v="H000004563"/>
    <m/>
    <s v="O000000009"/>
    <s v="Remove"/>
    <x v="0"/>
    <x v="0"/>
    <s v="HC"/>
    <m/>
    <m/>
    <s v="Henry Jr Ifurung"/>
  </r>
  <r>
    <n v="1269"/>
    <s v="F2"/>
    <x v="37"/>
    <s v="H000004578"/>
    <m/>
    <s v="O000000009"/>
    <s v="Remove"/>
    <x v="0"/>
    <x v="0"/>
    <s v="HC"/>
    <m/>
    <m/>
    <s v="Henry Jr Ifurung"/>
  </r>
  <r>
    <n v="1270"/>
    <s v="F2"/>
    <x v="37"/>
    <s v="H000004579"/>
    <m/>
    <s v="O000000009"/>
    <s v="Remove"/>
    <x v="0"/>
    <x v="0"/>
    <s v="HC"/>
    <m/>
    <m/>
    <s v="Henry Jr Ifurung"/>
  </r>
  <r>
    <n v="1271"/>
    <s v="F2"/>
    <x v="37"/>
    <s v="H000004580"/>
    <m/>
    <s v="O000000009"/>
    <s v="Remove"/>
    <x v="0"/>
    <x v="0"/>
    <s v="HC"/>
    <m/>
    <m/>
    <s v="Henry Jr Ifurung"/>
  </r>
  <r>
    <n v="1272"/>
    <s v="F2"/>
    <x v="37"/>
    <s v="H000004581"/>
    <m/>
    <s v="O000000009"/>
    <s v="Remove"/>
    <x v="0"/>
    <x v="0"/>
    <s v="HC"/>
    <m/>
    <m/>
    <s v="Henry Jr Ifurung"/>
  </r>
  <r>
    <n v="1273"/>
    <s v="F2"/>
    <x v="37"/>
    <s v="H000004582"/>
    <m/>
    <s v="O000000009"/>
    <s v="Remove"/>
    <x v="0"/>
    <x v="0"/>
    <s v="HC"/>
    <m/>
    <m/>
    <s v="Henry Jr Ifurung"/>
  </r>
  <r>
    <n v="1274"/>
    <s v="F2"/>
    <x v="37"/>
    <s v="H000004583"/>
    <m/>
    <s v="O000000009"/>
    <s v="Remove"/>
    <x v="0"/>
    <x v="0"/>
    <s v="HC"/>
    <m/>
    <m/>
    <s v="Henry Jr Ifurung"/>
  </r>
  <r>
    <n v="1275"/>
    <s v="F2"/>
    <x v="37"/>
    <s v="H000004598"/>
    <m/>
    <s v="O000000009"/>
    <s v="Remove"/>
    <x v="0"/>
    <x v="0"/>
    <s v="HC"/>
    <m/>
    <m/>
    <s v="Henry Jr Ifurung"/>
  </r>
  <r>
    <n v="1276"/>
    <s v="F2"/>
    <x v="37"/>
    <s v="H000004599"/>
    <m/>
    <s v="O000000009"/>
    <s v="Remove"/>
    <x v="0"/>
    <x v="0"/>
    <s v="HC"/>
    <m/>
    <m/>
    <s v="Henry Jr Ifurung"/>
  </r>
  <r>
    <n v="1277"/>
    <s v="F2"/>
    <x v="37"/>
    <s v="H000004600"/>
    <m/>
    <s v="O000000009"/>
    <s v="Remove"/>
    <x v="0"/>
    <x v="0"/>
    <s v="HC"/>
    <m/>
    <m/>
    <s v="Henry Jr Ifurung"/>
  </r>
  <r>
    <n v="1278"/>
    <s v="F2"/>
    <x v="37"/>
    <s v="H000004601"/>
    <m/>
    <s v="O000000009"/>
    <s v="Remove"/>
    <x v="0"/>
    <x v="0"/>
    <s v="HC"/>
    <m/>
    <m/>
    <s v="Henry Jr Ifurung"/>
  </r>
  <r>
    <n v="1279"/>
    <s v="F2"/>
    <x v="37"/>
    <s v="H000004602"/>
    <m/>
    <s v="O000000009"/>
    <s v="Remove"/>
    <x v="0"/>
    <x v="0"/>
    <s v="HC"/>
    <m/>
    <m/>
    <s v="Henry Jr Ifurung"/>
  </r>
  <r>
    <n v="1280"/>
    <s v="F2"/>
    <x v="37"/>
    <s v="H000004603"/>
    <m/>
    <s v="O000000009"/>
    <s v="Remove"/>
    <x v="0"/>
    <x v="0"/>
    <s v="HC"/>
    <m/>
    <m/>
    <s v="Henry Jr Ifurung"/>
  </r>
  <r>
    <n v="1281"/>
    <s v="F2"/>
    <x v="37"/>
    <s v="H000004618"/>
    <m/>
    <s v="O000000009"/>
    <s v="Remove"/>
    <x v="0"/>
    <x v="0"/>
    <s v="HC"/>
    <m/>
    <m/>
    <s v="Henry Jr Ifurung"/>
  </r>
  <r>
    <n v="1282"/>
    <s v="F2"/>
    <x v="37"/>
    <s v="H000004619"/>
    <m/>
    <s v="O000000009"/>
    <s v="Remove"/>
    <x v="0"/>
    <x v="0"/>
    <s v="HC"/>
    <m/>
    <m/>
    <s v="Henry Jr Ifurung"/>
  </r>
  <r>
    <n v="1283"/>
    <s v="F2"/>
    <x v="37"/>
    <s v="H000004620"/>
    <m/>
    <s v="O000000009"/>
    <s v="Remove"/>
    <x v="0"/>
    <x v="0"/>
    <s v="HC"/>
    <m/>
    <m/>
    <s v="Henry Jr Ifurung"/>
  </r>
  <r>
    <n v="1284"/>
    <s v="F2"/>
    <x v="37"/>
    <s v="H000004621"/>
    <m/>
    <s v="O000000009"/>
    <s v="Remove"/>
    <x v="0"/>
    <x v="0"/>
    <s v="HC"/>
    <m/>
    <m/>
    <s v="Henry Jr Ifurung"/>
  </r>
  <r>
    <n v="1285"/>
    <s v="F2"/>
    <x v="37"/>
    <s v="H000004622"/>
    <m/>
    <s v="O000000009"/>
    <s v="Remove"/>
    <x v="0"/>
    <x v="0"/>
    <s v="HC"/>
    <m/>
    <m/>
    <s v="Henry Jr Ifurung"/>
  </r>
  <r>
    <n v="1286"/>
    <s v="F2"/>
    <x v="37"/>
    <s v="H000004623"/>
    <m/>
    <s v="O000000009"/>
    <s v="Remove"/>
    <x v="0"/>
    <x v="0"/>
    <s v="HC"/>
    <m/>
    <m/>
    <s v="Henry Jr Ifurung"/>
  </r>
  <r>
    <n v="1287"/>
    <s v="F2"/>
    <x v="37"/>
    <s v="H000004638"/>
    <m/>
    <s v="O000000009"/>
    <s v="Remove"/>
    <x v="0"/>
    <x v="0"/>
    <s v="HC"/>
    <m/>
    <m/>
    <s v="Henry Jr Ifurung"/>
  </r>
  <r>
    <n v="1288"/>
    <s v="F2"/>
    <x v="37"/>
    <s v="H000004639"/>
    <m/>
    <s v="O000000009"/>
    <s v="Remove"/>
    <x v="0"/>
    <x v="0"/>
    <s v="HC"/>
    <m/>
    <m/>
    <s v="Henry Jr Ifurung"/>
  </r>
  <r>
    <n v="1289"/>
    <s v="F2"/>
    <x v="37"/>
    <s v="H000004640"/>
    <m/>
    <s v="O000000009"/>
    <s v="Remove"/>
    <x v="0"/>
    <x v="0"/>
    <s v="HC"/>
    <m/>
    <m/>
    <s v="Henry Jr Ifurung"/>
  </r>
  <r>
    <n v="1290"/>
    <s v="F2"/>
    <x v="37"/>
    <s v="H000004641"/>
    <m/>
    <s v="O000000009"/>
    <s v="Remove"/>
    <x v="0"/>
    <x v="0"/>
    <s v="HC"/>
    <m/>
    <m/>
    <s v="Henry Jr Ifurung"/>
  </r>
  <r>
    <n v="1291"/>
    <s v="F2"/>
    <x v="37"/>
    <s v="H000004642"/>
    <m/>
    <s v="O000000009"/>
    <s v="Remove"/>
    <x v="0"/>
    <x v="0"/>
    <s v="HC"/>
    <m/>
    <m/>
    <s v="Henry Jr Ifurung"/>
  </r>
  <r>
    <n v="1292"/>
    <s v="F2"/>
    <x v="37"/>
    <s v="H000004643"/>
    <m/>
    <s v="O000000009"/>
    <s v="Remove"/>
    <x v="0"/>
    <x v="0"/>
    <s v="HC"/>
    <m/>
    <m/>
    <s v="Henry Jr Ifurung"/>
  </r>
  <r>
    <n v="1293"/>
    <s v="F2"/>
    <x v="37"/>
    <s v="H000004658"/>
    <m/>
    <s v="O000000009"/>
    <s v="Remove"/>
    <x v="0"/>
    <x v="0"/>
    <s v="HC"/>
    <m/>
    <m/>
    <s v="Henry Jr Ifurung"/>
  </r>
  <r>
    <n v="1294"/>
    <s v="F2"/>
    <x v="37"/>
    <s v="H000004659"/>
    <m/>
    <s v="O000000009"/>
    <s v="Remove"/>
    <x v="0"/>
    <x v="0"/>
    <s v="HC"/>
    <m/>
    <m/>
    <s v="Henry Jr Ifurung"/>
  </r>
  <r>
    <n v="1295"/>
    <s v="F2"/>
    <x v="37"/>
    <s v="H000004660"/>
    <m/>
    <s v="O000000009"/>
    <s v="Remove"/>
    <x v="0"/>
    <x v="0"/>
    <s v="HC"/>
    <m/>
    <m/>
    <s v="Henry Jr Ifurung"/>
  </r>
  <r>
    <n v="1296"/>
    <s v="F2"/>
    <x v="37"/>
    <s v="H000004661"/>
    <m/>
    <s v="O000000009"/>
    <s v="Remove"/>
    <x v="0"/>
    <x v="0"/>
    <s v="HC"/>
    <m/>
    <m/>
    <s v="Henry Jr Ifurung"/>
  </r>
  <r>
    <n v="1297"/>
    <s v="F2"/>
    <x v="37"/>
    <s v="H000004662"/>
    <m/>
    <s v="O000000009"/>
    <s v="Remove"/>
    <x v="0"/>
    <x v="0"/>
    <s v="HC"/>
    <m/>
    <m/>
    <s v="Henry Jr Ifurung"/>
  </r>
  <r>
    <n v="1298"/>
    <s v="F2"/>
    <x v="37"/>
    <s v="H000004663"/>
    <m/>
    <s v="O000000009"/>
    <s v="Remove"/>
    <x v="0"/>
    <x v="0"/>
    <s v="HC"/>
    <m/>
    <m/>
    <s v="Henry Jr Ifurung"/>
  </r>
  <r>
    <n v="1299"/>
    <s v="F2"/>
    <x v="37"/>
    <s v="H000004678"/>
    <m/>
    <s v="O000000009"/>
    <s v="Remove"/>
    <x v="0"/>
    <x v="0"/>
    <s v="HC"/>
    <m/>
    <m/>
    <s v="Henry Jr Ifurung"/>
  </r>
  <r>
    <n v="1300"/>
    <s v="F2"/>
    <x v="37"/>
    <s v="H000004679"/>
    <m/>
    <s v="O000000009"/>
    <s v="Remove"/>
    <x v="0"/>
    <x v="0"/>
    <s v="HC"/>
    <m/>
    <m/>
    <s v="Henry Jr Ifurung"/>
  </r>
  <r>
    <n v="1301"/>
    <s v="F2"/>
    <x v="37"/>
    <s v="H000004680"/>
    <m/>
    <s v="O000000009"/>
    <s v="Remove"/>
    <x v="0"/>
    <x v="0"/>
    <s v="HC"/>
    <m/>
    <m/>
    <s v="Henry Jr Ifurung"/>
  </r>
  <r>
    <n v="1302"/>
    <s v="F2"/>
    <x v="37"/>
    <s v="H000004681"/>
    <m/>
    <s v="O000000009"/>
    <s v="Remove"/>
    <x v="0"/>
    <x v="0"/>
    <s v="HC"/>
    <m/>
    <m/>
    <s v="Henry Jr Ifurung"/>
  </r>
  <r>
    <n v="1303"/>
    <s v="F2"/>
    <x v="37"/>
    <s v="H000004682"/>
    <m/>
    <s v="O000000009"/>
    <s v="Remove"/>
    <x v="0"/>
    <x v="0"/>
    <s v="HC"/>
    <m/>
    <m/>
    <s v="Henry Jr Ifurung"/>
  </r>
  <r>
    <n v="1304"/>
    <s v="F2"/>
    <x v="37"/>
    <s v="H000004683"/>
    <m/>
    <s v="O000000009"/>
    <s v="Remove"/>
    <x v="0"/>
    <x v="0"/>
    <s v="HC"/>
    <m/>
    <m/>
    <s v="Henry Jr Ifurung"/>
  </r>
  <r>
    <n v="1305"/>
    <s v="F2"/>
    <x v="37"/>
    <s v="H000004698"/>
    <m/>
    <s v="O000000009"/>
    <s v="Remove"/>
    <x v="0"/>
    <x v="0"/>
    <s v="HC"/>
    <m/>
    <m/>
    <s v="Henry Jr Ifurung"/>
  </r>
  <r>
    <n v="1306"/>
    <s v="F2"/>
    <x v="37"/>
    <s v="H000004699"/>
    <m/>
    <s v="O000000009"/>
    <s v="Remove"/>
    <x v="0"/>
    <x v="0"/>
    <s v="HC"/>
    <m/>
    <m/>
    <s v="Henry Jr Ifurung"/>
  </r>
  <r>
    <n v="1307"/>
    <s v="F2"/>
    <x v="37"/>
    <s v="H000004700"/>
    <m/>
    <s v="O000000009"/>
    <s v="Remove"/>
    <x v="0"/>
    <x v="0"/>
    <s v="HC"/>
    <m/>
    <m/>
    <s v="Henry Jr Ifurung"/>
  </r>
  <r>
    <n v="1308"/>
    <s v="F2"/>
    <x v="37"/>
    <s v="H000004701"/>
    <m/>
    <s v="O000000009"/>
    <s v="Remove"/>
    <x v="0"/>
    <x v="0"/>
    <s v="HC"/>
    <m/>
    <m/>
    <s v="Henry Jr Ifurung"/>
  </r>
  <r>
    <n v="1309"/>
    <s v="F2"/>
    <x v="37"/>
    <s v="H000004702"/>
    <m/>
    <s v="O000000009"/>
    <s v="Remove"/>
    <x v="0"/>
    <x v="0"/>
    <s v="HC"/>
    <m/>
    <m/>
    <s v="Henry Jr Ifurung"/>
  </r>
  <r>
    <n v="1310"/>
    <s v="F2"/>
    <x v="37"/>
    <s v="H000004703"/>
    <m/>
    <s v="O000000009"/>
    <s v="Remove"/>
    <x v="0"/>
    <x v="0"/>
    <s v="HC"/>
    <m/>
    <m/>
    <s v="Henry Jr Ifurung"/>
  </r>
  <r>
    <n v="1311"/>
    <s v="F2"/>
    <x v="37"/>
    <s v="H000004718"/>
    <m/>
    <s v="O000000009"/>
    <s v="Remove"/>
    <x v="0"/>
    <x v="0"/>
    <s v="HC"/>
    <m/>
    <m/>
    <s v="Henry Jr Ifurung"/>
  </r>
  <r>
    <n v="1312"/>
    <s v="F2"/>
    <x v="37"/>
    <s v="H000004719"/>
    <m/>
    <s v="O000000009"/>
    <s v="Remove"/>
    <x v="0"/>
    <x v="0"/>
    <s v="HC"/>
    <m/>
    <m/>
    <s v="Henry Jr Ifurung"/>
  </r>
  <r>
    <n v="1313"/>
    <s v="F2"/>
    <x v="37"/>
    <s v="H000004720"/>
    <m/>
    <s v="O000000009"/>
    <s v="Remove"/>
    <x v="0"/>
    <x v="0"/>
    <s v="HC"/>
    <m/>
    <m/>
    <s v="Henry Jr Ifurung"/>
  </r>
  <r>
    <n v="1314"/>
    <s v="F2"/>
    <x v="37"/>
    <s v="H000004721"/>
    <m/>
    <s v="O000000009"/>
    <s v="Remove"/>
    <x v="0"/>
    <x v="0"/>
    <s v="HC"/>
    <m/>
    <m/>
    <s v="Henry Jr Ifurung"/>
  </r>
  <r>
    <n v="1315"/>
    <s v="F2"/>
    <x v="37"/>
    <s v="H000004722"/>
    <m/>
    <s v="O000000009"/>
    <s v="Remove"/>
    <x v="0"/>
    <x v="0"/>
    <s v="HC"/>
    <m/>
    <m/>
    <s v="Henry Jr Ifurung"/>
  </r>
  <r>
    <n v="1316"/>
    <s v="F2"/>
    <x v="37"/>
    <s v="H000004723"/>
    <m/>
    <s v="O000000009"/>
    <s v="Remove"/>
    <x v="0"/>
    <x v="0"/>
    <s v="HC"/>
    <m/>
    <m/>
    <s v="Henry Jr Ifurung"/>
  </r>
  <r>
    <n v="1317"/>
    <s v="F2"/>
    <x v="37"/>
    <s v="H000004738"/>
    <m/>
    <s v="O000000009"/>
    <s v="Remove"/>
    <x v="0"/>
    <x v="0"/>
    <s v="HC"/>
    <m/>
    <m/>
    <s v="Henry Jr Ifurung"/>
  </r>
  <r>
    <n v="1318"/>
    <s v="F2"/>
    <x v="37"/>
    <s v="H000004739"/>
    <m/>
    <s v="O000000009"/>
    <s v="Remove"/>
    <x v="0"/>
    <x v="0"/>
    <s v="HC"/>
    <m/>
    <m/>
    <s v="Henry Jr Ifurung"/>
  </r>
  <r>
    <n v="1319"/>
    <s v="F2"/>
    <x v="37"/>
    <s v="H000004740"/>
    <m/>
    <s v="O000000009"/>
    <s v="Remove"/>
    <x v="0"/>
    <x v="0"/>
    <s v="HC"/>
    <m/>
    <m/>
    <s v="Henry Jr Ifurung"/>
  </r>
  <r>
    <n v="1320"/>
    <s v="F2"/>
    <x v="37"/>
    <s v="H000004741"/>
    <m/>
    <s v="O000000009"/>
    <s v="Remove"/>
    <x v="0"/>
    <x v="0"/>
    <s v="HC"/>
    <m/>
    <m/>
    <s v="Henry Jr Ifurung"/>
  </r>
  <r>
    <n v="1321"/>
    <s v="F2"/>
    <x v="37"/>
    <s v="H000004742"/>
    <m/>
    <s v="O000000009"/>
    <s v="Remove"/>
    <x v="0"/>
    <x v="0"/>
    <s v="HC"/>
    <m/>
    <m/>
    <s v="Henry Jr Ifurung"/>
  </r>
  <r>
    <n v="1322"/>
    <s v="F2"/>
    <x v="37"/>
    <s v="H000004743"/>
    <m/>
    <s v="O000000009"/>
    <s v="Remove"/>
    <x v="0"/>
    <x v="0"/>
    <s v="HC"/>
    <m/>
    <m/>
    <s v="Henry Jr Ifurung"/>
  </r>
  <r>
    <n v="1323"/>
    <s v="F2"/>
    <x v="37"/>
    <s v="H000004758"/>
    <m/>
    <s v="O000000009"/>
    <s v="Remove"/>
    <x v="0"/>
    <x v="0"/>
    <s v="HC"/>
    <m/>
    <m/>
    <s v="Henry Jr Ifurung"/>
  </r>
  <r>
    <n v="1324"/>
    <s v="F2"/>
    <x v="37"/>
    <s v="H000004759"/>
    <m/>
    <s v="O000000009"/>
    <s v="Remove"/>
    <x v="0"/>
    <x v="0"/>
    <s v="HC"/>
    <m/>
    <m/>
    <s v="Henry Jr Ifurung"/>
  </r>
  <r>
    <n v="1325"/>
    <s v="F2"/>
    <x v="37"/>
    <s v="H000004760"/>
    <m/>
    <s v="O000000009"/>
    <s v="Remove"/>
    <x v="0"/>
    <x v="0"/>
    <s v="HC"/>
    <m/>
    <m/>
    <s v="Henry Jr Ifurung"/>
  </r>
  <r>
    <n v="1326"/>
    <s v="F2"/>
    <x v="37"/>
    <s v="H000004761"/>
    <m/>
    <s v="O000000009"/>
    <s v="Remove"/>
    <x v="0"/>
    <x v="0"/>
    <s v="HC"/>
    <m/>
    <m/>
    <s v="Henry Jr Ifurung"/>
  </r>
  <r>
    <n v="1327"/>
    <s v="F2"/>
    <x v="37"/>
    <s v="H000004762"/>
    <m/>
    <s v="O000000009"/>
    <s v="Remove"/>
    <x v="0"/>
    <x v="0"/>
    <s v="HC"/>
    <m/>
    <m/>
    <s v="Henry Jr Ifurung"/>
  </r>
  <r>
    <n v="1328"/>
    <s v="F2"/>
    <x v="37"/>
    <s v="H000004763"/>
    <m/>
    <s v="O000000009"/>
    <s v="Remove"/>
    <x v="0"/>
    <x v="0"/>
    <s v="HC"/>
    <m/>
    <m/>
    <s v="Henry Jr Ifurung"/>
  </r>
  <r>
    <n v="1329"/>
    <s v="F2"/>
    <x v="37"/>
    <s v="H000004778"/>
    <m/>
    <s v="O000000009"/>
    <s v="Remove"/>
    <x v="0"/>
    <x v="0"/>
    <s v="HC"/>
    <m/>
    <m/>
    <s v="Henry Jr Ifurung"/>
  </r>
  <r>
    <n v="1330"/>
    <s v="F2"/>
    <x v="37"/>
    <s v="H000004779"/>
    <m/>
    <s v="O000000009"/>
    <s v="Remove"/>
    <x v="0"/>
    <x v="0"/>
    <s v="HC"/>
    <m/>
    <m/>
    <s v="Henry Jr Ifurung"/>
  </r>
  <r>
    <n v="1331"/>
    <s v="F2"/>
    <x v="37"/>
    <s v="H000004780"/>
    <m/>
    <s v="O000000009"/>
    <s v="Remove"/>
    <x v="0"/>
    <x v="0"/>
    <s v="HC"/>
    <m/>
    <m/>
    <s v="Henry Jr Ifurung"/>
  </r>
  <r>
    <n v="1332"/>
    <s v="F2"/>
    <x v="37"/>
    <s v="H000004781"/>
    <m/>
    <s v="O000000009"/>
    <s v="Remove"/>
    <x v="0"/>
    <x v="0"/>
    <s v="HC"/>
    <m/>
    <m/>
    <s v="Henry Jr Ifurung"/>
  </r>
  <r>
    <n v="1333"/>
    <s v="F2"/>
    <x v="37"/>
    <s v="H000004782"/>
    <m/>
    <s v="O000000009"/>
    <s v="Remove"/>
    <x v="0"/>
    <x v="0"/>
    <s v="HC"/>
    <m/>
    <m/>
    <s v="Henry Jr Ifurung"/>
  </r>
  <r>
    <n v="1334"/>
    <s v="F2"/>
    <x v="37"/>
    <s v="H000004783"/>
    <m/>
    <s v="O000000009"/>
    <s v="Remove"/>
    <x v="0"/>
    <x v="0"/>
    <s v="HC"/>
    <m/>
    <m/>
    <s v="Henry Jr Ifurung"/>
  </r>
  <r>
    <n v="1335"/>
    <s v="F2"/>
    <x v="37"/>
    <s v="H000004798"/>
    <m/>
    <s v="O000000009"/>
    <s v="Remove"/>
    <x v="0"/>
    <x v="0"/>
    <s v="HC"/>
    <m/>
    <m/>
    <s v="Henry Jr Ifurung"/>
  </r>
  <r>
    <n v="1336"/>
    <s v="F2"/>
    <x v="37"/>
    <s v="H000004799"/>
    <m/>
    <s v="O000000009"/>
    <s v="Remove"/>
    <x v="0"/>
    <x v="0"/>
    <s v="HC"/>
    <m/>
    <m/>
    <s v="Henry Jr Ifurung"/>
  </r>
  <r>
    <n v="1337"/>
    <s v="F2"/>
    <x v="37"/>
    <s v="H000004800"/>
    <m/>
    <s v="O000000009"/>
    <s v="Remove"/>
    <x v="0"/>
    <x v="0"/>
    <s v="HC"/>
    <m/>
    <m/>
    <s v="Henry Jr Ifurung"/>
  </r>
  <r>
    <n v="1338"/>
    <s v="F2"/>
    <x v="37"/>
    <s v="H000004801"/>
    <m/>
    <s v="O000000009"/>
    <s v="Remove"/>
    <x v="0"/>
    <x v="0"/>
    <s v="HC"/>
    <m/>
    <m/>
    <s v="Henry Jr Ifurung"/>
  </r>
  <r>
    <n v="1339"/>
    <s v="F2"/>
    <x v="37"/>
    <s v="H000004802"/>
    <m/>
    <s v="O000000009"/>
    <s v="Remove"/>
    <x v="0"/>
    <x v="0"/>
    <s v="HC"/>
    <m/>
    <m/>
    <s v="Henry Jr Ifurung"/>
  </r>
  <r>
    <n v="1340"/>
    <s v="F2"/>
    <x v="37"/>
    <s v="H000004803"/>
    <m/>
    <s v="O000000009"/>
    <s v="Remove"/>
    <x v="0"/>
    <x v="0"/>
    <s v="HC"/>
    <m/>
    <m/>
    <s v="Henry Jr Ifurung"/>
  </r>
  <r>
    <n v="1341"/>
    <s v="F2"/>
    <x v="37"/>
    <s v="H000004818"/>
    <m/>
    <s v="O000000009"/>
    <s v="Remove"/>
    <x v="0"/>
    <x v="0"/>
    <s v="HC"/>
    <m/>
    <m/>
    <s v="Henry Jr Ifurung"/>
  </r>
  <r>
    <n v="1342"/>
    <s v="F2"/>
    <x v="37"/>
    <s v="H000004819"/>
    <m/>
    <s v="O000000009"/>
    <s v="Remove"/>
    <x v="0"/>
    <x v="0"/>
    <s v="HC"/>
    <m/>
    <m/>
    <s v="Henry Jr Ifurung"/>
  </r>
  <r>
    <n v="1343"/>
    <s v="F2"/>
    <x v="37"/>
    <s v="H000004820"/>
    <m/>
    <s v="O000000009"/>
    <s v="Remove"/>
    <x v="0"/>
    <x v="0"/>
    <s v="HC"/>
    <m/>
    <m/>
    <s v="Henry Jr Ifurung"/>
  </r>
  <r>
    <n v="1344"/>
    <s v="F2"/>
    <x v="37"/>
    <s v="H000004821"/>
    <m/>
    <s v="O000000009"/>
    <s v="Remove"/>
    <x v="0"/>
    <x v="0"/>
    <s v="HC"/>
    <m/>
    <m/>
    <s v="Henry Jr Ifurung"/>
  </r>
  <r>
    <n v="1345"/>
    <s v="F2"/>
    <x v="37"/>
    <s v="H000004822"/>
    <m/>
    <s v="O000000009"/>
    <s v="Remove"/>
    <x v="0"/>
    <x v="0"/>
    <s v="HC"/>
    <m/>
    <m/>
    <s v="Henry Jr Ifurung"/>
  </r>
  <r>
    <n v="1346"/>
    <s v="F2"/>
    <x v="37"/>
    <s v="H000004823"/>
    <m/>
    <s v="O000000009"/>
    <s v="Remove"/>
    <x v="0"/>
    <x v="0"/>
    <s v="HC"/>
    <m/>
    <m/>
    <s v="Henry Jr Ifurung"/>
  </r>
  <r>
    <n v="1347"/>
    <s v="F2"/>
    <x v="37"/>
    <s v="H000004838"/>
    <m/>
    <s v="O000000009"/>
    <s v="Remove"/>
    <x v="0"/>
    <x v="0"/>
    <s v="HC"/>
    <m/>
    <m/>
    <s v="Henry Jr Ifurung"/>
  </r>
  <r>
    <n v="1348"/>
    <s v="F2"/>
    <x v="37"/>
    <s v="H000004839"/>
    <m/>
    <s v="O000000009"/>
    <s v="Remove"/>
    <x v="0"/>
    <x v="0"/>
    <s v="HC"/>
    <m/>
    <m/>
    <s v="Henry Jr Ifurung"/>
  </r>
  <r>
    <n v="1349"/>
    <s v="F2"/>
    <x v="37"/>
    <s v="H000004840"/>
    <m/>
    <s v="O000000009"/>
    <s v="Remove"/>
    <x v="0"/>
    <x v="0"/>
    <s v="HC"/>
    <m/>
    <m/>
    <s v="Henry Jr Ifurung"/>
  </r>
  <r>
    <n v="1350"/>
    <s v="F2"/>
    <x v="37"/>
    <s v="H000004841"/>
    <m/>
    <s v="O000000009"/>
    <s v="Remove"/>
    <x v="0"/>
    <x v="0"/>
    <s v="HC"/>
    <m/>
    <m/>
    <s v="Henry Jr Ifurung"/>
  </r>
  <r>
    <n v="1351"/>
    <s v="F2"/>
    <x v="37"/>
    <s v="H000004842"/>
    <m/>
    <s v="O000000009"/>
    <s v="Remove"/>
    <x v="0"/>
    <x v="0"/>
    <s v="HC"/>
    <m/>
    <m/>
    <s v="Henry Jr Ifurung"/>
  </r>
  <r>
    <n v="1352"/>
    <s v="F2"/>
    <x v="37"/>
    <s v="H000004843"/>
    <m/>
    <s v="O000000009"/>
    <s v="Remove"/>
    <x v="0"/>
    <x v="0"/>
    <s v="HC"/>
    <m/>
    <m/>
    <s v="Henry Jr Ifurung"/>
  </r>
  <r>
    <n v="1353"/>
    <s v="F2"/>
    <x v="37"/>
    <s v="H000004409"/>
    <m/>
    <s v="O000000009"/>
    <s v="Remove"/>
    <x v="0"/>
    <x v="0"/>
    <s v="HC"/>
    <m/>
    <m/>
    <s v="Henry Jr Ifurung"/>
  </r>
  <r>
    <n v="1354"/>
    <s v="F2"/>
    <x v="37"/>
    <s v="H000004410"/>
    <m/>
    <s v="O000000009"/>
    <s v="Remove"/>
    <x v="0"/>
    <x v="0"/>
    <s v="HC"/>
    <m/>
    <m/>
    <s v="Henry Jr Ifurung"/>
  </r>
  <r>
    <n v="1355"/>
    <s v="F2"/>
    <x v="38"/>
    <s v="H000004956"/>
    <s v="Global Commercial Strategy"/>
    <s v="H000000000"/>
    <s v="New"/>
    <x v="0"/>
    <x v="0"/>
    <s v="HC"/>
    <m/>
    <m/>
    <s v="Henry Jr Ifurung"/>
  </r>
  <r>
    <n v="1356"/>
    <s v="F2"/>
    <x v="38"/>
    <s v="H000004396"/>
    <s v="Rare Diseases"/>
    <s v="H000000000"/>
    <s v="Rename/Move"/>
    <x v="0"/>
    <x v="0"/>
    <s v="HC"/>
    <m/>
    <m/>
    <s v="Henry Jr Ifurung"/>
  </r>
  <r>
    <n v="1357"/>
    <s v="F2"/>
    <x v="38"/>
    <s v="H000000454"/>
    <m/>
    <s v="H000004956"/>
    <s v="Move"/>
    <x v="0"/>
    <x v="0"/>
    <s v="HC"/>
    <m/>
    <m/>
    <s v="Henry Jr Ifurung"/>
  </r>
  <r>
    <n v="1358"/>
    <s v="F2"/>
    <x v="38"/>
    <s v="H000000162"/>
    <m/>
    <s v="H000004956"/>
    <s v="Move"/>
    <x v="0"/>
    <x v="0"/>
    <s v="HC"/>
    <m/>
    <m/>
    <s v="Henry Jr Ifurung"/>
  </r>
  <r>
    <n v="1359"/>
    <s v="F2"/>
    <x v="38"/>
    <s v="H000000163"/>
    <m/>
    <s v="H000004956"/>
    <s v="Move"/>
    <x v="0"/>
    <x v="0"/>
    <s v="HC"/>
    <m/>
    <m/>
    <s v="Henry Jr Ifurung"/>
  </r>
  <r>
    <n v="1360"/>
    <s v="F2"/>
    <x v="38"/>
    <s v="H000000176"/>
    <m/>
    <s v="H000004956"/>
    <s v="Move"/>
    <x v="0"/>
    <x v="0"/>
    <s v="HC"/>
    <m/>
    <m/>
    <s v="Henry Jr Ifurung"/>
  </r>
  <r>
    <n v="1361"/>
    <s v="F2"/>
    <x v="38"/>
    <s v="H000000175"/>
    <m/>
    <s v="H000004956"/>
    <s v="Move"/>
    <x v="0"/>
    <x v="0"/>
    <s v="HC"/>
    <m/>
    <m/>
    <s v="Henry Jr Ifurung"/>
  </r>
  <r>
    <n v="1362"/>
    <s v="F2"/>
    <x v="38"/>
    <s v="H000000160"/>
    <m/>
    <s v="H000004956"/>
    <s v="Move"/>
    <x v="0"/>
    <x v="0"/>
    <s v="HC"/>
    <m/>
    <m/>
    <s v="Henry Jr Ifurung"/>
  </r>
  <r>
    <n v="1363"/>
    <s v="F2"/>
    <x v="38"/>
    <s v="H000000457"/>
    <m/>
    <s v="H000004956"/>
    <s v="Move"/>
    <x v="0"/>
    <x v="0"/>
    <s v="HC"/>
    <m/>
    <m/>
    <s v="Henry Jr Ifurung"/>
  </r>
  <r>
    <n v="1364"/>
    <s v="F2"/>
    <x v="38"/>
    <s v="H000000948"/>
    <m/>
    <s v="H000004956"/>
    <s v="Move"/>
    <x v="0"/>
    <x v="0"/>
    <s v="HC"/>
    <m/>
    <m/>
    <s v="Henry Jr Ifurung"/>
  </r>
  <r>
    <n v="1365"/>
    <s v="F2"/>
    <x v="38"/>
    <s v="H000001056"/>
    <m/>
    <s v="H000004956"/>
    <s v="Move"/>
    <x v="0"/>
    <x v="0"/>
    <s v="HC"/>
    <m/>
    <m/>
    <s v="Henry Jr Ifurung"/>
  </r>
  <r>
    <n v="1366"/>
    <s v="F2"/>
    <x v="38"/>
    <s v="H000000164"/>
    <m/>
    <s v="H000004956"/>
    <s v="Move"/>
    <x v="0"/>
    <x v="0"/>
    <s v="HC"/>
    <m/>
    <m/>
    <s v="Henry Jr Ifurung"/>
  </r>
  <r>
    <n v="1367"/>
    <s v="F2"/>
    <x v="38"/>
    <s v="H000000159"/>
    <m/>
    <s v="O000000009"/>
    <s v="Remove"/>
    <x v="0"/>
    <x v="0"/>
    <s v="HC"/>
    <m/>
    <m/>
    <s v="Henry Jr Ifurung"/>
  </r>
  <r>
    <n v="1368"/>
    <s v="F2"/>
    <x v="38"/>
    <s v="H000004407"/>
    <m/>
    <s v="O000000009"/>
    <s v="Remove"/>
    <x v="0"/>
    <x v="0"/>
    <s v="HC"/>
    <m/>
    <m/>
    <s v="Henry Jr Ifurung"/>
  </r>
  <r>
    <n v="1369"/>
    <s v="F2"/>
    <x v="38"/>
    <s v="H000004409"/>
    <m/>
    <s v="O000000009"/>
    <s v="Remove"/>
    <x v="0"/>
    <x v="0"/>
    <s v="HC"/>
    <m/>
    <m/>
    <s v="Henry Jr Ifurung"/>
  </r>
  <r>
    <n v="1370"/>
    <s v="F2"/>
    <x v="38"/>
    <s v="H000000976"/>
    <m/>
    <s v="O000000009"/>
    <s v="Remove"/>
    <x v="0"/>
    <x v="0"/>
    <s v="HC"/>
    <m/>
    <m/>
    <s v="Henry Jr Ifurung"/>
  </r>
  <r>
    <n v="1371"/>
    <s v="F2"/>
    <x v="38"/>
    <s v="H000000161"/>
    <m/>
    <s v="O000000009"/>
    <s v="Remove"/>
    <x v="0"/>
    <x v="0"/>
    <s v="HC"/>
    <m/>
    <m/>
    <s v="Henry Jr Ifurung"/>
  </r>
  <r>
    <n v="1372"/>
    <s v="F2"/>
    <x v="39"/>
    <s v="P000001341"/>
    <m/>
    <s v="P000001342"/>
    <s v="Move"/>
    <x v="0"/>
    <x v="0"/>
    <s v="EL"/>
    <m/>
    <m/>
    <s v="John Rowie Del Rosario"/>
  </r>
  <r>
    <n v="1373"/>
    <s v="F2"/>
    <x v="39"/>
    <s v="IT06060900"/>
    <m/>
    <s v="P000001339"/>
    <s v="Move"/>
    <x v="0"/>
    <x v="0"/>
    <s v="EL"/>
    <m/>
    <m/>
    <s v="John Rowie Del Rosario"/>
  </r>
  <r>
    <n v="1374"/>
    <s v="F2"/>
    <x v="40"/>
    <s v="IT06060300"/>
    <m/>
    <s v="P000001340"/>
    <s v="Move"/>
    <x v="0"/>
    <x v="0"/>
    <s v="EL"/>
    <m/>
    <m/>
    <s v="John Rowie Del Rosario"/>
  </r>
  <r>
    <n v="1375"/>
    <s v="F2"/>
    <x v="40"/>
    <s v="IT06060800"/>
    <m/>
    <s v="P000001339"/>
    <s v="Move"/>
    <x v="0"/>
    <x v="0"/>
    <s v="EL"/>
    <m/>
    <m/>
    <s v="John Rowie Del Rosario"/>
  </r>
  <r>
    <n v="1376"/>
    <s v="F2"/>
    <x v="41"/>
    <s v="H000004957"/>
    <s v="1401CA - Calais (CCH node)"/>
    <s v="H000000580"/>
    <s v="New"/>
    <x v="0"/>
    <x v="0"/>
    <s v="HC"/>
    <m/>
    <m/>
    <s v="Dale Ian Castaneda"/>
  </r>
  <r>
    <n v="1377"/>
    <s v="F2"/>
    <x v="41"/>
    <s v="H000004958"/>
    <s v="1401CA - OPERATIONS"/>
    <s v="H000004957"/>
    <s v="New"/>
    <x v="0"/>
    <x v="0"/>
    <s v="HC"/>
    <m/>
    <m/>
    <s v="Dale Ian Castaneda"/>
  </r>
  <r>
    <n v="1378"/>
    <s v="F2"/>
    <x v="41"/>
    <s v="H000004959"/>
    <s v="1401CA - MANUFACTURING"/>
    <s v="H000004958"/>
    <s v="New"/>
    <x v="0"/>
    <x v="0"/>
    <s v="HC"/>
    <m/>
    <m/>
    <s v="Dale Ian Castaneda"/>
  </r>
  <r>
    <n v="1379"/>
    <s v="F2"/>
    <x v="41"/>
    <s v="H000004960"/>
    <s v="1401CA - API"/>
    <s v="H000004959"/>
    <s v="New"/>
    <x v="0"/>
    <x v="0"/>
    <s v="HC"/>
    <m/>
    <m/>
    <s v="Dale Ian Castaneda"/>
  </r>
  <r>
    <n v="1380"/>
    <s v="F2"/>
    <x v="41"/>
    <s v="H000004961"/>
    <s v="1401CA - EQUIPMENTS"/>
    <s v="H000004960"/>
    <s v="New"/>
    <x v="0"/>
    <x v="0"/>
    <s v="HC"/>
    <m/>
    <m/>
    <s v="Dale Ian Castaneda"/>
  </r>
  <r>
    <n v="1381"/>
    <s v="F2"/>
    <x v="41"/>
    <s v="H000004962"/>
    <s v="1401CA - LABOR"/>
    <s v="H000004960"/>
    <s v="New"/>
    <x v="0"/>
    <x v="0"/>
    <s v="HC"/>
    <m/>
    <m/>
    <s v="Dale Ian Castaneda"/>
  </r>
  <r>
    <n v="1382"/>
    <s v="F2"/>
    <x v="41"/>
    <s v="H000004963"/>
    <s v="1401CA - INDIRECT SERVICES"/>
    <s v="H000004960"/>
    <s v="New"/>
    <x v="0"/>
    <x v="0"/>
    <s v="HC"/>
    <m/>
    <m/>
    <s v="Dale Ian Castaneda"/>
  </r>
  <r>
    <n v="1383"/>
    <s v="F2"/>
    <x v="41"/>
    <s v="H000004964"/>
    <s v="1401CA - MCC"/>
    <s v="H000004960"/>
    <s v="New"/>
    <x v="0"/>
    <x v="0"/>
    <s v="HC"/>
    <m/>
    <m/>
    <s v="Dale Ian Castaneda"/>
  </r>
  <r>
    <n v="1384"/>
    <s v="F2"/>
    <x v="41"/>
    <s v="H000004965"/>
    <s v="1401CA - OPERATIONS SUPPORT SERVICES"/>
    <s v="H000004957"/>
    <s v="New"/>
    <x v="0"/>
    <x v="0"/>
    <s v="HC"/>
    <m/>
    <m/>
    <s v="Dale Ian Castaneda"/>
  </r>
  <r>
    <n v="1385"/>
    <s v="F2"/>
    <x v="41"/>
    <s v="H000004966"/>
    <s v="1401CA - MAINTENANCE AND ENGINEERING"/>
    <s v="H000004965"/>
    <s v="New"/>
    <x v="0"/>
    <x v="0"/>
    <s v="HC"/>
    <m/>
    <m/>
    <s v="Dale Ian Castaneda"/>
  </r>
  <r>
    <n v="1386"/>
    <s v="F2"/>
    <x v="41"/>
    <s v="H000004967"/>
    <s v="1401CA - SUPPLY AND PLANNING"/>
    <s v="H000004965"/>
    <s v="New"/>
    <x v="0"/>
    <x v="0"/>
    <s v="HC"/>
    <m/>
    <m/>
    <s v="Dale Ian Castaneda"/>
  </r>
  <r>
    <n v="1387"/>
    <s v="F2"/>
    <x v="41"/>
    <s v="H000004968"/>
    <s v="1401CA - SITE SERVICES"/>
    <s v="H000004965"/>
    <s v="New"/>
    <x v="0"/>
    <x v="0"/>
    <s v="HC"/>
    <m/>
    <m/>
    <s v="Dale Ian Castaneda"/>
  </r>
  <r>
    <n v="1388"/>
    <s v="F2"/>
    <x v="41"/>
    <s v="H000004969"/>
    <s v="1401CA - SITE INFRASTRUCTURE"/>
    <s v="H000004957"/>
    <s v="New"/>
    <x v="0"/>
    <x v="0"/>
    <s v="HC"/>
    <m/>
    <m/>
    <s v="Dale Ian Castaneda"/>
  </r>
  <r>
    <n v="1389"/>
    <s v="F2"/>
    <x v="41"/>
    <s v="H000004970"/>
    <s v="1401CA - OTHER FACILITIES"/>
    <s v="H000004969"/>
    <s v="New"/>
    <x v="0"/>
    <x v="0"/>
    <s v="HC"/>
    <m/>
    <m/>
    <s v="Dale Ian Castaneda"/>
  </r>
  <r>
    <n v="1390"/>
    <s v="F2"/>
    <x v="41"/>
    <s v="H000004971"/>
    <s v="1401CA - QUALITY"/>
    <s v="H000004957"/>
    <s v="New"/>
    <x v="0"/>
    <x v="0"/>
    <s v="HC"/>
    <m/>
    <m/>
    <s v="Dale Ian Castaneda"/>
  </r>
  <r>
    <n v="1391"/>
    <s v="F2"/>
    <x v="41"/>
    <s v="H000004972"/>
    <s v="1401CA - OTHERS"/>
    <s v="H000004957"/>
    <s v="New"/>
    <x v="0"/>
    <x v="0"/>
    <s v="HC"/>
    <m/>
    <m/>
    <s v="Dale Ian Castaneda"/>
  </r>
  <r>
    <n v="1392"/>
    <s v="F2"/>
    <x v="41"/>
    <s v="H000004973"/>
    <s v="1401CA - START-UP"/>
    <s v="H000004972"/>
    <s v="New"/>
    <x v="0"/>
    <x v="0"/>
    <s v="HC"/>
    <m/>
    <m/>
    <s v="Dale Ian Castaneda"/>
  </r>
  <r>
    <n v="1393"/>
    <s v="F2"/>
    <x v="41"/>
    <s v="H000004974"/>
    <s v="1401CA - IDLE COSTS"/>
    <s v="H000004972"/>
    <s v="New"/>
    <x v="0"/>
    <x v="0"/>
    <s v="HC"/>
    <m/>
    <m/>
    <s v="Dale Ian Castaneda"/>
  </r>
  <r>
    <n v="1394"/>
    <s v="F2"/>
    <x v="41"/>
    <s v="H000004975"/>
    <s v="1401CA - MISC"/>
    <s v="H000004972"/>
    <s v="New"/>
    <x v="0"/>
    <x v="0"/>
    <s v="HC"/>
    <m/>
    <m/>
    <s v="Dale Ian Castaneda"/>
  </r>
  <r>
    <n v="1395"/>
    <s v="F2"/>
    <x v="41"/>
    <s v="H000004976"/>
    <s v="1401ME - Meyzieu (CCH)"/>
    <s v="H000000589"/>
    <s v="New"/>
    <x v="0"/>
    <x v="0"/>
    <s v="HC"/>
    <m/>
    <m/>
    <s v="Dale Ian Castaneda"/>
  </r>
  <r>
    <n v="1396"/>
    <s v="F2"/>
    <x v="41"/>
    <s v="H000004977"/>
    <s v="1401ME - OPERATIONS"/>
    <s v="H000004976"/>
    <s v="New"/>
    <x v="0"/>
    <x v="0"/>
    <s v="HC"/>
    <m/>
    <m/>
    <s v="Dale Ian Castaneda"/>
  </r>
  <r>
    <n v="1397"/>
    <s v="F2"/>
    <x v="41"/>
    <s v="H000004978"/>
    <s v="1401ME-MANUFACTURING"/>
    <s v="H000004977"/>
    <s v="New"/>
    <x v="0"/>
    <x v="0"/>
    <s v="HC"/>
    <m/>
    <m/>
    <s v="Dale Ian Castaneda"/>
  </r>
  <r>
    <n v="1398"/>
    <s v="F2"/>
    <x v="41"/>
    <s v="H000004979"/>
    <s v="1401ME - API"/>
    <s v="H000004978"/>
    <s v="New"/>
    <x v="0"/>
    <x v="0"/>
    <s v="HC"/>
    <m/>
    <m/>
    <s v="Dale Ian Castaneda"/>
  </r>
  <r>
    <n v="1399"/>
    <s v="F2"/>
    <x v="41"/>
    <s v="H000004980"/>
    <s v="1401ME - EQUIPMENTS"/>
    <s v="H000004979"/>
    <s v="New"/>
    <x v="0"/>
    <x v="0"/>
    <s v="HC"/>
    <m/>
    <m/>
    <s v="Dale Ian Castaneda"/>
  </r>
  <r>
    <n v="1400"/>
    <s v="F2"/>
    <x v="41"/>
    <s v="H000004981"/>
    <s v="1401ME - LABOR"/>
    <s v="H000004979"/>
    <s v="New"/>
    <x v="0"/>
    <x v="0"/>
    <s v="HC"/>
    <m/>
    <m/>
    <s v="Dale Ian Castaneda"/>
  </r>
  <r>
    <n v="1401"/>
    <s v="F2"/>
    <x v="41"/>
    <s v="H000004982"/>
    <s v="1401ME - INDIRECT SERVICES"/>
    <s v="H000004979"/>
    <s v="New"/>
    <x v="0"/>
    <x v="0"/>
    <s v="HC"/>
    <m/>
    <m/>
    <s v="Dale Ian Castaneda"/>
  </r>
  <r>
    <n v="1402"/>
    <s v="F2"/>
    <x v="41"/>
    <s v="H000004983"/>
    <s v="1401ME - MCC"/>
    <s v="H000004979"/>
    <s v="New"/>
    <x v="0"/>
    <x v="0"/>
    <s v="HC"/>
    <m/>
    <m/>
    <s v="Dale Ian Castaneda"/>
  </r>
  <r>
    <n v="1403"/>
    <s v="F2"/>
    <x v="41"/>
    <s v="H000004984"/>
    <s v="1401ME - OPERATIONS SUPPORT SERVICES"/>
    <s v="H000004976"/>
    <s v="New"/>
    <x v="0"/>
    <x v="0"/>
    <s v="HC"/>
    <m/>
    <m/>
    <s v="Dale Ian Castaneda"/>
  </r>
  <r>
    <n v="1404"/>
    <s v="F2"/>
    <x v="41"/>
    <s v="H000004985"/>
    <s v="1401ME - MAINTENANCE AND ENGINEERING"/>
    <s v="H000004984"/>
    <s v="New"/>
    <x v="0"/>
    <x v="0"/>
    <s v="HC"/>
    <m/>
    <m/>
    <s v="Dale Ian Castaneda"/>
  </r>
  <r>
    <n v="1405"/>
    <s v="F2"/>
    <x v="41"/>
    <s v="H000004986"/>
    <s v="1401ME - SUPPLY AND PLANNING"/>
    <s v="H000004984"/>
    <s v="New"/>
    <x v="0"/>
    <x v="0"/>
    <s v="HC"/>
    <m/>
    <m/>
    <s v="Dale Ian Castaneda"/>
  </r>
  <r>
    <n v="1406"/>
    <s v="F2"/>
    <x v="41"/>
    <s v="H000004987"/>
    <s v="1401ME - SITE SERVICES"/>
    <s v="H000004984"/>
    <s v="New"/>
    <x v="0"/>
    <x v="0"/>
    <s v="HC"/>
    <m/>
    <m/>
    <s v="Dale Ian Castaneda"/>
  </r>
  <r>
    <n v="1407"/>
    <s v="F2"/>
    <x v="41"/>
    <s v="H000004988"/>
    <s v="1401ME - SITE INFRASTRUCTURE"/>
    <s v="H000004976"/>
    <s v="New"/>
    <x v="0"/>
    <x v="0"/>
    <s v="HC"/>
    <m/>
    <m/>
    <s v="Dale Ian Castaneda"/>
  </r>
  <r>
    <n v="1408"/>
    <s v="F2"/>
    <x v="41"/>
    <s v="H000004989"/>
    <s v="1401ME - OTHER FACILITIES"/>
    <s v="H000004988"/>
    <s v="New"/>
    <x v="0"/>
    <x v="0"/>
    <s v="HC"/>
    <m/>
    <m/>
    <s v="Dale Ian Castaneda"/>
  </r>
  <r>
    <n v="1409"/>
    <s v="F2"/>
    <x v="41"/>
    <s v="H000004990"/>
    <s v="1401ME - QUALITY"/>
    <s v="H000004976"/>
    <s v="New"/>
    <x v="0"/>
    <x v="0"/>
    <s v="HC"/>
    <m/>
    <m/>
    <s v="Dale Ian Castaneda"/>
  </r>
  <r>
    <n v="1410"/>
    <s v="F2"/>
    <x v="41"/>
    <s v="H000004991"/>
    <s v="1401ME - OTHERS"/>
    <s v="H000004976"/>
    <s v="New"/>
    <x v="0"/>
    <x v="0"/>
    <s v="HC"/>
    <m/>
    <m/>
    <s v="Dale Ian Castaneda"/>
  </r>
  <r>
    <n v="1411"/>
    <s v="F2"/>
    <x v="41"/>
    <s v="H000004992"/>
    <s v="1401ME - START-UP"/>
    <s v="H000004972"/>
    <s v="New"/>
    <x v="0"/>
    <x v="0"/>
    <s v="HC"/>
    <m/>
    <m/>
    <s v="Dale Ian Castaneda"/>
  </r>
  <r>
    <n v="1412"/>
    <s v="F2"/>
    <x v="41"/>
    <s v="H000004993"/>
    <s v="1401ME - IDLE COSTS"/>
    <s v="H000004972"/>
    <s v="New"/>
    <x v="0"/>
    <x v="0"/>
    <s v="HC"/>
    <m/>
    <m/>
    <s v="Dale Ian Castaneda"/>
  </r>
  <r>
    <n v="1413"/>
    <s v="F2"/>
    <x v="41"/>
    <s v="H000004994"/>
    <s v="1401ME - MISC"/>
    <s v="H000004972"/>
    <s v="New"/>
    <x v="0"/>
    <x v="0"/>
    <s v="HC"/>
    <m/>
    <m/>
    <s v="Dale Ian Castaneda"/>
  </r>
  <r>
    <n v="1414"/>
    <s v="F2"/>
    <x v="42"/>
    <s v="G000000892"/>
    <m/>
    <s v="G000000873"/>
    <s v="Move"/>
    <x v="0"/>
    <x v="0"/>
    <s v="MGF"/>
    <m/>
    <m/>
    <s v="Marcus Morowski"/>
  </r>
  <r>
    <n v="1415"/>
    <s v="F2"/>
    <x v="43"/>
    <s v="H000004995"/>
    <s v="Oligonucleotide Therapeutics"/>
    <s v="H000000857"/>
    <s v="New"/>
    <x v="0"/>
    <x v="0"/>
    <s v="HC"/>
    <m/>
    <m/>
    <s v="Gay Geanuza del Mundo"/>
  </r>
  <r>
    <n v="1416"/>
    <s v="F2"/>
    <x v="43"/>
    <s v="H000004996"/>
    <s v="1401SE Manufacturing (bulk)"/>
    <s v="H000000554"/>
    <s v="New"/>
    <x v="0"/>
    <x v="0"/>
    <s v="HC"/>
    <m/>
    <m/>
    <s v="Dale Ian Castaneda"/>
  </r>
  <r>
    <n v="1417"/>
    <s v="F2"/>
    <x v="43"/>
    <s v="H000004997"/>
    <s v="1401SE Visual Inspection"/>
    <s v="H000000554"/>
    <s v="New"/>
    <x v="0"/>
    <x v="0"/>
    <s v="HC"/>
    <m/>
    <m/>
    <s v="Dale Ian Castaneda"/>
  </r>
  <r>
    <n v="1418"/>
    <s v="F2"/>
    <x v="43"/>
    <s v="H000004998"/>
    <s v="1401SE Packaging"/>
    <s v="H000000554"/>
    <s v="New"/>
    <x v="0"/>
    <x v="0"/>
    <s v="HC"/>
    <m/>
    <m/>
    <s v="Dale Ian Castaneda"/>
  </r>
  <r>
    <n v="1419"/>
    <s v="F2"/>
    <x v="43"/>
    <s v="H000004999"/>
    <s v="1401SE Vrac"/>
    <s v="H000000554"/>
    <s v="New"/>
    <x v="0"/>
    <x v="0"/>
    <s v="HC"/>
    <m/>
    <m/>
    <s v="Dale Ian Castaneda"/>
  </r>
  <r>
    <n v="1420"/>
    <s v="F2"/>
    <x v="43"/>
    <s v="H000005000"/>
    <s v="1401SE Steril (Lyo)"/>
    <s v="H000000554"/>
    <s v="New"/>
    <x v="0"/>
    <x v="0"/>
    <s v="HC"/>
    <m/>
    <m/>
    <s v="Dale Ian Castaneda"/>
  </r>
  <r>
    <n v="1421"/>
    <s v="F2"/>
    <x v="43"/>
    <s v="H000005001"/>
    <s v="1401SE GM"/>
    <s v="H000000554"/>
    <s v="New"/>
    <x v="0"/>
    <x v="0"/>
    <s v="HC"/>
    <m/>
    <m/>
    <s v="Dale Ian Castaneda"/>
  </r>
  <r>
    <n v="1422"/>
    <s v="F2"/>
    <x v="43"/>
    <s v="H000005002"/>
    <s v="1401SE Logistics"/>
    <s v="H000000554"/>
    <s v="New"/>
    <x v="0"/>
    <x v="0"/>
    <s v="HC"/>
    <m/>
    <m/>
    <s v="Dale Ian Castaneda"/>
  </r>
  <r>
    <n v="1423"/>
    <s v="F2"/>
    <x v="43"/>
    <s v="H000005003"/>
    <s v="1401SE Start-Up GPM"/>
    <s v="H000000561"/>
    <s v="New"/>
    <x v="0"/>
    <x v="0"/>
    <s v="HC"/>
    <m/>
    <m/>
    <s v="Dale Ian Castaneda"/>
  </r>
  <r>
    <n v="1424"/>
    <s v="F2"/>
    <x v="43"/>
    <s v="H000005004"/>
    <s v="1401SE Start-Up HCQ"/>
    <s v="H000000561"/>
    <s v="New"/>
    <x v="0"/>
    <x v="0"/>
    <s v="HC"/>
    <m/>
    <m/>
    <s v="Dale Ian Castaneda"/>
  </r>
  <r>
    <n v="1425"/>
    <s v="F2"/>
    <x v="44"/>
    <s v="G000000850"/>
    <s v="MRE closed cost center"/>
    <m/>
    <s v="Rename"/>
    <x v="0"/>
    <x v="0"/>
    <s v="MGF"/>
    <m/>
    <m/>
    <s v="Heiko Wagner"/>
  </r>
  <r>
    <n v="1426"/>
    <s v="F2"/>
    <x v="45"/>
    <s v="H000000912"/>
    <m/>
    <s v="H000004954"/>
    <s v="Move"/>
    <x v="0"/>
    <x v="0"/>
    <s v="HC"/>
    <m/>
    <m/>
    <s v="Henry Jr Ifurung"/>
  </r>
  <r>
    <n v="1427"/>
    <s v="F2"/>
    <x v="46"/>
    <s v="G000001462"/>
    <s v="GEB ST - BD &amp; Strategy Innovation China"/>
    <m/>
    <s v="Rename"/>
    <x v="0"/>
    <x v="0"/>
    <s v="MGF"/>
    <m/>
    <m/>
    <s v="Jojeff Tagnong"/>
  </r>
  <r>
    <n v="1428"/>
    <s v="F2"/>
    <x v="47"/>
    <s v="H000002738"/>
    <s v="MX - BU Endo &amp; Fert"/>
    <m/>
    <s v="Rename"/>
    <x v="0"/>
    <x v="0"/>
    <s v="HC"/>
    <m/>
    <m/>
    <s v="Eduardo Morillo"/>
  </r>
  <r>
    <n v="1429"/>
    <s v="F2"/>
    <x v="47"/>
    <s v="H000002739"/>
    <s v="MX - BU Endo &amp; Fert"/>
    <m/>
    <s v="Rename"/>
    <x v="0"/>
    <x v="0"/>
    <s v="HC"/>
    <m/>
    <m/>
    <s v="Eduardo Morillo"/>
  </r>
  <r>
    <n v="1430"/>
    <s v="F2"/>
    <x v="47"/>
    <s v="H000002753"/>
    <s v="MX - BU N&amp;I &amp; Onco"/>
    <m/>
    <s v="Rename"/>
    <x v="0"/>
    <x v="0"/>
    <s v="HC"/>
    <m/>
    <m/>
    <s v="Eduardo Morillo"/>
  </r>
  <r>
    <n v="1431"/>
    <s v="F2"/>
    <x v="47"/>
    <s v="H000002753"/>
    <s v="MX - BU N&amp;I &amp; Onco"/>
    <m/>
    <s v="Rename"/>
    <x v="0"/>
    <x v="0"/>
    <s v="HC"/>
    <m/>
    <m/>
    <s v="Eduardo Morillo"/>
  </r>
  <r>
    <n v="1432"/>
    <s v="F2"/>
    <x v="47"/>
    <s v="H000002762"/>
    <m/>
    <s v="H000002738"/>
    <s v="Move"/>
    <x v="0"/>
    <x v="0"/>
    <s v="HC"/>
    <m/>
    <m/>
    <s v="Eduardo Morillo"/>
  </r>
  <r>
    <n v="1433"/>
    <s v="F2"/>
    <x v="47"/>
    <s v="H000002740"/>
    <m/>
    <s v="H000002753"/>
    <s v="Move"/>
    <x v="0"/>
    <x v="0"/>
    <s v="HC"/>
    <m/>
    <m/>
    <s v="Eduardo Morillo"/>
  </r>
  <r>
    <n v="1434"/>
    <s v="F2"/>
    <x v="48"/>
    <s v="H000005005"/>
    <s v="1401CA - Calais (Before CCH)"/>
    <s v="H000000580"/>
    <s v="New"/>
    <x v="0"/>
    <x v="0"/>
    <s v="HC"/>
    <m/>
    <m/>
    <s v="Dale Ian Castaneda"/>
  </r>
  <r>
    <n v="1435"/>
    <s v="F2"/>
    <x v="48"/>
    <s v="H000005006"/>
    <s v="1401ME - Meyzieu (Before CCH)"/>
    <s v="H000000589"/>
    <s v="New"/>
    <x v="0"/>
    <x v="0"/>
    <s v="HC"/>
    <m/>
    <m/>
    <s v="Dale Ian Castaneda"/>
  </r>
  <r>
    <n v="1436"/>
    <s v="F2"/>
    <x v="48"/>
    <s v="H000000581"/>
    <m/>
    <s v="H000005005"/>
    <s v="Move"/>
    <x v="0"/>
    <x v="0"/>
    <s v="HC"/>
    <m/>
    <m/>
    <s v="Dale Ian Castaneda"/>
  </r>
  <r>
    <n v="1437"/>
    <s v="F2"/>
    <x v="48"/>
    <s v="H000000582"/>
    <m/>
    <s v="H000005005"/>
    <s v="Move"/>
    <x v="0"/>
    <x v="0"/>
    <s v="HC"/>
    <m/>
    <m/>
    <s v="Dale Ian Castaneda"/>
  </r>
  <r>
    <n v="1438"/>
    <s v="F2"/>
    <x v="48"/>
    <s v="H000000583"/>
    <m/>
    <s v="H000005005"/>
    <s v="Move"/>
    <x v="0"/>
    <x v="0"/>
    <s v="HC"/>
    <m/>
    <m/>
    <s v="Dale Ian Castaneda"/>
  </r>
  <r>
    <n v="1439"/>
    <s v="F2"/>
    <x v="48"/>
    <s v="H000000584"/>
    <m/>
    <s v="H000005005"/>
    <s v="Move"/>
    <x v="0"/>
    <x v="0"/>
    <s v="HC"/>
    <m/>
    <m/>
    <s v="Dale Ian Castaneda"/>
  </r>
  <r>
    <n v="1440"/>
    <s v="F2"/>
    <x v="48"/>
    <s v="H000000585"/>
    <m/>
    <s v="H000005005"/>
    <s v="Move"/>
    <x v="0"/>
    <x v="0"/>
    <s v="HC"/>
    <m/>
    <m/>
    <s v="Dale Ian Castaneda"/>
  </r>
  <r>
    <n v="1441"/>
    <s v="F2"/>
    <x v="48"/>
    <s v="H000000586"/>
    <m/>
    <s v="H000005005"/>
    <s v="Move"/>
    <x v="0"/>
    <x v="0"/>
    <s v="HC"/>
    <m/>
    <m/>
    <s v="Dale Ian Castaneda"/>
  </r>
  <r>
    <n v="1442"/>
    <s v="F2"/>
    <x v="48"/>
    <s v="H000000587"/>
    <m/>
    <s v="H000005005"/>
    <s v="Move"/>
    <x v="0"/>
    <x v="0"/>
    <s v="HC"/>
    <m/>
    <m/>
    <s v="Dale Ian Castaneda"/>
  </r>
  <r>
    <n v="1443"/>
    <s v="F2"/>
    <x v="48"/>
    <s v="H000000588"/>
    <m/>
    <s v="H000005005"/>
    <s v="Move"/>
    <x v="0"/>
    <x v="0"/>
    <s v="HC"/>
    <m/>
    <m/>
    <s v="Dale Ian Castaneda"/>
  </r>
  <r>
    <n v="1444"/>
    <s v="F2"/>
    <x v="48"/>
    <s v="H000000666"/>
    <m/>
    <s v="H000005005"/>
    <s v="Move"/>
    <x v="0"/>
    <x v="0"/>
    <s v="HC"/>
    <m/>
    <m/>
    <s v="Dale Ian Castaneda"/>
  </r>
  <r>
    <n v="1445"/>
    <s v="F2"/>
    <x v="48"/>
    <s v="PL_E5_FR40"/>
    <m/>
    <s v="H000005005"/>
    <s v="Move"/>
    <x v="0"/>
    <x v="0"/>
    <s v="HC"/>
    <m/>
    <m/>
    <s v="Dale Ian Castaneda"/>
  </r>
  <r>
    <n v="1446"/>
    <s v="F2"/>
    <x v="48"/>
    <s v="H000000590"/>
    <m/>
    <s v="H000005006"/>
    <s v="Move"/>
    <x v="0"/>
    <x v="0"/>
    <s v="HC"/>
    <m/>
    <m/>
    <s v="Dale Ian Castaneda"/>
  </r>
  <r>
    <n v="1447"/>
    <s v="F2"/>
    <x v="48"/>
    <s v="H000000591"/>
    <m/>
    <s v="H000005006"/>
    <s v="Move"/>
    <x v="0"/>
    <x v="0"/>
    <s v="HC"/>
    <m/>
    <m/>
    <s v="Dale Ian Castaneda"/>
  </r>
  <r>
    <n v="1448"/>
    <s v="F2"/>
    <x v="48"/>
    <s v="H000000592"/>
    <m/>
    <s v="H000005006"/>
    <s v="Move"/>
    <x v="0"/>
    <x v="0"/>
    <s v="HC"/>
    <m/>
    <m/>
    <s v="Dale Ian Castaneda"/>
  </r>
  <r>
    <n v="1449"/>
    <s v="F2"/>
    <x v="48"/>
    <s v="H000000593"/>
    <m/>
    <s v="H000005006"/>
    <s v="Move"/>
    <x v="0"/>
    <x v="0"/>
    <s v="HC"/>
    <m/>
    <m/>
    <s v="Dale Ian Castaneda"/>
  </r>
  <r>
    <n v="1450"/>
    <s v="F2"/>
    <x v="48"/>
    <s v="H000000594"/>
    <m/>
    <s v="H000005006"/>
    <s v="Move"/>
    <x v="0"/>
    <x v="0"/>
    <s v="HC"/>
    <m/>
    <m/>
    <s v="Dale Ian Castaneda"/>
  </r>
  <r>
    <n v="1451"/>
    <s v="F2"/>
    <x v="48"/>
    <s v="H000000595"/>
    <m/>
    <s v="H000005006"/>
    <s v="Move"/>
    <x v="0"/>
    <x v="0"/>
    <s v="HC"/>
    <m/>
    <m/>
    <s v="Dale Ian Castaneda"/>
  </r>
  <r>
    <n v="1452"/>
    <s v="F2"/>
    <x v="48"/>
    <s v="H000000596"/>
    <m/>
    <s v="H000005006"/>
    <s v="Move"/>
    <x v="0"/>
    <x v="0"/>
    <s v="HC"/>
    <m/>
    <m/>
    <s v="Dale Ian Castaneda"/>
  </r>
  <r>
    <n v="1453"/>
    <s v="F2"/>
    <x v="48"/>
    <s v="H000000597"/>
    <m/>
    <s v="H000005006"/>
    <s v="Move"/>
    <x v="0"/>
    <x v="0"/>
    <s v="HC"/>
    <m/>
    <m/>
    <s v="Dale Ian Castaneda"/>
  </r>
  <r>
    <n v="1454"/>
    <s v="F2"/>
    <x v="48"/>
    <s v="H000000667"/>
    <m/>
    <s v="H000005006"/>
    <s v="Move"/>
    <x v="0"/>
    <x v="0"/>
    <s v="HC"/>
    <m/>
    <m/>
    <s v="Dale Ian Castaneda"/>
  </r>
  <r>
    <n v="1455"/>
    <s v="F2"/>
    <x v="48"/>
    <s v="PL_E5_FR42"/>
    <m/>
    <s v="H000005006"/>
    <s v="Move"/>
    <x v="0"/>
    <x v="0"/>
    <s v="HC"/>
    <m/>
    <m/>
    <s v="Dale Ian Castaneda"/>
  </r>
  <r>
    <n v="1456"/>
    <s v="F2"/>
    <x v="49"/>
    <s v="G000000951"/>
    <m/>
    <s v="G000000873"/>
    <s v="Move"/>
    <x v="0"/>
    <x v="0"/>
    <s v="MGF"/>
    <m/>
    <m/>
    <s v="Analyn Ayson"/>
  </r>
  <r>
    <n v="1457"/>
    <s v="F2"/>
    <x v="50"/>
    <s v="H000005007"/>
    <s v="TR - BU Rare Diseases"/>
    <s v="H000003462"/>
    <s v="New"/>
    <x v="0"/>
    <x v="0"/>
    <s v="MGF"/>
    <m/>
    <m/>
    <s v="Henry Jr Ifurung"/>
  </r>
  <r>
    <n v="1458"/>
    <s v="F2"/>
    <x v="50"/>
    <s v="H000005008"/>
    <s v="TR - Field Force Rare Diseases"/>
    <s v="H000005007"/>
    <s v="New"/>
    <x v="0"/>
    <x v="0"/>
    <s v="MGF"/>
    <m/>
    <m/>
    <s v="Henry Jr Ifurung"/>
  </r>
  <r>
    <n v="1459"/>
    <s v="F2"/>
    <x v="50"/>
    <s v="H000005009"/>
    <s v="TR - Marketing Rare Diseases"/>
    <s v="H000005007"/>
    <s v="New"/>
    <x v="0"/>
    <x v="0"/>
    <s v="MGF"/>
    <m/>
    <m/>
    <s v="Henry Jr Ifurung"/>
  </r>
  <r>
    <n v="1460"/>
    <s v="F2"/>
    <x v="50"/>
    <s v="H000005010"/>
    <s v="TR - Sales Promotion Rare Diseases"/>
    <s v="H000005007"/>
    <s v="New"/>
    <x v="0"/>
    <x v="0"/>
    <s v="MGF"/>
    <m/>
    <m/>
    <s v="Henry Jr Ifurung"/>
  </r>
  <r>
    <n v="1461"/>
    <s v="F2"/>
    <x v="50"/>
    <s v="H000005011"/>
    <s v="TR - Medical Rare Diseases"/>
    <s v="H000003490"/>
    <s v="New"/>
    <x v="0"/>
    <x v="0"/>
    <s v="MGF"/>
    <m/>
    <m/>
    <s v="Henry Jr Ifurung"/>
  </r>
  <r>
    <n v="1462"/>
    <s v="F2"/>
    <x v="50"/>
    <s v="H000005012"/>
    <s v="TR - Medical Team"/>
    <s v="H000005011"/>
    <s v="New"/>
    <x v="0"/>
    <x v="0"/>
    <s v="MGF"/>
    <m/>
    <m/>
    <s v="Henry Jr Ifurung"/>
  </r>
  <r>
    <n v="1463"/>
    <s v="F2"/>
    <x v="50"/>
    <s v="H000005013"/>
    <s v="TR - Medical Activities Non R&amp;D RD"/>
    <s v="H000005011"/>
    <s v="New"/>
    <x v="0"/>
    <x v="0"/>
    <s v="MGF"/>
    <m/>
    <m/>
    <s v="Henry Jr Ifurung"/>
  </r>
  <r>
    <n v="1464"/>
    <s v="F2"/>
    <x v="51"/>
    <s v="H000005014"/>
    <s v="Global Clinical Development"/>
    <s v="H000000955"/>
    <s v="New"/>
    <x v="0"/>
    <x v="0"/>
    <s v="MGF"/>
    <m/>
    <m/>
    <s v="Erjo Miguel Tagle"/>
  </r>
  <r>
    <n v="1465"/>
    <s v="F2"/>
    <x v="51"/>
    <s v="H000005015"/>
    <s v="Program Strategy and Leadership"/>
    <s v="H000000827"/>
    <s v="New"/>
    <x v="0"/>
    <x v="0"/>
    <s v="MGF"/>
    <m/>
    <m/>
    <s v="Erjo Miguel Tagle"/>
  </r>
  <r>
    <n v="1466"/>
    <s v="F2"/>
    <x v="51"/>
    <s v="H000004918"/>
    <m/>
    <s v="O000000009"/>
    <s v="Remove"/>
    <x v="0"/>
    <x v="0"/>
    <s v="MGF"/>
    <m/>
    <m/>
    <s v="Erjo Miguel Tagle"/>
  </r>
  <r>
    <n v="1467"/>
    <s v="F2"/>
    <x v="52"/>
    <s v="H000005016"/>
    <s v="120.12 Mirda+BGB-3245"/>
    <s v="H000004946"/>
    <s v="New"/>
    <x v="0"/>
    <x v="0"/>
    <s v="HC"/>
    <m/>
    <m/>
    <s v="Tina Kempe"/>
  </r>
  <r>
    <n v="1468"/>
    <s v="F2"/>
    <x v="52"/>
    <s v="H000005017"/>
    <s v="130.00 BGB-3245-No Program"/>
    <s v="H000004935"/>
    <s v="New"/>
    <x v="0"/>
    <x v="0"/>
    <s v="HC"/>
    <m/>
    <m/>
    <s v="Tina Kempe"/>
  </r>
  <r>
    <n v="1469"/>
    <s v="F2"/>
    <x v="52"/>
    <s v="H000005018"/>
    <s v="510.10 TEAD-No Program"/>
    <s v="H000004936"/>
    <s v="New"/>
    <x v="0"/>
    <x v="0"/>
    <s v="HC"/>
    <m/>
    <m/>
    <s v="Tina Kempe"/>
  </r>
  <r>
    <n v="1470"/>
    <s v="F2"/>
    <x v="52"/>
    <s v="H000005019"/>
    <s v="510.11 TEAD SW-1656, AST"/>
    <s v="H000004936"/>
    <s v="New"/>
    <x v="0"/>
    <x v="0"/>
    <s v="HC"/>
    <m/>
    <m/>
    <s v="Tina Kempe"/>
  </r>
  <r>
    <n v="1471"/>
    <s v="F2"/>
    <x v="52"/>
    <s v="H000005020"/>
    <s v="550 VRK1"/>
    <s v="H000004932"/>
    <s v="New"/>
    <x v="0"/>
    <x v="0"/>
    <s v="HC"/>
    <m/>
    <m/>
    <s v="Tina Kempe"/>
  </r>
  <r>
    <n v="1472"/>
    <s v="F2"/>
    <x v="52"/>
    <s v="H000005021"/>
    <s v="550.00 VRK1 |No Program"/>
    <s v="H000005020"/>
    <s v="New"/>
    <x v="0"/>
    <x v="0"/>
    <s v="HC"/>
    <m/>
    <m/>
    <s v="Tina Kempe"/>
  </r>
  <r>
    <n v="1473"/>
    <s v="F2"/>
    <x v="52"/>
    <s v="H000005022"/>
    <s v="900 Capital Projects"/>
    <s v="H000004932"/>
    <s v="New"/>
    <x v="0"/>
    <x v="0"/>
    <s v="HC"/>
    <m/>
    <m/>
    <s v="Tina Kempe"/>
  </r>
  <r>
    <n v="1474"/>
    <s v="F2"/>
    <x v="52"/>
    <s v="H000005023"/>
    <s v="910  IT Projects"/>
    <s v="H000004932"/>
    <s v="New"/>
    <x v="0"/>
    <x v="0"/>
    <s v="HC"/>
    <m/>
    <m/>
    <s v="Tina Kempe"/>
  </r>
  <r>
    <n v="1475"/>
    <s v="F2"/>
    <x v="52"/>
    <s v="H000005024"/>
    <s v="920 Other Opex Projects"/>
    <s v="H000004932"/>
    <s v="New"/>
    <x v="0"/>
    <x v="0"/>
    <s v="HC"/>
    <m/>
    <m/>
    <s v="Tina Kempe"/>
  </r>
  <r>
    <n v="1476"/>
    <s v="F2"/>
    <x v="52"/>
    <s v="H000005025"/>
    <s v="General allocation SW"/>
    <s v="H000004932"/>
    <s v="New"/>
    <x v="0"/>
    <x v="0"/>
    <s v="HC"/>
    <m/>
    <m/>
    <s v="Tina Kempe"/>
  </r>
  <r>
    <n v="1477"/>
    <s v="F2"/>
    <x v="52"/>
    <s v="H000005026"/>
    <s v="SW Integration - exeptionals"/>
    <s v="H000000974"/>
    <s v="New"/>
    <x v="0"/>
    <x v="0"/>
    <s v="HC"/>
    <m/>
    <m/>
    <s v="Tina Kempe"/>
  </r>
  <r>
    <n v="1478"/>
    <s v="F2"/>
    <x v="53"/>
    <s v="H000004396"/>
    <m/>
    <s v="H000004956"/>
    <s v="Move"/>
    <x v="0"/>
    <x v="0"/>
    <m/>
    <m/>
    <m/>
    <s v="Henry Jr Ifurung"/>
  </r>
  <r>
    <n v="1479"/>
    <s v="F2"/>
    <x v="54"/>
    <s v="H000005027"/>
    <s v="Research &amp; Development"/>
    <s v="H000000000"/>
    <s v="New"/>
    <x v="0"/>
    <x v="0"/>
    <s v="HC"/>
    <m/>
    <m/>
    <m/>
  </r>
  <r>
    <n v="1480"/>
    <s v="F2"/>
    <x v="54"/>
    <s v="H000005028"/>
    <s v="Local Medical"/>
    <s v="H000005027"/>
    <s v="New"/>
    <x v="0"/>
    <x v="0"/>
    <s v="HC"/>
    <m/>
    <m/>
    <m/>
  </r>
  <r>
    <n v="1481"/>
    <s v="F2"/>
    <x v="54"/>
    <s v="H000005029"/>
    <s v="Non R&amp;D Local Medical"/>
    <s v="H000005027"/>
    <s v="New"/>
    <x v="0"/>
    <x v="0"/>
    <s v="HC"/>
    <m/>
    <m/>
    <m/>
  </r>
  <r>
    <n v="1482"/>
    <s v="F2"/>
    <x v="54"/>
    <s v="H000005030"/>
    <s v="Local R&amp;D Direct Costs"/>
    <s v="H000005028"/>
    <s v="New"/>
    <x v="0"/>
    <x v="0"/>
    <s v="HC"/>
    <m/>
    <m/>
    <m/>
  </r>
  <r>
    <n v="1483"/>
    <s v="F2"/>
    <x v="54"/>
    <s v="H000005031"/>
    <s v="Local R&amp;D other"/>
    <s v="H000005028"/>
    <s v="New"/>
    <x v="0"/>
    <x v="0"/>
    <s v="HC"/>
    <m/>
    <m/>
    <m/>
  </r>
  <r>
    <n v="1484"/>
    <s v="F2"/>
    <x v="54"/>
    <s v="H000005032"/>
    <s v="Local R&amp;D Indirect Costs"/>
    <s v="H000005028"/>
    <s v="New"/>
    <x v="0"/>
    <x v="0"/>
    <s v="HC"/>
    <m/>
    <m/>
    <m/>
  </r>
  <r>
    <n v="1485"/>
    <s v="F2"/>
    <x v="54"/>
    <s v="H000000687"/>
    <s v="Global R&amp;D"/>
    <m/>
    <s v="Rename"/>
    <x v="0"/>
    <x v="0"/>
    <m/>
    <m/>
    <m/>
    <m/>
  </r>
  <r>
    <n v="1486"/>
    <s v="F2"/>
    <x v="54"/>
    <s v="H000000688"/>
    <s v="Global R&amp;D Direct Costs"/>
    <m/>
    <s v="Rename"/>
    <x v="0"/>
    <x v="0"/>
    <m/>
    <m/>
    <m/>
    <m/>
  </r>
  <r>
    <n v="1487"/>
    <s v="F2"/>
    <x v="54"/>
    <s v="H000000974"/>
    <s v="Global R&amp;D other"/>
    <m/>
    <s v="Rename"/>
    <x v="0"/>
    <x v="0"/>
    <m/>
    <m/>
    <m/>
    <m/>
  </r>
  <r>
    <n v="1488"/>
    <s v="F2"/>
    <x v="54"/>
    <s v="H000000975"/>
    <s v="Global R&amp;D Indirect Costs"/>
    <m/>
    <s v="Rename"/>
    <x v="0"/>
    <x v="0"/>
    <m/>
    <m/>
    <m/>
    <m/>
  </r>
  <r>
    <n v="1489"/>
    <s v="F2"/>
    <x v="55"/>
    <s v="H000005033"/>
    <s v="CA - Rare (Commercial)"/>
    <s v="H000003901"/>
    <s v="New"/>
    <x v="0"/>
    <x v="0"/>
    <s v="HC"/>
    <m/>
    <m/>
    <m/>
  </r>
  <r>
    <n v="1490"/>
    <s v="F2"/>
    <x v="55"/>
    <s v="H000005034"/>
    <s v="CA - People/OH (Rare Comm)"/>
    <s v="H000005033"/>
    <s v="New"/>
    <x v="0"/>
    <x v="0"/>
    <s v="HC"/>
    <m/>
    <m/>
    <m/>
  </r>
  <r>
    <n v="1491"/>
    <s v="F2"/>
    <x v="55"/>
    <s v="H000005035"/>
    <s v="CA - People/OH FF (Rare Comm)"/>
    <s v="H000005034"/>
    <s v="New"/>
    <x v="0"/>
    <x v="0"/>
    <s v="HC"/>
    <m/>
    <m/>
    <m/>
  </r>
  <r>
    <n v="1492"/>
    <s v="F2"/>
    <x v="55"/>
    <s v="H000005036"/>
    <s v="CA - People/OH ISS (Rare Comm)"/>
    <s v="H000005034"/>
    <s v="New"/>
    <x v="0"/>
    <x v="0"/>
    <s v="HC"/>
    <m/>
    <m/>
    <m/>
  </r>
  <r>
    <n v="1493"/>
    <s v="F2"/>
    <x v="55"/>
    <s v="H000005037"/>
    <s v="CA - Program (Rare Comm)"/>
    <s v="H000005033"/>
    <s v="New"/>
    <x v="0"/>
    <x v="0"/>
    <s v="HC"/>
    <m/>
    <m/>
    <m/>
  </r>
  <r>
    <n v="1494"/>
    <s v="F2"/>
    <x v="55"/>
    <s v="H000005038"/>
    <s v="CA - Rare (Medical)"/>
    <s v="H000003921"/>
    <s v="New"/>
    <x v="0"/>
    <x v="0"/>
    <s v="HC"/>
    <m/>
    <m/>
    <m/>
  </r>
  <r>
    <n v="1495"/>
    <s v="F2"/>
    <x v="55"/>
    <s v="H000005039"/>
    <s v="CA - People/OH (Rare Med)"/>
    <s v="H000005038"/>
    <s v="New"/>
    <x v="0"/>
    <x v="0"/>
    <s v="HC"/>
    <m/>
    <m/>
    <m/>
  </r>
  <r>
    <n v="1496"/>
    <s v="F2"/>
    <x v="55"/>
    <s v="H000005040"/>
    <s v="CA - TA Direct Med (Rare)"/>
    <s v="H000005039"/>
    <s v="New"/>
    <x v="0"/>
    <x v="0"/>
    <s v="HC"/>
    <m/>
    <m/>
    <m/>
  </r>
  <r>
    <n v="1497"/>
    <s v="F2"/>
    <x v="55"/>
    <s v="H000005041"/>
    <s v="CA - Med Non-R&amp;D (Rare)"/>
    <s v="H000005039"/>
    <s v="New"/>
    <x v="0"/>
    <x v="0"/>
    <s v="HC"/>
    <m/>
    <m/>
    <m/>
  </r>
  <r>
    <n v="1498"/>
    <s v="F2"/>
    <x v="55"/>
    <s v="H000005042"/>
    <s v="CA - Program (Rare Med)"/>
    <s v="H000005038"/>
    <s v="New"/>
    <x v="0"/>
    <x v="0"/>
    <s v="HC"/>
    <m/>
    <m/>
    <m/>
  </r>
  <r>
    <n v="1499"/>
    <s v="F2"/>
    <x v="56"/>
    <s v="H000005043"/>
    <s v="US - Rare Diseases"/>
    <s v="H000003643"/>
    <s v="New"/>
    <x v="0"/>
    <x v="0"/>
    <s v="HC"/>
    <m/>
    <m/>
    <m/>
  </r>
  <r>
    <n v="1500"/>
    <s v="F2"/>
    <x v="56"/>
    <s v="H000005044"/>
    <s v="US - Rare Diseases - People/OH"/>
    <s v="H000005043"/>
    <s v="New"/>
    <x v="0"/>
    <x v="0"/>
    <s v="HC"/>
    <m/>
    <m/>
    <m/>
  </r>
  <r>
    <n v="1501"/>
    <s v="F2"/>
    <x v="56"/>
    <s v="H000005045"/>
    <s v="US - Rare Diseases - Field"/>
    <s v="H000005044"/>
    <s v="New"/>
    <x v="0"/>
    <x v="0"/>
    <s v="HC"/>
    <m/>
    <m/>
    <m/>
  </r>
  <r>
    <n v="1502"/>
    <s v="F2"/>
    <x v="56"/>
    <s v="H000005046"/>
    <s v="US - Rare Diseases - ISS/Marketing"/>
    <s v="H000005044"/>
    <s v="New"/>
    <x v="0"/>
    <x v="0"/>
    <s v="HC"/>
    <m/>
    <m/>
    <m/>
  </r>
  <r>
    <n v="1503"/>
    <s v="F2"/>
    <x v="56"/>
    <s v="H000005047"/>
    <s v="US - Rare Diseases - Admin"/>
    <s v="H000005044"/>
    <s v="New"/>
    <x v="0"/>
    <x v="0"/>
    <s v="HC"/>
    <m/>
    <m/>
    <m/>
  </r>
  <r>
    <n v="1504"/>
    <s v="F2"/>
    <x v="56"/>
    <s v="H000005048"/>
    <s v="US - Rare Diseases - Program"/>
    <s v="H000005043"/>
    <s v="New"/>
    <x v="0"/>
    <x v="0"/>
    <s v="HC"/>
    <m/>
    <m/>
    <m/>
  </r>
  <r>
    <n v="1505"/>
    <s v="F2"/>
    <x v="56"/>
    <s v="H000005049"/>
    <s v="US - Rare Diseases - Field Program"/>
    <s v="H000005048"/>
    <s v="New"/>
    <x v="0"/>
    <x v="0"/>
    <s v="HC"/>
    <m/>
    <m/>
    <m/>
  </r>
  <r>
    <n v="1506"/>
    <s v="F2"/>
    <x v="56"/>
    <s v="H000005050"/>
    <s v="US - Rare Diseases - Marketing Admin"/>
    <s v="H000005048"/>
    <s v="New"/>
    <x v="0"/>
    <x v="0"/>
    <s v="HC"/>
    <m/>
    <m/>
    <m/>
  </r>
  <r>
    <n v="1507"/>
    <s v="F2"/>
    <x v="56"/>
    <s v="H000005051"/>
    <s v="US - Rare Diseases - Brand Marketing"/>
    <s v="H000005048"/>
    <s v="New"/>
    <x v="0"/>
    <x v="0"/>
    <s v="HC"/>
    <m/>
    <m/>
    <m/>
  </r>
  <r>
    <n v="1508"/>
    <s v="F2"/>
    <x v="56"/>
    <s v="H000005052"/>
    <s v="US - Rare Diseases - Other M&amp;S - FDA Fee"/>
    <s v="H000005048"/>
    <s v="New"/>
    <x v="0"/>
    <x v="0"/>
    <s v="HC"/>
    <m/>
    <m/>
    <m/>
  </r>
  <r>
    <n v="1509"/>
    <s v="F2"/>
    <x v="56"/>
    <s v="H000005053"/>
    <s v="US - Rare Diseases - MAPS Patient Access"/>
    <s v="H000005048"/>
    <s v="New"/>
    <x v="0"/>
    <x v="0"/>
    <s v="HC"/>
    <m/>
    <m/>
    <m/>
  </r>
  <r>
    <n v="1510"/>
    <s v="F2"/>
    <x v="56"/>
    <s v="H000005054"/>
    <s v="US - Rare Diseases - MAPS - Access Mktg"/>
    <s v="H000005048"/>
    <s v="New"/>
    <x v="0"/>
    <x v="0"/>
    <s v="HC"/>
    <m/>
    <m/>
    <m/>
  </r>
  <r>
    <n v="1511"/>
    <s v="F2"/>
    <x v="56"/>
    <s v="H000005055"/>
    <s v="US - Rare Diseases - OE&amp;I"/>
    <s v="H000005048"/>
    <s v="New"/>
    <x v="0"/>
    <x v="0"/>
    <s v="HC"/>
    <m/>
    <m/>
    <m/>
  </r>
  <r>
    <n v="1512"/>
    <s v="F2"/>
    <x v="56"/>
    <s v="H000005056"/>
    <s v="US - Rare Diseases"/>
    <s v="H000003732"/>
    <s v="New"/>
    <x v="0"/>
    <x v="0"/>
    <s v="HC"/>
    <m/>
    <m/>
    <m/>
  </r>
  <r>
    <n v="1513"/>
    <s v="F2"/>
    <x v="56"/>
    <s v="H000005057"/>
    <s v="US - Rare Diseases - People/OH"/>
    <s v="H000005056"/>
    <s v="New"/>
    <x v="0"/>
    <x v="0"/>
    <s v="HC"/>
    <m/>
    <m/>
    <m/>
  </r>
  <r>
    <n v="1514"/>
    <s v="F2"/>
    <x v="56"/>
    <s v="H000005058"/>
    <s v="US - Rare Diseases - LR&amp;D"/>
    <s v="H000005057"/>
    <s v="New"/>
    <x v="0"/>
    <x v="0"/>
    <s v="HC"/>
    <m/>
    <m/>
    <m/>
  </r>
  <r>
    <n v="1515"/>
    <s v="F2"/>
    <x v="56"/>
    <s v="H000005059"/>
    <s v="US - Rare Diseases - Program"/>
    <s v="H000005056"/>
    <s v="New"/>
    <x v="0"/>
    <x v="0"/>
    <s v="HC"/>
    <m/>
    <m/>
    <m/>
  </r>
  <r>
    <n v="1516"/>
    <s v="F2"/>
    <x v="56"/>
    <s v="H000005060"/>
    <s v="US - Rare Diseases - MSL Training"/>
    <s v="H000005059"/>
    <s v="New"/>
    <x v="0"/>
    <x v="0"/>
    <s v="HC"/>
    <m/>
    <m/>
    <m/>
  </r>
  <r>
    <n v="1517"/>
    <s v="F2"/>
    <x v="56"/>
    <s v="H000005061"/>
    <s v="US - Rare Diseases - Congresses"/>
    <s v="H000005059"/>
    <s v="New"/>
    <x v="0"/>
    <x v="0"/>
    <s v="HC"/>
    <m/>
    <m/>
    <m/>
  </r>
  <r>
    <n v="1518"/>
    <s v="F2"/>
    <x v="56"/>
    <s v="H000005062"/>
    <s v="US - Rare Diseases - Consulting"/>
    <s v="H000005059"/>
    <s v="New"/>
    <x v="0"/>
    <x v="0"/>
    <s v="HC"/>
    <m/>
    <m/>
    <m/>
  </r>
  <r>
    <n v="1519"/>
    <s v="F2"/>
    <x v="56"/>
    <s v="H000005063"/>
    <s v="US - Rare Diseases - Med Comm, Pubs"/>
    <s v="H000005059"/>
    <s v="New"/>
    <x v="0"/>
    <x v="0"/>
    <s v="HC"/>
    <m/>
    <m/>
    <m/>
  </r>
  <r>
    <n v="1520"/>
    <s v="F2"/>
    <x v="56"/>
    <s v="H000005064"/>
    <s v="US - Rare Diseases - Medical Info"/>
    <s v="H000005059"/>
    <s v="New"/>
    <x v="0"/>
    <x v="0"/>
    <s v="HC"/>
    <m/>
    <m/>
    <m/>
  </r>
  <r>
    <n v="1521"/>
    <s v="F2"/>
    <x v="56"/>
    <s v="H000005065"/>
    <s v="US - Rare Diseases - NEVD"/>
    <s v="H000005059"/>
    <s v="New"/>
    <x v="0"/>
    <x v="0"/>
    <s v="HC"/>
    <m/>
    <m/>
    <m/>
  </r>
  <r>
    <n v="1522"/>
    <s v="F2"/>
    <x v="57"/>
    <s v="H000004396"/>
    <s v="GBF Rare Diseases"/>
    <m/>
    <s v="Rename"/>
    <x v="0"/>
    <x v="0"/>
    <s v="HC"/>
    <m/>
    <m/>
    <s v="Henry Jr Ifurung"/>
  </r>
  <r>
    <n v="1523"/>
    <s v="F2"/>
    <x v="58"/>
    <s v="H000004992"/>
    <m/>
    <s v="H000004991"/>
    <s v="Move"/>
    <x v="0"/>
    <x v="0"/>
    <s v="HC"/>
    <m/>
    <m/>
    <s v="Dale Ian Castaneda"/>
  </r>
  <r>
    <n v="1524"/>
    <s v="F2"/>
    <x v="58"/>
    <s v="H000004993"/>
    <m/>
    <s v="H000004991"/>
    <s v="Move"/>
    <x v="0"/>
    <x v="0"/>
    <s v="HC"/>
    <m/>
    <m/>
    <s v="Dale Ian Castaneda"/>
  </r>
  <r>
    <n v="1525"/>
    <s v="F2"/>
    <x v="58"/>
    <s v="H000004994"/>
    <m/>
    <s v="H000004991"/>
    <s v="Move"/>
    <x v="0"/>
    <x v="0"/>
    <s v="HC"/>
    <m/>
    <m/>
    <s v="Dale Ian Castaneda"/>
  </r>
  <r>
    <n v="1526"/>
    <s v="F2"/>
    <x v="59"/>
    <s v="H000005066"/>
    <s v="US - Rare - Opinion Leader Laison"/>
    <s v="H000005048"/>
    <s v="New"/>
    <x v="0"/>
    <x v="0"/>
    <s v="HC"/>
    <m/>
    <m/>
    <s v="Gearlene Joy Valenzuela"/>
  </r>
  <r>
    <n v="1527"/>
    <s v="F2"/>
    <x v="59"/>
    <s v="H000005067"/>
    <s v="US - Rare GSI - Market Insights &amp; Frcst"/>
    <s v="H000005048"/>
    <s v="New"/>
    <x v="0"/>
    <x v="0"/>
    <s v="HC"/>
    <m/>
    <m/>
    <s v="Gearlene Joy Valenzuela"/>
  </r>
  <r>
    <n v="1528"/>
    <s v="F2"/>
    <x v="59"/>
    <s v="H000005068"/>
    <s v="US - Rare OE&amp;I - Cap. Bldg Eng. &amp; Events"/>
    <s v="H000005048"/>
    <s v="New"/>
    <x v="0"/>
    <x v="0"/>
    <s v="HC"/>
    <m/>
    <m/>
    <s v="Gearlene Joy Valenzuela"/>
  </r>
  <r>
    <n v="1529"/>
    <s v="F2"/>
    <x v="59"/>
    <s v="H000005069"/>
    <s v="US - Rare Diseases - GPA - Advocacy"/>
    <s v="H000005048"/>
    <s v="New"/>
    <x v="0"/>
    <x v="0"/>
    <s v="HC"/>
    <m/>
    <m/>
    <s v="Gearlene Joy Valenzuela"/>
  </r>
  <r>
    <n v="1530"/>
    <s v="F2"/>
    <x v="59"/>
    <s v="H000005070"/>
    <s v="US - Rare Diseases - GPA - Govt Affairs"/>
    <s v="H000005048"/>
    <s v="New"/>
    <x v="0"/>
    <x v="0"/>
    <s v="HC"/>
    <m/>
    <m/>
    <s v="Gearlene Joy Valenzuela"/>
  </r>
  <r>
    <n v="1531"/>
    <s v="F2"/>
    <x v="59"/>
    <s v="H000005071"/>
    <s v="US - Rare GPA - Innovative Med Policy"/>
    <s v="H000005048"/>
    <s v="New"/>
    <x v="0"/>
    <x v="0"/>
    <s v="HC"/>
    <m/>
    <m/>
    <s v="Gearlene Joy Valenzuela"/>
  </r>
  <r>
    <n v="1532"/>
    <s v="F2"/>
    <x v="59"/>
    <s v="H000005072"/>
    <s v="US - Rare Diseases - Communications"/>
    <s v="H000005048"/>
    <s v="New"/>
    <x v="0"/>
    <x v="0"/>
    <s v="HC"/>
    <m/>
    <m/>
    <s v="Gearlene Joy Valenzuela"/>
  </r>
  <r>
    <n v="1533"/>
    <s v="F2"/>
    <x v="59"/>
    <s v="H000005073"/>
    <s v="US - Rare Diseases - New Product"/>
    <s v="H000005048"/>
    <s v="New"/>
    <x v="0"/>
    <x v="0"/>
    <s v="HC"/>
    <m/>
    <m/>
    <s v="Gearlene Joy Valenzuela"/>
  </r>
  <r>
    <n v="1534"/>
    <s v="F2"/>
    <x v="59"/>
    <s v="H000005074"/>
    <s v="US - Rare Diseases - Hedge"/>
    <s v="H000005048"/>
    <s v="New"/>
    <x v="0"/>
    <x v="0"/>
    <s v="HC"/>
    <m/>
    <m/>
    <s v="Gearlene Joy Valenzuela"/>
  </r>
  <r>
    <n v="1535"/>
    <s v="F2"/>
    <x v="59"/>
    <s v="H000005075"/>
    <s v="US - Rare Diseases - OE&amp;I - Comm Ops"/>
    <s v="H000005048"/>
    <s v="New"/>
    <x v="0"/>
    <x v="0"/>
    <s v="HC"/>
    <m/>
    <m/>
    <s v="Gearlene Joy Valenzuela"/>
  </r>
  <r>
    <n v="1536"/>
    <s v="F2"/>
    <x v="59"/>
    <s v="H000005076"/>
    <s v="US - Rare Diseases - MAPS Value&amp;Access"/>
    <s v="H000005048"/>
    <s v="New"/>
    <x v="0"/>
    <x v="0"/>
    <s v="HC"/>
    <m/>
    <m/>
    <s v="Gearlene Joy Valenzuela"/>
  </r>
  <r>
    <n v="1537"/>
    <s v="F2"/>
    <x v="59"/>
    <s v="H000005077"/>
    <s v="US - Rare - MAPS Field Patient Svcs"/>
    <s v="H000005048"/>
    <s v="New"/>
    <x v="0"/>
    <x v="0"/>
    <s v="HC"/>
    <m/>
    <m/>
    <s v="Gearlene Joy Valenzuela"/>
  </r>
  <r>
    <n v="1538"/>
    <s v="F2"/>
    <x v="59"/>
    <s v="H000005078"/>
    <s v="US - Rare Diseases - Medical Education"/>
    <s v="H000005059"/>
    <s v="New"/>
    <x v="0"/>
    <x v="0"/>
    <s v="HC"/>
    <m/>
    <m/>
    <s v="Gearlene Joy Valenzuela"/>
  </r>
  <r>
    <n v="1539"/>
    <s v="F2"/>
    <x v="59"/>
    <s v="H000005079"/>
    <s v="US - Rare Diseases - Charitable Cont"/>
    <s v="H000005059"/>
    <s v="New"/>
    <x v="0"/>
    <x v="0"/>
    <s v="HC"/>
    <m/>
    <m/>
    <s v="Gearlene Joy Valenzuela"/>
  </r>
  <r>
    <n v="1540"/>
    <s v="F2"/>
    <x v="59"/>
    <s v="H000005080"/>
    <s v="US - Rare Diseases - MSL Programs"/>
    <s v="H000005059"/>
    <s v="New"/>
    <x v="0"/>
    <x v="0"/>
    <s v="HC"/>
    <m/>
    <m/>
    <s v="Gearlene Joy Valenzuela"/>
  </r>
  <r>
    <n v="1541"/>
    <s v="F2"/>
    <x v="59"/>
    <s v="H000005081"/>
    <s v="US - Rare Diseases - Internal Meetings"/>
    <s v="H000005059"/>
    <s v="New"/>
    <x v="0"/>
    <x v="0"/>
    <s v="HC"/>
    <m/>
    <m/>
    <s v="Gearlene Joy Valenzuela"/>
  </r>
  <r>
    <n v="1542"/>
    <s v="F2"/>
    <x v="59"/>
    <s v="H000005082"/>
    <s v="US - Rare Diseases - Ad Boards"/>
    <s v="H000005059"/>
    <s v="New"/>
    <x v="0"/>
    <x v="0"/>
    <s v="HC"/>
    <m/>
    <m/>
    <s v="Gearlene Joy Valenzuela"/>
  </r>
  <r>
    <n v="1543"/>
    <s v="F2"/>
    <x v="59"/>
    <s v="H000005083"/>
    <s v="US - Rare Diseases - Speaker Programs"/>
    <s v="H000005059"/>
    <s v="New"/>
    <x v="0"/>
    <x v="0"/>
    <s v="HC"/>
    <m/>
    <m/>
    <s v="Gearlene Joy Valenzuela"/>
  </r>
  <r>
    <n v="1544"/>
    <s v="F2"/>
    <x v="59"/>
    <s v="H000005084"/>
    <s v="US - Rare Diseases - IST / ISS"/>
    <s v="H000005059"/>
    <s v="New"/>
    <x v="0"/>
    <x v="0"/>
    <s v="HC"/>
    <m/>
    <m/>
    <s v="Gearlene Joy Valenzuela"/>
  </r>
  <r>
    <n v="1545"/>
    <s v="F2"/>
    <x v="59"/>
    <s v="H000005085"/>
    <s v="US - Rare Diseases - Program Hedge"/>
    <s v="H000005059"/>
    <s v="New"/>
    <x v="0"/>
    <x v="0"/>
    <s v="HC"/>
    <m/>
    <m/>
    <s v="Gearlene Joy Valenzuela"/>
  </r>
  <r>
    <n v="1546"/>
    <s v="F2"/>
    <x v="59"/>
    <s v="H000005086"/>
    <s v="US - Rare Diseases - Studies"/>
    <s v="H000005059"/>
    <s v="New"/>
    <x v="0"/>
    <x v="0"/>
    <s v="HC"/>
    <m/>
    <m/>
    <s v="Gearlene Joy Valenzuela"/>
  </r>
  <r>
    <n v="1547"/>
    <s v="F2"/>
    <x v="59"/>
    <s v="H000005087"/>
    <s v="US - Rare Diseases - Samples"/>
    <s v="H000005059"/>
    <s v="New"/>
    <x v="0"/>
    <x v="0"/>
    <s v="HC"/>
    <m/>
    <m/>
    <s v="Gearlene Joy Valenzuela"/>
  </r>
  <r>
    <n v="1548"/>
    <s v="F2"/>
    <x v="59"/>
    <s v="H000005055"/>
    <s v="US - Rare Diseases - OE&amp;I Data Strat"/>
    <m/>
    <s v="Rename"/>
    <x v="0"/>
    <x v="0"/>
    <s v="HC"/>
    <m/>
    <m/>
    <s v="Gearlene Joy Valenzuela"/>
  </r>
  <r>
    <n v="1549"/>
    <s v="F2"/>
    <x v="60"/>
    <s v="L000009814"/>
    <s v="Cranbury 3PL WH -G"/>
    <m/>
    <s v="Rename"/>
    <x v="0"/>
    <x v="0"/>
    <s v="LS"/>
    <m/>
    <m/>
    <s v="Jay Schafer"/>
  </r>
  <r>
    <n v="1550"/>
    <s v="F2"/>
    <x v="61"/>
    <s v="RDC0000142"/>
    <s v="Oligo Therapeutics"/>
    <s v="RDC0000130"/>
    <s v="New"/>
    <x v="1"/>
    <x v="0"/>
    <s v="HC"/>
    <m/>
    <m/>
    <s v="Erjo Miguel Tagle"/>
  </r>
  <r>
    <n v="1551"/>
    <s v="F2"/>
    <x v="61"/>
    <s v="H000005088"/>
    <s v="Focus30 Global R&amp;D"/>
    <s v="H000000965"/>
    <s v="New"/>
    <x v="1"/>
    <x v="0"/>
    <s v="HC"/>
    <m/>
    <m/>
    <s v="Erjo Miguel Tagle"/>
  </r>
  <r>
    <n v="1552"/>
    <s v="F2"/>
    <x v="61"/>
    <s v="H000005089"/>
    <s v="Focus30 Local R&amp;D"/>
    <s v="H000000965"/>
    <s v="New"/>
    <x v="1"/>
    <x v="0"/>
    <s v="HC"/>
    <m/>
    <m/>
    <s v="Erjo Miguel Tagle"/>
  </r>
  <r>
    <n v="1553"/>
    <s v="F2"/>
    <x v="62"/>
    <s v="G000000889"/>
    <m/>
    <s v="G000000873"/>
    <s v="Move"/>
    <x v="1"/>
    <x v="0"/>
    <s v="MGF"/>
    <m/>
    <m/>
    <s v="Analyn Ayson"/>
  </r>
  <r>
    <n v="1554"/>
    <s v="F2"/>
    <x v="62"/>
    <s v="G000001018"/>
    <m/>
    <s v="G000000873"/>
    <s v="Move"/>
    <x v="1"/>
    <x v="0"/>
    <s v="MGF"/>
    <m/>
    <m/>
    <s v="Analyn Ayson"/>
  </r>
  <r>
    <n v="1555"/>
    <s v="F2"/>
    <x v="63"/>
    <s v="H000005016 "/>
    <s v="120.12 Mirda+BGB-3245"/>
    <s v="H000004934"/>
    <s v="Move"/>
    <x v="1"/>
    <x v="0"/>
    <s v="HC"/>
    <m/>
    <m/>
    <s v="Tina Kempe"/>
  </r>
  <r>
    <n v="1556"/>
    <s v="F2"/>
    <x v="63"/>
    <s v="H000005018"/>
    <s v="510.00 TEAD-No Program"/>
    <m/>
    <s v="Rename"/>
    <x v="1"/>
    <x v="0"/>
    <s v="HC"/>
    <m/>
    <m/>
    <s v="Tina Kempe"/>
  </r>
  <r>
    <n v="1557"/>
    <s v="F2"/>
    <x v="63"/>
    <s v="H000005021"/>
    <s v="550.00 VRK1 |No Program"/>
    <m/>
    <s v="Rename"/>
    <x v="1"/>
    <x v="0"/>
    <s v="HC"/>
    <m/>
    <m/>
    <s v="Tina Kemp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1D05A-D0FC-4929-A0AB-DE016F82405A}" name="PivotTable1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13">
    <pivotField showAll="0"/>
    <pivotField showAll="0"/>
    <pivotField axis="axisRow" showAll="0">
      <items count="156">
        <item m="1" x="91"/>
        <item m="1" x="133"/>
        <item m="1" x="150"/>
        <item m="1" x="144"/>
        <item m="1" x="129"/>
        <item m="1" x="87"/>
        <item m="1" x="95"/>
        <item m="1" x="120"/>
        <item m="1" x="117"/>
        <item m="1" x="67"/>
        <item m="1" x="151"/>
        <item m="1" x="109"/>
        <item m="1" x="90"/>
        <item m="1" x="98"/>
        <item m="1" x="102"/>
        <item m="1" x="72"/>
        <item m="1" x="104"/>
        <item m="1" x="73"/>
        <item m="1" x="139"/>
        <item m="1" x="85"/>
        <item m="1" x="134"/>
        <item m="1" x="148"/>
        <item m="1" x="76"/>
        <item m="1" x="142"/>
        <item m="1" x="113"/>
        <item m="1" x="100"/>
        <item m="1" x="88"/>
        <item m="1" x="96"/>
        <item m="1" x="135"/>
        <item m="1" x="127"/>
        <item m="1" x="83"/>
        <item m="1" x="111"/>
        <item m="1" x="118"/>
        <item m="1" x="131"/>
        <item m="1" x="69"/>
        <item m="1" x="128"/>
        <item m="1" x="116"/>
        <item m="1" x="75"/>
        <item m="1" x="146"/>
        <item m="1" x="89"/>
        <item m="1" x="149"/>
        <item m="1" x="140"/>
        <item m="1" x="86"/>
        <item m="1" x="68"/>
        <item m="1" x="66"/>
        <item m="1" x="138"/>
        <item m="1" x="112"/>
        <item m="1" x="99"/>
        <item m="1" x="137"/>
        <item m="1" x="108"/>
        <item m="1" x="71"/>
        <item m="1" x="145"/>
        <item m="1" x="110"/>
        <item m="1" x="70"/>
        <item m="1" x="121"/>
        <item m="1" x="105"/>
        <item m="1" x="80"/>
        <item m="1" x="106"/>
        <item m="1" x="130"/>
        <item m="1" x="81"/>
        <item m="1" x="154"/>
        <item m="1" x="101"/>
        <item m="1" x="77"/>
        <item m="1" x="82"/>
        <item m="1" x="79"/>
        <item m="1" x="126"/>
        <item m="1" x="107"/>
        <item m="1" x="119"/>
        <item m="1" x="92"/>
        <item m="1" x="125"/>
        <item m="1" x="115"/>
        <item m="1" x="97"/>
        <item m="1" x="93"/>
        <item m="1" x="136"/>
        <item m="1" x="141"/>
        <item m="1" x="122"/>
        <item m="1" x="114"/>
        <item m="1" x="78"/>
        <item m="1" x="65"/>
        <item m="1" x="153"/>
        <item m="1" x="132"/>
        <item m="1" x="74"/>
        <item m="1" x="152"/>
        <item m="1" x="124"/>
        <item m="1" x="147"/>
        <item m="1" x="143"/>
        <item m="1" x="103"/>
        <item m="1" x="84"/>
        <item m="1" x="94"/>
        <item m="1" x="1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6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showAll="0"/>
    <pivotField showAll="0"/>
    <pivotField showAll="0"/>
    <pivotField showAll="0"/>
    <pivotField axis="axisPage" multipleItemSelectionAllowed="1" showAll="0">
      <items count="4">
        <item x="1"/>
        <item h="1" x="0"/>
        <item h="1" m="1" x="2"/>
        <item t="default"/>
      </items>
    </pivotField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2"/>
    <field x="8"/>
  </rowFields>
  <rowItems count="7">
    <i>
      <x v="152"/>
    </i>
    <i r="1">
      <x v="1"/>
    </i>
    <i>
      <x v="153"/>
    </i>
    <i r="1">
      <x v="1"/>
    </i>
    <i>
      <x v="154"/>
    </i>
    <i r="1">
      <x v="1"/>
    </i>
    <i t="grand">
      <x/>
    </i>
  </rowItems>
  <colItems count="1">
    <i/>
  </colItems>
  <pageFields count="1">
    <pageField fld="7" hier="-1"/>
  </pageFields>
  <dataFields count="1">
    <dataField name="Count of Nod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M1618" totalsRowShown="0">
  <autoFilter ref="A1:M1618" xr:uid="{00000000-000C-0000-FFFF-FFFF00000000}">
    <filterColumn colId="7">
      <filters blank="1"/>
    </filterColumn>
  </autoFilter>
  <tableColumns count="13">
    <tableColumn id="1" xr3:uid="{00000000-0010-0000-0000-000001000000}" name="No." dataDxfId="6"/>
    <tableColumn id="2" xr3:uid="{00000000-0010-0000-0000-000002000000}" name="Forecast?"/>
    <tableColumn id="3" xr3:uid="{00000000-0010-0000-0000-000003000000}" name="Ticket"/>
    <tableColumn id="4" xr3:uid="{00000000-0010-0000-0000-000004000000}" name="Node"/>
    <tableColumn id="5" xr3:uid="{00000000-0010-0000-0000-000005000000}" name="Name"/>
    <tableColumn id="6" xr3:uid="{00000000-0010-0000-0000-000006000000}" name="Parent"/>
    <tableColumn id="7" xr3:uid="{00000000-0010-0000-0000-000007000000}" name="Action"/>
    <tableColumn id="8" xr3:uid="{00000000-0010-0000-0000-000008000000}" name="STATUS" dataDxfId="5">
      <calculatedColumnFormula>IFERROR(VLOOKUP(Table2[[#This Row], [Ticket]],Okey!A:B,2,0),"")</calculatedColumnFormula>
    </tableColumn>
    <tableColumn id="9" xr3:uid="{00000000-0010-0000-0000-000009000000}" name="STATUS Check" dataDxfId="4"/>
    <tableColumn id="10" xr3:uid="{00000000-0010-0000-0000-00000A000000}" name="Sector"/>
    <tableColumn id="11" xr3:uid="{00000000-0010-0000-0000-00000B000000}" name="Comments"/>
    <tableColumn id="12" xr3:uid="{00000000-0010-0000-0000-00000C000000}" name="SANITY" dataDxfId="3"/>
    <tableColumn id="13" xr3:uid="{00000000-0010-0000-0000-00000D000000}" name="Auth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2687-D6B1-442B-AB0A-4AB0BDEAADE8}">
  <dimension ref="A1:B10"/>
  <sheetViews>
    <sheetView workbookViewId="0">
      <selection activeCell="A4" activeCellId="2" sqref="A8 A6 A4"/>
    </sheetView>
  </sheetViews>
  <sheetFormatPr defaultRowHeight="15"/>
  <cols>
    <col min="1" max="1" width="13.140625" bestFit="1" customWidth="1"/>
    <col min="2" max="3" width="14" bestFit="1" customWidth="1"/>
  </cols>
  <sheetData>
    <row r="1" spans="1:2">
      <c r="A1" s="45" t="s">
        <v>0</v>
      </c>
    </row>
    <row r="3" spans="1:2">
      <c r="A3" s="45" t="s">
        <v>11</v>
      </c>
      <c r="B3" t="s">
        <v>8998</v>
      </c>
    </row>
    <row r="4" spans="1:2">
      <c r="A4" s="32" t="s">
        <v>9777</v>
      </c>
      <c r="B4" s="44">
        <v>3</v>
      </c>
    </row>
    <row r="5" spans="1:2">
      <c r="A5" s="67" t="s">
        <v>8546</v>
      </c>
      <c r="B5" s="44">
        <v>3</v>
      </c>
    </row>
    <row r="6" spans="1:2">
      <c r="A6" s="32" t="s">
        <v>9778</v>
      </c>
      <c r="B6" s="44">
        <v>2</v>
      </c>
    </row>
    <row r="7" spans="1:2">
      <c r="A7" s="67" t="s">
        <v>8546</v>
      </c>
      <c r="B7" s="44">
        <v>2</v>
      </c>
    </row>
    <row r="8" spans="1:2">
      <c r="A8" s="32" t="s">
        <v>9781</v>
      </c>
      <c r="B8" s="44">
        <v>3</v>
      </c>
    </row>
    <row r="9" spans="1:2">
      <c r="A9" s="67" t="s">
        <v>8546</v>
      </c>
      <c r="B9" s="44">
        <v>3</v>
      </c>
    </row>
    <row r="10" spans="1:2">
      <c r="A10" s="32" t="s">
        <v>10</v>
      </c>
      <c r="B10" s="4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outlinePr summaryBelow="0"/>
  </sheetPr>
  <dimension ref="A1:B350"/>
  <sheetViews>
    <sheetView topLeftCell="A329" workbookViewId="0">
      <selection activeCell="B348" sqref="B348:B350"/>
    </sheetView>
  </sheetViews>
  <sheetFormatPr defaultRowHeight="15"/>
  <cols>
    <col min="1" max="1" width="10.140625" style="5" bestFit="1" customWidth="1"/>
    <col min="2" max="2" width="14.140625" style="9" bestFit="1" customWidth="1"/>
  </cols>
  <sheetData>
    <row r="1" spans="1:2" ht="19.5" customHeight="1">
      <c r="A1" s="1" t="s">
        <v>24</v>
      </c>
      <c r="B1" s="7" t="s">
        <v>25</v>
      </c>
    </row>
    <row r="2" spans="1:2" ht="19.5" customHeight="1">
      <c r="A2" s="1" t="s">
        <v>26</v>
      </c>
      <c r="B2" s="7" t="s">
        <v>25</v>
      </c>
    </row>
    <row r="3" spans="1:2" ht="19.5" customHeight="1">
      <c r="A3" s="1" t="s">
        <v>27</v>
      </c>
      <c r="B3" s="7" t="s">
        <v>25</v>
      </c>
    </row>
    <row r="4" spans="1:2" ht="19.5" customHeight="1">
      <c r="A4" s="1" t="s">
        <v>28</v>
      </c>
      <c r="B4" s="7" t="s">
        <v>25</v>
      </c>
    </row>
    <row r="5" spans="1:2" ht="19.5" customHeight="1">
      <c r="A5" s="1" t="s">
        <v>29</v>
      </c>
      <c r="B5" s="7" t="s">
        <v>25</v>
      </c>
    </row>
    <row r="6" spans="1:2" ht="19.5" customHeight="1">
      <c r="A6" s="1" t="s">
        <v>30</v>
      </c>
      <c r="B6" s="7" t="s">
        <v>25</v>
      </c>
    </row>
    <row r="7" spans="1:2" ht="19.5" customHeight="1">
      <c r="A7" s="1" t="s">
        <v>31</v>
      </c>
      <c r="B7" s="7" t="s">
        <v>25</v>
      </c>
    </row>
    <row r="8" spans="1:2" ht="19.5" customHeight="1">
      <c r="A8" s="1" t="s">
        <v>32</v>
      </c>
      <c r="B8" s="7" t="s">
        <v>25</v>
      </c>
    </row>
    <row r="9" spans="1:2" ht="19.5" customHeight="1">
      <c r="A9" s="1" t="s">
        <v>33</v>
      </c>
      <c r="B9" s="7" t="s">
        <v>25</v>
      </c>
    </row>
    <row r="10" spans="1:2" ht="19.5" customHeight="1">
      <c r="A10" s="1" t="s">
        <v>34</v>
      </c>
      <c r="B10" s="7" t="s">
        <v>25</v>
      </c>
    </row>
    <row r="11" spans="1:2" ht="19.5" customHeight="1">
      <c r="A11" s="1" t="s">
        <v>35</v>
      </c>
      <c r="B11" s="7" t="s">
        <v>25</v>
      </c>
    </row>
    <row r="12" spans="1:2" ht="19.5" customHeight="1">
      <c r="A12" s="1" t="s">
        <v>36</v>
      </c>
      <c r="B12" s="7" t="s">
        <v>25</v>
      </c>
    </row>
    <row r="13" spans="1:2" ht="19.5" customHeight="1">
      <c r="A13" s="1" t="s">
        <v>37</v>
      </c>
      <c r="B13" s="7" t="s">
        <v>25</v>
      </c>
    </row>
    <row r="14" spans="1:2" ht="19.5" customHeight="1">
      <c r="A14" s="1" t="s">
        <v>38</v>
      </c>
      <c r="B14" s="7" t="s">
        <v>25</v>
      </c>
    </row>
    <row r="15" spans="1:2" ht="19.5" customHeight="1">
      <c r="A15" s="1" t="s">
        <v>39</v>
      </c>
      <c r="B15" s="7" t="s">
        <v>25</v>
      </c>
    </row>
    <row r="16" spans="1:2" ht="19.5" customHeight="1">
      <c r="A16" s="1" t="s">
        <v>40</v>
      </c>
      <c r="B16" s="7" t="s">
        <v>25</v>
      </c>
    </row>
    <row r="17" spans="1:2" ht="19.5" customHeight="1">
      <c r="A17" s="1" t="s">
        <v>41</v>
      </c>
      <c r="B17" s="7" t="s">
        <v>25</v>
      </c>
    </row>
    <row r="18" spans="1:2" ht="19.5" customHeight="1">
      <c r="A18" s="1" t="s">
        <v>42</v>
      </c>
      <c r="B18" s="7" t="s">
        <v>25</v>
      </c>
    </row>
    <row r="19" spans="1:2" ht="19.5" customHeight="1">
      <c r="A19" s="1" t="s">
        <v>43</v>
      </c>
      <c r="B19" s="7" t="s">
        <v>25</v>
      </c>
    </row>
    <row r="20" spans="1:2" ht="19.5" customHeight="1">
      <c r="A20" s="1" t="s">
        <v>44</v>
      </c>
      <c r="B20" s="7" t="s">
        <v>25</v>
      </c>
    </row>
    <row r="21" spans="1:2" ht="19.5" customHeight="1">
      <c r="A21" s="1" t="s">
        <v>45</v>
      </c>
      <c r="B21" s="7" t="s">
        <v>25</v>
      </c>
    </row>
    <row r="22" spans="1:2" ht="19.5" customHeight="1">
      <c r="A22" s="1" t="s">
        <v>46</v>
      </c>
      <c r="B22" s="7" t="s">
        <v>25</v>
      </c>
    </row>
    <row r="23" spans="1:2" ht="19.5" customHeight="1">
      <c r="A23" s="1" t="s">
        <v>47</v>
      </c>
      <c r="B23" s="7" t="s">
        <v>25</v>
      </c>
    </row>
    <row r="24" spans="1:2" ht="19.5" customHeight="1">
      <c r="A24" s="1" t="s">
        <v>48</v>
      </c>
      <c r="B24" s="7" t="s">
        <v>25</v>
      </c>
    </row>
    <row r="25" spans="1:2" ht="19.5" customHeight="1">
      <c r="A25" s="1" t="s">
        <v>49</v>
      </c>
      <c r="B25" s="7" t="s">
        <v>25</v>
      </c>
    </row>
    <row r="26" spans="1:2" ht="19.5" customHeight="1">
      <c r="A26" s="1" t="s">
        <v>50</v>
      </c>
      <c r="B26" s="7" t="s">
        <v>25</v>
      </c>
    </row>
    <row r="27" spans="1:2" ht="19.5" customHeight="1">
      <c r="A27" s="1" t="s">
        <v>51</v>
      </c>
      <c r="B27" s="7" t="s">
        <v>25</v>
      </c>
    </row>
    <row r="28" spans="1:2" ht="19.5" customHeight="1">
      <c r="A28" s="1" t="s">
        <v>52</v>
      </c>
      <c r="B28" s="7" t="s">
        <v>25</v>
      </c>
    </row>
    <row r="29" spans="1:2" ht="19.5" customHeight="1">
      <c r="A29" s="1" t="s">
        <v>53</v>
      </c>
      <c r="B29" s="7" t="s">
        <v>25</v>
      </c>
    </row>
    <row r="30" spans="1:2" ht="19.5" customHeight="1">
      <c r="A30" s="1" t="s">
        <v>54</v>
      </c>
      <c r="B30" s="7" t="s">
        <v>25</v>
      </c>
    </row>
    <row r="31" spans="1:2" ht="19.5" customHeight="1">
      <c r="A31" s="1" t="s">
        <v>55</v>
      </c>
      <c r="B31" s="7" t="s">
        <v>25</v>
      </c>
    </row>
    <row r="32" spans="1:2" ht="19.5" customHeight="1">
      <c r="A32" s="1" t="s">
        <v>56</v>
      </c>
      <c r="B32" s="7" t="s">
        <v>25</v>
      </c>
    </row>
    <row r="33" spans="1:2" ht="19.5" customHeight="1">
      <c r="A33" s="1" t="s">
        <v>57</v>
      </c>
      <c r="B33" s="7" t="s">
        <v>25</v>
      </c>
    </row>
    <row r="34" spans="1:2" ht="19.5" customHeight="1">
      <c r="A34" s="1" t="s">
        <v>58</v>
      </c>
      <c r="B34" s="7" t="s">
        <v>25</v>
      </c>
    </row>
    <row r="35" spans="1:2" ht="19.5" customHeight="1">
      <c r="A35" s="1" t="s">
        <v>59</v>
      </c>
      <c r="B35" s="7" t="s">
        <v>25</v>
      </c>
    </row>
    <row r="36" spans="1:2" ht="19.5" customHeight="1">
      <c r="A36" s="1" t="s">
        <v>60</v>
      </c>
      <c r="B36" s="7" t="s">
        <v>25</v>
      </c>
    </row>
    <row r="37" spans="1:2" ht="19.5" customHeight="1">
      <c r="A37" s="1" t="s">
        <v>61</v>
      </c>
      <c r="B37" s="7" t="s">
        <v>25</v>
      </c>
    </row>
    <row r="38" spans="1:2" ht="19.5" customHeight="1">
      <c r="A38" s="1" t="s">
        <v>62</v>
      </c>
      <c r="B38" s="7" t="s">
        <v>25</v>
      </c>
    </row>
    <row r="39" spans="1:2" ht="19.5" customHeight="1">
      <c r="A39" s="1" t="s">
        <v>63</v>
      </c>
      <c r="B39" s="7" t="s">
        <v>25</v>
      </c>
    </row>
    <row r="40" spans="1:2" ht="19.5" customHeight="1">
      <c r="A40" s="1" t="s">
        <v>64</v>
      </c>
      <c r="B40" s="7" t="s">
        <v>25</v>
      </c>
    </row>
    <row r="41" spans="1:2" ht="19.5" customHeight="1">
      <c r="A41" s="1" t="s">
        <v>65</v>
      </c>
      <c r="B41" s="7" t="s">
        <v>25</v>
      </c>
    </row>
    <row r="42" spans="1:2" ht="19.5" customHeight="1">
      <c r="A42" s="1" t="s">
        <v>66</v>
      </c>
      <c r="B42" s="7" t="s">
        <v>25</v>
      </c>
    </row>
    <row r="43" spans="1:2" ht="19.5" customHeight="1">
      <c r="A43" s="1" t="s">
        <v>67</v>
      </c>
      <c r="B43" s="7" t="s">
        <v>25</v>
      </c>
    </row>
    <row r="44" spans="1:2" ht="19.5" customHeight="1">
      <c r="A44" s="1" t="s">
        <v>68</v>
      </c>
      <c r="B44" s="7" t="s">
        <v>25</v>
      </c>
    </row>
    <row r="45" spans="1:2" ht="19.5" customHeight="1">
      <c r="A45" s="1" t="s">
        <v>69</v>
      </c>
      <c r="B45" s="7" t="s">
        <v>25</v>
      </c>
    </row>
    <row r="46" spans="1:2" ht="19.5" customHeight="1">
      <c r="A46" s="1" t="s">
        <v>70</v>
      </c>
      <c r="B46" s="7" t="s">
        <v>25</v>
      </c>
    </row>
    <row r="47" spans="1:2" ht="19.5" customHeight="1">
      <c r="A47" s="1" t="s">
        <v>71</v>
      </c>
      <c r="B47" s="7" t="s">
        <v>25</v>
      </c>
    </row>
    <row r="48" spans="1:2" ht="19.5" customHeight="1">
      <c r="A48" s="11" t="s">
        <v>72</v>
      </c>
      <c r="B48" s="7" t="s">
        <v>25</v>
      </c>
    </row>
    <row r="49" spans="1:2" ht="19.5" customHeight="1">
      <c r="A49" s="11" t="s">
        <v>73</v>
      </c>
      <c r="B49" s="7" t="s">
        <v>25</v>
      </c>
    </row>
    <row r="50" spans="1:2" ht="19.5" customHeight="1">
      <c r="A50" s="11" t="s">
        <v>74</v>
      </c>
      <c r="B50" s="7" t="s">
        <v>25</v>
      </c>
    </row>
    <row r="51" spans="1:2" ht="19.5" customHeight="1">
      <c r="A51" s="11" t="s">
        <v>75</v>
      </c>
      <c r="B51" s="7" t="s">
        <v>25</v>
      </c>
    </row>
    <row r="52" spans="1:2" ht="19.5" customHeight="1">
      <c r="A52" s="11" t="s">
        <v>76</v>
      </c>
      <c r="B52" s="7" t="s">
        <v>25</v>
      </c>
    </row>
    <row r="53" spans="1:2" ht="19.5" customHeight="1">
      <c r="A53" s="12" t="s">
        <v>77</v>
      </c>
      <c r="B53" s="12" t="s">
        <v>25</v>
      </c>
    </row>
    <row r="54" spans="1:2" ht="19.5" customHeight="1">
      <c r="A54" s="12" t="s">
        <v>78</v>
      </c>
      <c r="B54" s="12" t="s">
        <v>25</v>
      </c>
    </row>
    <row r="55" spans="1:2" ht="19.5" customHeight="1">
      <c r="A55" s="12" t="s">
        <v>79</v>
      </c>
      <c r="B55" s="7" t="s">
        <v>25</v>
      </c>
    </row>
    <row r="56" spans="1:2" ht="19.5" customHeight="1">
      <c r="A56" s="12" t="s">
        <v>80</v>
      </c>
      <c r="B56" s="7" t="s">
        <v>25</v>
      </c>
    </row>
    <row r="57" spans="1:2" ht="19.5" customHeight="1">
      <c r="A57" s="11" t="s">
        <v>81</v>
      </c>
      <c r="B57" s="7" t="s">
        <v>25</v>
      </c>
    </row>
    <row r="58" spans="1:2" ht="19.5" customHeight="1">
      <c r="A58" s="11" t="s">
        <v>82</v>
      </c>
      <c r="B58" s="7" t="s">
        <v>25</v>
      </c>
    </row>
    <row r="59" spans="1:2" ht="19.5" customHeight="1">
      <c r="A59" s="13" t="s">
        <v>83</v>
      </c>
      <c r="B59" s="7" t="s">
        <v>25</v>
      </c>
    </row>
    <row r="60" spans="1:2" ht="19.5" customHeight="1">
      <c r="A60" s="3" t="s">
        <v>84</v>
      </c>
      <c r="B60" s="7" t="s">
        <v>25</v>
      </c>
    </row>
    <row r="61" spans="1:2" ht="19.5" customHeight="1">
      <c r="A61" s="12" t="s">
        <v>85</v>
      </c>
      <c r="B61" s="7" t="s">
        <v>86</v>
      </c>
    </row>
    <row r="62" spans="1:2" ht="19.5" customHeight="1">
      <c r="A62" s="1" t="s">
        <v>87</v>
      </c>
      <c r="B62" s="7" t="s">
        <v>86</v>
      </c>
    </row>
    <row r="63" spans="1:2" ht="19.5" customHeight="1">
      <c r="A63" s="1" t="s">
        <v>88</v>
      </c>
      <c r="B63" s="7" t="s">
        <v>86</v>
      </c>
    </row>
    <row r="64" spans="1:2" ht="19.5" customHeight="1">
      <c r="A64" s="1" t="s">
        <v>89</v>
      </c>
      <c r="B64" s="7" t="s">
        <v>86</v>
      </c>
    </row>
    <row r="65" spans="1:2" ht="19.5" customHeight="1">
      <c r="A65" s="1" t="s">
        <v>90</v>
      </c>
      <c r="B65" s="7" t="s">
        <v>86</v>
      </c>
    </row>
    <row r="66" spans="1:2" ht="19.5" customHeight="1">
      <c r="A66" s="1" t="s">
        <v>91</v>
      </c>
      <c r="B66" s="7" t="s">
        <v>86</v>
      </c>
    </row>
    <row r="67" spans="1:2" ht="19.5" customHeight="1">
      <c r="A67" s="1" t="s">
        <v>92</v>
      </c>
      <c r="B67" s="7" t="s">
        <v>86</v>
      </c>
    </row>
    <row r="68" spans="1:2" ht="19.5" customHeight="1">
      <c r="A68" s="12" t="s">
        <v>93</v>
      </c>
      <c r="B68" s="7" t="s">
        <v>86</v>
      </c>
    </row>
    <row r="69" spans="1:2" ht="19.5" customHeight="1">
      <c r="A69" s="1" t="s">
        <v>94</v>
      </c>
      <c r="B69" s="7" t="s">
        <v>86</v>
      </c>
    </row>
    <row r="70" spans="1:2" ht="19.5" customHeight="1">
      <c r="A70" s="1" t="s">
        <v>95</v>
      </c>
      <c r="B70" s="7" t="s">
        <v>86</v>
      </c>
    </row>
    <row r="71" spans="1:2" ht="19.5" customHeight="1">
      <c r="A71" s="1" t="s">
        <v>96</v>
      </c>
      <c r="B71" s="7" t="s">
        <v>86</v>
      </c>
    </row>
    <row r="72" spans="1:2" ht="19.5" customHeight="1">
      <c r="A72" s="1" t="s">
        <v>97</v>
      </c>
      <c r="B72" s="7" t="s">
        <v>86</v>
      </c>
    </row>
    <row r="73" spans="1:2" ht="19.5" customHeight="1">
      <c r="A73" s="1" t="s">
        <v>98</v>
      </c>
      <c r="B73" s="7" t="s">
        <v>86</v>
      </c>
    </row>
    <row r="74" spans="1:2" ht="19.5" customHeight="1">
      <c r="A74" s="1" t="s">
        <v>99</v>
      </c>
      <c r="B74" s="7" t="s">
        <v>86</v>
      </c>
    </row>
    <row r="75" spans="1:2" ht="19.5" customHeight="1">
      <c r="A75" s="1" t="s">
        <v>100</v>
      </c>
      <c r="B75" s="7" t="s">
        <v>86</v>
      </c>
    </row>
    <row r="76" spans="1:2" ht="19.5" customHeight="1">
      <c r="A76" s="1" t="s">
        <v>101</v>
      </c>
      <c r="B76" s="7" t="s">
        <v>86</v>
      </c>
    </row>
    <row r="77" spans="1:2" ht="19.5" customHeight="1">
      <c r="A77" s="1" t="s">
        <v>102</v>
      </c>
      <c r="B77" s="7" t="s">
        <v>86</v>
      </c>
    </row>
    <row r="78" spans="1:2" ht="19.5" customHeight="1">
      <c r="A78" s="13" t="s">
        <v>103</v>
      </c>
      <c r="B78" s="7" t="s">
        <v>86</v>
      </c>
    </row>
    <row r="79" spans="1:2" ht="19.5" customHeight="1">
      <c r="A79" s="11" t="s">
        <v>103</v>
      </c>
      <c r="B79" s="7" t="s">
        <v>86</v>
      </c>
    </row>
    <row r="80" spans="1:2" ht="19.5" customHeight="1">
      <c r="A80" s="13" t="s">
        <v>104</v>
      </c>
      <c r="B80" s="7" t="s">
        <v>86</v>
      </c>
    </row>
    <row r="81" spans="1:2" ht="19.5" customHeight="1">
      <c r="A81" s="11" t="s">
        <v>105</v>
      </c>
      <c r="B81" s="7" t="s">
        <v>86</v>
      </c>
    </row>
    <row r="82" spans="1:2" ht="19.5" customHeight="1">
      <c r="A82" s="12" t="s">
        <v>106</v>
      </c>
      <c r="B82" s="7" t="s">
        <v>86</v>
      </c>
    </row>
    <row r="83" spans="1:2" ht="19.5" customHeight="1">
      <c r="A83" s="12" t="s">
        <v>107</v>
      </c>
      <c r="B83" s="7" t="s">
        <v>86</v>
      </c>
    </row>
    <row r="84" spans="1:2" ht="19.5" customHeight="1">
      <c r="A84" s="1" t="s">
        <v>108</v>
      </c>
      <c r="B84" s="7" t="s">
        <v>86</v>
      </c>
    </row>
    <row r="85" spans="1:2" ht="19.5" customHeight="1">
      <c r="A85" s="1" t="s">
        <v>109</v>
      </c>
      <c r="B85" s="7" t="s">
        <v>86</v>
      </c>
    </row>
    <row r="86" spans="1:2" ht="19.5" customHeight="1">
      <c r="A86" s="14" t="s">
        <v>110</v>
      </c>
      <c r="B86" s="7" t="s">
        <v>86</v>
      </c>
    </row>
    <row r="87" spans="1:2" ht="19.5" customHeight="1">
      <c r="A87" s="13" t="s">
        <v>111</v>
      </c>
      <c r="B87" s="7" t="s">
        <v>86</v>
      </c>
    </row>
    <row r="88" spans="1:2" ht="19.5" customHeight="1">
      <c r="A88" s="11" t="s">
        <v>112</v>
      </c>
      <c r="B88" s="7" t="s">
        <v>86</v>
      </c>
    </row>
    <row r="89" spans="1:2" ht="19.5" customHeight="1">
      <c r="A89" s="11" t="s">
        <v>113</v>
      </c>
      <c r="B89" s="7" t="s">
        <v>86</v>
      </c>
    </row>
    <row r="90" spans="1:2" ht="19.5" customHeight="1">
      <c r="A90" s="1" t="s">
        <v>114</v>
      </c>
      <c r="B90" s="7" t="s">
        <v>86</v>
      </c>
    </row>
    <row r="91" spans="1:2" ht="19.5" customHeight="1">
      <c r="A91" s="1" t="s">
        <v>115</v>
      </c>
      <c r="B91" s="7" t="s">
        <v>86</v>
      </c>
    </row>
    <row r="92" spans="1:2" ht="19.5" customHeight="1">
      <c r="A92" s="1" t="s">
        <v>116</v>
      </c>
      <c r="B92" s="7" t="s">
        <v>86</v>
      </c>
    </row>
    <row r="93" spans="1:2" ht="19.5" customHeight="1">
      <c r="A93" s="1" t="s">
        <v>117</v>
      </c>
      <c r="B93" s="7" t="s">
        <v>86</v>
      </c>
    </row>
    <row r="94" spans="1:2" ht="19.5" customHeight="1">
      <c r="A94" s="1" t="s">
        <v>118</v>
      </c>
      <c r="B94" s="7" t="s">
        <v>86</v>
      </c>
    </row>
    <row r="95" spans="1:2" ht="19.5" customHeight="1">
      <c r="A95" s="1" t="s">
        <v>119</v>
      </c>
      <c r="B95" s="7" t="s">
        <v>86</v>
      </c>
    </row>
    <row r="96" spans="1:2" ht="19.5" customHeight="1">
      <c r="A96" s="1" t="s">
        <v>120</v>
      </c>
      <c r="B96" s="7" t="s">
        <v>86</v>
      </c>
    </row>
    <row r="97" spans="1:2" ht="19.5" customHeight="1">
      <c r="A97" s="11" t="s">
        <v>121</v>
      </c>
      <c r="B97" s="7" t="s">
        <v>86</v>
      </c>
    </row>
    <row r="98" spans="1:2" ht="19.5" customHeight="1">
      <c r="A98" s="11" t="s">
        <v>122</v>
      </c>
      <c r="B98" s="7" t="s">
        <v>86</v>
      </c>
    </row>
    <row r="99" spans="1:2" ht="19.5" customHeight="1">
      <c r="A99" s="1" t="s">
        <v>123</v>
      </c>
      <c r="B99" s="7" t="s">
        <v>86</v>
      </c>
    </row>
    <row r="100" spans="1:2" ht="19.5" customHeight="1">
      <c r="A100" s="1" t="s">
        <v>124</v>
      </c>
      <c r="B100" s="7" t="s">
        <v>86</v>
      </c>
    </row>
    <row r="101" spans="1:2" ht="19.5" customHeight="1">
      <c r="A101" s="1" t="s">
        <v>125</v>
      </c>
      <c r="B101" s="7" t="s">
        <v>86</v>
      </c>
    </row>
    <row r="102" spans="1:2" ht="19.5" customHeight="1">
      <c r="A102" s="1" t="s">
        <v>126</v>
      </c>
      <c r="B102" s="7" t="s">
        <v>86</v>
      </c>
    </row>
    <row r="103" spans="1:2" ht="19.5" customHeight="1">
      <c r="A103" s="1" t="s">
        <v>127</v>
      </c>
      <c r="B103" s="7" t="s">
        <v>86</v>
      </c>
    </row>
    <row r="104" spans="1:2" ht="19.5" customHeight="1">
      <c r="A104" s="1" t="s">
        <v>128</v>
      </c>
      <c r="B104" s="7" t="s">
        <v>86</v>
      </c>
    </row>
    <row r="105" spans="1:2" ht="19.5" customHeight="1">
      <c r="A105" s="12" t="s">
        <v>129</v>
      </c>
      <c r="B105" s="7" t="s">
        <v>86</v>
      </c>
    </row>
    <row r="106" spans="1:2" ht="19.5" customHeight="1">
      <c r="A106" s="12" t="s">
        <v>130</v>
      </c>
      <c r="B106" s="7" t="s">
        <v>86</v>
      </c>
    </row>
    <row r="107" spans="1:2" ht="19.5" customHeight="1">
      <c r="A107" s="12" t="s">
        <v>131</v>
      </c>
      <c r="B107" s="7" t="s">
        <v>86</v>
      </c>
    </row>
    <row r="108" spans="1:2" ht="19.5" customHeight="1">
      <c r="A108" s="11" t="s">
        <v>132</v>
      </c>
      <c r="B108" s="7" t="s">
        <v>86</v>
      </c>
    </row>
    <row r="109" spans="1:2" ht="19.5" customHeight="1">
      <c r="A109" s="1" t="s">
        <v>133</v>
      </c>
      <c r="B109" s="7" t="s">
        <v>86</v>
      </c>
    </row>
    <row r="110" spans="1:2" ht="19.5" customHeight="1">
      <c r="A110" s="1" t="s">
        <v>134</v>
      </c>
      <c r="B110" s="7" t="s">
        <v>86</v>
      </c>
    </row>
    <row r="111" spans="1:2" ht="19.5" customHeight="1">
      <c r="A111" s="1" t="s">
        <v>135</v>
      </c>
      <c r="B111" s="7" t="s">
        <v>86</v>
      </c>
    </row>
    <row r="112" spans="1:2" ht="19.5" customHeight="1">
      <c r="A112" s="1" t="s">
        <v>136</v>
      </c>
      <c r="B112" s="7" t="s">
        <v>86</v>
      </c>
    </row>
    <row r="113" spans="1:2" ht="19.5" customHeight="1">
      <c r="A113" s="1" t="s">
        <v>137</v>
      </c>
      <c r="B113" s="7" t="s">
        <v>86</v>
      </c>
    </row>
    <row r="114" spans="1:2" ht="19.5" customHeight="1">
      <c r="A114" s="1" t="s">
        <v>138</v>
      </c>
      <c r="B114" s="7" t="s">
        <v>86</v>
      </c>
    </row>
    <row r="115" spans="1:2" ht="19.5" customHeight="1">
      <c r="A115" s="1" t="s">
        <v>139</v>
      </c>
      <c r="B115" s="7" t="s">
        <v>86</v>
      </c>
    </row>
    <row r="116" spans="1:2" ht="19.5" customHeight="1">
      <c r="A116" s="1" t="s">
        <v>140</v>
      </c>
      <c r="B116" s="7" t="s">
        <v>86</v>
      </c>
    </row>
    <row r="117" spans="1:2" ht="19.5" customHeight="1">
      <c r="A117" s="1" t="s">
        <v>141</v>
      </c>
      <c r="B117" s="7" t="s">
        <v>86</v>
      </c>
    </row>
    <row r="118" spans="1:2" ht="19.5" customHeight="1">
      <c r="A118" s="1" t="s">
        <v>142</v>
      </c>
      <c r="B118" s="7" t="s">
        <v>86</v>
      </c>
    </row>
    <row r="119" spans="1:2" ht="19.5" customHeight="1">
      <c r="A119" s="1" t="s">
        <v>143</v>
      </c>
      <c r="B119" s="7" t="s">
        <v>86</v>
      </c>
    </row>
    <row r="120" spans="1:2" ht="19.5" customHeight="1">
      <c r="A120" s="1" t="s">
        <v>144</v>
      </c>
      <c r="B120" s="7" t="s">
        <v>86</v>
      </c>
    </row>
    <row r="121" spans="1:2" ht="19.5" customHeight="1">
      <c r="A121" s="1" t="s">
        <v>145</v>
      </c>
      <c r="B121" s="7" t="s">
        <v>86</v>
      </c>
    </row>
    <row r="122" spans="1:2" ht="19.5" customHeight="1">
      <c r="A122" s="1" t="s">
        <v>146</v>
      </c>
      <c r="B122" s="7" t="s">
        <v>86</v>
      </c>
    </row>
    <row r="123" spans="1:2" ht="19.5" customHeight="1">
      <c r="A123" s="1" t="s">
        <v>147</v>
      </c>
      <c r="B123" s="7" t="s">
        <v>86</v>
      </c>
    </row>
    <row r="124" spans="1:2" ht="19.5" customHeight="1">
      <c r="A124" s="1" t="s">
        <v>148</v>
      </c>
      <c r="B124" s="7" t="s">
        <v>86</v>
      </c>
    </row>
    <row r="125" spans="1:2" ht="19.5" customHeight="1">
      <c r="A125" s="12" t="s">
        <v>149</v>
      </c>
      <c r="B125" s="7" t="s">
        <v>86</v>
      </c>
    </row>
    <row r="126" spans="1:2" ht="19.5" customHeight="1">
      <c r="A126" s="13" t="s">
        <v>150</v>
      </c>
      <c r="B126" s="7" t="s">
        <v>86</v>
      </c>
    </row>
    <row r="127" spans="1:2" ht="19.5" customHeight="1">
      <c r="A127" s="1" t="s">
        <v>150</v>
      </c>
      <c r="B127" s="7" t="s">
        <v>86</v>
      </c>
    </row>
    <row r="128" spans="1:2" ht="19.5" customHeight="1">
      <c r="A128" s="1" t="s">
        <v>151</v>
      </c>
      <c r="B128" s="7" t="s">
        <v>86</v>
      </c>
    </row>
    <row r="129" spans="1:2" ht="19.5" customHeight="1">
      <c r="A129" s="1" t="s">
        <v>152</v>
      </c>
      <c r="B129" s="7" t="s">
        <v>86</v>
      </c>
    </row>
    <row r="130" spans="1:2" ht="19.5" customHeight="1">
      <c r="A130" s="1" t="s">
        <v>153</v>
      </c>
      <c r="B130" s="7" t="s">
        <v>86</v>
      </c>
    </row>
    <row r="131" spans="1:2" ht="19.5" customHeight="1">
      <c r="A131" s="3" t="s">
        <v>154</v>
      </c>
      <c r="B131" s="7" t="s">
        <v>86</v>
      </c>
    </row>
    <row r="132" spans="1:2" ht="19.5" customHeight="1">
      <c r="A132" s="3" t="s">
        <v>155</v>
      </c>
      <c r="B132" s="7" t="s">
        <v>86</v>
      </c>
    </row>
    <row r="133" spans="1:2" ht="19.5" customHeight="1">
      <c r="A133" s="1" t="s">
        <v>156</v>
      </c>
      <c r="B133" s="7" t="s">
        <v>86</v>
      </c>
    </row>
    <row r="134" spans="1:2" ht="19.5" customHeight="1">
      <c r="A134" s="1" t="s">
        <v>157</v>
      </c>
      <c r="B134" s="7" t="s">
        <v>86</v>
      </c>
    </row>
    <row r="135" spans="1:2" ht="19.5" customHeight="1">
      <c r="A135" s="1" t="s">
        <v>158</v>
      </c>
      <c r="B135" s="7" t="s">
        <v>86</v>
      </c>
    </row>
    <row r="136" spans="1:2" ht="19.5" customHeight="1">
      <c r="A136" s="13" t="s">
        <v>159</v>
      </c>
      <c r="B136" s="7" t="s">
        <v>86</v>
      </c>
    </row>
    <row r="137" spans="1:2" ht="19.5" customHeight="1">
      <c r="A137" s="11" t="s">
        <v>160</v>
      </c>
      <c r="B137" s="7" t="s">
        <v>86</v>
      </c>
    </row>
    <row r="138" spans="1:2" ht="19.5" customHeight="1">
      <c r="A138" s="11" t="s">
        <v>161</v>
      </c>
      <c r="B138" s="7" t="s">
        <v>86</v>
      </c>
    </row>
    <row r="139" spans="1:2" ht="19.5" customHeight="1">
      <c r="A139" s="1" t="s">
        <v>162</v>
      </c>
      <c r="B139" s="7" t="s">
        <v>86</v>
      </c>
    </row>
    <row r="140" spans="1:2" ht="19.5" customHeight="1">
      <c r="A140" s="11" t="s">
        <v>163</v>
      </c>
      <c r="B140" s="7" t="s">
        <v>86</v>
      </c>
    </row>
    <row r="141" spans="1:2" ht="19.5" customHeight="1">
      <c r="A141" s="13" t="s">
        <v>164</v>
      </c>
      <c r="B141" s="7" t="s">
        <v>86</v>
      </c>
    </row>
    <row r="142" spans="1:2" ht="19.5" customHeight="1">
      <c r="A142" s="13" t="s">
        <v>165</v>
      </c>
      <c r="B142" s="7" t="s">
        <v>86</v>
      </c>
    </row>
    <row r="143" spans="1:2" ht="19.5" customHeight="1">
      <c r="A143" s="11" t="s">
        <v>166</v>
      </c>
      <c r="B143" s="7" t="s">
        <v>86</v>
      </c>
    </row>
    <row r="144" spans="1:2" ht="19.5" customHeight="1">
      <c r="A144" s="13" t="s">
        <v>167</v>
      </c>
      <c r="B144" s="7" t="s">
        <v>86</v>
      </c>
    </row>
    <row r="145" spans="1:2" ht="19.5" customHeight="1">
      <c r="A145" s="11" t="s">
        <v>168</v>
      </c>
      <c r="B145" s="7" t="s">
        <v>86</v>
      </c>
    </row>
    <row r="146" spans="1:2" ht="19.5" customHeight="1">
      <c r="A146" s="1" t="s">
        <v>169</v>
      </c>
      <c r="B146" s="7" t="s">
        <v>86</v>
      </c>
    </row>
    <row r="147" spans="1:2" ht="19.5" customHeight="1">
      <c r="A147" s="1" t="s">
        <v>170</v>
      </c>
      <c r="B147" s="7" t="s">
        <v>86</v>
      </c>
    </row>
    <row r="148" spans="1:2" ht="19.5" customHeight="1">
      <c r="A148" s="1" t="s">
        <v>171</v>
      </c>
      <c r="B148" s="7" t="s">
        <v>86</v>
      </c>
    </row>
    <row r="149" spans="1:2" ht="19.5" customHeight="1">
      <c r="A149" s="12" t="s">
        <v>172</v>
      </c>
      <c r="B149" s="7" t="s">
        <v>86</v>
      </c>
    </row>
    <row r="150" spans="1:2" ht="19.5" customHeight="1">
      <c r="A150" s="12" t="s">
        <v>173</v>
      </c>
      <c r="B150" s="7" t="s">
        <v>86</v>
      </c>
    </row>
    <row r="151" spans="1:2" ht="19.5" customHeight="1">
      <c r="A151" s="1" t="s">
        <v>174</v>
      </c>
      <c r="B151" s="7" t="s">
        <v>86</v>
      </c>
    </row>
    <row r="152" spans="1:2" ht="19.5" customHeight="1">
      <c r="A152" s="1" t="s">
        <v>175</v>
      </c>
      <c r="B152" s="7" t="s">
        <v>86</v>
      </c>
    </row>
    <row r="153" spans="1:2" ht="19.5" customHeight="1">
      <c r="A153" s="1" t="s">
        <v>176</v>
      </c>
      <c r="B153" s="7" t="s">
        <v>86</v>
      </c>
    </row>
    <row r="154" spans="1:2" ht="19.5" customHeight="1">
      <c r="A154" s="1" t="s">
        <v>177</v>
      </c>
      <c r="B154" s="7" t="s">
        <v>86</v>
      </c>
    </row>
    <row r="155" spans="1:2" ht="19.5" customHeight="1">
      <c r="A155" s="1" t="s">
        <v>178</v>
      </c>
      <c r="B155" s="7" t="s">
        <v>86</v>
      </c>
    </row>
    <row r="156" spans="1:2" ht="19.5" customHeight="1">
      <c r="A156" s="1" t="s">
        <v>179</v>
      </c>
      <c r="B156" s="7" t="s">
        <v>86</v>
      </c>
    </row>
    <row r="157" spans="1:2" ht="19.5" customHeight="1">
      <c r="A157" s="1" t="s">
        <v>180</v>
      </c>
      <c r="B157" s="7" t="s">
        <v>86</v>
      </c>
    </row>
    <row r="158" spans="1:2" ht="19.5" customHeight="1">
      <c r="A158" s="1" t="s">
        <v>181</v>
      </c>
      <c r="B158" s="7" t="s">
        <v>86</v>
      </c>
    </row>
    <row r="159" spans="1:2" ht="19.5" customHeight="1">
      <c r="A159" s="1" t="s">
        <v>182</v>
      </c>
      <c r="B159" s="7" t="s">
        <v>86</v>
      </c>
    </row>
    <row r="160" spans="1:2" ht="19.5" customHeight="1">
      <c r="A160" s="1" t="s">
        <v>183</v>
      </c>
      <c r="B160" s="7" t="s">
        <v>86</v>
      </c>
    </row>
    <row r="161" spans="1:2" ht="19.5" customHeight="1">
      <c r="A161" s="11" t="s">
        <v>184</v>
      </c>
      <c r="B161" s="7" t="s">
        <v>86</v>
      </c>
    </row>
    <row r="162" spans="1:2" ht="19.5" customHeight="1">
      <c r="A162" s="13" t="s">
        <v>185</v>
      </c>
      <c r="B162" s="7" t="s">
        <v>86</v>
      </c>
    </row>
    <row r="163" spans="1:2" ht="19.5" customHeight="1">
      <c r="A163" s="12" t="s">
        <v>186</v>
      </c>
      <c r="B163" s="7" t="s">
        <v>86</v>
      </c>
    </row>
    <row r="164" spans="1:2" ht="19.5" customHeight="1">
      <c r="A164" s="12" t="s">
        <v>187</v>
      </c>
      <c r="B164" s="7" t="s">
        <v>86</v>
      </c>
    </row>
    <row r="165" spans="1:2" ht="19.5" customHeight="1">
      <c r="A165" s="13" t="s">
        <v>188</v>
      </c>
      <c r="B165" s="7" t="s">
        <v>86</v>
      </c>
    </row>
    <row r="166" spans="1:2" ht="19.5" customHeight="1">
      <c r="A166" s="1" t="s">
        <v>188</v>
      </c>
      <c r="B166" s="7" t="s">
        <v>86</v>
      </c>
    </row>
    <row r="167" spans="1:2" ht="19.5" customHeight="1">
      <c r="A167" s="1" t="s">
        <v>189</v>
      </c>
      <c r="B167" s="7" t="s">
        <v>86</v>
      </c>
    </row>
    <row r="168" spans="1:2" ht="19.5" customHeight="1">
      <c r="A168" s="13" t="s">
        <v>190</v>
      </c>
      <c r="B168" s="7" t="s">
        <v>86</v>
      </c>
    </row>
    <row r="169" spans="1:2" ht="19.5" customHeight="1">
      <c r="A169" s="1" t="s">
        <v>191</v>
      </c>
      <c r="B169" s="7" t="s">
        <v>86</v>
      </c>
    </row>
    <row r="170" spans="1:2" ht="19.5" customHeight="1">
      <c r="A170" s="1" t="s">
        <v>192</v>
      </c>
      <c r="B170" s="7" t="s">
        <v>86</v>
      </c>
    </row>
    <row r="171" spans="1:2" ht="19.5" customHeight="1">
      <c r="A171" s="1" t="s">
        <v>193</v>
      </c>
      <c r="B171" s="7" t="s">
        <v>86</v>
      </c>
    </row>
    <row r="172" spans="1:2" ht="19.5" customHeight="1">
      <c r="A172" s="1" t="s">
        <v>194</v>
      </c>
      <c r="B172" s="7" t="s">
        <v>86</v>
      </c>
    </row>
    <row r="173" spans="1:2" ht="19.5" customHeight="1">
      <c r="A173" s="1" t="s">
        <v>195</v>
      </c>
      <c r="B173" s="7" t="s">
        <v>86</v>
      </c>
    </row>
    <row r="174" spans="1:2" ht="19.5" customHeight="1">
      <c r="A174" s="1" t="s">
        <v>196</v>
      </c>
      <c r="B174" s="7" t="s">
        <v>86</v>
      </c>
    </row>
    <row r="175" spans="1:2" ht="19.5" customHeight="1">
      <c r="A175" s="1" t="s">
        <v>197</v>
      </c>
      <c r="B175" s="7" t="s">
        <v>86</v>
      </c>
    </row>
    <row r="176" spans="1:2" ht="19.5" customHeight="1">
      <c r="A176" s="1" t="s">
        <v>198</v>
      </c>
      <c r="B176" s="7" t="s">
        <v>86</v>
      </c>
    </row>
    <row r="177" spans="1:2" ht="19.5" customHeight="1">
      <c r="A177" s="1" t="s">
        <v>199</v>
      </c>
      <c r="B177" s="7" t="s">
        <v>86</v>
      </c>
    </row>
    <row r="178" spans="1:2" ht="19.5" customHeight="1">
      <c r="A178" s="1" t="s">
        <v>200</v>
      </c>
      <c r="B178" s="7" t="s">
        <v>86</v>
      </c>
    </row>
    <row r="179" spans="1:2" ht="19.5" customHeight="1">
      <c r="A179" s="11" t="s">
        <v>201</v>
      </c>
      <c r="B179" s="7" t="s">
        <v>86</v>
      </c>
    </row>
    <row r="180" spans="1:2" ht="19.5" customHeight="1">
      <c r="A180" s="1" t="s">
        <v>202</v>
      </c>
      <c r="B180" s="7" t="s">
        <v>86</v>
      </c>
    </row>
    <row r="181" spans="1:2" ht="19.5" customHeight="1">
      <c r="A181" s="1" t="s">
        <v>203</v>
      </c>
      <c r="B181" s="7" t="s">
        <v>86</v>
      </c>
    </row>
    <row r="182" spans="1:2" ht="19.5" customHeight="1">
      <c r="A182" s="1" t="s">
        <v>204</v>
      </c>
      <c r="B182" s="7" t="s">
        <v>86</v>
      </c>
    </row>
    <row r="183" spans="1:2" ht="19.5" customHeight="1">
      <c r="A183" s="1" t="s">
        <v>205</v>
      </c>
      <c r="B183" s="7" t="s">
        <v>86</v>
      </c>
    </row>
    <row r="184" spans="1:2" ht="19.5" customHeight="1">
      <c r="A184" s="1" t="s">
        <v>206</v>
      </c>
      <c r="B184" s="7" t="s">
        <v>86</v>
      </c>
    </row>
    <row r="185" spans="1:2" ht="19.5" customHeight="1">
      <c r="A185" s="1" t="s">
        <v>207</v>
      </c>
      <c r="B185" s="7" t="s">
        <v>86</v>
      </c>
    </row>
    <row r="186" spans="1:2" ht="19.5" customHeight="1">
      <c r="A186" s="12" t="s">
        <v>208</v>
      </c>
      <c r="B186" s="7" t="s">
        <v>86</v>
      </c>
    </row>
    <row r="187" spans="1:2" ht="19.5" customHeight="1">
      <c r="A187" s="12" t="s">
        <v>209</v>
      </c>
      <c r="B187" s="7" t="s">
        <v>86</v>
      </c>
    </row>
    <row r="188" spans="1:2" ht="19.5" customHeight="1">
      <c r="A188" s="12" t="s">
        <v>210</v>
      </c>
      <c r="B188" s="7" t="s">
        <v>86</v>
      </c>
    </row>
    <row r="189" spans="1:2" ht="19.5" customHeight="1">
      <c r="A189" s="12" t="s">
        <v>211</v>
      </c>
      <c r="B189" s="7" t="s">
        <v>86</v>
      </c>
    </row>
    <row r="190" spans="1:2" ht="19.5" customHeight="1">
      <c r="A190" s="1" t="s">
        <v>212</v>
      </c>
      <c r="B190" s="7" t="s">
        <v>86</v>
      </c>
    </row>
    <row r="191" spans="1:2" ht="19.5" customHeight="1">
      <c r="A191" s="1" t="s">
        <v>213</v>
      </c>
      <c r="B191" s="7" t="s">
        <v>86</v>
      </c>
    </row>
    <row r="192" spans="1:2" ht="19.5" customHeight="1">
      <c r="A192" s="1" t="s">
        <v>214</v>
      </c>
      <c r="B192" s="7" t="s">
        <v>86</v>
      </c>
    </row>
    <row r="193" spans="1:2" ht="19.5" customHeight="1">
      <c r="A193" s="13" t="s">
        <v>215</v>
      </c>
      <c r="B193" s="7" t="s">
        <v>86</v>
      </c>
    </row>
    <row r="194" spans="1:2" ht="19.5" customHeight="1">
      <c r="A194" s="11" t="s">
        <v>216</v>
      </c>
      <c r="B194" s="7" t="s">
        <v>86</v>
      </c>
    </row>
    <row r="195" spans="1:2" ht="19.5" customHeight="1">
      <c r="A195" s="1" t="s">
        <v>217</v>
      </c>
      <c r="B195" s="7" t="s">
        <v>86</v>
      </c>
    </row>
    <row r="196" spans="1:2" ht="19.5" customHeight="1">
      <c r="A196" s="1" t="s">
        <v>218</v>
      </c>
      <c r="B196" s="7" t="s">
        <v>86</v>
      </c>
    </row>
    <row r="197" spans="1:2" ht="19.5" customHeight="1">
      <c r="A197" s="1" t="s">
        <v>219</v>
      </c>
      <c r="B197" s="7" t="s">
        <v>86</v>
      </c>
    </row>
    <row r="198" spans="1:2" ht="19.5" customHeight="1">
      <c r="A198" s="1" t="s">
        <v>220</v>
      </c>
      <c r="B198" s="7" t="s">
        <v>86</v>
      </c>
    </row>
    <row r="199" spans="1:2" ht="19.5" customHeight="1">
      <c r="A199" s="13" t="s">
        <v>221</v>
      </c>
      <c r="B199" s="7" t="s">
        <v>86</v>
      </c>
    </row>
    <row r="200" spans="1:2" ht="19.5" customHeight="1">
      <c r="A200" s="11" t="s">
        <v>222</v>
      </c>
      <c r="B200" s="7" t="s">
        <v>86</v>
      </c>
    </row>
    <row r="201" spans="1:2" ht="19.5" customHeight="1">
      <c r="A201" s="13" t="s">
        <v>223</v>
      </c>
      <c r="B201" s="7" t="s">
        <v>86</v>
      </c>
    </row>
    <row r="202" spans="1:2" ht="19.5" customHeight="1">
      <c r="A202" s="1" t="s">
        <v>224</v>
      </c>
      <c r="B202" s="7" t="s">
        <v>86</v>
      </c>
    </row>
    <row r="203" spans="1:2" ht="19.5" customHeight="1">
      <c r="A203" s="1" t="s">
        <v>225</v>
      </c>
      <c r="B203" s="7" t="s">
        <v>86</v>
      </c>
    </row>
    <row r="204" spans="1:2" ht="19.5" customHeight="1">
      <c r="A204" s="1" t="s">
        <v>226</v>
      </c>
      <c r="B204" s="7" t="s">
        <v>86</v>
      </c>
    </row>
    <row r="205" spans="1:2" ht="19.5" customHeight="1">
      <c r="A205" s="1" t="s">
        <v>227</v>
      </c>
      <c r="B205" s="7" t="s">
        <v>86</v>
      </c>
    </row>
    <row r="206" spans="1:2" ht="19.5" customHeight="1">
      <c r="A206" s="1" t="s">
        <v>228</v>
      </c>
      <c r="B206" s="7" t="s">
        <v>86</v>
      </c>
    </row>
    <row r="207" spans="1:2" ht="19.5" customHeight="1">
      <c r="A207" s="1" t="s">
        <v>229</v>
      </c>
      <c r="B207" s="7" t="s">
        <v>86</v>
      </c>
    </row>
    <row r="208" spans="1:2" ht="19.5" customHeight="1">
      <c r="A208" s="11" t="s">
        <v>230</v>
      </c>
      <c r="B208" s="7" t="s">
        <v>86</v>
      </c>
    </row>
    <row r="209" spans="1:2" ht="19.5" customHeight="1">
      <c r="A209" s="1" t="s">
        <v>231</v>
      </c>
      <c r="B209" s="7" t="s">
        <v>86</v>
      </c>
    </row>
    <row r="210" spans="1:2" ht="19.5" customHeight="1">
      <c r="A210" s="1" t="s">
        <v>232</v>
      </c>
      <c r="B210" s="7" t="s">
        <v>86</v>
      </c>
    </row>
    <row r="211" spans="1:2" ht="19.5" customHeight="1">
      <c r="A211" s="12" t="s">
        <v>233</v>
      </c>
      <c r="B211" s="7" t="s">
        <v>86</v>
      </c>
    </row>
    <row r="212" spans="1:2" ht="19.5" customHeight="1">
      <c r="A212" s="12" t="s">
        <v>234</v>
      </c>
      <c r="B212" s="7" t="s">
        <v>86</v>
      </c>
    </row>
    <row r="213" spans="1:2" ht="19.5" customHeight="1">
      <c r="A213" s="1" t="s">
        <v>235</v>
      </c>
      <c r="B213" s="7" t="s">
        <v>86</v>
      </c>
    </row>
    <row r="214" spans="1:2" ht="19.5" customHeight="1">
      <c r="A214" s="1" t="s">
        <v>236</v>
      </c>
      <c r="B214" s="7" t="s">
        <v>86</v>
      </c>
    </row>
    <row r="215" spans="1:2" ht="19.5" customHeight="1">
      <c r="A215" s="1" t="s">
        <v>237</v>
      </c>
      <c r="B215" s="7" t="s">
        <v>86</v>
      </c>
    </row>
    <row r="216" spans="1:2" ht="19.5" customHeight="1">
      <c r="A216" s="1" t="s">
        <v>238</v>
      </c>
      <c r="B216" s="7" t="s">
        <v>86</v>
      </c>
    </row>
    <row r="217" spans="1:2" ht="19.5" customHeight="1">
      <c r="A217" s="12" t="s">
        <v>239</v>
      </c>
      <c r="B217" s="7" t="s">
        <v>86</v>
      </c>
    </row>
    <row r="218" spans="1:2" ht="19.5" customHeight="1">
      <c r="A218" s="12" t="s">
        <v>240</v>
      </c>
      <c r="B218" s="7" t="s">
        <v>86</v>
      </c>
    </row>
    <row r="219" spans="1:2" ht="19.5" customHeight="1">
      <c r="A219" s="12" t="s">
        <v>241</v>
      </c>
      <c r="B219" s="7" t="s">
        <v>86</v>
      </c>
    </row>
    <row r="220" spans="1:2" ht="19.5" customHeight="1">
      <c r="A220" s="12" t="s">
        <v>242</v>
      </c>
      <c r="B220" s="7" t="s">
        <v>86</v>
      </c>
    </row>
    <row r="221" spans="1:2" ht="19.5" customHeight="1">
      <c r="A221" s="12" t="s">
        <v>243</v>
      </c>
      <c r="B221" s="7" t="s">
        <v>86</v>
      </c>
    </row>
    <row r="222" spans="1:2" ht="19.5" customHeight="1">
      <c r="A222" s="12" t="s">
        <v>244</v>
      </c>
      <c r="B222" s="7" t="s">
        <v>86</v>
      </c>
    </row>
    <row r="223" spans="1:2" ht="19.5" customHeight="1">
      <c r="A223" s="12" t="s">
        <v>245</v>
      </c>
      <c r="B223" s="7" t="s">
        <v>86</v>
      </c>
    </row>
    <row r="224" spans="1:2" ht="19.5" customHeight="1">
      <c r="A224" s="12" t="s">
        <v>246</v>
      </c>
      <c r="B224" s="7" t="s">
        <v>86</v>
      </c>
    </row>
    <row r="225" spans="1:2" ht="19.5" customHeight="1">
      <c r="A225" s="12" t="s">
        <v>247</v>
      </c>
      <c r="B225" s="7" t="s">
        <v>86</v>
      </c>
    </row>
    <row r="226" spans="1:2" ht="19.5" customHeight="1">
      <c r="A226" s="12" t="s">
        <v>248</v>
      </c>
      <c r="B226" s="7" t="s">
        <v>86</v>
      </c>
    </row>
    <row r="227" spans="1:2" ht="19.5" customHeight="1">
      <c r="A227" s="12" t="s">
        <v>249</v>
      </c>
      <c r="B227" s="7" t="s">
        <v>86</v>
      </c>
    </row>
    <row r="228" spans="1:2" ht="19.5" customHeight="1">
      <c r="A228" s="12" t="s">
        <v>250</v>
      </c>
      <c r="B228" s="7" t="s">
        <v>86</v>
      </c>
    </row>
    <row r="229" spans="1:2" ht="19.5" customHeight="1">
      <c r="A229" s="12" t="s">
        <v>251</v>
      </c>
      <c r="B229" s="7" t="s">
        <v>86</v>
      </c>
    </row>
    <row r="230" spans="1:2" ht="19.5" customHeight="1">
      <c r="A230" s="12" t="s">
        <v>252</v>
      </c>
      <c r="B230" s="7" t="s">
        <v>86</v>
      </c>
    </row>
    <row r="231" spans="1:2">
      <c r="A231" s="5" t="s">
        <v>21</v>
      </c>
      <c r="B231" s="36" t="s">
        <v>86</v>
      </c>
    </row>
    <row r="232" spans="1:2">
      <c r="A232" s="5" t="s">
        <v>22</v>
      </c>
      <c r="B232" s="36" t="s">
        <v>86</v>
      </c>
    </row>
    <row r="233" spans="1:2">
      <c r="A233" s="5" t="s">
        <v>23</v>
      </c>
      <c r="B233" s="36" t="s">
        <v>86</v>
      </c>
    </row>
    <row r="234" spans="1:2">
      <c r="A234" s="5" t="s">
        <v>5968</v>
      </c>
      <c r="B234" s="36" t="s">
        <v>86</v>
      </c>
    </row>
    <row r="235" spans="1:2">
      <c r="A235" s="5" t="s">
        <v>5971</v>
      </c>
      <c r="B235" s="36" t="s">
        <v>86</v>
      </c>
    </row>
    <row r="236" spans="1:2">
      <c r="A236" s="5" t="s">
        <v>5973</v>
      </c>
      <c r="B236" s="36" t="s">
        <v>86</v>
      </c>
    </row>
    <row r="237" spans="1:2">
      <c r="A237" s="5" t="s">
        <v>5974</v>
      </c>
      <c r="B237" s="36" t="s">
        <v>86</v>
      </c>
    </row>
    <row r="238" spans="1:2">
      <c r="A238" s="5" t="s">
        <v>6093</v>
      </c>
      <c r="B238" s="36" t="s">
        <v>86</v>
      </c>
    </row>
    <row r="239" spans="1:2">
      <c r="A239" s="5" t="s">
        <v>6095</v>
      </c>
      <c r="B239" s="36" t="s">
        <v>86</v>
      </c>
    </row>
    <row r="240" spans="1:2">
      <c r="A240" s="5" t="s">
        <v>6096</v>
      </c>
      <c r="B240" s="36" t="s">
        <v>86</v>
      </c>
    </row>
    <row r="241" spans="1:2">
      <c r="A241" s="5" t="s">
        <v>6102</v>
      </c>
      <c r="B241" s="36" t="s">
        <v>86</v>
      </c>
    </row>
    <row r="242" spans="1:2">
      <c r="A242" s="5" t="s">
        <v>6103</v>
      </c>
      <c r="B242" s="36" t="s">
        <v>86</v>
      </c>
    </row>
    <row r="243" spans="1:2">
      <c r="A243" s="5" t="s">
        <v>6104</v>
      </c>
      <c r="B243" s="36" t="s">
        <v>86</v>
      </c>
    </row>
    <row r="244" spans="1:2">
      <c r="A244" s="39" t="s">
        <v>6105</v>
      </c>
      <c r="B244" s="36" t="s">
        <v>86</v>
      </c>
    </row>
    <row r="245" spans="1:2">
      <c r="A245" s="5" t="s">
        <v>6109</v>
      </c>
      <c r="B245" s="36" t="s">
        <v>86</v>
      </c>
    </row>
    <row r="246" spans="1:2">
      <c r="A246" s="5" t="s">
        <v>6114</v>
      </c>
      <c r="B246" s="36" t="s">
        <v>86</v>
      </c>
    </row>
    <row r="247" spans="1:2">
      <c r="A247" s="46" t="s">
        <v>6111</v>
      </c>
      <c r="B247" s="36" t="s">
        <v>86</v>
      </c>
    </row>
    <row r="248" spans="1:2">
      <c r="A248" s="46" t="s">
        <v>6120</v>
      </c>
      <c r="B248" s="36" t="s">
        <v>86</v>
      </c>
    </row>
    <row r="249" spans="1:2">
      <c r="A249" s="46" t="s">
        <v>6123</v>
      </c>
      <c r="B249" s="36" t="s">
        <v>86</v>
      </c>
    </row>
    <row r="250" spans="1:2">
      <c r="A250" s="46" t="s">
        <v>6132</v>
      </c>
      <c r="B250" s="36" t="s">
        <v>86</v>
      </c>
    </row>
    <row r="251" spans="1:2">
      <c r="A251" s="46" t="s">
        <v>6216</v>
      </c>
      <c r="B251" s="36" t="s">
        <v>86</v>
      </c>
    </row>
    <row r="252" spans="1:2">
      <c r="A252" s="46" t="s">
        <v>6352</v>
      </c>
      <c r="B252" s="36" t="s">
        <v>86</v>
      </c>
    </row>
    <row r="253" spans="1:2">
      <c r="A253" s="46" t="s">
        <v>6406</v>
      </c>
      <c r="B253" s="36" t="s">
        <v>86</v>
      </c>
    </row>
    <row r="254" spans="1:2">
      <c r="A254" s="46" t="s">
        <v>6444</v>
      </c>
      <c r="B254" s="36" t="s">
        <v>86</v>
      </c>
    </row>
    <row r="255" spans="1:2">
      <c r="A255" s="46" t="s">
        <v>6457</v>
      </c>
      <c r="B255" s="36" t="s">
        <v>86</v>
      </c>
    </row>
    <row r="256" spans="1:2">
      <c r="A256" s="46" t="s">
        <v>6459</v>
      </c>
      <c r="B256" s="36" t="s">
        <v>86</v>
      </c>
    </row>
    <row r="257" spans="1:2">
      <c r="A257" s="46" t="s">
        <v>6610</v>
      </c>
      <c r="B257" s="36" t="s">
        <v>86</v>
      </c>
    </row>
    <row r="258" spans="1:2">
      <c r="A258" s="46" t="s">
        <v>6615</v>
      </c>
      <c r="B258" s="36" t="s">
        <v>86</v>
      </c>
    </row>
    <row r="259" spans="1:2">
      <c r="A259" s="46" t="s">
        <v>6616</v>
      </c>
      <c r="B259" s="36" t="s">
        <v>86</v>
      </c>
    </row>
    <row r="260" spans="1:2">
      <c r="A260" s="5" t="s">
        <v>6579</v>
      </c>
      <c r="B260" s="36" t="s">
        <v>86</v>
      </c>
    </row>
    <row r="261" spans="1:2">
      <c r="A261" s="5" t="s">
        <v>6580</v>
      </c>
      <c r="B261" s="36" t="s">
        <v>86</v>
      </c>
    </row>
    <row r="262" spans="1:2">
      <c r="A262" s="5" t="s">
        <v>6591</v>
      </c>
      <c r="B262" s="36" t="s">
        <v>86</v>
      </c>
    </row>
    <row r="263" spans="1:2">
      <c r="A263" s="5" t="s">
        <v>6621</v>
      </c>
      <c r="B263" s="36" t="s">
        <v>86</v>
      </c>
    </row>
    <row r="264" spans="1:2">
      <c r="A264" s="5" t="s">
        <v>6627</v>
      </c>
      <c r="B264" s="36" t="s">
        <v>86</v>
      </c>
    </row>
    <row r="265" spans="1:2">
      <c r="A265" s="5" t="s">
        <v>6630</v>
      </c>
      <c r="B265" s="36" t="s">
        <v>86</v>
      </c>
    </row>
    <row r="266" spans="1:2">
      <c r="A266" s="5" t="s">
        <v>6631</v>
      </c>
      <c r="B266" s="36" t="s">
        <v>86</v>
      </c>
    </row>
    <row r="267" spans="1:2">
      <c r="A267" s="5" t="s">
        <v>6637</v>
      </c>
      <c r="B267" s="36" t="s">
        <v>86</v>
      </c>
    </row>
    <row r="268" spans="1:2">
      <c r="A268" s="5" t="s">
        <v>6638</v>
      </c>
      <c r="B268" s="36" t="s">
        <v>86</v>
      </c>
    </row>
    <row r="269" spans="1:2">
      <c r="A269" s="5" t="s">
        <v>6648</v>
      </c>
      <c r="B269" s="36" t="s">
        <v>86</v>
      </c>
    </row>
    <row r="270" spans="1:2">
      <c r="A270" s="5" t="s">
        <v>6653</v>
      </c>
      <c r="B270" s="36" t="s">
        <v>86</v>
      </c>
    </row>
    <row r="271" spans="1:2">
      <c r="A271" s="5" t="s">
        <v>6657</v>
      </c>
      <c r="B271" s="36" t="s">
        <v>86</v>
      </c>
    </row>
    <row r="272" spans="1:2">
      <c r="A272" s="5" t="s">
        <v>6708</v>
      </c>
      <c r="B272" s="36" t="s">
        <v>86</v>
      </c>
    </row>
    <row r="273" spans="1:2">
      <c r="A273" s="5" t="s">
        <v>6715</v>
      </c>
      <c r="B273" s="36" t="s">
        <v>86</v>
      </c>
    </row>
    <row r="274" spans="1:2">
      <c r="A274" s="5" t="s">
        <v>6723</v>
      </c>
      <c r="B274" s="36" t="s">
        <v>86</v>
      </c>
    </row>
    <row r="275" spans="1:2">
      <c r="A275" s="5" t="s">
        <v>6728</v>
      </c>
      <c r="B275" s="36" t="s">
        <v>86</v>
      </c>
    </row>
    <row r="276" spans="1:2">
      <c r="A276" s="5" t="s">
        <v>6732</v>
      </c>
      <c r="B276" s="36" t="s">
        <v>86</v>
      </c>
    </row>
    <row r="277" spans="1:2">
      <c r="A277" s="5" t="s">
        <v>7581</v>
      </c>
      <c r="B277" s="36" t="s">
        <v>86</v>
      </c>
    </row>
    <row r="278" spans="1:2">
      <c r="A278" s="5" t="s">
        <v>7586</v>
      </c>
      <c r="B278" s="36" t="s">
        <v>86</v>
      </c>
    </row>
    <row r="279" spans="1:2">
      <c r="A279" s="46" t="s">
        <v>7625</v>
      </c>
      <c r="B279" s="36" t="s">
        <v>86</v>
      </c>
    </row>
    <row r="280" spans="1:2">
      <c r="A280" s="46" t="s">
        <v>7677</v>
      </c>
      <c r="B280" s="36" t="s">
        <v>86</v>
      </c>
    </row>
    <row r="281" spans="1:2">
      <c r="A281" s="46" t="s">
        <v>7752</v>
      </c>
      <c r="B281" s="36" t="s">
        <v>86</v>
      </c>
    </row>
    <row r="282" spans="1:2">
      <c r="A282" s="46" t="s">
        <v>7754</v>
      </c>
      <c r="B282" s="36" t="s">
        <v>86</v>
      </c>
    </row>
    <row r="283" spans="1:2">
      <c r="A283" s="46" t="s">
        <v>7878</v>
      </c>
      <c r="B283" s="36" t="s">
        <v>86</v>
      </c>
    </row>
    <row r="284" spans="1:2">
      <c r="A284" s="46" t="s">
        <v>7880</v>
      </c>
      <c r="B284" s="36" t="s">
        <v>86</v>
      </c>
    </row>
    <row r="285" spans="1:2">
      <c r="A285" s="5" t="s">
        <v>7157</v>
      </c>
      <c r="B285" s="36" t="s">
        <v>86</v>
      </c>
    </row>
    <row r="286" spans="1:2">
      <c r="A286" s="5" t="s">
        <v>7159</v>
      </c>
      <c r="B286" s="36" t="s">
        <v>86</v>
      </c>
    </row>
    <row r="287" spans="1:2">
      <c r="A287" s="47" t="s">
        <v>7906</v>
      </c>
      <c r="B287" s="36" t="s">
        <v>86</v>
      </c>
    </row>
    <row r="288" spans="1:2">
      <c r="A288" s="5" t="s">
        <v>7910</v>
      </c>
      <c r="B288" s="36" t="s">
        <v>86</v>
      </c>
    </row>
    <row r="289" spans="1:2">
      <c r="A289" s="5" t="s">
        <v>7975</v>
      </c>
      <c r="B289" s="36" t="s">
        <v>86</v>
      </c>
    </row>
    <row r="290" spans="1:2">
      <c r="A290" s="5" t="s">
        <v>7976</v>
      </c>
      <c r="B290" s="36" t="s">
        <v>86</v>
      </c>
    </row>
    <row r="291" spans="1:2">
      <c r="A291" s="47" t="s">
        <v>7908</v>
      </c>
      <c r="B291" s="36" t="s">
        <v>86</v>
      </c>
    </row>
    <row r="292" spans="1:2">
      <c r="A292" s="5" t="s">
        <v>7942</v>
      </c>
      <c r="B292" s="36" t="s">
        <v>86</v>
      </c>
    </row>
    <row r="293" spans="1:2">
      <c r="A293" s="5" t="s">
        <v>7945</v>
      </c>
      <c r="B293" s="36" t="s">
        <v>86</v>
      </c>
    </row>
    <row r="294" spans="1:2">
      <c r="A294" s="5" t="s">
        <v>8120</v>
      </c>
      <c r="B294" s="36" t="s">
        <v>86</v>
      </c>
    </row>
    <row r="295" spans="1:2">
      <c r="A295" s="47" t="s">
        <v>8060</v>
      </c>
      <c r="B295" s="36" t="s">
        <v>86</v>
      </c>
    </row>
    <row r="296" spans="1:2">
      <c r="A296" s="5" t="s">
        <v>8059</v>
      </c>
      <c r="B296" s="36" t="s">
        <v>86</v>
      </c>
    </row>
    <row r="297" spans="1:2">
      <c r="A297" s="5" t="s">
        <v>8141</v>
      </c>
      <c r="B297" s="36" t="s">
        <v>86</v>
      </c>
    </row>
    <row r="298" spans="1:2">
      <c r="A298" s="5" t="s">
        <v>8543</v>
      </c>
      <c r="B298" s="36" t="s">
        <v>86</v>
      </c>
    </row>
    <row r="299" spans="1:2">
      <c r="A299" s="5" t="s">
        <v>8545</v>
      </c>
      <c r="B299" s="36" t="s">
        <v>86</v>
      </c>
    </row>
    <row r="300" spans="1:2">
      <c r="A300" s="5" t="s">
        <v>8701</v>
      </c>
      <c r="B300" s="36" t="s">
        <v>86</v>
      </c>
    </row>
    <row r="301" spans="1:2">
      <c r="A301" s="5" t="s">
        <v>8702</v>
      </c>
      <c r="B301" s="36" t="s">
        <v>86</v>
      </c>
    </row>
    <row r="302" spans="1:2">
      <c r="A302" s="5" t="s">
        <v>8704</v>
      </c>
      <c r="B302" s="36" t="s">
        <v>86</v>
      </c>
    </row>
    <row r="303" spans="1:2">
      <c r="A303" s="5" t="s">
        <v>8936</v>
      </c>
      <c r="B303" s="36" t="s">
        <v>86</v>
      </c>
    </row>
    <row r="304" spans="1:2">
      <c r="A304" s="5" t="s">
        <v>8972</v>
      </c>
      <c r="B304" s="36" t="s">
        <v>86</v>
      </c>
    </row>
    <row r="305" spans="1:2">
      <c r="A305" s="5" t="s">
        <v>8974</v>
      </c>
      <c r="B305" s="36" t="s">
        <v>86</v>
      </c>
    </row>
    <row r="306" spans="1:2">
      <c r="A306" s="5" t="s">
        <v>8977</v>
      </c>
      <c r="B306" s="36" t="s">
        <v>86</v>
      </c>
    </row>
    <row r="307" spans="1:2">
      <c r="A307" s="5" t="s">
        <v>8984</v>
      </c>
      <c r="B307" s="36" t="s">
        <v>86</v>
      </c>
    </row>
    <row r="308" spans="1:2">
      <c r="A308" s="5" t="s">
        <v>8695</v>
      </c>
      <c r="B308" s="36" t="s">
        <v>86</v>
      </c>
    </row>
    <row r="309" spans="1:2">
      <c r="A309" s="5" t="s">
        <v>8935</v>
      </c>
      <c r="B309" s="36" t="s">
        <v>86</v>
      </c>
    </row>
    <row r="310" spans="1:2">
      <c r="A310" s="5" t="s">
        <v>8986</v>
      </c>
      <c r="B310" s="36" t="s">
        <v>86</v>
      </c>
    </row>
    <row r="311" spans="1:2">
      <c r="A311" s="5" t="s">
        <v>8987</v>
      </c>
      <c r="B311" s="36" t="s">
        <v>86</v>
      </c>
    </row>
    <row r="312" spans="1:2">
      <c r="A312" s="5" t="s">
        <v>8992</v>
      </c>
      <c r="B312" s="36" t="s">
        <v>86</v>
      </c>
    </row>
    <row r="313" spans="1:2">
      <c r="A313" s="5" t="s">
        <v>8993</v>
      </c>
      <c r="B313" s="36" t="s">
        <v>86</v>
      </c>
    </row>
    <row r="314" spans="1:2">
      <c r="A314" s="46" t="s">
        <v>9008</v>
      </c>
      <c r="B314" s="36" t="s">
        <v>86</v>
      </c>
    </row>
    <row r="315" spans="1:2">
      <c r="A315" s="46" t="s">
        <v>9009</v>
      </c>
      <c r="B315" s="36" t="s">
        <v>86</v>
      </c>
    </row>
    <row r="316" spans="1:2">
      <c r="A316" s="46" t="s">
        <v>9010</v>
      </c>
      <c r="B316" s="36" t="s">
        <v>86</v>
      </c>
    </row>
    <row r="317" spans="1:2">
      <c r="A317" s="46" t="s">
        <v>9015</v>
      </c>
      <c r="B317" s="36" t="s">
        <v>86</v>
      </c>
    </row>
    <row r="318" spans="1:2">
      <c r="A318" s="46" t="s">
        <v>8991</v>
      </c>
      <c r="B318" s="36" t="s">
        <v>86</v>
      </c>
    </row>
    <row r="319" spans="1:2">
      <c r="A319" s="5" t="s">
        <v>9021</v>
      </c>
      <c r="B319" s="36" t="s">
        <v>86</v>
      </c>
    </row>
    <row r="320" spans="1:2">
      <c r="A320" s="5" t="s">
        <v>9022</v>
      </c>
      <c r="B320" s="36" t="s">
        <v>86</v>
      </c>
    </row>
    <row r="321" spans="1:2">
      <c r="A321" s="5" t="s">
        <v>9038</v>
      </c>
      <c r="B321" s="36" t="s">
        <v>86</v>
      </c>
    </row>
    <row r="322" spans="1:2">
      <c r="A322" s="5" t="s">
        <v>9058</v>
      </c>
      <c r="B322" s="36" t="s">
        <v>86</v>
      </c>
    </row>
    <row r="323" spans="1:2">
      <c r="A323" s="5" t="s">
        <v>9080</v>
      </c>
      <c r="B323" s="36" t="s">
        <v>86</v>
      </c>
    </row>
    <row r="324" spans="1:2">
      <c r="A324" s="5" t="s">
        <v>9083</v>
      </c>
      <c r="B324" s="36" t="s">
        <v>86</v>
      </c>
    </row>
    <row r="325" spans="1:2">
      <c r="A325" s="5" t="s">
        <v>9432</v>
      </c>
      <c r="B325" s="36" t="s">
        <v>86</v>
      </c>
    </row>
    <row r="326" spans="1:2">
      <c r="A326" s="5" t="s">
        <v>9433</v>
      </c>
      <c r="B326" s="36" t="s">
        <v>86</v>
      </c>
    </row>
    <row r="327" spans="1:2">
      <c r="A327" s="5" t="s">
        <v>9435</v>
      </c>
      <c r="B327" s="36" t="s">
        <v>86</v>
      </c>
    </row>
    <row r="328" spans="1:2">
      <c r="A328" s="5" t="s">
        <v>9517</v>
      </c>
      <c r="B328" s="36" t="s">
        <v>86</v>
      </c>
    </row>
    <row r="329" spans="1:2">
      <c r="A329" s="46" t="s">
        <v>9544</v>
      </c>
      <c r="B329" s="36" t="s">
        <v>86</v>
      </c>
    </row>
    <row r="330" spans="1:2">
      <c r="A330" s="5" t="s">
        <v>9476</v>
      </c>
      <c r="B330" s="36" t="s">
        <v>86</v>
      </c>
    </row>
    <row r="331" spans="1:2">
      <c r="A331" s="5" t="s">
        <v>9518</v>
      </c>
      <c r="B331" s="36" t="s">
        <v>86</v>
      </c>
    </row>
    <row r="332" spans="1:2">
      <c r="A332" s="5" t="s">
        <v>9541</v>
      </c>
      <c r="B332" s="36" t="s">
        <v>86</v>
      </c>
    </row>
    <row r="333" spans="1:2">
      <c r="A333" s="5" t="s">
        <v>9546</v>
      </c>
      <c r="B333" s="36" t="s">
        <v>86</v>
      </c>
    </row>
    <row r="334" spans="1:2">
      <c r="A334" s="5" t="s">
        <v>9554</v>
      </c>
      <c r="B334" s="36" t="s">
        <v>86</v>
      </c>
    </row>
    <row r="335" spans="1:2">
      <c r="A335" s="5" t="s">
        <v>9556</v>
      </c>
      <c r="B335" s="36" t="s">
        <v>86</v>
      </c>
    </row>
    <row r="336" spans="1:2">
      <c r="A336" s="5" t="s">
        <v>9577</v>
      </c>
      <c r="B336" s="36" t="s">
        <v>86</v>
      </c>
    </row>
    <row r="337" spans="1:2">
      <c r="A337" s="5" t="s">
        <v>9580</v>
      </c>
      <c r="B337" s="36" t="s">
        <v>86</v>
      </c>
    </row>
    <row r="338" spans="1:2">
      <c r="A338" s="5" t="s">
        <v>9592</v>
      </c>
      <c r="B338" s="36" t="s">
        <v>86</v>
      </c>
    </row>
    <row r="339" spans="1:2">
      <c r="A339" s="5" t="s">
        <v>9604</v>
      </c>
      <c r="B339" s="36" t="s">
        <v>86</v>
      </c>
    </row>
    <row r="340" spans="1:2">
      <c r="A340" s="5" t="s">
        <v>9606</v>
      </c>
      <c r="B340" s="36" t="s">
        <v>86</v>
      </c>
    </row>
    <row r="341" spans="1:2">
      <c r="A341" s="5" t="s">
        <v>9607</v>
      </c>
      <c r="B341" s="36" t="s">
        <v>86</v>
      </c>
    </row>
    <row r="342" spans="1:2">
      <c r="A342" s="5" t="s">
        <v>9620</v>
      </c>
      <c r="B342" s="36" t="s">
        <v>86</v>
      </c>
    </row>
    <row r="343" spans="1:2">
      <c r="A343" s="5" t="s">
        <v>9631</v>
      </c>
      <c r="B343" s="36" t="s">
        <v>86</v>
      </c>
    </row>
    <row r="344" spans="1:2">
      <c r="A344" s="5" t="s">
        <v>9718</v>
      </c>
      <c r="B344" s="36" t="s">
        <v>86</v>
      </c>
    </row>
    <row r="345" spans="1:2">
      <c r="A345" s="5" t="s">
        <v>9720</v>
      </c>
      <c r="B345" s="36" t="s">
        <v>86</v>
      </c>
    </row>
    <row r="346" spans="1:2">
      <c r="A346" s="5" t="s">
        <v>9721</v>
      </c>
      <c r="B346" s="36" t="s">
        <v>86</v>
      </c>
    </row>
    <row r="347" spans="1:2">
      <c r="A347" s="5" t="s">
        <v>9748</v>
      </c>
      <c r="B347" s="36" t="s">
        <v>86</v>
      </c>
    </row>
    <row r="348" spans="1:2">
      <c r="A348" s="46" t="s">
        <v>9777</v>
      </c>
      <c r="B348" s="36" t="s">
        <v>86</v>
      </c>
    </row>
    <row r="349" spans="1:2">
      <c r="A349" s="46" t="s">
        <v>9778</v>
      </c>
      <c r="B349" s="36" t="s">
        <v>86</v>
      </c>
    </row>
    <row r="350" spans="1:2">
      <c r="A350" s="46" t="s">
        <v>9781</v>
      </c>
      <c r="B350" s="3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M1618"/>
  <sheetViews>
    <sheetView tabSelected="1" topLeftCell="A1580" zoomScale="85" zoomScaleNormal="85" workbookViewId="0">
      <selection activeCell="B1590" sqref="B1590"/>
    </sheetView>
  </sheetViews>
  <sheetFormatPr defaultRowHeight="15"/>
  <cols>
    <col min="1" max="1" width="8.42578125" style="6" bestFit="1" customWidth="1"/>
    <col min="2" max="2" width="11.7109375" style="9" bestFit="1" customWidth="1"/>
    <col min="3" max="3" width="13.7109375" style="9" customWidth="1"/>
    <col min="4" max="4" width="48" style="9" bestFit="1" customWidth="1"/>
    <col min="5" max="5" width="57.28515625" style="9" bestFit="1" customWidth="1"/>
    <col min="6" max="6" width="41.42578125" style="9" bestFit="1" customWidth="1"/>
    <col min="7" max="7" width="14.28515625" style="9" bestFit="1" customWidth="1"/>
    <col min="8" max="8" width="9.85546875" style="9" bestFit="1" customWidth="1"/>
    <col min="9" max="9" width="20" style="9" bestFit="1" customWidth="1"/>
    <col min="10" max="10" width="11.42578125" style="9" bestFit="1" customWidth="1"/>
    <col min="11" max="11" width="49.5703125" style="9" bestFit="1" customWidth="1"/>
    <col min="12" max="12" width="41.140625" style="9" bestFit="1" customWidth="1"/>
    <col min="13" max="13" width="26.5703125" style="9" bestFit="1" customWidth="1"/>
  </cols>
  <sheetData>
    <row r="1" spans="1:13" ht="19.5" customHeight="1">
      <c r="A1" s="33" t="s">
        <v>262</v>
      </c>
      <c r="B1" s="34" t="s">
        <v>263</v>
      </c>
      <c r="C1" s="34" t="s">
        <v>264</v>
      </c>
      <c r="D1" s="34" t="s">
        <v>265</v>
      </c>
      <c r="E1" s="34" t="s">
        <v>266</v>
      </c>
      <c r="F1" s="34" t="s">
        <v>267</v>
      </c>
      <c r="G1" s="34" t="s">
        <v>268</v>
      </c>
      <c r="H1" s="35" t="s">
        <v>0</v>
      </c>
      <c r="I1" s="34" t="s">
        <v>269</v>
      </c>
      <c r="J1" s="34" t="s">
        <v>270</v>
      </c>
      <c r="K1" s="34" t="s">
        <v>271</v>
      </c>
      <c r="L1" s="34" t="s">
        <v>272</v>
      </c>
      <c r="M1" s="34" t="s">
        <v>273</v>
      </c>
    </row>
    <row r="2" spans="1:13" hidden="1">
      <c r="A2" s="42">
        <v>1</v>
      </c>
      <c r="B2" s="36" t="s">
        <v>6</v>
      </c>
      <c r="C2" s="9" t="s">
        <v>7906</v>
      </c>
      <c r="D2" s="9" t="s">
        <v>7902</v>
      </c>
      <c r="E2" s="38" t="s">
        <v>7907</v>
      </c>
      <c r="F2" s="54" t="s">
        <v>3707</v>
      </c>
      <c r="G2" s="9" t="s">
        <v>14</v>
      </c>
      <c r="H2" s="36" t="str">
        <f>IFERROR(VLOOKUP(Table2[[#This Row], [Ticket]],Okey!A:B,2,0),"")</f>
        <v>ok</v>
      </c>
      <c r="I2" s="36" t="s">
        <v>8546</v>
      </c>
      <c r="J2" s="36" t="s">
        <v>17</v>
      </c>
      <c r="L2" s="36"/>
      <c r="M2" s="9" t="s">
        <v>1230</v>
      </c>
    </row>
    <row r="3" spans="1:13" hidden="1">
      <c r="A3" s="42">
        <f t="shared" ref="A3:A19" si="0">1+A2</f>
        <v>2</v>
      </c>
      <c r="B3" s="36" t="s">
        <v>6</v>
      </c>
      <c r="C3" s="36" t="s">
        <v>7906</v>
      </c>
      <c r="D3" s="9" t="s">
        <v>7862</v>
      </c>
      <c r="F3" s="9" t="s">
        <v>387</v>
      </c>
      <c r="G3" s="9" t="s">
        <v>13</v>
      </c>
      <c r="H3" s="36" t="str">
        <f>IFERROR(VLOOKUP(Table2[[#This Row], [Ticket]],Okey!A:B,2,0),"")</f>
        <v>ok</v>
      </c>
      <c r="I3" s="36" t="s">
        <v>8546</v>
      </c>
      <c r="J3" s="36" t="s">
        <v>17</v>
      </c>
      <c r="L3" s="36"/>
      <c r="M3" s="9" t="s">
        <v>4777</v>
      </c>
    </row>
    <row r="4" spans="1:13" hidden="1">
      <c r="A4" s="42">
        <f t="shared" si="0"/>
        <v>3</v>
      </c>
      <c r="B4" s="36" t="s">
        <v>6</v>
      </c>
      <c r="C4" s="36" t="s">
        <v>7906</v>
      </c>
      <c r="D4" s="9" t="s">
        <v>7865</v>
      </c>
      <c r="E4" s="9" t="s">
        <v>7903</v>
      </c>
      <c r="F4" s="9" t="s">
        <v>5725</v>
      </c>
      <c r="G4" s="9" t="s">
        <v>16</v>
      </c>
      <c r="H4" s="36" t="str">
        <f>IFERROR(VLOOKUP(Table2[[#This Row], [Ticket]],Okey!A:B,2,0),"")</f>
        <v>ok</v>
      </c>
      <c r="I4" s="36" t="s">
        <v>8546</v>
      </c>
      <c r="J4" s="36" t="s">
        <v>17</v>
      </c>
      <c r="K4" s="36"/>
      <c r="L4" s="36"/>
      <c r="M4" s="36" t="s">
        <v>4777</v>
      </c>
    </row>
    <row r="5" spans="1:13" hidden="1">
      <c r="A5" s="42">
        <f t="shared" si="0"/>
        <v>4</v>
      </c>
      <c r="B5" s="36" t="s">
        <v>6</v>
      </c>
      <c r="C5" s="36" t="s">
        <v>7906</v>
      </c>
      <c r="D5" s="9" t="s">
        <v>7866</v>
      </c>
      <c r="E5" s="9" t="s">
        <v>7903</v>
      </c>
      <c r="F5" s="9" t="s">
        <v>5725</v>
      </c>
      <c r="G5" s="36" t="s">
        <v>16</v>
      </c>
      <c r="H5" s="36" t="str">
        <f>IFERROR(VLOOKUP(Table2[[#This Row], [Ticket]],Okey!A:B,2,0),"")</f>
        <v>ok</v>
      </c>
      <c r="I5" s="36" t="s">
        <v>8546</v>
      </c>
      <c r="J5" s="36" t="s">
        <v>17</v>
      </c>
      <c r="K5" s="36"/>
      <c r="L5" s="36"/>
      <c r="M5" s="36" t="s">
        <v>4777</v>
      </c>
    </row>
    <row r="6" spans="1:13" hidden="1">
      <c r="A6" s="42">
        <f t="shared" si="0"/>
        <v>5</v>
      </c>
      <c r="B6" s="36" t="s">
        <v>6</v>
      </c>
      <c r="C6" s="36" t="s">
        <v>7906</v>
      </c>
      <c r="D6" s="9" t="s">
        <v>7861</v>
      </c>
      <c r="E6" s="9" t="s">
        <v>7903</v>
      </c>
      <c r="F6" s="9" t="s">
        <v>5725</v>
      </c>
      <c r="G6" s="36" t="s">
        <v>16</v>
      </c>
      <c r="H6" s="36" t="str">
        <f>IFERROR(VLOOKUP(Table2[[#This Row], [Ticket]],Okey!A:B,2,0),"")</f>
        <v>ok</v>
      </c>
      <c r="I6" s="36" t="s">
        <v>8546</v>
      </c>
      <c r="J6" s="36" t="s">
        <v>17</v>
      </c>
      <c r="K6" s="36"/>
      <c r="L6" s="36"/>
      <c r="M6" s="36" t="s">
        <v>4777</v>
      </c>
    </row>
    <row r="7" spans="1:13" hidden="1">
      <c r="A7" s="42">
        <f t="shared" si="0"/>
        <v>6</v>
      </c>
      <c r="B7" s="36" t="s">
        <v>6</v>
      </c>
      <c r="C7" s="36" t="s">
        <v>7906</v>
      </c>
      <c r="D7" s="9" t="s">
        <v>7863</v>
      </c>
      <c r="E7" s="9" t="s">
        <v>7903</v>
      </c>
      <c r="F7" s="9" t="s">
        <v>5725</v>
      </c>
      <c r="G7" s="36" t="s">
        <v>16</v>
      </c>
      <c r="H7" s="36" t="str">
        <f>IFERROR(VLOOKUP(Table2[[#This Row], [Ticket]],Okey!A:B,2,0),"")</f>
        <v>ok</v>
      </c>
      <c r="I7" s="36" t="s">
        <v>8546</v>
      </c>
      <c r="J7" s="36" t="s">
        <v>17</v>
      </c>
      <c r="K7" s="36"/>
      <c r="L7" s="36"/>
      <c r="M7" s="36" t="s">
        <v>4777</v>
      </c>
    </row>
    <row r="8" spans="1:13" hidden="1">
      <c r="A8" s="42">
        <f t="shared" si="0"/>
        <v>7</v>
      </c>
      <c r="B8" s="36" t="s">
        <v>6</v>
      </c>
      <c r="C8" s="36" t="s">
        <v>7906</v>
      </c>
      <c r="D8" s="9" t="s">
        <v>7860</v>
      </c>
      <c r="E8" s="9" t="s">
        <v>7904</v>
      </c>
      <c r="G8" s="9" t="s">
        <v>15</v>
      </c>
      <c r="H8" s="36" t="str">
        <f>IFERROR(VLOOKUP(Table2[[#This Row], [Ticket]],Okey!A:B,2,0),"")</f>
        <v>ok</v>
      </c>
      <c r="I8" s="36" t="s">
        <v>8546</v>
      </c>
      <c r="J8" s="36" t="s">
        <v>17</v>
      </c>
      <c r="K8" s="36"/>
      <c r="L8" s="36"/>
      <c r="M8" s="36" t="s">
        <v>4777</v>
      </c>
    </row>
    <row r="9" spans="1:13" hidden="1">
      <c r="A9" s="42">
        <f t="shared" si="0"/>
        <v>8</v>
      </c>
      <c r="B9" s="36" t="s">
        <v>6</v>
      </c>
      <c r="C9" s="36" t="s">
        <v>7906</v>
      </c>
      <c r="D9" s="9" t="s">
        <v>7864</v>
      </c>
      <c r="E9" s="9" t="s">
        <v>7905</v>
      </c>
      <c r="G9" s="36" t="s">
        <v>15</v>
      </c>
      <c r="H9" s="36" t="str">
        <f>IFERROR(VLOOKUP(Table2[[#This Row], [Ticket]],Okey!A:B,2,0),"")</f>
        <v>ok</v>
      </c>
      <c r="I9" s="36" t="s">
        <v>8546</v>
      </c>
      <c r="J9" s="36" t="s">
        <v>17</v>
      </c>
      <c r="K9" s="36"/>
      <c r="L9" s="36"/>
      <c r="M9" s="36" t="s">
        <v>4777</v>
      </c>
    </row>
    <row r="10" spans="1:13" hidden="1">
      <c r="A10" s="42">
        <f t="shared" si="0"/>
        <v>9</v>
      </c>
      <c r="B10" s="36" t="s">
        <v>6</v>
      </c>
      <c r="C10" s="36" t="s">
        <v>7906</v>
      </c>
      <c r="D10" s="9" t="s">
        <v>7867</v>
      </c>
      <c r="E10" s="9" t="s">
        <v>7903</v>
      </c>
      <c r="G10" s="36" t="s">
        <v>15</v>
      </c>
      <c r="H10" s="36" t="str">
        <f>IFERROR(VLOOKUP(Table2[[#This Row], [Ticket]],Okey!A:B,2,0),"")</f>
        <v>ok</v>
      </c>
      <c r="I10" s="36" t="s">
        <v>8546</v>
      </c>
      <c r="J10" s="36" t="s">
        <v>17</v>
      </c>
      <c r="K10" s="36"/>
      <c r="L10" s="36"/>
      <c r="M10" s="36" t="s">
        <v>4777</v>
      </c>
    </row>
    <row r="11" spans="1:13" hidden="1">
      <c r="A11" s="42">
        <f t="shared" si="0"/>
        <v>10</v>
      </c>
      <c r="B11" s="36" t="s">
        <v>6</v>
      </c>
      <c r="C11" s="36" t="s">
        <v>7906</v>
      </c>
      <c r="D11" s="9" t="s">
        <v>7868</v>
      </c>
      <c r="E11" s="9" t="s">
        <v>7903</v>
      </c>
      <c r="G11" s="36" t="s">
        <v>15</v>
      </c>
      <c r="H11" s="36" t="str">
        <f>IFERROR(VLOOKUP(Table2[[#This Row], [Ticket]],Okey!A:B,2,0),"")</f>
        <v>ok</v>
      </c>
      <c r="I11" s="36" t="s">
        <v>8546</v>
      </c>
      <c r="J11" s="36" t="s">
        <v>17</v>
      </c>
      <c r="K11" s="36"/>
      <c r="L11" s="36"/>
      <c r="M11" s="36" t="s">
        <v>4777</v>
      </c>
    </row>
    <row r="12" spans="1:13" hidden="1">
      <c r="A12" s="42">
        <f t="shared" si="0"/>
        <v>11</v>
      </c>
      <c r="B12" s="36" t="s">
        <v>6</v>
      </c>
      <c r="C12" s="36" t="s">
        <v>7906</v>
      </c>
      <c r="D12" s="9" t="s">
        <v>7869</v>
      </c>
      <c r="E12" s="9" t="s">
        <v>7903</v>
      </c>
      <c r="G12" s="36" t="s">
        <v>15</v>
      </c>
      <c r="H12" s="36" t="str">
        <f>IFERROR(VLOOKUP(Table2[[#This Row], [Ticket]],Okey!A:B,2,0),"")</f>
        <v>ok</v>
      </c>
      <c r="I12" s="36" t="s">
        <v>8546</v>
      </c>
      <c r="J12" s="36" t="s">
        <v>17</v>
      </c>
      <c r="K12" s="36"/>
      <c r="L12" s="36"/>
      <c r="M12" s="36" t="s">
        <v>4777</v>
      </c>
    </row>
    <row r="13" spans="1:13" hidden="1">
      <c r="A13" s="42">
        <f t="shared" si="0"/>
        <v>12</v>
      </c>
      <c r="B13" s="36" t="s">
        <v>6</v>
      </c>
      <c r="C13" s="36" t="s">
        <v>7906</v>
      </c>
      <c r="D13" s="9" t="s">
        <v>7870</v>
      </c>
      <c r="E13" s="9" t="s">
        <v>7903</v>
      </c>
      <c r="G13" s="36" t="s">
        <v>15</v>
      </c>
      <c r="H13" s="36" t="str">
        <f>IFERROR(VLOOKUP(Table2[[#This Row], [Ticket]],Okey!A:B,2,0),"")</f>
        <v>ok</v>
      </c>
      <c r="I13" s="36" t="s">
        <v>8546</v>
      </c>
      <c r="J13" s="36" t="s">
        <v>17</v>
      </c>
      <c r="K13" s="36"/>
      <c r="L13" s="36"/>
      <c r="M13" s="36" t="s">
        <v>4777</v>
      </c>
    </row>
    <row r="14" spans="1:13" hidden="1">
      <c r="A14" s="42">
        <f t="shared" si="0"/>
        <v>13</v>
      </c>
      <c r="B14" s="36" t="s">
        <v>6</v>
      </c>
      <c r="C14" s="36" t="s">
        <v>7906</v>
      </c>
      <c r="D14" s="9" t="s">
        <v>7877</v>
      </c>
      <c r="E14" s="9" t="s">
        <v>7903</v>
      </c>
      <c r="G14" s="36" t="s">
        <v>15</v>
      </c>
      <c r="H14" s="36" t="str">
        <f>IFERROR(VLOOKUP(Table2[[#This Row], [Ticket]],Okey!A:B,2,0),"")</f>
        <v>ok</v>
      </c>
      <c r="I14" s="36" t="s">
        <v>8546</v>
      </c>
      <c r="J14" s="36" t="s">
        <v>17</v>
      </c>
      <c r="K14" s="36"/>
      <c r="L14" s="36"/>
      <c r="M14" s="36" t="s">
        <v>4777</v>
      </c>
    </row>
    <row r="15" spans="1:13" hidden="1">
      <c r="A15" s="42">
        <f t="shared" si="0"/>
        <v>14</v>
      </c>
      <c r="B15" s="36" t="s">
        <v>6</v>
      </c>
      <c r="C15" s="36" t="s">
        <v>7906</v>
      </c>
      <c r="D15" s="9" t="s">
        <v>7871</v>
      </c>
      <c r="E15" s="9" t="s">
        <v>7903</v>
      </c>
      <c r="G15" s="36" t="s">
        <v>15</v>
      </c>
      <c r="H15" s="36" t="str">
        <f>IFERROR(VLOOKUP(Table2[[#This Row], [Ticket]],Okey!A:B,2,0),"")</f>
        <v>ok</v>
      </c>
      <c r="I15" s="36" t="s">
        <v>8546</v>
      </c>
      <c r="J15" s="36" t="s">
        <v>17</v>
      </c>
      <c r="K15" s="36"/>
      <c r="L15" s="36"/>
      <c r="M15" s="36" t="s">
        <v>4777</v>
      </c>
    </row>
    <row r="16" spans="1:13" hidden="1">
      <c r="A16" s="42">
        <f t="shared" si="0"/>
        <v>15</v>
      </c>
      <c r="B16" s="36" t="s">
        <v>6</v>
      </c>
      <c r="C16" s="36" t="s">
        <v>7906</v>
      </c>
      <c r="D16" s="9" t="s">
        <v>7872</v>
      </c>
      <c r="E16" s="9" t="s">
        <v>7903</v>
      </c>
      <c r="G16" s="36" t="s">
        <v>15</v>
      </c>
      <c r="H16" s="36" t="str">
        <f>IFERROR(VLOOKUP(Table2[[#This Row], [Ticket]],Okey!A:B,2,0),"")</f>
        <v>ok</v>
      </c>
      <c r="I16" s="36" t="s">
        <v>8546</v>
      </c>
      <c r="J16" s="36" t="s">
        <v>17</v>
      </c>
      <c r="K16" s="36"/>
      <c r="L16" s="36"/>
      <c r="M16" s="36" t="s">
        <v>4777</v>
      </c>
    </row>
    <row r="17" spans="1:13" hidden="1">
      <c r="A17" s="42">
        <f t="shared" si="0"/>
        <v>16</v>
      </c>
      <c r="B17" s="36" t="s">
        <v>6</v>
      </c>
      <c r="C17" s="36" t="s">
        <v>7906</v>
      </c>
      <c r="D17" s="9" t="s">
        <v>7873</v>
      </c>
      <c r="E17" s="9" t="s">
        <v>7903</v>
      </c>
      <c r="G17" s="36" t="s">
        <v>15</v>
      </c>
      <c r="H17" s="36" t="str">
        <f>IFERROR(VLOOKUP(Table2[[#This Row], [Ticket]],Okey!A:B,2,0),"")</f>
        <v>ok</v>
      </c>
      <c r="I17" s="36" t="s">
        <v>8546</v>
      </c>
      <c r="J17" s="36" t="s">
        <v>17</v>
      </c>
      <c r="K17" s="36"/>
      <c r="L17" s="36"/>
      <c r="M17" s="36" t="s">
        <v>4777</v>
      </c>
    </row>
    <row r="18" spans="1:13" hidden="1">
      <c r="A18" s="42">
        <f t="shared" si="0"/>
        <v>17</v>
      </c>
      <c r="B18" s="36" t="s">
        <v>6</v>
      </c>
      <c r="C18" s="36" t="s">
        <v>7906</v>
      </c>
      <c r="D18" s="9" t="s">
        <v>7874</v>
      </c>
      <c r="E18" s="9" t="s">
        <v>7903</v>
      </c>
      <c r="G18" s="36" t="s">
        <v>15</v>
      </c>
      <c r="H18" s="36" t="str">
        <f>IFERROR(VLOOKUP(Table2[[#This Row], [Ticket]],Okey!A:B,2,0),"")</f>
        <v>ok</v>
      </c>
      <c r="I18" s="36" t="s">
        <v>8546</v>
      </c>
      <c r="J18" s="36" t="s">
        <v>17</v>
      </c>
      <c r="K18" s="36"/>
      <c r="L18" s="36"/>
      <c r="M18" s="36" t="s">
        <v>4777</v>
      </c>
    </row>
    <row r="19" spans="1:13" hidden="1">
      <c r="A19" s="42">
        <f t="shared" si="0"/>
        <v>18</v>
      </c>
      <c r="B19" s="36" t="s">
        <v>6</v>
      </c>
      <c r="C19" s="36" t="s">
        <v>7906</v>
      </c>
      <c r="D19" s="9" t="s">
        <v>7875</v>
      </c>
      <c r="E19" s="9" t="s">
        <v>7903</v>
      </c>
      <c r="G19" s="36" t="s">
        <v>15</v>
      </c>
      <c r="H19" s="36" t="str">
        <f>IFERROR(VLOOKUP(Table2[[#This Row], [Ticket]],Okey!A:B,2,0),"")</f>
        <v>ok</v>
      </c>
      <c r="I19" s="36" t="s">
        <v>8546</v>
      </c>
      <c r="J19" s="36" t="s">
        <v>17</v>
      </c>
      <c r="K19" s="36"/>
      <c r="L19" s="36"/>
      <c r="M19" s="36" t="s">
        <v>4777</v>
      </c>
    </row>
    <row r="20" spans="1:13" hidden="1">
      <c r="A20" s="42">
        <f t="shared" ref="A20:A83" si="1">1+A19</f>
        <v>19</v>
      </c>
      <c r="B20" s="36" t="s">
        <v>6</v>
      </c>
      <c r="C20" s="36" t="s">
        <v>7906</v>
      </c>
      <c r="D20" s="9" t="s">
        <v>7876</v>
      </c>
      <c r="E20" s="9" t="s">
        <v>7903</v>
      </c>
      <c r="G20" s="36" t="s">
        <v>15</v>
      </c>
      <c r="H20" s="36" t="str">
        <f>IFERROR(VLOOKUP(Table2[[#This Row], [Ticket]],Okey!A:B,2,0),"")</f>
        <v>ok</v>
      </c>
      <c r="I20" s="36" t="s">
        <v>8546</v>
      </c>
      <c r="J20" s="36" t="s">
        <v>17</v>
      </c>
      <c r="K20" s="36"/>
      <c r="L20" s="36"/>
      <c r="M20" s="36" t="s">
        <v>4777</v>
      </c>
    </row>
    <row r="21" spans="1:13" hidden="1">
      <c r="A21" s="42">
        <f t="shared" si="1"/>
        <v>20</v>
      </c>
      <c r="B21" s="36" t="s">
        <v>6</v>
      </c>
      <c r="C21" s="9" t="s">
        <v>7908</v>
      </c>
      <c r="D21" s="9" t="s">
        <v>7909</v>
      </c>
      <c r="F21" s="66" t="s">
        <v>6112</v>
      </c>
      <c r="G21" s="9" t="s">
        <v>13</v>
      </c>
      <c r="H21" s="36" t="str">
        <f>IFERROR(VLOOKUP(Table2[[#This Row], [Ticket]],Okey!A:B,2,0),"")</f>
        <v>ok</v>
      </c>
      <c r="I21" s="36" t="s">
        <v>8546</v>
      </c>
      <c r="J21" s="36" t="s">
        <v>17</v>
      </c>
      <c r="K21" s="36"/>
      <c r="L21" s="36"/>
      <c r="M21" s="9" t="s">
        <v>4782</v>
      </c>
    </row>
    <row r="22" spans="1:13" hidden="1">
      <c r="A22" s="42">
        <f t="shared" si="1"/>
        <v>21</v>
      </c>
      <c r="B22" s="36" t="s">
        <v>6</v>
      </c>
      <c r="C22" s="9" t="s">
        <v>7910</v>
      </c>
      <c r="D22" s="36" t="s">
        <v>7916</v>
      </c>
      <c r="E22" s="36" t="s">
        <v>7911</v>
      </c>
      <c r="F22" s="9" t="s">
        <v>7912</v>
      </c>
      <c r="G22" s="9" t="s">
        <v>14</v>
      </c>
      <c r="H22" s="36" t="str">
        <f>IFERROR(VLOOKUP(Table2[[#This Row], [Ticket]],Okey!A:B,2,0),"")</f>
        <v>ok</v>
      </c>
      <c r="I22" s="36" t="s">
        <v>8546</v>
      </c>
      <c r="J22" s="36" t="s">
        <v>17</v>
      </c>
      <c r="K22" s="36"/>
      <c r="L22" s="36"/>
      <c r="M22" s="36" t="s">
        <v>4782</v>
      </c>
    </row>
    <row r="23" spans="1:13" hidden="1">
      <c r="A23" s="42">
        <f t="shared" si="1"/>
        <v>22</v>
      </c>
      <c r="B23" s="36" t="s">
        <v>6</v>
      </c>
      <c r="C23" s="36" t="s">
        <v>7910</v>
      </c>
      <c r="D23" s="36" t="s">
        <v>7917</v>
      </c>
      <c r="E23" s="36" t="s">
        <v>7913</v>
      </c>
      <c r="F23" s="9" t="s">
        <v>7915</v>
      </c>
      <c r="G23" s="36" t="s">
        <v>14</v>
      </c>
      <c r="H23" s="36" t="str">
        <f>IFERROR(VLOOKUP(Table2[[#This Row], [Ticket]],Okey!A:B,2,0),"")</f>
        <v>ok</v>
      </c>
      <c r="I23" s="36" t="s">
        <v>8546</v>
      </c>
      <c r="J23" s="36" t="s">
        <v>17</v>
      </c>
      <c r="K23" s="36"/>
      <c r="L23" s="36"/>
      <c r="M23" s="36" t="s">
        <v>4782</v>
      </c>
    </row>
    <row r="24" spans="1:13" hidden="1">
      <c r="A24" s="42">
        <f t="shared" si="1"/>
        <v>23</v>
      </c>
      <c r="B24" s="36" t="s">
        <v>6</v>
      </c>
      <c r="C24" s="36" t="s">
        <v>7910</v>
      </c>
      <c r="D24" s="36" t="s">
        <v>7918</v>
      </c>
      <c r="E24" s="36" t="s">
        <v>7914</v>
      </c>
      <c r="F24" s="9" t="s">
        <v>7915</v>
      </c>
      <c r="G24" s="36" t="s">
        <v>14</v>
      </c>
      <c r="H24" s="36" t="str">
        <f>IFERROR(VLOOKUP(Table2[[#This Row], [Ticket]],Okey!A:B,2,0),"")</f>
        <v>ok</v>
      </c>
      <c r="I24" s="36" t="s">
        <v>8546</v>
      </c>
      <c r="J24" s="36" t="s">
        <v>17</v>
      </c>
      <c r="K24" s="36"/>
      <c r="L24" s="36"/>
      <c r="M24" s="36" t="s">
        <v>4782</v>
      </c>
    </row>
    <row r="25" spans="1:13" hidden="1">
      <c r="A25" s="42">
        <f t="shared" si="1"/>
        <v>24</v>
      </c>
      <c r="B25" s="36" t="s">
        <v>6</v>
      </c>
      <c r="C25" s="36" t="s">
        <v>7910</v>
      </c>
      <c r="D25" s="9" t="s">
        <v>7909</v>
      </c>
      <c r="F25" s="9" t="s">
        <v>6112</v>
      </c>
      <c r="G25" s="36" t="s">
        <v>13</v>
      </c>
      <c r="H25" s="36" t="str">
        <f>IFERROR(VLOOKUP(Table2[[#This Row], [Ticket]],Okey!A:B,2,0),"")</f>
        <v>ok</v>
      </c>
      <c r="I25" s="36" t="s">
        <v>8546</v>
      </c>
      <c r="J25" s="36" t="s">
        <v>17</v>
      </c>
      <c r="K25" s="36"/>
      <c r="L25" s="36"/>
      <c r="M25" s="36" t="s">
        <v>4782</v>
      </c>
    </row>
    <row r="26" spans="1:13" hidden="1">
      <c r="A26" s="42">
        <f t="shared" si="1"/>
        <v>25</v>
      </c>
      <c r="B26" s="36" t="s">
        <v>6</v>
      </c>
      <c r="C26" s="9" t="s">
        <v>7942</v>
      </c>
      <c r="D26" s="9" t="s">
        <v>7946</v>
      </c>
      <c r="E26" s="9" t="s">
        <v>7919</v>
      </c>
      <c r="F26" s="9" t="s">
        <v>1125</v>
      </c>
      <c r="G26" s="36" t="s">
        <v>14</v>
      </c>
      <c r="H26" s="36" t="str">
        <f>IFERROR(VLOOKUP(Table2[[#This Row], [Ticket]],Okey!A:B,2,0),"")</f>
        <v>ok</v>
      </c>
      <c r="I26" s="36" t="s">
        <v>8546</v>
      </c>
      <c r="J26" s="36" t="s">
        <v>19</v>
      </c>
      <c r="K26" s="36"/>
      <c r="L26" s="36"/>
      <c r="M26" s="9" t="s">
        <v>7941</v>
      </c>
    </row>
    <row r="27" spans="1:13" hidden="1">
      <c r="A27" s="42">
        <f t="shared" si="1"/>
        <v>26</v>
      </c>
      <c r="B27" s="36" t="s">
        <v>6</v>
      </c>
      <c r="C27" s="36" t="s">
        <v>7942</v>
      </c>
      <c r="D27" s="9" t="s">
        <v>7947</v>
      </c>
      <c r="E27" s="9" t="s">
        <v>7920</v>
      </c>
      <c r="F27" s="9" t="s">
        <v>7946</v>
      </c>
      <c r="G27" s="36" t="s">
        <v>14</v>
      </c>
      <c r="H27" s="36" t="str">
        <f>IFERROR(VLOOKUP(Table2[[#This Row], [Ticket]],Okey!A:B,2,0),"")</f>
        <v>ok</v>
      </c>
      <c r="I27" s="36" t="s">
        <v>8546</v>
      </c>
      <c r="J27" s="36" t="s">
        <v>19</v>
      </c>
      <c r="K27" s="36"/>
      <c r="L27" s="36"/>
      <c r="M27" s="36" t="s">
        <v>7941</v>
      </c>
    </row>
    <row r="28" spans="1:13" hidden="1">
      <c r="A28" s="42">
        <f t="shared" si="1"/>
        <v>27</v>
      </c>
      <c r="B28" s="36" t="s">
        <v>6</v>
      </c>
      <c r="C28" s="36" t="s">
        <v>7942</v>
      </c>
      <c r="D28" s="9" t="s">
        <v>7948</v>
      </c>
      <c r="E28" s="9" t="s">
        <v>7921</v>
      </c>
      <c r="F28" s="9" t="s">
        <v>7946</v>
      </c>
      <c r="G28" s="36" t="s">
        <v>14</v>
      </c>
      <c r="H28" s="36" t="str">
        <f>IFERROR(VLOOKUP(Table2[[#This Row], [Ticket]],Okey!A:B,2,0),"")</f>
        <v>ok</v>
      </c>
      <c r="I28" s="36" t="s">
        <v>8546</v>
      </c>
      <c r="J28" s="36" t="s">
        <v>19</v>
      </c>
      <c r="K28" s="36"/>
      <c r="L28" s="36"/>
      <c r="M28" s="36" t="s">
        <v>7941</v>
      </c>
    </row>
    <row r="29" spans="1:13" hidden="1">
      <c r="A29" s="42">
        <f t="shared" si="1"/>
        <v>28</v>
      </c>
      <c r="B29" s="36" t="s">
        <v>6</v>
      </c>
      <c r="C29" s="36" t="s">
        <v>7942</v>
      </c>
      <c r="D29" s="9" t="s">
        <v>7949</v>
      </c>
      <c r="E29" s="9" t="s">
        <v>7922</v>
      </c>
      <c r="F29" s="9" t="s">
        <v>7946</v>
      </c>
      <c r="G29" s="36" t="s">
        <v>14</v>
      </c>
      <c r="H29" s="36" t="str">
        <f>IFERROR(VLOOKUP(Table2[[#This Row], [Ticket]],Okey!A:B,2,0),"")</f>
        <v>ok</v>
      </c>
      <c r="I29" s="36" t="s">
        <v>8546</v>
      </c>
      <c r="J29" s="36" t="s">
        <v>19</v>
      </c>
      <c r="K29" s="36"/>
      <c r="L29" s="36"/>
      <c r="M29" s="36" t="s">
        <v>7941</v>
      </c>
    </row>
    <row r="30" spans="1:13" hidden="1">
      <c r="A30" s="42">
        <f t="shared" si="1"/>
        <v>29</v>
      </c>
      <c r="B30" s="36" t="s">
        <v>6</v>
      </c>
      <c r="C30" s="36" t="s">
        <v>7942</v>
      </c>
      <c r="D30" s="9" t="s">
        <v>7950</v>
      </c>
      <c r="E30" s="9" t="s">
        <v>7923</v>
      </c>
      <c r="F30" s="9" t="s">
        <v>7946</v>
      </c>
      <c r="G30" s="36" t="s">
        <v>14</v>
      </c>
      <c r="H30" s="36" t="str">
        <f>IFERROR(VLOOKUP(Table2[[#This Row], [Ticket]],Okey!A:B,2,0),"")</f>
        <v>ok</v>
      </c>
      <c r="I30" s="36" t="s">
        <v>8546</v>
      </c>
      <c r="J30" s="36" t="s">
        <v>19</v>
      </c>
      <c r="K30" s="36"/>
      <c r="L30" s="36"/>
      <c r="M30" s="36" t="s">
        <v>7941</v>
      </c>
    </row>
    <row r="31" spans="1:13" hidden="1">
      <c r="A31" s="42">
        <f t="shared" si="1"/>
        <v>30</v>
      </c>
      <c r="B31" s="36" t="s">
        <v>6</v>
      </c>
      <c r="C31" s="36" t="s">
        <v>7942</v>
      </c>
      <c r="D31" s="9" t="s">
        <v>7951</v>
      </c>
      <c r="E31" s="9" t="s">
        <v>7924</v>
      </c>
      <c r="F31" s="9" t="s">
        <v>7946</v>
      </c>
      <c r="G31" s="36" t="s">
        <v>14</v>
      </c>
      <c r="H31" s="36" t="str">
        <f>IFERROR(VLOOKUP(Table2[[#This Row], [Ticket]],Okey!A:B,2,0),"")</f>
        <v>ok</v>
      </c>
      <c r="I31" s="36" t="s">
        <v>8546</v>
      </c>
      <c r="J31" s="36" t="s">
        <v>19</v>
      </c>
      <c r="K31" s="36"/>
      <c r="L31" s="36"/>
      <c r="M31" s="36" t="s">
        <v>7941</v>
      </c>
    </row>
    <row r="32" spans="1:13" hidden="1">
      <c r="A32" s="42">
        <f t="shared" si="1"/>
        <v>31</v>
      </c>
      <c r="B32" s="36" t="s">
        <v>6</v>
      </c>
      <c r="C32" s="36" t="s">
        <v>7942</v>
      </c>
      <c r="D32" s="9" t="s">
        <v>7952</v>
      </c>
      <c r="E32" s="9" t="s">
        <v>7925</v>
      </c>
      <c r="F32" s="9" t="s">
        <v>7947</v>
      </c>
      <c r="G32" s="36" t="s">
        <v>14</v>
      </c>
      <c r="H32" s="36" t="str">
        <f>IFERROR(VLOOKUP(Table2[[#This Row], [Ticket]],Okey!A:B,2,0),"")</f>
        <v>ok</v>
      </c>
      <c r="I32" s="36" t="s">
        <v>8546</v>
      </c>
      <c r="J32" s="36" t="s">
        <v>19</v>
      </c>
      <c r="K32" s="36"/>
      <c r="L32" s="36"/>
      <c r="M32" s="36" t="s">
        <v>7941</v>
      </c>
    </row>
    <row r="33" spans="1:13" hidden="1">
      <c r="A33" s="42">
        <f t="shared" si="1"/>
        <v>32</v>
      </c>
      <c r="B33" s="36" t="s">
        <v>6</v>
      </c>
      <c r="C33" s="36" t="s">
        <v>7942</v>
      </c>
      <c r="D33" s="9" t="s">
        <v>7953</v>
      </c>
      <c r="E33" s="9" t="s">
        <v>7926</v>
      </c>
      <c r="F33" s="9" t="s">
        <v>7947</v>
      </c>
      <c r="G33" s="36" t="s">
        <v>14</v>
      </c>
      <c r="H33" s="36" t="str">
        <f>IFERROR(VLOOKUP(Table2[[#This Row], [Ticket]],Okey!A:B,2,0),"")</f>
        <v>ok</v>
      </c>
      <c r="I33" s="36" t="s">
        <v>8546</v>
      </c>
      <c r="J33" s="36" t="s">
        <v>19</v>
      </c>
      <c r="K33" s="36"/>
      <c r="L33" s="36"/>
      <c r="M33" s="36" t="s">
        <v>7941</v>
      </c>
    </row>
    <row r="34" spans="1:13" hidden="1">
      <c r="A34" s="42">
        <f t="shared" si="1"/>
        <v>33</v>
      </c>
      <c r="B34" s="36" t="s">
        <v>6</v>
      </c>
      <c r="C34" s="36" t="s">
        <v>7942</v>
      </c>
      <c r="D34" s="9" t="s">
        <v>7954</v>
      </c>
      <c r="E34" s="9" t="s">
        <v>7927</v>
      </c>
      <c r="F34" s="9" t="s">
        <v>7948</v>
      </c>
      <c r="G34" s="36" t="s">
        <v>14</v>
      </c>
      <c r="H34" s="36" t="str">
        <f>IFERROR(VLOOKUP(Table2[[#This Row], [Ticket]],Okey!A:B,2,0),"")</f>
        <v>ok</v>
      </c>
      <c r="I34" s="36" t="s">
        <v>8546</v>
      </c>
      <c r="J34" s="36" t="s">
        <v>19</v>
      </c>
      <c r="K34" s="36"/>
      <c r="L34" s="36"/>
      <c r="M34" s="36" t="s">
        <v>7941</v>
      </c>
    </row>
    <row r="35" spans="1:13" hidden="1">
      <c r="A35" s="42">
        <f t="shared" si="1"/>
        <v>34</v>
      </c>
      <c r="B35" s="36" t="s">
        <v>6</v>
      </c>
      <c r="C35" s="36" t="s">
        <v>7942</v>
      </c>
      <c r="D35" s="9" t="s">
        <v>7955</v>
      </c>
      <c r="E35" s="9" t="s">
        <v>7928</v>
      </c>
      <c r="F35" s="9" t="s">
        <v>7948</v>
      </c>
      <c r="G35" s="36" t="s">
        <v>14</v>
      </c>
      <c r="H35" s="36" t="str">
        <f>IFERROR(VLOOKUP(Table2[[#This Row], [Ticket]],Okey!A:B,2,0),"")</f>
        <v>ok</v>
      </c>
      <c r="I35" s="36" t="s">
        <v>8546</v>
      </c>
      <c r="J35" s="36" t="s">
        <v>19</v>
      </c>
      <c r="K35" s="36"/>
      <c r="L35" s="36"/>
      <c r="M35" s="36" t="s">
        <v>7941</v>
      </c>
    </row>
    <row r="36" spans="1:13" hidden="1">
      <c r="A36" s="42">
        <f t="shared" si="1"/>
        <v>35</v>
      </c>
      <c r="B36" s="36" t="s">
        <v>6</v>
      </c>
      <c r="C36" s="36" t="s">
        <v>7942</v>
      </c>
      <c r="D36" s="9" t="s">
        <v>7956</v>
      </c>
      <c r="E36" s="9" t="s">
        <v>7929</v>
      </c>
      <c r="F36" s="9" t="s">
        <v>7948</v>
      </c>
      <c r="G36" s="36" t="s">
        <v>14</v>
      </c>
      <c r="H36" s="36" t="str">
        <f>IFERROR(VLOOKUP(Table2[[#This Row], [Ticket]],Okey!A:B,2,0),"")</f>
        <v>ok</v>
      </c>
      <c r="I36" s="36" t="s">
        <v>8546</v>
      </c>
      <c r="J36" s="36" t="s">
        <v>19</v>
      </c>
      <c r="K36" s="36"/>
      <c r="L36" s="36"/>
      <c r="M36" s="36" t="s">
        <v>7941</v>
      </c>
    </row>
    <row r="37" spans="1:13" hidden="1">
      <c r="A37" s="42">
        <f t="shared" si="1"/>
        <v>36</v>
      </c>
      <c r="B37" s="36" t="s">
        <v>6</v>
      </c>
      <c r="C37" s="36" t="s">
        <v>7942</v>
      </c>
      <c r="D37" s="9" t="s">
        <v>7957</v>
      </c>
      <c r="E37" s="9" t="s">
        <v>7930</v>
      </c>
      <c r="F37" s="9" t="s">
        <v>7949</v>
      </c>
      <c r="G37" s="36" t="s">
        <v>14</v>
      </c>
      <c r="H37" s="36" t="str">
        <f>IFERROR(VLOOKUP(Table2[[#This Row], [Ticket]],Okey!A:B,2,0),"")</f>
        <v>ok</v>
      </c>
      <c r="I37" s="36" t="s">
        <v>8546</v>
      </c>
      <c r="J37" s="36" t="s">
        <v>19</v>
      </c>
      <c r="K37" s="36"/>
      <c r="L37" s="36"/>
      <c r="M37" s="36" t="s">
        <v>7941</v>
      </c>
    </row>
    <row r="38" spans="1:13" hidden="1">
      <c r="A38" s="42">
        <f t="shared" si="1"/>
        <v>37</v>
      </c>
      <c r="B38" s="36" t="s">
        <v>6</v>
      </c>
      <c r="C38" s="36" t="s">
        <v>7942</v>
      </c>
      <c r="D38" s="9" t="s">
        <v>7958</v>
      </c>
      <c r="E38" s="9" t="s">
        <v>7931</v>
      </c>
      <c r="F38" s="9" t="s">
        <v>7949</v>
      </c>
      <c r="G38" s="36" t="s">
        <v>14</v>
      </c>
      <c r="H38" s="36" t="str">
        <f>IFERROR(VLOOKUP(Table2[[#This Row], [Ticket]],Okey!A:B,2,0),"")</f>
        <v>ok</v>
      </c>
      <c r="I38" s="36" t="s">
        <v>8546</v>
      </c>
      <c r="J38" s="36" t="s">
        <v>19</v>
      </c>
      <c r="K38" s="36"/>
      <c r="L38" s="36"/>
      <c r="M38" s="36" t="s">
        <v>7941</v>
      </c>
    </row>
    <row r="39" spans="1:13" hidden="1">
      <c r="A39" s="42">
        <f t="shared" si="1"/>
        <v>38</v>
      </c>
      <c r="B39" s="36" t="s">
        <v>6</v>
      </c>
      <c r="C39" s="36" t="s">
        <v>7942</v>
      </c>
      <c r="D39" s="9" t="s">
        <v>7959</v>
      </c>
      <c r="E39" s="9" t="s">
        <v>7932</v>
      </c>
      <c r="F39" s="9" t="s">
        <v>7949</v>
      </c>
      <c r="G39" s="36" t="s">
        <v>14</v>
      </c>
      <c r="H39" s="36" t="str">
        <f>IFERROR(VLOOKUP(Table2[[#This Row], [Ticket]],Okey!A:B,2,0),"")</f>
        <v>ok</v>
      </c>
      <c r="I39" s="36" t="s">
        <v>8546</v>
      </c>
      <c r="J39" s="36" t="s">
        <v>19</v>
      </c>
      <c r="K39" s="36"/>
      <c r="L39" s="36"/>
      <c r="M39" s="36" t="s">
        <v>7941</v>
      </c>
    </row>
    <row r="40" spans="1:13" hidden="1">
      <c r="A40" s="42">
        <f t="shared" si="1"/>
        <v>39</v>
      </c>
      <c r="B40" s="36" t="s">
        <v>6</v>
      </c>
      <c r="C40" s="36" t="s">
        <v>7942</v>
      </c>
      <c r="D40" s="9" t="s">
        <v>7960</v>
      </c>
      <c r="E40" s="9" t="s">
        <v>7933</v>
      </c>
      <c r="F40" s="9" t="s">
        <v>7949</v>
      </c>
      <c r="G40" s="36" t="s">
        <v>14</v>
      </c>
      <c r="H40" s="36" t="str">
        <f>IFERROR(VLOOKUP(Table2[[#This Row], [Ticket]],Okey!A:B,2,0),"")</f>
        <v>ok</v>
      </c>
      <c r="I40" s="36" t="s">
        <v>8546</v>
      </c>
      <c r="J40" s="36" t="s">
        <v>19</v>
      </c>
      <c r="K40" s="36"/>
      <c r="L40" s="36"/>
      <c r="M40" s="36" t="s">
        <v>7941</v>
      </c>
    </row>
    <row r="41" spans="1:13" hidden="1">
      <c r="A41" s="42">
        <f t="shared" si="1"/>
        <v>40</v>
      </c>
      <c r="B41" s="36" t="s">
        <v>6</v>
      </c>
      <c r="C41" s="36" t="s">
        <v>7942</v>
      </c>
      <c r="D41" s="9" t="s">
        <v>7961</v>
      </c>
      <c r="E41" s="9" t="s">
        <v>7934</v>
      </c>
      <c r="F41" s="9" t="s">
        <v>7952</v>
      </c>
      <c r="G41" s="36" t="s">
        <v>14</v>
      </c>
      <c r="H41" s="36" t="str">
        <f>IFERROR(VLOOKUP(Table2[[#This Row], [Ticket]],Okey!A:B,2,0),"")</f>
        <v>ok</v>
      </c>
      <c r="I41" s="36" t="s">
        <v>8546</v>
      </c>
      <c r="J41" s="36" t="s">
        <v>19</v>
      </c>
      <c r="K41" s="36"/>
      <c r="L41" s="36"/>
      <c r="M41" s="36" t="s">
        <v>7941</v>
      </c>
    </row>
    <row r="42" spans="1:13" hidden="1">
      <c r="A42" s="42">
        <f t="shared" si="1"/>
        <v>41</v>
      </c>
      <c r="B42" s="36" t="s">
        <v>6</v>
      </c>
      <c r="C42" s="36" t="s">
        <v>7942</v>
      </c>
      <c r="D42" s="9" t="s">
        <v>7962</v>
      </c>
      <c r="E42" s="9" t="s">
        <v>7935</v>
      </c>
      <c r="F42" s="9" t="s">
        <v>7953</v>
      </c>
      <c r="G42" s="36" t="s">
        <v>14</v>
      </c>
      <c r="H42" s="36" t="str">
        <f>IFERROR(VLOOKUP(Table2[[#This Row], [Ticket]],Okey!A:B,2,0),"")</f>
        <v>ok</v>
      </c>
      <c r="I42" s="36" t="s">
        <v>8546</v>
      </c>
      <c r="J42" s="36" t="s">
        <v>19</v>
      </c>
      <c r="K42" s="36"/>
      <c r="L42" s="36"/>
      <c r="M42" s="36" t="s">
        <v>7941</v>
      </c>
    </row>
    <row r="43" spans="1:13" hidden="1">
      <c r="A43" s="42">
        <f t="shared" si="1"/>
        <v>42</v>
      </c>
      <c r="B43" s="36" t="s">
        <v>6</v>
      </c>
      <c r="C43" s="36" t="s">
        <v>7942</v>
      </c>
      <c r="D43" s="9" t="s">
        <v>7963</v>
      </c>
      <c r="E43" s="9" t="s">
        <v>7936</v>
      </c>
      <c r="F43" s="9" t="s">
        <v>7952</v>
      </c>
      <c r="G43" s="36" t="s">
        <v>14</v>
      </c>
      <c r="H43" s="36" t="str">
        <f>IFERROR(VLOOKUP(Table2[[#This Row], [Ticket]],Okey!A:B,2,0),"")</f>
        <v>ok</v>
      </c>
      <c r="I43" s="36" t="s">
        <v>8546</v>
      </c>
      <c r="J43" s="36" t="s">
        <v>19</v>
      </c>
      <c r="K43" s="36"/>
      <c r="L43" s="36"/>
      <c r="M43" s="36" t="s">
        <v>7941</v>
      </c>
    </row>
    <row r="44" spans="1:13" hidden="1">
      <c r="A44" s="42">
        <f t="shared" si="1"/>
        <v>43</v>
      </c>
      <c r="B44" s="36" t="s">
        <v>6</v>
      </c>
      <c r="C44" s="36" t="s">
        <v>7942</v>
      </c>
      <c r="D44" s="9" t="s">
        <v>7964</v>
      </c>
      <c r="E44" s="9" t="s">
        <v>7937</v>
      </c>
      <c r="F44" s="9" t="s">
        <v>7952</v>
      </c>
      <c r="G44" s="36" t="s">
        <v>14</v>
      </c>
      <c r="H44" s="36" t="str">
        <f>IFERROR(VLOOKUP(Table2[[#This Row], [Ticket]],Okey!A:B,2,0),"")</f>
        <v>ok</v>
      </c>
      <c r="I44" s="36" t="s">
        <v>8546</v>
      </c>
      <c r="J44" s="36" t="s">
        <v>19</v>
      </c>
      <c r="K44" s="36"/>
      <c r="L44" s="36"/>
      <c r="M44" s="36" t="s">
        <v>7941</v>
      </c>
    </row>
    <row r="45" spans="1:13" hidden="1">
      <c r="A45" s="42">
        <f t="shared" si="1"/>
        <v>44</v>
      </c>
      <c r="B45" s="36" t="s">
        <v>6</v>
      </c>
      <c r="C45" s="36" t="s">
        <v>7942</v>
      </c>
      <c r="D45" s="9" t="s">
        <v>7965</v>
      </c>
      <c r="E45" s="9" t="s">
        <v>7938</v>
      </c>
      <c r="F45" s="9" t="s">
        <v>7952</v>
      </c>
      <c r="G45" s="36" t="s">
        <v>14</v>
      </c>
      <c r="H45" s="36" t="str">
        <f>IFERROR(VLOOKUP(Table2[[#This Row], [Ticket]],Okey!A:B,2,0),"")</f>
        <v>ok</v>
      </c>
      <c r="I45" s="36" t="s">
        <v>8546</v>
      </c>
      <c r="J45" s="36" t="s">
        <v>19</v>
      </c>
      <c r="K45" s="36"/>
      <c r="L45" s="36"/>
      <c r="M45" s="36" t="s">
        <v>7941</v>
      </c>
    </row>
    <row r="46" spans="1:13" hidden="1">
      <c r="A46" s="42">
        <f t="shared" si="1"/>
        <v>45</v>
      </c>
      <c r="B46" s="36" t="s">
        <v>6</v>
      </c>
      <c r="C46" s="36" t="s">
        <v>7942</v>
      </c>
      <c r="D46" s="9" t="s">
        <v>7966</v>
      </c>
      <c r="E46" s="9" t="s">
        <v>7939</v>
      </c>
      <c r="F46" s="9" t="s">
        <v>7952</v>
      </c>
      <c r="G46" s="36" t="s">
        <v>14</v>
      </c>
      <c r="H46" s="36" t="str">
        <f>IFERROR(VLOOKUP(Table2[[#This Row], [Ticket]],Okey!A:B,2,0),"")</f>
        <v>ok</v>
      </c>
      <c r="I46" s="36" t="s">
        <v>8546</v>
      </c>
      <c r="J46" s="36" t="s">
        <v>19</v>
      </c>
      <c r="K46" s="36"/>
      <c r="L46" s="36"/>
      <c r="M46" s="36" t="s">
        <v>7941</v>
      </c>
    </row>
    <row r="47" spans="1:13" hidden="1">
      <c r="A47" s="42">
        <f t="shared" si="1"/>
        <v>46</v>
      </c>
      <c r="B47" s="36" t="s">
        <v>6</v>
      </c>
      <c r="C47" s="36" t="s">
        <v>7942</v>
      </c>
      <c r="D47" s="9" t="s">
        <v>7967</v>
      </c>
      <c r="E47" s="9" t="s">
        <v>7936</v>
      </c>
      <c r="F47" s="9" t="s">
        <v>7953</v>
      </c>
      <c r="G47" s="36" t="s">
        <v>14</v>
      </c>
      <c r="H47" s="36" t="str">
        <f>IFERROR(VLOOKUP(Table2[[#This Row], [Ticket]],Okey!A:B,2,0),"")</f>
        <v>ok</v>
      </c>
      <c r="I47" s="36" t="s">
        <v>8546</v>
      </c>
      <c r="J47" s="36" t="s">
        <v>19</v>
      </c>
      <c r="K47" s="36"/>
      <c r="L47" s="36"/>
      <c r="M47" s="36" t="s">
        <v>7941</v>
      </c>
    </row>
    <row r="48" spans="1:13" hidden="1">
      <c r="A48" s="42">
        <f t="shared" si="1"/>
        <v>47</v>
      </c>
      <c r="B48" s="36" t="s">
        <v>6</v>
      </c>
      <c r="C48" s="36" t="s">
        <v>7942</v>
      </c>
      <c r="D48" s="9" t="s">
        <v>7968</v>
      </c>
      <c r="E48" s="9" t="s">
        <v>7937</v>
      </c>
      <c r="F48" s="9" t="s">
        <v>7953</v>
      </c>
      <c r="G48" s="36" t="s">
        <v>14</v>
      </c>
      <c r="H48" s="36" t="str">
        <f>IFERROR(VLOOKUP(Table2[[#This Row], [Ticket]],Okey!A:B,2,0),"")</f>
        <v>ok</v>
      </c>
      <c r="I48" s="36" t="s">
        <v>8546</v>
      </c>
      <c r="J48" s="36" t="s">
        <v>19</v>
      </c>
      <c r="K48" s="36"/>
      <c r="L48" s="36"/>
      <c r="M48" s="36" t="s">
        <v>7941</v>
      </c>
    </row>
    <row r="49" spans="1:13" hidden="1">
      <c r="A49" s="42">
        <f t="shared" si="1"/>
        <v>48</v>
      </c>
      <c r="B49" s="36" t="s">
        <v>6</v>
      </c>
      <c r="C49" s="36" t="s">
        <v>7942</v>
      </c>
      <c r="D49" s="9" t="s">
        <v>7969</v>
      </c>
      <c r="E49" s="9" t="s">
        <v>7938</v>
      </c>
      <c r="F49" s="9" t="s">
        <v>7953</v>
      </c>
      <c r="G49" s="36" t="s">
        <v>14</v>
      </c>
      <c r="H49" s="36" t="str">
        <f>IFERROR(VLOOKUP(Table2[[#This Row], [Ticket]],Okey!A:B,2,0),"")</f>
        <v>ok</v>
      </c>
      <c r="I49" s="36" t="s">
        <v>8546</v>
      </c>
      <c r="J49" s="36" t="s">
        <v>19</v>
      </c>
      <c r="K49" s="36"/>
      <c r="L49" s="36"/>
      <c r="M49" s="36" t="s">
        <v>7941</v>
      </c>
    </row>
    <row r="50" spans="1:13" hidden="1">
      <c r="A50" s="42">
        <f t="shared" si="1"/>
        <v>49</v>
      </c>
      <c r="B50" s="36" t="s">
        <v>6</v>
      </c>
      <c r="C50" s="36" t="s">
        <v>7942</v>
      </c>
      <c r="D50" s="9" t="s">
        <v>7970</v>
      </c>
      <c r="E50" s="9" t="s">
        <v>7939</v>
      </c>
      <c r="F50" s="9" t="s">
        <v>7953</v>
      </c>
      <c r="G50" s="36" t="s">
        <v>14</v>
      </c>
      <c r="H50" s="36" t="str">
        <f>IFERROR(VLOOKUP(Table2[[#This Row], [Ticket]],Okey!A:B,2,0),"")</f>
        <v>ok</v>
      </c>
      <c r="I50" s="36" t="s">
        <v>8546</v>
      </c>
      <c r="J50" s="36" t="s">
        <v>19</v>
      </c>
      <c r="K50" s="36"/>
      <c r="L50" s="36"/>
      <c r="M50" s="36" t="s">
        <v>7941</v>
      </c>
    </row>
    <row r="51" spans="1:13" hidden="1">
      <c r="A51" s="42">
        <f t="shared" si="1"/>
        <v>50</v>
      </c>
      <c r="B51" s="36" t="s">
        <v>6</v>
      </c>
      <c r="C51" s="36" t="s">
        <v>7942</v>
      </c>
      <c r="D51" s="9" t="s">
        <v>7971</v>
      </c>
      <c r="E51" s="9" t="s">
        <v>7940</v>
      </c>
      <c r="F51" s="9" t="s">
        <v>1125</v>
      </c>
      <c r="G51" s="36" t="s">
        <v>14</v>
      </c>
      <c r="H51" s="36" t="str">
        <f>IFERROR(VLOOKUP(Table2[[#This Row], [Ticket]],Okey!A:B,2,0),"")</f>
        <v>ok</v>
      </c>
      <c r="I51" s="36" t="s">
        <v>8546</v>
      </c>
      <c r="J51" s="36" t="s">
        <v>19</v>
      </c>
      <c r="K51" s="36"/>
      <c r="L51" s="36"/>
      <c r="M51" s="36" t="s">
        <v>7941</v>
      </c>
    </row>
    <row r="52" spans="1:13" hidden="1">
      <c r="A52" s="42">
        <f t="shared" si="1"/>
        <v>51</v>
      </c>
      <c r="B52" s="36" t="s">
        <v>6</v>
      </c>
      <c r="C52" s="9" t="s">
        <v>7945</v>
      </c>
      <c r="D52" s="36" t="s">
        <v>7972</v>
      </c>
      <c r="E52" s="9" t="s">
        <v>7943</v>
      </c>
      <c r="F52" s="9" t="s">
        <v>1534</v>
      </c>
      <c r="G52" s="36" t="s">
        <v>14</v>
      </c>
      <c r="H52" s="36" t="str">
        <f>IFERROR(VLOOKUP(Table2[[#This Row], [Ticket]],Okey!A:B,2,0),"")</f>
        <v>ok</v>
      </c>
      <c r="I52" s="36" t="s">
        <v>8546</v>
      </c>
      <c r="J52" s="36" t="s">
        <v>17</v>
      </c>
      <c r="K52" s="36"/>
      <c r="L52" s="36"/>
      <c r="M52" s="9" t="s">
        <v>6354</v>
      </c>
    </row>
    <row r="53" spans="1:13" hidden="1">
      <c r="A53" s="42">
        <f t="shared" si="1"/>
        <v>52</v>
      </c>
      <c r="B53" s="36" t="s">
        <v>6</v>
      </c>
      <c r="C53" s="36" t="s">
        <v>7945</v>
      </c>
      <c r="D53" s="9" t="s">
        <v>7944</v>
      </c>
      <c r="E53" s="9" t="s">
        <v>7943</v>
      </c>
      <c r="F53" s="36" t="s">
        <v>7972</v>
      </c>
      <c r="G53" s="36" t="s">
        <v>14</v>
      </c>
      <c r="H53" s="36" t="str">
        <f>IFERROR(VLOOKUP(Table2[[#This Row], [Ticket]],Okey!A:B,2,0),"")</f>
        <v>ok</v>
      </c>
      <c r="I53" s="36" t="s">
        <v>8546</v>
      </c>
      <c r="J53" s="36" t="s">
        <v>17</v>
      </c>
      <c r="K53" s="36"/>
      <c r="L53" s="36"/>
      <c r="M53" s="9" t="s">
        <v>6354</v>
      </c>
    </row>
    <row r="54" spans="1:13" hidden="1">
      <c r="A54" s="42">
        <f t="shared" si="1"/>
        <v>53</v>
      </c>
      <c r="B54" s="36" t="s">
        <v>6</v>
      </c>
      <c r="C54" s="9" t="s">
        <v>7975</v>
      </c>
      <c r="D54" s="9" t="s">
        <v>653</v>
      </c>
      <c r="E54" s="9" t="s">
        <v>7973</v>
      </c>
      <c r="G54" s="9" t="s">
        <v>15</v>
      </c>
      <c r="H54" s="36" t="str">
        <f>IFERROR(VLOOKUP(Table2[[#This Row], [Ticket]],Okey!A:B,2,0),"")</f>
        <v>ok</v>
      </c>
      <c r="I54" s="36" t="s">
        <v>8546</v>
      </c>
      <c r="J54" s="36" t="s">
        <v>19</v>
      </c>
      <c r="K54" s="36"/>
      <c r="L54" s="36"/>
    </row>
    <row r="55" spans="1:13" hidden="1">
      <c r="A55" s="42">
        <f t="shared" si="1"/>
        <v>54</v>
      </c>
      <c r="B55" s="36" t="s">
        <v>6</v>
      </c>
      <c r="C55" s="9" t="s">
        <v>7975</v>
      </c>
      <c r="D55" s="9" t="s">
        <v>1700</v>
      </c>
      <c r="E55" s="9" t="s">
        <v>7974</v>
      </c>
      <c r="G55" s="36" t="s">
        <v>15</v>
      </c>
      <c r="H55" s="36" t="str">
        <f>IFERROR(VLOOKUP(Table2[[#This Row], [Ticket]],Okey!A:B,2,0),"")</f>
        <v>ok</v>
      </c>
      <c r="I55" s="36" t="s">
        <v>8546</v>
      </c>
      <c r="J55" s="36" t="s">
        <v>19</v>
      </c>
      <c r="K55" s="36"/>
      <c r="L55" s="36"/>
    </row>
    <row r="56" spans="1:13" hidden="1">
      <c r="A56" s="42">
        <f t="shared" si="1"/>
        <v>55</v>
      </c>
      <c r="B56" s="36" t="s">
        <v>6</v>
      </c>
      <c r="C56" s="9" t="s">
        <v>7976</v>
      </c>
      <c r="D56" s="36" t="s">
        <v>8014</v>
      </c>
      <c r="E56" s="9" t="s">
        <v>7977</v>
      </c>
      <c r="F56" s="9" t="s">
        <v>2686</v>
      </c>
      <c r="G56" s="36" t="s">
        <v>14</v>
      </c>
      <c r="H56" s="36" t="str">
        <f>IFERROR(VLOOKUP(Table2[[#This Row], [Ticket]],Okey!A:B,2,0),"")</f>
        <v>ok</v>
      </c>
      <c r="I56" s="36" t="s">
        <v>8546</v>
      </c>
      <c r="J56" s="9" t="s">
        <v>20</v>
      </c>
      <c r="K56" s="36"/>
      <c r="L56" s="36"/>
      <c r="M56" s="9" t="s">
        <v>8013</v>
      </c>
    </row>
    <row r="57" spans="1:13" hidden="1">
      <c r="A57" s="42">
        <f t="shared" si="1"/>
        <v>56</v>
      </c>
      <c r="B57" s="36" t="s">
        <v>6</v>
      </c>
      <c r="C57" s="36" t="s">
        <v>7976</v>
      </c>
      <c r="D57" s="36" t="s">
        <v>8015</v>
      </c>
      <c r="E57" s="9" t="s">
        <v>7978</v>
      </c>
      <c r="F57" s="36" t="s">
        <v>2674</v>
      </c>
      <c r="G57" s="36" t="s">
        <v>14</v>
      </c>
      <c r="H57" s="36" t="str">
        <f>IFERROR(VLOOKUP(Table2[[#This Row], [Ticket]],Okey!A:B,2,0),"")</f>
        <v>ok</v>
      </c>
      <c r="I57" s="36" t="s">
        <v>8546</v>
      </c>
      <c r="J57" s="36" t="s">
        <v>20</v>
      </c>
      <c r="K57" s="36"/>
      <c r="L57" s="36"/>
      <c r="M57" s="36" t="s">
        <v>8013</v>
      </c>
    </row>
    <row r="58" spans="1:13" hidden="1">
      <c r="A58" s="42">
        <f t="shared" si="1"/>
        <v>57</v>
      </c>
      <c r="B58" s="36" t="s">
        <v>6</v>
      </c>
      <c r="C58" s="36" t="s">
        <v>7976</v>
      </c>
      <c r="D58" s="36" t="s">
        <v>8016</v>
      </c>
      <c r="E58" s="9" t="s">
        <v>7979</v>
      </c>
      <c r="F58" s="36" t="s">
        <v>2674</v>
      </c>
      <c r="G58" s="36" t="s">
        <v>14</v>
      </c>
      <c r="H58" s="36" t="str">
        <f>IFERROR(VLOOKUP(Table2[[#This Row], [Ticket]],Okey!A:B,2,0),"")</f>
        <v>ok</v>
      </c>
      <c r="I58" s="36" t="s">
        <v>8546</v>
      </c>
      <c r="J58" s="36" t="s">
        <v>20</v>
      </c>
      <c r="K58" s="36"/>
      <c r="L58" s="36"/>
      <c r="M58" s="36" t="s">
        <v>8013</v>
      </c>
    </row>
    <row r="59" spans="1:13" hidden="1">
      <c r="A59" s="42">
        <f t="shared" si="1"/>
        <v>58</v>
      </c>
      <c r="B59" s="36" t="s">
        <v>6</v>
      </c>
      <c r="C59" s="36" t="s">
        <v>7976</v>
      </c>
      <c r="D59" s="36" t="s">
        <v>8017</v>
      </c>
      <c r="E59" s="9" t="s">
        <v>7980</v>
      </c>
      <c r="F59" s="36" t="s">
        <v>2674</v>
      </c>
      <c r="G59" s="36" t="s">
        <v>14</v>
      </c>
      <c r="H59" s="36" t="str">
        <f>IFERROR(VLOOKUP(Table2[[#This Row], [Ticket]],Okey!A:B,2,0),"")</f>
        <v>ok</v>
      </c>
      <c r="I59" s="36" t="s">
        <v>8546</v>
      </c>
      <c r="J59" s="36" t="s">
        <v>20</v>
      </c>
      <c r="K59" s="36"/>
      <c r="L59" s="36"/>
      <c r="M59" s="36" t="s">
        <v>8013</v>
      </c>
    </row>
    <row r="60" spans="1:13" hidden="1">
      <c r="A60" s="42">
        <f t="shared" si="1"/>
        <v>59</v>
      </c>
      <c r="B60" s="36" t="s">
        <v>6</v>
      </c>
      <c r="C60" s="36" t="s">
        <v>7976</v>
      </c>
      <c r="D60" s="36" t="s">
        <v>8018</v>
      </c>
      <c r="E60" s="9" t="s">
        <v>7981</v>
      </c>
      <c r="F60" s="36" t="s">
        <v>2674</v>
      </c>
      <c r="G60" s="36" t="s">
        <v>14</v>
      </c>
      <c r="H60" s="36" t="str">
        <f>IFERROR(VLOOKUP(Table2[[#This Row], [Ticket]],Okey!A:B,2,0),"")</f>
        <v>ok</v>
      </c>
      <c r="I60" s="36" t="s">
        <v>8546</v>
      </c>
      <c r="J60" s="36" t="s">
        <v>20</v>
      </c>
      <c r="K60" s="36"/>
      <c r="L60" s="36"/>
      <c r="M60" s="36" t="s">
        <v>8013</v>
      </c>
    </row>
    <row r="61" spans="1:13" hidden="1">
      <c r="A61" s="42">
        <f t="shared" si="1"/>
        <v>60</v>
      </c>
      <c r="B61" s="36" t="s">
        <v>6</v>
      </c>
      <c r="C61" s="36" t="s">
        <v>7976</v>
      </c>
      <c r="D61" s="36" t="s">
        <v>8019</v>
      </c>
      <c r="E61" s="9" t="s">
        <v>7982</v>
      </c>
      <c r="F61" s="36" t="s">
        <v>2674</v>
      </c>
      <c r="G61" s="36" t="s">
        <v>14</v>
      </c>
      <c r="H61" s="36" t="str">
        <f>IFERROR(VLOOKUP(Table2[[#This Row], [Ticket]],Okey!A:B,2,0),"")</f>
        <v>ok</v>
      </c>
      <c r="I61" s="36" t="s">
        <v>8546</v>
      </c>
      <c r="J61" s="36" t="s">
        <v>20</v>
      </c>
      <c r="K61" s="36"/>
      <c r="L61" s="36"/>
      <c r="M61" s="36" t="s">
        <v>8013</v>
      </c>
    </row>
    <row r="62" spans="1:13" hidden="1">
      <c r="A62" s="42">
        <f t="shared" si="1"/>
        <v>61</v>
      </c>
      <c r="B62" s="36" t="s">
        <v>6</v>
      </c>
      <c r="C62" s="36" t="s">
        <v>7976</v>
      </c>
      <c r="D62" s="36" t="s">
        <v>8020</v>
      </c>
      <c r="E62" s="9" t="s">
        <v>7983</v>
      </c>
      <c r="F62" s="36" t="s">
        <v>2674</v>
      </c>
      <c r="G62" s="36" t="s">
        <v>14</v>
      </c>
      <c r="H62" s="36" t="str">
        <f>IFERROR(VLOOKUP(Table2[[#This Row], [Ticket]],Okey!A:B,2,0),"")</f>
        <v>ok</v>
      </c>
      <c r="I62" s="36" t="s">
        <v>8546</v>
      </c>
      <c r="J62" s="36" t="s">
        <v>20</v>
      </c>
      <c r="K62" s="36"/>
      <c r="L62" s="36"/>
      <c r="M62" s="36" t="s">
        <v>8013</v>
      </c>
    </row>
    <row r="63" spans="1:13" hidden="1">
      <c r="A63" s="42">
        <f t="shared" si="1"/>
        <v>62</v>
      </c>
      <c r="B63" s="36" t="s">
        <v>6</v>
      </c>
      <c r="C63" s="36" t="s">
        <v>7976</v>
      </c>
      <c r="D63" s="36" t="s">
        <v>8021</v>
      </c>
      <c r="E63" s="9" t="s">
        <v>7984</v>
      </c>
      <c r="F63" s="36" t="s">
        <v>2674</v>
      </c>
      <c r="G63" s="36" t="s">
        <v>14</v>
      </c>
      <c r="H63" s="36" t="str">
        <f>IFERROR(VLOOKUP(Table2[[#This Row], [Ticket]],Okey!A:B,2,0),"")</f>
        <v>ok</v>
      </c>
      <c r="I63" s="36" t="s">
        <v>8546</v>
      </c>
      <c r="J63" s="36" t="s">
        <v>20</v>
      </c>
      <c r="K63" s="36"/>
      <c r="L63" s="36"/>
      <c r="M63" s="36" t="s">
        <v>8013</v>
      </c>
    </row>
    <row r="64" spans="1:13" hidden="1">
      <c r="A64" s="42">
        <f t="shared" si="1"/>
        <v>63</v>
      </c>
      <c r="B64" s="36" t="s">
        <v>6</v>
      </c>
      <c r="C64" s="36" t="s">
        <v>7976</v>
      </c>
      <c r="D64" s="36" t="s">
        <v>8022</v>
      </c>
      <c r="E64" s="9" t="s">
        <v>7985</v>
      </c>
      <c r="F64" s="9" t="s">
        <v>2674</v>
      </c>
      <c r="G64" s="36" t="s">
        <v>14</v>
      </c>
      <c r="H64" s="36" t="str">
        <f>IFERROR(VLOOKUP(Table2[[#This Row], [Ticket]],Okey!A:B,2,0),"")</f>
        <v>ok</v>
      </c>
      <c r="I64" s="36" t="s">
        <v>8546</v>
      </c>
      <c r="J64" s="36" t="s">
        <v>20</v>
      </c>
      <c r="K64" s="36"/>
      <c r="L64" s="36"/>
      <c r="M64" s="36" t="s">
        <v>8013</v>
      </c>
    </row>
    <row r="65" spans="1:13" hidden="1">
      <c r="A65" s="42">
        <f t="shared" si="1"/>
        <v>64</v>
      </c>
      <c r="B65" s="36" t="s">
        <v>6</v>
      </c>
      <c r="C65" s="36" t="s">
        <v>7976</v>
      </c>
      <c r="D65" s="36" t="s">
        <v>8023</v>
      </c>
      <c r="E65" s="9" t="s">
        <v>7986</v>
      </c>
      <c r="F65" s="36" t="s">
        <v>2682</v>
      </c>
      <c r="G65" s="36" t="s">
        <v>14</v>
      </c>
      <c r="H65" s="36" t="str">
        <f>IFERROR(VLOOKUP(Table2[[#This Row], [Ticket]],Okey!A:B,2,0),"")</f>
        <v>ok</v>
      </c>
      <c r="I65" s="36" t="s">
        <v>8546</v>
      </c>
      <c r="J65" s="36" t="s">
        <v>20</v>
      </c>
      <c r="K65" s="36"/>
      <c r="L65" s="36"/>
      <c r="M65" s="36" t="s">
        <v>8013</v>
      </c>
    </row>
    <row r="66" spans="1:13" hidden="1">
      <c r="A66" s="42">
        <f t="shared" si="1"/>
        <v>65</v>
      </c>
      <c r="B66" s="36" t="s">
        <v>6</v>
      </c>
      <c r="C66" s="36" t="s">
        <v>7976</v>
      </c>
      <c r="D66" s="36" t="s">
        <v>8024</v>
      </c>
      <c r="E66" s="9" t="s">
        <v>7987</v>
      </c>
      <c r="F66" s="36" t="s">
        <v>2682</v>
      </c>
      <c r="G66" s="36" t="s">
        <v>14</v>
      </c>
      <c r="H66" s="36" t="str">
        <f>IFERROR(VLOOKUP(Table2[[#This Row], [Ticket]],Okey!A:B,2,0),"")</f>
        <v>ok</v>
      </c>
      <c r="I66" s="36" t="s">
        <v>8546</v>
      </c>
      <c r="J66" s="36" t="s">
        <v>20</v>
      </c>
      <c r="K66" s="36"/>
      <c r="L66" s="36"/>
      <c r="M66" s="36" t="s">
        <v>8013</v>
      </c>
    </row>
    <row r="67" spans="1:13" hidden="1">
      <c r="A67" s="42">
        <f t="shared" si="1"/>
        <v>66</v>
      </c>
      <c r="B67" s="36" t="s">
        <v>6</v>
      </c>
      <c r="C67" s="36" t="s">
        <v>7976</v>
      </c>
      <c r="D67" s="36" t="s">
        <v>8025</v>
      </c>
      <c r="E67" s="9" t="s">
        <v>7988</v>
      </c>
      <c r="F67" s="36" t="s">
        <v>2682</v>
      </c>
      <c r="G67" s="36" t="s">
        <v>14</v>
      </c>
      <c r="H67" s="36" t="str">
        <f>IFERROR(VLOOKUP(Table2[[#This Row], [Ticket]],Okey!A:B,2,0),"")</f>
        <v>ok</v>
      </c>
      <c r="I67" s="36" t="s">
        <v>8546</v>
      </c>
      <c r="J67" s="36" t="s">
        <v>20</v>
      </c>
      <c r="K67" s="36"/>
      <c r="L67" s="36"/>
      <c r="M67" s="36" t="s">
        <v>8013</v>
      </c>
    </row>
    <row r="68" spans="1:13" hidden="1">
      <c r="A68" s="42">
        <f t="shared" si="1"/>
        <v>67</v>
      </c>
      <c r="B68" s="36" t="s">
        <v>6</v>
      </c>
      <c r="C68" s="36" t="s">
        <v>7976</v>
      </c>
      <c r="D68" s="36" t="s">
        <v>8026</v>
      </c>
      <c r="E68" s="9" t="s">
        <v>7989</v>
      </c>
      <c r="F68" s="9" t="s">
        <v>2682</v>
      </c>
      <c r="G68" s="36" t="s">
        <v>14</v>
      </c>
      <c r="H68" s="36" t="str">
        <f>IFERROR(VLOOKUP(Table2[[#This Row], [Ticket]],Okey!A:B,2,0),"")</f>
        <v>ok</v>
      </c>
      <c r="I68" s="36" t="s">
        <v>8546</v>
      </c>
      <c r="J68" s="36" t="s">
        <v>20</v>
      </c>
      <c r="K68" s="36"/>
      <c r="L68" s="36"/>
      <c r="M68" s="36" t="s">
        <v>8013</v>
      </c>
    </row>
    <row r="69" spans="1:13" hidden="1">
      <c r="A69" s="42">
        <f t="shared" si="1"/>
        <v>68</v>
      </c>
      <c r="B69" s="36" t="s">
        <v>6</v>
      </c>
      <c r="C69" s="36" t="s">
        <v>7976</v>
      </c>
      <c r="D69" s="36" t="s">
        <v>8027</v>
      </c>
      <c r="E69" s="9" t="s">
        <v>7990</v>
      </c>
      <c r="F69" s="9" t="s">
        <v>2995</v>
      </c>
      <c r="G69" s="36" t="s">
        <v>14</v>
      </c>
      <c r="H69" s="36" t="str">
        <f>IFERROR(VLOOKUP(Table2[[#This Row], [Ticket]],Okey!A:B,2,0),"")</f>
        <v>ok</v>
      </c>
      <c r="I69" s="36" t="s">
        <v>8546</v>
      </c>
      <c r="J69" s="36" t="s">
        <v>20</v>
      </c>
      <c r="K69" s="36"/>
      <c r="L69" s="36"/>
      <c r="M69" s="36" t="s">
        <v>8013</v>
      </c>
    </row>
    <row r="70" spans="1:13" hidden="1">
      <c r="A70" s="42">
        <f t="shared" si="1"/>
        <v>69</v>
      </c>
      <c r="B70" s="36" t="s">
        <v>6</v>
      </c>
      <c r="C70" s="36" t="s">
        <v>7976</v>
      </c>
      <c r="D70" s="36" t="s">
        <v>8028</v>
      </c>
      <c r="E70" s="9" t="s">
        <v>7991</v>
      </c>
      <c r="F70" s="36" t="s">
        <v>8027</v>
      </c>
      <c r="G70" s="36" t="s">
        <v>14</v>
      </c>
      <c r="H70" s="36" t="str">
        <f>IFERROR(VLOOKUP(Table2[[#This Row], [Ticket]],Okey!A:B,2,0),"")</f>
        <v>ok</v>
      </c>
      <c r="I70" s="36" t="s">
        <v>8546</v>
      </c>
      <c r="J70" s="36" t="s">
        <v>20</v>
      </c>
      <c r="K70" s="36"/>
      <c r="L70" s="36"/>
      <c r="M70" s="36" t="s">
        <v>8013</v>
      </c>
    </row>
    <row r="71" spans="1:13" hidden="1">
      <c r="A71" s="42">
        <f t="shared" si="1"/>
        <v>70</v>
      </c>
      <c r="B71" s="36" t="s">
        <v>6</v>
      </c>
      <c r="C71" s="36" t="s">
        <v>7976</v>
      </c>
      <c r="D71" s="36" t="s">
        <v>8029</v>
      </c>
      <c r="E71" s="9" t="s">
        <v>7992</v>
      </c>
      <c r="F71" s="36" t="s">
        <v>8027</v>
      </c>
      <c r="G71" s="36" t="s">
        <v>14</v>
      </c>
      <c r="H71" s="36" t="str">
        <f>IFERROR(VLOOKUP(Table2[[#This Row], [Ticket]],Okey!A:B,2,0),"")</f>
        <v>ok</v>
      </c>
      <c r="I71" s="36" t="s">
        <v>8546</v>
      </c>
      <c r="J71" s="36" t="s">
        <v>20</v>
      </c>
      <c r="K71" s="36"/>
      <c r="L71" s="36"/>
      <c r="M71" s="36" t="s">
        <v>8013</v>
      </c>
    </row>
    <row r="72" spans="1:13" hidden="1">
      <c r="A72" s="42">
        <f t="shared" si="1"/>
        <v>71</v>
      </c>
      <c r="B72" s="36" t="s">
        <v>6</v>
      </c>
      <c r="C72" s="36" t="s">
        <v>7976</v>
      </c>
      <c r="D72" s="36" t="s">
        <v>8030</v>
      </c>
      <c r="E72" s="9" t="s">
        <v>7993</v>
      </c>
      <c r="F72" s="36" t="s">
        <v>8027</v>
      </c>
      <c r="G72" s="36" t="s">
        <v>14</v>
      </c>
      <c r="H72" s="36" t="str">
        <f>IFERROR(VLOOKUP(Table2[[#This Row], [Ticket]],Okey!A:B,2,0),"")</f>
        <v>ok</v>
      </c>
      <c r="I72" s="36" t="s">
        <v>8546</v>
      </c>
      <c r="J72" s="36" t="s">
        <v>20</v>
      </c>
      <c r="K72" s="36"/>
      <c r="L72" s="36"/>
      <c r="M72" s="36" t="s">
        <v>8013</v>
      </c>
    </row>
    <row r="73" spans="1:13" hidden="1">
      <c r="A73" s="42">
        <f t="shared" si="1"/>
        <v>72</v>
      </c>
      <c r="B73" s="36" t="s">
        <v>6</v>
      </c>
      <c r="C73" s="36" t="s">
        <v>7976</v>
      </c>
      <c r="D73" s="36" t="s">
        <v>8031</v>
      </c>
      <c r="E73" s="9" t="s">
        <v>7994</v>
      </c>
      <c r="F73" s="36" t="s">
        <v>8027</v>
      </c>
      <c r="G73" s="36" t="s">
        <v>14</v>
      </c>
      <c r="H73" s="36" t="str">
        <f>IFERROR(VLOOKUP(Table2[[#This Row], [Ticket]],Okey!A:B,2,0),"")</f>
        <v>ok</v>
      </c>
      <c r="I73" s="36" t="s">
        <v>8546</v>
      </c>
      <c r="J73" s="36" t="s">
        <v>20</v>
      </c>
      <c r="K73" s="36"/>
      <c r="L73" s="36"/>
      <c r="M73" s="36" t="s">
        <v>8013</v>
      </c>
    </row>
    <row r="74" spans="1:13" hidden="1">
      <c r="A74" s="42">
        <f t="shared" si="1"/>
        <v>73</v>
      </c>
      <c r="B74" s="36" t="s">
        <v>6</v>
      </c>
      <c r="C74" s="36" t="s">
        <v>7976</v>
      </c>
      <c r="D74" s="36" t="s">
        <v>8032</v>
      </c>
      <c r="E74" s="9" t="s">
        <v>7995</v>
      </c>
      <c r="F74" s="9" t="s">
        <v>2995</v>
      </c>
      <c r="G74" s="36" t="s">
        <v>14</v>
      </c>
      <c r="H74" s="36" t="str">
        <f>IFERROR(VLOOKUP(Table2[[#This Row], [Ticket]],Okey!A:B,2,0),"")</f>
        <v>ok</v>
      </c>
      <c r="I74" s="36" t="s">
        <v>8546</v>
      </c>
      <c r="J74" s="36" t="s">
        <v>20</v>
      </c>
      <c r="K74" s="36"/>
      <c r="L74" s="36"/>
      <c r="M74" s="36" t="s">
        <v>8013</v>
      </c>
    </row>
    <row r="75" spans="1:13" hidden="1">
      <c r="A75" s="42">
        <f t="shared" si="1"/>
        <v>74</v>
      </c>
      <c r="B75" s="36" t="s">
        <v>6</v>
      </c>
      <c r="C75" s="36" t="s">
        <v>7976</v>
      </c>
      <c r="D75" s="36" t="s">
        <v>8033</v>
      </c>
      <c r="E75" s="9" t="s">
        <v>7996</v>
      </c>
      <c r="F75" s="36" t="s">
        <v>8032</v>
      </c>
      <c r="G75" s="36" t="s">
        <v>14</v>
      </c>
      <c r="H75" s="36" t="str">
        <f>IFERROR(VLOOKUP(Table2[[#This Row], [Ticket]],Okey!A:B,2,0),"")</f>
        <v>ok</v>
      </c>
      <c r="I75" s="36" t="s">
        <v>8546</v>
      </c>
      <c r="J75" s="36" t="s">
        <v>20</v>
      </c>
      <c r="K75" s="36"/>
      <c r="L75" s="36"/>
      <c r="M75" s="36" t="s">
        <v>8013</v>
      </c>
    </row>
    <row r="76" spans="1:13" hidden="1">
      <c r="A76" s="42">
        <f t="shared" si="1"/>
        <v>75</v>
      </c>
      <c r="B76" s="36" t="s">
        <v>6</v>
      </c>
      <c r="C76" s="36" t="s">
        <v>7976</v>
      </c>
      <c r="D76" s="36" t="s">
        <v>8034</v>
      </c>
      <c r="E76" s="9" t="s">
        <v>7997</v>
      </c>
      <c r="F76" s="36" t="s">
        <v>8033</v>
      </c>
      <c r="G76" s="36" t="s">
        <v>14</v>
      </c>
      <c r="H76" s="36" t="str">
        <f>IFERROR(VLOOKUP(Table2[[#This Row], [Ticket]],Okey!A:B,2,0),"")</f>
        <v>ok</v>
      </c>
      <c r="I76" s="36" t="s">
        <v>8546</v>
      </c>
      <c r="J76" s="36" t="s">
        <v>20</v>
      </c>
      <c r="K76" s="36"/>
      <c r="L76" s="36"/>
      <c r="M76" s="36" t="s">
        <v>8013</v>
      </c>
    </row>
    <row r="77" spans="1:13" hidden="1">
      <c r="A77" s="42">
        <f t="shared" si="1"/>
        <v>76</v>
      </c>
      <c r="B77" s="36" t="s">
        <v>6</v>
      </c>
      <c r="C77" s="36" t="s">
        <v>7976</v>
      </c>
      <c r="D77" s="36" t="s">
        <v>8035</v>
      </c>
      <c r="E77" s="9" t="s">
        <v>7998</v>
      </c>
      <c r="F77" s="36" t="s">
        <v>8032</v>
      </c>
      <c r="G77" s="36" t="s">
        <v>14</v>
      </c>
      <c r="H77" s="36" t="str">
        <f>IFERROR(VLOOKUP(Table2[[#This Row], [Ticket]],Okey!A:B,2,0),"")</f>
        <v>ok</v>
      </c>
      <c r="I77" s="36" t="s">
        <v>8546</v>
      </c>
      <c r="J77" s="36" t="s">
        <v>20</v>
      </c>
      <c r="K77" s="36"/>
      <c r="L77" s="36"/>
      <c r="M77" s="36" t="s">
        <v>8013</v>
      </c>
    </row>
    <row r="78" spans="1:13" hidden="1">
      <c r="A78" s="42">
        <f t="shared" si="1"/>
        <v>77</v>
      </c>
      <c r="B78" s="36" t="s">
        <v>6</v>
      </c>
      <c r="C78" s="36" t="s">
        <v>7976</v>
      </c>
      <c r="D78" s="36" t="s">
        <v>8036</v>
      </c>
      <c r="E78" s="9" t="s">
        <v>7999</v>
      </c>
      <c r="F78" s="36" t="s">
        <v>8033</v>
      </c>
      <c r="G78" s="36" t="s">
        <v>14</v>
      </c>
      <c r="H78" s="36" t="str">
        <f>IFERROR(VLOOKUP(Table2[[#This Row], [Ticket]],Okey!A:B,2,0),"")</f>
        <v>ok</v>
      </c>
      <c r="I78" s="36" t="s">
        <v>8546</v>
      </c>
      <c r="J78" s="36" t="s">
        <v>20</v>
      </c>
      <c r="K78" s="36"/>
      <c r="L78" s="36"/>
      <c r="M78" s="36" t="s">
        <v>8013</v>
      </c>
    </row>
    <row r="79" spans="1:13" hidden="1">
      <c r="A79" s="42">
        <f t="shared" si="1"/>
        <v>78</v>
      </c>
      <c r="B79" s="36" t="s">
        <v>6</v>
      </c>
      <c r="C79" s="36" t="s">
        <v>7976</v>
      </c>
      <c r="D79" s="36" t="s">
        <v>8037</v>
      </c>
      <c r="E79" s="9" t="s">
        <v>8000</v>
      </c>
      <c r="F79" s="36" t="s">
        <v>8032</v>
      </c>
      <c r="G79" s="36" t="s">
        <v>14</v>
      </c>
      <c r="H79" s="36" t="str">
        <f>IFERROR(VLOOKUP(Table2[[#This Row], [Ticket]],Okey!A:B,2,0),"")</f>
        <v>ok</v>
      </c>
      <c r="I79" s="36" t="s">
        <v>8546</v>
      </c>
      <c r="J79" s="36" t="s">
        <v>20</v>
      </c>
      <c r="K79" s="36"/>
      <c r="L79" s="36"/>
      <c r="M79" s="36" t="s">
        <v>8013</v>
      </c>
    </row>
    <row r="80" spans="1:13" hidden="1">
      <c r="A80" s="42">
        <f t="shared" si="1"/>
        <v>79</v>
      </c>
      <c r="B80" s="36" t="s">
        <v>6</v>
      </c>
      <c r="C80" s="36" t="s">
        <v>7976</v>
      </c>
      <c r="D80" s="36" t="s">
        <v>8038</v>
      </c>
      <c r="E80" s="9" t="s">
        <v>8001</v>
      </c>
      <c r="F80" s="36" t="s">
        <v>8032</v>
      </c>
      <c r="G80" s="36" t="s">
        <v>14</v>
      </c>
      <c r="H80" s="36" t="str">
        <f>IFERROR(VLOOKUP(Table2[[#This Row], [Ticket]],Okey!A:B,2,0),"")</f>
        <v>ok</v>
      </c>
      <c r="I80" s="36" t="s">
        <v>8546</v>
      </c>
      <c r="J80" s="36" t="s">
        <v>20</v>
      </c>
      <c r="K80" s="36"/>
      <c r="L80" s="36"/>
      <c r="M80" s="36" t="s">
        <v>8013</v>
      </c>
    </row>
    <row r="81" spans="1:13" hidden="1">
      <c r="A81" s="42">
        <f t="shared" si="1"/>
        <v>80</v>
      </c>
      <c r="B81" s="36" t="s">
        <v>6</v>
      </c>
      <c r="C81" s="36" t="s">
        <v>7976</v>
      </c>
      <c r="D81" s="36" t="s">
        <v>8039</v>
      </c>
      <c r="E81" s="9" t="s">
        <v>8002</v>
      </c>
      <c r="F81" s="36" t="s">
        <v>8038</v>
      </c>
      <c r="G81" s="36" t="s">
        <v>14</v>
      </c>
      <c r="H81" s="36" t="str">
        <f>IFERROR(VLOOKUP(Table2[[#This Row], [Ticket]],Okey!A:B,2,0),"")</f>
        <v>ok</v>
      </c>
      <c r="I81" s="36" t="s">
        <v>8546</v>
      </c>
      <c r="J81" s="36" t="s">
        <v>20</v>
      </c>
      <c r="K81" s="36"/>
      <c r="L81" s="36"/>
      <c r="M81" s="36" t="s">
        <v>8013</v>
      </c>
    </row>
    <row r="82" spans="1:13" hidden="1">
      <c r="A82" s="42">
        <f t="shared" si="1"/>
        <v>81</v>
      </c>
      <c r="B82" s="36" t="s">
        <v>6</v>
      </c>
      <c r="C82" s="36" t="s">
        <v>7976</v>
      </c>
      <c r="D82" s="36" t="s">
        <v>8040</v>
      </c>
      <c r="E82" s="9" t="s">
        <v>8003</v>
      </c>
      <c r="F82" s="36" t="s">
        <v>8032</v>
      </c>
      <c r="G82" s="36" t="s">
        <v>14</v>
      </c>
      <c r="H82" s="36" t="str">
        <f>IFERROR(VLOOKUP(Table2[[#This Row], [Ticket]],Okey!A:B,2,0),"")</f>
        <v>ok</v>
      </c>
      <c r="I82" s="36" t="s">
        <v>8546</v>
      </c>
      <c r="J82" s="36" t="s">
        <v>20</v>
      </c>
      <c r="K82" s="36"/>
      <c r="L82" s="36"/>
      <c r="M82" s="36" t="s">
        <v>8013</v>
      </c>
    </row>
    <row r="83" spans="1:13" hidden="1">
      <c r="A83" s="42">
        <f t="shared" si="1"/>
        <v>82</v>
      </c>
      <c r="B83" s="36" t="s">
        <v>6</v>
      </c>
      <c r="C83" s="36" t="s">
        <v>7976</v>
      </c>
      <c r="D83" s="36" t="s">
        <v>8041</v>
      </c>
      <c r="E83" s="9" t="s">
        <v>8004</v>
      </c>
      <c r="F83" s="36" t="s">
        <v>8032</v>
      </c>
      <c r="G83" s="36" t="s">
        <v>14</v>
      </c>
      <c r="H83" s="36" t="str">
        <f>IFERROR(VLOOKUP(Table2[[#This Row], [Ticket]],Okey!A:B,2,0),"")</f>
        <v>ok</v>
      </c>
      <c r="I83" s="36" t="s">
        <v>8546</v>
      </c>
      <c r="J83" s="36" t="s">
        <v>20</v>
      </c>
      <c r="K83" s="36"/>
      <c r="L83" s="36"/>
      <c r="M83" s="36" t="s">
        <v>8013</v>
      </c>
    </row>
    <row r="84" spans="1:13" hidden="1">
      <c r="A84" s="42">
        <f t="shared" ref="A84:A147" si="2">1+A83</f>
        <v>83</v>
      </c>
      <c r="B84" s="36" t="s">
        <v>6</v>
      </c>
      <c r="C84" s="36" t="s">
        <v>7976</v>
      </c>
      <c r="D84" s="36" t="s">
        <v>8042</v>
      </c>
      <c r="E84" s="9" t="s">
        <v>8005</v>
      </c>
      <c r="F84" s="36" t="s">
        <v>8032</v>
      </c>
      <c r="G84" s="36" t="s">
        <v>14</v>
      </c>
      <c r="H84" s="36" t="str">
        <f>IFERROR(VLOOKUP(Table2[[#This Row], [Ticket]],Okey!A:B,2,0),"")</f>
        <v>ok</v>
      </c>
      <c r="I84" s="36" t="s">
        <v>8546</v>
      </c>
      <c r="J84" s="36" t="s">
        <v>20</v>
      </c>
      <c r="K84" s="36"/>
      <c r="L84" s="36"/>
      <c r="M84" s="36" t="s">
        <v>8013</v>
      </c>
    </row>
    <row r="85" spans="1:13" hidden="1">
      <c r="A85" s="42">
        <f t="shared" si="2"/>
        <v>84</v>
      </c>
      <c r="B85" s="36" t="s">
        <v>6</v>
      </c>
      <c r="C85" s="36" t="s">
        <v>7976</v>
      </c>
      <c r="D85" s="36" t="s">
        <v>8043</v>
      </c>
      <c r="E85" s="9" t="s">
        <v>8006</v>
      </c>
      <c r="F85" s="36" t="s">
        <v>8042</v>
      </c>
      <c r="G85" s="36" t="s">
        <v>14</v>
      </c>
      <c r="H85" s="36" t="str">
        <f>IFERROR(VLOOKUP(Table2[[#This Row], [Ticket]],Okey!A:B,2,0),"")</f>
        <v>ok</v>
      </c>
      <c r="I85" s="36" t="s">
        <v>8546</v>
      </c>
      <c r="J85" s="36" t="s">
        <v>20</v>
      </c>
      <c r="K85" s="36"/>
      <c r="L85" s="36"/>
      <c r="M85" s="36" t="s">
        <v>8013</v>
      </c>
    </row>
    <row r="86" spans="1:13" hidden="1">
      <c r="A86" s="42">
        <f t="shared" si="2"/>
        <v>85</v>
      </c>
      <c r="B86" s="36" t="s">
        <v>6</v>
      </c>
      <c r="C86" s="36" t="s">
        <v>7976</v>
      </c>
      <c r="D86" s="36" t="s">
        <v>8044</v>
      </c>
      <c r="E86" s="9" t="s">
        <v>8007</v>
      </c>
      <c r="F86" s="9" t="s">
        <v>2995</v>
      </c>
      <c r="G86" s="36" t="s">
        <v>14</v>
      </c>
      <c r="H86" s="36" t="str">
        <f>IFERROR(VLOOKUP(Table2[[#This Row], [Ticket]],Okey!A:B,2,0),"")</f>
        <v>ok</v>
      </c>
      <c r="I86" s="36" t="s">
        <v>8546</v>
      </c>
      <c r="J86" s="36" t="s">
        <v>20</v>
      </c>
      <c r="K86" s="36"/>
      <c r="L86" s="36"/>
      <c r="M86" s="36" t="s">
        <v>8013</v>
      </c>
    </row>
    <row r="87" spans="1:13" hidden="1">
      <c r="A87" s="42">
        <f t="shared" si="2"/>
        <v>86</v>
      </c>
      <c r="B87" s="36" t="s">
        <v>6</v>
      </c>
      <c r="C87" s="36" t="s">
        <v>7976</v>
      </c>
      <c r="D87" s="36" t="s">
        <v>8045</v>
      </c>
      <c r="E87" s="9" t="s">
        <v>8008</v>
      </c>
      <c r="F87" s="9" t="s">
        <v>2995</v>
      </c>
      <c r="G87" s="36" t="s">
        <v>14</v>
      </c>
      <c r="H87" s="36" t="str">
        <f>IFERROR(VLOOKUP(Table2[[#This Row], [Ticket]],Okey!A:B,2,0),"")</f>
        <v>ok</v>
      </c>
      <c r="I87" s="36" t="s">
        <v>8546</v>
      </c>
      <c r="J87" s="36" t="s">
        <v>20</v>
      </c>
      <c r="K87" s="36"/>
      <c r="L87" s="36"/>
      <c r="M87" s="36" t="s">
        <v>8013</v>
      </c>
    </row>
    <row r="88" spans="1:13" hidden="1">
      <c r="A88" s="42">
        <f t="shared" si="2"/>
        <v>87</v>
      </c>
      <c r="B88" s="36" t="s">
        <v>6</v>
      </c>
      <c r="C88" s="36" t="s">
        <v>7976</v>
      </c>
      <c r="D88" s="36" t="s">
        <v>8046</v>
      </c>
      <c r="E88" s="9" t="s">
        <v>8009</v>
      </c>
      <c r="F88" s="36" t="s">
        <v>8045</v>
      </c>
      <c r="G88" s="36" t="s">
        <v>14</v>
      </c>
      <c r="H88" s="36" t="str">
        <f>IFERROR(VLOOKUP(Table2[[#This Row], [Ticket]],Okey!A:B,2,0),"")</f>
        <v>ok</v>
      </c>
      <c r="I88" s="36" t="s">
        <v>8546</v>
      </c>
      <c r="J88" s="36" t="s">
        <v>20</v>
      </c>
      <c r="K88" s="36"/>
      <c r="L88" s="36"/>
      <c r="M88" s="36" t="s">
        <v>8013</v>
      </c>
    </row>
    <row r="89" spans="1:13" hidden="1">
      <c r="A89" s="42">
        <f t="shared" si="2"/>
        <v>88</v>
      </c>
      <c r="B89" s="36" t="s">
        <v>6</v>
      </c>
      <c r="C89" s="36" t="s">
        <v>7976</v>
      </c>
      <c r="D89" s="36" t="s">
        <v>8047</v>
      </c>
      <c r="E89" s="9" t="s">
        <v>8010</v>
      </c>
      <c r="F89" s="36" t="s">
        <v>8045</v>
      </c>
      <c r="G89" s="36" t="s">
        <v>14</v>
      </c>
      <c r="H89" s="36" t="str">
        <f>IFERROR(VLOOKUP(Table2[[#This Row], [Ticket]],Okey!A:B,2,0),"")</f>
        <v>ok</v>
      </c>
      <c r="I89" s="36" t="s">
        <v>8546</v>
      </c>
      <c r="J89" s="36" t="s">
        <v>20</v>
      </c>
      <c r="K89" s="36"/>
      <c r="L89" s="36"/>
      <c r="M89" s="36" t="s">
        <v>8013</v>
      </c>
    </row>
    <row r="90" spans="1:13" hidden="1">
      <c r="A90" s="42">
        <f t="shared" si="2"/>
        <v>89</v>
      </c>
      <c r="B90" s="36" t="s">
        <v>6</v>
      </c>
      <c r="C90" s="36" t="s">
        <v>7976</v>
      </c>
      <c r="D90" s="36" t="s">
        <v>8048</v>
      </c>
      <c r="E90" s="9" t="s">
        <v>8011</v>
      </c>
      <c r="F90" s="36" t="s">
        <v>8045</v>
      </c>
      <c r="G90" s="36" t="s">
        <v>14</v>
      </c>
      <c r="H90" s="36" t="str">
        <f>IFERROR(VLOOKUP(Table2[[#This Row], [Ticket]],Okey!A:B,2,0),"")</f>
        <v>ok</v>
      </c>
      <c r="I90" s="36" t="s">
        <v>8546</v>
      </c>
      <c r="J90" s="36" t="s">
        <v>20</v>
      </c>
      <c r="K90" s="36"/>
      <c r="L90" s="36"/>
      <c r="M90" s="36" t="s">
        <v>8013</v>
      </c>
    </row>
    <row r="91" spans="1:13" hidden="1">
      <c r="A91" s="42">
        <f t="shared" si="2"/>
        <v>90</v>
      </c>
      <c r="B91" s="36" t="s">
        <v>6</v>
      </c>
      <c r="C91" s="36" t="s">
        <v>7976</v>
      </c>
      <c r="D91" s="36" t="s">
        <v>2684</v>
      </c>
      <c r="F91" s="9" t="s">
        <v>3170</v>
      </c>
      <c r="G91" s="9" t="s">
        <v>13</v>
      </c>
      <c r="H91" s="36" t="str">
        <f>IFERROR(VLOOKUP(Table2[[#This Row], [Ticket]],Okey!A:B,2,0),"")</f>
        <v>ok</v>
      </c>
      <c r="I91" s="36" t="s">
        <v>8546</v>
      </c>
      <c r="J91" s="36" t="s">
        <v>20</v>
      </c>
      <c r="K91" s="36"/>
      <c r="L91" s="36"/>
      <c r="M91" s="36" t="s">
        <v>8013</v>
      </c>
    </row>
    <row r="92" spans="1:13" hidden="1">
      <c r="A92" s="42">
        <f t="shared" si="2"/>
        <v>91</v>
      </c>
      <c r="B92" s="36" t="s">
        <v>6</v>
      </c>
      <c r="C92" s="36" t="s">
        <v>7976</v>
      </c>
      <c r="D92" s="36" t="s">
        <v>2245</v>
      </c>
      <c r="F92" s="9" t="s">
        <v>8049</v>
      </c>
      <c r="G92" s="36" t="s">
        <v>13</v>
      </c>
      <c r="H92" s="36" t="str">
        <f>IFERROR(VLOOKUP(Table2[[#This Row], [Ticket]],Okey!A:B,2,0),"")</f>
        <v>ok</v>
      </c>
      <c r="I92" s="36" t="s">
        <v>8546</v>
      </c>
      <c r="J92" s="36" t="s">
        <v>20</v>
      </c>
      <c r="K92" s="36"/>
      <c r="L92" s="36"/>
      <c r="M92" s="36" t="s">
        <v>8013</v>
      </c>
    </row>
    <row r="93" spans="1:13" hidden="1">
      <c r="A93" s="42">
        <f t="shared" si="2"/>
        <v>92</v>
      </c>
      <c r="B93" s="36" t="s">
        <v>6</v>
      </c>
      <c r="C93" s="36" t="s">
        <v>7976</v>
      </c>
      <c r="D93" s="36" t="s">
        <v>2250</v>
      </c>
      <c r="F93" s="9" t="s">
        <v>8049</v>
      </c>
      <c r="G93" s="36" t="s">
        <v>13</v>
      </c>
      <c r="H93" s="36" t="str">
        <f>IFERROR(VLOOKUP(Table2[[#This Row], [Ticket]],Okey!A:B,2,0),"")</f>
        <v>ok</v>
      </c>
      <c r="I93" s="36" t="s">
        <v>8546</v>
      </c>
      <c r="J93" s="36" t="s">
        <v>20</v>
      </c>
      <c r="K93" s="36"/>
      <c r="L93" s="36"/>
      <c r="M93" s="36" t="s">
        <v>8013</v>
      </c>
    </row>
    <row r="94" spans="1:13" hidden="1">
      <c r="A94" s="42">
        <f t="shared" si="2"/>
        <v>93</v>
      </c>
      <c r="B94" s="36" t="s">
        <v>6</v>
      </c>
      <c r="C94" s="36" t="s">
        <v>7976</v>
      </c>
      <c r="D94" s="36" t="s">
        <v>2995</v>
      </c>
      <c r="F94" s="9" t="s">
        <v>2435</v>
      </c>
      <c r="G94" s="36" t="s">
        <v>13</v>
      </c>
      <c r="H94" s="36" t="str">
        <f>IFERROR(VLOOKUP(Table2[[#This Row], [Ticket]],Okey!A:B,2,0),"")</f>
        <v>ok</v>
      </c>
      <c r="I94" s="36" t="s">
        <v>8546</v>
      </c>
      <c r="J94" s="36" t="s">
        <v>20</v>
      </c>
      <c r="K94" s="36"/>
      <c r="L94" s="36"/>
      <c r="M94" s="36" t="s">
        <v>8013</v>
      </c>
    </row>
    <row r="95" spans="1:13" hidden="1">
      <c r="A95" s="42">
        <f t="shared" si="2"/>
        <v>94</v>
      </c>
      <c r="B95" s="36" t="s">
        <v>6</v>
      </c>
      <c r="C95" s="36" t="s">
        <v>7976</v>
      </c>
      <c r="D95" s="36" t="s">
        <v>2020</v>
      </c>
      <c r="F95" s="36" t="s">
        <v>8014</v>
      </c>
      <c r="G95" s="36" t="s">
        <v>13</v>
      </c>
      <c r="H95" s="36" t="str">
        <f>IFERROR(VLOOKUP(Table2[[#This Row], [Ticket]],Okey!A:B,2,0),"")</f>
        <v>ok</v>
      </c>
      <c r="I95" s="36" t="s">
        <v>8546</v>
      </c>
      <c r="J95" s="36" t="s">
        <v>20</v>
      </c>
      <c r="K95" s="36"/>
      <c r="L95" s="36"/>
      <c r="M95" s="36" t="s">
        <v>8013</v>
      </c>
    </row>
    <row r="96" spans="1:13" hidden="1">
      <c r="A96" s="42">
        <f t="shared" si="2"/>
        <v>95</v>
      </c>
      <c r="B96" s="36" t="s">
        <v>6</v>
      </c>
      <c r="C96" s="36" t="s">
        <v>7976</v>
      </c>
      <c r="D96" s="36" t="s">
        <v>2081</v>
      </c>
      <c r="F96" s="9" t="s">
        <v>2686</v>
      </c>
      <c r="G96" s="36" t="s">
        <v>13</v>
      </c>
      <c r="H96" s="36" t="str">
        <f>IFERROR(VLOOKUP(Table2[[#This Row], [Ticket]],Okey!A:B,2,0),"")</f>
        <v>ok</v>
      </c>
      <c r="I96" s="36" t="s">
        <v>8546</v>
      </c>
      <c r="J96" s="36" t="s">
        <v>20</v>
      </c>
      <c r="K96" s="36"/>
      <c r="L96" s="36"/>
      <c r="M96" s="36" t="s">
        <v>8013</v>
      </c>
    </row>
    <row r="97" spans="1:13" hidden="1">
      <c r="A97" s="42">
        <f t="shared" si="2"/>
        <v>96</v>
      </c>
      <c r="B97" s="36" t="s">
        <v>6</v>
      </c>
      <c r="C97" s="36" t="s">
        <v>7976</v>
      </c>
      <c r="D97" s="36" t="s">
        <v>2312</v>
      </c>
      <c r="F97" s="9" t="s">
        <v>2686</v>
      </c>
      <c r="G97" s="36" t="s">
        <v>13</v>
      </c>
      <c r="H97" s="36" t="str">
        <f>IFERROR(VLOOKUP(Table2[[#This Row], [Ticket]],Okey!A:B,2,0),"")</f>
        <v>ok</v>
      </c>
      <c r="I97" s="36" t="s">
        <v>8546</v>
      </c>
      <c r="J97" s="36" t="s">
        <v>20</v>
      </c>
      <c r="K97" s="36"/>
      <c r="L97" s="36"/>
      <c r="M97" s="36" t="s">
        <v>8013</v>
      </c>
    </row>
    <row r="98" spans="1:13" hidden="1">
      <c r="A98" s="42">
        <f t="shared" si="2"/>
        <v>97</v>
      </c>
      <c r="B98" s="36" t="s">
        <v>6</v>
      </c>
      <c r="C98" s="36" t="s">
        <v>7976</v>
      </c>
      <c r="D98" s="36" t="s">
        <v>2161</v>
      </c>
      <c r="F98" s="9" t="s">
        <v>2686</v>
      </c>
      <c r="G98" s="36" t="s">
        <v>13</v>
      </c>
      <c r="H98" s="36" t="str">
        <f>IFERROR(VLOOKUP(Table2[[#This Row], [Ticket]],Okey!A:B,2,0),"")</f>
        <v>ok</v>
      </c>
      <c r="I98" s="36" t="s">
        <v>8546</v>
      </c>
      <c r="J98" s="36" t="s">
        <v>20</v>
      </c>
      <c r="K98" s="36"/>
      <c r="L98" s="36"/>
      <c r="M98" s="36" t="s">
        <v>8013</v>
      </c>
    </row>
    <row r="99" spans="1:13" hidden="1">
      <c r="A99" s="42">
        <f t="shared" si="2"/>
        <v>98</v>
      </c>
      <c r="B99" s="36" t="s">
        <v>6</v>
      </c>
      <c r="C99" s="36" t="s">
        <v>7976</v>
      </c>
      <c r="D99" s="36" t="s">
        <v>2223</v>
      </c>
      <c r="F99" s="9" t="s">
        <v>2686</v>
      </c>
      <c r="G99" s="36" t="s">
        <v>13</v>
      </c>
      <c r="H99" s="36" t="str">
        <f>IFERROR(VLOOKUP(Table2[[#This Row], [Ticket]],Okey!A:B,2,0),"")</f>
        <v>ok</v>
      </c>
      <c r="I99" s="36" t="s">
        <v>8546</v>
      </c>
      <c r="J99" s="36" t="s">
        <v>20</v>
      </c>
      <c r="K99" s="36"/>
      <c r="L99" s="36"/>
      <c r="M99" s="36" t="s">
        <v>8013</v>
      </c>
    </row>
    <row r="100" spans="1:13" hidden="1">
      <c r="A100" s="42">
        <f t="shared" si="2"/>
        <v>99</v>
      </c>
      <c r="B100" s="36" t="s">
        <v>6</v>
      </c>
      <c r="C100" s="36" t="s">
        <v>7976</v>
      </c>
      <c r="D100" s="36" t="s">
        <v>8050</v>
      </c>
      <c r="F100" s="9" t="s">
        <v>2223</v>
      </c>
      <c r="G100" s="36" t="s">
        <v>13</v>
      </c>
      <c r="H100" s="36" t="str">
        <f>IFERROR(VLOOKUP(Table2[[#This Row], [Ticket]],Okey!A:B,2,0),"")</f>
        <v>ok</v>
      </c>
      <c r="I100" s="36" t="s">
        <v>8546</v>
      </c>
      <c r="J100" s="36" t="s">
        <v>20</v>
      </c>
      <c r="K100" s="36"/>
      <c r="L100" s="36"/>
      <c r="M100" s="36" t="s">
        <v>8013</v>
      </c>
    </row>
    <row r="101" spans="1:13" hidden="1">
      <c r="A101" s="42">
        <f t="shared" si="2"/>
        <v>100</v>
      </c>
      <c r="B101" s="36" t="s">
        <v>6</v>
      </c>
      <c r="C101" s="36" t="s">
        <v>7976</v>
      </c>
      <c r="D101" s="36" t="s">
        <v>4357</v>
      </c>
      <c r="F101" s="9" t="s">
        <v>2674</v>
      </c>
      <c r="G101" s="36" t="s">
        <v>13</v>
      </c>
      <c r="H101" s="36" t="str">
        <f>IFERROR(VLOOKUP(Table2[[#This Row], [Ticket]],Okey!A:B,2,0),"")</f>
        <v>ok</v>
      </c>
      <c r="I101" s="36" t="s">
        <v>8546</v>
      </c>
      <c r="J101" s="36" t="s">
        <v>20</v>
      </c>
      <c r="K101" s="36"/>
      <c r="L101" s="36"/>
      <c r="M101" s="36" t="s">
        <v>8013</v>
      </c>
    </row>
    <row r="102" spans="1:13" hidden="1">
      <c r="A102" s="42">
        <f t="shared" si="2"/>
        <v>101</v>
      </c>
      <c r="B102" s="36" t="s">
        <v>6</v>
      </c>
      <c r="C102" s="36" t="s">
        <v>7976</v>
      </c>
      <c r="D102" s="36" t="s">
        <v>4868</v>
      </c>
      <c r="F102" s="9" t="s">
        <v>2674</v>
      </c>
      <c r="G102" s="36" t="s">
        <v>13</v>
      </c>
      <c r="H102" s="36" t="str">
        <f>IFERROR(VLOOKUP(Table2[[#This Row], [Ticket]],Okey!A:B,2,0),"")</f>
        <v>ok</v>
      </c>
      <c r="I102" s="36" t="s">
        <v>8546</v>
      </c>
      <c r="J102" s="36" t="s">
        <v>20</v>
      </c>
      <c r="K102" s="36"/>
      <c r="L102" s="36"/>
      <c r="M102" s="36" t="s">
        <v>8013</v>
      </c>
    </row>
    <row r="103" spans="1:13" hidden="1">
      <c r="A103" s="42">
        <f t="shared" si="2"/>
        <v>102</v>
      </c>
      <c r="B103" s="36" t="s">
        <v>6</v>
      </c>
      <c r="C103" s="36" t="s">
        <v>7976</v>
      </c>
      <c r="D103" s="36" t="s">
        <v>8051</v>
      </c>
      <c r="F103" s="9" t="s">
        <v>4868</v>
      </c>
      <c r="G103" s="36" t="s">
        <v>13</v>
      </c>
      <c r="H103" s="36" t="str">
        <f>IFERROR(VLOOKUP(Table2[[#This Row], [Ticket]],Okey!A:B,2,0),"")</f>
        <v>ok</v>
      </c>
      <c r="I103" s="36" t="s">
        <v>8546</v>
      </c>
      <c r="J103" s="36" t="s">
        <v>20</v>
      </c>
      <c r="K103" s="36"/>
      <c r="L103" s="36"/>
      <c r="M103" s="36" t="s">
        <v>8013</v>
      </c>
    </row>
    <row r="104" spans="1:13" hidden="1">
      <c r="A104" s="42">
        <f t="shared" si="2"/>
        <v>103</v>
      </c>
      <c r="B104" s="36" t="s">
        <v>6</v>
      </c>
      <c r="C104" s="36" t="s">
        <v>7976</v>
      </c>
      <c r="D104" s="36" t="s">
        <v>8052</v>
      </c>
      <c r="F104" s="9" t="s">
        <v>4868</v>
      </c>
      <c r="G104" s="36" t="s">
        <v>13</v>
      </c>
      <c r="H104" s="36" t="str">
        <f>IFERROR(VLOOKUP(Table2[[#This Row], [Ticket]],Okey!A:B,2,0),"")</f>
        <v>ok</v>
      </c>
      <c r="I104" s="36" t="s">
        <v>8546</v>
      </c>
      <c r="J104" s="36" t="s">
        <v>20</v>
      </c>
      <c r="K104" s="36"/>
      <c r="L104" s="36"/>
      <c r="M104" s="36" t="s">
        <v>8013</v>
      </c>
    </row>
    <row r="105" spans="1:13" hidden="1">
      <c r="A105" s="42">
        <f t="shared" si="2"/>
        <v>104</v>
      </c>
      <c r="B105" s="36" t="s">
        <v>6</v>
      </c>
      <c r="C105" s="36" t="s">
        <v>7976</v>
      </c>
      <c r="D105" s="36" t="s">
        <v>8053</v>
      </c>
      <c r="F105" s="9" t="s">
        <v>4868</v>
      </c>
      <c r="G105" s="36" t="s">
        <v>13</v>
      </c>
      <c r="H105" s="36" t="str">
        <f>IFERROR(VLOOKUP(Table2[[#This Row], [Ticket]],Okey!A:B,2,0),"")</f>
        <v>ok</v>
      </c>
      <c r="I105" s="36" t="s">
        <v>8546</v>
      </c>
      <c r="J105" s="36" t="s">
        <v>20</v>
      </c>
      <c r="K105" s="36"/>
      <c r="L105" s="36"/>
      <c r="M105" s="36" t="s">
        <v>8013</v>
      </c>
    </row>
    <row r="106" spans="1:13" hidden="1">
      <c r="A106" s="42">
        <f t="shared" si="2"/>
        <v>105</v>
      </c>
      <c r="B106" s="36" t="s">
        <v>6</v>
      </c>
      <c r="C106" s="36" t="s">
        <v>7976</v>
      </c>
      <c r="D106" s="36" t="s">
        <v>2079</v>
      </c>
      <c r="F106" s="36" t="s">
        <v>8023</v>
      </c>
      <c r="G106" s="36" t="s">
        <v>13</v>
      </c>
      <c r="H106" s="36" t="str">
        <f>IFERROR(VLOOKUP(Table2[[#This Row], [Ticket]],Okey!A:B,2,0),"")</f>
        <v>ok</v>
      </c>
      <c r="I106" s="36" t="s">
        <v>8546</v>
      </c>
      <c r="J106" s="36" t="s">
        <v>20</v>
      </c>
      <c r="K106" s="36"/>
      <c r="L106" s="36"/>
      <c r="M106" s="36" t="s">
        <v>8013</v>
      </c>
    </row>
    <row r="107" spans="1:13" hidden="1">
      <c r="A107" s="42">
        <f t="shared" si="2"/>
        <v>106</v>
      </c>
      <c r="B107" s="36" t="s">
        <v>6</v>
      </c>
      <c r="C107" s="36" t="s">
        <v>7976</v>
      </c>
      <c r="D107" s="36" t="s">
        <v>2310</v>
      </c>
      <c r="F107" s="36" t="s">
        <v>8023</v>
      </c>
      <c r="G107" s="36" t="s">
        <v>13</v>
      </c>
      <c r="H107" s="36" t="str">
        <f>IFERROR(VLOOKUP(Table2[[#This Row], [Ticket]],Okey!A:B,2,0),"")</f>
        <v>ok</v>
      </c>
      <c r="I107" s="36" t="s">
        <v>8546</v>
      </c>
      <c r="J107" s="36" t="s">
        <v>20</v>
      </c>
      <c r="K107" s="36"/>
      <c r="L107" s="36"/>
      <c r="M107" s="36" t="s">
        <v>8013</v>
      </c>
    </row>
    <row r="108" spans="1:13" hidden="1">
      <c r="A108" s="42">
        <f t="shared" si="2"/>
        <v>107</v>
      </c>
      <c r="B108" s="36" t="s">
        <v>6</v>
      </c>
      <c r="C108" s="36" t="s">
        <v>7976</v>
      </c>
      <c r="D108" s="36" t="s">
        <v>2221</v>
      </c>
      <c r="F108" s="9" t="s">
        <v>8024</v>
      </c>
      <c r="G108" s="36" t="s">
        <v>13</v>
      </c>
      <c r="H108" s="36" t="str">
        <f>IFERROR(VLOOKUP(Table2[[#This Row], [Ticket]],Okey!A:B,2,0),"")</f>
        <v>ok</v>
      </c>
      <c r="I108" s="36" t="s">
        <v>8546</v>
      </c>
      <c r="J108" s="36" t="s">
        <v>20</v>
      </c>
      <c r="K108" s="36"/>
      <c r="L108" s="36"/>
      <c r="M108" s="36" t="s">
        <v>8013</v>
      </c>
    </row>
    <row r="109" spans="1:13" hidden="1">
      <c r="A109" s="42">
        <f t="shared" si="2"/>
        <v>108</v>
      </c>
      <c r="B109" s="36" t="s">
        <v>6</v>
      </c>
      <c r="C109" s="36" t="s">
        <v>7976</v>
      </c>
      <c r="D109" s="36" t="s">
        <v>2159</v>
      </c>
      <c r="F109" s="9" t="s">
        <v>8024</v>
      </c>
      <c r="G109" s="36" t="s">
        <v>13</v>
      </c>
      <c r="H109" s="36" t="str">
        <f>IFERROR(VLOOKUP(Table2[[#This Row], [Ticket]],Okey!A:B,2,0),"")</f>
        <v>ok</v>
      </c>
      <c r="I109" s="36" t="s">
        <v>8546</v>
      </c>
      <c r="J109" s="36" t="s">
        <v>20</v>
      </c>
      <c r="K109" s="36"/>
      <c r="L109" s="36"/>
      <c r="M109" s="36" t="s">
        <v>8013</v>
      </c>
    </row>
    <row r="110" spans="1:13" hidden="1">
      <c r="A110" s="42">
        <f t="shared" si="2"/>
        <v>109</v>
      </c>
      <c r="B110" s="36" t="s">
        <v>6</v>
      </c>
      <c r="C110" s="36" t="s">
        <v>7976</v>
      </c>
      <c r="D110" s="36" t="s">
        <v>4359</v>
      </c>
      <c r="F110" s="9" t="s">
        <v>8024</v>
      </c>
      <c r="G110" s="36" t="s">
        <v>13</v>
      </c>
      <c r="H110" s="36" t="str">
        <f>IFERROR(VLOOKUP(Table2[[#This Row], [Ticket]],Okey!A:B,2,0),"")</f>
        <v>ok</v>
      </c>
      <c r="I110" s="36" t="s">
        <v>8546</v>
      </c>
      <c r="J110" s="36" t="s">
        <v>20</v>
      </c>
      <c r="K110" s="36"/>
      <c r="L110" s="36"/>
      <c r="M110" s="36" t="s">
        <v>8013</v>
      </c>
    </row>
    <row r="111" spans="1:13" hidden="1">
      <c r="A111" s="42">
        <f t="shared" si="2"/>
        <v>110</v>
      </c>
      <c r="B111" s="36" t="s">
        <v>6</v>
      </c>
      <c r="C111" s="36" t="s">
        <v>7976</v>
      </c>
      <c r="D111" s="36" t="s">
        <v>4873</v>
      </c>
      <c r="F111" s="9" t="s">
        <v>2682</v>
      </c>
      <c r="G111" s="36" t="s">
        <v>13</v>
      </c>
      <c r="H111" s="36" t="str">
        <f>IFERROR(VLOOKUP(Table2[[#This Row], [Ticket]],Okey!A:B,2,0),"")</f>
        <v>ok</v>
      </c>
      <c r="I111" s="36" t="s">
        <v>8546</v>
      </c>
      <c r="J111" s="36" t="s">
        <v>20</v>
      </c>
      <c r="K111" s="36"/>
      <c r="L111" s="36"/>
      <c r="M111" s="36" t="s">
        <v>8013</v>
      </c>
    </row>
    <row r="112" spans="1:13" hidden="1">
      <c r="A112" s="42">
        <f t="shared" si="2"/>
        <v>111</v>
      </c>
      <c r="B112" s="36" t="s">
        <v>6</v>
      </c>
      <c r="C112" s="36" t="s">
        <v>7976</v>
      </c>
      <c r="D112" s="36" t="s">
        <v>2676</v>
      </c>
      <c r="F112" s="36" t="s">
        <v>8027</v>
      </c>
      <c r="G112" s="36" t="s">
        <v>13</v>
      </c>
      <c r="H112" s="36" t="str">
        <f>IFERROR(VLOOKUP(Table2[[#This Row], [Ticket]],Okey!A:B,2,0),"")</f>
        <v>ok</v>
      </c>
      <c r="I112" s="36" t="s">
        <v>8546</v>
      </c>
      <c r="J112" s="36" t="s">
        <v>20</v>
      </c>
      <c r="K112" s="36"/>
      <c r="L112" s="36"/>
      <c r="M112" s="36" t="s">
        <v>8013</v>
      </c>
    </row>
    <row r="113" spans="1:13" hidden="1">
      <c r="A113" s="42">
        <f t="shared" si="2"/>
        <v>112</v>
      </c>
      <c r="B113" s="36" t="s">
        <v>6</v>
      </c>
      <c r="C113" s="36" t="s">
        <v>7976</v>
      </c>
      <c r="D113" s="36" t="s">
        <v>2732</v>
      </c>
      <c r="F113" s="36" t="s">
        <v>8027</v>
      </c>
      <c r="G113" s="36" t="s">
        <v>13</v>
      </c>
      <c r="H113" s="36" t="str">
        <f>IFERROR(VLOOKUP(Table2[[#This Row], [Ticket]],Okey!A:B,2,0),"")</f>
        <v>ok</v>
      </c>
      <c r="I113" s="36" t="s">
        <v>8546</v>
      </c>
      <c r="J113" s="36" t="s">
        <v>20</v>
      </c>
      <c r="K113" s="36"/>
      <c r="L113" s="36"/>
      <c r="M113" s="36" t="s">
        <v>8013</v>
      </c>
    </row>
    <row r="114" spans="1:13" hidden="1">
      <c r="A114" s="42">
        <f t="shared" si="2"/>
        <v>113</v>
      </c>
      <c r="B114" s="36" t="s">
        <v>6</v>
      </c>
      <c r="C114" s="36" t="s">
        <v>7976</v>
      </c>
      <c r="D114" s="36" t="s">
        <v>4871</v>
      </c>
      <c r="F114" s="9" t="s">
        <v>2732</v>
      </c>
      <c r="G114" s="36" t="s">
        <v>13</v>
      </c>
      <c r="H114" s="36" t="str">
        <f>IFERROR(VLOOKUP(Table2[[#This Row], [Ticket]],Okey!A:B,2,0),"")</f>
        <v>ok</v>
      </c>
      <c r="I114" s="36" t="s">
        <v>8546</v>
      </c>
      <c r="J114" s="36" t="s">
        <v>20</v>
      </c>
      <c r="K114" s="36"/>
      <c r="L114" s="36"/>
      <c r="M114" s="36" t="s">
        <v>8013</v>
      </c>
    </row>
    <row r="115" spans="1:13" hidden="1">
      <c r="A115" s="42">
        <f t="shared" si="2"/>
        <v>114</v>
      </c>
      <c r="B115" s="36" t="s">
        <v>6</v>
      </c>
      <c r="C115" s="36" t="s">
        <v>7976</v>
      </c>
      <c r="D115" s="36" t="s">
        <v>2025</v>
      </c>
      <c r="F115" s="9" t="s">
        <v>8033</v>
      </c>
      <c r="G115" s="36" t="s">
        <v>13</v>
      </c>
      <c r="H115" s="36" t="str">
        <f>IFERROR(VLOOKUP(Table2[[#This Row], [Ticket]],Okey!A:B,2,0),"")</f>
        <v>ok</v>
      </c>
      <c r="I115" s="36" t="s">
        <v>8546</v>
      </c>
      <c r="J115" s="36" t="s">
        <v>20</v>
      </c>
      <c r="K115" s="36"/>
      <c r="L115" s="36"/>
      <c r="M115" s="36" t="s">
        <v>8013</v>
      </c>
    </row>
    <row r="116" spans="1:13" hidden="1">
      <c r="A116" s="42">
        <f t="shared" si="2"/>
        <v>115</v>
      </c>
      <c r="B116" s="36" t="s">
        <v>6</v>
      </c>
      <c r="C116" s="36" t="s">
        <v>7976</v>
      </c>
      <c r="D116" s="36" t="s">
        <v>2045</v>
      </c>
      <c r="F116" s="9" t="s">
        <v>8033</v>
      </c>
      <c r="G116" s="36" t="s">
        <v>13</v>
      </c>
      <c r="H116" s="36" t="str">
        <f>IFERROR(VLOOKUP(Table2[[#This Row], [Ticket]],Okey!A:B,2,0),"")</f>
        <v>ok</v>
      </c>
      <c r="I116" s="36" t="s">
        <v>8546</v>
      </c>
      <c r="J116" s="36" t="s">
        <v>20</v>
      </c>
      <c r="K116" s="36"/>
      <c r="L116" s="36"/>
      <c r="M116" s="36" t="s">
        <v>8013</v>
      </c>
    </row>
    <row r="117" spans="1:13" hidden="1">
      <c r="A117" s="42">
        <f t="shared" si="2"/>
        <v>116</v>
      </c>
      <c r="B117" s="36" t="s">
        <v>6</v>
      </c>
      <c r="C117" s="36" t="s">
        <v>7976</v>
      </c>
      <c r="D117" s="36" t="s">
        <v>2030</v>
      </c>
      <c r="F117" s="9" t="s">
        <v>8035</v>
      </c>
      <c r="G117" s="36" t="s">
        <v>13</v>
      </c>
      <c r="H117" s="36" t="str">
        <f>IFERROR(VLOOKUP(Table2[[#This Row], [Ticket]],Okey!A:B,2,0),"")</f>
        <v>ok</v>
      </c>
      <c r="I117" s="36" t="s">
        <v>8546</v>
      </c>
      <c r="J117" s="36" t="s">
        <v>20</v>
      </c>
      <c r="K117" s="36"/>
      <c r="L117" s="36"/>
      <c r="M117" s="36" t="s">
        <v>8013</v>
      </c>
    </row>
    <row r="118" spans="1:13" hidden="1">
      <c r="A118" s="42">
        <f t="shared" si="2"/>
        <v>117</v>
      </c>
      <c r="B118" s="36" t="s">
        <v>6</v>
      </c>
      <c r="C118" s="36" t="s">
        <v>7976</v>
      </c>
      <c r="D118" s="36" t="s">
        <v>2035</v>
      </c>
      <c r="F118" s="9" t="s">
        <v>8035</v>
      </c>
      <c r="G118" s="36" t="s">
        <v>13</v>
      </c>
      <c r="H118" s="36" t="str">
        <f>IFERROR(VLOOKUP(Table2[[#This Row], [Ticket]],Okey!A:B,2,0),"")</f>
        <v>ok</v>
      </c>
      <c r="I118" s="36" t="s">
        <v>8546</v>
      </c>
      <c r="J118" s="36" t="s">
        <v>20</v>
      </c>
      <c r="K118" s="36"/>
      <c r="L118" s="36"/>
      <c r="M118" s="36" t="s">
        <v>8013</v>
      </c>
    </row>
    <row r="119" spans="1:13" hidden="1">
      <c r="A119" s="42">
        <f t="shared" si="2"/>
        <v>118</v>
      </c>
      <c r="B119" s="36" t="s">
        <v>6</v>
      </c>
      <c r="C119" s="36" t="s">
        <v>7976</v>
      </c>
      <c r="D119" s="36" t="s">
        <v>2177</v>
      </c>
      <c r="F119" s="9" t="s">
        <v>8037</v>
      </c>
      <c r="G119" s="36" t="s">
        <v>13</v>
      </c>
      <c r="H119" s="36" t="str">
        <f>IFERROR(VLOOKUP(Table2[[#This Row], [Ticket]],Okey!A:B,2,0),"")</f>
        <v>ok</v>
      </c>
      <c r="I119" s="36" t="s">
        <v>8546</v>
      </c>
      <c r="J119" s="36" t="s">
        <v>20</v>
      </c>
      <c r="K119" s="36"/>
      <c r="L119" s="36"/>
      <c r="M119" s="36" t="s">
        <v>8013</v>
      </c>
    </row>
    <row r="120" spans="1:13" hidden="1">
      <c r="A120" s="42">
        <f t="shared" si="2"/>
        <v>119</v>
      </c>
      <c r="B120" s="36" t="s">
        <v>6</v>
      </c>
      <c r="C120" s="36" t="s">
        <v>7976</v>
      </c>
      <c r="D120" s="36" t="s">
        <v>8054</v>
      </c>
      <c r="F120" s="9" t="s">
        <v>8037</v>
      </c>
      <c r="G120" s="36" t="s">
        <v>13</v>
      </c>
      <c r="H120" s="36" t="str">
        <f>IFERROR(VLOOKUP(Table2[[#This Row], [Ticket]],Okey!A:B,2,0),"")</f>
        <v>ok</v>
      </c>
      <c r="I120" s="36" t="s">
        <v>8546</v>
      </c>
      <c r="J120" s="36" t="s">
        <v>20</v>
      </c>
      <c r="K120" s="36"/>
      <c r="L120" s="36"/>
      <c r="M120" s="36" t="s">
        <v>8013</v>
      </c>
    </row>
    <row r="121" spans="1:13" hidden="1">
      <c r="A121" s="42">
        <f t="shared" si="2"/>
        <v>120</v>
      </c>
      <c r="B121" s="36" t="s">
        <v>6</v>
      </c>
      <c r="C121" s="36" t="s">
        <v>7976</v>
      </c>
      <c r="D121" s="36" t="s">
        <v>2015</v>
      </c>
      <c r="F121" s="9" t="s">
        <v>8038</v>
      </c>
      <c r="G121" s="36" t="s">
        <v>13</v>
      </c>
      <c r="H121" s="36" t="str">
        <f>IFERROR(VLOOKUP(Table2[[#This Row], [Ticket]],Okey!A:B,2,0),"")</f>
        <v>ok</v>
      </c>
      <c r="I121" s="36" t="s">
        <v>8546</v>
      </c>
      <c r="J121" s="36" t="s">
        <v>20</v>
      </c>
      <c r="K121" s="36"/>
      <c r="L121" s="36"/>
      <c r="M121" s="36" t="s">
        <v>8013</v>
      </c>
    </row>
    <row r="122" spans="1:13" hidden="1">
      <c r="A122" s="42">
        <f t="shared" si="2"/>
        <v>121</v>
      </c>
      <c r="B122" s="36" t="s">
        <v>6</v>
      </c>
      <c r="C122" s="36" t="s">
        <v>7976</v>
      </c>
      <c r="D122" s="36" t="s">
        <v>5834</v>
      </c>
      <c r="F122" s="9" t="s">
        <v>8038</v>
      </c>
      <c r="G122" s="36" t="s">
        <v>13</v>
      </c>
      <c r="H122" s="36" t="str">
        <f>IFERROR(VLOOKUP(Table2[[#This Row], [Ticket]],Okey!A:B,2,0),"")</f>
        <v>ok</v>
      </c>
      <c r="I122" s="36" t="s">
        <v>8546</v>
      </c>
      <c r="J122" s="36" t="s">
        <v>20</v>
      </c>
      <c r="K122" s="36"/>
      <c r="L122" s="36"/>
      <c r="M122" s="36" t="s">
        <v>8013</v>
      </c>
    </row>
    <row r="123" spans="1:13" hidden="1">
      <c r="A123" s="42">
        <f t="shared" si="2"/>
        <v>122</v>
      </c>
      <c r="B123" s="36" t="s">
        <v>6</v>
      </c>
      <c r="C123" s="36" t="s">
        <v>7976</v>
      </c>
      <c r="D123" s="36" t="s">
        <v>2182</v>
      </c>
      <c r="F123" s="9" t="s">
        <v>8038</v>
      </c>
      <c r="G123" s="36" t="s">
        <v>13</v>
      </c>
      <c r="H123" s="36" t="str">
        <f>IFERROR(VLOOKUP(Table2[[#This Row], [Ticket]],Okey!A:B,2,0),"")</f>
        <v>ok</v>
      </c>
      <c r="I123" s="36" t="s">
        <v>8546</v>
      </c>
      <c r="J123" s="36" t="s">
        <v>20</v>
      </c>
      <c r="K123" s="36"/>
      <c r="L123" s="36"/>
      <c r="M123" s="36" t="s">
        <v>8013</v>
      </c>
    </row>
    <row r="124" spans="1:13" hidden="1">
      <c r="A124" s="42">
        <f t="shared" si="2"/>
        <v>123</v>
      </c>
      <c r="B124" s="36" t="s">
        <v>6</v>
      </c>
      <c r="C124" s="36" t="s">
        <v>7976</v>
      </c>
      <c r="D124" s="36" t="s">
        <v>2187</v>
      </c>
      <c r="F124" s="9" t="s">
        <v>8041</v>
      </c>
      <c r="G124" s="36" t="s">
        <v>13</v>
      </c>
      <c r="H124" s="36" t="str">
        <f>IFERROR(VLOOKUP(Table2[[#This Row], [Ticket]],Okey!A:B,2,0),"")</f>
        <v>ok</v>
      </c>
      <c r="I124" s="36" t="s">
        <v>8546</v>
      </c>
      <c r="J124" s="36" t="s">
        <v>20</v>
      </c>
      <c r="K124" s="36"/>
      <c r="L124" s="36"/>
      <c r="M124" s="36" t="s">
        <v>8013</v>
      </c>
    </row>
    <row r="125" spans="1:13" hidden="1">
      <c r="A125" s="42">
        <f t="shared" si="2"/>
        <v>124</v>
      </c>
      <c r="B125" s="36" t="s">
        <v>6</v>
      </c>
      <c r="C125" s="36" t="s">
        <v>7976</v>
      </c>
      <c r="D125" s="36" t="s">
        <v>2287</v>
      </c>
      <c r="F125" s="9" t="s">
        <v>8041</v>
      </c>
      <c r="G125" s="36" t="s">
        <v>13</v>
      </c>
      <c r="H125" s="36" t="str">
        <f>IFERROR(VLOOKUP(Table2[[#This Row], [Ticket]],Okey!A:B,2,0),"")</f>
        <v>ok</v>
      </c>
      <c r="I125" s="36" t="s">
        <v>8546</v>
      </c>
      <c r="J125" s="36" t="s">
        <v>20</v>
      </c>
      <c r="K125" s="36"/>
      <c r="L125" s="36"/>
      <c r="M125" s="36" t="s">
        <v>8013</v>
      </c>
    </row>
    <row r="126" spans="1:13" hidden="1">
      <c r="A126" s="42">
        <f t="shared" si="2"/>
        <v>125</v>
      </c>
      <c r="B126" s="36" t="s">
        <v>6</v>
      </c>
      <c r="C126" s="36" t="s">
        <v>7976</v>
      </c>
      <c r="D126" s="36" t="s">
        <v>2040</v>
      </c>
      <c r="F126" s="9" t="s">
        <v>8041</v>
      </c>
      <c r="G126" s="36" t="s">
        <v>13</v>
      </c>
      <c r="H126" s="36" t="str">
        <f>IFERROR(VLOOKUP(Table2[[#This Row], [Ticket]],Okey!A:B,2,0),"")</f>
        <v>ok</v>
      </c>
      <c r="I126" s="36" t="s">
        <v>8546</v>
      </c>
      <c r="J126" s="36" t="s">
        <v>20</v>
      </c>
      <c r="K126" s="36"/>
      <c r="L126" s="36"/>
      <c r="M126" s="36" t="s">
        <v>8013</v>
      </c>
    </row>
    <row r="127" spans="1:13" hidden="1">
      <c r="A127" s="42">
        <f t="shared" si="2"/>
        <v>126</v>
      </c>
      <c r="B127" s="36" t="s">
        <v>6</v>
      </c>
      <c r="C127" s="36" t="s">
        <v>7976</v>
      </c>
      <c r="D127" s="36" t="s">
        <v>2273</v>
      </c>
      <c r="F127" s="9" t="s">
        <v>8042</v>
      </c>
      <c r="G127" s="36" t="s">
        <v>13</v>
      </c>
      <c r="H127" s="36" t="str">
        <f>IFERROR(VLOOKUP(Table2[[#This Row], [Ticket]],Okey!A:B,2,0),"")</f>
        <v>ok</v>
      </c>
      <c r="I127" s="36" t="s">
        <v>8546</v>
      </c>
      <c r="J127" s="36" t="s">
        <v>20</v>
      </c>
      <c r="K127" s="36"/>
      <c r="L127" s="36"/>
      <c r="M127" s="36" t="s">
        <v>8013</v>
      </c>
    </row>
    <row r="128" spans="1:13" hidden="1">
      <c r="A128" s="42">
        <f t="shared" si="2"/>
        <v>127</v>
      </c>
      <c r="B128" s="36" t="s">
        <v>6</v>
      </c>
      <c r="C128" s="36" t="s">
        <v>7976</v>
      </c>
      <c r="D128" s="36" t="s">
        <v>2255</v>
      </c>
      <c r="F128" s="9" t="s">
        <v>8042</v>
      </c>
      <c r="G128" s="36" t="s">
        <v>13</v>
      </c>
      <c r="H128" s="36" t="str">
        <f>IFERROR(VLOOKUP(Table2[[#This Row], [Ticket]],Okey!A:B,2,0),"")</f>
        <v>ok</v>
      </c>
      <c r="I128" s="36" t="s">
        <v>8546</v>
      </c>
      <c r="J128" s="36" t="s">
        <v>20</v>
      </c>
      <c r="K128" s="36"/>
      <c r="L128" s="36"/>
      <c r="M128" s="36" t="s">
        <v>8013</v>
      </c>
    </row>
    <row r="129" spans="1:13" hidden="1">
      <c r="A129" s="42">
        <f t="shared" si="2"/>
        <v>128</v>
      </c>
      <c r="B129" s="36" t="s">
        <v>6</v>
      </c>
      <c r="C129" s="36" t="s">
        <v>7976</v>
      </c>
      <c r="D129" s="36" t="s">
        <v>2172</v>
      </c>
      <c r="F129" s="9" t="s">
        <v>8042</v>
      </c>
      <c r="G129" s="36" t="s">
        <v>13</v>
      </c>
      <c r="H129" s="36" t="str">
        <f>IFERROR(VLOOKUP(Table2[[#This Row], [Ticket]],Okey!A:B,2,0),"")</f>
        <v>ok</v>
      </c>
      <c r="I129" s="36" t="s">
        <v>8546</v>
      </c>
      <c r="J129" s="36" t="s">
        <v>20</v>
      </c>
      <c r="K129" s="36"/>
      <c r="L129" s="36"/>
      <c r="M129" s="36" t="s">
        <v>8013</v>
      </c>
    </row>
    <row r="130" spans="1:13" hidden="1">
      <c r="A130" s="42">
        <f t="shared" si="2"/>
        <v>129</v>
      </c>
      <c r="B130" s="36" t="s">
        <v>6</v>
      </c>
      <c r="C130" s="36" t="s">
        <v>7976</v>
      </c>
      <c r="D130" s="36" t="s">
        <v>4865</v>
      </c>
      <c r="F130" s="9" t="s">
        <v>8044</v>
      </c>
      <c r="G130" s="36" t="s">
        <v>13</v>
      </c>
      <c r="H130" s="36" t="str">
        <f>IFERROR(VLOOKUP(Table2[[#This Row], [Ticket]],Okey!A:B,2,0),"")</f>
        <v>ok</v>
      </c>
      <c r="I130" s="36" t="s">
        <v>8546</v>
      </c>
      <c r="J130" s="36" t="s">
        <v>20</v>
      </c>
      <c r="K130" s="36"/>
      <c r="L130" s="36"/>
      <c r="M130" s="36" t="s">
        <v>8013</v>
      </c>
    </row>
    <row r="131" spans="1:13" hidden="1">
      <c r="A131" s="42">
        <f t="shared" si="2"/>
        <v>130</v>
      </c>
      <c r="B131" s="36" t="s">
        <v>6</v>
      </c>
      <c r="C131" s="36" t="s">
        <v>7976</v>
      </c>
      <c r="D131" s="36" t="s">
        <v>2443</v>
      </c>
      <c r="F131" s="9" t="s">
        <v>8044</v>
      </c>
      <c r="G131" s="36" t="s">
        <v>13</v>
      </c>
      <c r="H131" s="36" t="str">
        <f>IFERROR(VLOOKUP(Table2[[#This Row], [Ticket]],Okey!A:B,2,0),"")</f>
        <v>ok</v>
      </c>
      <c r="I131" s="36" t="s">
        <v>8546</v>
      </c>
      <c r="J131" s="36" t="s">
        <v>20</v>
      </c>
      <c r="K131" s="36"/>
      <c r="L131" s="36"/>
      <c r="M131" s="36" t="s">
        <v>8013</v>
      </c>
    </row>
    <row r="132" spans="1:13" hidden="1">
      <c r="A132" s="42">
        <f t="shared" si="2"/>
        <v>131</v>
      </c>
      <c r="B132" s="36" t="s">
        <v>6</v>
      </c>
      <c r="C132" s="36" t="s">
        <v>7976</v>
      </c>
      <c r="D132" s="36" t="s">
        <v>2501</v>
      </c>
      <c r="F132" s="9" t="s">
        <v>2443</v>
      </c>
      <c r="G132" s="36" t="s">
        <v>13</v>
      </c>
      <c r="H132" s="36" t="str">
        <f>IFERROR(VLOOKUP(Table2[[#This Row], [Ticket]],Okey!A:B,2,0),"")</f>
        <v>ok</v>
      </c>
      <c r="I132" s="36" t="s">
        <v>8546</v>
      </c>
      <c r="J132" s="36" t="s">
        <v>20</v>
      </c>
      <c r="K132" s="36"/>
      <c r="L132" s="36"/>
      <c r="M132" s="36" t="s">
        <v>8013</v>
      </c>
    </row>
    <row r="133" spans="1:13" hidden="1">
      <c r="A133" s="42">
        <f t="shared" si="2"/>
        <v>132</v>
      </c>
      <c r="B133" s="36" t="s">
        <v>6</v>
      </c>
      <c r="C133" s="36" t="s">
        <v>7976</v>
      </c>
      <c r="D133" s="36" t="s">
        <v>2474</v>
      </c>
      <c r="F133" s="9" t="s">
        <v>2443</v>
      </c>
      <c r="G133" s="36" t="s">
        <v>13</v>
      </c>
      <c r="H133" s="36" t="str">
        <f>IFERROR(VLOOKUP(Table2[[#This Row], [Ticket]],Okey!A:B,2,0),"")</f>
        <v>ok</v>
      </c>
      <c r="I133" s="36" t="s">
        <v>8546</v>
      </c>
      <c r="J133" s="36" t="s">
        <v>20</v>
      </c>
      <c r="K133" s="36"/>
      <c r="L133" s="36"/>
      <c r="M133" s="36" t="s">
        <v>8013</v>
      </c>
    </row>
    <row r="134" spans="1:13" hidden="1">
      <c r="A134" s="42">
        <f t="shared" si="2"/>
        <v>133</v>
      </c>
      <c r="B134" s="36" t="s">
        <v>6</v>
      </c>
      <c r="C134" s="36" t="s">
        <v>7976</v>
      </c>
      <c r="D134" s="36" t="s">
        <v>2484</v>
      </c>
      <c r="F134" s="9" t="s">
        <v>2443</v>
      </c>
      <c r="G134" s="36" t="s">
        <v>13</v>
      </c>
      <c r="H134" s="36" t="str">
        <f>IFERROR(VLOOKUP(Table2[[#This Row], [Ticket]],Okey!A:B,2,0),"")</f>
        <v>ok</v>
      </c>
      <c r="I134" s="36" t="s">
        <v>8546</v>
      </c>
      <c r="J134" s="36" t="s">
        <v>20</v>
      </c>
      <c r="K134" s="36"/>
      <c r="L134" s="36"/>
      <c r="M134" s="36" t="s">
        <v>8013</v>
      </c>
    </row>
    <row r="135" spans="1:13" hidden="1">
      <c r="A135" s="42">
        <f t="shared" si="2"/>
        <v>134</v>
      </c>
      <c r="B135" s="36" t="s">
        <v>6</v>
      </c>
      <c r="C135" s="36" t="s">
        <v>7976</v>
      </c>
      <c r="D135" s="36" t="s">
        <v>4870</v>
      </c>
      <c r="F135" s="9" t="s">
        <v>8044</v>
      </c>
      <c r="G135" s="36" t="s">
        <v>13</v>
      </c>
      <c r="H135" s="36" t="str">
        <f>IFERROR(VLOOKUP(Table2[[#This Row], [Ticket]],Okey!A:B,2,0),"")</f>
        <v>ok</v>
      </c>
      <c r="I135" s="36" t="s">
        <v>8546</v>
      </c>
      <c r="J135" s="36" t="s">
        <v>20</v>
      </c>
      <c r="K135" s="36"/>
      <c r="L135" s="36"/>
      <c r="M135" s="36" t="s">
        <v>8013</v>
      </c>
    </row>
    <row r="136" spans="1:13" hidden="1">
      <c r="A136" s="42">
        <f t="shared" si="2"/>
        <v>135</v>
      </c>
      <c r="B136" s="36" t="s">
        <v>6</v>
      </c>
      <c r="C136" s="36" t="s">
        <v>7976</v>
      </c>
      <c r="D136" s="36" t="s">
        <v>2382</v>
      </c>
      <c r="F136" s="9" t="s">
        <v>8046</v>
      </c>
      <c r="G136" s="36" t="s">
        <v>13</v>
      </c>
      <c r="H136" s="36" t="str">
        <f>IFERROR(VLOOKUP(Table2[[#This Row], [Ticket]],Okey!A:B,2,0),"")</f>
        <v>ok</v>
      </c>
      <c r="I136" s="36" t="s">
        <v>8546</v>
      </c>
      <c r="J136" s="36" t="s">
        <v>20</v>
      </c>
      <c r="K136" s="36"/>
      <c r="L136" s="36"/>
      <c r="M136" s="36" t="s">
        <v>8013</v>
      </c>
    </row>
    <row r="137" spans="1:13" hidden="1">
      <c r="A137" s="42">
        <f t="shared" si="2"/>
        <v>136</v>
      </c>
      <c r="B137" s="36" t="s">
        <v>6</v>
      </c>
      <c r="C137" s="36" t="s">
        <v>7976</v>
      </c>
      <c r="D137" s="36" t="s">
        <v>2105</v>
      </c>
      <c r="F137" s="9" t="s">
        <v>8046</v>
      </c>
      <c r="G137" s="36" t="s">
        <v>13</v>
      </c>
      <c r="H137" s="36" t="str">
        <f>IFERROR(VLOOKUP(Table2[[#This Row], [Ticket]],Okey!A:B,2,0),"")</f>
        <v>ok</v>
      </c>
      <c r="I137" s="36" t="s">
        <v>8546</v>
      </c>
      <c r="J137" s="36" t="s">
        <v>20</v>
      </c>
      <c r="K137" s="36"/>
      <c r="L137" s="36"/>
      <c r="M137" s="36" t="s">
        <v>8013</v>
      </c>
    </row>
    <row r="138" spans="1:13" hidden="1">
      <c r="A138" s="42">
        <f t="shared" si="2"/>
        <v>137</v>
      </c>
      <c r="B138" s="36" t="s">
        <v>6</v>
      </c>
      <c r="C138" s="36" t="s">
        <v>7976</v>
      </c>
      <c r="D138" s="36" t="s">
        <v>2096</v>
      </c>
      <c r="F138" s="9" t="s">
        <v>8046</v>
      </c>
      <c r="G138" s="36" t="s">
        <v>13</v>
      </c>
      <c r="H138" s="36" t="str">
        <f>IFERROR(VLOOKUP(Table2[[#This Row], [Ticket]],Okey!A:B,2,0),"")</f>
        <v>ok</v>
      </c>
      <c r="I138" s="36" t="s">
        <v>8546</v>
      </c>
      <c r="J138" s="36" t="s">
        <v>20</v>
      </c>
      <c r="K138" s="36"/>
      <c r="L138" s="36"/>
      <c r="M138" s="36" t="s">
        <v>8013</v>
      </c>
    </row>
    <row r="139" spans="1:13" hidden="1">
      <c r="A139" s="42">
        <f t="shared" si="2"/>
        <v>138</v>
      </c>
      <c r="B139" s="36" t="s">
        <v>6</v>
      </c>
      <c r="C139" s="36" t="s">
        <v>7976</v>
      </c>
      <c r="D139" s="36" t="s">
        <v>2321</v>
      </c>
      <c r="F139" s="9" t="s">
        <v>8046</v>
      </c>
      <c r="G139" s="36" t="s">
        <v>13</v>
      </c>
      <c r="H139" s="36" t="str">
        <f>IFERROR(VLOOKUP(Table2[[#This Row], [Ticket]],Okey!A:B,2,0),"")</f>
        <v>ok</v>
      </c>
      <c r="I139" s="36" t="s">
        <v>8546</v>
      </c>
      <c r="J139" s="36" t="s">
        <v>20</v>
      </c>
      <c r="K139" s="36"/>
      <c r="L139" s="36"/>
      <c r="M139" s="36" t="s">
        <v>8013</v>
      </c>
    </row>
    <row r="140" spans="1:13" hidden="1">
      <c r="A140" s="42">
        <f t="shared" si="2"/>
        <v>139</v>
      </c>
      <c r="B140" s="36" t="s">
        <v>6</v>
      </c>
      <c r="C140" s="36" t="s">
        <v>7976</v>
      </c>
      <c r="D140" s="36" t="s">
        <v>2125</v>
      </c>
      <c r="F140" s="9" t="s">
        <v>8047</v>
      </c>
      <c r="G140" s="36" t="s">
        <v>13</v>
      </c>
      <c r="H140" s="36" t="str">
        <f>IFERROR(VLOOKUP(Table2[[#This Row], [Ticket]],Okey!A:B,2,0),"")</f>
        <v>ok</v>
      </c>
      <c r="I140" s="36" t="s">
        <v>8546</v>
      </c>
      <c r="J140" s="36" t="s">
        <v>20</v>
      </c>
      <c r="K140" s="36"/>
      <c r="L140" s="36"/>
      <c r="M140" s="36" t="s">
        <v>8013</v>
      </c>
    </row>
    <row r="141" spans="1:13" hidden="1">
      <c r="A141" s="42">
        <f t="shared" si="2"/>
        <v>140</v>
      </c>
      <c r="B141" s="36" t="s">
        <v>6</v>
      </c>
      <c r="C141" s="36" t="s">
        <v>7976</v>
      </c>
      <c r="D141" s="36" t="s">
        <v>2090</v>
      </c>
      <c r="F141" s="9" t="s">
        <v>8047</v>
      </c>
      <c r="G141" s="36" t="s">
        <v>13</v>
      </c>
      <c r="H141" s="36" t="str">
        <f>IFERROR(VLOOKUP(Table2[[#This Row], [Ticket]],Okey!A:B,2,0),"")</f>
        <v>ok</v>
      </c>
      <c r="I141" s="36" t="s">
        <v>8546</v>
      </c>
      <c r="J141" s="36" t="s">
        <v>20</v>
      </c>
      <c r="K141" s="36"/>
      <c r="L141" s="36"/>
      <c r="M141" s="36" t="s">
        <v>8013</v>
      </c>
    </row>
    <row r="142" spans="1:13" hidden="1">
      <c r="A142" s="42">
        <f t="shared" si="2"/>
        <v>141</v>
      </c>
      <c r="B142" s="36" t="s">
        <v>6</v>
      </c>
      <c r="C142" s="36" t="s">
        <v>7976</v>
      </c>
      <c r="D142" s="36" t="s">
        <v>2340</v>
      </c>
      <c r="F142" s="9" t="s">
        <v>8047</v>
      </c>
      <c r="G142" s="36" t="s">
        <v>13</v>
      </c>
      <c r="H142" s="36" t="str">
        <f>IFERROR(VLOOKUP(Table2[[#This Row], [Ticket]],Okey!A:B,2,0),"")</f>
        <v>ok</v>
      </c>
      <c r="I142" s="36" t="s">
        <v>8546</v>
      </c>
      <c r="J142" s="36" t="s">
        <v>20</v>
      </c>
      <c r="K142" s="36"/>
      <c r="L142" s="36"/>
      <c r="M142" s="36" t="s">
        <v>8013</v>
      </c>
    </row>
    <row r="143" spans="1:13" hidden="1">
      <c r="A143" s="42">
        <f t="shared" si="2"/>
        <v>142</v>
      </c>
      <c r="B143" s="36" t="s">
        <v>6</v>
      </c>
      <c r="C143" s="36" t="s">
        <v>7976</v>
      </c>
      <c r="D143" s="36" t="s">
        <v>2325</v>
      </c>
      <c r="F143" s="9" t="s">
        <v>8047</v>
      </c>
      <c r="G143" s="36" t="s">
        <v>13</v>
      </c>
      <c r="H143" s="36" t="str">
        <f>IFERROR(VLOOKUP(Table2[[#This Row], [Ticket]],Okey!A:B,2,0),"")</f>
        <v>ok</v>
      </c>
      <c r="I143" s="36" t="s">
        <v>8546</v>
      </c>
      <c r="J143" s="36" t="s">
        <v>20</v>
      </c>
      <c r="K143" s="36"/>
      <c r="L143" s="36"/>
      <c r="M143" s="36" t="s">
        <v>8013</v>
      </c>
    </row>
    <row r="144" spans="1:13" hidden="1">
      <c r="A144" s="42">
        <f t="shared" si="2"/>
        <v>143</v>
      </c>
      <c r="B144" s="36" t="s">
        <v>6</v>
      </c>
      <c r="C144" s="36" t="s">
        <v>7976</v>
      </c>
      <c r="D144" s="36" t="s">
        <v>2110</v>
      </c>
      <c r="F144" s="9" t="s">
        <v>8048</v>
      </c>
      <c r="G144" s="36" t="s">
        <v>13</v>
      </c>
      <c r="H144" s="36" t="str">
        <f>IFERROR(VLOOKUP(Table2[[#This Row], [Ticket]],Okey!A:B,2,0),"")</f>
        <v>ok</v>
      </c>
      <c r="I144" s="36" t="s">
        <v>8546</v>
      </c>
      <c r="J144" s="36" t="s">
        <v>20</v>
      </c>
      <c r="K144" s="36"/>
      <c r="L144" s="36"/>
      <c r="M144" s="36" t="s">
        <v>8013</v>
      </c>
    </row>
    <row r="145" spans="1:13" hidden="1">
      <c r="A145" s="42">
        <f t="shared" si="2"/>
        <v>144</v>
      </c>
      <c r="B145" s="36" t="s">
        <v>6</v>
      </c>
      <c r="C145" s="36" t="s">
        <v>7976</v>
      </c>
      <c r="D145" s="36" t="s">
        <v>2401</v>
      </c>
      <c r="F145" s="9" t="s">
        <v>8048</v>
      </c>
      <c r="G145" s="36" t="s">
        <v>13</v>
      </c>
      <c r="H145" s="36" t="str">
        <f>IFERROR(VLOOKUP(Table2[[#This Row], [Ticket]],Okey!A:B,2,0),"")</f>
        <v>ok</v>
      </c>
      <c r="I145" s="36" t="s">
        <v>8546</v>
      </c>
      <c r="J145" s="36" t="s">
        <v>20</v>
      </c>
      <c r="K145" s="36"/>
      <c r="L145" s="36"/>
      <c r="M145" s="36" t="s">
        <v>8013</v>
      </c>
    </row>
    <row r="146" spans="1:13" hidden="1">
      <c r="A146" s="42">
        <f t="shared" si="2"/>
        <v>145</v>
      </c>
      <c r="B146" s="36" t="s">
        <v>6</v>
      </c>
      <c r="C146" s="36" t="s">
        <v>7976</v>
      </c>
      <c r="D146" s="36" t="s">
        <v>2359</v>
      </c>
      <c r="F146" s="9" t="s">
        <v>8048</v>
      </c>
      <c r="G146" s="36" t="s">
        <v>13</v>
      </c>
      <c r="H146" s="36" t="str">
        <f>IFERROR(VLOOKUP(Table2[[#This Row], [Ticket]],Okey!A:B,2,0),"")</f>
        <v>ok</v>
      </c>
      <c r="I146" s="36" t="s">
        <v>8546</v>
      </c>
      <c r="J146" s="36" t="s">
        <v>20</v>
      </c>
      <c r="K146" s="36"/>
      <c r="L146" s="36"/>
      <c r="M146" s="36" t="s">
        <v>8013</v>
      </c>
    </row>
    <row r="147" spans="1:13" hidden="1">
      <c r="A147" s="42">
        <f t="shared" si="2"/>
        <v>146</v>
      </c>
      <c r="B147" s="36" t="s">
        <v>6</v>
      </c>
      <c r="C147" s="36" t="s">
        <v>7976</v>
      </c>
      <c r="D147" s="36" t="s">
        <v>2053</v>
      </c>
      <c r="F147" s="9" t="s">
        <v>8045</v>
      </c>
      <c r="G147" s="36" t="s">
        <v>13</v>
      </c>
      <c r="H147" s="36" t="str">
        <f>IFERROR(VLOOKUP(Table2[[#This Row], [Ticket]],Okey!A:B,2,0),"")</f>
        <v>ok</v>
      </c>
      <c r="I147" s="36" t="s">
        <v>8546</v>
      </c>
      <c r="J147" s="36" t="s">
        <v>20</v>
      </c>
      <c r="K147" s="36"/>
      <c r="L147" s="36"/>
      <c r="M147" s="36" t="s">
        <v>8013</v>
      </c>
    </row>
    <row r="148" spans="1:13" hidden="1">
      <c r="A148" s="42">
        <f t="shared" ref="A148:A211" si="3">1+A147</f>
        <v>147</v>
      </c>
      <c r="B148" s="36" t="s">
        <v>6</v>
      </c>
      <c r="C148" s="36" t="s">
        <v>7976</v>
      </c>
      <c r="D148" s="36" t="s">
        <v>4868</v>
      </c>
      <c r="E148" s="9" t="s">
        <v>8055</v>
      </c>
      <c r="G148" s="9" t="s">
        <v>15</v>
      </c>
      <c r="H148" s="36" t="str">
        <f>IFERROR(VLOOKUP(Table2[[#This Row], [Ticket]],Okey!A:B,2,0),"")</f>
        <v>ok</v>
      </c>
      <c r="I148" s="36" t="s">
        <v>8546</v>
      </c>
      <c r="J148" s="36" t="s">
        <v>20</v>
      </c>
      <c r="K148" s="36"/>
      <c r="L148" s="36"/>
      <c r="M148" s="36" t="s">
        <v>8013</v>
      </c>
    </row>
    <row r="149" spans="1:13" hidden="1">
      <c r="A149" s="42">
        <f t="shared" si="3"/>
        <v>148</v>
      </c>
      <c r="B149" s="36" t="s">
        <v>6</v>
      </c>
      <c r="C149" s="36" t="s">
        <v>7976</v>
      </c>
      <c r="D149" s="36" t="s">
        <v>8054</v>
      </c>
      <c r="E149" s="9" t="s">
        <v>8056</v>
      </c>
      <c r="G149" s="36" t="s">
        <v>15</v>
      </c>
      <c r="H149" s="36" t="str">
        <f>IFERROR(VLOOKUP(Table2[[#This Row], [Ticket]],Okey!A:B,2,0),"")</f>
        <v>ok</v>
      </c>
      <c r="I149" s="36" t="s">
        <v>8546</v>
      </c>
      <c r="J149" s="36" t="s">
        <v>20</v>
      </c>
      <c r="K149" s="36"/>
      <c r="L149" s="36"/>
      <c r="M149" s="36" t="s">
        <v>8013</v>
      </c>
    </row>
    <row r="150" spans="1:13" hidden="1">
      <c r="A150" s="42">
        <f t="shared" si="3"/>
        <v>149</v>
      </c>
      <c r="B150" s="36" t="s">
        <v>6</v>
      </c>
      <c r="C150" s="36" t="s">
        <v>7976</v>
      </c>
      <c r="D150" s="36" t="s">
        <v>3241</v>
      </c>
      <c r="E150" s="9" t="s">
        <v>8057</v>
      </c>
      <c r="G150" s="36" t="s">
        <v>15</v>
      </c>
      <c r="H150" s="36" t="str">
        <f>IFERROR(VLOOKUP(Table2[[#This Row], [Ticket]],Okey!A:B,2,0),"")</f>
        <v>ok</v>
      </c>
      <c r="I150" s="36" t="s">
        <v>8546</v>
      </c>
      <c r="J150" s="36" t="s">
        <v>20</v>
      </c>
      <c r="K150" s="36"/>
      <c r="L150" s="36"/>
      <c r="M150" s="36" t="s">
        <v>8013</v>
      </c>
    </row>
    <row r="151" spans="1:13" hidden="1">
      <c r="A151" s="42">
        <f t="shared" si="3"/>
        <v>150</v>
      </c>
      <c r="B151" s="36" t="s">
        <v>6</v>
      </c>
      <c r="C151" s="36" t="s">
        <v>7976</v>
      </c>
      <c r="D151" s="36" t="s">
        <v>3243</v>
      </c>
      <c r="E151" s="9" t="s">
        <v>8012</v>
      </c>
      <c r="G151" s="36" t="s">
        <v>15</v>
      </c>
      <c r="H151" s="36" t="str">
        <f>IFERROR(VLOOKUP(Table2[[#This Row], [Ticket]],Okey!A:B,2,0),"")</f>
        <v>ok</v>
      </c>
      <c r="I151" s="36" t="s">
        <v>8546</v>
      </c>
      <c r="J151" s="36" t="s">
        <v>20</v>
      </c>
      <c r="K151" s="36"/>
      <c r="L151" s="36"/>
      <c r="M151" s="36" t="s">
        <v>8013</v>
      </c>
    </row>
    <row r="152" spans="1:13" hidden="1">
      <c r="A152" s="42">
        <f t="shared" si="3"/>
        <v>151</v>
      </c>
      <c r="B152" s="36" t="s">
        <v>6</v>
      </c>
      <c r="C152" s="36" t="s">
        <v>7976</v>
      </c>
      <c r="D152" s="36" t="s">
        <v>3237</v>
      </c>
      <c r="E152" s="9" t="s">
        <v>8058</v>
      </c>
      <c r="G152" s="36" t="s">
        <v>15</v>
      </c>
      <c r="H152" s="36" t="str">
        <f>IFERROR(VLOOKUP(Table2[[#This Row], [Ticket]],Okey!A:B,2,0),"")</f>
        <v>ok</v>
      </c>
      <c r="I152" s="36" t="s">
        <v>8546</v>
      </c>
      <c r="J152" s="36" t="s">
        <v>20</v>
      </c>
      <c r="K152" s="36"/>
      <c r="L152" s="36"/>
      <c r="M152" s="36" t="s">
        <v>8013</v>
      </c>
    </row>
    <row r="153" spans="1:13" hidden="1">
      <c r="A153" s="42">
        <f t="shared" si="3"/>
        <v>152</v>
      </c>
      <c r="B153" s="36" t="s">
        <v>6</v>
      </c>
      <c r="C153" s="9" t="s">
        <v>8059</v>
      </c>
      <c r="D153" s="9" t="s">
        <v>7972</v>
      </c>
      <c r="F153" s="9" t="s">
        <v>6241</v>
      </c>
      <c r="G153" s="9" t="s">
        <v>13</v>
      </c>
      <c r="H153" s="36" t="str">
        <f>IFERROR(VLOOKUP(Table2[[#This Row], [Ticket]],Okey!A:B,2,0),"")</f>
        <v>ok</v>
      </c>
      <c r="I153" s="36" t="s">
        <v>8546</v>
      </c>
      <c r="J153" s="9" t="s">
        <v>17</v>
      </c>
      <c r="K153" s="36"/>
      <c r="L153" s="36"/>
      <c r="M153" s="9" t="s">
        <v>6354</v>
      </c>
    </row>
    <row r="154" spans="1:13" hidden="1">
      <c r="A154" s="42">
        <f t="shared" si="3"/>
        <v>153</v>
      </c>
      <c r="B154" s="36" t="s">
        <v>6</v>
      </c>
      <c r="C154" s="9" t="s">
        <v>8060</v>
      </c>
      <c r="D154" s="9" t="s">
        <v>8061</v>
      </c>
      <c r="E154" s="9" t="s">
        <v>8062</v>
      </c>
      <c r="F154" s="9" t="s">
        <v>1147</v>
      </c>
      <c r="G154" s="9" t="s">
        <v>14</v>
      </c>
      <c r="H154" s="36" t="str">
        <f>IFERROR(VLOOKUP(Table2[[#This Row], [Ticket]],Okey!A:B,2,0),"")</f>
        <v>ok</v>
      </c>
      <c r="I154" s="36" t="s">
        <v>8546</v>
      </c>
      <c r="J154" s="36" t="s">
        <v>19</v>
      </c>
      <c r="K154" s="36"/>
      <c r="L154" s="36"/>
      <c r="M154" s="9" t="s">
        <v>8106</v>
      </c>
    </row>
    <row r="155" spans="1:13" hidden="1">
      <c r="A155" s="42">
        <f t="shared" si="3"/>
        <v>154</v>
      </c>
      <c r="B155" s="36" t="s">
        <v>6</v>
      </c>
      <c r="C155" s="36" t="s">
        <v>8060</v>
      </c>
      <c r="D155" s="9" t="s">
        <v>8063</v>
      </c>
      <c r="E155" s="9" t="s">
        <v>8064</v>
      </c>
      <c r="F155" s="9" t="s">
        <v>8061</v>
      </c>
      <c r="G155" s="36" t="s">
        <v>14</v>
      </c>
      <c r="H155" s="36" t="str">
        <f>IFERROR(VLOOKUP(Table2[[#This Row], [Ticket]],Okey!A:B,2,0),"")</f>
        <v>ok</v>
      </c>
      <c r="I155" s="36" t="s">
        <v>8546</v>
      </c>
      <c r="J155" s="36" t="s">
        <v>19</v>
      </c>
      <c r="K155" s="36"/>
      <c r="L155" s="36"/>
      <c r="M155" s="36" t="s">
        <v>8106</v>
      </c>
    </row>
    <row r="156" spans="1:13" hidden="1">
      <c r="A156" s="42">
        <f t="shared" si="3"/>
        <v>155</v>
      </c>
      <c r="B156" s="36" t="s">
        <v>6</v>
      </c>
      <c r="C156" s="36" t="s">
        <v>8060</v>
      </c>
      <c r="D156" s="9" t="s">
        <v>8065</v>
      </c>
      <c r="E156" s="9" t="s">
        <v>8066</v>
      </c>
      <c r="F156" s="9" t="s">
        <v>8061</v>
      </c>
      <c r="G156" s="36" t="s">
        <v>14</v>
      </c>
      <c r="H156" s="36" t="str">
        <f>IFERROR(VLOOKUP(Table2[[#This Row], [Ticket]],Okey!A:B,2,0),"")</f>
        <v>ok</v>
      </c>
      <c r="I156" s="36" t="s">
        <v>8546</v>
      </c>
      <c r="J156" s="36" t="s">
        <v>19</v>
      </c>
      <c r="K156" s="36"/>
      <c r="L156" s="36"/>
      <c r="M156" s="36" t="s">
        <v>8106</v>
      </c>
    </row>
    <row r="157" spans="1:13" hidden="1">
      <c r="A157" s="42">
        <f t="shared" si="3"/>
        <v>156</v>
      </c>
      <c r="B157" s="36" t="s">
        <v>6</v>
      </c>
      <c r="C157" s="36" t="s">
        <v>8060</v>
      </c>
      <c r="D157" s="9" t="s">
        <v>8067</v>
      </c>
      <c r="E157" s="9" t="s">
        <v>8068</v>
      </c>
      <c r="F157" s="9" t="s">
        <v>8061</v>
      </c>
      <c r="G157" s="36" t="s">
        <v>14</v>
      </c>
      <c r="H157" s="36" t="str">
        <f>IFERROR(VLOOKUP(Table2[[#This Row], [Ticket]],Okey!A:B,2,0),"")</f>
        <v>ok</v>
      </c>
      <c r="I157" s="36" t="s">
        <v>8546</v>
      </c>
      <c r="J157" s="36" t="s">
        <v>19</v>
      </c>
      <c r="K157" s="36"/>
      <c r="L157" s="36"/>
      <c r="M157" s="36" t="s">
        <v>8106</v>
      </c>
    </row>
    <row r="158" spans="1:13" hidden="1">
      <c r="A158" s="42">
        <f t="shared" si="3"/>
        <v>157</v>
      </c>
      <c r="B158" s="36" t="s">
        <v>6</v>
      </c>
      <c r="C158" s="36" t="s">
        <v>8060</v>
      </c>
      <c r="D158" s="9" t="s">
        <v>8069</v>
      </c>
      <c r="E158" s="9" t="s">
        <v>8070</v>
      </c>
      <c r="F158" s="9" t="s">
        <v>8061</v>
      </c>
      <c r="G158" s="36" t="s">
        <v>14</v>
      </c>
      <c r="H158" s="36" t="str">
        <f>IFERROR(VLOOKUP(Table2[[#This Row], [Ticket]],Okey!A:B,2,0),"")</f>
        <v>ok</v>
      </c>
      <c r="I158" s="36" t="s">
        <v>8546</v>
      </c>
      <c r="J158" s="36" t="s">
        <v>19</v>
      </c>
      <c r="K158" s="36"/>
      <c r="L158" s="36"/>
      <c r="M158" s="36" t="s">
        <v>8106</v>
      </c>
    </row>
    <row r="159" spans="1:13" hidden="1">
      <c r="A159" s="42">
        <f t="shared" si="3"/>
        <v>158</v>
      </c>
      <c r="B159" s="36" t="s">
        <v>6</v>
      </c>
      <c r="C159" s="36" t="s">
        <v>8060</v>
      </c>
      <c r="D159" s="9" t="s">
        <v>8071</v>
      </c>
      <c r="E159" s="9" t="s">
        <v>8072</v>
      </c>
      <c r="F159" s="9" t="s">
        <v>8061</v>
      </c>
      <c r="G159" s="36" t="s">
        <v>14</v>
      </c>
      <c r="H159" s="36" t="str">
        <f>IFERROR(VLOOKUP(Table2[[#This Row], [Ticket]],Okey!A:B,2,0),"")</f>
        <v>ok</v>
      </c>
      <c r="I159" s="36" t="s">
        <v>8546</v>
      </c>
      <c r="J159" s="36" t="s">
        <v>19</v>
      </c>
      <c r="K159" s="36"/>
      <c r="L159" s="36"/>
      <c r="M159" s="36" t="s">
        <v>8106</v>
      </c>
    </row>
    <row r="160" spans="1:13" hidden="1">
      <c r="A160" s="42">
        <f t="shared" si="3"/>
        <v>159</v>
      </c>
      <c r="B160" s="36" t="s">
        <v>6</v>
      </c>
      <c r="C160" s="36" t="s">
        <v>8060</v>
      </c>
      <c r="D160" s="9" t="s">
        <v>8073</v>
      </c>
      <c r="E160" s="9" t="s">
        <v>8074</v>
      </c>
      <c r="F160" s="9" t="s">
        <v>8063</v>
      </c>
      <c r="G160" s="36" t="s">
        <v>14</v>
      </c>
      <c r="H160" s="36" t="str">
        <f>IFERROR(VLOOKUP(Table2[[#This Row], [Ticket]],Okey!A:B,2,0),"")</f>
        <v>ok</v>
      </c>
      <c r="I160" s="36" t="s">
        <v>8546</v>
      </c>
      <c r="J160" s="36" t="s">
        <v>19</v>
      </c>
      <c r="K160" s="36"/>
      <c r="L160" s="36"/>
      <c r="M160" s="36" t="s">
        <v>8106</v>
      </c>
    </row>
    <row r="161" spans="1:13" hidden="1">
      <c r="A161" s="42">
        <f t="shared" si="3"/>
        <v>160</v>
      </c>
      <c r="B161" s="36" t="s">
        <v>6</v>
      </c>
      <c r="C161" s="36" t="s">
        <v>8060</v>
      </c>
      <c r="D161" s="9" t="s">
        <v>8075</v>
      </c>
      <c r="E161" s="9" t="s">
        <v>8076</v>
      </c>
      <c r="F161" s="9" t="s">
        <v>8063</v>
      </c>
      <c r="G161" s="36" t="s">
        <v>14</v>
      </c>
      <c r="H161" s="36" t="str">
        <f>IFERROR(VLOOKUP(Table2[[#This Row], [Ticket]],Okey!A:B,2,0),"")</f>
        <v>ok</v>
      </c>
      <c r="I161" s="36" t="s">
        <v>8546</v>
      </c>
      <c r="J161" s="36" t="s">
        <v>19</v>
      </c>
      <c r="K161" s="36"/>
      <c r="L161" s="36"/>
      <c r="M161" s="36" t="s">
        <v>8106</v>
      </c>
    </row>
    <row r="162" spans="1:13" hidden="1">
      <c r="A162" s="42">
        <f t="shared" si="3"/>
        <v>161</v>
      </c>
      <c r="B162" s="36" t="s">
        <v>6</v>
      </c>
      <c r="C162" s="36" t="s">
        <v>8060</v>
      </c>
      <c r="D162" s="9" t="s">
        <v>8077</v>
      </c>
      <c r="E162" s="9" t="s">
        <v>8078</v>
      </c>
      <c r="F162" s="9" t="s">
        <v>8065</v>
      </c>
      <c r="G162" s="36" t="s">
        <v>14</v>
      </c>
      <c r="H162" s="36" t="str">
        <f>IFERROR(VLOOKUP(Table2[[#This Row], [Ticket]],Okey!A:B,2,0),"")</f>
        <v>ok</v>
      </c>
      <c r="I162" s="36" t="s">
        <v>8546</v>
      </c>
      <c r="J162" s="36" t="s">
        <v>19</v>
      </c>
      <c r="K162" s="36"/>
      <c r="L162" s="36"/>
      <c r="M162" s="36" t="s">
        <v>8106</v>
      </c>
    </row>
    <row r="163" spans="1:13" hidden="1">
      <c r="A163" s="42">
        <f t="shared" si="3"/>
        <v>162</v>
      </c>
      <c r="B163" s="36" t="s">
        <v>6</v>
      </c>
      <c r="C163" s="36" t="s">
        <v>8060</v>
      </c>
      <c r="D163" s="9" t="s">
        <v>8079</v>
      </c>
      <c r="E163" s="9" t="s">
        <v>8080</v>
      </c>
      <c r="F163" s="9" t="s">
        <v>8065</v>
      </c>
      <c r="G163" s="36" t="s">
        <v>14</v>
      </c>
      <c r="H163" s="36" t="str">
        <f>IFERROR(VLOOKUP(Table2[[#This Row], [Ticket]],Okey!A:B,2,0),"")</f>
        <v>ok</v>
      </c>
      <c r="I163" s="36" t="s">
        <v>8546</v>
      </c>
      <c r="J163" s="36" t="s">
        <v>19</v>
      </c>
      <c r="K163" s="36"/>
      <c r="L163" s="36"/>
      <c r="M163" s="36" t="s">
        <v>8106</v>
      </c>
    </row>
    <row r="164" spans="1:13" hidden="1">
      <c r="A164" s="42">
        <f t="shared" si="3"/>
        <v>163</v>
      </c>
      <c r="B164" s="36" t="s">
        <v>6</v>
      </c>
      <c r="C164" s="36" t="s">
        <v>8060</v>
      </c>
      <c r="D164" s="9" t="s">
        <v>8081</v>
      </c>
      <c r="E164" s="9" t="s">
        <v>8082</v>
      </c>
      <c r="F164" s="9" t="s">
        <v>8065</v>
      </c>
      <c r="G164" s="36" t="s">
        <v>14</v>
      </c>
      <c r="H164" s="36" t="str">
        <f>IFERROR(VLOOKUP(Table2[[#This Row], [Ticket]],Okey!A:B,2,0),"")</f>
        <v>ok</v>
      </c>
      <c r="I164" s="36" t="s">
        <v>8546</v>
      </c>
      <c r="J164" s="36" t="s">
        <v>19</v>
      </c>
      <c r="K164" s="36"/>
      <c r="L164" s="36"/>
      <c r="M164" s="36" t="s">
        <v>8106</v>
      </c>
    </row>
    <row r="165" spans="1:13" hidden="1">
      <c r="A165" s="42">
        <f t="shared" si="3"/>
        <v>164</v>
      </c>
      <c r="B165" s="36" t="s">
        <v>6</v>
      </c>
      <c r="C165" s="36" t="s">
        <v>8060</v>
      </c>
      <c r="D165" s="9" t="s">
        <v>8083</v>
      </c>
      <c r="E165" s="9" t="s">
        <v>8084</v>
      </c>
      <c r="F165" s="9" t="s">
        <v>8067</v>
      </c>
      <c r="G165" s="36" t="s">
        <v>14</v>
      </c>
      <c r="H165" s="36" t="str">
        <f>IFERROR(VLOOKUP(Table2[[#This Row], [Ticket]],Okey!A:B,2,0),"")</f>
        <v>ok</v>
      </c>
      <c r="I165" s="36" t="s">
        <v>8546</v>
      </c>
      <c r="J165" s="36" t="s">
        <v>19</v>
      </c>
      <c r="K165" s="36"/>
      <c r="L165" s="36"/>
      <c r="M165" s="36" t="s">
        <v>8106</v>
      </c>
    </row>
    <row r="166" spans="1:13" hidden="1">
      <c r="A166" s="42">
        <f t="shared" si="3"/>
        <v>165</v>
      </c>
      <c r="B166" s="36" t="s">
        <v>6</v>
      </c>
      <c r="C166" s="36" t="s">
        <v>8060</v>
      </c>
      <c r="D166" s="9" t="s">
        <v>8085</v>
      </c>
      <c r="E166" s="9" t="s">
        <v>8086</v>
      </c>
      <c r="F166" s="9" t="s">
        <v>8067</v>
      </c>
      <c r="G166" s="36" t="s">
        <v>14</v>
      </c>
      <c r="H166" s="36" t="str">
        <f>IFERROR(VLOOKUP(Table2[[#This Row], [Ticket]],Okey!A:B,2,0),"")</f>
        <v>ok</v>
      </c>
      <c r="I166" s="36" t="s">
        <v>8546</v>
      </c>
      <c r="J166" s="36" t="s">
        <v>19</v>
      </c>
      <c r="K166" s="36"/>
      <c r="L166" s="36"/>
      <c r="M166" s="36" t="s">
        <v>8106</v>
      </c>
    </row>
    <row r="167" spans="1:13" hidden="1">
      <c r="A167" s="42">
        <f t="shared" si="3"/>
        <v>166</v>
      </c>
      <c r="B167" s="36" t="s">
        <v>6</v>
      </c>
      <c r="C167" s="36" t="s">
        <v>8060</v>
      </c>
      <c r="D167" s="9" t="s">
        <v>8087</v>
      </c>
      <c r="E167" s="9" t="s">
        <v>8088</v>
      </c>
      <c r="F167" s="9" t="s">
        <v>8067</v>
      </c>
      <c r="G167" s="36" t="s">
        <v>14</v>
      </c>
      <c r="H167" s="36" t="str">
        <f>IFERROR(VLOOKUP(Table2[[#This Row], [Ticket]],Okey!A:B,2,0),"")</f>
        <v>ok</v>
      </c>
      <c r="I167" s="36" t="s">
        <v>8546</v>
      </c>
      <c r="J167" s="36" t="s">
        <v>19</v>
      </c>
      <c r="K167" s="36"/>
      <c r="L167" s="36"/>
      <c r="M167" s="36" t="s">
        <v>8106</v>
      </c>
    </row>
    <row r="168" spans="1:13" hidden="1">
      <c r="A168" s="42">
        <f t="shared" si="3"/>
        <v>167</v>
      </c>
      <c r="B168" s="36" t="s">
        <v>6</v>
      </c>
      <c r="C168" s="36" t="s">
        <v>8060</v>
      </c>
      <c r="D168" s="9" t="s">
        <v>8089</v>
      </c>
      <c r="E168" s="9" t="s">
        <v>8090</v>
      </c>
      <c r="F168" s="9" t="s">
        <v>8067</v>
      </c>
      <c r="G168" s="36" t="s">
        <v>14</v>
      </c>
      <c r="H168" s="36" t="str">
        <f>IFERROR(VLOOKUP(Table2[[#This Row], [Ticket]],Okey!A:B,2,0),"")</f>
        <v>ok</v>
      </c>
      <c r="I168" s="36" t="s">
        <v>8546</v>
      </c>
      <c r="J168" s="36" t="s">
        <v>19</v>
      </c>
      <c r="K168" s="36"/>
      <c r="L168" s="36"/>
      <c r="M168" s="36" t="s">
        <v>8106</v>
      </c>
    </row>
    <row r="169" spans="1:13" hidden="1">
      <c r="A169" s="42">
        <f t="shared" si="3"/>
        <v>168</v>
      </c>
      <c r="B169" s="36" t="s">
        <v>6</v>
      </c>
      <c r="C169" s="36" t="s">
        <v>8060</v>
      </c>
      <c r="D169" s="9" t="s">
        <v>8091</v>
      </c>
      <c r="E169" s="9" t="s">
        <v>8092</v>
      </c>
      <c r="F169" s="9" t="s">
        <v>8073</v>
      </c>
      <c r="G169" s="36" t="s">
        <v>14</v>
      </c>
      <c r="H169" s="36" t="str">
        <f>IFERROR(VLOOKUP(Table2[[#This Row], [Ticket]],Okey!A:B,2,0),"")</f>
        <v>ok</v>
      </c>
      <c r="I169" s="36" t="s">
        <v>8546</v>
      </c>
      <c r="J169" s="36" t="s">
        <v>19</v>
      </c>
      <c r="K169" s="36"/>
      <c r="L169" s="36"/>
      <c r="M169" s="36" t="s">
        <v>8106</v>
      </c>
    </row>
    <row r="170" spans="1:13" hidden="1">
      <c r="A170" s="42">
        <f t="shared" si="3"/>
        <v>169</v>
      </c>
      <c r="B170" s="36" t="s">
        <v>6</v>
      </c>
      <c r="C170" s="36" t="s">
        <v>8060</v>
      </c>
      <c r="D170" s="9" t="s">
        <v>8093</v>
      </c>
      <c r="E170" s="9" t="s">
        <v>8092</v>
      </c>
      <c r="F170" s="9" t="s">
        <v>8075</v>
      </c>
      <c r="G170" s="36" t="s">
        <v>14</v>
      </c>
      <c r="H170" s="36" t="str">
        <f>IFERROR(VLOOKUP(Table2[[#This Row], [Ticket]],Okey!A:B,2,0),"")</f>
        <v>ok</v>
      </c>
      <c r="I170" s="36" t="s">
        <v>8546</v>
      </c>
      <c r="J170" s="36" t="s">
        <v>19</v>
      </c>
      <c r="K170" s="36"/>
      <c r="L170" s="36"/>
      <c r="M170" s="36" t="s">
        <v>8106</v>
      </c>
    </row>
    <row r="171" spans="1:13" hidden="1">
      <c r="A171" s="42">
        <f t="shared" si="3"/>
        <v>170</v>
      </c>
      <c r="B171" s="36" t="s">
        <v>6</v>
      </c>
      <c r="C171" s="36" t="s">
        <v>8060</v>
      </c>
      <c r="D171" s="9" t="s">
        <v>8094</v>
      </c>
      <c r="E171" s="9" t="s">
        <v>8095</v>
      </c>
      <c r="F171" s="9" t="s">
        <v>8091</v>
      </c>
      <c r="G171" s="36" t="s">
        <v>14</v>
      </c>
      <c r="H171" s="36" t="str">
        <f>IFERROR(VLOOKUP(Table2[[#This Row], [Ticket]],Okey!A:B,2,0),"")</f>
        <v>ok</v>
      </c>
      <c r="I171" s="36" t="s">
        <v>8546</v>
      </c>
      <c r="J171" s="36" t="s">
        <v>19</v>
      </c>
      <c r="K171" s="36"/>
      <c r="L171" s="36"/>
      <c r="M171" s="36" t="s">
        <v>8106</v>
      </c>
    </row>
    <row r="172" spans="1:13" hidden="1">
      <c r="A172" s="42">
        <f t="shared" si="3"/>
        <v>171</v>
      </c>
      <c r="B172" s="36" t="s">
        <v>6</v>
      </c>
      <c r="C172" s="36" t="s">
        <v>8060</v>
      </c>
      <c r="D172" s="9" t="s">
        <v>8096</v>
      </c>
      <c r="E172" s="9" t="s">
        <v>8097</v>
      </c>
      <c r="F172" s="9" t="s">
        <v>8091</v>
      </c>
      <c r="G172" s="36" t="s">
        <v>14</v>
      </c>
      <c r="H172" s="36" t="str">
        <f>IFERROR(VLOOKUP(Table2[[#This Row], [Ticket]],Okey!A:B,2,0),"")</f>
        <v>ok</v>
      </c>
      <c r="I172" s="36" t="s">
        <v>8546</v>
      </c>
      <c r="J172" s="36" t="s">
        <v>19</v>
      </c>
      <c r="K172" s="36"/>
      <c r="L172" s="36"/>
      <c r="M172" s="36" t="s">
        <v>8106</v>
      </c>
    </row>
    <row r="173" spans="1:13" hidden="1">
      <c r="A173" s="42">
        <f t="shared" si="3"/>
        <v>172</v>
      </c>
      <c r="B173" s="36" t="s">
        <v>6</v>
      </c>
      <c r="C173" s="36" t="s">
        <v>8060</v>
      </c>
      <c r="D173" s="9" t="s">
        <v>8098</v>
      </c>
      <c r="E173" s="9" t="s">
        <v>8099</v>
      </c>
      <c r="F173" s="9" t="s">
        <v>8091</v>
      </c>
      <c r="G173" s="36" t="s">
        <v>14</v>
      </c>
      <c r="H173" s="36" t="str">
        <f>IFERROR(VLOOKUP(Table2[[#This Row], [Ticket]],Okey!A:B,2,0),"")</f>
        <v>ok</v>
      </c>
      <c r="I173" s="36" t="s">
        <v>8546</v>
      </c>
      <c r="J173" s="36" t="s">
        <v>19</v>
      </c>
      <c r="K173" s="36"/>
      <c r="L173" s="36"/>
      <c r="M173" s="36" t="s">
        <v>8106</v>
      </c>
    </row>
    <row r="174" spans="1:13" hidden="1">
      <c r="A174" s="42">
        <f t="shared" si="3"/>
        <v>173</v>
      </c>
      <c r="B174" s="36" t="s">
        <v>6</v>
      </c>
      <c r="C174" s="36" t="s">
        <v>8060</v>
      </c>
      <c r="D174" s="9" t="s">
        <v>8100</v>
      </c>
      <c r="E174" s="9" t="s">
        <v>8101</v>
      </c>
      <c r="F174" s="9" t="s">
        <v>8091</v>
      </c>
      <c r="G174" s="36" t="s">
        <v>14</v>
      </c>
      <c r="H174" s="36" t="str">
        <f>IFERROR(VLOOKUP(Table2[[#This Row], [Ticket]],Okey!A:B,2,0),"")</f>
        <v>ok</v>
      </c>
      <c r="I174" s="36" t="s">
        <v>8546</v>
      </c>
      <c r="J174" s="36" t="s">
        <v>19</v>
      </c>
      <c r="K174" s="36"/>
      <c r="L174" s="36"/>
      <c r="M174" s="36" t="s">
        <v>8106</v>
      </c>
    </row>
    <row r="175" spans="1:13" hidden="1">
      <c r="A175" s="42">
        <f t="shared" si="3"/>
        <v>174</v>
      </c>
      <c r="B175" s="36" t="s">
        <v>6</v>
      </c>
      <c r="C175" s="36" t="s">
        <v>8060</v>
      </c>
      <c r="D175" s="9" t="s">
        <v>8102</v>
      </c>
      <c r="E175" s="9" t="s">
        <v>8095</v>
      </c>
      <c r="F175" s="36" t="s">
        <v>8091</v>
      </c>
      <c r="G175" s="36" t="s">
        <v>14</v>
      </c>
      <c r="H175" s="36" t="str">
        <f>IFERROR(VLOOKUP(Table2[[#This Row], [Ticket]],Okey!A:B,2,0),"")</f>
        <v>ok</v>
      </c>
      <c r="I175" s="36" t="s">
        <v>8546</v>
      </c>
      <c r="J175" s="36" t="s">
        <v>19</v>
      </c>
      <c r="K175" s="36"/>
      <c r="L175" s="36"/>
      <c r="M175" s="36" t="s">
        <v>8106</v>
      </c>
    </row>
    <row r="176" spans="1:13" hidden="1">
      <c r="A176" s="42">
        <f t="shared" si="3"/>
        <v>175</v>
      </c>
      <c r="B176" s="36" t="s">
        <v>6</v>
      </c>
      <c r="C176" s="36" t="s">
        <v>8060</v>
      </c>
      <c r="D176" s="9" t="s">
        <v>8103</v>
      </c>
      <c r="E176" s="9" t="s">
        <v>8097</v>
      </c>
      <c r="F176" s="36" t="s">
        <v>8091</v>
      </c>
      <c r="G176" s="36" t="s">
        <v>14</v>
      </c>
      <c r="H176" s="36" t="str">
        <f>IFERROR(VLOOKUP(Table2[[#This Row], [Ticket]],Okey!A:B,2,0),"")</f>
        <v>ok</v>
      </c>
      <c r="I176" s="36" t="s">
        <v>8546</v>
      </c>
      <c r="J176" s="36" t="s">
        <v>19</v>
      </c>
      <c r="K176" s="36"/>
      <c r="L176" s="36"/>
      <c r="M176" s="36" t="s">
        <v>8106</v>
      </c>
    </row>
    <row r="177" spans="1:13" hidden="1">
      <c r="A177" s="42">
        <f t="shared" si="3"/>
        <v>176</v>
      </c>
      <c r="B177" s="36" t="s">
        <v>6</v>
      </c>
      <c r="C177" s="36" t="s">
        <v>8060</v>
      </c>
      <c r="D177" s="9" t="s">
        <v>8104</v>
      </c>
      <c r="E177" s="9" t="s">
        <v>8099</v>
      </c>
      <c r="F177" s="36" t="s">
        <v>8091</v>
      </c>
      <c r="G177" s="36" t="s">
        <v>14</v>
      </c>
      <c r="H177" s="36" t="str">
        <f>IFERROR(VLOOKUP(Table2[[#This Row], [Ticket]],Okey!A:B,2,0),"")</f>
        <v>ok</v>
      </c>
      <c r="I177" s="36" t="s">
        <v>8546</v>
      </c>
      <c r="J177" s="36" t="s">
        <v>19</v>
      </c>
      <c r="K177" s="36"/>
      <c r="L177" s="36"/>
      <c r="M177" s="36" t="s">
        <v>8106</v>
      </c>
    </row>
    <row r="178" spans="1:13" hidden="1">
      <c r="A178" s="42">
        <f t="shared" si="3"/>
        <v>177</v>
      </c>
      <c r="B178" s="36" t="s">
        <v>6</v>
      </c>
      <c r="C178" s="36" t="s">
        <v>8060</v>
      </c>
      <c r="D178" s="9" t="s">
        <v>8105</v>
      </c>
      <c r="E178" s="9" t="s">
        <v>8101</v>
      </c>
      <c r="F178" s="36" t="s">
        <v>8091</v>
      </c>
      <c r="G178" s="36" t="s">
        <v>14</v>
      </c>
      <c r="H178" s="36" t="str">
        <f>IFERROR(VLOOKUP(Table2[[#This Row], [Ticket]],Okey!A:B,2,0),"")</f>
        <v>ok</v>
      </c>
      <c r="I178" s="36" t="s">
        <v>8546</v>
      </c>
      <c r="J178" s="36" t="s">
        <v>19</v>
      </c>
      <c r="K178" s="36"/>
      <c r="L178" s="36"/>
      <c r="M178" s="36" t="s">
        <v>8106</v>
      </c>
    </row>
    <row r="179" spans="1:13" hidden="1">
      <c r="A179" s="42">
        <f t="shared" si="3"/>
        <v>178</v>
      </c>
      <c r="B179" s="36" t="s">
        <v>6</v>
      </c>
      <c r="C179" s="36" t="s">
        <v>8060</v>
      </c>
      <c r="D179" s="36" t="s">
        <v>8102</v>
      </c>
      <c r="F179" s="36" t="s">
        <v>8093</v>
      </c>
      <c r="G179" s="9" t="s">
        <v>13</v>
      </c>
      <c r="H179" s="36" t="str">
        <f>IFERROR(VLOOKUP(Table2[[#This Row], [Ticket]],Okey!A:B,2,0),"")</f>
        <v>ok</v>
      </c>
      <c r="I179" s="36" t="s">
        <v>8546</v>
      </c>
      <c r="J179" s="36" t="s">
        <v>19</v>
      </c>
      <c r="K179" s="36"/>
      <c r="L179" s="36"/>
      <c r="M179" s="36" t="s">
        <v>8106</v>
      </c>
    </row>
    <row r="180" spans="1:13" hidden="1">
      <c r="A180" s="42">
        <f t="shared" si="3"/>
        <v>179</v>
      </c>
      <c r="B180" s="36" t="s">
        <v>6</v>
      </c>
      <c r="C180" s="36" t="s">
        <v>8060</v>
      </c>
      <c r="D180" s="36" t="s">
        <v>8103</v>
      </c>
      <c r="F180" s="36" t="s">
        <v>8093</v>
      </c>
      <c r="G180" s="36" t="s">
        <v>13</v>
      </c>
      <c r="H180" s="36" t="str">
        <f>IFERROR(VLOOKUP(Table2[[#This Row], [Ticket]],Okey!A:B,2,0),"")</f>
        <v>ok</v>
      </c>
      <c r="I180" s="36" t="s">
        <v>8546</v>
      </c>
      <c r="J180" s="36" t="s">
        <v>19</v>
      </c>
      <c r="K180" s="36"/>
      <c r="L180" s="36"/>
      <c r="M180" s="36" t="s">
        <v>8106</v>
      </c>
    </row>
    <row r="181" spans="1:13" hidden="1">
      <c r="A181" s="42">
        <f t="shared" si="3"/>
        <v>180</v>
      </c>
      <c r="B181" s="36" t="s">
        <v>6</v>
      </c>
      <c r="C181" s="36" t="s">
        <v>8060</v>
      </c>
      <c r="D181" s="36" t="s">
        <v>8104</v>
      </c>
      <c r="F181" s="36" t="s">
        <v>8093</v>
      </c>
      <c r="G181" s="36" t="s">
        <v>13</v>
      </c>
      <c r="H181" s="36" t="str">
        <f>IFERROR(VLOOKUP(Table2[[#This Row], [Ticket]],Okey!A:B,2,0),"")</f>
        <v>ok</v>
      </c>
      <c r="I181" s="36" t="s">
        <v>8546</v>
      </c>
      <c r="J181" s="36" t="s">
        <v>19</v>
      </c>
      <c r="K181" s="36"/>
      <c r="L181" s="36"/>
      <c r="M181" s="36" t="s">
        <v>8106</v>
      </c>
    </row>
    <row r="182" spans="1:13" hidden="1">
      <c r="A182" s="42">
        <f t="shared" si="3"/>
        <v>181</v>
      </c>
      <c r="B182" s="36" t="s">
        <v>6</v>
      </c>
      <c r="C182" s="36" t="s">
        <v>8060</v>
      </c>
      <c r="D182" s="36" t="s">
        <v>8105</v>
      </c>
      <c r="F182" s="36" t="s">
        <v>8093</v>
      </c>
      <c r="G182" s="36" t="s">
        <v>13</v>
      </c>
      <c r="H182" s="36" t="str">
        <f>IFERROR(VLOOKUP(Table2[[#This Row], [Ticket]],Okey!A:B,2,0),"")</f>
        <v>ok</v>
      </c>
      <c r="I182" s="36" t="s">
        <v>8546</v>
      </c>
      <c r="J182" s="36" t="s">
        <v>19</v>
      </c>
      <c r="K182" s="36"/>
      <c r="L182" s="36"/>
      <c r="M182" s="36" t="s">
        <v>8106</v>
      </c>
    </row>
    <row r="183" spans="1:13" hidden="1">
      <c r="A183" s="42">
        <f t="shared" si="3"/>
        <v>182</v>
      </c>
      <c r="B183" s="36" t="s">
        <v>6</v>
      </c>
      <c r="C183" s="36" t="s">
        <v>8060</v>
      </c>
      <c r="D183" s="36" t="s">
        <v>8107</v>
      </c>
      <c r="E183" s="9" t="s">
        <v>7911</v>
      </c>
      <c r="F183" s="9" t="s">
        <v>7912</v>
      </c>
      <c r="G183" s="9" t="s">
        <v>14</v>
      </c>
      <c r="H183" s="36" t="str">
        <f>IFERROR(VLOOKUP(Table2[[#This Row], [Ticket]],Okey!A:B,2,0),"")</f>
        <v>ok</v>
      </c>
      <c r="I183" s="36" t="s">
        <v>8546</v>
      </c>
      <c r="J183" s="36" t="s">
        <v>19</v>
      </c>
      <c r="K183" s="36"/>
      <c r="L183" s="36"/>
      <c r="M183" s="9" t="s">
        <v>4782</v>
      </c>
    </row>
    <row r="184" spans="1:13" hidden="1">
      <c r="A184" s="42">
        <f t="shared" si="3"/>
        <v>183</v>
      </c>
      <c r="B184" s="36" t="s">
        <v>6</v>
      </c>
      <c r="C184" s="36" t="s">
        <v>8060</v>
      </c>
      <c r="D184" s="36" t="s">
        <v>8108</v>
      </c>
      <c r="E184" s="9" t="s">
        <v>7913</v>
      </c>
      <c r="F184" s="9" t="s">
        <v>7915</v>
      </c>
      <c r="G184" s="36" t="s">
        <v>14</v>
      </c>
      <c r="H184" s="36" t="str">
        <f>IFERROR(VLOOKUP(Table2[[#This Row], [Ticket]],Okey!A:B,2,0),"")</f>
        <v>ok</v>
      </c>
      <c r="I184" s="36" t="s">
        <v>8546</v>
      </c>
      <c r="J184" s="36" t="s">
        <v>19</v>
      </c>
      <c r="K184" s="36"/>
      <c r="L184" s="36"/>
      <c r="M184" s="36" t="s">
        <v>4782</v>
      </c>
    </row>
    <row r="185" spans="1:13" hidden="1">
      <c r="A185" s="42">
        <f t="shared" si="3"/>
        <v>184</v>
      </c>
      <c r="B185" s="36" t="s">
        <v>6</v>
      </c>
      <c r="C185" s="36" t="s">
        <v>8060</v>
      </c>
      <c r="D185" s="36" t="s">
        <v>8109</v>
      </c>
      <c r="E185" s="9" t="s">
        <v>7914</v>
      </c>
      <c r="F185" s="9" t="s">
        <v>7915</v>
      </c>
      <c r="G185" s="36" t="s">
        <v>14</v>
      </c>
      <c r="H185" s="36" t="str">
        <f>IFERROR(VLOOKUP(Table2[[#This Row], [Ticket]],Okey!A:B,2,0),"")</f>
        <v>ok</v>
      </c>
      <c r="I185" s="36" t="s">
        <v>8546</v>
      </c>
      <c r="J185" s="36" t="s">
        <v>19</v>
      </c>
      <c r="K185" s="36"/>
      <c r="L185" s="36"/>
      <c r="M185" s="36" t="s">
        <v>4782</v>
      </c>
    </row>
    <row r="186" spans="1:13" hidden="1">
      <c r="A186" s="42">
        <f t="shared" si="3"/>
        <v>185</v>
      </c>
      <c r="B186" s="36" t="s">
        <v>6</v>
      </c>
      <c r="C186" s="9" t="s">
        <v>8120</v>
      </c>
      <c r="D186" t="s">
        <v>8123</v>
      </c>
      <c r="E186" s="9" t="s">
        <v>8110</v>
      </c>
      <c r="F186" s="9" t="s">
        <v>8122</v>
      </c>
      <c r="G186" s="36" t="s">
        <v>14</v>
      </c>
      <c r="H186" s="36" t="str">
        <f>IFERROR(VLOOKUP(Table2[[#This Row], [Ticket]],Okey!A:B,2,0),"")</f>
        <v>ok</v>
      </c>
      <c r="I186" s="36" t="s">
        <v>8546</v>
      </c>
      <c r="J186" s="36" t="s">
        <v>19</v>
      </c>
      <c r="K186" s="36"/>
      <c r="L186" s="36"/>
      <c r="M186" s="9" t="s">
        <v>8121</v>
      </c>
    </row>
    <row r="187" spans="1:13" hidden="1">
      <c r="A187" s="42">
        <f t="shared" si="3"/>
        <v>186</v>
      </c>
      <c r="B187" s="36" t="s">
        <v>6</v>
      </c>
      <c r="C187" s="36" t="s">
        <v>8120</v>
      </c>
      <c r="D187" t="s">
        <v>8124</v>
      </c>
      <c r="E187" s="9" t="s">
        <v>8111</v>
      </c>
      <c r="F187" s="9" t="s">
        <v>8123</v>
      </c>
      <c r="G187" s="36" t="s">
        <v>14</v>
      </c>
      <c r="H187" s="36" t="str">
        <f>IFERROR(VLOOKUP(Table2[[#This Row], [Ticket]],Okey!A:B,2,0),"")</f>
        <v>ok</v>
      </c>
      <c r="I187" s="36" t="s">
        <v>8546</v>
      </c>
      <c r="J187" s="36" t="s">
        <v>19</v>
      </c>
      <c r="K187" s="36"/>
      <c r="L187" s="36"/>
      <c r="M187" s="36" t="s">
        <v>8121</v>
      </c>
    </row>
    <row r="188" spans="1:13" hidden="1">
      <c r="A188" s="42">
        <f t="shared" si="3"/>
        <v>187</v>
      </c>
      <c r="B188" s="36" t="s">
        <v>6</v>
      </c>
      <c r="C188" s="36" t="s">
        <v>8120</v>
      </c>
      <c r="D188" t="s">
        <v>8125</v>
      </c>
      <c r="E188" s="9" t="s">
        <v>8112</v>
      </c>
      <c r="F188" s="9" t="s">
        <v>8123</v>
      </c>
      <c r="G188" s="36" t="s">
        <v>14</v>
      </c>
      <c r="H188" s="36" t="str">
        <f>IFERROR(VLOOKUP(Table2[[#This Row], [Ticket]],Okey!A:B,2,0),"")</f>
        <v>ok</v>
      </c>
      <c r="I188" s="36" t="s">
        <v>8546</v>
      </c>
      <c r="J188" s="36" t="s">
        <v>19</v>
      </c>
      <c r="K188" s="36"/>
      <c r="L188" s="36"/>
      <c r="M188" s="36" t="s">
        <v>8121</v>
      </c>
    </row>
    <row r="189" spans="1:13" hidden="1">
      <c r="A189" s="42">
        <f t="shared" si="3"/>
        <v>188</v>
      </c>
      <c r="B189" s="36" t="s">
        <v>6</v>
      </c>
      <c r="C189" s="36" t="s">
        <v>8120</v>
      </c>
      <c r="D189" t="s">
        <v>8126</v>
      </c>
      <c r="E189" s="9" t="s">
        <v>8113</v>
      </c>
      <c r="F189" s="9" t="s">
        <v>8123</v>
      </c>
      <c r="G189" s="36" t="s">
        <v>14</v>
      </c>
      <c r="H189" s="36" t="str">
        <f>IFERROR(VLOOKUP(Table2[[#This Row], [Ticket]],Okey!A:B,2,0),"")</f>
        <v>ok</v>
      </c>
      <c r="I189" s="36" t="s">
        <v>8546</v>
      </c>
      <c r="J189" s="36" t="s">
        <v>19</v>
      </c>
      <c r="K189" s="36"/>
      <c r="L189" s="36"/>
      <c r="M189" s="36" t="s">
        <v>8121</v>
      </c>
    </row>
    <row r="190" spans="1:13" hidden="1">
      <c r="A190" s="42">
        <f t="shared" si="3"/>
        <v>189</v>
      </c>
      <c r="B190" s="36" t="s">
        <v>6</v>
      </c>
      <c r="C190" s="36" t="s">
        <v>8120</v>
      </c>
      <c r="D190" t="s">
        <v>8127</v>
      </c>
      <c r="E190" s="9" t="s">
        <v>8114</v>
      </c>
      <c r="F190" s="9" t="s">
        <v>8123</v>
      </c>
      <c r="G190" s="36" t="s">
        <v>14</v>
      </c>
      <c r="H190" s="36" t="str">
        <f>IFERROR(VLOOKUP(Table2[[#This Row], [Ticket]],Okey!A:B,2,0),"")</f>
        <v>ok</v>
      </c>
      <c r="I190" s="36" t="s">
        <v>8546</v>
      </c>
      <c r="J190" s="36" t="s">
        <v>19</v>
      </c>
      <c r="K190" s="36"/>
      <c r="L190" s="36"/>
      <c r="M190" s="36" t="s">
        <v>8121</v>
      </c>
    </row>
    <row r="191" spans="1:13" hidden="1">
      <c r="A191" s="42">
        <f t="shared" si="3"/>
        <v>190</v>
      </c>
      <c r="B191" s="36" t="s">
        <v>6</v>
      </c>
      <c r="C191" s="36" t="s">
        <v>8120</v>
      </c>
      <c r="D191" t="s">
        <v>8128</v>
      </c>
      <c r="E191" s="9" t="s">
        <v>8115</v>
      </c>
      <c r="F191" s="9" t="s">
        <v>879</v>
      </c>
      <c r="G191" s="36" t="s">
        <v>14</v>
      </c>
      <c r="H191" s="36" t="str">
        <f>IFERROR(VLOOKUP(Table2[[#This Row], [Ticket]],Okey!A:B,2,0),"")</f>
        <v>ok</v>
      </c>
      <c r="I191" s="36" t="s">
        <v>8546</v>
      </c>
      <c r="J191" s="36" t="s">
        <v>19</v>
      </c>
      <c r="K191" s="36"/>
      <c r="L191" s="36"/>
      <c r="M191" s="36" t="s">
        <v>8121</v>
      </c>
    </row>
    <row r="192" spans="1:13" hidden="1">
      <c r="A192" s="42">
        <f t="shared" si="3"/>
        <v>191</v>
      </c>
      <c r="B192" s="36" t="s">
        <v>6</v>
      </c>
      <c r="C192" s="36" t="s">
        <v>8120</v>
      </c>
      <c r="D192" t="s">
        <v>8129</v>
      </c>
      <c r="E192" s="9" t="s">
        <v>8116</v>
      </c>
      <c r="F192" s="9" t="s">
        <v>879</v>
      </c>
      <c r="G192" s="36" t="s">
        <v>14</v>
      </c>
      <c r="H192" s="36" t="str">
        <f>IFERROR(VLOOKUP(Table2[[#This Row], [Ticket]],Okey!A:B,2,0),"")</f>
        <v>ok</v>
      </c>
      <c r="I192" s="36" t="s">
        <v>8546</v>
      </c>
      <c r="J192" s="36" t="s">
        <v>19</v>
      </c>
      <c r="K192" s="36"/>
      <c r="L192" s="36"/>
      <c r="M192" s="36" t="s">
        <v>8121</v>
      </c>
    </row>
    <row r="193" spans="1:13" hidden="1">
      <c r="A193" s="42">
        <f t="shared" si="3"/>
        <v>192</v>
      </c>
      <c r="B193" s="36" t="s">
        <v>6</v>
      </c>
      <c r="C193" s="36" t="s">
        <v>8120</v>
      </c>
      <c r="D193" t="s">
        <v>8130</v>
      </c>
      <c r="E193" s="9" t="s">
        <v>8117</v>
      </c>
      <c r="F193" s="9" t="s">
        <v>879</v>
      </c>
      <c r="G193" s="36" t="s">
        <v>14</v>
      </c>
      <c r="H193" s="36" t="str">
        <f>IFERROR(VLOOKUP(Table2[[#This Row], [Ticket]],Okey!A:B,2,0),"")</f>
        <v>ok</v>
      </c>
      <c r="I193" s="36" t="s">
        <v>8546</v>
      </c>
      <c r="J193" s="36" t="s">
        <v>19</v>
      </c>
      <c r="K193" s="36"/>
      <c r="L193" s="36"/>
      <c r="M193" s="36" t="s">
        <v>8121</v>
      </c>
    </row>
    <row r="194" spans="1:13" hidden="1">
      <c r="A194" s="42">
        <f t="shared" si="3"/>
        <v>193</v>
      </c>
      <c r="B194" s="36" t="s">
        <v>6</v>
      </c>
      <c r="C194" s="36" t="s">
        <v>8120</v>
      </c>
      <c r="D194" t="s">
        <v>8131</v>
      </c>
      <c r="E194" s="9" t="s">
        <v>8118</v>
      </c>
      <c r="F194" s="9" t="s">
        <v>879</v>
      </c>
      <c r="G194" s="36" t="s">
        <v>14</v>
      </c>
      <c r="H194" s="36" t="str">
        <f>IFERROR(VLOOKUP(Table2[[#This Row], [Ticket]],Okey!A:B,2,0),"")</f>
        <v>ok</v>
      </c>
      <c r="I194" s="36" t="s">
        <v>8546</v>
      </c>
      <c r="J194" s="36" t="s">
        <v>19</v>
      </c>
      <c r="K194" s="36"/>
      <c r="L194" s="36"/>
      <c r="M194" s="36" t="s">
        <v>8121</v>
      </c>
    </row>
    <row r="195" spans="1:13" hidden="1">
      <c r="A195" s="42">
        <f t="shared" si="3"/>
        <v>194</v>
      </c>
      <c r="B195" s="36" t="s">
        <v>6</v>
      </c>
      <c r="C195" s="36" t="s">
        <v>8120</v>
      </c>
      <c r="D195" t="s">
        <v>8132</v>
      </c>
      <c r="E195" s="9" t="s">
        <v>8119</v>
      </c>
      <c r="F195" s="9" t="s">
        <v>879</v>
      </c>
      <c r="G195" s="36" t="s">
        <v>14</v>
      </c>
      <c r="H195" s="36" t="str">
        <f>IFERROR(VLOOKUP(Table2[[#This Row], [Ticket]],Okey!A:B,2,0),"")</f>
        <v>ok</v>
      </c>
      <c r="I195" s="36" t="s">
        <v>8546</v>
      </c>
      <c r="J195" s="36" t="s">
        <v>19</v>
      </c>
      <c r="K195" s="36"/>
      <c r="L195" s="36"/>
      <c r="M195" s="36" t="s">
        <v>8121</v>
      </c>
    </row>
    <row r="196" spans="1:13" hidden="1">
      <c r="A196" s="42">
        <f t="shared" si="3"/>
        <v>195</v>
      </c>
      <c r="B196" s="36" t="s">
        <v>6</v>
      </c>
      <c r="C196" s="9" t="s">
        <v>8141</v>
      </c>
      <c r="D196" t="s">
        <v>8142</v>
      </c>
      <c r="E196" t="s">
        <v>8133</v>
      </c>
      <c r="F196" s="36" t="s">
        <v>6118</v>
      </c>
      <c r="G196" s="36" t="s">
        <v>14</v>
      </c>
      <c r="H196" s="36" t="str">
        <f>IFERROR(VLOOKUP(Table2[[#This Row], [Ticket]],Okey!A:B,2,0),"")</f>
        <v>ok</v>
      </c>
      <c r="I196" s="36" t="s">
        <v>8546</v>
      </c>
      <c r="J196" s="36" t="s">
        <v>19</v>
      </c>
      <c r="K196" s="36"/>
      <c r="L196" s="36"/>
      <c r="M196" s="9" t="s">
        <v>8144</v>
      </c>
    </row>
    <row r="197" spans="1:13" hidden="1">
      <c r="A197" s="42">
        <f t="shared" si="3"/>
        <v>196</v>
      </c>
      <c r="B197" s="36" t="s">
        <v>6</v>
      </c>
      <c r="C197" s="36" t="s">
        <v>8141</v>
      </c>
      <c r="D197" t="s">
        <v>8143</v>
      </c>
      <c r="E197" t="s">
        <v>8134</v>
      </c>
      <c r="F197" s="9" t="s">
        <v>8135</v>
      </c>
      <c r="G197" s="9" t="s">
        <v>14</v>
      </c>
      <c r="H197" s="36" t="str">
        <f>IFERROR(VLOOKUP(Table2[[#This Row], [Ticket]],Okey!A:B,2,0),"")</f>
        <v>ok</v>
      </c>
      <c r="I197" s="36" t="s">
        <v>8546</v>
      </c>
      <c r="J197" s="36" t="s">
        <v>19</v>
      </c>
      <c r="K197" s="36"/>
      <c r="L197" s="36"/>
      <c r="M197" s="36" t="s">
        <v>8144</v>
      </c>
    </row>
    <row r="198" spans="1:13" hidden="1">
      <c r="A198" s="42">
        <f t="shared" si="3"/>
        <v>197</v>
      </c>
      <c r="B198" s="36" t="s">
        <v>6</v>
      </c>
      <c r="C198" s="36" t="s">
        <v>8141</v>
      </c>
      <c r="D198" s="9" t="s">
        <v>8136</v>
      </c>
      <c r="F198" t="s">
        <v>8142</v>
      </c>
      <c r="G198" s="36" t="s">
        <v>13</v>
      </c>
      <c r="H198" s="36" t="str">
        <f>IFERROR(VLOOKUP(Table2[[#This Row], [Ticket]],Okey!A:B,2,0),"")</f>
        <v>ok</v>
      </c>
      <c r="I198" s="36" t="s">
        <v>8546</v>
      </c>
      <c r="J198" s="36" t="s">
        <v>19</v>
      </c>
      <c r="K198" s="36"/>
      <c r="L198" s="36"/>
      <c r="M198" s="36" t="s">
        <v>8144</v>
      </c>
    </row>
    <row r="199" spans="1:13" hidden="1">
      <c r="A199" s="42">
        <f t="shared" si="3"/>
        <v>198</v>
      </c>
      <c r="B199" s="36" t="s">
        <v>6</v>
      </c>
      <c r="C199" s="36" t="s">
        <v>8141</v>
      </c>
      <c r="D199" s="9" t="s">
        <v>8137</v>
      </c>
      <c r="F199" t="s">
        <v>8142</v>
      </c>
      <c r="G199" s="36" t="s">
        <v>13</v>
      </c>
      <c r="H199" s="36" t="str">
        <f>IFERROR(VLOOKUP(Table2[[#This Row], [Ticket]],Okey!A:B,2,0),"")</f>
        <v>ok</v>
      </c>
      <c r="I199" s="36" t="s">
        <v>8546</v>
      </c>
      <c r="J199" s="36" t="s">
        <v>19</v>
      </c>
      <c r="K199" s="36"/>
      <c r="L199" s="36"/>
      <c r="M199" s="36" t="s">
        <v>8144</v>
      </c>
    </row>
    <row r="200" spans="1:13" hidden="1">
      <c r="A200" s="42">
        <f t="shared" si="3"/>
        <v>199</v>
      </c>
      <c r="B200" s="36" t="s">
        <v>6</v>
      </c>
      <c r="C200" s="36" t="s">
        <v>8141</v>
      </c>
      <c r="D200" s="9" t="s">
        <v>6131</v>
      </c>
      <c r="F200" t="s">
        <v>8142</v>
      </c>
      <c r="G200" s="36" t="s">
        <v>13</v>
      </c>
      <c r="H200" s="36" t="str">
        <f>IFERROR(VLOOKUP(Table2[[#This Row], [Ticket]],Okey!A:B,2,0),"")</f>
        <v>ok</v>
      </c>
      <c r="I200" s="36" t="s">
        <v>8546</v>
      </c>
      <c r="J200" s="36" t="s">
        <v>19</v>
      </c>
      <c r="K200" s="36"/>
      <c r="L200" s="36"/>
      <c r="M200" s="36" t="s">
        <v>8144</v>
      </c>
    </row>
    <row r="201" spans="1:13" hidden="1">
      <c r="A201" s="42">
        <f t="shared" si="3"/>
        <v>200</v>
      </c>
      <c r="B201" s="36" t="s">
        <v>6</v>
      </c>
      <c r="C201" s="36" t="s">
        <v>8141</v>
      </c>
      <c r="D201" s="9" t="s">
        <v>990</v>
      </c>
      <c r="F201" t="s">
        <v>8143</v>
      </c>
      <c r="G201" s="36" t="s">
        <v>13</v>
      </c>
      <c r="H201" s="36" t="str">
        <f>IFERROR(VLOOKUP(Table2[[#This Row], [Ticket]],Okey!A:B,2,0),"")</f>
        <v>ok</v>
      </c>
      <c r="I201" s="36" t="s">
        <v>8546</v>
      </c>
      <c r="J201" s="36" t="s">
        <v>19</v>
      </c>
      <c r="K201" s="36"/>
      <c r="L201" s="36"/>
      <c r="M201" s="36" t="s">
        <v>8144</v>
      </c>
    </row>
    <row r="202" spans="1:13" hidden="1">
      <c r="A202" s="42">
        <f t="shared" si="3"/>
        <v>201</v>
      </c>
      <c r="B202" s="36" t="s">
        <v>6</v>
      </c>
      <c r="C202" s="36" t="s">
        <v>8141</v>
      </c>
      <c r="D202" s="9" t="s">
        <v>8138</v>
      </c>
      <c r="F202" t="s">
        <v>8143</v>
      </c>
      <c r="G202" s="36" t="s">
        <v>13</v>
      </c>
      <c r="H202" s="36" t="str">
        <f>IFERROR(VLOOKUP(Table2[[#This Row], [Ticket]],Okey!A:B,2,0),"")</f>
        <v>ok</v>
      </c>
      <c r="I202" s="36" t="s">
        <v>8546</v>
      </c>
      <c r="J202" s="36" t="s">
        <v>19</v>
      </c>
      <c r="K202" s="36"/>
      <c r="L202" s="36"/>
      <c r="M202" s="36" t="s">
        <v>8144</v>
      </c>
    </row>
    <row r="203" spans="1:13" hidden="1">
      <c r="A203" s="42">
        <f t="shared" si="3"/>
        <v>202</v>
      </c>
      <c r="B203" s="36" t="s">
        <v>6</v>
      </c>
      <c r="C203" s="36" t="s">
        <v>8141</v>
      </c>
      <c r="D203" s="9" t="s">
        <v>8139</v>
      </c>
      <c r="F203" t="s">
        <v>8143</v>
      </c>
      <c r="G203" s="36" t="s">
        <v>13</v>
      </c>
      <c r="H203" s="36" t="str">
        <f>IFERROR(VLOOKUP(Table2[[#This Row], [Ticket]],Okey!A:B,2,0),"")</f>
        <v>ok</v>
      </c>
      <c r="I203" s="36" t="s">
        <v>8546</v>
      </c>
      <c r="J203" s="36" t="s">
        <v>19</v>
      </c>
      <c r="K203" s="36"/>
      <c r="L203" s="36"/>
      <c r="M203" s="36" t="s">
        <v>8144</v>
      </c>
    </row>
    <row r="204" spans="1:13" hidden="1">
      <c r="A204" s="42">
        <f t="shared" si="3"/>
        <v>203</v>
      </c>
      <c r="B204" s="36" t="s">
        <v>6</v>
      </c>
      <c r="C204" s="36" t="s">
        <v>8141</v>
      </c>
      <c r="D204" s="9" t="s">
        <v>8140</v>
      </c>
      <c r="F204" t="s">
        <v>8143</v>
      </c>
      <c r="G204" s="9" t="s">
        <v>13</v>
      </c>
      <c r="H204" s="36" t="str">
        <f>IFERROR(VLOOKUP(Table2[[#This Row], [Ticket]],Okey!A:B,2,0),"")</f>
        <v>ok</v>
      </c>
      <c r="I204" s="36" t="s">
        <v>8546</v>
      </c>
      <c r="J204" s="36" t="s">
        <v>19</v>
      </c>
      <c r="K204" s="36"/>
      <c r="L204" s="36"/>
      <c r="M204" s="36" t="s">
        <v>8144</v>
      </c>
    </row>
    <row r="205" spans="1:13" hidden="1">
      <c r="A205" s="42">
        <f t="shared" si="3"/>
        <v>204</v>
      </c>
      <c r="B205" s="36" t="s">
        <v>6</v>
      </c>
      <c r="C205" s="36" t="s">
        <v>8543</v>
      </c>
      <c r="D205" s="36" t="s">
        <v>8547</v>
      </c>
      <c r="E205" s="9" t="s">
        <v>8145</v>
      </c>
      <c r="F205" s="9" t="s">
        <v>1277</v>
      </c>
      <c r="G205" s="36" t="s">
        <v>14</v>
      </c>
      <c r="H205" s="36" t="str">
        <f>IFERROR(VLOOKUP(Table2[[#This Row], [Ticket]],Okey!A:B,2,0),"")</f>
        <v>ok</v>
      </c>
      <c r="I205" s="36" t="s">
        <v>8546</v>
      </c>
      <c r="J205" s="9" t="s">
        <v>18</v>
      </c>
      <c r="K205" s="36"/>
      <c r="L205" s="36"/>
      <c r="M205" s="9" t="s">
        <v>4799</v>
      </c>
    </row>
    <row r="206" spans="1:13" hidden="1">
      <c r="A206" s="42">
        <f t="shared" si="3"/>
        <v>205</v>
      </c>
      <c r="B206" s="36" t="s">
        <v>6</v>
      </c>
      <c r="C206" s="36" t="s">
        <v>8543</v>
      </c>
      <c r="D206" s="9" t="s">
        <v>8548</v>
      </c>
      <c r="E206" s="9" t="s">
        <v>8146</v>
      </c>
      <c r="F206" s="9" t="s">
        <v>1277</v>
      </c>
      <c r="G206" s="36" t="s">
        <v>14</v>
      </c>
      <c r="H206" s="36" t="str">
        <f>IFERROR(VLOOKUP(Table2[[#This Row], [Ticket]],Okey!A:B,2,0),"")</f>
        <v>ok</v>
      </c>
      <c r="I206" s="36" t="s">
        <v>8546</v>
      </c>
      <c r="J206" s="36" t="s">
        <v>18</v>
      </c>
      <c r="K206" s="36"/>
      <c r="L206" s="36"/>
      <c r="M206" s="36" t="s">
        <v>4799</v>
      </c>
    </row>
    <row r="207" spans="1:13" hidden="1">
      <c r="A207" s="42">
        <f t="shared" si="3"/>
        <v>206</v>
      </c>
      <c r="B207" s="36" t="s">
        <v>6</v>
      </c>
      <c r="C207" s="36" t="s">
        <v>8543</v>
      </c>
      <c r="D207" s="9" t="s">
        <v>8549</v>
      </c>
      <c r="E207" s="9" t="s">
        <v>8147</v>
      </c>
      <c r="F207" s="9" t="s">
        <v>1290</v>
      </c>
      <c r="G207" s="36" t="s">
        <v>14</v>
      </c>
      <c r="H207" s="36" t="str">
        <f>IFERROR(VLOOKUP(Table2[[#This Row], [Ticket]],Okey!A:B,2,0),"")</f>
        <v>ok</v>
      </c>
      <c r="I207" s="36" t="s">
        <v>8546</v>
      </c>
      <c r="J207" s="36" t="s">
        <v>18</v>
      </c>
      <c r="K207" s="36"/>
      <c r="L207" s="36"/>
      <c r="M207" s="36" t="s">
        <v>4799</v>
      </c>
    </row>
    <row r="208" spans="1:13" hidden="1">
      <c r="A208" s="42">
        <f t="shared" si="3"/>
        <v>207</v>
      </c>
      <c r="B208" s="36" t="s">
        <v>6</v>
      </c>
      <c r="C208" s="36" t="s">
        <v>8543</v>
      </c>
      <c r="D208" s="9" t="s">
        <v>8550</v>
      </c>
      <c r="E208" s="9" t="s">
        <v>8148</v>
      </c>
      <c r="F208" s="9" t="s">
        <v>1290</v>
      </c>
      <c r="G208" s="36" t="s">
        <v>14</v>
      </c>
      <c r="H208" s="36" t="str">
        <f>IFERROR(VLOOKUP(Table2[[#This Row], [Ticket]],Okey!A:B,2,0),"")</f>
        <v>ok</v>
      </c>
      <c r="I208" s="36" t="s">
        <v>8546</v>
      </c>
      <c r="J208" s="36" t="s">
        <v>18</v>
      </c>
      <c r="K208" s="36"/>
      <c r="L208" s="36"/>
      <c r="M208" s="36" t="s">
        <v>4799</v>
      </c>
    </row>
    <row r="209" spans="1:13" hidden="1">
      <c r="A209" s="42">
        <f t="shared" si="3"/>
        <v>208</v>
      </c>
      <c r="B209" s="36" t="s">
        <v>6</v>
      </c>
      <c r="C209" s="36" t="s">
        <v>8543</v>
      </c>
      <c r="D209" s="9" t="s">
        <v>8551</v>
      </c>
      <c r="E209" s="9" t="s">
        <v>8149</v>
      </c>
      <c r="F209" s="9" t="s">
        <v>1290</v>
      </c>
      <c r="G209" s="36" t="s">
        <v>14</v>
      </c>
      <c r="H209" s="36" t="str">
        <f>IFERROR(VLOOKUP(Table2[[#This Row], [Ticket]],Okey!A:B,2,0),"")</f>
        <v>ok</v>
      </c>
      <c r="I209" s="36" t="s">
        <v>8546</v>
      </c>
      <c r="J209" s="36" t="s">
        <v>18</v>
      </c>
      <c r="K209" s="36"/>
      <c r="L209" s="36"/>
      <c r="M209" s="36" t="s">
        <v>4799</v>
      </c>
    </row>
    <row r="210" spans="1:13" hidden="1">
      <c r="A210" s="42">
        <f t="shared" si="3"/>
        <v>209</v>
      </c>
      <c r="B210" s="36" t="s">
        <v>6</v>
      </c>
      <c r="C210" s="36" t="s">
        <v>8543</v>
      </c>
      <c r="D210" s="9" t="s">
        <v>8552</v>
      </c>
      <c r="E210" s="9" t="s">
        <v>8150</v>
      </c>
      <c r="F210" s="9" t="s">
        <v>1290</v>
      </c>
      <c r="G210" s="36" t="s">
        <v>14</v>
      </c>
      <c r="H210" s="36" t="str">
        <f>IFERROR(VLOOKUP(Table2[[#This Row], [Ticket]],Okey!A:B,2,0),"")</f>
        <v>ok</v>
      </c>
      <c r="I210" s="36" t="s">
        <v>8546</v>
      </c>
      <c r="J210" s="36" t="s">
        <v>18</v>
      </c>
      <c r="K210" s="36"/>
      <c r="L210" s="36"/>
      <c r="M210" s="36" t="s">
        <v>4799</v>
      </c>
    </row>
    <row r="211" spans="1:13" hidden="1">
      <c r="A211" s="42">
        <f t="shared" si="3"/>
        <v>210</v>
      </c>
      <c r="B211" s="36" t="s">
        <v>6</v>
      </c>
      <c r="C211" s="36" t="s">
        <v>8543</v>
      </c>
      <c r="D211" s="9" t="s">
        <v>8553</v>
      </c>
      <c r="E211" s="9" t="s">
        <v>8151</v>
      </c>
      <c r="F211" s="9" t="s">
        <v>1290</v>
      </c>
      <c r="G211" s="36" t="s">
        <v>14</v>
      </c>
      <c r="H211" s="36" t="str">
        <f>IFERROR(VLOOKUP(Table2[[#This Row], [Ticket]],Okey!A:B,2,0),"")</f>
        <v>ok</v>
      </c>
      <c r="I211" s="36" t="s">
        <v>8546</v>
      </c>
      <c r="J211" s="36" t="s">
        <v>18</v>
      </c>
      <c r="K211" s="36"/>
      <c r="L211" s="36"/>
      <c r="M211" s="36" t="s">
        <v>4799</v>
      </c>
    </row>
    <row r="212" spans="1:13" hidden="1">
      <c r="A212" s="42">
        <f t="shared" ref="A212:A275" si="4">1+A211</f>
        <v>211</v>
      </c>
      <c r="B212" s="36" t="s">
        <v>6</v>
      </c>
      <c r="C212" s="36" t="s">
        <v>8543</v>
      </c>
      <c r="D212" s="9" t="s">
        <v>8554</v>
      </c>
      <c r="E212" s="9" t="s">
        <v>8152</v>
      </c>
      <c r="F212" s="9" t="s">
        <v>1290</v>
      </c>
      <c r="G212" s="36" t="s">
        <v>14</v>
      </c>
      <c r="H212" s="36" t="str">
        <f>IFERROR(VLOOKUP(Table2[[#This Row], [Ticket]],Okey!A:B,2,0),"")</f>
        <v>ok</v>
      </c>
      <c r="I212" s="36" t="s">
        <v>8546</v>
      </c>
      <c r="J212" s="36" t="s">
        <v>18</v>
      </c>
      <c r="K212" s="36"/>
      <c r="L212" s="36"/>
      <c r="M212" s="36" t="s">
        <v>4799</v>
      </c>
    </row>
    <row r="213" spans="1:13" hidden="1">
      <c r="A213" s="42">
        <f t="shared" si="4"/>
        <v>212</v>
      </c>
      <c r="B213" s="36" t="s">
        <v>6</v>
      </c>
      <c r="C213" s="36" t="s">
        <v>8543</v>
      </c>
      <c r="D213" s="9" t="s">
        <v>8555</v>
      </c>
      <c r="E213" s="9" t="s">
        <v>8153</v>
      </c>
      <c r="F213" s="36" t="s">
        <v>8547</v>
      </c>
      <c r="G213" s="36" t="s">
        <v>14</v>
      </c>
      <c r="H213" s="36" t="str">
        <f>IFERROR(VLOOKUP(Table2[[#This Row], [Ticket]],Okey!A:B,2,0),"")</f>
        <v>ok</v>
      </c>
      <c r="I213" s="36" t="s">
        <v>8546</v>
      </c>
      <c r="J213" s="36" t="s">
        <v>18</v>
      </c>
      <c r="K213" s="36"/>
      <c r="L213" s="36"/>
      <c r="M213" s="36" t="s">
        <v>4799</v>
      </c>
    </row>
    <row r="214" spans="1:13" hidden="1">
      <c r="A214" s="42">
        <f t="shared" si="4"/>
        <v>213</v>
      </c>
      <c r="B214" s="36" t="s">
        <v>6</v>
      </c>
      <c r="C214" s="36" t="s">
        <v>8543</v>
      </c>
      <c r="D214" s="9" t="s">
        <v>8556</v>
      </c>
      <c r="E214" s="9" t="s">
        <v>8154</v>
      </c>
      <c r="F214" s="36" t="s">
        <v>8547</v>
      </c>
      <c r="G214" s="36" t="s">
        <v>14</v>
      </c>
      <c r="H214" s="36" t="str">
        <f>IFERROR(VLOOKUP(Table2[[#This Row], [Ticket]],Okey!A:B,2,0),"")</f>
        <v>ok</v>
      </c>
      <c r="I214" s="36" t="s">
        <v>8546</v>
      </c>
      <c r="J214" s="36" t="s">
        <v>18</v>
      </c>
      <c r="K214" s="36"/>
      <c r="L214" s="36"/>
      <c r="M214" s="36" t="s">
        <v>4799</v>
      </c>
    </row>
    <row r="215" spans="1:13" hidden="1">
      <c r="A215" s="42">
        <f t="shared" si="4"/>
        <v>214</v>
      </c>
      <c r="B215" s="36" t="s">
        <v>6</v>
      </c>
      <c r="C215" s="36" t="s">
        <v>8543</v>
      </c>
      <c r="D215" s="9" t="s">
        <v>8557</v>
      </c>
      <c r="E215" s="9" t="s">
        <v>8155</v>
      </c>
      <c r="F215" s="36" t="s">
        <v>8547</v>
      </c>
      <c r="G215" s="36" t="s">
        <v>14</v>
      </c>
      <c r="H215" s="36" t="str">
        <f>IFERROR(VLOOKUP(Table2[[#This Row], [Ticket]],Okey!A:B,2,0),"")</f>
        <v>ok</v>
      </c>
      <c r="I215" s="36" t="s">
        <v>8546</v>
      </c>
      <c r="J215" s="36" t="s">
        <v>18</v>
      </c>
      <c r="K215" s="36"/>
      <c r="L215" s="36"/>
      <c r="M215" s="36" t="s">
        <v>4799</v>
      </c>
    </row>
    <row r="216" spans="1:13" hidden="1">
      <c r="A216" s="42">
        <f t="shared" si="4"/>
        <v>215</v>
      </c>
      <c r="B216" s="36" t="s">
        <v>6</v>
      </c>
      <c r="C216" s="36" t="s">
        <v>8543</v>
      </c>
      <c r="D216" s="9" t="s">
        <v>8558</v>
      </c>
      <c r="E216" s="9" t="s">
        <v>8156</v>
      </c>
      <c r="F216" s="36" t="s">
        <v>8547</v>
      </c>
      <c r="G216" s="36" t="s">
        <v>14</v>
      </c>
      <c r="H216" s="36" t="str">
        <f>IFERROR(VLOOKUP(Table2[[#This Row], [Ticket]],Okey!A:B,2,0),"")</f>
        <v>ok</v>
      </c>
      <c r="I216" s="36" t="s">
        <v>8546</v>
      </c>
      <c r="J216" s="36" t="s">
        <v>18</v>
      </c>
      <c r="K216" s="36"/>
      <c r="L216" s="36"/>
      <c r="M216" s="36" t="s">
        <v>4799</v>
      </c>
    </row>
    <row r="217" spans="1:13" hidden="1">
      <c r="A217" s="42">
        <f t="shared" si="4"/>
        <v>216</v>
      </c>
      <c r="B217" s="36" t="s">
        <v>6</v>
      </c>
      <c r="C217" s="36" t="s">
        <v>8543</v>
      </c>
      <c r="D217" s="9" t="s">
        <v>8559</v>
      </c>
      <c r="E217" s="9" t="s">
        <v>8157</v>
      </c>
      <c r="F217" s="9" t="s">
        <v>1277</v>
      </c>
      <c r="G217" s="36" t="s">
        <v>14</v>
      </c>
      <c r="H217" s="36" t="str">
        <f>IFERROR(VLOOKUP(Table2[[#This Row], [Ticket]],Okey!A:B,2,0),"")</f>
        <v>ok</v>
      </c>
      <c r="I217" s="36" t="s">
        <v>8546</v>
      </c>
      <c r="J217" s="36" t="s">
        <v>18</v>
      </c>
      <c r="K217" s="36"/>
      <c r="L217" s="36"/>
      <c r="M217" s="36" t="s">
        <v>4799</v>
      </c>
    </row>
    <row r="218" spans="1:13" hidden="1">
      <c r="A218" s="42">
        <f t="shared" si="4"/>
        <v>217</v>
      </c>
      <c r="B218" s="36" t="s">
        <v>6</v>
      </c>
      <c r="C218" s="36" t="s">
        <v>8543</v>
      </c>
      <c r="D218" s="9" t="s">
        <v>8560</v>
      </c>
      <c r="E218" s="9" t="s">
        <v>8158</v>
      </c>
      <c r="F218" s="9" t="s">
        <v>1309</v>
      </c>
      <c r="G218" s="36" t="s">
        <v>14</v>
      </c>
      <c r="H218" s="36" t="str">
        <f>IFERROR(VLOOKUP(Table2[[#This Row], [Ticket]],Okey!A:B,2,0),"")</f>
        <v>ok</v>
      </c>
      <c r="I218" s="36" t="s">
        <v>8546</v>
      </c>
      <c r="J218" s="36" t="s">
        <v>18</v>
      </c>
      <c r="K218" s="36"/>
      <c r="L218" s="36"/>
      <c r="M218" s="36" t="s">
        <v>4799</v>
      </c>
    </row>
    <row r="219" spans="1:13" hidden="1">
      <c r="A219" s="42">
        <f t="shared" si="4"/>
        <v>218</v>
      </c>
      <c r="B219" s="36" t="s">
        <v>6</v>
      </c>
      <c r="C219" s="36" t="s">
        <v>8543</v>
      </c>
      <c r="D219" s="9" t="s">
        <v>8561</v>
      </c>
      <c r="E219" s="9" t="s">
        <v>8159</v>
      </c>
      <c r="F219" s="9" t="s">
        <v>1309</v>
      </c>
      <c r="G219" s="36" t="s">
        <v>14</v>
      </c>
      <c r="H219" s="36" t="str">
        <f>IFERROR(VLOOKUP(Table2[[#This Row], [Ticket]],Okey!A:B,2,0),"")</f>
        <v>ok</v>
      </c>
      <c r="I219" s="36" t="s">
        <v>8546</v>
      </c>
      <c r="J219" s="36" t="s">
        <v>18</v>
      </c>
      <c r="K219" s="36"/>
      <c r="L219" s="36"/>
      <c r="M219" s="36" t="s">
        <v>4799</v>
      </c>
    </row>
    <row r="220" spans="1:13" hidden="1">
      <c r="A220" s="42">
        <f t="shared" si="4"/>
        <v>219</v>
      </c>
      <c r="B220" s="36" t="s">
        <v>6</v>
      </c>
      <c r="C220" s="36" t="s">
        <v>8543</v>
      </c>
      <c r="D220" s="9" t="s">
        <v>8562</v>
      </c>
      <c r="E220" s="9" t="s">
        <v>8160</v>
      </c>
      <c r="F220" s="9" t="s">
        <v>8161</v>
      </c>
      <c r="G220" s="36" t="s">
        <v>14</v>
      </c>
      <c r="H220" s="36" t="str">
        <f>IFERROR(VLOOKUP(Table2[[#This Row], [Ticket]],Okey!A:B,2,0),"")</f>
        <v>ok</v>
      </c>
      <c r="I220" s="36" t="s">
        <v>8546</v>
      </c>
      <c r="J220" s="36" t="s">
        <v>18</v>
      </c>
      <c r="K220" s="36"/>
      <c r="L220" s="36"/>
      <c r="M220" s="36" t="s">
        <v>4799</v>
      </c>
    </row>
    <row r="221" spans="1:13" hidden="1">
      <c r="A221" s="42">
        <f t="shared" si="4"/>
        <v>220</v>
      </c>
      <c r="B221" s="36" t="s">
        <v>6</v>
      </c>
      <c r="C221" s="36" t="s">
        <v>8543</v>
      </c>
      <c r="D221" s="9" t="s">
        <v>8563</v>
      </c>
      <c r="E221" s="9" t="s">
        <v>8162</v>
      </c>
      <c r="F221" s="9" t="s">
        <v>1340</v>
      </c>
      <c r="G221" s="36" t="s">
        <v>14</v>
      </c>
      <c r="H221" s="36" t="str">
        <f>IFERROR(VLOOKUP(Table2[[#This Row], [Ticket]],Okey!A:B,2,0),"")</f>
        <v>ok</v>
      </c>
      <c r="I221" s="36" t="s">
        <v>8546</v>
      </c>
      <c r="J221" s="36" t="s">
        <v>18</v>
      </c>
      <c r="K221" s="36"/>
      <c r="L221" s="36"/>
      <c r="M221" s="36" t="s">
        <v>4799</v>
      </c>
    </row>
    <row r="222" spans="1:13" hidden="1">
      <c r="A222" s="42">
        <f t="shared" si="4"/>
        <v>221</v>
      </c>
      <c r="B222" s="36" t="s">
        <v>6</v>
      </c>
      <c r="C222" s="36" t="s">
        <v>8543</v>
      </c>
      <c r="D222" s="9" t="s">
        <v>8564</v>
      </c>
      <c r="E222" s="9" t="s">
        <v>8163</v>
      </c>
      <c r="F222" s="9" t="s">
        <v>5540</v>
      </c>
      <c r="G222" s="36" t="s">
        <v>14</v>
      </c>
      <c r="H222" s="36" t="str">
        <f>IFERROR(VLOOKUP(Table2[[#This Row], [Ticket]],Okey!A:B,2,0),"")</f>
        <v>ok</v>
      </c>
      <c r="I222" s="36" t="s">
        <v>8546</v>
      </c>
      <c r="J222" s="36" t="s">
        <v>18</v>
      </c>
      <c r="K222" s="36"/>
      <c r="L222" s="36"/>
      <c r="M222" s="36" t="s">
        <v>4799</v>
      </c>
    </row>
    <row r="223" spans="1:13" hidden="1">
      <c r="A223" s="42">
        <f t="shared" si="4"/>
        <v>222</v>
      </c>
      <c r="B223" s="36" t="s">
        <v>6</v>
      </c>
      <c r="C223" s="36" t="s">
        <v>8543</v>
      </c>
      <c r="D223" s="9" t="s">
        <v>8565</v>
      </c>
      <c r="E223" s="9" t="s">
        <v>8164</v>
      </c>
      <c r="F223" s="9" t="s">
        <v>5540</v>
      </c>
      <c r="G223" s="36" t="s">
        <v>14</v>
      </c>
      <c r="H223" s="36" t="str">
        <f>IFERROR(VLOOKUP(Table2[[#This Row], [Ticket]],Okey!A:B,2,0),"")</f>
        <v>ok</v>
      </c>
      <c r="I223" s="36" t="s">
        <v>8546</v>
      </c>
      <c r="J223" s="36" t="s">
        <v>18</v>
      </c>
      <c r="K223" s="36"/>
      <c r="L223" s="36"/>
      <c r="M223" s="36" t="s">
        <v>4799</v>
      </c>
    </row>
    <row r="224" spans="1:13" hidden="1">
      <c r="A224" s="42">
        <f t="shared" si="4"/>
        <v>223</v>
      </c>
      <c r="B224" s="36" t="s">
        <v>6</v>
      </c>
      <c r="C224" s="36" t="s">
        <v>8543</v>
      </c>
      <c r="D224" s="9" t="s">
        <v>8566</v>
      </c>
      <c r="E224" s="9" t="s">
        <v>8165</v>
      </c>
      <c r="F224" s="9" t="s">
        <v>5540</v>
      </c>
      <c r="G224" s="36" t="s">
        <v>14</v>
      </c>
      <c r="H224" s="36" t="str">
        <f>IFERROR(VLOOKUP(Table2[[#This Row], [Ticket]],Okey!A:B,2,0),"")</f>
        <v>ok</v>
      </c>
      <c r="I224" s="36" t="s">
        <v>8546</v>
      </c>
      <c r="J224" s="36" t="s">
        <v>18</v>
      </c>
      <c r="K224" s="36"/>
      <c r="L224" s="36"/>
      <c r="M224" s="36" t="s">
        <v>4799</v>
      </c>
    </row>
    <row r="225" spans="1:13" hidden="1">
      <c r="A225" s="42">
        <f t="shared" si="4"/>
        <v>224</v>
      </c>
      <c r="B225" s="36" t="s">
        <v>6</v>
      </c>
      <c r="C225" s="36" t="s">
        <v>8543</v>
      </c>
      <c r="D225" s="9" t="s">
        <v>8567</v>
      </c>
      <c r="E225" s="9" t="s">
        <v>8166</v>
      </c>
      <c r="F225" s="9" t="s">
        <v>5540</v>
      </c>
      <c r="G225" s="36" t="s">
        <v>14</v>
      </c>
      <c r="H225" s="36" t="str">
        <f>IFERROR(VLOOKUP(Table2[[#This Row], [Ticket]],Okey!A:B,2,0),"")</f>
        <v>ok</v>
      </c>
      <c r="I225" s="36" t="s">
        <v>8546</v>
      </c>
      <c r="J225" s="36" t="s">
        <v>18</v>
      </c>
      <c r="K225" s="36"/>
      <c r="L225" s="36"/>
      <c r="M225" s="36" t="s">
        <v>4799</v>
      </c>
    </row>
    <row r="226" spans="1:13" hidden="1">
      <c r="A226" s="42">
        <f t="shared" si="4"/>
        <v>225</v>
      </c>
      <c r="B226" s="36" t="s">
        <v>6</v>
      </c>
      <c r="C226" s="36" t="s">
        <v>8543</v>
      </c>
      <c r="D226" s="9" t="s">
        <v>8568</v>
      </c>
      <c r="E226" s="9" t="s">
        <v>8167</v>
      </c>
      <c r="F226" s="9" t="s">
        <v>5540</v>
      </c>
      <c r="G226" s="36" t="s">
        <v>14</v>
      </c>
      <c r="H226" s="36" t="str">
        <f>IFERROR(VLOOKUP(Table2[[#This Row], [Ticket]],Okey!A:B,2,0),"")</f>
        <v>ok</v>
      </c>
      <c r="I226" s="36" t="s">
        <v>8546</v>
      </c>
      <c r="J226" s="36" t="s">
        <v>18</v>
      </c>
      <c r="K226" s="36"/>
      <c r="L226" s="36"/>
      <c r="M226" s="36" t="s">
        <v>4799</v>
      </c>
    </row>
    <row r="227" spans="1:13" hidden="1">
      <c r="A227" s="42">
        <f t="shared" si="4"/>
        <v>226</v>
      </c>
      <c r="B227" s="36" t="s">
        <v>6</v>
      </c>
      <c r="C227" s="36" t="s">
        <v>8543</v>
      </c>
      <c r="D227" s="9" t="s">
        <v>8569</v>
      </c>
      <c r="E227" s="9" t="s">
        <v>8168</v>
      </c>
      <c r="F227" s="9" t="s">
        <v>5540</v>
      </c>
      <c r="G227" s="36" t="s">
        <v>14</v>
      </c>
      <c r="H227" s="36" t="str">
        <f>IFERROR(VLOOKUP(Table2[[#This Row], [Ticket]],Okey!A:B,2,0),"")</f>
        <v>ok</v>
      </c>
      <c r="I227" s="36" t="s">
        <v>8546</v>
      </c>
      <c r="J227" s="36" t="s">
        <v>18</v>
      </c>
      <c r="K227" s="36"/>
      <c r="L227" s="36"/>
      <c r="M227" s="36" t="s">
        <v>4799</v>
      </c>
    </row>
    <row r="228" spans="1:13" hidden="1">
      <c r="A228" s="42">
        <f t="shared" si="4"/>
        <v>227</v>
      </c>
      <c r="B228" s="36" t="s">
        <v>6</v>
      </c>
      <c r="C228" s="36" t="s">
        <v>8543</v>
      </c>
      <c r="D228" s="9" t="s">
        <v>8570</v>
      </c>
      <c r="E228" s="9" t="s">
        <v>8169</v>
      </c>
      <c r="F228" s="9" t="s">
        <v>5540</v>
      </c>
      <c r="G228" s="36" t="s">
        <v>14</v>
      </c>
      <c r="H228" s="36" t="str">
        <f>IFERROR(VLOOKUP(Table2[[#This Row], [Ticket]],Okey!A:B,2,0),"")</f>
        <v>ok</v>
      </c>
      <c r="I228" s="36" t="s">
        <v>8546</v>
      </c>
      <c r="J228" s="36" t="s">
        <v>18</v>
      </c>
      <c r="K228" s="36"/>
      <c r="L228" s="36"/>
      <c r="M228" s="36" t="s">
        <v>4799</v>
      </c>
    </row>
    <row r="229" spans="1:13" hidden="1">
      <c r="A229" s="42">
        <f t="shared" si="4"/>
        <v>228</v>
      </c>
      <c r="B229" s="36" t="s">
        <v>6</v>
      </c>
      <c r="C229" s="36" t="s">
        <v>8543</v>
      </c>
      <c r="D229" s="9" t="s">
        <v>8571</v>
      </c>
      <c r="E229" s="9" t="s">
        <v>8170</v>
      </c>
      <c r="F229" s="9" t="s">
        <v>5540</v>
      </c>
      <c r="G229" s="36" t="s">
        <v>14</v>
      </c>
      <c r="H229" s="36" t="str">
        <f>IFERROR(VLOOKUP(Table2[[#This Row], [Ticket]],Okey!A:B,2,0),"")</f>
        <v>ok</v>
      </c>
      <c r="I229" s="36" t="s">
        <v>8546</v>
      </c>
      <c r="J229" s="36" t="s">
        <v>18</v>
      </c>
      <c r="K229" s="36"/>
      <c r="L229" s="36"/>
      <c r="M229" s="36" t="s">
        <v>4799</v>
      </c>
    </row>
    <row r="230" spans="1:13" hidden="1">
      <c r="A230" s="42">
        <f t="shared" si="4"/>
        <v>229</v>
      </c>
      <c r="B230" s="36" t="s">
        <v>6</v>
      </c>
      <c r="C230" s="36" t="s">
        <v>8543</v>
      </c>
      <c r="D230" s="9" t="s">
        <v>8572</v>
      </c>
      <c r="E230" s="9" t="s">
        <v>8171</v>
      </c>
      <c r="F230" s="9" t="s">
        <v>5494</v>
      </c>
      <c r="G230" s="36" t="s">
        <v>14</v>
      </c>
      <c r="H230" s="36" t="str">
        <f>IFERROR(VLOOKUP(Table2[[#This Row], [Ticket]],Okey!A:B,2,0),"")</f>
        <v>ok</v>
      </c>
      <c r="I230" s="36" t="s">
        <v>8546</v>
      </c>
      <c r="J230" s="36" t="s">
        <v>18</v>
      </c>
      <c r="K230" s="36"/>
      <c r="L230" s="36"/>
      <c r="M230" s="36" t="s">
        <v>4799</v>
      </c>
    </row>
    <row r="231" spans="1:13" hidden="1">
      <c r="A231" s="42">
        <f t="shared" si="4"/>
        <v>230</v>
      </c>
      <c r="B231" s="36" t="s">
        <v>6</v>
      </c>
      <c r="C231" s="36" t="s">
        <v>8543</v>
      </c>
      <c r="D231" s="9" t="s">
        <v>8573</v>
      </c>
      <c r="E231" s="9" t="s">
        <v>8172</v>
      </c>
      <c r="F231" s="9" t="s">
        <v>8173</v>
      </c>
      <c r="G231" s="36" t="s">
        <v>14</v>
      </c>
      <c r="H231" s="36" t="str">
        <f>IFERROR(VLOOKUP(Table2[[#This Row], [Ticket]],Okey!A:B,2,0),"")</f>
        <v>ok</v>
      </c>
      <c r="I231" s="36" t="s">
        <v>8546</v>
      </c>
      <c r="J231" s="36" t="s">
        <v>18</v>
      </c>
      <c r="K231" s="36"/>
      <c r="L231" s="36"/>
      <c r="M231" s="36" t="s">
        <v>4799</v>
      </c>
    </row>
    <row r="232" spans="1:13" hidden="1">
      <c r="A232" s="42">
        <f t="shared" si="4"/>
        <v>231</v>
      </c>
      <c r="B232" s="36" t="s">
        <v>6</v>
      </c>
      <c r="C232" s="36" t="s">
        <v>8543</v>
      </c>
      <c r="D232" s="9" t="s">
        <v>8574</v>
      </c>
      <c r="E232" s="9" t="s">
        <v>8174</v>
      </c>
      <c r="F232" s="9" t="s">
        <v>8173</v>
      </c>
      <c r="G232" s="36" t="s">
        <v>14</v>
      </c>
      <c r="H232" s="36" t="str">
        <f>IFERROR(VLOOKUP(Table2[[#This Row], [Ticket]],Okey!A:B,2,0),"")</f>
        <v>ok</v>
      </c>
      <c r="I232" s="36" t="s">
        <v>8546</v>
      </c>
      <c r="J232" s="36" t="s">
        <v>18</v>
      </c>
      <c r="K232" s="36"/>
      <c r="L232" s="36"/>
      <c r="M232" s="36" t="s">
        <v>4799</v>
      </c>
    </row>
    <row r="233" spans="1:13" hidden="1">
      <c r="A233" s="42">
        <f t="shared" si="4"/>
        <v>232</v>
      </c>
      <c r="B233" s="36" t="s">
        <v>6</v>
      </c>
      <c r="C233" s="36" t="s">
        <v>8543</v>
      </c>
      <c r="D233" s="9" t="s">
        <v>8575</v>
      </c>
      <c r="E233" s="9" t="s">
        <v>8175</v>
      </c>
      <c r="F233" s="9" t="s">
        <v>8173</v>
      </c>
      <c r="G233" s="36" t="s">
        <v>14</v>
      </c>
      <c r="H233" s="36" t="str">
        <f>IFERROR(VLOOKUP(Table2[[#This Row], [Ticket]],Okey!A:B,2,0),"")</f>
        <v>ok</v>
      </c>
      <c r="I233" s="36" t="s">
        <v>8546</v>
      </c>
      <c r="J233" s="36" t="s">
        <v>18</v>
      </c>
      <c r="K233" s="36"/>
      <c r="L233" s="36"/>
      <c r="M233" s="36" t="s">
        <v>4799</v>
      </c>
    </row>
    <row r="234" spans="1:13" hidden="1">
      <c r="A234" s="42">
        <f t="shared" si="4"/>
        <v>233</v>
      </c>
      <c r="B234" s="36" t="s">
        <v>6</v>
      </c>
      <c r="C234" s="36" t="s">
        <v>8543</v>
      </c>
      <c r="D234" s="9" t="s">
        <v>8576</v>
      </c>
      <c r="E234" s="9" t="s">
        <v>8176</v>
      </c>
      <c r="F234" s="9" t="s">
        <v>8173</v>
      </c>
      <c r="G234" s="36" t="s">
        <v>14</v>
      </c>
      <c r="H234" s="36" t="str">
        <f>IFERROR(VLOOKUP(Table2[[#This Row], [Ticket]],Okey!A:B,2,0),"")</f>
        <v>ok</v>
      </c>
      <c r="I234" s="36" t="s">
        <v>8546</v>
      </c>
      <c r="J234" s="36" t="s">
        <v>18</v>
      </c>
      <c r="K234" s="36"/>
      <c r="L234" s="36"/>
      <c r="M234" s="36" t="s">
        <v>4799</v>
      </c>
    </row>
    <row r="235" spans="1:13" hidden="1">
      <c r="A235" s="42">
        <f t="shared" si="4"/>
        <v>234</v>
      </c>
      <c r="B235" s="36" t="s">
        <v>6</v>
      </c>
      <c r="C235" s="36" t="s">
        <v>8543</v>
      </c>
      <c r="D235" s="9" t="s">
        <v>8577</v>
      </c>
      <c r="E235" s="9" t="s">
        <v>8177</v>
      </c>
      <c r="F235" s="9" t="s">
        <v>8173</v>
      </c>
      <c r="G235" s="36" t="s">
        <v>14</v>
      </c>
      <c r="H235" s="36" t="str">
        <f>IFERROR(VLOOKUP(Table2[[#This Row], [Ticket]],Okey!A:B,2,0),"")</f>
        <v>ok</v>
      </c>
      <c r="I235" s="36" t="s">
        <v>8546</v>
      </c>
      <c r="J235" s="36" t="s">
        <v>18</v>
      </c>
      <c r="K235" s="36"/>
      <c r="L235" s="36"/>
      <c r="M235" s="36" t="s">
        <v>4799</v>
      </c>
    </row>
    <row r="236" spans="1:13" hidden="1">
      <c r="A236" s="42">
        <f t="shared" si="4"/>
        <v>235</v>
      </c>
      <c r="B236" s="36" t="s">
        <v>6</v>
      </c>
      <c r="C236" s="36" t="s">
        <v>8543</v>
      </c>
      <c r="D236" s="9" t="s">
        <v>8578</v>
      </c>
      <c r="E236" s="9" t="s">
        <v>8178</v>
      </c>
      <c r="F236" s="9" t="s">
        <v>8173</v>
      </c>
      <c r="G236" s="36" t="s">
        <v>14</v>
      </c>
      <c r="H236" s="36" t="str">
        <f>IFERROR(VLOOKUP(Table2[[#This Row], [Ticket]],Okey!A:B,2,0),"")</f>
        <v>ok</v>
      </c>
      <c r="I236" s="36" t="s">
        <v>8546</v>
      </c>
      <c r="J236" s="36" t="s">
        <v>18</v>
      </c>
      <c r="K236" s="36"/>
      <c r="L236" s="36"/>
      <c r="M236" s="36" t="s">
        <v>4799</v>
      </c>
    </row>
    <row r="237" spans="1:13" hidden="1">
      <c r="A237" s="42">
        <f t="shared" si="4"/>
        <v>236</v>
      </c>
      <c r="B237" s="36" t="s">
        <v>6</v>
      </c>
      <c r="C237" s="36" t="s">
        <v>8543</v>
      </c>
      <c r="D237" s="9" t="s">
        <v>8579</v>
      </c>
      <c r="E237" s="9" t="s">
        <v>8179</v>
      </c>
      <c r="F237" s="9" t="s">
        <v>8180</v>
      </c>
      <c r="G237" s="36" t="s">
        <v>14</v>
      </c>
      <c r="H237" s="36" t="str">
        <f>IFERROR(VLOOKUP(Table2[[#This Row], [Ticket]],Okey!A:B,2,0),"")</f>
        <v>ok</v>
      </c>
      <c r="I237" s="36" t="s">
        <v>8546</v>
      </c>
      <c r="J237" s="36" t="s">
        <v>18</v>
      </c>
      <c r="K237" s="36"/>
      <c r="L237" s="36"/>
      <c r="M237" s="36" t="s">
        <v>4799</v>
      </c>
    </row>
    <row r="238" spans="1:13" hidden="1">
      <c r="A238" s="42">
        <f t="shared" si="4"/>
        <v>237</v>
      </c>
      <c r="B238" s="36" t="s">
        <v>6</v>
      </c>
      <c r="C238" s="36" t="s">
        <v>8543</v>
      </c>
      <c r="D238" s="9" t="s">
        <v>8580</v>
      </c>
      <c r="E238" s="9" t="s">
        <v>8181</v>
      </c>
      <c r="F238" s="9" t="s">
        <v>8180</v>
      </c>
      <c r="G238" s="36" t="s">
        <v>14</v>
      </c>
      <c r="H238" s="36" t="str">
        <f>IFERROR(VLOOKUP(Table2[[#This Row], [Ticket]],Okey!A:B,2,0),"")</f>
        <v>ok</v>
      </c>
      <c r="I238" s="36" t="s">
        <v>8546</v>
      </c>
      <c r="J238" s="36" t="s">
        <v>18</v>
      </c>
      <c r="K238" s="36"/>
      <c r="L238" s="36"/>
      <c r="M238" s="36" t="s">
        <v>4799</v>
      </c>
    </row>
    <row r="239" spans="1:13" hidden="1">
      <c r="A239" s="42">
        <f t="shared" si="4"/>
        <v>238</v>
      </c>
      <c r="B239" s="36" t="s">
        <v>6</v>
      </c>
      <c r="C239" s="36" t="s">
        <v>8543</v>
      </c>
      <c r="D239" s="9" t="s">
        <v>8581</v>
      </c>
      <c r="E239" s="9" t="s">
        <v>8182</v>
      </c>
      <c r="F239" s="9" t="s">
        <v>8180</v>
      </c>
      <c r="G239" s="36" t="s">
        <v>14</v>
      </c>
      <c r="H239" s="36" t="str">
        <f>IFERROR(VLOOKUP(Table2[[#This Row], [Ticket]],Okey!A:B,2,0),"")</f>
        <v>ok</v>
      </c>
      <c r="I239" s="36" t="s">
        <v>8546</v>
      </c>
      <c r="J239" s="36" t="s">
        <v>18</v>
      </c>
      <c r="K239" s="36"/>
      <c r="L239" s="36"/>
      <c r="M239" s="36" t="s">
        <v>4799</v>
      </c>
    </row>
    <row r="240" spans="1:13" hidden="1">
      <c r="A240" s="42">
        <f t="shared" si="4"/>
        <v>239</v>
      </c>
      <c r="B240" s="36" t="s">
        <v>6</v>
      </c>
      <c r="C240" s="36" t="s">
        <v>8543</v>
      </c>
      <c r="D240" s="9" t="s">
        <v>8582</v>
      </c>
      <c r="E240" s="9" t="s">
        <v>8183</v>
      </c>
      <c r="F240" s="9" t="s">
        <v>8180</v>
      </c>
      <c r="G240" s="36" t="s">
        <v>14</v>
      </c>
      <c r="H240" s="36" t="str">
        <f>IFERROR(VLOOKUP(Table2[[#This Row], [Ticket]],Okey!A:B,2,0),"")</f>
        <v>ok</v>
      </c>
      <c r="I240" s="36" t="s">
        <v>8546</v>
      </c>
      <c r="J240" s="36" t="s">
        <v>18</v>
      </c>
      <c r="K240" s="36"/>
      <c r="L240" s="36"/>
      <c r="M240" s="36" t="s">
        <v>4799</v>
      </c>
    </row>
    <row r="241" spans="1:13" hidden="1">
      <c r="A241" s="42">
        <f t="shared" si="4"/>
        <v>240</v>
      </c>
      <c r="B241" s="36" t="s">
        <v>6</v>
      </c>
      <c r="C241" s="36" t="s">
        <v>8543</v>
      </c>
      <c r="D241" s="9" t="s">
        <v>8583</v>
      </c>
      <c r="E241" s="9" t="s">
        <v>8184</v>
      </c>
      <c r="F241" s="9" t="s">
        <v>6531</v>
      </c>
      <c r="G241" s="36" t="s">
        <v>14</v>
      </c>
      <c r="H241" s="36" t="str">
        <f>IFERROR(VLOOKUP(Table2[[#This Row], [Ticket]],Okey!A:B,2,0),"")</f>
        <v>ok</v>
      </c>
      <c r="I241" s="36" t="s">
        <v>8546</v>
      </c>
      <c r="J241" s="36" t="s">
        <v>18</v>
      </c>
      <c r="K241" s="36"/>
      <c r="L241" s="36"/>
      <c r="M241" s="36" t="s">
        <v>4799</v>
      </c>
    </row>
    <row r="242" spans="1:13" hidden="1">
      <c r="A242" s="42">
        <f t="shared" si="4"/>
        <v>241</v>
      </c>
      <c r="B242" s="36" t="s">
        <v>6</v>
      </c>
      <c r="C242" s="36" t="s">
        <v>8543</v>
      </c>
      <c r="D242" s="9" t="s">
        <v>8584</v>
      </c>
      <c r="E242" s="9" t="s">
        <v>8185</v>
      </c>
      <c r="F242" s="9" t="s">
        <v>6531</v>
      </c>
      <c r="G242" s="36" t="s">
        <v>14</v>
      </c>
      <c r="H242" s="36" t="str">
        <f>IFERROR(VLOOKUP(Table2[[#This Row], [Ticket]],Okey!A:B,2,0),"")</f>
        <v>ok</v>
      </c>
      <c r="I242" s="36" t="s">
        <v>8546</v>
      </c>
      <c r="J242" s="36" t="s">
        <v>18</v>
      </c>
      <c r="K242" s="36"/>
      <c r="L242" s="36"/>
      <c r="M242" s="36" t="s">
        <v>4799</v>
      </c>
    </row>
    <row r="243" spans="1:13" hidden="1">
      <c r="A243" s="42">
        <f t="shared" si="4"/>
        <v>242</v>
      </c>
      <c r="B243" s="36" t="s">
        <v>6</v>
      </c>
      <c r="C243" s="36" t="s">
        <v>8543</v>
      </c>
      <c r="D243" s="9" t="s">
        <v>8585</v>
      </c>
      <c r="E243" s="9" t="s">
        <v>8186</v>
      </c>
      <c r="F243" s="9" t="s">
        <v>6531</v>
      </c>
      <c r="G243" s="36" t="s">
        <v>14</v>
      </c>
      <c r="H243" s="36" t="str">
        <f>IFERROR(VLOOKUP(Table2[[#This Row], [Ticket]],Okey!A:B,2,0),"")</f>
        <v>ok</v>
      </c>
      <c r="I243" s="36" t="s">
        <v>8546</v>
      </c>
      <c r="J243" s="36" t="s">
        <v>18</v>
      </c>
      <c r="K243" s="36"/>
      <c r="L243" s="36"/>
      <c r="M243" s="36" t="s">
        <v>4799</v>
      </c>
    </row>
    <row r="244" spans="1:13" hidden="1">
      <c r="A244" s="42">
        <f t="shared" si="4"/>
        <v>243</v>
      </c>
      <c r="B244" s="36" t="s">
        <v>6</v>
      </c>
      <c r="C244" s="36" t="s">
        <v>8543</v>
      </c>
      <c r="D244" s="9" t="s">
        <v>8586</v>
      </c>
      <c r="E244" s="9" t="s">
        <v>8187</v>
      </c>
      <c r="F244" s="9" t="s">
        <v>6531</v>
      </c>
      <c r="G244" s="36" t="s">
        <v>14</v>
      </c>
      <c r="H244" s="36" t="str">
        <f>IFERROR(VLOOKUP(Table2[[#This Row], [Ticket]],Okey!A:B,2,0),"")</f>
        <v>ok</v>
      </c>
      <c r="I244" s="36" t="s">
        <v>8546</v>
      </c>
      <c r="J244" s="36" t="s">
        <v>18</v>
      </c>
      <c r="K244" s="36"/>
      <c r="L244" s="36"/>
      <c r="M244" s="36" t="s">
        <v>4799</v>
      </c>
    </row>
    <row r="245" spans="1:13" hidden="1">
      <c r="A245" s="42">
        <f t="shared" si="4"/>
        <v>244</v>
      </c>
      <c r="B245" s="36" t="s">
        <v>6</v>
      </c>
      <c r="C245" s="36" t="s">
        <v>8543</v>
      </c>
      <c r="D245" s="9" t="s">
        <v>8587</v>
      </c>
      <c r="E245" s="9" t="s">
        <v>8188</v>
      </c>
      <c r="F245" s="36" t="s">
        <v>8586</v>
      </c>
      <c r="G245" s="36" t="s">
        <v>14</v>
      </c>
      <c r="H245" s="36" t="str">
        <f>IFERROR(VLOOKUP(Table2[[#This Row], [Ticket]],Okey!A:B,2,0),"")</f>
        <v>ok</v>
      </c>
      <c r="I245" s="36" t="s">
        <v>8546</v>
      </c>
      <c r="J245" s="36" t="s">
        <v>18</v>
      </c>
      <c r="K245" s="36"/>
      <c r="L245" s="36"/>
      <c r="M245" s="36" t="s">
        <v>4799</v>
      </c>
    </row>
    <row r="246" spans="1:13" hidden="1">
      <c r="A246" s="42">
        <f t="shared" si="4"/>
        <v>245</v>
      </c>
      <c r="B246" s="36" t="s">
        <v>6</v>
      </c>
      <c r="C246" s="36" t="s">
        <v>8543</v>
      </c>
      <c r="D246" s="9" t="s">
        <v>8588</v>
      </c>
      <c r="E246" s="9" t="s">
        <v>8189</v>
      </c>
      <c r="F246" s="36" t="s">
        <v>8586</v>
      </c>
      <c r="G246" s="36" t="s">
        <v>14</v>
      </c>
      <c r="H246" s="36" t="str">
        <f>IFERROR(VLOOKUP(Table2[[#This Row], [Ticket]],Okey!A:B,2,0),"")</f>
        <v>ok</v>
      </c>
      <c r="I246" s="36" t="s">
        <v>8546</v>
      </c>
      <c r="J246" s="36" t="s">
        <v>18</v>
      </c>
      <c r="K246" s="36"/>
      <c r="L246" s="36"/>
      <c r="M246" s="36" t="s">
        <v>4799</v>
      </c>
    </row>
    <row r="247" spans="1:13" hidden="1">
      <c r="A247" s="42">
        <f t="shared" si="4"/>
        <v>246</v>
      </c>
      <c r="B247" s="36" t="s">
        <v>6</v>
      </c>
      <c r="C247" s="36" t="s">
        <v>8543</v>
      </c>
      <c r="D247" s="9" t="s">
        <v>8589</v>
      </c>
      <c r="E247" s="9" t="s">
        <v>8190</v>
      </c>
      <c r="F247" s="36" t="s">
        <v>8586</v>
      </c>
      <c r="G247" s="36" t="s">
        <v>14</v>
      </c>
      <c r="H247" s="36" t="str">
        <f>IFERROR(VLOOKUP(Table2[[#This Row], [Ticket]],Okey!A:B,2,0),"")</f>
        <v>ok</v>
      </c>
      <c r="I247" s="36" t="s">
        <v>8546</v>
      </c>
      <c r="J247" s="36" t="s">
        <v>18</v>
      </c>
      <c r="K247" s="36"/>
      <c r="L247" s="36"/>
      <c r="M247" s="36" t="s">
        <v>4799</v>
      </c>
    </row>
    <row r="248" spans="1:13" hidden="1">
      <c r="A248" s="42">
        <f t="shared" si="4"/>
        <v>247</v>
      </c>
      <c r="B248" s="36" t="s">
        <v>6</v>
      </c>
      <c r="C248" s="36" t="s">
        <v>8543</v>
      </c>
      <c r="D248" s="9" t="s">
        <v>8590</v>
      </c>
      <c r="E248" s="9" t="s">
        <v>8191</v>
      </c>
      <c r="F248" s="9" t="s">
        <v>8192</v>
      </c>
      <c r="G248" s="36" t="s">
        <v>14</v>
      </c>
      <c r="H248" s="36" t="str">
        <f>IFERROR(VLOOKUP(Table2[[#This Row], [Ticket]],Okey!A:B,2,0),"")</f>
        <v>ok</v>
      </c>
      <c r="I248" s="36" t="s">
        <v>8546</v>
      </c>
      <c r="J248" s="36" t="s">
        <v>18</v>
      </c>
      <c r="K248" s="36"/>
      <c r="L248" s="36"/>
      <c r="M248" s="36" t="s">
        <v>4799</v>
      </c>
    </row>
    <row r="249" spans="1:13" hidden="1">
      <c r="A249" s="42">
        <f t="shared" si="4"/>
        <v>248</v>
      </c>
      <c r="B249" s="36" t="s">
        <v>6</v>
      </c>
      <c r="C249" s="36" t="s">
        <v>8543</v>
      </c>
      <c r="D249" s="9" t="s">
        <v>8591</v>
      </c>
      <c r="E249" s="9" t="s">
        <v>8193</v>
      </c>
      <c r="F249" s="36" t="s">
        <v>8600</v>
      </c>
      <c r="G249" s="36" t="s">
        <v>14</v>
      </c>
      <c r="H249" s="36" t="str">
        <f>IFERROR(VLOOKUP(Table2[[#This Row], [Ticket]],Okey!A:B,2,0),"")</f>
        <v>ok</v>
      </c>
      <c r="I249" s="36" t="s">
        <v>8546</v>
      </c>
      <c r="J249" s="36" t="s">
        <v>18</v>
      </c>
      <c r="K249" s="36"/>
      <c r="L249" s="36"/>
      <c r="M249" s="36" t="s">
        <v>4799</v>
      </c>
    </row>
    <row r="250" spans="1:13" hidden="1">
      <c r="A250" s="42">
        <f t="shared" si="4"/>
        <v>249</v>
      </c>
      <c r="B250" s="36" t="s">
        <v>6</v>
      </c>
      <c r="C250" s="36" t="s">
        <v>8543</v>
      </c>
      <c r="D250" s="9" t="s">
        <v>8592</v>
      </c>
      <c r="E250" s="9" t="s">
        <v>8195</v>
      </c>
      <c r="F250" s="9" t="s">
        <v>6553</v>
      </c>
      <c r="G250" s="36" t="s">
        <v>14</v>
      </c>
      <c r="H250" s="36" t="str">
        <f>IFERROR(VLOOKUP(Table2[[#This Row], [Ticket]],Okey!A:B,2,0),"")</f>
        <v>ok</v>
      </c>
      <c r="I250" s="36" t="s">
        <v>8546</v>
      </c>
      <c r="J250" s="36" t="s">
        <v>18</v>
      </c>
      <c r="K250" s="36"/>
      <c r="L250" s="36"/>
      <c r="M250" s="36" t="s">
        <v>4799</v>
      </c>
    </row>
    <row r="251" spans="1:13" hidden="1">
      <c r="A251" s="42">
        <f t="shared" si="4"/>
        <v>250</v>
      </c>
      <c r="B251" s="36" t="s">
        <v>6</v>
      </c>
      <c r="C251" s="36" t="s">
        <v>8543</v>
      </c>
      <c r="D251" s="9" t="s">
        <v>8593</v>
      </c>
      <c r="E251" s="9" t="s">
        <v>8196</v>
      </c>
      <c r="F251" s="9" t="s">
        <v>6553</v>
      </c>
      <c r="G251" s="36" t="s">
        <v>14</v>
      </c>
      <c r="H251" s="36" t="str">
        <f>IFERROR(VLOOKUP(Table2[[#This Row], [Ticket]],Okey!A:B,2,0),"")</f>
        <v>ok</v>
      </c>
      <c r="I251" s="36" t="s">
        <v>8546</v>
      </c>
      <c r="J251" s="36" t="s">
        <v>18</v>
      </c>
      <c r="K251" s="36"/>
      <c r="L251" s="36"/>
      <c r="M251" s="36" t="s">
        <v>4799</v>
      </c>
    </row>
    <row r="252" spans="1:13" hidden="1">
      <c r="A252" s="42">
        <f t="shared" si="4"/>
        <v>251</v>
      </c>
      <c r="B252" s="36" t="s">
        <v>6</v>
      </c>
      <c r="C252" s="36" t="s">
        <v>8543</v>
      </c>
      <c r="D252" s="9" t="s">
        <v>8594</v>
      </c>
      <c r="E252" s="9" t="s">
        <v>8197</v>
      </c>
      <c r="F252" s="9" t="s">
        <v>6553</v>
      </c>
      <c r="G252" s="36" t="s">
        <v>14</v>
      </c>
      <c r="H252" s="36" t="str">
        <f>IFERROR(VLOOKUP(Table2[[#This Row], [Ticket]],Okey!A:B,2,0),"")</f>
        <v>ok</v>
      </c>
      <c r="I252" s="36" t="s">
        <v>8546</v>
      </c>
      <c r="J252" s="36" t="s">
        <v>18</v>
      </c>
      <c r="K252" s="36"/>
      <c r="L252" s="36"/>
      <c r="M252" s="36" t="s">
        <v>4799</v>
      </c>
    </row>
    <row r="253" spans="1:13" hidden="1">
      <c r="A253" s="42">
        <f t="shared" si="4"/>
        <v>252</v>
      </c>
      <c r="B253" s="36" t="s">
        <v>6</v>
      </c>
      <c r="C253" s="36" t="s">
        <v>8543</v>
      </c>
      <c r="D253" s="9" t="s">
        <v>8595</v>
      </c>
      <c r="E253" s="9" t="s">
        <v>8198</v>
      </c>
      <c r="F253" s="9" t="s">
        <v>6553</v>
      </c>
      <c r="G253" s="36" t="s">
        <v>14</v>
      </c>
      <c r="H253" s="36" t="str">
        <f>IFERROR(VLOOKUP(Table2[[#This Row], [Ticket]],Okey!A:B,2,0),"")</f>
        <v>ok</v>
      </c>
      <c r="I253" s="36" t="s">
        <v>8546</v>
      </c>
      <c r="J253" s="36" t="s">
        <v>18</v>
      </c>
      <c r="K253" s="36"/>
      <c r="L253" s="36"/>
      <c r="M253" s="36" t="s">
        <v>4799</v>
      </c>
    </row>
    <row r="254" spans="1:13" hidden="1">
      <c r="A254" s="42">
        <f t="shared" si="4"/>
        <v>253</v>
      </c>
      <c r="B254" s="36" t="s">
        <v>6</v>
      </c>
      <c r="C254" s="36" t="s">
        <v>8543</v>
      </c>
      <c r="D254" s="9" t="s">
        <v>8596</v>
      </c>
      <c r="E254" s="9" t="s">
        <v>8199</v>
      </c>
      <c r="F254" s="9" t="s">
        <v>6553</v>
      </c>
      <c r="G254" s="36" t="s">
        <v>14</v>
      </c>
      <c r="H254" s="36" t="str">
        <f>IFERROR(VLOOKUP(Table2[[#This Row], [Ticket]],Okey!A:B,2,0),"")</f>
        <v>ok</v>
      </c>
      <c r="I254" s="36" t="s">
        <v>8546</v>
      </c>
      <c r="J254" s="36" t="s">
        <v>18</v>
      </c>
      <c r="K254" s="36"/>
      <c r="L254" s="36"/>
      <c r="M254" s="36" t="s">
        <v>4799</v>
      </c>
    </row>
    <row r="255" spans="1:13" hidden="1">
      <c r="A255" s="42">
        <f t="shared" si="4"/>
        <v>254</v>
      </c>
      <c r="B255" s="36" t="s">
        <v>6</v>
      </c>
      <c r="C255" s="36" t="s">
        <v>8543</v>
      </c>
      <c r="D255" s="9" t="s">
        <v>8597</v>
      </c>
      <c r="E255" s="9" t="s">
        <v>8200</v>
      </c>
      <c r="F255" s="9" t="s">
        <v>6553</v>
      </c>
      <c r="G255" s="36" t="s">
        <v>14</v>
      </c>
      <c r="H255" s="36" t="str">
        <f>IFERROR(VLOOKUP(Table2[[#This Row], [Ticket]],Okey!A:B,2,0),"")</f>
        <v>ok</v>
      </c>
      <c r="I255" s="36" t="s">
        <v>8546</v>
      </c>
      <c r="J255" s="36" t="s">
        <v>18</v>
      </c>
      <c r="K255" s="36"/>
      <c r="L255" s="36"/>
      <c r="M255" s="36" t="s">
        <v>4799</v>
      </c>
    </row>
    <row r="256" spans="1:13" hidden="1">
      <c r="A256" s="42">
        <f t="shared" si="4"/>
        <v>255</v>
      </c>
      <c r="B256" s="36" t="s">
        <v>6</v>
      </c>
      <c r="C256" s="36" t="s">
        <v>8543</v>
      </c>
      <c r="D256" s="9" t="s">
        <v>8598</v>
      </c>
      <c r="E256" s="9" t="s">
        <v>8201</v>
      </c>
      <c r="F256" s="9" t="s">
        <v>6553</v>
      </c>
      <c r="G256" s="36" t="s">
        <v>14</v>
      </c>
      <c r="H256" s="36" t="str">
        <f>IFERROR(VLOOKUP(Table2[[#This Row], [Ticket]],Okey!A:B,2,0),"")</f>
        <v>ok</v>
      </c>
      <c r="I256" s="36" t="s">
        <v>8546</v>
      </c>
      <c r="J256" s="36" t="s">
        <v>18</v>
      </c>
      <c r="K256" s="36"/>
      <c r="L256" s="36"/>
      <c r="M256" s="36" t="s">
        <v>4799</v>
      </c>
    </row>
    <row r="257" spans="1:13" hidden="1">
      <c r="A257" s="42">
        <f t="shared" si="4"/>
        <v>256</v>
      </c>
      <c r="B257" s="36" t="s">
        <v>6</v>
      </c>
      <c r="C257" s="36" t="s">
        <v>8543</v>
      </c>
      <c r="D257" s="9" t="s">
        <v>8599</v>
      </c>
      <c r="E257" s="9" t="s">
        <v>8202</v>
      </c>
      <c r="F257" s="36" t="s">
        <v>8590</v>
      </c>
      <c r="G257" s="36" t="s">
        <v>14</v>
      </c>
      <c r="H257" s="36" t="str">
        <f>IFERROR(VLOOKUP(Table2[[#This Row], [Ticket]],Okey!A:B,2,0),"")</f>
        <v>ok</v>
      </c>
      <c r="I257" s="36" t="s">
        <v>8546</v>
      </c>
      <c r="J257" s="36" t="s">
        <v>18</v>
      </c>
      <c r="K257" s="36"/>
      <c r="L257" s="36"/>
      <c r="M257" s="36" t="s">
        <v>4799</v>
      </c>
    </row>
    <row r="258" spans="1:13" hidden="1">
      <c r="A258" s="42">
        <f t="shared" si="4"/>
        <v>257</v>
      </c>
      <c r="B258" s="36" t="s">
        <v>6</v>
      </c>
      <c r="C258" s="36" t="s">
        <v>8543</v>
      </c>
      <c r="D258" s="9" t="s">
        <v>8600</v>
      </c>
      <c r="E258" s="9" t="s">
        <v>8194</v>
      </c>
      <c r="F258" s="36" t="s">
        <v>8590</v>
      </c>
      <c r="G258" s="36" t="s">
        <v>14</v>
      </c>
      <c r="H258" s="36" t="str">
        <f>IFERROR(VLOOKUP(Table2[[#This Row], [Ticket]],Okey!A:B,2,0),"")</f>
        <v>ok</v>
      </c>
      <c r="I258" s="36" t="s">
        <v>8546</v>
      </c>
      <c r="J258" s="36" t="s">
        <v>18</v>
      </c>
      <c r="K258" s="36"/>
      <c r="L258" s="36"/>
      <c r="M258" s="36" t="s">
        <v>4799</v>
      </c>
    </row>
    <row r="259" spans="1:13" hidden="1">
      <c r="A259" s="42">
        <f t="shared" si="4"/>
        <v>258</v>
      </c>
      <c r="B259" s="36" t="s">
        <v>6</v>
      </c>
      <c r="C259" s="36" t="s">
        <v>8543</v>
      </c>
      <c r="D259" s="9" t="s">
        <v>8601</v>
      </c>
      <c r="E259" s="9" t="s">
        <v>8203</v>
      </c>
      <c r="F259" s="9" t="s">
        <v>5585</v>
      </c>
      <c r="G259" s="36" t="s">
        <v>14</v>
      </c>
      <c r="H259" s="36" t="str">
        <f>IFERROR(VLOOKUP(Table2[[#This Row], [Ticket]],Okey!A:B,2,0),"")</f>
        <v>ok</v>
      </c>
      <c r="I259" s="36" t="s">
        <v>8546</v>
      </c>
      <c r="J259" s="36" t="s">
        <v>18</v>
      </c>
      <c r="K259" s="36"/>
      <c r="L259" s="36"/>
      <c r="M259" s="36" t="s">
        <v>4799</v>
      </c>
    </row>
    <row r="260" spans="1:13" hidden="1">
      <c r="A260" s="42">
        <f t="shared" si="4"/>
        <v>259</v>
      </c>
      <c r="B260" s="36" t="s">
        <v>6</v>
      </c>
      <c r="C260" s="36" t="s">
        <v>8543</v>
      </c>
      <c r="D260" s="9" t="s">
        <v>8602</v>
      </c>
      <c r="E260" s="9" t="s">
        <v>8204</v>
      </c>
      <c r="F260" s="9" t="s">
        <v>5585</v>
      </c>
      <c r="G260" s="36" t="s">
        <v>14</v>
      </c>
      <c r="H260" s="36" t="str">
        <f>IFERROR(VLOOKUP(Table2[[#This Row], [Ticket]],Okey!A:B,2,0),"")</f>
        <v>ok</v>
      </c>
      <c r="I260" s="36" t="s">
        <v>8546</v>
      </c>
      <c r="J260" s="36" t="s">
        <v>18</v>
      </c>
      <c r="K260" s="36"/>
      <c r="L260" s="36"/>
      <c r="M260" s="36" t="s">
        <v>4799</v>
      </c>
    </row>
    <row r="261" spans="1:13" hidden="1">
      <c r="A261" s="42">
        <f t="shared" si="4"/>
        <v>260</v>
      </c>
      <c r="B261" s="36" t="s">
        <v>6</v>
      </c>
      <c r="C261" s="36" t="s">
        <v>8543</v>
      </c>
      <c r="D261" s="9" t="s">
        <v>8603</v>
      </c>
      <c r="E261" s="9" t="s">
        <v>8205</v>
      </c>
      <c r="F261" s="9" t="s">
        <v>5585</v>
      </c>
      <c r="G261" s="36" t="s">
        <v>14</v>
      </c>
      <c r="H261" s="36" t="str">
        <f>IFERROR(VLOOKUP(Table2[[#This Row], [Ticket]],Okey!A:B,2,0),"")</f>
        <v>ok</v>
      </c>
      <c r="I261" s="36" t="s">
        <v>8546</v>
      </c>
      <c r="J261" s="36" t="s">
        <v>18</v>
      </c>
      <c r="K261" s="36"/>
      <c r="L261" s="36"/>
      <c r="M261" s="36" t="s">
        <v>4799</v>
      </c>
    </row>
    <row r="262" spans="1:13" hidden="1">
      <c r="A262" s="42">
        <f t="shared" si="4"/>
        <v>261</v>
      </c>
      <c r="B262" s="36" t="s">
        <v>6</v>
      </c>
      <c r="C262" s="36" t="s">
        <v>8543</v>
      </c>
      <c r="D262" s="9" t="s">
        <v>8604</v>
      </c>
      <c r="E262" s="9" t="s">
        <v>8206</v>
      </c>
      <c r="F262" s="9" t="s">
        <v>5585</v>
      </c>
      <c r="G262" s="36" t="s">
        <v>14</v>
      </c>
      <c r="H262" s="36" t="str">
        <f>IFERROR(VLOOKUP(Table2[[#This Row], [Ticket]],Okey!A:B,2,0),"")</f>
        <v>ok</v>
      </c>
      <c r="I262" s="36" t="s">
        <v>8546</v>
      </c>
      <c r="J262" s="36" t="s">
        <v>18</v>
      </c>
      <c r="K262" s="36"/>
      <c r="L262" s="36"/>
      <c r="M262" s="36" t="s">
        <v>4799</v>
      </c>
    </row>
    <row r="263" spans="1:13" hidden="1">
      <c r="A263" s="42">
        <f t="shared" si="4"/>
        <v>262</v>
      </c>
      <c r="B263" s="36" t="s">
        <v>6</v>
      </c>
      <c r="C263" s="36" t="s">
        <v>8543</v>
      </c>
      <c r="D263" s="9" t="s">
        <v>8605</v>
      </c>
      <c r="E263" s="9" t="s">
        <v>8207</v>
      </c>
      <c r="F263" s="9" t="s">
        <v>5585</v>
      </c>
      <c r="G263" s="36" t="s">
        <v>14</v>
      </c>
      <c r="H263" s="36" t="str">
        <f>IFERROR(VLOOKUP(Table2[[#This Row], [Ticket]],Okey!A:B,2,0),"")</f>
        <v>ok</v>
      </c>
      <c r="I263" s="36" t="s">
        <v>8546</v>
      </c>
      <c r="J263" s="36" t="s">
        <v>18</v>
      </c>
      <c r="K263" s="36"/>
      <c r="L263" s="36"/>
      <c r="M263" s="36" t="s">
        <v>4799</v>
      </c>
    </row>
    <row r="264" spans="1:13" hidden="1">
      <c r="A264" s="42">
        <f t="shared" si="4"/>
        <v>263</v>
      </c>
      <c r="B264" s="36" t="s">
        <v>6</v>
      </c>
      <c r="C264" s="36" t="s">
        <v>8543</v>
      </c>
      <c r="D264" s="9" t="s">
        <v>8606</v>
      </c>
      <c r="E264" s="9" t="s">
        <v>8208</v>
      </c>
      <c r="F264" s="9" t="s">
        <v>5585</v>
      </c>
      <c r="G264" s="36" t="s">
        <v>14</v>
      </c>
      <c r="H264" s="36" t="str">
        <f>IFERROR(VLOOKUP(Table2[[#This Row], [Ticket]],Okey!A:B,2,0),"")</f>
        <v>ok</v>
      </c>
      <c r="I264" s="36" t="s">
        <v>8546</v>
      </c>
      <c r="J264" s="36" t="s">
        <v>18</v>
      </c>
      <c r="K264" s="36"/>
      <c r="L264" s="36"/>
      <c r="M264" s="36" t="s">
        <v>4799</v>
      </c>
    </row>
    <row r="265" spans="1:13" hidden="1">
      <c r="A265" s="42">
        <f t="shared" si="4"/>
        <v>264</v>
      </c>
      <c r="B265" s="36" t="s">
        <v>6</v>
      </c>
      <c r="C265" s="36" t="s">
        <v>8543</v>
      </c>
      <c r="D265" s="9" t="s">
        <v>8607</v>
      </c>
      <c r="E265" s="9" t="s">
        <v>8209</v>
      </c>
      <c r="F265" s="9" t="s">
        <v>5585</v>
      </c>
      <c r="G265" s="36" t="s">
        <v>14</v>
      </c>
      <c r="H265" s="36" t="str">
        <f>IFERROR(VLOOKUP(Table2[[#This Row], [Ticket]],Okey!A:B,2,0),"")</f>
        <v>ok</v>
      </c>
      <c r="I265" s="36" t="s">
        <v>8546</v>
      </c>
      <c r="J265" s="36" t="s">
        <v>18</v>
      </c>
      <c r="K265" s="36"/>
      <c r="L265" s="36"/>
      <c r="M265" s="36" t="s">
        <v>4799</v>
      </c>
    </row>
    <row r="266" spans="1:13" hidden="1">
      <c r="A266" s="42">
        <f t="shared" si="4"/>
        <v>265</v>
      </c>
      <c r="B266" s="36" t="s">
        <v>6</v>
      </c>
      <c r="C266" s="36" t="s">
        <v>8543</v>
      </c>
      <c r="D266" s="9" t="s">
        <v>8608</v>
      </c>
      <c r="E266" s="9" t="s">
        <v>8210</v>
      </c>
      <c r="F266" s="36" t="s">
        <v>8590</v>
      </c>
      <c r="G266" s="36" t="s">
        <v>14</v>
      </c>
      <c r="H266" s="36" t="str">
        <f>IFERROR(VLOOKUP(Table2[[#This Row], [Ticket]],Okey!A:B,2,0),"")</f>
        <v>ok</v>
      </c>
      <c r="I266" s="36" t="s">
        <v>8546</v>
      </c>
      <c r="J266" s="36" t="s">
        <v>18</v>
      </c>
      <c r="K266" s="36"/>
      <c r="L266" s="36"/>
      <c r="M266" s="36" t="s">
        <v>4799</v>
      </c>
    </row>
    <row r="267" spans="1:13" hidden="1">
      <c r="A267" s="42">
        <f t="shared" si="4"/>
        <v>266</v>
      </c>
      <c r="B267" s="36" t="s">
        <v>6</v>
      </c>
      <c r="C267" s="36" t="s">
        <v>8543</v>
      </c>
      <c r="D267" s="9" t="s">
        <v>8609</v>
      </c>
      <c r="E267" s="9" t="s">
        <v>8211</v>
      </c>
      <c r="F267" s="36" t="s">
        <v>8608</v>
      </c>
      <c r="G267" s="36" t="s">
        <v>14</v>
      </c>
      <c r="H267" s="36" t="str">
        <f>IFERROR(VLOOKUP(Table2[[#This Row], [Ticket]],Okey!A:B,2,0),"")</f>
        <v>ok</v>
      </c>
      <c r="I267" s="36" t="s">
        <v>8546</v>
      </c>
      <c r="J267" s="36" t="s">
        <v>18</v>
      </c>
      <c r="K267" s="36"/>
      <c r="L267" s="36"/>
      <c r="M267" s="36" t="s">
        <v>4799</v>
      </c>
    </row>
    <row r="268" spans="1:13" hidden="1">
      <c r="A268" s="42">
        <f t="shared" si="4"/>
        <v>267</v>
      </c>
      <c r="B268" s="36" t="s">
        <v>6</v>
      </c>
      <c r="C268" s="36" t="s">
        <v>8543</v>
      </c>
      <c r="D268" s="9" t="s">
        <v>8610</v>
      </c>
      <c r="E268" s="9" t="s">
        <v>8212</v>
      </c>
      <c r="F268" s="36" t="s">
        <v>8608</v>
      </c>
      <c r="G268" s="36" t="s">
        <v>14</v>
      </c>
      <c r="H268" s="36" t="str">
        <f>IFERROR(VLOOKUP(Table2[[#This Row], [Ticket]],Okey!A:B,2,0),"")</f>
        <v>ok</v>
      </c>
      <c r="I268" s="36" t="s">
        <v>8546</v>
      </c>
      <c r="J268" s="36" t="s">
        <v>18</v>
      </c>
      <c r="K268" s="36"/>
      <c r="L268" s="36"/>
      <c r="M268" s="36" t="s">
        <v>4799</v>
      </c>
    </row>
    <row r="269" spans="1:13" hidden="1">
      <c r="A269" s="42">
        <f t="shared" si="4"/>
        <v>268</v>
      </c>
      <c r="B269" s="36" t="s">
        <v>6</v>
      </c>
      <c r="C269" s="36" t="s">
        <v>8543</v>
      </c>
      <c r="D269" s="9" t="s">
        <v>8611</v>
      </c>
      <c r="E269" s="9" t="s">
        <v>8213</v>
      </c>
      <c r="F269" s="36" t="s">
        <v>8608</v>
      </c>
      <c r="G269" s="36" t="s">
        <v>14</v>
      </c>
      <c r="H269" s="36" t="str">
        <f>IFERROR(VLOOKUP(Table2[[#This Row], [Ticket]],Okey!A:B,2,0),"")</f>
        <v>ok</v>
      </c>
      <c r="I269" s="36" t="s">
        <v>8546</v>
      </c>
      <c r="J269" s="36" t="s">
        <v>18</v>
      </c>
      <c r="K269" s="36"/>
      <c r="L269" s="36"/>
      <c r="M269" s="36" t="s">
        <v>4799</v>
      </c>
    </row>
    <row r="270" spans="1:13" hidden="1">
      <c r="A270" s="42">
        <f t="shared" si="4"/>
        <v>269</v>
      </c>
      <c r="B270" s="36" t="s">
        <v>6</v>
      </c>
      <c r="C270" s="36" t="s">
        <v>8543</v>
      </c>
      <c r="D270" s="9" t="s">
        <v>8612</v>
      </c>
      <c r="E270" s="9" t="s">
        <v>8211</v>
      </c>
      <c r="F270" s="36" t="s">
        <v>8608</v>
      </c>
      <c r="G270" s="36" t="s">
        <v>14</v>
      </c>
      <c r="H270" s="36" t="str">
        <f>IFERROR(VLOOKUP(Table2[[#This Row], [Ticket]],Okey!A:B,2,0),"")</f>
        <v>ok</v>
      </c>
      <c r="I270" s="36" t="s">
        <v>8546</v>
      </c>
      <c r="J270" s="36" t="s">
        <v>18</v>
      </c>
      <c r="K270" s="36"/>
      <c r="L270" s="36"/>
      <c r="M270" s="36" t="s">
        <v>4799</v>
      </c>
    </row>
    <row r="271" spans="1:13" hidden="1">
      <c r="A271" s="42">
        <f t="shared" si="4"/>
        <v>270</v>
      </c>
      <c r="B271" s="36" t="s">
        <v>6</v>
      </c>
      <c r="C271" s="36" t="s">
        <v>8543</v>
      </c>
      <c r="D271" s="9" t="s">
        <v>8613</v>
      </c>
      <c r="E271" s="9" t="s">
        <v>8214</v>
      </c>
      <c r="F271" s="36" t="s">
        <v>8608</v>
      </c>
      <c r="G271" s="36" t="s">
        <v>14</v>
      </c>
      <c r="H271" s="36" t="str">
        <f>IFERROR(VLOOKUP(Table2[[#This Row], [Ticket]],Okey!A:B,2,0),"")</f>
        <v>ok</v>
      </c>
      <c r="I271" s="36" t="s">
        <v>8546</v>
      </c>
      <c r="J271" s="36" t="s">
        <v>18</v>
      </c>
      <c r="K271" s="36"/>
      <c r="L271" s="36"/>
      <c r="M271" s="36" t="s">
        <v>4799</v>
      </c>
    </row>
    <row r="272" spans="1:13" hidden="1">
      <c r="A272" s="42">
        <f t="shared" si="4"/>
        <v>271</v>
      </c>
      <c r="B272" s="36" t="s">
        <v>6</v>
      </c>
      <c r="C272" s="36" t="s">
        <v>8543</v>
      </c>
      <c r="D272" s="9" t="s">
        <v>8614</v>
      </c>
      <c r="E272" s="9" t="s">
        <v>8215</v>
      </c>
      <c r="F272" s="9" t="s">
        <v>1274</v>
      </c>
      <c r="G272" s="36" t="s">
        <v>14</v>
      </c>
      <c r="H272" s="36" t="str">
        <f>IFERROR(VLOOKUP(Table2[[#This Row], [Ticket]],Okey!A:B,2,0),"")</f>
        <v>ok</v>
      </c>
      <c r="I272" s="36" t="s">
        <v>8546</v>
      </c>
      <c r="J272" s="36" t="s">
        <v>18</v>
      </c>
      <c r="K272" s="36"/>
      <c r="L272" s="36"/>
      <c r="M272" s="36" t="s">
        <v>4799</v>
      </c>
    </row>
    <row r="273" spans="1:13" hidden="1">
      <c r="A273" s="42">
        <f t="shared" si="4"/>
        <v>272</v>
      </c>
      <c r="B273" s="36" t="s">
        <v>6</v>
      </c>
      <c r="C273" s="36" t="s">
        <v>8543</v>
      </c>
      <c r="D273" s="9" t="s">
        <v>8615</v>
      </c>
      <c r="E273" s="9" t="s">
        <v>8216</v>
      </c>
      <c r="F273" s="9" t="s">
        <v>5550</v>
      </c>
      <c r="G273" s="36" t="s">
        <v>14</v>
      </c>
      <c r="H273" s="36" t="str">
        <f>IFERROR(VLOOKUP(Table2[[#This Row], [Ticket]],Okey!A:B,2,0),"")</f>
        <v>ok</v>
      </c>
      <c r="I273" s="36" t="s">
        <v>8546</v>
      </c>
      <c r="J273" s="36" t="s">
        <v>18</v>
      </c>
      <c r="K273" s="36"/>
      <c r="L273" s="36"/>
      <c r="M273" s="36" t="s">
        <v>4799</v>
      </c>
    </row>
    <row r="274" spans="1:13" hidden="1">
      <c r="A274" s="42">
        <f t="shared" si="4"/>
        <v>273</v>
      </c>
      <c r="B274" s="36" t="s">
        <v>6</v>
      </c>
      <c r="C274" s="36" t="s">
        <v>8543</v>
      </c>
      <c r="D274" s="9" t="s">
        <v>8616</v>
      </c>
      <c r="E274" s="9" t="s">
        <v>8217</v>
      </c>
      <c r="F274" s="9" t="s">
        <v>5550</v>
      </c>
      <c r="G274" s="36" t="s">
        <v>14</v>
      </c>
      <c r="H274" s="36" t="str">
        <f>IFERROR(VLOOKUP(Table2[[#This Row], [Ticket]],Okey!A:B,2,0),"")</f>
        <v>ok</v>
      </c>
      <c r="I274" s="36" t="s">
        <v>8546</v>
      </c>
      <c r="J274" s="36" t="s">
        <v>18</v>
      </c>
      <c r="K274" s="36"/>
      <c r="L274" s="36"/>
      <c r="M274" s="36" t="s">
        <v>4799</v>
      </c>
    </row>
    <row r="275" spans="1:13" hidden="1">
      <c r="A275" s="42">
        <f t="shared" si="4"/>
        <v>274</v>
      </c>
      <c r="B275" s="36" t="s">
        <v>6</v>
      </c>
      <c r="C275" s="36" t="s">
        <v>8543</v>
      </c>
      <c r="D275" s="9" t="s">
        <v>8617</v>
      </c>
      <c r="E275" s="9" t="s">
        <v>8218</v>
      </c>
      <c r="F275" s="9" t="s">
        <v>5550</v>
      </c>
      <c r="G275" s="36" t="s">
        <v>14</v>
      </c>
      <c r="H275" s="36" t="str">
        <f>IFERROR(VLOOKUP(Table2[[#This Row], [Ticket]],Okey!A:B,2,0),"")</f>
        <v>ok</v>
      </c>
      <c r="I275" s="36" t="s">
        <v>8546</v>
      </c>
      <c r="J275" s="36" t="s">
        <v>18</v>
      </c>
      <c r="K275" s="36"/>
      <c r="L275" s="36"/>
      <c r="M275" s="36" t="s">
        <v>4799</v>
      </c>
    </row>
    <row r="276" spans="1:13" hidden="1">
      <c r="A276" s="42">
        <f t="shared" ref="A276:A339" si="5">1+A275</f>
        <v>275</v>
      </c>
      <c r="B276" s="36" t="s">
        <v>6</v>
      </c>
      <c r="C276" s="36" t="s">
        <v>8543</v>
      </c>
      <c r="D276" s="9" t="s">
        <v>8618</v>
      </c>
      <c r="E276" s="9" t="s">
        <v>8219</v>
      </c>
      <c r="F276" s="36" t="s">
        <v>8617</v>
      </c>
      <c r="G276" s="36" t="s">
        <v>14</v>
      </c>
      <c r="H276" s="36" t="str">
        <f>IFERROR(VLOOKUP(Table2[[#This Row], [Ticket]],Okey!A:B,2,0),"")</f>
        <v>ok</v>
      </c>
      <c r="I276" s="36" t="s">
        <v>8546</v>
      </c>
      <c r="J276" s="36" t="s">
        <v>18</v>
      </c>
      <c r="K276" s="36"/>
      <c r="L276" s="36"/>
      <c r="M276" s="36" t="s">
        <v>4799</v>
      </c>
    </row>
    <row r="277" spans="1:13" hidden="1">
      <c r="A277" s="42">
        <f t="shared" si="5"/>
        <v>276</v>
      </c>
      <c r="B277" s="36" t="s">
        <v>6</v>
      </c>
      <c r="C277" s="36" t="s">
        <v>8543</v>
      </c>
      <c r="D277" s="9" t="s">
        <v>8619</v>
      </c>
      <c r="E277" s="9" t="s">
        <v>8220</v>
      </c>
      <c r="F277" s="36" t="s">
        <v>8617</v>
      </c>
      <c r="G277" s="36" t="s">
        <v>14</v>
      </c>
      <c r="H277" s="36" t="str">
        <f>IFERROR(VLOOKUP(Table2[[#This Row], [Ticket]],Okey!A:B,2,0),"")</f>
        <v>ok</v>
      </c>
      <c r="I277" s="36" t="s">
        <v>8546</v>
      </c>
      <c r="J277" s="36" t="s">
        <v>18</v>
      </c>
      <c r="K277" s="36"/>
      <c r="L277" s="36"/>
      <c r="M277" s="36" t="s">
        <v>4799</v>
      </c>
    </row>
    <row r="278" spans="1:13" hidden="1">
      <c r="A278" s="42">
        <f t="shared" si="5"/>
        <v>277</v>
      </c>
      <c r="B278" s="36" t="s">
        <v>6</v>
      </c>
      <c r="C278" s="36" t="s">
        <v>8543</v>
      </c>
      <c r="D278" s="9" t="s">
        <v>8620</v>
      </c>
      <c r="E278" s="9" t="s">
        <v>8221</v>
      </c>
      <c r="F278" s="36" t="s">
        <v>8617</v>
      </c>
      <c r="G278" s="36" t="s">
        <v>14</v>
      </c>
      <c r="H278" s="36" t="str">
        <f>IFERROR(VLOOKUP(Table2[[#This Row], [Ticket]],Okey!A:B,2,0),"")</f>
        <v>ok</v>
      </c>
      <c r="I278" s="36" t="s">
        <v>8546</v>
      </c>
      <c r="J278" s="36" t="s">
        <v>18</v>
      </c>
      <c r="K278" s="36"/>
      <c r="L278" s="36"/>
      <c r="M278" s="36" t="s">
        <v>4799</v>
      </c>
    </row>
    <row r="279" spans="1:13" hidden="1">
      <c r="A279" s="42">
        <f t="shared" si="5"/>
        <v>278</v>
      </c>
      <c r="B279" s="36" t="s">
        <v>6</v>
      </c>
      <c r="C279" s="36" t="s">
        <v>8543</v>
      </c>
      <c r="D279" s="9" t="s">
        <v>8621</v>
      </c>
      <c r="E279" s="9" t="s">
        <v>8222</v>
      </c>
      <c r="F279" s="36" t="s">
        <v>8617</v>
      </c>
      <c r="G279" s="36" t="s">
        <v>14</v>
      </c>
      <c r="H279" s="36" t="str">
        <f>IFERROR(VLOOKUP(Table2[[#This Row], [Ticket]],Okey!A:B,2,0),"")</f>
        <v>ok</v>
      </c>
      <c r="I279" s="36" t="s">
        <v>8546</v>
      </c>
      <c r="J279" s="36" t="s">
        <v>18</v>
      </c>
      <c r="K279" s="36"/>
      <c r="L279" s="36"/>
      <c r="M279" s="36" t="s">
        <v>4799</v>
      </c>
    </row>
    <row r="280" spans="1:13" hidden="1">
      <c r="A280" s="42">
        <f t="shared" si="5"/>
        <v>279</v>
      </c>
      <c r="B280" s="36" t="s">
        <v>6</v>
      </c>
      <c r="C280" s="36" t="s">
        <v>8543</v>
      </c>
      <c r="D280" s="9" t="s">
        <v>8622</v>
      </c>
      <c r="E280" s="9" t="s">
        <v>8223</v>
      </c>
      <c r="F280" s="36" t="s">
        <v>8617</v>
      </c>
      <c r="G280" s="36" t="s">
        <v>14</v>
      </c>
      <c r="H280" s="36" t="str">
        <f>IFERROR(VLOOKUP(Table2[[#This Row], [Ticket]],Okey!A:B,2,0),"")</f>
        <v>ok</v>
      </c>
      <c r="I280" s="36" t="s">
        <v>8546</v>
      </c>
      <c r="J280" s="36" t="s">
        <v>18</v>
      </c>
      <c r="K280" s="36"/>
      <c r="L280" s="36"/>
      <c r="M280" s="36" t="s">
        <v>4799</v>
      </c>
    </row>
    <row r="281" spans="1:13" hidden="1">
      <c r="A281" s="42">
        <f t="shared" si="5"/>
        <v>280</v>
      </c>
      <c r="B281" s="36" t="s">
        <v>6</v>
      </c>
      <c r="C281" s="36" t="s">
        <v>8543</v>
      </c>
      <c r="D281" s="9" t="s">
        <v>8623</v>
      </c>
      <c r="E281" s="9" t="s">
        <v>8224</v>
      </c>
      <c r="F281" s="36" t="s">
        <v>8617</v>
      </c>
      <c r="G281" s="36" t="s">
        <v>14</v>
      </c>
      <c r="H281" s="36" t="str">
        <f>IFERROR(VLOOKUP(Table2[[#This Row], [Ticket]],Okey!A:B,2,0),"")</f>
        <v>ok</v>
      </c>
      <c r="I281" s="36" t="s">
        <v>8546</v>
      </c>
      <c r="J281" s="36" t="s">
        <v>18</v>
      </c>
      <c r="K281" s="36"/>
      <c r="L281" s="36"/>
      <c r="M281" s="36" t="s">
        <v>4799</v>
      </c>
    </row>
    <row r="282" spans="1:13" hidden="1">
      <c r="A282" s="42">
        <f t="shared" si="5"/>
        <v>281</v>
      </c>
      <c r="B282" s="36" t="s">
        <v>6</v>
      </c>
      <c r="C282" s="36" t="s">
        <v>8543</v>
      </c>
      <c r="D282" s="9" t="s">
        <v>8624</v>
      </c>
      <c r="E282" s="9" t="s">
        <v>8225</v>
      </c>
      <c r="F282" s="9" t="s">
        <v>5550</v>
      </c>
      <c r="G282" s="36" t="s">
        <v>14</v>
      </c>
      <c r="H282" s="36" t="str">
        <f>IFERROR(VLOOKUP(Table2[[#This Row], [Ticket]],Okey!A:B,2,0),"")</f>
        <v>ok</v>
      </c>
      <c r="I282" s="36" t="s">
        <v>8546</v>
      </c>
      <c r="J282" s="36" t="s">
        <v>18</v>
      </c>
      <c r="K282" s="36"/>
      <c r="L282" s="36"/>
      <c r="M282" s="36" t="s">
        <v>4799</v>
      </c>
    </row>
    <row r="283" spans="1:13" hidden="1">
      <c r="A283" s="42">
        <f t="shared" si="5"/>
        <v>282</v>
      </c>
      <c r="B283" s="36" t="s">
        <v>6</v>
      </c>
      <c r="C283" s="36" t="s">
        <v>8543</v>
      </c>
      <c r="D283" s="9" t="s">
        <v>8625</v>
      </c>
      <c r="E283" s="9" t="s">
        <v>8226</v>
      </c>
      <c r="F283" s="9" t="s">
        <v>5550</v>
      </c>
      <c r="G283" s="36" t="s">
        <v>14</v>
      </c>
      <c r="H283" s="36" t="str">
        <f>IFERROR(VLOOKUP(Table2[[#This Row], [Ticket]],Okey!A:B,2,0),"")</f>
        <v>ok</v>
      </c>
      <c r="I283" s="36" t="s">
        <v>8546</v>
      </c>
      <c r="J283" s="36" t="s">
        <v>18</v>
      </c>
      <c r="K283" s="36"/>
      <c r="L283" s="36"/>
      <c r="M283" s="36" t="s">
        <v>4799</v>
      </c>
    </row>
    <row r="284" spans="1:13" hidden="1">
      <c r="A284" s="42">
        <f t="shared" si="5"/>
        <v>283</v>
      </c>
      <c r="B284" s="36" t="s">
        <v>6</v>
      </c>
      <c r="C284" s="36" t="s">
        <v>8543</v>
      </c>
      <c r="D284" s="9" t="s">
        <v>8626</v>
      </c>
      <c r="E284" s="9" t="s">
        <v>8227</v>
      </c>
      <c r="F284" s="9" t="s">
        <v>5550</v>
      </c>
      <c r="G284" s="36" t="s">
        <v>14</v>
      </c>
      <c r="H284" s="36" t="str">
        <f>IFERROR(VLOOKUP(Table2[[#This Row], [Ticket]],Okey!A:B,2,0),"")</f>
        <v>ok</v>
      </c>
      <c r="I284" s="36" t="s">
        <v>8546</v>
      </c>
      <c r="J284" s="36" t="s">
        <v>18</v>
      </c>
      <c r="K284" s="36"/>
      <c r="L284" s="36"/>
      <c r="M284" s="36" t="s">
        <v>4799</v>
      </c>
    </row>
    <row r="285" spans="1:13" hidden="1">
      <c r="A285" s="42">
        <f t="shared" si="5"/>
        <v>284</v>
      </c>
      <c r="B285" s="36" t="s">
        <v>6</v>
      </c>
      <c r="C285" s="36" t="s">
        <v>8543</v>
      </c>
      <c r="D285" s="9" t="s">
        <v>8627</v>
      </c>
      <c r="E285" s="9" t="s">
        <v>8228</v>
      </c>
      <c r="F285" s="9" t="s">
        <v>5776</v>
      </c>
      <c r="G285" s="36" t="s">
        <v>14</v>
      </c>
      <c r="H285" s="36" t="str">
        <f>IFERROR(VLOOKUP(Table2[[#This Row], [Ticket]],Okey!A:B,2,0),"")</f>
        <v>ok</v>
      </c>
      <c r="I285" s="36" t="s">
        <v>8546</v>
      </c>
      <c r="J285" s="36" t="s">
        <v>18</v>
      </c>
      <c r="K285" s="36"/>
      <c r="L285" s="36"/>
      <c r="M285" s="36" t="s">
        <v>4799</v>
      </c>
    </row>
    <row r="286" spans="1:13" hidden="1">
      <c r="A286" s="42">
        <f t="shared" si="5"/>
        <v>285</v>
      </c>
      <c r="B286" s="36" t="s">
        <v>6</v>
      </c>
      <c r="C286" s="36" t="s">
        <v>8543</v>
      </c>
      <c r="D286" s="9" t="s">
        <v>8628</v>
      </c>
      <c r="E286" s="9" t="s">
        <v>8229</v>
      </c>
      <c r="F286" s="9" t="s">
        <v>5776</v>
      </c>
      <c r="G286" s="36" t="s">
        <v>14</v>
      </c>
      <c r="H286" s="36" t="str">
        <f>IFERROR(VLOOKUP(Table2[[#This Row], [Ticket]],Okey!A:B,2,0),"")</f>
        <v>ok</v>
      </c>
      <c r="I286" s="36" t="s">
        <v>8546</v>
      </c>
      <c r="J286" s="36" t="s">
        <v>18</v>
      </c>
      <c r="K286" s="36"/>
      <c r="L286" s="36"/>
      <c r="M286" s="36" t="s">
        <v>4799</v>
      </c>
    </row>
    <row r="287" spans="1:13" hidden="1">
      <c r="A287" s="42">
        <f t="shared" si="5"/>
        <v>286</v>
      </c>
      <c r="B287" s="36" t="s">
        <v>6</v>
      </c>
      <c r="C287" s="36" t="s">
        <v>8543</v>
      </c>
      <c r="D287" s="9" t="s">
        <v>8629</v>
      </c>
      <c r="E287" s="9" t="s">
        <v>8230</v>
      </c>
      <c r="F287" s="9" t="s">
        <v>5524</v>
      </c>
      <c r="G287" s="36" t="s">
        <v>14</v>
      </c>
      <c r="H287" s="36" t="str">
        <f>IFERROR(VLOOKUP(Table2[[#This Row], [Ticket]],Okey!A:B,2,0),"")</f>
        <v>ok</v>
      </c>
      <c r="I287" s="36" t="s">
        <v>8546</v>
      </c>
      <c r="J287" s="36" t="s">
        <v>18</v>
      </c>
      <c r="K287" s="36"/>
      <c r="L287" s="36"/>
      <c r="M287" s="36" t="s">
        <v>4799</v>
      </c>
    </row>
    <row r="288" spans="1:13" hidden="1">
      <c r="A288" s="42">
        <f t="shared" si="5"/>
        <v>287</v>
      </c>
      <c r="B288" s="36" t="s">
        <v>6</v>
      </c>
      <c r="C288" s="36" t="s">
        <v>8543</v>
      </c>
      <c r="D288" s="9" t="s">
        <v>8630</v>
      </c>
      <c r="E288" s="9" t="s">
        <v>8231</v>
      </c>
      <c r="F288" s="9" t="s">
        <v>5524</v>
      </c>
      <c r="G288" s="36" t="s">
        <v>14</v>
      </c>
      <c r="H288" s="36" t="str">
        <f>IFERROR(VLOOKUP(Table2[[#This Row], [Ticket]],Okey!A:B,2,0),"")</f>
        <v>ok</v>
      </c>
      <c r="I288" s="36" t="s">
        <v>8546</v>
      </c>
      <c r="J288" s="36" t="s">
        <v>18</v>
      </c>
      <c r="K288" s="36"/>
      <c r="L288" s="36"/>
      <c r="M288" s="36" t="s">
        <v>4799</v>
      </c>
    </row>
    <row r="289" spans="1:13" hidden="1">
      <c r="A289" s="42">
        <f t="shared" si="5"/>
        <v>288</v>
      </c>
      <c r="B289" s="36" t="s">
        <v>6</v>
      </c>
      <c r="C289" s="36" t="s">
        <v>8543</v>
      </c>
      <c r="D289" s="9" t="s">
        <v>8631</v>
      </c>
      <c r="E289" s="9" t="s">
        <v>8232</v>
      </c>
      <c r="F289" s="9" t="s">
        <v>5524</v>
      </c>
      <c r="G289" s="36" t="s">
        <v>14</v>
      </c>
      <c r="H289" s="36" t="str">
        <f>IFERROR(VLOOKUP(Table2[[#This Row], [Ticket]],Okey!A:B,2,0),"")</f>
        <v>ok</v>
      </c>
      <c r="I289" s="36" t="s">
        <v>8546</v>
      </c>
      <c r="J289" s="36" t="s">
        <v>18</v>
      </c>
      <c r="K289" s="36"/>
      <c r="L289" s="36"/>
      <c r="M289" s="36" t="s">
        <v>4799</v>
      </c>
    </row>
    <row r="290" spans="1:13" hidden="1">
      <c r="A290" s="42">
        <f t="shared" si="5"/>
        <v>289</v>
      </c>
      <c r="B290" s="36" t="s">
        <v>6</v>
      </c>
      <c r="C290" s="36" t="s">
        <v>8543</v>
      </c>
      <c r="D290" s="9" t="s">
        <v>8632</v>
      </c>
      <c r="E290" s="9" t="s">
        <v>8233</v>
      </c>
      <c r="F290" s="9" t="s">
        <v>5524</v>
      </c>
      <c r="G290" s="36" t="s">
        <v>14</v>
      </c>
      <c r="H290" s="36" t="str">
        <f>IFERROR(VLOOKUP(Table2[[#This Row], [Ticket]],Okey!A:B,2,0),"")</f>
        <v>ok</v>
      </c>
      <c r="I290" s="36" t="s">
        <v>8546</v>
      </c>
      <c r="J290" s="36" t="s">
        <v>18</v>
      </c>
      <c r="K290" s="36"/>
      <c r="L290" s="36"/>
      <c r="M290" s="36" t="s">
        <v>4799</v>
      </c>
    </row>
    <row r="291" spans="1:13" hidden="1">
      <c r="A291" s="42">
        <f t="shared" si="5"/>
        <v>290</v>
      </c>
      <c r="B291" s="36" t="s">
        <v>6</v>
      </c>
      <c r="C291" s="36" t="s">
        <v>8543</v>
      </c>
      <c r="D291" s="9" t="s">
        <v>8633</v>
      </c>
      <c r="E291" s="9" t="s">
        <v>8234</v>
      </c>
      <c r="F291" s="9" t="s">
        <v>5524</v>
      </c>
      <c r="G291" s="36" t="s">
        <v>14</v>
      </c>
      <c r="H291" s="36" t="str">
        <f>IFERROR(VLOOKUP(Table2[[#This Row], [Ticket]],Okey!A:B,2,0),"")</f>
        <v>ok</v>
      </c>
      <c r="I291" s="36" t="s">
        <v>8546</v>
      </c>
      <c r="J291" s="36" t="s">
        <v>18</v>
      </c>
      <c r="K291" s="36"/>
      <c r="L291" s="36"/>
      <c r="M291" s="36" t="s">
        <v>4799</v>
      </c>
    </row>
    <row r="292" spans="1:13" hidden="1">
      <c r="A292" s="42">
        <f t="shared" si="5"/>
        <v>291</v>
      </c>
      <c r="B292" s="36" t="s">
        <v>6</v>
      </c>
      <c r="C292" s="36" t="s">
        <v>8543</v>
      </c>
      <c r="D292" s="9" t="s">
        <v>8634</v>
      </c>
      <c r="E292" s="9" t="s">
        <v>8235</v>
      </c>
      <c r="F292" s="9" t="s">
        <v>5524</v>
      </c>
      <c r="G292" s="36" t="s">
        <v>14</v>
      </c>
      <c r="H292" s="36" t="str">
        <f>IFERROR(VLOOKUP(Table2[[#This Row], [Ticket]],Okey!A:B,2,0),"")</f>
        <v>ok</v>
      </c>
      <c r="I292" s="36" t="s">
        <v>8546</v>
      </c>
      <c r="J292" s="36" t="s">
        <v>18</v>
      </c>
      <c r="K292" s="36"/>
      <c r="L292" s="36"/>
      <c r="M292" s="36" t="s">
        <v>4799</v>
      </c>
    </row>
    <row r="293" spans="1:13" hidden="1">
      <c r="A293" s="42">
        <f t="shared" si="5"/>
        <v>292</v>
      </c>
      <c r="B293" s="36" t="s">
        <v>6</v>
      </c>
      <c r="C293" s="36" t="s">
        <v>8543</v>
      </c>
      <c r="D293" s="9" t="s">
        <v>8635</v>
      </c>
      <c r="E293" s="9" t="s">
        <v>8236</v>
      </c>
      <c r="F293" s="9" t="s">
        <v>5524</v>
      </c>
      <c r="G293" s="36" t="s">
        <v>14</v>
      </c>
      <c r="H293" s="36" t="str">
        <f>IFERROR(VLOOKUP(Table2[[#This Row], [Ticket]],Okey!A:B,2,0),"")</f>
        <v>ok</v>
      </c>
      <c r="I293" s="36" t="s">
        <v>8546</v>
      </c>
      <c r="J293" s="36" t="s">
        <v>18</v>
      </c>
      <c r="K293" s="36"/>
      <c r="L293" s="36"/>
      <c r="M293" s="36" t="s">
        <v>4799</v>
      </c>
    </row>
    <row r="294" spans="1:13" hidden="1">
      <c r="A294" s="42">
        <f t="shared" si="5"/>
        <v>293</v>
      </c>
      <c r="B294" s="36" t="s">
        <v>6</v>
      </c>
      <c r="C294" s="36" t="s">
        <v>8543</v>
      </c>
      <c r="D294" s="9" t="s">
        <v>8636</v>
      </c>
      <c r="E294" s="9" t="s">
        <v>8237</v>
      </c>
      <c r="F294" s="9" t="s">
        <v>8238</v>
      </c>
      <c r="G294" s="36" t="s">
        <v>14</v>
      </c>
      <c r="H294" s="36" t="str">
        <f>IFERROR(VLOOKUP(Table2[[#This Row], [Ticket]],Okey!A:B,2,0),"")</f>
        <v>ok</v>
      </c>
      <c r="I294" s="36" t="s">
        <v>8546</v>
      </c>
      <c r="J294" s="36" t="s">
        <v>18</v>
      </c>
      <c r="K294" s="36"/>
      <c r="L294" s="36"/>
      <c r="M294" s="36" t="s">
        <v>4799</v>
      </c>
    </row>
    <row r="295" spans="1:13" hidden="1">
      <c r="A295" s="42">
        <f t="shared" si="5"/>
        <v>294</v>
      </c>
      <c r="B295" s="36" t="s">
        <v>6</v>
      </c>
      <c r="C295" s="36" t="s">
        <v>8543</v>
      </c>
      <c r="D295" s="9" t="s">
        <v>8637</v>
      </c>
      <c r="E295" s="9" t="s">
        <v>8239</v>
      </c>
      <c r="F295" s="9" t="s">
        <v>8238</v>
      </c>
      <c r="G295" s="36" t="s">
        <v>14</v>
      </c>
      <c r="H295" s="36" t="str">
        <f>IFERROR(VLOOKUP(Table2[[#This Row], [Ticket]],Okey!A:B,2,0),"")</f>
        <v>ok</v>
      </c>
      <c r="I295" s="36" t="s">
        <v>8546</v>
      </c>
      <c r="J295" s="36" t="s">
        <v>18</v>
      </c>
      <c r="K295" s="36"/>
      <c r="L295" s="36"/>
      <c r="M295" s="36" t="s">
        <v>4799</v>
      </c>
    </row>
    <row r="296" spans="1:13" hidden="1">
      <c r="A296" s="42">
        <f t="shared" si="5"/>
        <v>295</v>
      </c>
      <c r="B296" s="36" t="s">
        <v>6</v>
      </c>
      <c r="C296" s="36" t="s">
        <v>8543</v>
      </c>
      <c r="D296" s="9" t="s">
        <v>8638</v>
      </c>
      <c r="E296" s="9" t="s">
        <v>8240</v>
      </c>
      <c r="F296" s="36" t="s">
        <v>8637</v>
      </c>
      <c r="G296" s="36" t="s">
        <v>14</v>
      </c>
      <c r="H296" s="36" t="str">
        <f>IFERROR(VLOOKUP(Table2[[#This Row], [Ticket]],Okey!A:B,2,0),"")</f>
        <v>ok</v>
      </c>
      <c r="I296" s="36" t="s">
        <v>8546</v>
      </c>
      <c r="J296" s="36" t="s">
        <v>18</v>
      </c>
      <c r="K296" s="36"/>
      <c r="L296" s="36"/>
      <c r="M296" s="36" t="s">
        <v>4799</v>
      </c>
    </row>
    <row r="297" spans="1:13" hidden="1">
      <c r="A297" s="42">
        <f t="shared" si="5"/>
        <v>296</v>
      </c>
      <c r="B297" s="36" t="s">
        <v>6</v>
      </c>
      <c r="C297" s="36" t="s">
        <v>8543</v>
      </c>
      <c r="D297" s="9" t="s">
        <v>8639</v>
      </c>
      <c r="E297" s="9" t="s">
        <v>8241</v>
      </c>
      <c r="F297" s="36" t="s">
        <v>8637</v>
      </c>
      <c r="G297" s="36" t="s">
        <v>14</v>
      </c>
      <c r="H297" s="36" t="str">
        <f>IFERROR(VLOOKUP(Table2[[#This Row], [Ticket]],Okey!A:B,2,0),"")</f>
        <v>ok</v>
      </c>
      <c r="I297" s="36" t="s">
        <v>8546</v>
      </c>
      <c r="J297" s="36" t="s">
        <v>18</v>
      </c>
      <c r="K297" s="36"/>
      <c r="L297" s="36"/>
      <c r="M297" s="36" t="s">
        <v>4799</v>
      </c>
    </row>
    <row r="298" spans="1:13" hidden="1">
      <c r="A298" s="42">
        <f t="shared" si="5"/>
        <v>297</v>
      </c>
      <c r="B298" s="36" t="s">
        <v>6</v>
      </c>
      <c r="C298" s="36" t="s">
        <v>8543</v>
      </c>
      <c r="D298" s="9" t="s">
        <v>8640</v>
      </c>
      <c r="E298" s="9" t="s">
        <v>8242</v>
      </c>
      <c r="F298" s="36" t="s">
        <v>8637</v>
      </c>
      <c r="G298" s="36" t="s">
        <v>14</v>
      </c>
      <c r="H298" s="36" t="str">
        <f>IFERROR(VLOOKUP(Table2[[#This Row], [Ticket]],Okey!A:B,2,0),"")</f>
        <v>ok</v>
      </c>
      <c r="I298" s="36" t="s">
        <v>8546</v>
      </c>
      <c r="J298" s="36" t="s">
        <v>18</v>
      </c>
      <c r="K298" s="36"/>
      <c r="L298" s="36"/>
      <c r="M298" s="36" t="s">
        <v>4799</v>
      </c>
    </row>
    <row r="299" spans="1:13" hidden="1">
      <c r="A299" s="42">
        <f t="shared" si="5"/>
        <v>298</v>
      </c>
      <c r="B299" s="36" t="s">
        <v>6</v>
      </c>
      <c r="C299" s="36" t="s">
        <v>8543</v>
      </c>
      <c r="D299" s="9" t="s">
        <v>8641</v>
      </c>
      <c r="E299" s="9" t="s">
        <v>8243</v>
      </c>
      <c r="F299" s="36" t="s">
        <v>8637</v>
      </c>
      <c r="G299" s="36" t="s">
        <v>14</v>
      </c>
      <c r="H299" s="36" t="str">
        <f>IFERROR(VLOOKUP(Table2[[#This Row], [Ticket]],Okey!A:B,2,0),"")</f>
        <v>ok</v>
      </c>
      <c r="I299" s="36" t="s">
        <v>8546</v>
      </c>
      <c r="J299" s="36" t="s">
        <v>18</v>
      </c>
      <c r="K299" s="36"/>
      <c r="L299" s="36"/>
      <c r="M299" s="36" t="s">
        <v>4799</v>
      </c>
    </row>
    <row r="300" spans="1:13" hidden="1">
      <c r="A300" s="42">
        <f t="shared" si="5"/>
        <v>299</v>
      </c>
      <c r="B300" s="36" t="s">
        <v>6</v>
      </c>
      <c r="C300" s="36" t="s">
        <v>8543</v>
      </c>
      <c r="D300" s="9" t="s">
        <v>8642</v>
      </c>
      <c r="E300" s="9" t="s">
        <v>8244</v>
      </c>
      <c r="F300" s="36" t="s">
        <v>8637</v>
      </c>
      <c r="G300" s="36" t="s">
        <v>14</v>
      </c>
      <c r="H300" s="36" t="str">
        <f>IFERROR(VLOOKUP(Table2[[#This Row], [Ticket]],Okey!A:B,2,0),"")</f>
        <v>ok</v>
      </c>
      <c r="I300" s="36" t="s">
        <v>8546</v>
      </c>
      <c r="J300" s="36" t="s">
        <v>18</v>
      </c>
      <c r="K300" s="36"/>
      <c r="L300" s="36"/>
      <c r="M300" s="36" t="s">
        <v>4799</v>
      </c>
    </row>
    <row r="301" spans="1:13" hidden="1">
      <c r="A301" s="42">
        <f t="shared" si="5"/>
        <v>300</v>
      </c>
      <c r="B301" s="36" t="s">
        <v>6</v>
      </c>
      <c r="C301" s="36" t="s">
        <v>8543</v>
      </c>
      <c r="D301" s="9" t="s">
        <v>8643</v>
      </c>
      <c r="E301" s="9" t="s">
        <v>8245</v>
      </c>
      <c r="F301" s="9" t="s">
        <v>1433</v>
      </c>
      <c r="G301" s="36" t="s">
        <v>14</v>
      </c>
      <c r="H301" s="36" t="str">
        <f>IFERROR(VLOOKUP(Table2[[#This Row], [Ticket]],Okey!A:B,2,0),"")</f>
        <v>ok</v>
      </c>
      <c r="I301" s="36" t="s">
        <v>8546</v>
      </c>
      <c r="J301" s="36" t="s">
        <v>18</v>
      </c>
      <c r="K301" s="36"/>
      <c r="L301" s="36"/>
      <c r="M301" s="36" t="s">
        <v>4799</v>
      </c>
    </row>
    <row r="302" spans="1:13" hidden="1">
      <c r="A302" s="42">
        <f t="shared" si="5"/>
        <v>301</v>
      </c>
      <c r="B302" s="36" t="s">
        <v>6</v>
      </c>
      <c r="C302" s="36" t="s">
        <v>8543</v>
      </c>
      <c r="D302" s="9" t="s">
        <v>8644</v>
      </c>
      <c r="E302" s="9" t="s">
        <v>8246</v>
      </c>
      <c r="F302" s="36" t="s">
        <v>8643</v>
      </c>
      <c r="G302" s="36" t="s">
        <v>14</v>
      </c>
      <c r="H302" s="36" t="str">
        <f>IFERROR(VLOOKUP(Table2[[#This Row], [Ticket]],Okey!A:B,2,0),"")</f>
        <v>ok</v>
      </c>
      <c r="I302" s="36" t="s">
        <v>8546</v>
      </c>
      <c r="J302" s="36" t="s">
        <v>18</v>
      </c>
      <c r="K302" s="36"/>
      <c r="L302" s="36"/>
      <c r="M302" s="36" t="s">
        <v>4799</v>
      </c>
    </row>
    <row r="303" spans="1:13" hidden="1">
      <c r="A303" s="42">
        <f t="shared" si="5"/>
        <v>302</v>
      </c>
      <c r="B303" s="36" t="s">
        <v>6</v>
      </c>
      <c r="C303" s="36" t="s">
        <v>8543</v>
      </c>
      <c r="D303" s="9" t="s">
        <v>8645</v>
      </c>
      <c r="E303" s="9" t="s">
        <v>8247</v>
      </c>
      <c r="F303" s="36" t="s">
        <v>8643</v>
      </c>
      <c r="G303" s="36" t="s">
        <v>14</v>
      </c>
      <c r="H303" s="36" t="str">
        <f>IFERROR(VLOOKUP(Table2[[#This Row], [Ticket]],Okey!A:B,2,0),"")</f>
        <v>ok</v>
      </c>
      <c r="I303" s="36" t="s">
        <v>8546</v>
      </c>
      <c r="J303" s="36" t="s">
        <v>18</v>
      </c>
      <c r="K303" s="36"/>
      <c r="L303" s="36"/>
      <c r="M303" s="36" t="s">
        <v>4799</v>
      </c>
    </row>
    <row r="304" spans="1:13" hidden="1">
      <c r="A304" s="42">
        <f t="shared" si="5"/>
        <v>303</v>
      </c>
      <c r="B304" s="36" t="s">
        <v>6</v>
      </c>
      <c r="C304" s="36" t="s">
        <v>8543</v>
      </c>
      <c r="D304" s="9" t="s">
        <v>8646</v>
      </c>
      <c r="E304" s="9" t="s">
        <v>8248</v>
      </c>
      <c r="F304" s="36" t="s">
        <v>8645</v>
      </c>
      <c r="G304" s="36" t="s">
        <v>14</v>
      </c>
      <c r="H304" s="36" t="str">
        <f>IFERROR(VLOOKUP(Table2[[#This Row], [Ticket]],Okey!A:B,2,0),"")</f>
        <v>ok</v>
      </c>
      <c r="I304" s="36" t="s">
        <v>8546</v>
      </c>
      <c r="J304" s="36" t="s">
        <v>18</v>
      </c>
      <c r="K304" s="36"/>
      <c r="L304" s="36"/>
      <c r="M304" s="36" t="s">
        <v>4799</v>
      </c>
    </row>
    <row r="305" spans="1:13" hidden="1">
      <c r="A305" s="42">
        <f t="shared" si="5"/>
        <v>304</v>
      </c>
      <c r="B305" s="36" t="s">
        <v>6</v>
      </c>
      <c r="C305" s="36" t="s">
        <v>8543</v>
      </c>
      <c r="D305" s="9" t="s">
        <v>8647</v>
      </c>
      <c r="E305" s="9" t="s">
        <v>8249</v>
      </c>
      <c r="F305" s="36" t="s">
        <v>8645</v>
      </c>
      <c r="G305" s="36" t="s">
        <v>14</v>
      </c>
      <c r="H305" s="36" t="str">
        <f>IFERROR(VLOOKUP(Table2[[#This Row], [Ticket]],Okey!A:B,2,0),"")</f>
        <v>ok</v>
      </c>
      <c r="I305" s="36" t="s">
        <v>8546</v>
      </c>
      <c r="J305" s="36" t="s">
        <v>18</v>
      </c>
      <c r="K305" s="36"/>
      <c r="L305" s="36"/>
      <c r="M305" s="36" t="s">
        <v>4799</v>
      </c>
    </row>
    <row r="306" spans="1:13" hidden="1">
      <c r="A306" s="42">
        <f t="shared" si="5"/>
        <v>305</v>
      </c>
      <c r="B306" s="36" t="s">
        <v>6</v>
      </c>
      <c r="C306" s="36" t="s">
        <v>8543</v>
      </c>
      <c r="D306" s="9" t="s">
        <v>8648</v>
      </c>
      <c r="E306" s="9" t="s">
        <v>8250</v>
      </c>
      <c r="F306" s="36" t="s">
        <v>8645</v>
      </c>
      <c r="G306" s="36" t="s">
        <v>14</v>
      </c>
      <c r="H306" s="36" t="str">
        <f>IFERROR(VLOOKUP(Table2[[#This Row], [Ticket]],Okey!A:B,2,0),"")</f>
        <v>ok</v>
      </c>
      <c r="I306" s="36" t="s">
        <v>8546</v>
      </c>
      <c r="J306" s="36" t="s">
        <v>18</v>
      </c>
      <c r="K306" s="36"/>
      <c r="L306" s="36"/>
      <c r="M306" s="36" t="s">
        <v>4799</v>
      </c>
    </row>
    <row r="307" spans="1:13" hidden="1">
      <c r="A307" s="42">
        <f t="shared" si="5"/>
        <v>306</v>
      </c>
      <c r="B307" s="36" t="s">
        <v>6</v>
      </c>
      <c r="C307" s="36" t="s">
        <v>8543</v>
      </c>
      <c r="D307" s="9" t="s">
        <v>8649</v>
      </c>
      <c r="E307" s="9" t="s">
        <v>8251</v>
      </c>
      <c r="F307" s="36" t="s">
        <v>8645</v>
      </c>
      <c r="G307" s="36" t="s">
        <v>14</v>
      </c>
      <c r="H307" s="36" t="str">
        <f>IFERROR(VLOOKUP(Table2[[#This Row], [Ticket]],Okey!A:B,2,0),"")</f>
        <v>ok</v>
      </c>
      <c r="I307" s="36" t="s">
        <v>8546</v>
      </c>
      <c r="J307" s="36" t="s">
        <v>18</v>
      </c>
      <c r="K307" s="36"/>
      <c r="L307" s="36"/>
      <c r="M307" s="36" t="s">
        <v>4799</v>
      </c>
    </row>
    <row r="308" spans="1:13" hidden="1">
      <c r="A308" s="42">
        <f t="shared" si="5"/>
        <v>307</v>
      </c>
      <c r="B308" s="36" t="s">
        <v>6</v>
      </c>
      <c r="C308" s="36" t="s">
        <v>8543</v>
      </c>
      <c r="D308" s="9" t="s">
        <v>8650</v>
      </c>
      <c r="E308" s="9" t="s">
        <v>8232</v>
      </c>
      <c r="F308" s="36" t="s">
        <v>8645</v>
      </c>
      <c r="G308" s="36" t="s">
        <v>14</v>
      </c>
      <c r="H308" s="36" t="str">
        <f>IFERROR(VLOOKUP(Table2[[#This Row], [Ticket]],Okey!A:B,2,0),"")</f>
        <v>ok</v>
      </c>
      <c r="I308" s="36" t="s">
        <v>8546</v>
      </c>
      <c r="J308" s="36" t="s">
        <v>18</v>
      </c>
      <c r="K308" s="36"/>
      <c r="L308" s="36"/>
      <c r="M308" s="36" t="s">
        <v>4799</v>
      </c>
    </row>
    <row r="309" spans="1:13" hidden="1">
      <c r="A309" s="42">
        <f t="shared" si="5"/>
        <v>308</v>
      </c>
      <c r="B309" s="36" t="s">
        <v>6</v>
      </c>
      <c r="C309" s="36" t="s">
        <v>8543</v>
      </c>
      <c r="D309" s="9" t="s">
        <v>8651</v>
      </c>
      <c r="E309" s="9" t="s">
        <v>8252</v>
      </c>
      <c r="F309" s="36" t="s">
        <v>8643</v>
      </c>
      <c r="G309" s="36" t="s">
        <v>14</v>
      </c>
      <c r="H309" s="36" t="str">
        <f>IFERROR(VLOOKUP(Table2[[#This Row], [Ticket]],Okey!A:B,2,0),"")</f>
        <v>ok</v>
      </c>
      <c r="I309" s="36" t="s">
        <v>8546</v>
      </c>
      <c r="J309" s="36" t="s">
        <v>18</v>
      </c>
      <c r="K309" s="36"/>
      <c r="L309" s="36"/>
      <c r="M309" s="36" t="s">
        <v>4799</v>
      </c>
    </row>
    <row r="310" spans="1:13" hidden="1">
      <c r="A310" s="42">
        <f t="shared" si="5"/>
        <v>309</v>
      </c>
      <c r="B310" s="36" t="s">
        <v>6</v>
      </c>
      <c r="C310" s="36" t="s">
        <v>8543</v>
      </c>
      <c r="D310" s="9" t="s">
        <v>8652</v>
      </c>
      <c r="E310" s="9" t="s">
        <v>8253</v>
      </c>
      <c r="F310" s="36" t="s">
        <v>8643</v>
      </c>
      <c r="G310" s="36" t="s">
        <v>14</v>
      </c>
      <c r="H310" s="36" t="str">
        <f>IFERROR(VLOOKUP(Table2[[#This Row], [Ticket]],Okey!A:B,2,0),"")</f>
        <v>ok</v>
      </c>
      <c r="I310" s="36" t="s">
        <v>8546</v>
      </c>
      <c r="J310" s="36" t="s">
        <v>18</v>
      </c>
      <c r="K310" s="36"/>
      <c r="L310" s="36"/>
      <c r="M310" s="36" t="s">
        <v>4799</v>
      </c>
    </row>
    <row r="311" spans="1:13" hidden="1">
      <c r="A311" s="42">
        <f t="shared" si="5"/>
        <v>310</v>
      </c>
      <c r="B311" s="36" t="s">
        <v>6</v>
      </c>
      <c r="C311" s="36" t="s">
        <v>8543</v>
      </c>
      <c r="D311" s="9" t="s">
        <v>8653</v>
      </c>
      <c r="E311" s="9" t="s">
        <v>8254</v>
      </c>
      <c r="F311" s="36" t="s">
        <v>8652</v>
      </c>
      <c r="G311" s="36" t="s">
        <v>14</v>
      </c>
      <c r="H311" s="36" t="str">
        <f>IFERROR(VLOOKUP(Table2[[#This Row], [Ticket]],Okey!A:B,2,0),"")</f>
        <v>ok</v>
      </c>
      <c r="I311" s="36" t="s">
        <v>8546</v>
      </c>
      <c r="J311" s="36" t="s">
        <v>18</v>
      </c>
      <c r="K311" s="36"/>
      <c r="L311" s="36"/>
      <c r="M311" s="36" t="s">
        <v>4799</v>
      </c>
    </row>
    <row r="312" spans="1:13" hidden="1">
      <c r="A312" s="42">
        <f t="shared" si="5"/>
        <v>311</v>
      </c>
      <c r="B312" s="36" t="s">
        <v>6</v>
      </c>
      <c r="C312" s="36" t="s">
        <v>8543</v>
      </c>
      <c r="D312" s="9" t="s">
        <v>8654</v>
      </c>
      <c r="E312" s="9" t="s">
        <v>8255</v>
      </c>
      <c r="F312" s="36" t="s">
        <v>8652</v>
      </c>
      <c r="G312" s="36" t="s">
        <v>14</v>
      </c>
      <c r="H312" s="36" t="str">
        <f>IFERROR(VLOOKUP(Table2[[#This Row], [Ticket]],Okey!A:B,2,0),"")</f>
        <v>ok</v>
      </c>
      <c r="I312" s="36" t="s">
        <v>8546</v>
      </c>
      <c r="J312" s="36" t="s">
        <v>18</v>
      </c>
      <c r="K312" s="36"/>
      <c r="L312" s="36"/>
      <c r="M312" s="36" t="s">
        <v>4799</v>
      </c>
    </row>
    <row r="313" spans="1:13" hidden="1">
      <c r="A313" s="42">
        <f t="shared" si="5"/>
        <v>312</v>
      </c>
      <c r="B313" s="36" t="s">
        <v>6</v>
      </c>
      <c r="C313" s="36" t="s">
        <v>8543</v>
      </c>
      <c r="D313" s="9" t="s">
        <v>8655</v>
      </c>
      <c r="E313" s="9" t="s">
        <v>8256</v>
      </c>
      <c r="F313" s="9" t="s">
        <v>8257</v>
      </c>
      <c r="G313" s="36" t="s">
        <v>14</v>
      </c>
      <c r="H313" s="36" t="str">
        <f>IFERROR(VLOOKUP(Table2[[#This Row], [Ticket]],Okey!A:B,2,0),"")</f>
        <v>ok</v>
      </c>
      <c r="I313" s="36" t="s">
        <v>8546</v>
      </c>
      <c r="J313" s="36" t="s">
        <v>18</v>
      </c>
      <c r="K313" s="36"/>
      <c r="L313" s="36"/>
      <c r="M313" s="36" t="s">
        <v>4799</v>
      </c>
    </row>
    <row r="314" spans="1:13" hidden="1">
      <c r="A314" s="42">
        <f t="shared" si="5"/>
        <v>313</v>
      </c>
      <c r="B314" s="36" t="s">
        <v>6</v>
      </c>
      <c r="C314" s="36" t="s">
        <v>8543</v>
      </c>
      <c r="D314" s="9" t="s">
        <v>8656</v>
      </c>
      <c r="E314" s="9" t="s">
        <v>8258</v>
      </c>
      <c r="F314" s="9" t="s">
        <v>8257</v>
      </c>
      <c r="G314" s="36" t="s">
        <v>14</v>
      </c>
      <c r="H314" s="36" t="str">
        <f>IFERROR(VLOOKUP(Table2[[#This Row], [Ticket]],Okey!A:B,2,0),"")</f>
        <v>ok</v>
      </c>
      <c r="I314" s="36" t="s">
        <v>8546</v>
      </c>
      <c r="J314" s="36" t="s">
        <v>18</v>
      </c>
      <c r="K314" s="36"/>
      <c r="L314" s="36"/>
      <c r="M314" s="36" t="s">
        <v>4799</v>
      </c>
    </row>
    <row r="315" spans="1:13" hidden="1">
      <c r="A315" s="42">
        <f t="shared" si="5"/>
        <v>314</v>
      </c>
      <c r="B315" s="36" t="s">
        <v>6</v>
      </c>
      <c r="C315" s="36" t="s">
        <v>8543</v>
      </c>
      <c r="D315" s="9" t="s">
        <v>8657</v>
      </c>
      <c r="E315" s="9" t="s">
        <v>8259</v>
      </c>
      <c r="F315" s="9" t="s">
        <v>8257</v>
      </c>
      <c r="G315" s="36" t="s">
        <v>14</v>
      </c>
      <c r="H315" s="36" t="str">
        <f>IFERROR(VLOOKUP(Table2[[#This Row], [Ticket]],Okey!A:B,2,0),"")</f>
        <v>ok</v>
      </c>
      <c r="I315" s="36" t="s">
        <v>8546</v>
      </c>
      <c r="J315" s="36" t="s">
        <v>18</v>
      </c>
      <c r="K315" s="36"/>
      <c r="L315" s="36"/>
      <c r="M315" s="36" t="s">
        <v>4799</v>
      </c>
    </row>
    <row r="316" spans="1:13" hidden="1">
      <c r="A316" s="42">
        <f t="shared" si="5"/>
        <v>315</v>
      </c>
      <c r="B316" s="36" t="s">
        <v>6</v>
      </c>
      <c r="C316" s="36" t="s">
        <v>8543</v>
      </c>
      <c r="D316" s="9" t="s">
        <v>8658</v>
      </c>
      <c r="E316" s="9" t="s">
        <v>8260</v>
      </c>
      <c r="F316" s="9" t="s">
        <v>8257</v>
      </c>
      <c r="G316" s="36" t="s">
        <v>14</v>
      </c>
      <c r="H316" s="36" t="str">
        <f>IFERROR(VLOOKUP(Table2[[#This Row], [Ticket]],Okey!A:B,2,0),"")</f>
        <v>ok</v>
      </c>
      <c r="I316" s="36" t="s">
        <v>8546</v>
      </c>
      <c r="J316" s="36" t="s">
        <v>18</v>
      </c>
      <c r="K316" s="36"/>
      <c r="L316" s="36"/>
      <c r="M316" s="36" t="s">
        <v>4799</v>
      </c>
    </row>
    <row r="317" spans="1:13" hidden="1">
      <c r="A317" s="42">
        <f t="shared" si="5"/>
        <v>316</v>
      </c>
      <c r="B317" s="36" t="s">
        <v>6</v>
      </c>
      <c r="C317" s="36" t="s">
        <v>8543</v>
      </c>
      <c r="D317" s="9" t="s">
        <v>8659</v>
      </c>
      <c r="E317" s="9" t="s">
        <v>8261</v>
      </c>
      <c r="F317" s="9" t="s">
        <v>8257</v>
      </c>
      <c r="G317" s="36" t="s">
        <v>14</v>
      </c>
      <c r="H317" s="36" t="str">
        <f>IFERROR(VLOOKUP(Table2[[#This Row], [Ticket]],Okey!A:B,2,0),"")</f>
        <v>ok</v>
      </c>
      <c r="I317" s="36" t="s">
        <v>8546</v>
      </c>
      <c r="J317" s="36" t="s">
        <v>18</v>
      </c>
      <c r="K317" s="36"/>
      <c r="L317" s="36"/>
      <c r="M317" s="36" t="s">
        <v>4799</v>
      </c>
    </row>
    <row r="318" spans="1:13" hidden="1">
      <c r="A318" s="42">
        <f t="shared" si="5"/>
        <v>317</v>
      </c>
      <c r="B318" s="36" t="s">
        <v>6</v>
      </c>
      <c r="C318" s="36" t="s">
        <v>8543</v>
      </c>
      <c r="D318" s="9" t="s">
        <v>8660</v>
      </c>
      <c r="E318" s="9" t="s">
        <v>8262</v>
      </c>
      <c r="F318" s="9" t="s">
        <v>8257</v>
      </c>
      <c r="G318" s="36" t="s">
        <v>14</v>
      </c>
      <c r="H318" s="36" t="str">
        <f>IFERROR(VLOOKUP(Table2[[#This Row], [Ticket]],Okey!A:B,2,0),"")</f>
        <v>ok</v>
      </c>
      <c r="I318" s="36" t="s">
        <v>8546</v>
      </c>
      <c r="J318" s="36" t="s">
        <v>18</v>
      </c>
      <c r="K318" s="36"/>
      <c r="L318" s="36"/>
      <c r="M318" s="36" t="s">
        <v>4799</v>
      </c>
    </row>
    <row r="319" spans="1:13" hidden="1">
      <c r="A319" s="42">
        <f t="shared" si="5"/>
        <v>318</v>
      </c>
      <c r="B319" s="36" t="s">
        <v>6</v>
      </c>
      <c r="C319" s="36" t="s">
        <v>8543</v>
      </c>
      <c r="D319" s="9" t="s">
        <v>8661</v>
      </c>
      <c r="E319" s="9" t="s">
        <v>8263</v>
      </c>
      <c r="F319" s="36" t="s">
        <v>8660</v>
      </c>
      <c r="G319" s="36" t="s">
        <v>14</v>
      </c>
      <c r="H319" s="36" t="str">
        <f>IFERROR(VLOOKUP(Table2[[#This Row], [Ticket]],Okey!A:B,2,0),"")</f>
        <v>ok</v>
      </c>
      <c r="I319" s="36" t="s">
        <v>8546</v>
      </c>
      <c r="J319" s="36" t="s">
        <v>18</v>
      </c>
      <c r="K319" s="36"/>
      <c r="L319" s="36"/>
      <c r="M319" s="36" t="s">
        <v>4799</v>
      </c>
    </row>
    <row r="320" spans="1:13" hidden="1">
      <c r="A320" s="42">
        <f t="shared" si="5"/>
        <v>319</v>
      </c>
      <c r="B320" s="36" t="s">
        <v>6</v>
      </c>
      <c r="C320" s="36" t="s">
        <v>8543</v>
      </c>
      <c r="D320" s="9" t="s">
        <v>8662</v>
      </c>
      <c r="E320" s="9" t="s">
        <v>8264</v>
      </c>
      <c r="F320" s="9" t="s">
        <v>8265</v>
      </c>
      <c r="G320" s="36" t="s">
        <v>14</v>
      </c>
      <c r="H320" s="36" t="str">
        <f>IFERROR(VLOOKUP(Table2[[#This Row], [Ticket]],Okey!A:B,2,0),"")</f>
        <v>ok</v>
      </c>
      <c r="I320" s="36" t="s">
        <v>8546</v>
      </c>
      <c r="J320" s="36" t="s">
        <v>18</v>
      </c>
      <c r="K320" s="36"/>
      <c r="L320" s="36"/>
      <c r="M320" s="36" t="s">
        <v>4799</v>
      </c>
    </row>
    <row r="321" spans="1:13" hidden="1">
      <c r="A321" s="42">
        <f t="shared" si="5"/>
        <v>320</v>
      </c>
      <c r="B321" s="36" t="s">
        <v>6</v>
      </c>
      <c r="C321" s="36" t="s">
        <v>8543</v>
      </c>
      <c r="D321" s="9" t="s">
        <v>8663</v>
      </c>
      <c r="E321" s="9" t="s">
        <v>8266</v>
      </c>
      <c r="F321" s="36" t="s">
        <v>8662</v>
      </c>
      <c r="G321" s="36" t="s">
        <v>14</v>
      </c>
      <c r="H321" s="36" t="str">
        <f>IFERROR(VLOOKUP(Table2[[#This Row], [Ticket]],Okey!A:B,2,0),"")</f>
        <v>ok</v>
      </c>
      <c r="I321" s="36" t="s">
        <v>8546</v>
      </c>
      <c r="J321" s="36" t="s">
        <v>18</v>
      </c>
      <c r="K321" s="36"/>
      <c r="L321" s="36"/>
      <c r="M321" s="36" t="s">
        <v>4799</v>
      </c>
    </row>
    <row r="322" spans="1:13" hidden="1">
      <c r="A322" s="42">
        <f t="shared" si="5"/>
        <v>321</v>
      </c>
      <c r="B322" s="36" t="s">
        <v>6</v>
      </c>
      <c r="C322" s="36" t="s">
        <v>8543</v>
      </c>
      <c r="D322" s="9" t="s">
        <v>8664</v>
      </c>
      <c r="E322" s="9" t="s">
        <v>8267</v>
      </c>
      <c r="F322" s="36" t="s">
        <v>8662</v>
      </c>
      <c r="G322" s="36" t="s">
        <v>14</v>
      </c>
      <c r="H322" s="36" t="str">
        <f>IFERROR(VLOOKUP(Table2[[#This Row], [Ticket]],Okey!A:B,2,0),"")</f>
        <v>ok</v>
      </c>
      <c r="I322" s="36" t="s">
        <v>8546</v>
      </c>
      <c r="J322" s="36" t="s">
        <v>18</v>
      </c>
      <c r="K322" s="36"/>
      <c r="L322" s="36"/>
      <c r="M322" s="36" t="s">
        <v>4799</v>
      </c>
    </row>
    <row r="323" spans="1:13" hidden="1">
      <c r="A323" s="42">
        <f t="shared" si="5"/>
        <v>322</v>
      </c>
      <c r="B323" s="36" t="s">
        <v>6</v>
      </c>
      <c r="C323" s="36" t="s">
        <v>8543</v>
      </c>
      <c r="D323" s="9" t="s">
        <v>8665</v>
      </c>
      <c r="E323" s="9" t="s">
        <v>8268</v>
      </c>
      <c r="F323" s="36" t="s">
        <v>8662</v>
      </c>
      <c r="G323" s="36" t="s">
        <v>14</v>
      </c>
      <c r="H323" s="36" t="str">
        <f>IFERROR(VLOOKUP(Table2[[#This Row], [Ticket]],Okey!A:B,2,0),"")</f>
        <v>ok</v>
      </c>
      <c r="I323" s="36" t="s">
        <v>8546</v>
      </c>
      <c r="J323" s="36" t="s">
        <v>18</v>
      </c>
      <c r="K323" s="36"/>
      <c r="L323" s="36"/>
      <c r="M323" s="36" t="s">
        <v>4799</v>
      </c>
    </row>
    <row r="324" spans="1:13" hidden="1">
      <c r="A324" s="42">
        <f t="shared" si="5"/>
        <v>323</v>
      </c>
      <c r="B324" s="36" t="s">
        <v>6</v>
      </c>
      <c r="C324" s="36" t="s">
        <v>8543</v>
      </c>
      <c r="D324" s="9" t="s">
        <v>8666</v>
      </c>
      <c r="E324" s="9" t="s">
        <v>8269</v>
      </c>
      <c r="F324" s="36" t="s">
        <v>8662</v>
      </c>
      <c r="G324" s="36" t="s">
        <v>14</v>
      </c>
      <c r="H324" s="36" t="str">
        <f>IFERROR(VLOOKUP(Table2[[#This Row], [Ticket]],Okey!A:B,2,0),"")</f>
        <v>ok</v>
      </c>
      <c r="I324" s="36" t="s">
        <v>8546</v>
      </c>
      <c r="J324" s="36" t="s">
        <v>18</v>
      </c>
      <c r="K324" s="36"/>
      <c r="L324" s="36"/>
      <c r="M324" s="36" t="s">
        <v>4799</v>
      </c>
    </row>
    <row r="325" spans="1:13" hidden="1">
      <c r="A325" s="42">
        <f t="shared" si="5"/>
        <v>324</v>
      </c>
      <c r="B325" s="36" t="s">
        <v>6</v>
      </c>
      <c r="C325" s="36" t="s">
        <v>8543</v>
      </c>
      <c r="D325" s="9" t="s">
        <v>8667</v>
      </c>
      <c r="E325" s="9" t="s">
        <v>8270</v>
      </c>
      <c r="F325" s="36" t="s">
        <v>8662</v>
      </c>
      <c r="G325" s="36" t="s">
        <v>14</v>
      </c>
      <c r="H325" s="36" t="str">
        <f>IFERROR(VLOOKUP(Table2[[#This Row], [Ticket]],Okey!A:B,2,0),"")</f>
        <v>ok</v>
      </c>
      <c r="I325" s="36" t="s">
        <v>8546</v>
      </c>
      <c r="J325" s="36" t="s">
        <v>18</v>
      </c>
      <c r="K325" s="36"/>
      <c r="L325" s="36"/>
      <c r="M325" s="36" t="s">
        <v>4799</v>
      </c>
    </row>
    <row r="326" spans="1:13" hidden="1">
      <c r="A326" s="42">
        <f t="shared" si="5"/>
        <v>325</v>
      </c>
      <c r="B326" s="36" t="s">
        <v>6</v>
      </c>
      <c r="C326" s="36" t="s">
        <v>8543</v>
      </c>
      <c r="D326" s="9" t="s">
        <v>8668</v>
      </c>
      <c r="E326" s="9" t="s">
        <v>8271</v>
      </c>
      <c r="F326" s="36" t="s">
        <v>8662</v>
      </c>
      <c r="G326" s="36" t="s">
        <v>14</v>
      </c>
      <c r="H326" s="36" t="str">
        <f>IFERROR(VLOOKUP(Table2[[#This Row], [Ticket]],Okey!A:B,2,0),"")</f>
        <v>ok</v>
      </c>
      <c r="I326" s="36" t="s">
        <v>8546</v>
      </c>
      <c r="J326" s="36" t="s">
        <v>18</v>
      </c>
      <c r="K326" s="36"/>
      <c r="L326" s="36"/>
      <c r="M326" s="36" t="s">
        <v>4799</v>
      </c>
    </row>
    <row r="327" spans="1:13" hidden="1">
      <c r="A327" s="42">
        <f t="shared" si="5"/>
        <v>326</v>
      </c>
      <c r="B327" s="36" t="s">
        <v>6</v>
      </c>
      <c r="C327" s="36" t="s">
        <v>8543</v>
      </c>
      <c r="D327" s="9" t="s">
        <v>8669</v>
      </c>
      <c r="E327" s="9" t="s">
        <v>8272</v>
      </c>
      <c r="F327" s="36" t="s">
        <v>8662</v>
      </c>
      <c r="G327" s="36" t="s">
        <v>14</v>
      </c>
      <c r="H327" s="36" t="str">
        <f>IFERROR(VLOOKUP(Table2[[#This Row], [Ticket]],Okey!A:B,2,0),"")</f>
        <v>ok</v>
      </c>
      <c r="I327" s="36" t="s">
        <v>8546</v>
      </c>
      <c r="J327" s="36" t="s">
        <v>18</v>
      </c>
      <c r="K327" s="36"/>
      <c r="L327" s="36"/>
      <c r="M327" s="36" t="s">
        <v>4799</v>
      </c>
    </row>
    <row r="328" spans="1:13" hidden="1">
      <c r="A328" s="42">
        <f t="shared" si="5"/>
        <v>327</v>
      </c>
      <c r="B328" s="36" t="s">
        <v>6</v>
      </c>
      <c r="C328" s="36" t="s">
        <v>8543</v>
      </c>
      <c r="D328" s="9" t="s">
        <v>8670</v>
      </c>
      <c r="E328" s="9" t="s">
        <v>8273</v>
      </c>
      <c r="F328" s="36" t="s">
        <v>8662</v>
      </c>
      <c r="G328" s="36" t="s">
        <v>14</v>
      </c>
      <c r="H328" s="36" t="str">
        <f>IFERROR(VLOOKUP(Table2[[#This Row], [Ticket]],Okey!A:B,2,0),"")</f>
        <v>ok</v>
      </c>
      <c r="I328" s="36" t="s">
        <v>8546</v>
      </c>
      <c r="J328" s="36" t="s">
        <v>18</v>
      </c>
      <c r="K328" s="36"/>
      <c r="L328" s="36"/>
      <c r="M328" s="36" t="s">
        <v>4799</v>
      </c>
    </row>
    <row r="329" spans="1:13" hidden="1">
      <c r="A329" s="42">
        <f t="shared" si="5"/>
        <v>328</v>
      </c>
      <c r="B329" s="36" t="s">
        <v>6</v>
      </c>
      <c r="C329" s="36" t="s">
        <v>8543</v>
      </c>
      <c r="D329" s="9" t="s">
        <v>8671</v>
      </c>
      <c r="E329" s="9" t="s">
        <v>8274</v>
      </c>
      <c r="F329" s="36" t="s">
        <v>8662</v>
      </c>
      <c r="G329" s="36" t="s">
        <v>14</v>
      </c>
      <c r="H329" s="36" t="str">
        <f>IFERROR(VLOOKUP(Table2[[#This Row], [Ticket]],Okey!A:B,2,0),"")</f>
        <v>ok</v>
      </c>
      <c r="I329" s="36" t="s">
        <v>8546</v>
      </c>
      <c r="J329" s="36" t="s">
        <v>18</v>
      </c>
      <c r="K329" s="36"/>
      <c r="L329" s="36"/>
      <c r="M329" s="36" t="s">
        <v>4799</v>
      </c>
    </row>
    <row r="330" spans="1:13" hidden="1">
      <c r="A330" s="42">
        <f t="shared" si="5"/>
        <v>329</v>
      </c>
      <c r="B330" s="36" t="s">
        <v>6</v>
      </c>
      <c r="C330" s="36" t="s">
        <v>8543</v>
      </c>
      <c r="D330" s="9" t="s">
        <v>8672</v>
      </c>
      <c r="E330" s="9" t="s">
        <v>8275</v>
      </c>
      <c r="F330" s="9" t="s">
        <v>8265</v>
      </c>
      <c r="G330" s="36" t="s">
        <v>14</v>
      </c>
      <c r="H330" s="36" t="str">
        <f>IFERROR(VLOOKUP(Table2[[#This Row], [Ticket]],Okey!A:B,2,0),"")</f>
        <v>ok</v>
      </c>
      <c r="I330" s="36" t="s">
        <v>8546</v>
      </c>
      <c r="J330" s="36" t="s">
        <v>18</v>
      </c>
      <c r="K330" s="36"/>
      <c r="L330" s="36"/>
      <c r="M330" s="36" t="s">
        <v>4799</v>
      </c>
    </row>
    <row r="331" spans="1:13" hidden="1">
      <c r="A331" s="42">
        <f t="shared" si="5"/>
        <v>330</v>
      </c>
      <c r="B331" s="36" t="s">
        <v>6</v>
      </c>
      <c r="C331" s="36" t="s">
        <v>8543</v>
      </c>
      <c r="D331" s="9" t="s">
        <v>8673</v>
      </c>
      <c r="E331" s="9" t="s">
        <v>8276</v>
      </c>
      <c r="F331" s="9" t="s">
        <v>8265</v>
      </c>
      <c r="G331" s="36" t="s">
        <v>14</v>
      </c>
      <c r="H331" s="36" t="str">
        <f>IFERROR(VLOOKUP(Table2[[#This Row], [Ticket]],Okey!A:B,2,0),"")</f>
        <v>ok</v>
      </c>
      <c r="I331" s="36" t="s">
        <v>8546</v>
      </c>
      <c r="J331" s="36" t="s">
        <v>18</v>
      </c>
      <c r="K331" s="36"/>
      <c r="L331" s="36"/>
      <c r="M331" s="36" t="s">
        <v>4799</v>
      </c>
    </row>
    <row r="332" spans="1:13" hidden="1">
      <c r="A332" s="42">
        <f t="shared" si="5"/>
        <v>331</v>
      </c>
      <c r="B332" s="36" t="s">
        <v>6</v>
      </c>
      <c r="C332" s="36" t="s">
        <v>8543</v>
      </c>
      <c r="D332" s="9" t="s">
        <v>8674</v>
      </c>
      <c r="E332" s="9" t="s">
        <v>8277</v>
      </c>
      <c r="F332" s="9" t="s">
        <v>8265</v>
      </c>
      <c r="G332" s="36" t="s">
        <v>14</v>
      </c>
      <c r="H332" s="36" t="str">
        <f>IFERROR(VLOOKUP(Table2[[#This Row], [Ticket]],Okey!A:B,2,0),"")</f>
        <v>ok</v>
      </c>
      <c r="I332" s="36" t="s">
        <v>8546</v>
      </c>
      <c r="J332" s="36" t="s">
        <v>18</v>
      </c>
      <c r="K332" s="36"/>
      <c r="L332" s="36"/>
      <c r="M332" s="36" t="s">
        <v>4799</v>
      </c>
    </row>
    <row r="333" spans="1:13" hidden="1">
      <c r="A333" s="42">
        <f t="shared" si="5"/>
        <v>332</v>
      </c>
      <c r="B333" s="36" t="s">
        <v>6</v>
      </c>
      <c r="C333" s="36" t="s">
        <v>8543</v>
      </c>
      <c r="D333" s="9" t="s">
        <v>8675</v>
      </c>
      <c r="E333" s="9" t="s">
        <v>8278</v>
      </c>
      <c r="F333" s="36" t="s">
        <v>8674</v>
      </c>
      <c r="G333" s="36" t="s">
        <v>14</v>
      </c>
      <c r="H333" s="36" t="str">
        <f>IFERROR(VLOOKUP(Table2[[#This Row], [Ticket]],Okey!A:B,2,0),"")</f>
        <v>ok</v>
      </c>
      <c r="I333" s="36" t="s">
        <v>8546</v>
      </c>
      <c r="J333" s="36" t="s">
        <v>18</v>
      </c>
      <c r="K333" s="36"/>
      <c r="L333" s="36"/>
      <c r="M333" s="36" t="s">
        <v>4799</v>
      </c>
    </row>
    <row r="334" spans="1:13" hidden="1">
      <c r="A334" s="42">
        <f t="shared" si="5"/>
        <v>333</v>
      </c>
      <c r="B334" s="36" t="s">
        <v>6</v>
      </c>
      <c r="C334" s="36" t="s">
        <v>8543</v>
      </c>
      <c r="D334" s="9" t="s">
        <v>8676</v>
      </c>
      <c r="E334" s="9" t="s">
        <v>8279</v>
      </c>
      <c r="F334" s="36" t="s">
        <v>8674</v>
      </c>
      <c r="G334" s="36" t="s">
        <v>14</v>
      </c>
      <c r="H334" s="36" t="str">
        <f>IFERROR(VLOOKUP(Table2[[#This Row], [Ticket]],Okey!A:B,2,0),"")</f>
        <v>ok</v>
      </c>
      <c r="I334" s="36" t="s">
        <v>8546</v>
      </c>
      <c r="J334" s="36" t="s">
        <v>18</v>
      </c>
      <c r="K334" s="36"/>
      <c r="L334" s="36"/>
      <c r="M334" s="36" t="s">
        <v>4799</v>
      </c>
    </row>
    <row r="335" spans="1:13" hidden="1">
      <c r="A335" s="42">
        <f t="shared" si="5"/>
        <v>334</v>
      </c>
      <c r="B335" s="36" t="s">
        <v>6</v>
      </c>
      <c r="C335" s="36" t="s">
        <v>8543</v>
      </c>
      <c r="D335" s="9" t="s">
        <v>8677</v>
      </c>
      <c r="E335" s="9" t="s">
        <v>8280</v>
      </c>
      <c r="F335" s="36" t="s">
        <v>8674</v>
      </c>
      <c r="G335" s="36" t="s">
        <v>14</v>
      </c>
      <c r="H335" s="36" t="str">
        <f>IFERROR(VLOOKUP(Table2[[#This Row], [Ticket]],Okey!A:B,2,0),"")</f>
        <v>ok</v>
      </c>
      <c r="I335" s="36" t="s">
        <v>8546</v>
      </c>
      <c r="J335" s="36" t="s">
        <v>18</v>
      </c>
      <c r="K335" s="36"/>
      <c r="L335" s="36"/>
      <c r="M335" s="36" t="s">
        <v>4799</v>
      </c>
    </row>
    <row r="336" spans="1:13" hidden="1">
      <c r="A336" s="42">
        <f t="shared" si="5"/>
        <v>335</v>
      </c>
      <c r="B336" s="36" t="s">
        <v>6</v>
      </c>
      <c r="C336" s="36" t="s">
        <v>8543</v>
      </c>
      <c r="D336" s="9" t="s">
        <v>8678</v>
      </c>
      <c r="E336" s="9" t="s">
        <v>8281</v>
      </c>
      <c r="F336" s="36" t="s">
        <v>8674</v>
      </c>
      <c r="G336" s="36" t="s">
        <v>14</v>
      </c>
      <c r="H336" s="36" t="str">
        <f>IFERROR(VLOOKUP(Table2[[#This Row], [Ticket]],Okey!A:B,2,0),"")</f>
        <v>ok</v>
      </c>
      <c r="I336" s="36" t="s">
        <v>8546</v>
      </c>
      <c r="J336" s="36" t="s">
        <v>18</v>
      </c>
      <c r="K336" s="36"/>
      <c r="L336" s="36"/>
      <c r="M336" s="36" t="s">
        <v>4799</v>
      </c>
    </row>
    <row r="337" spans="1:13" hidden="1">
      <c r="A337" s="42">
        <f t="shared" si="5"/>
        <v>336</v>
      </c>
      <c r="B337" s="36" t="s">
        <v>6</v>
      </c>
      <c r="C337" s="36" t="s">
        <v>8543</v>
      </c>
      <c r="D337" s="9" t="s">
        <v>8679</v>
      </c>
      <c r="E337" s="9" t="s">
        <v>8282</v>
      </c>
      <c r="F337" s="9" t="s">
        <v>8265</v>
      </c>
      <c r="G337" s="36" t="s">
        <v>14</v>
      </c>
      <c r="H337" s="36" t="str">
        <f>IFERROR(VLOOKUP(Table2[[#This Row], [Ticket]],Okey!A:B,2,0),"")</f>
        <v>ok</v>
      </c>
      <c r="I337" s="36" t="s">
        <v>8546</v>
      </c>
      <c r="J337" s="36" t="s">
        <v>18</v>
      </c>
      <c r="K337" s="36"/>
      <c r="L337" s="36"/>
      <c r="M337" s="36" t="s">
        <v>4799</v>
      </c>
    </row>
    <row r="338" spans="1:13" hidden="1">
      <c r="A338" s="42">
        <f t="shared" si="5"/>
        <v>337</v>
      </c>
      <c r="B338" s="36" t="s">
        <v>6</v>
      </c>
      <c r="C338" s="36" t="s">
        <v>8543</v>
      </c>
      <c r="D338" s="9" t="s">
        <v>8680</v>
      </c>
      <c r="E338" s="9" t="s">
        <v>8283</v>
      </c>
      <c r="F338" s="9" t="s">
        <v>8265</v>
      </c>
      <c r="G338" s="36" t="s">
        <v>14</v>
      </c>
      <c r="H338" s="36" t="str">
        <f>IFERROR(VLOOKUP(Table2[[#This Row], [Ticket]],Okey!A:B,2,0),"")</f>
        <v>ok</v>
      </c>
      <c r="I338" s="36" t="s">
        <v>8546</v>
      </c>
      <c r="J338" s="36" t="s">
        <v>18</v>
      </c>
      <c r="K338" s="36"/>
      <c r="L338" s="36"/>
      <c r="M338" s="36" t="s">
        <v>4799</v>
      </c>
    </row>
    <row r="339" spans="1:13" hidden="1">
      <c r="A339" s="42">
        <f t="shared" si="5"/>
        <v>338</v>
      </c>
      <c r="B339" s="36" t="s">
        <v>6</v>
      </c>
      <c r="C339" s="36" t="s">
        <v>8543</v>
      </c>
      <c r="D339" s="9" t="s">
        <v>8681</v>
      </c>
      <c r="E339" s="9" t="s">
        <v>8284</v>
      </c>
      <c r="F339" s="36" t="s">
        <v>8680</v>
      </c>
      <c r="G339" s="36" t="s">
        <v>14</v>
      </c>
      <c r="H339" s="36" t="str">
        <f>IFERROR(VLOOKUP(Table2[[#This Row], [Ticket]],Okey!A:B,2,0),"")</f>
        <v>ok</v>
      </c>
      <c r="I339" s="36" t="s">
        <v>8546</v>
      </c>
      <c r="J339" s="36" t="s">
        <v>18</v>
      </c>
      <c r="K339" s="36"/>
      <c r="L339" s="36"/>
      <c r="M339" s="36" t="s">
        <v>4799</v>
      </c>
    </row>
    <row r="340" spans="1:13" hidden="1">
      <c r="A340" s="42">
        <f t="shared" ref="A340:A403" si="6">1+A339</f>
        <v>339</v>
      </c>
      <c r="B340" s="36" t="s">
        <v>6</v>
      </c>
      <c r="C340" s="36" t="s">
        <v>8543</v>
      </c>
      <c r="D340" s="9" t="s">
        <v>8682</v>
      </c>
      <c r="E340" s="9" t="s">
        <v>8285</v>
      </c>
      <c r="F340" s="9" t="s">
        <v>3956</v>
      </c>
      <c r="G340" s="36" t="s">
        <v>14</v>
      </c>
      <c r="H340" s="36" t="str">
        <f>IFERROR(VLOOKUP(Table2[[#This Row], [Ticket]],Okey!A:B,2,0),"")</f>
        <v>ok</v>
      </c>
      <c r="I340" s="36" t="s">
        <v>8546</v>
      </c>
      <c r="J340" s="36" t="s">
        <v>18</v>
      </c>
      <c r="K340" s="36"/>
      <c r="L340" s="36"/>
      <c r="M340" s="36" t="s">
        <v>4799</v>
      </c>
    </row>
    <row r="341" spans="1:13" hidden="1">
      <c r="A341" s="42">
        <f t="shared" si="6"/>
        <v>340</v>
      </c>
      <c r="B341" s="36" t="s">
        <v>6</v>
      </c>
      <c r="C341" s="36" t="s">
        <v>8543</v>
      </c>
      <c r="D341" s="9" t="s">
        <v>8683</v>
      </c>
      <c r="E341" s="9" t="s">
        <v>8286</v>
      </c>
      <c r="F341" s="36" t="s">
        <v>8682</v>
      </c>
      <c r="G341" s="36" t="s">
        <v>14</v>
      </c>
      <c r="H341" s="36" t="str">
        <f>IFERROR(VLOOKUP(Table2[[#This Row], [Ticket]],Okey!A:B,2,0),"")</f>
        <v>ok</v>
      </c>
      <c r="I341" s="36" t="s">
        <v>8546</v>
      </c>
      <c r="J341" s="36" t="s">
        <v>18</v>
      </c>
      <c r="K341" s="36"/>
      <c r="L341" s="36"/>
      <c r="M341" s="36" t="s">
        <v>4799</v>
      </c>
    </row>
    <row r="342" spans="1:13" hidden="1">
      <c r="A342" s="42">
        <f t="shared" si="6"/>
        <v>341</v>
      </c>
      <c r="B342" s="36" t="s">
        <v>6</v>
      </c>
      <c r="C342" s="36" t="s">
        <v>8543</v>
      </c>
      <c r="D342" s="9" t="s">
        <v>8684</v>
      </c>
      <c r="E342" s="9" t="s">
        <v>8287</v>
      </c>
      <c r="F342" s="36" t="s">
        <v>8683</v>
      </c>
      <c r="G342" s="36" t="s">
        <v>14</v>
      </c>
      <c r="H342" s="36" t="str">
        <f>IFERROR(VLOOKUP(Table2[[#This Row], [Ticket]],Okey!A:B,2,0),"")</f>
        <v>ok</v>
      </c>
      <c r="I342" s="36" t="s">
        <v>8546</v>
      </c>
      <c r="J342" s="36" t="s">
        <v>18</v>
      </c>
      <c r="K342" s="36"/>
      <c r="L342" s="36"/>
      <c r="M342" s="36" t="s">
        <v>4799</v>
      </c>
    </row>
    <row r="343" spans="1:13" hidden="1">
      <c r="A343" s="42">
        <f t="shared" si="6"/>
        <v>342</v>
      </c>
      <c r="B343" s="36" t="s">
        <v>6</v>
      </c>
      <c r="C343" s="36" t="s">
        <v>8543</v>
      </c>
      <c r="D343" s="9" t="s">
        <v>8685</v>
      </c>
      <c r="E343" s="9" t="s">
        <v>8288</v>
      </c>
      <c r="F343" s="36" t="s">
        <v>8682</v>
      </c>
      <c r="G343" s="36" t="s">
        <v>14</v>
      </c>
      <c r="H343" s="36" t="str">
        <f>IFERROR(VLOOKUP(Table2[[#This Row], [Ticket]],Okey!A:B,2,0),"")</f>
        <v>ok</v>
      </c>
      <c r="I343" s="36" t="s">
        <v>8546</v>
      </c>
      <c r="J343" s="36" t="s">
        <v>18</v>
      </c>
      <c r="K343" s="36"/>
      <c r="L343" s="36"/>
      <c r="M343" s="36" t="s">
        <v>4799</v>
      </c>
    </row>
    <row r="344" spans="1:13" hidden="1">
      <c r="A344" s="42">
        <f t="shared" si="6"/>
        <v>343</v>
      </c>
      <c r="B344" s="36" t="s">
        <v>6</v>
      </c>
      <c r="C344" s="36" t="s">
        <v>8543</v>
      </c>
      <c r="D344" s="9" t="s">
        <v>8686</v>
      </c>
      <c r="E344" s="9" t="s">
        <v>8289</v>
      </c>
      <c r="F344" s="9" t="s">
        <v>3996</v>
      </c>
      <c r="G344" s="36" t="s">
        <v>14</v>
      </c>
      <c r="H344" s="36" t="str">
        <f>IFERROR(VLOOKUP(Table2[[#This Row], [Ticket]],Okey!A:B,2,0),"")</f>
        <v>ok</v>
      </c>
      <c r="I344" s="36" t="s">
        <v>8546</v>
      </c>
      <c r="J344" s="36" t="s">
        <v>18</v>
      </c>
      <c r="K344" s="36"/>
      <c r="L344" s="36"/>
      <c r="M344" s="36" t="s">
        <v>4799</v>
      </c>
    </row>
    <row r="345" spans="1:13" hidden="1">
      <c r="A345" s="42">
        <f t="shared" si="6"/>
        <v>344</v>
      </c>
      <c r="B345" s="36" t="s">
        <v>6</v>
      </c>
      <c r="C345" s="36" t="s">
        <v>8543</v>
      </c>
      <c r="D345" s="9" t="s">
        <v>8687</v>
      </c>
      <c r="E345" s="9" t="s">
        <v>8290</v>
      </c>
      <c r="F345" s="36" t="s">
        <v>8682</v>
      </c>
      <c r="G345" s="36" t="s">
        <v>14</v>
      </c>
      <c r="H345" s="36" t="str">
        <f>IFERROR(VLOOKUP(Table2[[#This Row], [Ticket]],Okey!A:B,2,0),"")</f>
        <v>ok</v>
      </c>
      <c r="I345" s="36" t="s">
        <v>8546</v>
      </c>
      <c r="J345" s="36" t="s">
        <v>18</v>
      </c>
      <c r="K345" s="36"/>
      <c r="L345" s="36"/>
      <c r="M345" s="36" t="s">
        <v>4799</v>
      </c>
    </row>
    <row r="346" spans="1:13" hidden="1">
      <c r="A346" s="42">
        <f t="shared" si="6"/>
        <v>345</v>
      </c>
      <c r="B346" s="36" t="s">
        <v>6</v>
      </c>
      <c r="C346" s="36" t="s">
        <v>8543</v>
      </c>
      <c r="D346" s="9" t="s">
        <v>8688</v>
      </c>
      <c r="E346" s="9" t="s">
        <v>8291</v>
      </c>
      <c r="F346" s="36" t="s">
        <v>8687</v>
      </c>
      <c r="G346" s="36" t="s">
        <v>14</v>
      </c>
      <c r="H346" s="36" t="str">
        <f>IFERROR(VLOOKUP(Table2[[#This Row], [Ticket]],Okey!A:B,2,0),"")</f>
        <v>ok</v>
      </c>
      <c r="I346" s="36" t="s">
        <v>8546</v>
      </c>
      <c r="J346" s="36" t="s">
        <v>18</v>
      </c>
      <c r="K346" s="36"/>
      <c r="L346" s="36"/>
      <c r="M346" s="36" t="s">
        <v>4799</v>
      </c>
    </row>
    <row r="347" spans="1:13" hidden="1">
      <c r="A347" s="42">
        <f t="shared" si="6"/>
        <v>346</v>
      </c>
      <c r="B347" s="36" t="s">
        <v>6</v>
      </c>
      <c r="C347" s="36" t="s">
        <v>8543</v>
      </c>
      <c r="D347" s="9" t="s">
        <v>8689</v>
      </c>
      <c r="E347" s="9" t="s">
        <v>3903</v>
      </c>
      <c r="F347" s="9" t="s">
        <v>4046</v>
      </c>
      <c r="G347" s="36" t="s">
        <v>14</v>
      </c>
      <c r="H347" s="36" t="str">
        <f>IFERROR(VLOOKUP(Table2[[#This Row], [Ticket]],Okey!A:B,2,0),"")</f>
        <v>ok</v>
      </c>
      <c r="I347" s="36" t="s">
        <v>8546</v>
      </c>
      <c r="J347" s="36" t="s">
        <v>18</v>
      </c>
      <c r="K347" s="36"/>
      <c r="L347" s="36"/>
      <c r="M347" s="36" t="s">
        <v>4799</v>
      </c>
    </row>
    <row r="348" spans="1:13" hidden="1">
      <c r="A348" s="42">
        <f t="shared" si="6"/>
        <v>347</v>
      </c>
      <c r="B348" s="36" t="s">
        <v>6</v>
      </c>
      <c r="C348" s="36" t="s">
        <v>8543</v>
      </c>
      <c r="D348" s="9" t="s">
        <v>8690</v>
      </c>
      <c r="E348" s="9" t="s">
        <v>8292</v>
      </c>
      <c r="F348" s="9" t="s">
        <v>3971</v>
      </c>
      <c r="G348" s="36" t="s">
        <v>14</v>
      </c>
      <c r="H348" s="36" t="str">
        <f>IFERROR(VLOOKUP(Table2[[#This Row], [Ticket]],Okey!A:B,2,0),"")</f>
        <v>ok</v>
      </c>
      <c r="I348" s="36" t="s">
        <v>8546</v>
      </c>
      <c r="J348" s="36" t="s">
        <v>18</v>
      </c>
      <c r="K348" s="36"/>
      <c r="L348" s="36"/>
      <c r="M348" s="36" t="s">
        <v>4799</v>
      </c>
    </row>
    <row r="349" spans="1:13" hidden="1">
      <c r="A349" s="42">
        <f t="shared" si="6"/>
        <v>348</v>
      </c>
      <c r="B349" s="36" t="s">
        <v>6</v>
      </c>
      <c r="C349" s="36" t="s">
        <v>8543</v>
      </c>
      <c r="D349" s="9" t="s">
        <v>8691</v>
      </c>
      <c r="E349" s="9" t="s">
        <v>8293</v>
      </c>
      <c r="F349" s="9" t="s">
        <v>3514</v>
      </c>
      <c r="G349" s="36" t="s">
        <v>14</v>
      </c>
      <c r="H349" s="36" t="str">
        <f>IFERROR(VLOOKUP(Table2[[#This Row], [Ticket]],Okey!A:B,2,0),"")</f>
        <v>ok</v>
      </c>
      <c r="I349" s="36" t="s">
        <v>8546</v>
      </c>
      <c r="J349" s="36" t="s">
        <v>18</v>
      </c>
      <c r="K349" s="36"/>
      <c r="L349" s="36"/>
      <c r="M349" s="36" t="s">
        <v>4799</v>
      </c>
    </row>
    <row r="350" spans="1:13" hidden="1">
      <c r="A350" s="42">
        <f t="shared" si="6"/>
        <v>349</v>
      </c>
      <c r="B350" s="36" t="s">
        <v>6</v>
      </c>
      <c r="C350" s="36" t="s">
        <v>8543</v>
      </c>
      <c r="D350" s="9" t="s">
        <v>8692</v>
      </c>
      <c r="E350" s="9" t="s">
        <v>8294</v>
      </c>
      <c r="F350" s="9" t="s">
        <v>3514</v>
      </c>
      <c r="G350" s="36" t="s">
        <v>14</v>
      </c>
      <c r="H350" s="36" t="str">
        <f>IFERROR(VLOOKUP(Table2[[#This Row], [Ticket]],Okey!A:B,2,0),"")</f>
        <v>ok</v>
      </c>
      <c r="I350" s="36" t="s">
        <v>8546</v>
      </c>
      <c r="J350" s="36" t="s">
        <v>18</v>
      </c>
      <c r="K350" s="36"/>
      <c r="L350" s="36"/>
      <c r="M350" s="36" t="s">
        <v>4799</v>
      </c>
    </row>
    <row r="351" spans="1:13" hidden="1">
      <c r="A351" s="42">
        <f t="shared" si="6"/>
        <v>350</v>
      </c>
      <c r="B351" s="36" t="s">
        <v>6</v>
      </c>
      <c r="C351" s="36" t="s">
        <v>8543</v>
      </c>
      <c r="D351" s="9" t="s">
        <v>8693</v>
      </c>
      <c r="E351" s="9" t="s">
        <v>8295</v>
      </c>
      <c r="F351" s="9" t="s">
        <v>3514</v>
      </c>
      <c r="G351" s="9" t="s">
        <v>14</v>
      </c>
      <c r="H351" s="36" t="str">
        <f>IFERROR(VLOOKUP(Table2[[#This Row], [Ticket]],Okey!A:B,2,0),"")</f>
        <v>ok</v>
      </c>
      <c r="I351" s="36" t="s">
        <v>8546</v>
      </c>
      <c r="J351" s="36" t="s">
        <v>18</v>
      </c>
      <c r="K351" s="36"/>
      <c r="L351" s="36"/>
      <c r="M351" s="36" t="s">
        <v>4799</v>
      </c>
    </row>
    <row r="352" spans="1:13" hidden="1">
      <c r="A352" s="42">
        <f t="shared" si="6"/>
        <v>351</v>
      </c>
      <c r="B352" s="36" t="s">
        <v>6</v>
      </c>
      <c r="C352" s="36" t="s">
        <v>8543</v>
      </c>
      <c r="D352" s="9" t="s">
        <v>1309</v>
      </c>
      <c r="E352" s="9" t="s">
        <v>8296</v>
      </c>
      <c r="G352" s="36" t="s">
        <v>15</v>
      </c>
      <c r="H352" s="36" t="str">
        <f>IFERROR(VLOOKUP(Table2[[#This Row], [Ticket]],Okey!A:B,2,0),"")</f>
        <v>ok</v>
      </c>
      <c r="I352" s="36" t="s">
        <v>8546</v>
      </c>
      <c r="J352" s="36" t="s">
        <v>18</v>
      </c>
      <c r="K352" s="36"/>
      <c r="L352" s="36"/>
      <c r="M352" s="36" t="s">
        <v>4799</v>
      </c>
    </row>
    <row r="353" spans="1:13" hidden="1">
      <c r="A353" s="42">
        <f t="shared" si="6"/>
        <v>352</v>
      </c>
      <c r="B353" s="36" t="s">
        <v>6</v>
      </c>
      <c r="C353" s="36" t="s">
        <v>8543</v>
      </c>
      <c r="D353" s="9" t="s">
        <v>8297</v>
      </c>
      <c r="E353" s="9" t="s">
        <v>8298</v>
      </c>
      <c r="G353" s="36" t="s">
        <v>15</v>
      </c>
      <c r="H353" s="36" t="str">
        <f>IFERROR(VLOOKUP(Table2[[#This Row], [Ticket]],Okey!A:B,2,0),"")</f>
        <v>ok</v>
      </c>
      <c r="I353" s="36" t="s">
        <v>8546</v>
      </c>
      <c r="J353" s="36" t="s">
        <v>18</v>
      </c>
      <c r="K353" s="36"/>
      <c r="L353" s="36"/>
      <c r="M353" s="36" t="s">
        <v>4799</v>
      </c>
    </row>
    <row r="354" spans="1:13" hidden="1">
      <c r="A354" s="42">
        <f t="shared" si="6"/>
        <v>353</v>
      </c>
      <c r="B354" s="36" t="s">
        <v>6</v>
      </c>
      <c r="C354" s="36" t="s">
        <v>8543</v>
      </c>
      <c r="D354" s="9" t="s">
        <v>1415</v>
      </c>
      <c r="E354" s="9" t="s">
        <v>8299</v>
      </c>
      <c r="G354" s="36" t="s">
        <v>15</v>
      </c>
      <c r="H354" s="36" t="str">
        <f>IFERROR(VLOOKUP(Table2[[#This Row], [Ticket]],Okey!A:B,2,0),"")</f>
        <v>ok</v>
      </c>
      <c r="I354" s="36" t="s">
        <v>8546</v>
      </c>
      <c r="J354" s="36" t="s">
        <v>18</v>
      </c>
      <c r="K354" s="36"/>
      <c r="L354" s="36"/>
      <c r="M354" s="36" t="s">
        <v>4799</v>
      </c>
    </row>
    <row r="355" spans="1:13" hidden="1">
      <c r="A355" s="42">
        <f t="shared" si="6"/>
        <v>354</v>
      </c>
      <c r="B355" s="36" t="s">
        <v>6</v>
      </c>
      <c r="C355" s="36" t="s">
        <v>8543</v>
      </c>
      <c r="D355" s="9" t="s">
        <v>1321</v>
      </c>
      <c r="E355" s="9" t="s">
        <v>8300</v>
      </c>
      <c r="G355" s="36" t="s">
        <v>15</v>
      </c>
      <c r="H355" s="36" t="str">
        <f>IFERROR(VLOOKUP(Table2[[#This Row], [Ticket]],Okey!A:B,2,0),"")</f>
        <v>ok</v>
      </c>
      <c r="I355" s="36" t="s">
        <v>8546</v>
      </c>
      <c r="J355" s="36" t="s">
        <v>18</v>
      </c>
      <c r="K355" s="36"/>
      <c r="L355" s="36"/>
      <c r="M355" s="36" t="s">
        <v>4799</v>
      </c>
    </row>
    <row r="356" spans="1:13" hidden="1">
      <c r="A356" s="42">
        <f t="shared" si="6"/>
        <v>355</v>
      </c>
      <c r="B356" s="36" t="s">
        <v>6</v>
      </c>
      <c r="C356" s="36" t="s">
        <v>8543</v>
      </c>
      <c r="D356" s="9" t="s">
        <v>5490</v>
      </c>
      <c r="E356" s="9" t="s">
        <v>8301</v>
      </c>
      <c r="G356" s="36" t="s">
        <v>15</v>
      </c>
      <c r="H356" s="36" t="str">
        <f>IFERROR(VLOOKUP(Table2[[#This Row], [Ticket]],Okey!A:B,2,0),"")</f>
        <v>ok</v>
      </c>
      <c r="I356" s="36" t="s">
        <v>8546</v>
      </c>
      <c r="J356" s="36" t="s">
        <v>18</v>
      </c>
      <c r="K356" s="36"/>
      <c r="L356" s="36"/>
      <c r="M356" s="36" t="s">
        <v>4799</v>
      </c>
    </row>
    <row r="357" spans="1:13" hidden="1">
      <c r="A357" s="42">
        <f t="shared" si="6"/>
        <v>356</v>
      </c>
      <c r="B357" s="36" t="s">
        <v>6</v>
      </c>
      <c r="C357" s="36" t="s">
        <v>8543</v>
      </c>
      <c r="D357" s="9" t="s">
        <v>1290</v>
      </c>
      <c r="E357" s="9" t="s">
        <v>8145</v>
      </c>
      <c r="G357" s="36" t="s">
        <v>15</v>
      </c>
      <c r="H357" s="36" t="str">
        <f>IFERROR(VLOOKUP(Table2[[#This Row], [Ticket]],Okey!A:B,2,0),"")</f>
        <v>ok</v>
      </c>
      <c r="I357" s="36" t="s">
        <v>8546</v>
      </c>
      <c r="J357" s="36" t="s">
        <v>18</v>
      </c>
      <c r="K357" s="36"/>
      <c r="L357" s="36"/>
      <c r="M357" s="36" t="s">
        <v>4799</v>
      </c>
    </row>
    <row r="358" spans="1:13" hidden="1">
      <c r="A358" s="42">
        <f t="shared" si="6"/>
        <v>357</v>
      </c>
      <c r="B358" s="36" t="s">
        <v>6</v>
      </c>
      <c r="C358" s="36" t="s">
        <v>8543</v>
      </c>
      <c r="D358" s="9" t="s">
        <v>8302</v>
      </c>
      <c r="E358" s="9" t="s">
        <v>8303</v>
      </c>
      <c r="G358" s="36" t="s">
        <v>15</v>
      </c>
      <c r="H358" s="36" t="str">
        <f>IFERROR(VLOOKUP(Table2[[#This Row], [Ticket]],Okey!A:B,2,0),"")</f>
        <v>ok</v>
      </c>
      <c r="I358" s="36" t="s">
        <v>8546</v>
      </c>
      <c r="J358" s="36" t="s">
        <v>18</v>
      </c>
      <c r="K358" s="36"/>
      <c r="L358" s="36"/>
      <c r="M358" s="36" t="s">
        <v>4799</v>
      </c>
    </row>
    <row r="359" spans="1:13" hidden="1">
      <c r="A359" s="42">
        <f t="shared" si="6"/>
        <v>358</v>
      </c>
      <c r="B359" s="36" t="s">
        <v>6</v>
      </c>
      <c r="C359" s="36" t="s">
        <v>8543</v>
      </c>
      <c r="D359" s="9" t="s">
        <v>5544</v>
      </c>
      <c r="E359" s="9" t="s">
        <v>8304</v>
      </c>
      <c r="G359" s="36" t="s">
        <v>15</v>
      </c>
      <c r="H359" s="36" t="str">
        <f>IFERROR(VLOOKUP(Table2[[#This Row], [Ticket]],Okey!A:B,2,0),"")</f>
        <v>ok</v>
      </c>
      <c r="I359" s="36" t="s">
        <v>8546</v>
      </c>
      <c r="J359" s="36" t="s">
        <v>18</v>
      </c>
      <c r="K359" s="36"/>
      <c r="L359" s="36"/>
      <c r="M359" s="36" t="s">
        <v>4799</v>
      </c>
    </row>
    <row r="360" spans="1:13" hidden="1">
      <c r="A360" s="42">
        <f t="shared" si="6"/>
        <v>359</v>
      </c>
      <c r="B360" s="36" t="s">
        <v>6</v>
      </c>
      <c r="C360" s="36" t="s">
        <v>8543</v>
      </c>
      <c r="D360" s="9" t="s">
        <v>8305</v>
      </c>
      <c r="E360" s="9" t="s">
        <v>8306</v>
      </c>
      <c r="G360" s="36" t="s">
        <v>15</v>
      </c>
      <c r="H360" s="36" t="str">
        <f>IFERROR(VLOOKUP(Table2[[#This Row], [Ticket]],Okey!A:B,2,0),"")</f>
        <v>ok</v>
      </c>
      <c r="I360" s="36" t="s">
        <v>8546</v>
      </c>
      <c r="J360" s="36" t="s">
        <v>18</v>
      </c>
      <c r="K360" s="36"/>
      <c r="L360" s="36"/>
      <c r="M360" s="36" t="s">
        <v>4799</v>
      </c>
    </row>
    <row r="361" spans="1:13" hidden="1">
      <c r="A361" s="42">
        <f t="shared" si="6"/>
        <v>360</v>
      </c>
      <c r="B361" s="36" t="s">
        <v>6</v>
      </c>
      <c r="C361" s="36" t="s">
        <v>8543</v>
      </c>
      <c r="D361" s="9" t="s">
        <v>6531</v>
      </c>
      <c r="E361" s="9" t="s">
        <v>8307</v>
      </c>
      <c r="G361" s="36" t="s">
        <v>15</v>
      </c>
      <c r="H361" s="36" t="str">
        <f>IFERROR(VLOOKUP(Table2[[#This Row], [Ticket]],Okey!A:B,2,0),"")</f>
        <v>ok</v>
      </c>
      <c r="I361" s="36" t="s">
        <v>8546</v>
      </c>
      <c r="J361" s="36" t="s">
        <v>18</v>
      </c>
      <c r="K361" s="36"/>
      <c r="L361" s="36"/>
      <c r="M361" s="36" t="s">
        <v>4799</v>
      </c>
    </row>
    <row r="362" spans="1:13" hidden="1">
      <c r="A362" s="42">
        <f t="shared" si="6"/>
        <v>361</v>
      </c>
      <c r="B362" s="36" t="s">
        <v>6</v>
      </c>
      <c r="C362" s="36" t="s">
        <v>8543</v>
      </c>
      <c r="D362" s="9" t="s">
        <v>6525</v>
      </c>
      <c r="E362" s="9" t="s">
        <v>8308</v>
      </c>
      <c r="G362" s="36" t="s">
        <v>15</v>
      </c>
      <c r="H362" s="36" t="str">
        <f>IFERROR(VLOOKUP(Table2[[#This Row], [Ticket]],Okey!A:B,2,0),"")</f>
        <v>ok</v>
      </c>
      <c r="I362" s="36" t="s">
        <v>8546</v>
      </c>
      <c r="J362" s="36" t="s">
        <v>18</v>
      </c>
      <c r="K362" s="36"/>
      <c r="L362" s="36"/>
      <c r="M362" s="36" t="s">
        <v>4799</v>
      </c>
    </row>
    <row r="363" spans="1:13" hidden="1">
      <c r="A363" s="42">
        <f t="shared" si="6"/>
        <v>362</v>
      </c>
      <c r="B363" s="36" t="s">
        <v>6</v>
      </c>
      <c r="C363" s="36" t="s">
        <v>8543</v>
      </c>
      <c r="D363" s="9" t="s">
        <v>7740</v>
      </c>
      <c r="E363" s="9" t="s">
        <v>8309</v>
      </c>
      <c r="G363" s="36" t="s">
        <v>15</v>
      </c>
      <c r="H363" s="36" t="str">
        <f>IFERROR(VLOOKUP(Table2[[#This Row], [Ticket]],Okey!A:B,2,0),"")</f>
        <v>ok</v>
      </c>
      <c r="I363" s="36" t="s">
        <v>8546</v>
      </c>
      <c r="J363" s="36" t="s">
        <v>18</v>
      </c>
      <c r="K363" s="36"/>
      <c r="L363" s="36"/>
      <c r="M363" s="36" t="s">
        <v>4799</v>
      </c>
    </row>
    <row r="364" spans="1:13" hidden="1">
      <c r="A364" s="42">
        <f t="shared" si="6"/>
        <v>363</v>
      </c>
      <c r="B364" s="36" t="s">
        <v>6</v>
      </c>
      <c r="C364" s="36" t="s">
        <v>8543</v>
      </c>
      <c r="D364" s="9" t="s">
        <v>8310</v>
      </c>
      <c r="E364" s="9" t="s">
        <v>8311</v>
      </c>
      <c r="G364" s="36" t="s">
        <v>15</v>
      </c>
      <c r="H364" s="36" t="str">
        <f>IFERROR(VLOOKUP(Table2[[#This Row], [Ticket]],Okey!A:B,2,0),"")</f>
        <v>ok</v>
      </c>
      <c r="I364" s="36" t="s">
        <v>8546</v>
      </c>
      <c r="J364" s="36" t="s">
        <v>18</v>
      </c>
      <c r="K364" s="36"/>
      <c r="L364" s="36"/>
      <c r="M364" s="36" t="s">
        <v>4799</v>
      </c>
    </row>
    <row r="365" spans="1:13" hidden="1">
      <c r="A365" s="42">
        <f t="shared" si="6"/>
        <v>364</v>
      </c>
      <c r="B365" s="36" t="s">
        <v>6</v>
      </c>
      <c r="C365" s="36" t="s">
        <v>8543</v>
      </c>
      <c r="D365" s="9" t="s">
        <v>1736</v>
      </c>
      <c r="E365" s="9" t="s">
        <v>8312</v>
      </c>
      <c r="G365" s="36" t="s">
        <v>15</v>
      </c>
      <c r="H365" s="36" t="str">
        <f>IFERROR(VLOOKUP(Table2[[#This Row], [Ticket]],Okey!A:B,2,0),"")</f>
        <v>ok</v>
      </c>
      <c r="I365" s="36" t="s">
        <v>8546</v>
      </c>
      <c r="J365" s="36" t="s">
        <v>18</v>
      </c>
      <c r="K365" s="36"/>
      <c r="L365" s="36"/>
      <c r="M365" s="36" t="s">
        <v>4799</v>
      </c>
    </row>
    <row r="366" spans="1:13" hidden="1">
      <c r="A366" s="42">
        <f t="shared" si="6"/>
        <v>365</v>
      </c>
      <c r="B366" s="36" t="s">
        <v>6</v>
      </c>
      <c r="C366" s="36" t="s">
        <v>8543</v>
      </c>
      <c r="D366" s="9" t="s">
        <v>1251</v>
      </c>
      <c r="E366" s="9" t="s">
        <v>8313</v>
      </c>
      <c r="G366" s="36" t="s">
        <v>15</v>
      </c>
      <c r="H366" s="36" t="str">
        <f>IFERROR(VLOOKUP(Table2[[#This Row], [Ticket]],Okey!A:B,2,0),"")</f>
        <v>ok</v>
      </c>
      <c r="I366" s="36" t="s">
        <v>8546</v>
      </c>
      <c r="J366" s="36" t="s">
        <v>18</v>
      </c>
      <c r="K366" s="36"/>
      <c r="L366" s="36"/>
      <c r="M366" s="36" t="s">
        <v>4799</v>
      </c>
    </row>
    <row r="367" spans="1:13" hidden="1">
      <c r="A367" s="42">
        <f t="shared" si="6"/>
        <v>366</v>
      </c>
      <c r="B367" s="36" t="s">
        <v>6</v>
      </c>
      <c r="C367" s="36" t="s">
        <v>8543</v>
      </c>
      <c r="D367" s="9" t="s">
        <v>8314</v>
      </c>
      <c r="E367" s="9" t="s">
        <v>8315</v>
      </c>
      <c r="G367" s="36" t="s">
        <v>15</v>
      </c>
      <c r="H367" s="36" t="str">
        <f>IFERROR(VLOOKUP(Table2[[#This Row], [Ticket]],Okey!A:B,2,0),"")</f>
        <v>ok</v>
      </c>
      <c r="I367" s="36" t="s">
        <v>8546</v>
      </c>
      <c r="J367" s="36" t="s">
        <v>18</v>
      </c>
      <c r="K367" s="36"/>
      <c r="L367" s="36"/>
      <c r="M367" s="36" t="s">
        <v>4799</v>
      </c>
    </row>
    <row r="368" spans="1:13" hidden="1">
      <c r="A368" s="42">
        <f t="shared" si="6"/>
        <v>367</v>
      </c>
      <c r="B368" s="36" t="s">
        <v>6</v>
      </c>
      <c r="C368" s="36" t="s">
        <v>8543</v>
      </c>
      <c r="D368" s="9" t="s">
        <v>8316</v>
      </c>
      <c r="E368" s="9" t="s">
        <v>8317</v>
      </c>
      <c r="G368" s="36" t="s">
        <v>15</v>
      </c>
      <c r="H368" s="36" t="str">
        <f>IFERROR(VLOOKUP(Table2[[#This Row], [Ticket]],Okey!A:B,2,0),"")</f>
        <v>ok</v>
      </c>
      <c r="I368" s="36" t="s">
        <v>8546</v>
      </c>
      <c r="J368" s="36" t="s">
        <v>18</v>
      </c>
      <c r="K368" s="36"/>
      <c r="L368" s="36"/>
      <c r="M368" s="36" t="s">
        <v>4799</v>
      </c>
    </row>
    <row r="369" spans="1:13" hidden="1">
      <c r="A369" s="42">
        <f t="shared" si="6"/>
        <v>368</v>
      </c>
      <c r="B369" s="36" t="s">
        <v>6</v>
      </c>
      <c r="C369" s="36" t="s">
        <v>8543</v>
      </c>
      <c r="D369" s="9" t="s">
        <v>5776</v>
      </c>
      <c r="E369" s="9" t="s">
        <v>8318</v>
      </c>
      <c r="G369" s="36" t="s">
        <v>15</v>
      </c>
      <c r="H369" s="36" t="str">
        <f>IFERROR(VLOOKUP(Table2[[#This Row], [Ticket]],Okey!A:B,2,0),"")</f>
        <v>ok</v>
      </c>
      <c r="I369" s="36" t="s">
        <v>8546</v>
      </c>
      <c r="J369" s="36" t="s">
        <v>18</v>
      </c>
      <c r="K369" s="36"/>
      <c r="L369" s="36"/>
      <c r="M369" s="36" t="s">
        <v>4799</v>
      </c>
    </row>
    <row r="370" spans="1:13" hidden="1">
      <c r="A370" s="42">
        <f t="shared" si="6"/>
        <v>369</v>
      </c>
      <c r="B370" s="36" t="s">
        <v>6</v>
      </c>
      <c r="C370" s="36" t="s">
        <v>8543</v>
      </c>
      <c r="D370" s="9" t="s">
        <v>5524</v>
      </c>
      <c r="E370" s="9" t="s">
        <v>8319</v>
      </c>
      <c r="G370" s="36" t="s">
        <v>15</v>
      </c>
      <c r="H370" s="36" t="str">
        <f>IFERROR(VLOOKUP(Table2[[#This Row], [Ticket]],Okey!A:B,2,0),"")</f>
        <v>ok</v>
      </c>
      <c r="I370" s="36" t="s">
        <v>8546</v>
      </c>
      <c r="J370" s="36" t="s">
        <v>18</v>
      </c>
      <c r="K370" s="36"/>
      <c r="L370" s="36"/>
      <c r="M370" s="36" t="s">
        <v>4799</v>
      </c>
    </row>
    <row r="371" spans="1:13" hidden="1">
      <c r="A371" s="42">
        <f t="shared" si="6"/>
        <v>370</v>
      </c>
      <c r="B371" s="36" t="s">
        <v>6</v>
      </c>
      <c r="C371" s="36" t="s">
        <v>8543</v>
      </c>
      <c r="D371" s="9" t="s">
        <v>5522</v>
      </c>
      <c r="E371" s="9" t="s">
        <v>8320</v>
      </c>
      <c r="G371" s="36" t="s">
        <v>15</v>
      </c>
      <c r="H371" s="36" t="str">
        <f>IFERROR(VLOOKUP(Table2[[#This Row], [Ticket]],Okey!A:B,2,0),"")</f>
        <v>ok</v>
      </c>
      <c r="I371" s="36" t="s">
        <v>8546</v>
      </c>
      <c r="J371" s="36" t="s">
        <v>18</v>
      </c>
      <c r="K371" s="36"/>
      <c r="L371" s="36"/>
      <c r="M371" s="36" t="s">
        <v>4799</v>
      </c>
    </row>
    <row r="372" spans="1:13" hidden="1">
      <c r="A372" s="42">
        <f t="shared" si="6"/>
        <v>371</v>
      </c>
      <c r="B372" s="36" t="s">
        <v>6</v>
      </c>
      <c r="C372" s="36" t="s">
        <v>8543</v>
      </c>
      <c r="D372" s="9" t="s">
        <v>1374</v>
      </c>
      <c r="E372" s="9" t="s">
        <v>8321</v>
      </c>
      <c r="G372" s="36" t="s">
        <v>15</v>
      </c>
      <c r="H372" s="36" t="str">
        <f>IFERROR(VLOOKUP(Table2[[#This Row], [Ticket]],Okey!A:B,2,0),"")</f>
        <v>ok</v>
      </c>
      <c r="I372" s="36" t="s">
        <v>8546</v>
      </c>
      <c r="J372" s="36" t="s">
        <v>18</v>
      </c>
      <c r="K372" s="36"/>
      <c r="L372" s="36"/>
      <c r="M372" s="36" t="s">
        <v>4799</v>
      </c>
    </row>
    <row r="373" spans="1:13" hidden="1">
      <c r="A373" s="42">
        <f t="shared" si="6"/>
        <v>372</v>
      </c>
      <c r="B373" s="36" t="s">
        <v>6</v>
      </c>
      <c r="C373" s="36" t="s">
        <v>8543</v>
      </c>
      <c r="D373" s="9" t="s">
        <v>8322</v>
      </c>
      <c r="E373" s="9" t="s">
        <v>8323</v>
      </c>
      <c r="G373" s="36" t="s">
        <v>15</v>
      </c>
      <c r="H373" s="36" t="str">
        <f>IFERROR(VLOOKUP(Table2[[#This Row], [Ticket]],Okey!A:B,2,0),"")</f>
        <v>ok</v>
      </c>
      <c r="I373" s="36" t="s">
        <v>8546</v>
      </c>
      <c r="J373" s="36" t="s">
        <v>18</v>
      </c>
      <c r="K373" s="36"/>
      <c r="L373" s="36"/>
      <c r="M373" s="36" t="s">
        <v>4799</v>
      </c>
    </row>
    <row r="374" spans="1:13" hidden="1">
      <c r="A374" s="42">
        <f t="shared" si="6"/>
        <v>373</v>
      </c>
      <c r="B374" s="36" t="s">
        <v>6</v>
      </c>
      <c r="C374" s="36" t="s">
        <v>8543</v>
      </c>
      <c r="D374" s="9" t="s">
        <v>1372</v>
      </c>
      <c r="E374" s="9" t="s">
        <v>8324</v>
      </c>
      <c r="G374" s="36" t="s">
        <v>15</v>
      </c>
      <c r="H374" s="36" t="str">
        <f>IFERROR(VLOOKUP(Table2[[#This Row], [Ticket]],Okey!A:B,2,0),"")</f>
        <v>ok</v>
      </c>
      <c r="I374" s="36" t="s">
        <v>8546</v>
      </c>
      <c r="J374" s="36" t="s">
        <v>18</v>
      </c>
      <c r="K374" s="36"/>
      <c r="L374" s="36"/>
      <c r="M374" s="36" t="s">
        <v>4799</v>
      </c>
    </row>
    <row r="375" spans="1:13" hidden="1">
      <c r="A375" s="42">
        <f t="shared" si="6"/>
        <v>374</v>
      </c>
      <c r="B375" s="36" t="s">
        <v>6</v>
      </c>
      <c r="C375" s="36" t="s">
        <v>8543</v>
      </c>
      <c r="D375" s="9" t="s">
        <v>8325</v>
      </c>
      <c r="E375" s="9" t="s">
        <v>8326</v>
      </c>
      <c r="G375" s="36" t="s">
        <v>15</v>
      </c>
      <c r="H375" s="36" t="str">
        <f>IFERROR(VLOOKUP(Table2[[#This Row], [Ticket]],Okey!A:B,2,0),"")</f>
        <v>ok</v>
      </c>
      <c r="I375" s="36" t="s">
        <v>8546</v>
      </c>
      <c r="J375" s="36" t="s">
        <v>18</v>
      </c>
      <c r="K375" s="36"/>
      <c r="L375" s="36"/>
      <c r="M375" s="36" t="s">
        <v>4799</v>
      </c>
    </row>
    <row r="376" spans="1:13" hidden="1">
      <c r="A376" s="42">
        <f t="shared" si="6"/>
        <v>375</v>
      </c>
      <c r="B376" s="36" t="s">
        <v>6</v>
      </c>
      <c r="C376" s="36" t="s">
        <v>8543</v>
      </c>
      <c r="D376" s="9" t="s">
        <v>1433</v>
      </c>
      <c r="E376" s="9" t="s">
        <v>8327</v>
      </c>
      <c r="G376" s="36" t="s">
        <v>15</v>
      </c>
      <c r="H376" s="36" t="str">
        <f>IFERROR(VLOOKUP(Table2[[#This Row], [Ticket]],Okey!A:B,2,0),"")</f>
        <v>ok</v>
      </c>
      <c r="I376" s="36" t="s">
        <v>8546</v>
      </c>
      <c r="J376" s="36" t="s">
        <v>18</v>
      </c>
      <c r="K376" s="36"/>
      <c r="L376" s="36"/>
      <c r="M376" s="36" t="s">
        <v>4799</v>
      </c>
    </row>
    <row r="377" spans="1:13" hidden="1">
      <c r="A377" s="42">
        <f t="shared" si="6"/>
        <v>376</v>
      </c>
      <c r="B377" s="36" t="s">
        <v>6</v>
      </c>
      <c r="C377" s="36" t="s">
        <v>8543</v>
      </c>
      <c r="D377" s="9" t="s">
        <v>8328</v>
      </c>
      <c r="E377" s="9" t="s">
        <v>8329</v>
      </c>
      <c r="G377" s="36" t="s">
        <v>15</v>
      </c>
      <c r="H377" s="36" t="str">
        <f>IFERROR(VLOOKUP(Table2[[#This Row], [Ticket]],Okey!A:B,2,0),"")</f>
        <v>ok</v>
      </c>
      <c r="I377" s="36" t="s">
        <v>8546</v>
      </c>
      <c r="J377" s="36" t="s">
        <v>18</v>
      </c>
      <c r="K377" s="36"/>
      <c r="L377" s="36"/>
      <c r="M377" s="36" t="s">
        <v>4799</v>
      </c>
    </row>
    <row r="378" spans="1:13" hidden="1">
      <c r="A378" s="42">
        <f t="shared" si="6"/>
        <v>377</v>
      </c>
      <c r="B378" s="36" t="s">
        <v>6</v>
      </c>
      <c r="C378" s="36" t="s">
        <v>8543</v>
      </c>
      <c r="D378" s="9" t="s">
        <v>8330</v>
      </c>
      <c r="E378" s="9" t="s">
        <v>8331</v>
      </c>
      <c r="G378" s="36" t="s">
        <v>15</v>
      </c>
      <c r="H378" s="36" t="str">
        <f>IFERROR(VLOOKUP(Table2[[#This Row], [Ticket]],Okey!A:B,2,0),"")</f>
        <v>ok</v>
      </c>
      <c r="I378" s="36" t="s">
        <v>8546</v>
      </c>
      <c r="J378" s="36" t="s">
        <v>18</v>
      </c>
      <c r="K378" s="36"/>
      <c r="L378" s="36"/>
      <c r="M378" s="36" t="s">
        <v>4799</v>
      </c>
    </row>
    <row r="379" spans="1:13" hidden="1">
      <c r="A379" s="42">
        <f t="shared" si="6"/>
        <v>378</v>
      </c>
      <c r="B379" s="36" t="s">
        <v>6</v>
      </c>
      <c r="C379" s="36" t="s">
        <v>8543</v>
      </c>
      <c r="D379" s="9" t="s">
        <v>8332</v>
      </c>
      <c r="E379" s="9" t="s">
        <v>8333</v>
      </c>
      <c r="G379" s="36" t="s">
        <v>15</v>
      </c>
      <c r="H379" s="36" t="str">
        <f>IFERROR(VLOOKUP(Table2[[#This Row], [Ticket]],Okey!A:B,2,0),"")</f>
        <v>ok</v>
      </c>
      <c r="I379" s="36" t="s">
        <v>8546</v>
      </c>
      <c r="J379" s="36" t="s">
        <v>18</v>
      </c>
      <c r="K379" s="36"/>
      <c r="L379" s="36"/>
      <c r="M379" s="36" t="s">
        <v>4799</v>
      </c>
    </row>
    <row r="380" spans="1:13" hidden="1">
      <c r="A380" s="42">
        <f t="shared" si="6"/>
        <v>379</v>
      </c>
      <c r="B380" s="36" t="s">
        <v>6</v>
      </c>
      <c r="C380" s="36" t="s">
        <v>8543</v>
      </c>
      <c r="D380" s="9" t="s">
        <v>8334</v>
      </c>
      <c r="E380" s="9" t="s">
        <v>8335</v>
      </c>
      <c r="G380" s="36" t="s">
        <v>15</v>
      </c>
      <c r="H380" s="36" t="str">
        <f>IFERROR(VLOOKUP(Table2[[#This Row], [Ticket]],Okey!A:B,2,0),"")</f>
        <v>ok</v>
      </c>
      <c r="I380" s="36" t="s">
        <v>8546</v>
      </c>
      <c r="J380" s="36" t="s">
        <v>18</v>
      </c>
      <c r="K380" s="36"/>
      <c r="L380" s="36"/>
      <c r="M380" s="36" t="s">
        <v>4799</v>
      </c>
    </row>
    <row r="381" spans="1:13" hidden="1">
      <c r="A381" s="42">
        <f t="shared" si="6"/>
        <v>380</v>
      </c>
      <c r="B381" s="36" t="s">
        <v>6</v>
      </c>
      <c r="C381" s="36" t="s">
        <v>8543</v>
      </c>
      <c r="D381" s="9" t="s">
        <v>8336</v>
      </c>
      <c r="E381" s="9" t="s">
        <v>8337</v>
      </c>
      <c r="G381" s="36" t="s">
        <v>15</v>
      </c>
      <c r="H381" s="36" t="str">
        <f>IFERROR(VLOOKUP(Table2[[#This Row], [Ticket]],Okey!A:B,2,0),"")</f>
        <v>ok</v>
      </c>
      <c r="I381" s="36" t="s">
        <v>8546</v>
      </c>
      <c r="J381" s="36" t="s">
        <v>18</v>
      </c>
      <c r="K381" s="36"/>
      <c r="L381" s="36"/>
      <c r="M381" s="36" t="s">
        <v>4799</v>
      </c>
    </row>
    <row r="382" spans="1:13" hidden="1">
      <c r="A382" s="42">
        <f t="shared" si="6"/>
        <v>381</v>
      </c>
      <c r="B382" s="36" t="s">
        <v>6</v>
      </c>
      <c r="C382" s="36" t="s">
        <v>8543</v>
      </c>
      <c r="D382" s="9" t="s">
        <v>5537</v>
      </c>
      <c r="E382" s="9" t="s">
        <v>8338</v>
      </c>
      <c r="G382" s="36" t="s">
        <v>15</v>
      </c>
      <c r="H382" s="36" t="str">
        <f>IFERROR(VLOOKUP(Table2[[#This Row], [Ticket]],Okey!A:B,2,0),"")</f>
        <v>ok</v>
      </c>
      <c r="I382" s="36" t="s">
        <v>8546</v>
      </c>
      <c r="J382" s="36" t="s">
        <v>18</v>
      </c>
      <c r="K382" s="36"/>
      <c r="L382" s="36"/>
      <c r="M382" s="36" t="s">
        <v>4799</v>
      </c>
    </row>
    <row r="383" spans="1:13" hidden="1">
      <c r="A383" s="42">
        <f t="shared" si="6"/>
        <v>382</v>
      </c>
      <c r="B383" s="36" t="s">
        <v>6</v>
      </c>
      <c r="C383" s="36" t="s">
        <v>8543</v>
      </c>
      <c r="D383" s="9" t="s">
        <v>8339</v>
      </c>
      <c r="E383" s="9" t="s">
        <v>8340</v>
      </c>
      <c r="G383" s="36" t="s">
        <v>15</v>
      </c>
      <c r="H383" s="36" t="str">
        <f>IFERROR(VLOOKUP(Table2[[#This Row], [Ticket]],Okey!A:B,2,0),"")</f>
        <v>ok</v>
      </c>
      <c r="I383" s="36" t="s">
        <v>8546</v>
      </c>
      <c r="J383" s="36" t="s">
        <v>18</v>
      </c>
      <c r="K383" s="36"/>
      <c r="L383" s="36"/>
      <c r="M383" s="36" t="s">
        <v>4799</v>
      </c>
    </row>
    <row r="384" spans="1:13" hidden="1">
      <c r="A384" s="42">
        <f t="shared" si="6"/>
        <v>383</v>
      </c>
      <c r="B384" s="36" t="s">
        <v>6</v>
      </c>
      <c r="C384" s="36" t="s">
        <v>8543</v>
      </c>
      <c r="D384" s="9" t="s">
        <v>8341</v>
      </c>
      <c r="E384" s="9" t="s">
        <v>8342</v>
      </c>
      <c r="G384" s="36" t="s">
        <v>15</v>
      </c>
      <c r="H384" s="36" t="str">
        <f>IFERROR(VLOOKUP(Table2[[#This Row], [Ticket]],Okey!A:B,2,0),"")</f>
        <v>ok</v>
      </c>
      <c r="I384" s="36" t="s">
        <v>8546</v>
      </c>
      <c r="J384" s="36" t="s">
        <v>18</v>
      </c>
      <c r="K384" s="36"/>
      <c r="L384" s="36"/>
      <c r="M384" s="36" t="s">
        <v>4799</v>
      </c>
    </row>
    <row r="385" spans="1:13" hidden="1">
      <c r="A385" s="42">
        <f t="shared" si="6"/>
        <v>384</v>
      </c>
      <c r="B385" s="36" t="s">
        <v>6</v>
      </c>
      <c r="C385" s="36" t="s">
        <v>8543</v>
      </c>
      <c r="D385" s="9" t="s">
        <v>1842</v>
      </c>
      <c r="E385" s="9" t="s">
        <v>8343</v>
      </c>
      <c r="G385" s="36" t="s">
        <v>15</v>
      </c>
      <c r="H385" s="36" t="str">
        <f>IFERROR(VLOOKUP(Table2[[#This Row], [Ticket]],Okey!A:B,2,0),"")</f>
        <v>ok</v>
      </c>
      <c r="I385" s="36" t="s">
        <v>8546</v>
      </c>
      <c r="J385" s="36" t="s">
        <v>18</v>
      </c>
      <c r="K385" s="36"/>
      <c r="L385" s="36"/>
      <c r="M385" s="36" t="s">
        <v>4799</v>
      </c>
    </row>
    <row r="386" spans="1:13" hidden="1">
      <c r="A386" s="42">
        <f t="shared" si="6"/>
        <v>385</v>
      </c>
      <c r="B386" s="36" t="s">
        <v>6</v>
      </c>
      <c r="C386" s="36" t="s">
        <v>8543</v>
      </c>
      <c r="D386" s="9" t="s">
        <v>8344</v>
      </c>
      <c r="E386" s="9" t="s">
        <v>8345</v>
      </c>
      <c r="G386" s="36" t="s">
        <v>15</v>
      </c>
      <c r="H386" s="36" t="str">
        <f>IFERROR(VLOOKUP(Table2[[#This Row], [Ticket]],Okey!A:B,2,0),"")</f>
        <v>ok</v>
      </c>
      <c r="I386" s="36" t="s">
        <v>8546</v>
      </c>
      <c r="J386" s="36" t="s">
        <v>18</v>
      </c>
      <c r="K386" s="36"/>
      <c r="L386" s="36"/>
      <c r="M386" s="36" t="s">
        <v>4799</v>
      </c>
    </row>
    <row r="387" spans="1:13" hidden="1">
      <c r="A387" s="42">
        <f t="shared" si="6"/>
        <v>386</v>
      </c>
      <c r="B387" s="36" t="s">
        <v>6</v>
      </c>
      <c r="C387" s="36" t="s">
        <v>8543</v>
      </c>
      <c r="D387" s="9" t="s">
        <v>8346</v>
      </c>
      <c r="E387" s="9" t="s">
        <v>8347</v>
      </c>
      <c r="G387" s="36" t="s">
        <v>15</v>
      </c>
      <c r="H387" s="36" t="str">
        <f>IFERROR(VLOOKUP(Table2[[#This Row], [Ticket]],Okey!A:B,2,0),"")</f>
        <v>ok</v>
      </c>
      <c r="I387" s="36" t="s">
        <v>8546</v>
      </c>
      <c r="J387" s="36" t="s">
        <v>18</v>
      </c>
      <c r="K387" s="36"/>
      <c r="L387" s="36"/>
      <c r="M387" s="36" t="s">
        <v>4799</v>
      </c>
    </row>
    <row r="388" spans="1:13" hidden="1">
      <c r="A388" s="42">
        <f t="shared" si="6"/>
        <v>387</v>
      </c>
      <c r="B388" s="36" t="s">
        <v>6</v>
      </c>
      <c r="C388" s="36" t="s">
        <v>8543</v>
      </c>
      <c r="D388" s="9" t="s">
        <v>8348</v>
      </c>
      <c r="E388" s="9" t="s">
        <v>8349</v>
      </c>
      <c r="G388" s="36" t="s">
        <v>15</v>
      </c>
      <c r="H388" s="36" t="str">
        <f>IFERROR(VLOOKUP(Table2[[#This Row], [Ticket]],Okey!A:B,2,0),"")</f>
        <v>ok</v>
      </c>
      <c r="I388" s="36" t="s">
        <v>8546</v>
      </c>
      <c r="J388" s="36" t="s">
        <v>18</v>
      </c>
      <c r="K388" s="36"/>
      <c r="L388" s="36"/>
      <c r="M388" s="36" t="s">
        <v>4799</v>
      </c>
    </row>
    <row r="389" spans="1:13" hidden="1">
      <c r="A389" s="42">
        <f t="shared" si="6"/>
        <v>388</v>
      </c>
      <c r="B389" s="36" t="s">
        <v>6</v>
      </c>
      <c r="C389" s="36" t="s">
        <v>8543</v>
      </c>
      <c r="D389" s="9" t="s">
        <v>8350</v>
      </c>
      <c r="E389" s="9" t="s">
        <v>8351</v>
      </c>
      <c r="G389" s="36" t="s">
        <v>15</v>
      </c>
      <c r="H389" s="36" t="str">
        <f>IFERROR(VLOOKUP(Table2[[#This Row], [Ticket]],Okey!A:B,2,0),"")</f>
        <v>ok</v>
      </c>
      <c r="I389" s="36" t="s">
        <v>8546</v>
      </c>
      <c r="J389" s="36" t="s">
        <v>18</v>
      </c>
      <c r="K389" s="36"/>
      <c r="L389" s="36"/>
      <c r="M389" s="36" t="s">
        <v>4799</v>
      </c>
    </row>
    <row r="390" spans="1:13" hidden="1">
      <c r="A390" s="42">
        <f t="shared" si="6"/>
        <v>389</v>
      </c>
      <c r="B390" s="36" t="s">
        <v>6</v>
      </c>
      <c r="C390" s="36" t="s">
        <v>8543</v>
      </c>
      <c r="D390" s="9" t="s">
        <v>1431</v>
      </c>
      <c r="E390" s="9" t="s">
        <v>8352</v>
      </c>
      <c r="G390" s="36" t="s">
        <v>15</v>
      </c>
      <c r="H390" s="36" t="str">
        <f>IFERROR(VLOOKUP(Table2[[#This Row], [Ticket]],Okey!A:B,2,0),"")</f>
        <v>ok</v>
      </c>
      <c r="I390" s="36" t="s">
        <v>8546</v>
      </c>
      <c r="J390" s="36" t="s">
        <v>18</v>
      </c>
      <c r="K390" s="36"/>
      <c r="L390" s="36"/>
      <c r="M390" s="36" t="s">
        <v>4799</v>
      </c>
    </row>
    <row r="391" spans="1:13" hidden="1">
      <c r="A391" s="42">
        <f t="shared" si="6"/>
        <v>390</v>
      </c>
      <c r="B391" s="36" t="s">
        <v>6</v>
      </c>
      <c r="C391" s="36" t="s">
        <v>8543</v>
      </c>
      <c r="D391" s="9" t="s">
        <v>8353</v>
      </c>
      <c r="E391" s="9" t="s">
        <v>8354</v>
      </c>
      <c r="G391" s="36" t="s">
        <v>15</v>
      </c>
      <c r="H391" s="36" t="str">
        <f>IFERROR(VLOOKUP(Table2[[#This Row], [Ticket]],Okey!A:B,2,0),"")</f>
        <v>ok</v>
      </c>
      <c r="I391" s="36" t="s">
        <v>8546</v>
      </c>
      <c r="J391" s="36" t="s">
        <v>18</v>
      </c>
      <c r="K391" s="36"/>
      <c r="L391" s="36"/>
      <c r="M391" s="36" t="s">
        <v>4799</v>
      </c>
    </row>
    <row r="392" spans="1:13" hidden="1">
      <c r="A392" s="42">
        <f t="shared" si="6"/>
        <v>391</v>
      </c>
      <c r="B392" s="36" t="s">
        <v>6</v>
      </c>
      <c r="C392" s="36" t="s">
        <v>8543</v>
      </c>
      <c r="D392" s="9" t="s">
        <v>8355</v>
      </c>
      <c r="E392" s="9" t="s">
        <v>8356</v>
      </c>
      <c r="G392" s="36" t="s">
        <v>15</v>
      </c>
      <c r="H392" s="36" t="str">
        <f>IFERROR(VLOOKUP(Table2[[#This Row], [Ticket]],Okey!A:B,2,0),"")</f>
        <v>ok</v>
      </c>
      <c r="I392" s="36" t="s">
        <v>8546</v>
      </c>
      <c r="J392" s="36" t="s">
        <v>18</v>
      </c>
      <c r="K392" s="36"/>
      <c r="L392" s="36"/>
      <c r="M392" s="36" t="s">
        <v>4799</v>
      </c>
    </row>
    <row r="393" spans="1:13" hidden="1">
      <c r="A393" s="42">
        <f t="shared" si="6"/>
        <v>392</v>
      </c>
      <c r="B393" s="36" t="s">
        <v>6</v>
      </c>
      <c r="C393" s="36" t="s">
        <v>8543</v>
      </c>
      <c r="D393" s="9" t="s">
        <v>1395</v>
      </c>
      <c r="E393" s="9" t="s">
        <v>8357</v>
      </c>
      <c r="G393" s="36" t="s">
        <v>15</v>
      </c>
      <c r="H393" s="36" t="str">
        <f>IFERROR(VLOOKUP(Table2[[#This Row], [Ticket]],Okey!A:B,2,0),"")</f>
        <v>ok</v>
      </c>
      <c r="I393" s="36" t="s">
        <v>8546</v>
      </c>
      <c r="J393" s="36" t="s">
        <v>18</v>
      </c>
      <c r="K393" s="36"/>
      <c r="L393" s="36"/>
      <c r="M393" s="36" t="s">
        <v>4799</v>
      </c>
    </row>
    <row r="394" spans="1:13" hidden="1">
      <c r="A394" s="42">
        <f t="shared" si="6"/>
        <v>393</v>
      </c>
      <c r="B394" s="36" t="s">
        <v>6</v>
      </c>
      <c r="C394" s="36" t="s">
        <v>8543</v>
      </c>
      <c r="D394" s="9" t="s">
        <v>1844</v>
      </c>
      <c r="E394" s="9" t="s">
        <v>8358</v>
      </c>
      <c r="G394" s="36" t="s">
        <v>15</v>
      </c>
      <c r="H394" s="36" t="str">
        <f>IFERROR(VLOOKUP(Table2[[#This Row], [Ticket]],Okey!A:B,2,0),"")</f>
        <v>ok</v>
      </c>
      <c r="I394" s="36" t="s">
        <v>8546</v>
      </c>
      <c r="J394" s="36" t="s">
        <v>18</v>
      </c>
      <c r="K394" s="36"/>
      <c r="L394" s="36"/>
      <c r="M394" s="36" t="s">
        <v>4799</v>
      </c>
    </row>
    <row r="395" spans="1:13" hidden="1">
      <c r="A395" s="42">
        <f t="shared" si="6"/>
        <v>394</v>
      </c>
      <c r="B395" s="36" t="s">
        <v>6</v>
      </c>
      <c r="C395" s="36" t="s">
        <v>8543</v>
      </c>
      <c r="D395" s="9" t="s">
        <v>1846</v>
      </c>
      <c r="E395" s="9" t="s">
        <v>8359</v>
      </c>
      <c r="G395" s="36" t="s">
        <v>15</v>
      </c>
      <c r="H395" s="36" t="str">
        <f>IFERROR(VLOOKUP(Table2[[#This Row], [Ticket]],Okey!A:B,2,0),"")</f>
        <v>ok</v>
      </c>
      <c r="I395" s="36" t="s">
        <v>8546</v>
      </c>
      <c r="J395" s="36" t="s">
        <v>18</v>
      </c>
      <c r="K395" s="36"/>
      <c r="L395" s="36"/>
      <c r="M395" s="36" t="s">
        <v>4799</v>
      </c>
    </row>
    <row r="396" spans="1:13" hidden="1">
      <c r="A396" s="42">
        <f t="shared" si="6"/>
        <v>395</v>
      </c>
      <c r="B396" s="36" t="s">
        <v>6</v>
      </c>
      <c r="C396" s="36" t="s">
        <v>8543</v>
      </c>
      <c r="D396" s="9" t="s">
        <v>1432</v>
      </c>
      <c r="E396" s="9" t="s">
        <v>8360</v>
      </c>
      <c r="G396" s="36" t="s">
        <v>15</v>
      </c>
      <c r="H396" s="36" t="str">
        <f>IFERROR(VLOOKUP(Table2[[#This Row], [Ticket]],Okey!A:B,2,0),"")</f>
        <v>ok</v>
      </c>
      <c r="I396" s="36" t="s">
        <v>8546</v>
      </c>
      <c r="J396" s="36" t="s">
        <v>18</v>
      </c>
      <c r="K396" s="36"/>
      <c r="L396" s="36"/>
      <c r="M396" s="36" t="s">
        <v>4799</v>
      </c>
    </row>
    <row r="397" spans="1:13" hidden="1">
      <c r="A397" s="42">
        <f t="shared" si="6"/>
        <v>396</v>
      </c>
      <c r="B397" s="36" t="s">
        <v>6</v>
      </c>
      <c r="C397" s="36" t="s">
        <v>8543</v>
      </c>
      <c r="D397" s="9" t="s">
        <v>5788</v>
      </c>
      <c r="E397" s="9" t="s">
        <v>8361</v>
      </c>
      <c r="G397" s="36" t="s">
        <v>15</v>
      </c>
      <c r="H397" s="36" t="str">
        <f>IFERROR(VLOOKUP(Table2[[#This Row], [Ticket]],Okey!A:B,2,0),"")</f>
        <v>ok</v>
      </c>
      <c r="I397" s="36" t="s">
        <v>8546</v>
      </c>
      <c r="J397" s="36" t="s">
        <v>18</v>
      </c>
      <c r="K397" s="36"/>
      <c r="L397" s="36"/>
      <c r="M397" s="36" t="s">
        <v>4799</v>
      </c>
    </row>
    <row r="398" spans="1:13" hidden="1">
      <c r="A398" s="42">
        <f t="shared" si="6"/>
        <v>397</v>
      </c>
      <c r="B398" s="36" t="s">
        <v>6</v>
      </c>
      <c r="C398" s="36" t="s">
        <v>8543</v>
      </c>
      <c r="D398" s="9" t="s">
        <v>8362</v>
      </c>
      <c r="E398" s="9" t="s">
        <v>8363</v>
      </c>
      <c r="G398" s="36" t="s">
        <v>15</v>
      </c>
      <c r="H398" s="36" t="str">
        <f>IFERROR(VLOOKUP(Table2[[#This Row], [Ticket]],Okey!A:B,2,0),"")</f>
        <v>ok</v>
      </c>
      <c r="I398" s="36" t="s">
        <v>8546</v>
      </c>
      <c r="J398" s="36" t="s">
        <v>18</v>
      </c>
      <c r="K398" s="36"/>
      <c r="L398" s="36"/>
      <c r="M398" s="36" t="s">
        <v>4799</v>
      </c>
    </row>
    <row r="399" spans="1:13" hidden="1">
      <c r="A399" s="42">
        <f t="shared" si="6"/>
        <v>398</v>
      </c>
      <c r="B399" s="36" t="s">
        <v>6</v>
      </c>
      <c r="C399" s="36" t="s">
        <v>8543</v>
      </c>
      <c r="D399" s="9" t="s">
        <v>5787</v>
      </c>
      <c r="E399" s="9" t="s">
        <v>8364</v>
      </c>
      <c r="G399" s="36" t="s">
        <v>15</v>
      </c>
      <c r="H399" s="36" t="str">
        <f>IFERROR(VLOOKUP(Table2[[#This Row], [Ticket]],Okey!A:B,2,0),"")</f>
        <v>ok</v>
      </c>
      <c r="I399" s="36" t="s">
        <v>8546</v>
      </c>
      <c r="J399" s="36" t="s">
        <v>18</v>
      </c>
      <c r="K399" s="36"/>
      <c r="L399" s="36"/>
      <c r="M399" s="36" t="s">
        <v>4799</v>
      </c>
    </row>
    <row r="400" spans="1:13" hidden="1">
      <c r="A400" s="42">
        <f t="shared" si="6"/>
        <v>399</v>
      </c>
      <c r="B400" s="36" t="s">
        <v>6</v>
      </c>
      <c r="C400" s="36" t="s">
        <v>8543</v>
      </c>
      <c r="D400" s="9" t="s">
        <v>8365</v>
      </c>
      <c r="E400" s="9" t="s">
        <v>8366</v>
      </c>
      <c r="G400" s="36" t="s">
        <v>15</v>
      </c>
      <c r="H400" s="36" t="str">
        <f>IFERROR(VLOOKUP(Table2[[#This Row], [Ticket]],Okey!A:B,2,0),"")</f>
        <v>ok</v>
      </c>
      <c r="I400" s="36" t="s">
        <v>8546</v>
      </c>
      <c r="J400" s="36" t="s">
        <v>18</v>
      </c>
      <c r="K400" s="36"/>
      <c r="L400" s="36"/>
      <c r="M400" s="36" t="s">
        <v>4799</v>
      </c>
    </row>
    <row r="401" spans="1:13" hidden="1">
      <c r="A401" s="42">
        <f t="shared" si="6"/>
        <v>400</v>
      </c>
      <c r="B401" s="36" t="s">
        <v>6</v>
      </c>
      <c r="C401" s="36" t="s">
        <v>8543</v>
      </c>
      <c r="D401" s="9" t="s">
        <v>8367</v>
      </c>
      <c r="E401" s="9" t="s">
        <v>8368</v>
      </c>
      <c r="G401" s="36" t="s">
        <v>15</v>
      </c>
      <c r="H401" s="36" t="str">
        <f>IFERROR(VLOOKUP(Table2[[#This Row], [Ticket]],Okey!A:B,2,0),"")</f>
        <v>ok</v>
      </c>
      <c r="I401" s="36" t="s">
        <v>8546</v>
      </c>
      <c r="J401" s="36" t="s">
        <v>18</v>
      </c>
      <c r="K401" s="36"/>
      <c r="L401" s="36"/>
      <c r="M401" s="36" t="s">
        <v>4799</v>
      </c>
    </row>
    <row r="402" spans="1:13" hidden="1">
      <c r="A402" s="42">
        <f t="shared" si="6"/>
        <v>401</v>
      </c>
      <c r="B402" s="36" t="s">
        <v>6</v>
      </c>
      <c r="C402" s="36" t="s">
        <v>8543</v>
      </c>
      <c r="D402" s="9" t="s">
        <v>8369</v>
      </c>
      <c r="E402" s="9" t="s">
        <v>8370</v>
      </c>
      <c r="G402" s="36" t="s">
        <v>15</v>
      </c>
      <c r="H402" s="36" t="str">
        <f>IFERROR(VLOOKUP(Table2[[#This Row], [Ticket]],Okey!A:B,2,0),"")</f>
        <v>ok</v>
      </c>
      <c r="I402" s="36" t="s">
        <v>8546</v>
      </c>
      <c r="J402" s="36" t="s">
        <v>18</v>
      </c>
      <c r="K402" s="36"/>
      <c r="L402" s="36"/>
      <c r="M402" s="36" t="s">
        <v>4799</v>
      </c>
    </row>
    <row r="403" spans="1:13" hidden="1">
      <c r="A403" s="42">
        <f t="shared" si="6"/>
        <v>402</v>
      </c>
      <c r="B403" s="36" t="s">
        <v>6</v>
      </c>
      <c r="C403" s="36" t="s">
        <v>8543</v>
      </c>
      <c r="D403" s="9" t="s">
        <v>8371</v>
      </c>
      <c r="E403" s="9" t="s">
        <v>8372</v>
      </c>
      <c r="G403" s="36" t="s">
        <v>15</v>
      </c>
      <c r="H403" s="36" t="str">
        <f>IFERROR(VLOOKUP(Table2[[#This Row], [Ticket]],Okey!A:B,2,0),"")</f>
        <v>ok</v>
      </c>
      <c r="I403" s="36" t="s">
        <v>8546</v>
      </c>
      <c r="J403" s="36" t="s">
        <v>18</v>
      </c>
      <c r="K403" s="36"/>
      <c r="L403" s="36"/>
      <c r="M403" s="36" t="s">
        <v>4799</v>
      </c>
    </row>
    <row r="404" spans="1:13" hidden="1">
      <c r="A404" s="42">
        <f t="shared" ref="A404:A467" si="7">1+A403</f>
        <v>403</v>
      </c>
      <c r="B404" s="36" t="s">
        <v>6</v>
      </c>
      <c r="C404" s="36" t="s">
        <v>8543</v>
      </c>
      <c r="D404" s="9" t="s">
        <v>8373</v>
      </c>
      <c r="E404" s="9" t="s">
        <v>8374</v>
      </c>
      <c r="G404" s="36" t="s">
        <v>15</v>
      </c>
      <c r="H404" s="36" t="str">
        <f>IFERROR(VLOOKUP(Table2[[#This Row], [Ticket]],Okey!A:B,2,0),"")</f>
        <v>ok</v>
      </c>
      <c r="I404" s="36" t="s">
        <v>8546</v>
      </c>
      <c r="J404" s="36" t="s">
        <v>18</v>
      </c>
      <c r="K404" s="36"/>
      <c r="L404" s="36"/>
      <c r="M404" s="36" t="s">
        <v>4799</v>
      </c>
    </row>
    <row r="405" spans="1:13" hidden="1">
      <c r="A405" s="42">
        <f t="shared" si="7"/>
        <v>404</v>
      </c>
      <c r="B405" s="36" t="s">
        <v>6</v>
      </c>
      <c r="C405" s="36" t="s">
        <v>8543</v>
      </c>
      <c r="D405" s="9" t="s">
        <v>8375</v>
      </c>
      <c r="E405" s="9" t="s">
        <v>8376</v>
      </c>
      <c r="G405" s="36" t="s">
        <v>15</v>
      </c>
      <c r="H405" s="36" t="str">
        <f>IFERROR(VLOOKUP(Table2[[#This Row], [Ticket]],Okey!A:B,2,0),"")</f>
        <v>ok</v>
      </c>
      <c r="I405" s="36" t="s">
        <v>8546</v>
      </c>
      <c r="J405" s="36" t="s">
        <v>18</v>
      </c>
      <c r="K405" s="36"/>
      <c r="L405" s="36"/>
      <c r="M405" s="36" t="s">
        <v>4799</v>
      </c>
    </row>
    <row r="406" spans="1:13" hidden="1">
      <c r="A406" s="42">
        <f t="shared" si="7"/>
        <v>405</v>
      </c>
      <c r="B406" s="36" t="s">
        <v>6</v>
      </c>
      <c r="C406" s="36" t="s">
        <v>8543</v>
      </c>
      <c r="D406" s="9" t="s">
        <v>8377</v>
      </c>
      <c r="E406" s="9" t="s">
        <v>8378</v>
      </c>
      <c r="G406" s="36" t="s">
        <v>15</v>
      </c>
      <c r="H406" s="36" t="str">
        <f>IFERROR(VLOOKUP(Table2[[#This Row], [Ticket]],Okey!A:B,2,0),"")</f>
        <v>ok</v>
      </c>
      <c r="I406" s="36" t="s">
        <v>8546</v>
      </c>
      <c r="J406" s="36" t="s">
        <v>18</v>
      </c>
      <c r="K406" s="36"/>
      <c r="L406" s="36"/>
      <c r="M406" s="36" t="s">
        <v>4799</v>
      </c>
    </row>
    <row r="407" spans="1:13" hidden="1">
      <c r="A407" s="42">
        <f t="shared" si="7"/>
        <v>406</v>
      </c>
      <c r="B407" s="36" t="s">
        <v>6</v>
      </c>
      <c r="C407" s="36" t="s">
        <v>8543</v>
      </c>
      <c r="D407" s="9" t="s">
        <v>8379</v>
      </c>
      <c r="E407" s="9" t="s">
        <v>8380</v>
      </c>
      <c r="G407" s="36" t="s">
        <v>15</v>
      </c>
      <c r="H407" s="36" t="str">
        <f>IFERROR(VLOOKUP(Table2[[#This Row], [Ticket]],Okey!A:B,2,0),"")</f>
        <v>ok</v>
      </c>
      <c r="I407" s="36" t="s">
        <v>8546</v>
      </c>
      <c r="J407" s="36" t="s">
        <v>18</v>
      </c>
      <c r="K407" s="36"/>
      <c r="L407" s="36"/>
      <c r="M407" s="36" t="s">
        <v>4799</v>
      </c>
    </row>
    <row r="408" spans="1:13" hidden="1">
      <c r="A408" s="42">
        <f t="shared" si="7"/>
        <v>407</v>
      </c>
      <c r="B408" s="36" t="s">
        <v>6</v>
      </c>
      <c r="C408" s="36" t="s">
        <v>8543</v>
      </c>
      <c r="D408" s="9" t="s">
        <v>8257</v>
      </c>
      <c r="E408" s="9" t="s">
        <v>8381</v>
      </c>
      <c r="G408" s="36" t="s">
        <v>15</v>
      </c>
      <c r="H408" s="36" t="str">
        <f>IFERROR(VLOOKUP(Table2[[#This Row], [Ticket]],Okey!A:B,2,0),"")</f>
        <v>ok</v>
      </c>
      <c r="I408" s="36" t="s">
        <v>8546</v>
      </c>
      <c r="J408" s="36" t="s">
        <v>18</v>
      </c>
      <c r="K408" s="36"/>
      <c r="L408" s="36"/>
      <c r="M408" s="36" t="s">
        <v>4799</v>
      </c>
    </row>
    <row r="409" spans="1:13" hidden="1">
      <c r="A409" s="42">
        <f t="shared" si="7"/>
        <v>408</v>
      </c>
      <c r="B409" s="36" t="s">
        <v>6</v>
      </c>
      <c r="C409" s="36" t="s">
        <v>8543</v>
      </c>
      <c r="D409" s="9" t="s">
        <v>8382</v>
      </c>
      <c r="E409" s="9" t="s">
        <v>8383</v>
      </c>
      <c r="G409" s="36" t="s">
        <v>15</v>
      </c>
      <c r="H409" s="36" t="str">
        <f>IFERROR(VLOOKUP(Table2[[#This Row], [Ticket]],Okey!A:B,2,0),"")</f>
        <v>ok</v>
      </c>
      <c r="I409" s="36" t="s">
        <v>8546</v>
      </c>
      <c r="J409" s="36" t="s">
        <v>18</v>
      </c>
      <c r="K409" s="36"/>
      <c r="L409" s="36"/>
      <c r="M409" s="36" t="s">
        <v>4799</v>
      </c>
    </row>
    <row r="410" spans="1:13" hidden="1">
      <c r="A410" s="42">
        <f t="shared" si="7"/>
        <v>409</v>
      </c>
      <c r="B410" s="36" t="s">
        <v>6</v>
      </c>
      <c r="C410" s="36" t="s">
        <v>8543</v>
      </c>
      <c r="D410" s="9" t="s">
        <v>8384</v>
      </c>
      <c r="E410" s="9" t="s">
        <v>8385</v>
      </c>
      <c r="G410" s="36" t="s">
        <v>15</v>
      </c>
      <c r="H410" s="36" t="str">
        <f>IFERROR(VLOOKUP(Table2[[#This Row], [Ticket]],Okey!A:B,2,0),"")</f>
        <v>ok</v>
      </c>
      <c r="I410" s="36" t="s">
        <v>8546</v>
      </c>
      <c r="J410" s="36" t="s">
        <v>18</v>
      </c>
      <c r="K410" s="36"/>
      <c r="L410" s="36"/>
      <c r="M410" s="36" t="s">
        <v>4799</v>
      </c>
    </row>
    <row r="411" spans="1:13" hidden="1">
      <c r="A411" s="42">
        <f t="shared" si="7"/>
        <v>410</v>
      </c>
      <c r="B411" s="36" t="s">
        <v>6</v>
      </c>
      <c r="C411" s="36" t="s">
        <v>8543</v>
      </c>
      <c r="D411" s="9" t="s">
        <v>8265</v>
      </c>
      <c r="E411" s="9" t="s">
        <v>8386</v>
      </c>
      <c r="G411" s="36" t="s">
        <v>15</v>
      </c>
      <c r="H411" s="36" t="str">
        <f>IFERROR(VLOOKUP(Table2[[#This Row], [Ticket]],Okey!A:B,2,0),"")</f>
        <v>ok</v>
      </c>
      <c r="I411" s="36" t="s">
        <v>8546</v>
      </c>
      <c r="J411" s="36" t="s">
        <v>18</v>
      </c>
      <c r="K411" s="36"/>
      <c r="L411" s="36"/>
      <c r="M411" s="36" t="s">
        <v>4799</v>
      </c>
    </row>
    <row r="412" spans="1:13" hidden="1">
      <c r="A412" s="42">
        <f t="shared" si="7"/>
        <v>411</v>
      </c>
      <c r="B412" s="36" t="s">
        <v>6</v>
      </c>
      <c r="C412" s="36" t="s">
        <v>8543</v>
      </c>
      <c r="D412" s="9" t="s">
        <v>8387</v>
      </c>
      <c r="E412" s="9" t="s">
        <v>8388</v>
      </c>
      <c r="G412" s="36" t="s">
        <v>15</v>
      </c>
      <c r="H412" s="36" t="str">
        <f>IFERROR(VLOOKUP(Table2[[#This Row], [Ticket]],Okey!A:B,2,0),"")</f>
        <v>ok</v>
      </c>
      <c r="I412" s="36" t="s">
        <v>8546</v>
      </c>
      <c r="J412" s="36" t="s">
        <v>18</v>
      </c>
      <c r="K412" s="36"/>
      <c r="L412" s="36"/>
      <c r="M412" s="36" t="s">
        <v>4799</v>
      </c>
    </row>
    <row r="413" spans="1:13" hidden="1">
      <c r="A413" s="42">
        <f t="shared" si="7"/>
        <v>412</v>
      </c>
      <c r="B413" s="36" t="s">
        <v>6</v>
      </c>
      <c r="C413" s="36" t="s">
        <v>8543</v>
      </c>
      <c r="D413" s="9" t="s">
        <v>3506</v>
      </c>
      <c r="E413" s="9" t="s">
        <v>8363</v>
      </c>
      <c r="G413" s="36" t="s">
        <v>15</v>
      </c>
      <c r="H413" s="36" t="str">
        <f>IFERROR(VLOOKUP(Table2[[#This Row], [Ticket]],Okey!A:B,2,0),"")</f>
        <v>ok</v>
      </c>
      <c r="I413" s="36" t="s">
        <v>8546</v>
      </c>
      <c r="J413" s="36" t="s">
        <v>18</v>
      </c>
      <c r="K413" s="36"/>
      <c r="L413" s="36"/>
      <c r="M413" s="36" t="s">
        <v>4799</v>
      </c>
    </row>
    <row r="414" spans="1:13" hidden="1">
      <c r="A414" s="42">
        <f t="shared" si="7"/>
        <v>413</v>
      </c>
      <c r="B414" s="36" t="s">
        <v>6</v>
      </c>
      <c r="C414" s="36" t="s">
        <v>8543</v>
      </c>
      <c r="D414" s="9" t="s">
        <v>3952</v>
      </c>
      <c r="E414" s="9" t="s">
        <v>8389</v>
      </c>
      <c r="G414" s="36" t="s">
        <v>15</v>
      </c>
      <c r="H414" s="36" t="str">
        <f>IFERROR(VLOOKUP(Table2[[#This Row], [Ticket]],Okey!A:B,2,0),"")</f>
        <v>ok</v>
      </c>
      <c r="I414" s="36" t="s">
        <v>8546</v>
      </c>
      <c r="J414" s="36" t="s">
        <v>18</v>
      </c>
      <c r="K414" s="36"/>
      <c r="L414" s="36"/>
      <c r="M414" s="36" t="s">
        <v>4799</v>
      </c>
    </row>
    <row r="415" spans="1:13" hidden="1">
      <c r="A415" s="42">
        <f t="shared" si="7"/>
        <v>414</v>
      </c>
      <c r="B415" s="36" t="s">
        <v>6</v>
      </c>
      <c r="C415" s="36" t="s">
        <v>8543</v>
      </c>
      <c r="D415" s="9" t="s">
        <v>3514</v>
      </c>
      <c r="E415" s="9" t="s">
        <v>8390</v>
      </c>
      <c r="G415" s="36" t="s">
        <v>15</v>
      </c>
      <c r="H415" s="36" t="str">
        <f>IFERROR(VLOOKUP(Table2[[#This Row], [Ticket]],Okey!A:B,2,0),"")</f>
        <v>ok</v>
      </c>
      <c r="I415" s="36" t="s">
        <v>8546</v>
      </c>
      <c r="J415" s="36" t="s">
        <v>18</v>
      </c>
      <c r="K415" s="36"/>
      <c r="L415" s="36"/>
      <c r="M415" s="36" t="s">
        <v>4799</v>
      </c>
    </row>
    <row r="416" spans="1:13" hidden="1">
      <c r="A416" s="42">
        <f t="shared" si="7"/>
        <v>415</v>
      </c>
      <c r="B416" s="36" t="s">
        <v>6</v>
      </c>
      <c r="C416" s="36" t="s">
        <v>8543</v>
      </c>
      <c r="D416" s="9" t="s">
        <v>3960</v>
      </c>
      <c r="E416" s="9" t="s">
        <v>8391</v>
      </c>
      <c r="G416" s="36" t="s">
        <v>15</v>
      </c>
      <c r="H416" s="36" t="str">
        <f>IFERROR(VLOOKUP(Table2[[#This Row], [Ticket]],Okey!A:B,2,0),"")</f>
        <v>ok</v>
      </c>
      <c r="I416" s="36" t="s">
        <v>8546</v>
      </c>
      <c r="J416" s="36" t="s">
        <v>18</v>
      </c>
      <c r="K416" s="36"/>
      <c r="L416" s="36"/>
      <c r="M416" s="36" t="s">
        <v>4799</v>
      </c>
    </row>
    <row r="417" spans="1:13" hidden="1">
      <c r="A417" s="42">
        <f t="shared" si="7"/>
        <v>416</v>
      </c>
      <c r="B417" s="36" t="s">
        <v>6</v>
      </c>
      <c r="C417" s="36" t="s">
        <v>8543</v>
      </c>
      <c r="D417" s="9" t="s">
        <v>5581</v>
      </c>
      <c r="E417" s="9" t="s">
        <v>8392</v>
      </c>
      <c r="G417" s="36" t="s">
        <v>15</v>
      </c>
      <c r="H417" s="36" t="str">
        <f>IFERROR(VLOOKUP(Table2[[#This Row], [Ticket]],Okey!A:B,2,0),"")</f>
        <v>ok</v>
      </c>
      <c r="I417" s="36" t="s">
        <v>8546</v>
      </c>
      <c r="J417" s="36" t="s">
        <v>18</v>
      </c>
      <c r="K417" s="36"/>
      <c r="L417" s="36"/>
      <c r="M417" s="36" t="s">
        <v>4799</v>
      </c>
    </row>
    <row r="418" spans="1:13" hidden="1">
      <c r="A418" s="42">
        <f t="shared" si="7"/>
        <v>417</v>
      </c>
      <c r="B418" s="36" t="s">
        <v>6</v>
      </c>
      <c r="C418" s="36" t="s">
        <v>8543</v>
      </c>
      <c r="D418" s="9" t="s">
        <v>8393</v>
      </c>
      <c r="E418" s="9" t="s">
        <v>8394</v>
      </c>
      <c r="G418" s="9" t="s">
        <v>15</v>
      </c>
      <c r="H418" s="36" t="str">
        <f>IFERROR(VLOOKUP(Table2[[#This Row], [Ticket]],Okey!A:B,2,0),"")</f>
        <v>ok</v>
      </c>
      <c r="I418" s="36" t="s">
        <v>8546</v>
      </c>
      <c r="J418" s="36" t="s">
        <v>18</v>
      </c>
      <c r="K418" s="36"/>
      <c r="L418" s="36"/>
      <c r="M418" s="36" t="s">
        <v>4799</v>
      </c>
    </row>
    <row r="419" spans="1:13" hidden="1">
      <c r="A419" s="42">
        <f t="shared" si="7"/>
        <v>418</v>
      </c>
      <c r="B419" s="36" t="s">
        <v>6</v>
      </c>
      <c r="C419" s="36" t="s">
        <v>8543</v>
      </c>
      <c r="D419" s="9" t="s">
        <v>8395</v>
      </c>
      <c r="E419" s="9" t="s">
        <v>8408</v>
      </c>
      <c r="F419" s="9" t="s">
        <v>6531</v>
      </c>
      <c r="G419" s="36" t="s">
        <v>16</v>
      </c>
      <c r="H419" s="36" t="str">
        <f>IFERROR(VLOOKUP(Table2[[#This Row], [Ticket]],Okey!A:B,2,0),"")</f>
        <v>ok</v>
      </c>
      <c r="I419" s="36" t="s">
        <v>8546</v>
      </c>
      <c r="J419" s="36" t="s">
        <v>18</v>
      </c>
      <c r="K419" s="36"/>
      <c r="L419" s="36"/>
      <c r="M419" s="36" t="s">
        <v>4799</v>
      </c>
    </row>
    <row r="420" spans="1:13" hidden="1">
      <c r="A420" s="42">
        <f t="shared" si="7"/>
        <v>419</v>
      </c>
      <c r="B420" s="36" t="s">
        <v>6</v>
      </c>
      <c r="C420" s="36" t="s">
        <v>8543</v>
      </c>
      <c r="D420" s="9" t="s">
        <v>6553</v>
      </c>
      <c r="E420" s="9" t="s">
        <v>8196</v>
      </c>
      <c r="F420" s="36" t="s">
        <v>8590</v>
      </c>
      <c r="G420" s="36" t="s">
        <v>16</v>
      </c>
      <c r="H420" s="36" t="str">
        <f>IFERROR(VLOOKUP(Table2[[#This Row], [Ticket]],Okey!A:B,2,0),"")</f>
        <v>ok</v>
      </c>
      <c r="I420" s="36" t="s">
        <v>8546</v>
      </c>
      <c r="J420" s="36" t="s">
        <v>18</v>
      </c>
      <c r="K420" s="36"/>
      <c r="L420" s="36"/>
      <c r="M420" s="36" t="s">
        <v>4799</v>
      </c>
    </row>
    <row r="421" spans="1:13" hidden="1">
      <c r="A421" s="42">
        <f t="shared" si="7"/>
        <v>420</v>
      </c>
      <c r="B421" s="36" t="s">
        <v>6</v>
      </c>
      <c r="C421" s="36" t="s">
        <v>8543</v>
      </c>
      <c r="D421" s="9" t="s">
        <v>5585</v>
      </c>
      <c r="E421" s="9" t="s">
        <v>8409</v>
      </c>
      <c r="F421" s="36" t="s">
        <v>8590</v>
      </c>
      <c r="G421" s="36" t="s">
        <v>16</v>
      </c>
      <c r="H421" s="36" t="str">
        <f>IFERROR(VLOOKUP(Table2[[#This Row], [Ticket]],Okey!A:B,2,0),"")</f>
        <v>ok</v>
      </c>
      <c r="I421" s="36" t="s">
        <v>8546</v>
      </c>
      <c r="J421" s="36" t="s">
        <v>18</v>
      </c>
      <c r="K421" s="36"/>
      <c r="L421" s="36"/>
      <c r="M421" s="36" t="s">
        <v>4799</v>
      </c>
    </row>
    <row r="422" spans="1:13" hidden="1">
      <c r="A422" s="42">
        <f t="shared" si="7"/>
        <v>421</v>
      </c>
      <c r="B422" s="36" t="s">
        <v>6</v>
      </c>
      <c r="C422" s="36" t="s">
        <v>8543</v>
      </c>
      <c r="D422" s="9" t="s">
        <v>8396</v>
      </c>
      <c r="E422" s="9" t="s">
        <v>8410</v>
      </c>
      <c r="F422" s="36" t="s">
        <v>8600</v>
      </c>
      <c r="G422" s="36" t="s">
        <v>16</v>
      </c>
      <c r="H422" s="36" t="str">
        <f>IFERROR(VLOOKUP(Table2[[#This Row], [Ticket]],Okey!A:B,2,0),"")</f>
        <v>ok</v>
      </c>
      <c r="I422" s="36" t="s">
        <v>8546</v>
      </c>
      <c r="J422" s="36" t="s">
        <v>18</v>
      </c>
      <c r="K422" s="36"/>
      <c r="L422" s="36"/>
      <c r="M422" s="36" t="s">
        <v>4799</v>
      </c>
    </row>
    <row r="423" spans="1:13" hidden="1">
      <c r="A423" s="42">
        <f t="shared" si="7"/>
        <v>422</v>
      </c>
      <c r="B423" s="36" t="s">
        <v>6</v>
      </c>
      <c r="C423" s="36" t="s">
        <v>8543</v>
      </c>
      <c r="D423" s="9" t="s">
        <v>6018</v>
      </c>
      <c r="E423" s="9" t="s">
        <v>8411</v>
      </c>
      <c r="F423" s="9" t="s">
        <v>5550</v>
      </c>
      <c r="G423" s="36" t="s">
        <v>16</v>
      </c>
      <c r="H423" s="36" t="str">
        <f>IFERROR(VLOOKUP(Table2[[#This Row], [Ticket]],Okey!A:B,2,0),"")</f>
        <v>ok</v>
      </c>
      <c r="I423" s="36" t="s">
        <v>8546</v>
      </c>
      <c r="J423" s="36" t="s">
        <v>18</v>
      </c>
      <c r="K423" s="36"/>
      <c r="L423" s="36"/>
      <c r="M423" s="36" t="s">
        <v>4799</v>
      </c>
    </row>
    <row r="424" spans="1:13" hidden="1">
      <c r="A424" s="42">
        <f t="shared" si="7"/>
        <v>423</v>
      </c>
      <c r="B424" s="36" t="s">
        <v>6</v>
      </c>
      <c r="C424" s="36" t="s">
        <v>8543</v>
      </c>
      <c r="D424" s="9" t="s">
        <v>8397</v>
      </c>
      <c r="E424" s="9" t="s">
        <v>8412</v>
      </c>
      <c r="F424" s="9" t="s">
        <v>5550</v>
      </c>
      <c r="G424" s="36" t="s">
        <v>16</v>
      </c>
      <c r="H424" s="36" t="str">
        <f>IFERROR(VLOOKUP(Table2[[#This Row], [Ticket]],Okey!A:B,2,0),"")</f>
        <v>ok</v>
      </c>
      <c r="I424" s="36" t="s">
        <v>8546</v>
      </c>
      <c r="J424" s="36" t="s">
        <v>18</v>
      </c>
      <c r="K424" s="36"/>
      <c r="L424" s="36"/>
      <c r="M424" s="36" t="s">
        <v>4799</v>
      </c>
    </row>
    <row r="425" spans="1:13" hidden="1">
      <c r="A425" s="42">
        <f t="shared" si="7"/>
        <v>424</v>
      </c>
      <c r="B425" s="36" t="s">
        <v>6</v>
      </c>
      <c r="C425" s="36" t="s">
        <v>8543</v>
      </c>
      <c r="D425" s="9" t="s">
        <v>4825</v>
      </c>
      <c r="E425" s="9" t="s">
        <v>8413</v>
      </c>
      <c r="F425" s="9" t="s">
        <v>5776</v>
      </c>
      <c r="G425" s="36" t="s">
        <v>16</v>
      </c>
      <c r="H425" s="36" t="str">
        <f>IFERROR(VLOOKUP(Table2[[#This Row], [Ticket]],Okey!A:B,2,0),"")</f>
        <v>ok</v>
      </c>
      <c r="I425" s="36" t="s">
        <v>8546</v>
      </c>
      <c r="J425" s="36" t="s">
        <v>18</v>
      </c>
      <c r="K425" s="36"/>
      <c r="L425" s="36"/>
      <c r="M425" s="36" t="s">
        <v>4799</v>
      </c>
    </row>
    <row r="426" spans="1:13" hidden="1">
      <c r="A426" s="42">
        <f t="shared" si="7"/>
        <v>425</v>
      </c>
      <c r="B426" s="36" t="s">
        <v>6</v>
      </c>
      <c r="C426" s="36" t="s">
        <v>8543</v>
      </c>
      <c r="D426" s="9" t="s">
        <v>8398</v>
      </c>
      <c r="E426" s="9" t="s">
        <v>8414</v>
      </c>
      <c r="F426" s="9" t="s">
        <v>5776</v>
      </c>
      <c r="G426" s="36" t="s">
        <v>16</v>
      </c>
      <c r="H426" s="36" t="str">
        <f>IFERROR(VLOOKUP(Table2[[#This Row], [Ticket]],Okey!A:B,2,0),"")</f>
        <v>ok</v>
      </c>
      <c r="I426" s="36" t="s">
        <v>8546</v>
      </c>
      <c r="J426" s="36" t="s">
        <v>18</v>
      </c>
      <c r="K426" s="36"/>
      <c r="L426" s="36"/>
      <c r="M426" s="36" t="s">
        <v>4799</v>
      </c>
    </row>
    <row r="427" spans="1:13" hidden="1">
      <c r="A427" s="42">
        <f t="shared" si="7"/>
        <v>426</v>
      </c>
      <c r="B427" s="36" t="s">
        <v>6</v>
      </c>
      <c r="C427" s="36" t="s">
        <v>8543</v>
      </c>
      <c r="D427" s="9" t="s">
        <v>8399</v>
      </c>
      <c r="E427" s="9" t="s">
        <v>8415</v>
      </c>
      <c r="F427" s="9" t="s">
        <v>8407</v>
      </c>
      <c r="G427" s="36" t="s">
        <v>16</v>
      </c>
      <c r="H427" s="36" t="str">
        <f>IFERROR(VLOOKUP(Table2[[#This Row], [Ticket]],Okey!A:B,2,0),"")</f>
        <v>ok</v>
      </c>
      <c r="I427" s="36" t="s">
        <v>8546</v>
      </c>
      <c r="J427" s="36" t="s">
        <v>18</v>
      </c>
      <c r="K427" s="36"/>
      <c r="L427" s="36"/>
      <c r="M427" s="36" t="s">
        <v>4799</v>
      </c>
    </row>
    <row r="428" spans="1:13" hidden="1">
      <c r="A428" s="42">
        <f t="shared" si="7"/>
        <v>427</v>
      </c>
      <c r="B428" s="36" t="s">
        <v>6</v>
      </c>
      <c r="C428" s="36" t="s">
        <v>8543</v>
      </c>
      <c r="D428" s="9" t="s">
        <v>8400</v>
      </c>
      <c r="E428" s="9" t="s">
        <v>8190</v>
      </c>
      <c r="F428" s="9" t="s">
        <v>6531</v>
      </c>
      <c r="G428" s="36" t="s">
        <v>16</v>
      </c>
      <c r="H428" s="36" t="str">
        <f>IFERROR(VLOOKUP(Table2[[#This Row], [Ticket]],Okey!A:B,2,0),"")</f>
        <v>ok</v>
      </c>
      <c r="I428" s="36" t="s">
        <v>8546</v>
      </c>
      <c r="J428" s="36" t="s">
        <v>18</v>
      </c>
      <c r="K428" s="36"/>
      <c r="L428" s="36"/>
      <c r="M428" s="36" t="s">
        <v>4799</v>
      </c>
    </row>
    <row r="429" spans="1:13" hidden="1">
      <c r="A429" s="42">
        <f t="shared" si="7"/>
        <v>428</v>
      </c>
      <c r="B429" s="36" t="s">
        <v>6</v>
      </c>
      <c r="C429" s="36" t="s">
        <v>8543</v>
      </c>
      <c r="D429" s="9" t="s">
        <v>8401</v>
      </c>
      <c r="E429" s="9" t="s">
        <v>8416</v>
      </c>
      <c r="F429" s="9" t="s">
        <v>5788</v>
      </c>
      <c r="G429" s="36" t="s">
        <v>16</v>
      </c>
      <c r="H429" s="36" t="str">
        <f>IFERROR(VLOOKUP(Table2[[#This Row], [Ticket]],Okey!A:B,2,0),"")</f>
        <v>ok</v>
      </c>
      <c r="I429" s="36" t="s">
        <v>8546</v>
      </c>
      <c r="J429" s="36" t="s">
        <v>18</v>
      </c>
      <c r="K429" s="36"/>
      <c r="L429" s="36"/>
      <c r="M429" s="36" t="s">
        <v>4799</v>
      </c>
    </row>
    <row r="430" spans="1:13" hidden="1">
      <c r="A430" s="42">
        <f t="shared" si="7"/>
        <v>429</v>
      </c>
      <c r="B430" s="36" t="s">
        <v>6</v>
      </c>
      <c r="C430" s="36" t="s">
        <v>8543</v>
      </c>
      <c r="D430" s="9" t="s">
        <v>8402</v>
      </c>
      <c r="E430" s="9" t="s">
        <v>8158</v>
      </c>
      <c r="F430" s="9" t="s">
        <v>5788</v>
      </c>
      <c r="G430" s="36" t="s">
        <v>16</v>
      </c>
      <c r="H430" s="36" t="str">
        <f>IFERROR(VLOOKUP(Table2[[#This Row], [Ticket]],Okey!A:B,2,0),"")</f>
        <v>ok</v>
      </c>
      <c r="I430" s="36" t="s">
        <v>8546</v>
      </c>
      <c r="J430" s="36" t="s">
        <v>18</v>
      </c>
      <c r="K430" s="36"/>
      <c r="L430" s="36"/>
      <c r="M430" s="36" t="s">
        <v>4799</v>
      </c>
    </row>
    <row r="431" spans="1:13" hidden="1">
      <c r="A431" s="42">
        <f t="shared" si="7"/>
        <v>430</v>
      </c>
      <c r="B431" s="36" t="s">
        <v>6</v>
      </c>
      <c r="C431" s="36" t="s">
        <v>8543</v>
      </c>
      <c r="D431" s="9" t="s">
        <v>8403</v>
      </c>
      <c r="E431" s="9" t="s">
        <v>8417</v>
      </c>
      <c r="F431" s="36" t="s">
        <v>8645</v>
      </c>
      <c r="G431" s="36" t="s">
        <v>16</v>
      </c>
      <c r="H431" s="36" t="str">
        <f>IFERROR(VLOOKUP(Table2[[#This Row], [Ticket]],Okey!A:B,2,0),"")</f>
        <v>ok</v>
      </c>
      <c r="I431" s="36" t="s">
        <v>8546</v>
      </c>
      <c r="J431" s="36" t="s">
        <v>18</v>
      </c>
      <c r="K431" s="36"/>
      <c r="L431" s="36"/>
      <c r="M431" s="36" t="s">
        <v>4799</v>
      </c>
    </row>
    <row r="432" spans="1:13" hidden="1">
      <c r="A432" s="42">
        <f t="shared" si="7"/>
        <v>431</v>
      </c>
      <c r="B432" s="36" t="s">
        <v>6</v>
      </c>
      <c r="C432" s="36" t="s">
        <v>8543</v>
      </c>
      <c r="D432" s="9" t="s">
        <v>8404</v>
      </c>
      <c r="E432" s="9" t="s">
        <v>8418</v>
      </c>
      <c r="F432" s="36" t="s">
        <v>8662</v>
      </c>
      <c r="G432" s="36" t="s">
        <v>16</v>
      </c>
      <c r="H432" s="36" t="str">
        <f>IFERROR(VLOOKUP(Table2[[#This Row], [Ticket]],Okey!A:B,2,0),"")</f>
        <v>ok</v>
      </c>
      <c r="I432" s="36" t="s">
        <v>8546</v>
      </c>
      <c r="J432" s="36" t="s">
        <v>18</v>
      </c>
      <c r="K432" s="36"/>
      <c r="L432" s="36"/>
      <c r="M432" s="36" t="s">
        <v>4799</v>
      </c>
    </row>
    <row r="433" spans="1:13" hidden="1">
      <c r="A433" s="42">
        <f t="shared" si="7"/>
        <v>432</v>
      </c>
      <c r="B433" s="36" t="s">
        <v>6</v>
      </c>
      <c r="C433" s="36" t="s">
        <v>8543</v>
      </c>
      <c r="D433" s="9" t="s">
        <v>3517</v>
      </c>
      <c r="E433" s="9" t="s">
        <v>8247</v>
      </c>
      <c r="F433" s="9" t="s">
        <v>4046</v>
      </c>
      <c r="G433" s="36" t="s">
        <v>16</v>
      </c>
      <c r="H433" s="36" t="str">
        <f>IFERROR(VLOOKUP(Table2[[#This Row], [Ticket]],Okey!A:B,2,0),"")</f>
        <v>ok</v>
      </c>
      <c r="I433" s="36" t="s">
        <v>8546</v>
      </c>
      <c r="J433" s="36" t="s">
        <v>18</v>
      </c>
      <c r="K433" s="36"/>
      <c r="L433" s="36"/>
      <c r="M433" s="36" t="s">
        <v>4799</v>
      </c>
    </row>
    <row r="434" spans="1:13" hidden="1">
      <c r="A434" s="42">
        <f t="shared" si="7"/>
        <v>433</v>
      </c>
      <c r="B434" s="36" t="s">
        <v>6</v>
      </c>
      <c r="C434" s="36" t="s">
        <v>8543</v>
      </c>
      <c r="D434" s="9" t="s">
        <v>8405</v>
      </c>
      <c r="E434" s="9" t="s">
        <v>8419</v>
      </c>
      <c r="F434" s="9" t="s">
        <v>3971</v>
      </c>
      <c r="G434" s="36" t="s">
        <v>16</v>
      </c>
      <c r="H434" s="36" t="str">
        <f>IFERROR(VLOOKUP(Table2[[#This Row], [Ticket]],Okey!A:B,2,0),"")</f>
        <v>ok</v>
      </c>
      <c r="I434" s="36" t="s">
        <v>8546</v>
      </c>
      <c r="J434" s="36" t="s">
        <v>18</v>
      </c>
      <c r="K434" s="36"/>
      <c r="L434" s="36"/>
      <c r="M434" s="36" t="s">
        <v>4799</v>
      </c>
    </row>
    <row r="435" spans="1:13" hidden="1">
      <c r="A435" s="42">
        <f t="shared" si="7"/>
        <v>434</v>
      </c>
      <c r="B435" s="36" t="s">
        <v>6</v>
      </c>
      <c r="C435" s="36" t="s">
        <v>8543</v>
      </c>
      <c r="D435" s="9" t="s">
        <v>3518</v>
      </c>
      <c r="E435" s="9" t="s">
        <v>8420</v>
      </c>
      <c r="F435" s="9" t="s">
        <v>3514</v>
      </c>
      <c r="G435" s="36" t="s">
        <v>16</v>
      </c>
      <c r="H435" s="36" t="str">
        <f>IFERROR(VLOOKUP(Table2[[#This Row], [Ticket]],Okey!A:B,2,0),"")</f>
        <v>ok</v>
      </c>
      <c r="I435" s="36" t="s">
        <v>8546</v>
      </c>
      <c r="J435" s="36" t="s">
        <v>18</v>
      </c>
      <c r="K435" s="36"/>
      <c r="L435" s="36"/>
      <c r="M435" s="36" t="s">
        <v>4799</v>
      </c>
    </row>
    <row r="436" spans="1:13" hidden="1">
      <c r="A436" s="42">
        <f t="shared" si="7"/>
        <v>435</v>
      </c>
      <c r="B436" s="36" t="s">
        <v>6</v>
      </c>
      <c r="C436" s="36" t="s">
        <v>8543</v>
      </c>
      <c r="D436" s="9" t="s">
        <v>3524</v>
      </c>
      <c r="E436" s="9" t="s">
        <v>8421</v>
      </c>
      <c r="F436" s="9" t="s">
        <v>3514</v>
      </c>
      <c r="G436" s="36" t="s">
        <v>16</v>
      </c>
      <c r="H436" s="36" t="str">
        <f>IFERROR(VLOOKUP(Table2[[#This Row], [Ticket]],Okey!A:B,2,0),"")</f>
        <v>ok</v>
      </c>
      <c r="I436" s="36" t="s">
        <v>8546</v>
      </c>
      <c r="J436" s="36" t="s">
        <v>18</v>
      </c>
      <c r="K436" s="36"/>
      <c r="L436" s="36"/>
      <c r="M436" s="36" t="s">
        <v>4799</v>
      </c>
    </row>
    <row r="437" spans="1:13" hidden="1">
      <c r="A437" s="42">
        <f t="shared" si="7"/>
        <v>436</v>
      </c>
      <c r="B437" s="36" t="s">
        <v>6</v>
      </c>
      <c r="C437" s="36" t="s">
        <v>8543</v>
      </c>
      <c r="D437" s="9" t="s">
        <v>3527</v>
      </c>
      <c r="E437" s="9" t="s">
        <v>8422</v>
      </c>
      <c r="F437" s="9" t="s">
        <v>3514</v>
      </c>
      <c r="G437" s="36" t="s">
        <v>16</v>
      </c>
      <c r="H437" s="36" t="str">
        <f>IFERROR(VLOOKUP(Table2[[#This Row], [Ticket]],Okey!A:B,2,0),"")</f>
        <v>ok</v>
      </c>
      <c r="I437" s="36" t="s">
        <v>8546</v>
      </c>
      <c r="J437" s="36" t="s">
        <v>18</v>
      </c>
      <c r="K437" s="36"/>
      <c r="L437" s="36"/>
      <c r="M437" s="36" t="s">
        <v>4799</v>
      </c>
    </row>
    <row r="438" spans="1:13" hidden="1">
      <c r="A438" s="42">
        <f t="shared" si="7"/>
        <v>437</v>
      </c>
      <c r="B438" s="36" t="s">
        <v>6</v>
      </c>
      <c r="C438" s="36" t="s">
        <v>8543</v>
      </c>
      <c r="D438" s="9" t="s">
        <v>3531</v>
      </c>
      <c r="E438" s="9" t="s">
        <v>8423</v>
      </c>
      <c r="F438" s="9" t="s">
        <v>3514</v>
      </c>
      <c r="G438" s="36" t="s">
        <v>16</v>
      </c>
      <c r="H438" s="36" t="str">
        <f>IFERROR(VLOOKUP(Table2[[#This Row], [Ticket]],Okey!A:B,2,0),"")</f>
        <v>ok</v>
      </c>
      <c r="I438" s="36" t="s">
        <v>8546</v>
      </c>
      <c r="J438" s="36" t="s">
        <v>18</v>
      </c>
      <c r="K438" s="36"/>
      <c r="L438" s="36"/>
      <c r="M438" s="36" t="s">
        <v>4799</v>
      </c>
    </row>
    <row r="439" spans="1:13" hidden="1">
      <c r="A439" s="42">
        <f t="shared" si="7"/>
        <v>438</v>
      </c>
      <c r="B439" s="36" t="s">
        <v>6</v>
      </c>
      <c r="C439" s="36" t="s">
        <v>8543</v>
      </c>
      <c r="D439" s="9" t="s">
        <v>8406</v>
      </c>
      <c r="E439" s="9" t="s">
        <v>8424</v>
      </c>
      <c r="F439" s="36" t="s">
        <v>8625</v>
      </c>
      <c r="G439" s="9" t="s">
        <v>16</v>
      </c>
      <c r="H439" s="36" t="str">
        <f>IFERROR(VLOOKUP(Table2[[#This Row], [Ticket]],Okey!A:B,2,0),"")</f>
        <v>ok</v>
      </c>
      <c r="I439" s="36" t="s">
        <v>8546</v>
      </c>
      <c r="J439" s="36" t="s">
        <v>18</v>
      </c>
      <c r="K439" s="36"/>
      <c r="L439" s="36"/>
      <c r="M439" s="36" t="s">
        <v>4799</v>
      </c>
    </row>
    <row r="440" spans="1:13" hidden="1">
      <c r="A440" s="42">
        <f t="shared" si="7"/>
        <v>439</v>
      </c>
      <c r="B440" s="36" t="s">
        <v>6</v>
      </c>
      <c r="C440" s="36" t="s">
        <v>8543</v>
      </c>
      <c r="D440" s="9" t="s">
        <v>1461</v>
      </c>
      <c r="F440" s="9" t="s">
        <v>1344</v>
      </c>
      <c r="G440" s="9" t="s">
        <v>13</v>
      </c>
      <c r="H440" s="36" t="str">
        <f>IFERROR(VLOOKUP(Table2[[#This Row], [Ticket]],Okey!A:B,2,0),"")</f>
        <v>ok</v>
      </c>
      <c r="I440" s="36" t="s">
        <v>8546</v>
      </c>
      <c r="J440" s="36" t="s">
        <v>18</v>
      </c>
      <c r="K440" s="36"/>
      <c r="L440" s="36"/>
      <c r="M440" s="36" t="s">
        <v>4799</v>
      </c>
    </row>
    <row r="441" spans="1:13" hidden="1">
      <c r="A441" s="42">
        <f t="shared" si="7"/>
        <v>440</v>
      </c>
      <c r="B441" s="36" t="s">
        <v>6</v>
      </c>
      <c r="C441" s="36" t="s">
        <v>8543</v>
      </c>
      <c r="D441" s="9" t="s">
        <v>5527</v>
      </c>
      <c r="F441" s="9" t="s">
        <v>1344</v>
      </c>
      <c r="G441" s="36" t="s">
        <v>13</v>
      </c>
      <c r="H441" s="36" t="str">
        <f>IFERROR(VLOOKUP(Table2[[#This Row], [Ticket]],Okey!A:B,2,0),"")</f>
        <v>ok</v>
      </c>
      <c r="I441" s="36" t="s">
        <v>8546</v>
      </c>
      <c r="J441" s="36" t="s">
        <v>18</v>
      </c>
      <c r="K441" s="36"/>
      <c r="L441" s="36"/>
      <c r="M441" s="36" t="s">
        <v>4799</v>
      </c>
    </row>
    <row r="442" spans="1:13" hidden="1">
      <c r="A442" s="42">
        <f t="shared" si="7"/>
        <v>441</v>
      </c>
      <c r="B442" s="36" t="s">
        <v>6</v>
      </c>
      <c r="C442" s="36" t="s">
        <v>8543</v>
      </c>
      <c r="D442" s="9" t="s">
        <v>8425</v>
      </c>
      <c r="F442" s="36" t="s">
        <v>5544</v>
      </c>
      <c r="G442" s="36" t="s">
        <v>13</v>
      </c>
      <c r="H442" s="36" t="str">
        <f>IFERROR(VLOOKUP(Table2[[#This Row], [Ticket]],Okey!A:B,2,0),"")</f>
        <v>ok</v>
      </c>
      <c r="I442" s="36" t="s">
        <v>8546</v>
      </c>
      <c r="J442" s="36" t="s">
        <v>18</v>
      </c>
      <c r="K442" s="36"/>
      <c r="L442" s="36"/>
      <c r="M442" s="36" t="s">
        <v>4799</v>
      </c>
    </row>
    <row r="443" spans="1:13" hidden="1">
      <c r="A443" s="42">
        <f t="shared" si="7"/>
        <v>442</v>
      </c>
      <c r="B443" s="36" t="s">
        <v>6</v>
      </c>
      <c r="C443" s="36" t="s">
        <v>8543</v>
      </c>
      <c r="D443" s="9" t="s">
        <v>5546</v>
      </c>
      <c r="F443" s="9" t="s">
        <v>953</v>
      </c>
      <c r="G443" s="36" t="s">
        <v>13</v>
      </c>
      <c r="H443" s="36" t="str">
        <f>IFERROR(VLOOKUP(Table2[[#This Row], [Ticket]],Okey!A:B,2,0),"")</f>
        <v>ok</v>
      </c>
      <c r="I443" s="36" t="s">
        <v>8546</v>
      </c>
      <c r="J443" s="36" t="s">
        <v>18</v>
      </c>
      <c r="K443" s="36"/>
      <c r="L443" s="36"/>
      <c r="M443" s="36" t="s">
        <v>4799</v>
      </c>
    </row>
    <row r="444" spans="1:13" hidden="1">
      <c r="A444" s="42">
        <f t="shared" si="7"/>
        <v>443</v>
      </c>
      <c r="B444" s="36" t="s">
        <v>6</v>
      </c>
      <c r="C444" s="36" t="s">
        <v>8543</v>
      </c>
      <c r="D444" s="9" t="s">
        <v>3365</v>
      </c>
      <c r="F444" s="9" t="s">
        <v>1309</v>
      </c>
      <c r="G444" s="36" t="s">
        <v>13</v>
      </c>
      <c r="H444" s="36" t="str">
        <f>IFERROR(VLOOKUP(Table2[[#This Row], [Ticket]],Okey!A:B,2,0),"")</f>
        <v>ok</v>
      </c>
      <c r="I444" s="36" t="s">
        <v>8546</v>
      </c>
      <c r="J444" s="36" t="s">
        <v>18</v>
      </c>
      <c r="K444" s="36"/>
      <c r="L444" s="36"/>
      <c r="M444" s="36" t="s">
        <v>4799</v>
      </c>
    </row>
    <row r="445" spans="1:13" hidden="1">
      <c r="A445" s="42">
        <f t="shared" si="7"/>
        <v>444</v>
      </c>
      <c r="B445" s="36" t="s">
        <v>6</v>
      </c>
      <c r="C445" s="36" t="s">
        <v>8543</v>
      </c>
      <c r="D445" s="9" t="s">
        <v>7741</v>
      </c>
      <c r="F445" s="36" t="s">
        <v>8572</v>
      </c>
      <c r="G445" s="36" t="s">
        <v>13</v>
      </c>
      <c r="H445" s="36" t="str">
        <f>IFERROR(VLOOKUP(Table2[[#This Row], [Ticket]],Okey!A:B,2,0),"")</f>
        <v>ok</v>
      </c>
      <c r="I445" s="36" t="s">
        <v>8546</v>
      </c>
      <c r="J445" s="36" t="s">
        <v>18</v>
      </c>
      <c r="K445" s="36"/>
      <c r="L445" s="36"/>
      <c r="M445" s="36" t="s">
        <v>4799</v>
      </c>
    </row>
    <row r="446" spans="1:13" hidden="1">
      <c r="A446" s="42">
        <f t="shared" si="7"/>
        <v>445</v>
      </c>
      <c r="B446" s="36" t="s">
        <v>6</v>
      </c>
      <c r="C446" s="36" t="s">
        <v>8543</v>
      </c>
      <c r="D446" s="9" t="s">
        <v>954</v>
      </c>
      <c r="F446" s="9" t="s">
        <v>6559</v>
      </c>
      <c r="G446" s="36" t="s">
        <v>13</v>
      </c>
      <c r="H446" s="36" t="str">
        <f>IFERROR(VLOOKUP(Table2[[#This Row], [Ticket]],Okey!A:B,2,0),"")</f>
        <v>ok</v>
      </c>
      <c r="I446" s="36" t="s">
        <v>8546</v>
      </c>
      <c r="J446" s="36" t="s">
        <v>18</v>
      </c>
      <c r="K446" s="36"/>
      <c r="L446" s="36"/>
      <c r="M446" s="36" t="s">
        <v>4799</v>
      </c>
    </row>
    <row r="447" spans="1:13" hidden="1">
      <c r="A447" s="42">
        <f t="shared" si="7"/>
        <v>446</v>
      </c>
      <c r="B447" s="36" t="s">
        <v>6</v>
      </c>
      <c r="C447" s="36" t="s">
        <v>8543</v>
      </c>
      <c r="D447" s="9" t="s">
        <v>8426</v>
      </c>
      <c r="F447" s="9" t="s">
        <v>6531</v>
      </c>
      <c r="G447" s="36" t="s">
        <v>13</v>
      </c>
      <c r="H447" s="36" t="str">
        <f>IFERROR(VLOOKUP(Table2[[#This Row], [Ticket]],Okey!A:B,2,0),"")</f>
        <v>ok</v>
      </c>
      <c r="I447" s="36" t="s">
        <v>8546</v>
      </c>
      <c r="J447" s="36" t="s">
        <v>18</v>
      </c>
      <c r="K447" s="36"/>
      <c r="L447" s="36"/>
      <c r="M447" s="36" t="s">
        <v>4799</v>
      </c>
    </row>
    <row r="448" spans="1:13" hidden="1">
      <c r="A448" s="42">
        <f t="shared" si="7"/>
        <v>447</v>
      </c>
      <c r="B448" s="36" t="s">
        <v>6</v>
      </c>
      <c r="C448" s="36" t="s">
        <v>8543</v>
      </c>
      <c r="D448" s="9" t="s">
        <v>8427</v>
      </c>
      <c r="F448" s="9" t="s">
        <v>6531</v>
      </c>
      <c r="G448" s="36" t="s">
        <v>13</v>
      </c>
      <c r="H448" s="36" t="str">
        <f>IFERROR(VLOOKUP(Table2[[#This Row], [Ticket]],Okey!A:B,2,0),"")</f>
        <v>ok</v>
      </c>
      <c r="I448" s="36" t="s">
        <v>8546</v>
      </c>
      <c r="J448" s="36" t="s">
        <v>18</v>
      </c>
      <c r="K448" s="36"/>
      <c r="L448" s="36"/>
      <c r="M448" s="36" t="s">
        <v>4799</v>
      </c>
    </row>
    <row r="449" spans="1:13" hidden="1">
      <c r="A449" s="42">
        <f t="shared" si="7"/>
        <v>448</v>
      </c>
      <c r="B449" s="36" t="s">
        <v>6</v>
      </c>
      <c r="C449" s="36" t="s">
        <v>8543</v>
      </c>
      <c r="D449" s="9" t="s">
        <v>7739</v>
      </c>
      <c r="F449" s="9" t="s">
        <v>8192</v>
      </c>
      <c r="G449" s="36" t="s">
        <v>13</v>
      </c>
      <c r="H449" s="36" t="str">
        <f>IFERROR(VLOOKUP(Table2[[#This Row], [Ticket]],Okey!A:B,2,0),"")</f>
        <v>ok</v>
      </c>
      <c r="I449" s="36" t="s">
        <v>8546</v>
      </c>
      <c r="J449" s="36" t="s">
        <v>18</v>
      </c>
      <c r="K449" s="36"/>
      <c r="L449" s="36"/>
      <c r="M449" s="36" t="s">
        <v>4799</v>
      </c>
    </row>
    <row r="450" spans="1:13" hidden="1">
      <c r="A450" s="42">
        <f t="shared" si="7"/>
        <v>449</v>
      </c>
      <c r="B450" s="36" t="s">
        <v>6</v>
      </c>
      <c r="C450" s="36" t="s">
        <v>8543</v>
      </c>
      <c r="D450" s="9" t="s">
        <v>6524</v>
      </c>
      <c r="F450" s="36" t="s">
        <v>8592</v>
      </c>
      <c r="G450" s="36" t="s">
        <v>13</v>
      </c>
      <c r="H450" s="36" t="str">
        <f>IFERROR(VLOOKUP(Table2[[#This Row], [Ticket]],Okey!A:B,2,0),"")</f>
        <v>ok</v>
      </c>
      <c r="I450" s="36" t="s">
        <v>8546</v>
      </c>
      <c r="J450" s="36" t="s">
        <v>18</v>
      </c>
      <c r="K450" s="36"/>
      <c r="L450" s="36"/>
      <c r="M450" s="36" t="s">
        <v>4799</v>
      </c>
    </row>
    <row r="451" spans="1:13" hidden="1">
      <c r="A451" s="42">
        <f t="shared" si="7"/>
        <v>450</v>
      </c>
      <c r="B451" s="36" t="s">
        <v>6</v>
      </c>
      <c r="C451" s="36" t="s">
        <v>8543</v>
      </c>
      <c r="D451" s="9" t="s">
        <v>8428</v>
      </c>
      <c r="F451" s="36" t="s">
        <v>8591</v>
      </c>
      <c r="G451" s="36" t="s">
        <v>13</v>
      </c>
      <c r="H451" s="36" t="str">
        <f>IFERROR(VLOOKUP(Table2[[#This Row], [Ticket]],Okey!A:B,2,0),"")</f>
        <v>ok</v>
      </c>
      <c r="I451" s="36" t="s">
        <v>8546</v>
      </c>
      <c r="J451" s="36" t="s">
        <v>18</v>
      </c>
      <c r="K451" s="36"/>
      <c r="L451" s="36"/>
      <c r="M451" s="36" t="s">
        <v>4799</v>
      </c>
    </row>
    <row r="452" spans="1:13" hidden="1">
      <c r="A452" s="42">
        <f t="shared" si="7"/>
        <v>451</v>
      </c>
      <c r="B452" s="36" t="s">
        <v>6</v>
      </c>
      <c r="C452" s="36" t="s">
        <v>8543</v>
      </c>
      <c r="D452" s="9" t="s">
        <v>3570</v>
      </c>
      <c r="F452" s="36" t="s">
        <v>8592</v>
      </c>
      <c r="G452" s="36" t="s">
        <v>13</v>
      </c>
      <c r="H452" s="36" t="str">
        <f>IFERROR(VLOOKUP(Table2[[#This Row], [Ticket]],Okey!A:B,2,0),"")</f>
        <v>ok</v>
      </c>
      <c r="I452" s="36" t="s">
        <v>8546</v>
      </c>
      <c r="J452" s="36" t="s">
        <v>18</v>
      </c>
      <c r="K452" s="36"/>
      <c r="L452" s="36"/>
      <c r="M452" s="36" t="s">
        <v>4799</v>
      </c>
    </row>
    <row r="453" spans="1:13" hidden="1">
      <c r="A453" s="42">
        <f t="shared" si="7"/>
        <v>452</v>
      </c>
      <c r="B453" s="36" t="s">
        <v>6</v>
      </c>
      <c r="C453" s="36" t="s">
        <v>8543</v>
      </c>
      <c r="D453" s="9" t="s">
        <v>8429</v>
      </c>
      <c r="F453" s="36" t="s">
        <v>8595</v>
      </c>
      <c r="G453" s="36" t="s">
        <v>13</v>
      </c>
      <c r="H453" s="36" t="str">
        <f>IFERROR(VLOOKUP(Table2[[#This Row], [Ticket]],Okey!A:B,2,0),"")</f>
        <v>ok</v>
      </c>
      <c r="I453" s="36" t="s">
        <v>8546</v>
      </c>
      <c r="J453" s="36" t="s">
        <v>18</v>
      </c>
      <c r="K453" s="36"/>
      <c r="L453" s="36"/>
      <c r="M453" s="36" t="s">
        <v>4799</v>
      </c>
    </row>
    <row r="454" spans="1:13" hidden="1">
      <c r="A454" s="42">
        <f t="shared" si="7"/>
        <v>453</v>
      </c>
      <c r="B454" s="36" t="s">
        <v>6</v>
      </c>
      <c r="C454" s="36" t="s">
        <v>8543</v>
      </c>
      <c r="D454" s="9" t="s">
        <v>8430</v>
      </c>
      <c r="F454" s="36" t="s">
        <v>8599</v>
      </c>
      <c r="G454" s="36" t="s">
        <v>13</v>
      </c>
      <c r="H454" s="36" t="str">
        <f>IFERROR(VLOOKUP(Table2[[#This Row], [Ticket]],Okey!A:B,2,0),"")</f>
        <v>ok</v>
      </c>
      <c r="I454" s="36" t="s">
        <v>8546</v>
      </c>
      <c r="J454" s="36" t="s">
        <v>18</v>
      </c>
      <c r="K454" s="36"/>
      <c r="L454" s="36"/>
      <c r="M454" s="36" t="s">
        <v>4799</v>
      </c>
    </row>
    <row r="455" spans="1:13" hidden="1">
      <c r="A455" s="42">
        <f t="shared" si="7"/>
        <v>454</v>
      </c>
      <c r="B455" s="36" t="s">
        <v>6</v>
      </c>
      <c r="C455" s="36" t="s">
        <v>8543</v>
      </c>
      <c r="D455" s="9" t="s">
        <v>8431</v>
      </c>
      <c r="F455" s="36" t="s">
        <v>8604</v>
      </c>
      <c r="G455" s="36" t="s">
        <v>13</v>
      </c>
      <c r="H455" s="36" t="str">
        <f>IFERROR(VLOOKUP(Table2[[#This Row], [Ticket]],Okey!A:B,2,0),"")</f>
        <v>ok</v>
      </c>
      <c r="I455" s="36" t="s">
        <v>8546</v>
      </c>
      <c r="J455" s="36" t="s">
        <v>18</v>
      </c>
      <c r="K455" s="36"/>
      <c r="L455" s="36"/>
      <c r="M455" s="36" t="s">
        <v>4799</v>
      </c>
    </row>
    <row r="456" spans="1:13" hidden="1">
      <c r="A456" s="42">
        <f t="shared" si="7"/>
        <v>455</v>
      </c>
      <c r="B456" s="36" t="s">
        <v>6</v>
      </c>
      <c r="C456" s="36" t="s">
        <v>8543</v>
      </c>
      <c r="D456" s="9" t="s">
        <v>8432</v>
      </c>
      <c r="F456" s="36" t="s">
        <v>8604</v>
      </c>
      <c r="G456" s="36" t="s">
        <v>13</v>
      </c>
      <c r="H456" s="36" t="str">
        <f>IFERROR(VLOOKUP(Table2[[#This Row], [Ticket]],Okey!A:B,2,0),"")</f>
        <v>ok</v>
      </c>
      <c r="I456" s="36" t="s">
        <v>8546</v>
      </c>
      <c r="J456" s="36" t="s">
        <v>18</v>
      </c>
      <c r="K456" s="36"/>
      <c r="L456" s="36"/>
      <c r="M456" s="36" t="s">
        <v>4799</v>
      </c>
    </row>
    <row r="457" spans="1:13" hidden="1">
      <c r="A457" s="42">
        <f t="shared" si="7"/>
        <v>456</v>
      </c>
      <c r="B457" s="36" t="s">
        <v>6</v>
      </c>
      <c r="C457" s="36" t="s">
        <v>8543</v>
      </c>
      <c r="D457" s="9" t="s">
        <v>8433</v>
      </c>
      <c r="F457" s="36" t="s">
        <v>8601</v>
      </c>
      <c r="G457" s="36" t="s">
        <v>13</v>
      </c>
      <c r="H457" s="36" t="str">
        <f>IFERROR(VLOOKUP(Table2[[#This Row], [Ticket]],Okey!A:B,2,0),"")</f>
        <v>ok</v>
      </c>
      <c r="I457" s="36" t="s">
        <v>8546</v>
      </c>
      <c r="J457" s="36" t="s">
        <v>18</v>
      </c>
      <c r="K457" s="36"/>
      <c r="L457" s="36"/>
      <c r="M457" s="36" t="s">
        <v>4799</v>
      </c>
    </row>
    <row r="458" spans="1:13" hidden="1">
      <c r="A458" s="42">
        <f t="shared" si="7"/>
        <v>457</v>
      </c>
      <c r="B458" s="36" t="s">
        <v>6</v>
      </c>
      <c r="C458" s="36" t="s">
        <v>8543</v>
      </c>
      <c r="D458" s="9" t="s">
        <v>8434</v>
      </c>
      <c r="F458" s="36" t="s">
        <v>8601</v>
      </c>
      <c r="G458" s="36" t="s">
        <v>13</v>
      </c>
      <c r="H458" s="36" t="str">
        <f>IFERROR(VLOOKUP(Table2[[#This Row], [Ticket]],Okey!A:B,2,0),"")</f>
        <v>ok</v>
      </c>
      <c r="I458" s="36" t="s">
        <v>8546</v>
      </c>
      <c r="J458" s="36" t="s">
        <v>18</v>
      </c>
      <c r="K458" s="36"/>
      <c r="L458" s="36"/>
      <c r="M458" s="36" t="s">
        <v>4799</v>
      </c>
    </row>
    <row r="459" spans="1:13" hidden="1">
      <c r="A459" s="42">
        <f t="shared" si="7"/>
        <v>458</v>
      </c>
      <c r="B459" s="36" t="s">
        <v>6</v>
      </c>
      <c r="C459" s="36" t="s">
        <v>8543</v>
      </c>
      <c r="D459" s="9" t="s">
        <v>8435</v>
      </c>
      <c r="F459" s="36" t="s">
        <v>8601</v>
      </c>
      <c r="G459" s="36" t="s">
        <v>13</v>
      </c>
      <c r="H459" s="36" t="str">
        <f>IFERROR(VLOOKUP(Table2[[#This Row], [Ticket]],Okey!A:B,2,0),"")</f>
        <v>ok</v>
      </c>
      <c r="I459" s="36" t="s">
        <v>8546</v>
      </c>
      <c r="J459" s="36" t="s">
        <v>18</v>
      </c>
      <c r="K459" s="36"/>
      <c r="L459" s="36"/>
      <c r="M459" s="36" t="s">
        <v>4799</v>
      </c>
    </row>
    <row r="460" spans="1:13" hidden="1">
      <c r="A460" s="42">
        <f t="shared" si="7"/>
        <v>459</v>
      </c>
      <c r="B460" s="36" t="s">
        <v>6</v>
      </c>
      <c r="C460" s="36" t="s">
        <v>8543</v>
      </c>
      <c r="D460" s="9" t="s">
        <v>8436</v>
      </c>
      <c r="F460" s="36" t="s">
        <v>8601</v>
      </c>
      <c r="G460" s="36" t="s">
        <v>13</v>
      </c>
      <c r="H460" s="36" t="str">
        <f>IFERROR(VLOOKUP(Table2[[#This Row], [Ticket]],Okey!A:B,2,0),"")</f>
        <v>ok</v>
      </c>
      <c r="I460" s="36" t="s">
        <v>8546</v>
      </c>
      <c r="J460" s="36" t="s">
        <v>18</v>
      </c>
      <c r="K460" s="36"/>
      <c r="L460" s="36"/>
      <c r="M460" s="36" t="s">
        <v>4799</v>
      </c>
    </row>
    <row r="461" spans="1:13" hidden="1">
      <c r="A461" s="42">
        <f t="shared" si="7"/>
        <v>460</v>
      </c>
      <c r="B461" s="36" t="s">
        <v>6</v>
      </c>
      <c r="C461" s="36" t="s">
        <v>8543</v>
      </c>
      <c r="D461" s="9" t="s">
        <v>8437</v>
      </c>
      <c r="F461" s="36" t="s">
        <v>8601</v>
      </c>
      <c r="G461" s="36" t="s">
        <v>13</v>
      </c>
      <c r="H461" s="36" t="str">
        <f>IFERROR(VLOOKUP(Table2[[#This Row], [Ticket]],Okey!A:B,2,0),"")</f>
        <v>ok</v>
      </c>
      <c r="I461" s="36" t="s">
        <v>8546</v>
      </c>
      <c r="J461" s="36" t="s">
        <v>18</v>
      </c>
      <c r="K461" s="36"/>
      <c r="L461" s="36"/>
      <c r="M461" s="36" t="s">
        <v>4799</v>
      </c>
    </row>
    <row r="462" spans="1:13" hidden="1">
      <c r="A462" s="42">
        <f t="shared" si="7"/>
        <v>461</v>
      </c>
      <c r="B462" s="36" t="s">
        <v>6</v>
      </c>
      <c r="C462" s="36" t="s">
        <v>8543</v>
      </c>
      <c r="D462" s="9" t="s">
        <v>8438</v>
      </c>
      <c r="F462" s="36" t="s">
        <v>8601</v>
      </c>
      <c r="G462" s="36" t="s">
        <v>13</v>
      </c>
      <c r="H462" s="36" t="str">
        <f>IFERROR(VLOOKUP(Table2[[#This Row], [Ticket]],Okey!A:B,2,0),"")</f>
        <v>ok</v>
      </c>
      <c r="I462" s="36" t="s">
        <v>8546</v>
      </c>
      <c r="J462" s="36" t="s">
        <v>18</v>
      </c>
      <c r="K462" s="36"/>
      <c r="L462" s="36"/>
      <c r="M462" s="36" t="s">
        <v>4799</v>
      </c>
    </row>
    <row r="463" spans="1:13" hidden="1">
      <c r="A463" s="42">
        <f t="shared" si="7"/>
        <v>462</v>
      </c>
      <c r="B463" s="36" t="s">
        <v>6</v>
      </c>
      <c r="C463" s="36" t="s">
        <v>8543</v>
      </c>
      <c r="D463" s="9" t="s">
        <v>8439</v>
      </c>
      <c r="F463" s="36" t="s">
        <v>8601</v>
      </c>
      <c r="G463" s="36" t="s">
        <v>13</v>
      </c>
      <c r="H463" s="36" t="str">
        <f>IFERROR(VLOOKUP(Table2[[#This Row], [Ticket]],Okey!A:B,2,0),"")</f>
        <v>ok</v>
      </c>
      <c r="I463" s="36" t="s">
        <v>8546</v>
      </c>
      <c r="J463" s="36" t="s">
        <v>18</v>
      </c>
      <c r="K463" s="36"/>
      <c r="L463" s="36"/>
      <c r="M463" s="36" t="s">
        <v>4799</v>
      </c>
    </row>
    <row r="464" spans="1:13" hidden="1">
      <c r="A464" s="42">
        <f t="shared" si="7"/>
        <v>463</v>
      </c>
      <c r="B464" s="36" t="s">
        <v>6</v>
      </c>
      <c r="C464" s="36" t="s">
        <v>8543</v>
      </c>
      <c r="D464" s="9" t="s">
        <v>8440</v>
      </c>
      <c r="F464" s="36" t="s">
        <v>8601</v>
      </c>
      <c r="G464" s="36" t="s">
        <v>13</v>
      </c>
      <c r="H464" s="36" t="str">
        <f>IFERROR(VLOOKUP(Table2[[#This Row], [Ticket]],Okey!A:B,2,0),"")</f>
        <v>ok</v>
      </c>
      <c r="I464" s="36" t="s">
        <v>8546</v>
      </c>
      <c r="J464" s="36" t="s">
        <v>18</v>
      </c>
      <c r="K464" s="36"/>
      <c r="L464" s="36"/>
      <c r="M464" s="36" t="s">
        <v>4799</v>
      </c>
    </row>
    <row r="465" spans="1:13" hidden="1">
      <c r="A465" s="42">
        <f t="shared" si="7"/>
        <v>464</v>
      </c>
      <c r="B465" s="36" t="s">
        <v>6</v>
      </c>
      <c r="C465" s="36" t="s">
        <v>8543</v>
      </c>
      <c r="D465" s="9" t="s">
        <v>8441</v>
      </c>
      <c r="F465" s="36" t="s">
        <v>8609</v>
      </c>
      <c r="G465" s="36" t="s">
        <v>13</v>
      </c>
      <c r="H465" s="36" t="str">
        <f>IFERROR(VLOOKUP(Table2[[#This Row], [Ticket]],Okey!A:B,2,0),"")</f>
        <v>ok</v>
      </c>
      <c r="I465" s="36" t="s">
        <v>8546</v>
      </c>
      <c r="J465" s="36" t="s">
        <v>18</v>
      </c>
      <c r="K465" s="36"/>
      <c r="L465" s="36"/>
      <c r="M465" s="36" t="s">
        <v>4799</v>
      </c>
    </row>
    <row r="466" spans="1:13" hidden="1">
      <c r="A466" s="42">
        <f t="shared" si="7"/>
        <v>465</v>
      </c>
      <c r="B466" s="36" t="s">
        <v>6</v>
      </c>
      <c r="C466" s="36" t="s">
        <v>8543</v>
      </c>
      <c r="D466" s="9" t="s">
        <v>8442</v>
      </c>
      <c r="F466" s="36" t="s">
        <v>8613</v>
      </c>
      <c r="G466" s="36" t="s">
        <v>13</v>
      </c>
      <c r="H466" s="36" t="str">
        <f>IFERROR(VLOOKUP(Table2[[#This Row], [Ticket]],Okey!A:B,2,0),"")</f>
        <v>ok</v>
      </c>
      <c r="I466" s="36" t="s">
        <v>8546</v>
      </c>
      <c r="J466" s="36" t="s">
        <v>18</v>
      </c>
      <c r="K466" s="36"/>
      <c r="L466" s="36"/>
      <c r="M466" s="36" t="s">
        <v>4799</v>
      </c>
    </row>
    <row r="467" spans="1:13" hidden="1">
      <c r="A467" s="42">
        <f t="shared" si="7"/>
        <v>466</v>
      </c>
      <c r="B467" s="36" t="s">
        <v>6</v>
      </c>
      <c r="C467" s="36" t="s">
        <v>8543</v>
      </c>
      <c r="D467" s="9" t="s">
        <v>1268</v>
      </c>
      <c r="F467" s="9" t="s">
        <v>1274</v>
      </c>
      <c r="G467" s="36" t="s">
        <v>13</v>
      </c>
      <c r="H467" s="36" t="str">
        <f>IFERROR(VLOOKUP(Table2[[#This Row], [Ticket]],Okey!A:B,2,0),"")</f>
        <v>ok</v>
      </c>
      <c r="I467" s="36" t="s">
        <v>8546</v>
      </c>
      <c r="J467" s="36" t="s">
        <v>18</v>
      </c>
      <c r="K467" s="36"/>
      <c r="L467" s="36"/>
      <c r="M467" s="36" t="s">
        <v>4799</v>
      </c>
    </row>
    <row r="468" spans="1:13" hidden="1">
      <c r="A468" s="42">
        <f t="shared" ref="A468:A531" si="8">1+A467</f>
        <v>467</v>
      </c>
      <c r="B468" s="36" t="s">
        <v>6</v>
      </c>
      <c r="C468" s="36" t="s">
        <v>8543</v>
      </c>
      <c r="D468" s="9" t="s">
        <v>8443</v>
      </c>
      <c r="F468" s="36" t="s">
        <v>8614</v>
      </c>
      <c r="G468" s="36" t="s">
        <v>13</v>
      </c>
      <c r="H468" s="36" t="str">
        <f>IFERROR(VLOOKUP(Table2[[#This Row], [Ticket]],Okey!A:B,2,0),"")</f>
        <v>ok</v>
      </c>
      <c r="I468" s="36" t="s">
        <v>8546</v>
      </c>
      <c r="J468" s="36" t="s">
        <v>18</v>
      </c>
      <c r="K468" s="36"/>
      <c r="L468" s="36"/>
      <c r="M468" s="36" t="s">
        <v>4799</v>
      </c>
    </row>
    <row r="469" spans="1:13" hidden="1">
      <c r="A469" s="42">
        <f t="shared" si="8"/>
        <v>468</v>
      </c>
      <c r="B469" s="36" t="s">
        <v>6</v>
      </c>
      <c r="C469" s="36" t="s">
        <v>8543</v>
      </c>
      <c r="D469" s="9" t="s">
        <v>1272</v>
      </c>
      <c r="F469" s="36" t="s">
        <v>8614</v>
      </c>
      <c r="G469" s="36" t="s">
        <v>13</v>
      </c>
      <c r="H469" s="36" t="str">
        <f>IFERROR(VLOOKUP(Table2[[#This Row], [Ticket]],Okey!A:B,2,0),"")</f>
        <v>ok</v>
      </c>
      <c r="I469" s="36" t="s">
        <v>8546</v>
      </c>
      <c r="J469" s="36" t="s">
        <v>18</v>
      </c>
      <c r="K469" s="36"/>
      <c r="L469" s="36"/>
      <c r="M469" s="36" t="s">
        <v>4799</v>
      </c>
    </row>
    <row r="470" spans="1:13" hidden="1">
      <c r="A470" s="42">
        <f t="shared" si="8"/>
        <v>469</v>
      </c>
      <c r="B470" s="36" t="s">
        <v>6</v>
      </c>
      <c r="C470" s="36" t="s">
        <v>8543</v>
      </c>
      <c r="D470" s="9" t="s">
        <v>8444</v>
      </c>
      <c r="F470" s="36" t="s">
        <v>8615</v>
      </c>
      <c r="G470" s="36" t="s">
        <v>13</v>
      </c>
      <c r="H470" s="36" t="str">
        <f>IFERROR(VLOOKUP(Table2[[#This Row], [Ticket]],Okey!A:B,2,0),"")</f>
        <v>ok</v>
      </c>
      <c r="I470" s="36" t="s">
        <v>8546</v>
      </c>
      <c r="J470" s="36" t="s">
        <v>18</v>
      </c>
      <c r="K470" s="36"/>
      <c r="L470" s="36"/>
      <c r="M470" s="36" t="s">
        <v>4799</v>
      </c>
    </row>
    <row r="471" spans="1:13" hidden="1">
      <c r="A471" s="42">
        <f t="shared" si="8"/>
        <v>470</v>
      </c>
      <c r="B471" s="36" t="s">
        <v>6</v>
      </c>
      <c r="C471" s="36" t="s">
        <v>8543</v>
      </c>
      <c r="D471" s="9" t="s">
        <v>5580</v>
      </c>
      <c r="F471" s="36" t="s">
        <v>8615</v>
      </c>
      <c r="G471" s="36" t="s">
        <v>13</v>
      </c>
      <c r="H471" s="36" t="str">
        <f>IFERROR(VLOOKUP(Table2[[#This Row], [Ticket]],Okey!A:B,2,0),"")</f>
        <v>ok</v>
      </c>
      <c r="I471" s="36" t="s">
        <v>8546</v>
      </c>
      <c r="J471" s="36" t="s">
        <v>18</v>
      </c>
      <c r="K471" s="36"/>
      <c r="L471" s="36"/>
      <c r="M471" s="36" t="s">
        <v>4799</v>
      </c>
    </row>
    <row r="472" spans="1:13" hidden="1">
      <c r="A472" s="42">
        <f t="shared" si="8"/>
        <v>471</v>
      </c>
      <c r="B472" s="36" t="s">
        <v>6</v>
      </c>
      <c r="C472" s="36" t="s">
        <v>8543</v>
      </c>
      <c r="D472" s="9" t="s">
        <v>8445</v>
      </c>
      <c r="F472" s="36" t="s">
        <v>8616</v>
      </c>
      <c r="G472" s="36" t="s">
        <v>13</v>
      </c>
      <c r="H472" s="36" t="str">
        <f>IFERROR(VLOOKUP(Table2[[#This Row], [Ticket]],Okey!A:B,2,0),"")</f>
        <v>ok</v>
      </c>
      <c r="I472" s="36" t="s">
        <v>8546</v>
      </c>
      <c r="J472" s="36" t="s">
        <v>18</v>
      </c>
      <c r="K472" s="36"/>
      <c r="L472" s="36"/>
      <c r="M472" s="36" t="s">
        <v>4799</v>
      </c>
    </row>
    <row r="473" spans="1:13" hidden="1">
      <c r="A473" s="42">
        <f t="shared" si="8"/>
        <v>472</v>
      </c>
      <c r="B473" s="36" t="s">
        <v>6</v>
      </c>
      <c r="C473" s="36" t="s">
        <v>8543</v>
      </c>
      <c r="D473" s="9" t="s">
        <v>8446</v>
      </c>
      <c r="F473" s="36" t="s">
        <v>8616</v>
      </c>
      <c r="G473" s="36" t="s">
        <v>13</v>
      </c>
      <c r="H473" s="36" t="str">
        <f>IFERROR(VLOOKUP(Table2[[#This Row], [Ticket]],Okey!A:B,2,0),"")</f>
        <v>ok</v>
      </c>
      <c r="I473" s="36" t="s">
        <v>8546</v>
      </c>
      <c r="J473" s="36" t="s">
        <v>18</v>
      </c>
      <c r="K473" s="36"/>
      <c r="L473" s="36"/>
      <c r="M473" s="36" t="s">
        <v>4799</v>
      </c>
    </row>
    <row r="474" spans="1:13" hidden="1">
      <c r="A474" s="42">
        <f t="shared" si="8"/>
        <v>473</v>
      </c>
      <c r="B474" s="36" t="s">
        <v>6</v>
      </c>
      <c r="C474" s="36" t="s">
        <v>8543</v>
      </c>
      <c r="D474" s="9" t="s">
        <v>8447</v>
      </c>
      <c r="F474" s="36" t="s">
        <v>8629</v>
      </c>
      <c r="G474" s="36" t="s">
        <v>13</v>
      </c>
      <c r="H474" s="36" t="str">
        <f>IFERROR(VLOOKUP(Table2[[#This Row], [Ticket]],Okey!A:B,2,0),"")</f>
        <v>ok</v>
      </c>
      <c r="I474" s="36" t="s">
        <v>8546</v>
      </c>
      <c r="J474" s="36" t="s">
        <v>18</v>
      </c>
      <c r="K474" s="36"/>
      <c r="L474" s="36"/>
      <c r="M474" s="36" t="s">
        <v>4799</v>
      </c>
    </row>
    <row r="475" spans="1:13" hidden="1">
      <c r="A475" s="42">
        <f t="shared" si="8"/>
        <v>474</v>
      </c>
      <c r="B475" s="36" t="s">
        <v>6</v>
      </c>
      <c r="C475" s="36" t="s">
        <v>8543</v>
      </c>
      <c r="D475" s="9" t="s">
        <v>8448</v>
      </c>
      <c r="F475" s="36" t="s">
        <v>8629</v>
      </c>
      <c r="G475" s="36" t="s">
        <v>13</v>
      </c>
      <c r="H475" s="36" t="str">
        <f>IFERROR(VLOOKUP(Table2[[#This Row], [Ticket]],Okey!A:B,2,0),"")</f>
        <v>ok</v>
      </c>
      <c r="I475" s="36" t="s">
        <v>8546</v>
      </c>
      <c r="J475" s="36" t="s">
        <v>18</v>
      </c>
      <c r="K475" s="36"/>
      <c r="L475" s="36"/>
      <c r="M475" s="36" t="s">
        <v>4799</v>
      </c>
    </row>
    <row r="476" spans="1:13" hidden="1">
      <c r="A476" s="42">
        <f t="shared" si="8"/>
        <v>475</v>
      </c>
      <c r="B476" s="36" t="s">
        <v>6</v>
      </c>
      <c r="C476" s="36" t="s">
        <v>8543</v>
      </c>
      <c r="D476" s="9" t="s">
        <v>8449</v>
      </c>
      <c r="F476" s="36" t="s">
        <v>8629</v>
      </c>
      <c r="G476" s="36" t="s">
        <v>13</v>
      </c>
      <c r="H476" s="36" t="str">
        <f>IFERROR(VLOOKUP(Table2[[#This Row], [Ticket]],Okey!A:B,2,0),"")</f>
        <v>ok</v>
      </c>
      <c r="I476" s="36" t="s">
        <v>8546</v>
      </c>
      <c r="J476" s="36" t="s">
        <v>18</v>
      </c>
      <c r="K476" s="36"/>
      <c r="L476" s="36"/>
      <c r="M476" s="36" t="s">
        <v>4799</v>
      </c>
    </row>
    <row r="477" spans="1:13" hidden="1">
      <c r="A477" s="42">
        <f t="shared" si="8"/>
        <v>476</v>
      </c>
      <c r="B477" s="36" t="s">
        <v>6</v>
      </c>
      <c r="C477" s="36" t="s">
        <v>8543</v>
      </c>
      <c r="D477" s="9" t="s">
        <v>5525</v>
      </c>
      <c r="F477" s="36" t="s">
        <v>8634</v>
      </c>
      <c r="G477" s="36" t="s">
        <v>13</v>
      </c>
      <c r="H477" s="36" t="str">
        <f>IFERROR(VLOOKUP(Table2[[#This Row], [Ticket]],Okey!A:B,2,0),"")</f>
        <v>ok</v>
      </c>
      <c r="I477" s="36" t="s">
        <v>8546</v>
      </c>
      <c r="J477" s="36" t="s">
        <v>18</v>
      </c>
      <c r="K477" s="36"/>
      <c r="L477" s="36"/>
      <c r="M477" s="36" t="s">
        <v>4799</v>
      </c>
    </row>
    <row r="478" spans="1:13" hidden="1">
      <c r="A478" s="42">
        <f t="shared" si="8"/>
        <v>477</v>
      </c>
      <c r="B478" s="36" t="s">
        <v>6</v>
      </c>
      <c r="C478" s="36" t="s">
        <v>8543</v>
      </c>
      <c r="D478" s="9" t="s">
        <v>8450</v>
      </c>
      <c r="F478" s="36" t="s">
        <v>8633</v>
      </c>
      <c r="G478" s="36" t="s">
        <v>13</v>
      </c>
      <c r="H478" s="36" t="str">
        <f>IFERROR(VLOOKUP(Table2[[#This Row], [Ticket]],Okey!A:B,2,0),"")</f>
        <v>ok</v>
      </c>
      <c r="I478" s="36" t="s">
        <v>8546</v>
      </c>
      <c r="J478" s="36" t="s">
        <v>18</v>
      </c>
      <c r="K478" s="36"/>
      <c r="L478" s="36"/>
      <c r="M478" s="36" t="s">
        <v>4799</v>
      </c>
    </row>
    <row r="479" spans="1:13" hidden="1">
      <c r="A479" s="42">
        <f t="shared" si="8"/>
        <v>478</v>
      </c>
      <c r="B479" s="36" t="s">
        <v>6</v>
      </c>
      <c r="C479" s="36" t="s">
        <v>8543</v>
      </c>
      <c r="D479" s="9" t="s">
        <v>4009</v>
      </c>
      <c r="F479" s="36" t="s">
        <v>8633</v>
      </c>
      <c r="G479" s="36" t="s">
        <v>13</v>
      </c>
      <c r="H479" s="36" t="str">
        <f>IFERROR(VLOOKUP(Table2[[#This Row], [Ticket]],Okey!A:B,2,0),"")</f>
        <v>ok</v>
      </c>
      <c r="I479" s="36" t="s">
        <v>8546</v>
      </c>
      <c r="J479" s="36" t="s">
        <v>18</v>
      </c>
      <c r="K479" s="36"/>
      <c r="L479" s="36"/>
      <c r="M479" s="36" t="s">
        <v>4799</v>
      </c>
    </row>
    <row r="480" spans="1:13" hidden="1">
      <c r="A480" s="42">
        <f t="shared" si="8"/>
        <v>479</v>
      </c>
      <c r="B480" s="36" t="s">
        <v>6</v>
      </c>
      <c r="C480" s="36" t="s">
        <v>8543</v>
      </c>
      <c r="D480" s="9" t="s">
        <v>8451</v>
      </c>
      <c r="F480" s="36" t="s">
        <v>8634</v>
      </c>
      <c r="G480" s="36" t="s">
        <v>13</v>
      </c>
      <c r="H480" s="36" t="str">
        <f>IFERROR(VLOOKUP(Table2[[#This Row], [Ticket]],Okey!A:B,2,0),"")</f>
        <v>ok</v>
      </c>
      <c r="I480" s="36" t="s">
        <v>8546</v>
      </c>
      <c r="J480" s="36" t="s">
        <v>18</v>
      </c>
      <c r="K480" s="36"/>
      <c r="L480" s="36"/>
      <c r="M480" s="36" t="s">
        <v>4799</v>
      </c>
    </row>
    <row r="481" spans="1:13" hidden="1">
      <c r="A481" s="42">
        <f t="shared" si="8"/>
        <v>480</v>
      </c>
      <c r="B481" s="36" t="s">
        <v>6</v>
      </c>
      <c r="C481" s="36" t="s">
        <v>8543</v>
      </c>
      <c r="D481" s="9" t="s">
        <v>6508</v>
      </c>
      <c r="F481" s="36" t="s">
        <v>8634</v>
      </c>
      <c r="G481" s="36" t="s">
        <v>13</v>
      </c>
      <c r="H481" s="36" t="str">
        <f>IFERROR(VLOOKUP(Table2[[#This Row], [Ticket]],Okey!A:B,2,0),"")</f>
        <v>ok</v>
      </c>
      <c r="I481" s="36" t="s">
        <v>8546</v>
      </c>
      <c r="J481" s="36" t="s">
        <v>18</v>
      </c>
      <c r="K481" s="36"/>
      <c r="L481" s="36"/>
      <c r="M481" s="36" t="s">
        <v>4799</v>
      </c>
    </row>
    <row r="482" spans="1:13" hidden="1">
      <c r="A482" s="42">
        <f t="shared" si="8"/>
        <v>481</v>
      </c>
      <c r="B482" s="36" t="s">
        <v>6</v>
      </c>
      <c r="C482" s="36" t="s">
        <v>8543</v>
      </c>
      <c r="D482" s="9" t="s">
        <v>8452</v>
      </c>
      <c r="F482" s="36" t="s">
        <v>8634</v>
      </c>
      <c r="G482" s="36" t="s">
        <v>13</v>
      </c>
      <c r="H482" s="36" t="str">
        <f>IFERROR(VLOOKUP(Table2[[#This Row], [Ticket]],Okey!A:B,2,0),"")</f>
        <v>ok</v>
      </c>
      <c r="I482" s="36" t="s">
        <v>8546</v>
      </c>
      <c r="J482" s="36" t="s">
        <v>18</v>
      </c>
      <c r="K482" s="36"/>
      <c r="L482" s="36"/>
      <c r="M482" s="36" t="s">
        <v>4799</v>
      </c>
    </row>
    <row r="483" spans="1:13" hidden="1">
      <c r="A483" s="42">
        <f t="shared" si="8"/>
        <v>482</v>
      </c>
      <c r="B483" s="36" t="s">
        <v>6</v>
      </c>
      <c r="C483" s="36" t="s">
        <v>8543</v>
      </c>
      <c r="D483" s="9" t="s">
        <v>8453</v>
      </c>
      <c r="F483" s="36" t="s">
        <v>8636</v>
      </c>
      <c r="G483" s="36" t="s">
        <v>13</v>
      </c>
      <c r="H483" s="36" t="str">
        <f>IFERROR(VLOOKUP(Table2[[#This Row], [Ticket]],Okey!A:B,2,0),"")</f>
        <v>ok</v>
      </c>
      <c r="I483" s="36" t="s">
        <v>8546</v>
      </c>
      <c r="J483" s="36" t="s">
        <v>18</v>
      </c>
      <c r="K483" s="36"/>
      <c r="L483" s="36"/>
      <c r="M483" s="36" t="s">
        <v>4799</v>
      </c>
    </row>
    <row r="484" spans="1:13" hidden="1">
      <c r="A484" s="42">
        <f t="shared" si="8"/>
        <v>483</v>
      </c>
      <c r="B484" s="36" t="s">
        <v>6</v>
      </c>
      <c r="C484" s="36" t="s">
        <v>8543</v>
      </c>
      <c r="D484" s="9" t="s">
        <v>8454</v>
      </c>
      <c r="F484" s="36" t="s">
        <v>8636</v>
      </c>
      <c r="G484" s="36" t="s">
        <v>13</v>
      </c>
      <c r="H484" s="36" t="str">
        <f>IFERROR(VLOOKUP(Table2[[#This Row], [Ticket]],Okey!A:B,2,0),"")</f>
        <v>ok</v>
      </c>
      <c r="I484" s="36" t="s">
        <v>8546</v>
      </c>
      <c r="J484" s="36" t="s">
        <v>18</v>
      </c>
      <c r="K484" s="36"/>
      <c r="L484" s="36"/>
      <c r="M484" s="36" t="s">
        <v>4799</v>
      </c>
    </row>
    <row r="485" spans="1:13" hidden="1">
      <c r="A485" s="42">
        <f t="shared" si="8"/>
        <v>484</v>
      </c>
      <c r="B485" s="36" t="s">
        <v>6</v>
      </c>
      <c r="C485" s="36" t="s">
        <v>8543</v>
      </c>
      <c r="D485" s="9" t="s">
        <v>8455</v>
      </c>
      <c r="F485" s="9" t="s">
        <v>8238</v>
      </c>
      <c r="G485" s="36" t="s">
        <v>13</v>
      </c>
      <c r="H485" s="36" t="str">
        <f>IFERROR(VLOOKUP(Table2[[#This Row], [Ticket]],Okey!A:B,2,0),"")</f>
        <v>ok</v>
      </c>
      <c r="I485" s="36" t="s">
        <v>8546</v>
      </c>
      <c r="J485" s="36" t="s">
        <v>18</v>
      </c>
      <c r="K485" s="36"/>
      <c r="L485" s="36"/>
      <c r="M485" s="36" t="s">
        <v>4799</v>
      </c>
    </row>
    <row r="486" spans="1:13" hidden="1">
      <c r="A486" s="42">
        <f t="shared" si="8"/>
        <v>485</v>
      </c>
      <c r="B486" s="36" t="s">
        <v>6</v>
      </c>
      <c r="C486" s="36" t="s">
        <v>8543</v>
      </c>
      <c r="D486" s="9" t="s">
        <v>8456</v>
      </c>
      <c r="F486" s="9" t="s">
        <v>8407</v>
      </c>
      <c r="G486" s="36" t="s">
        <v>13</v>
      </c>
      <c r="H486" s="36" t="str">
        <f>IFERROR(VLOOKUP(Table2[[#This Row], [Ticket]],Okey!A:B,2,0),"")</f>
        <v>ok</v>
      </c>
      <c r="I486" s="36" t="s">
        <v>8546</v>
      </c>
      <c r="J486" s="36" t="s">
        <v>18</v>
      </c>
      <c r="K486" s="36"/>
      <c r="L486" s="36"/>
      <c r="M486" s="36" t="s">
        <v>4799</v>
      </c>
    </row>
    <row r="487" spans="1:13" hidden="1">
      <c r="A487" s="42">
        <f t="shared" si="8"/>
        <v>486</v>
      </c>
      <c r="B487" s="36" t="s">
        <v>6</v>
      </c>
      <c r="C487" s="36" t="s">
        <v>8543</v>
      </c>
      <c r="D487" s="9" t="s">
        <v>8457</v>
      </c>
      <c r="F487" s="36" t="s">
        <v>8646</v>
      </c>
      <c r="G487" s="36" t="s">
        <v>13</v>
      </c>
      <c r="H487" s="36" t="str">
        <f>IFERROR(VLOOKUP(Table2[[#This Row], [Ticket]],Okey!A:B,2,0),"")</f>
        <v>ok</v>
      </c>
      <c r="I487" s="36" t="s">
        <v>8546</v>
      </c>
      <c r="J487" s="36" t="s">
        <v>18</v>
      </c>
      <c r="K487" s="36"/>
      <c r="L487" s="36"/>
      <c r="M487" s="36" t="s">
        <v>4799</v>
      </c>
    </row>
    <row r="488" spans="1:13" hidden="1">
      <c r="A488" s="42">
        <f t="shared" si="8"/>
        <v>487</v>
      </c>
      <c r="B488" s="36" t="s">
        <v>6</v>
      </c>
      <c r="C488" s="36" t="s">
        <v>8543</v>
      </c>
      <c r="D488" s="9" t="s">
        <v>8458</v>
      </c>
      <c r="F488" s="36" t="s">
        <v>8646</v>
      </c>
      <c r="G488" s="36" t="s">
        <v>13</v>
      </c>
      <c r="H488" s="36" t="str">
        <f>IFERROR(VLOOKUP(Table2[[#This Row], [Ticket]],Okey!A:B,2,0),"")</f>
        <v>ok</v>
      </c>
      <c r="I488" s="36" t="s">
        <v>8546</v>
      </c>
      <c r="J488" s="36" t="s">
        <v>18</v>
      </c>
      <c r="K488" s="36"/>
      <c r="L488" s="36"/>
      <c r="M488" s="36" t="s">
        <v>4799</v>
      </c>
    </row>
    <row r="489" spans="1:13" hidden="1">
      <c r="A489" s="42">
        <f t="shared" si="8"/>
        <v>488</v>
      </c>
      <c r="B489" s="36" t="s">
        <v>6</v>
      </c>
      <c r="C489" s="36" t="s">
        <v>8543</v>
      </c>
      <c r="D489" s="9" t="s">
        <v>8459</v>
      </c>
      <c r="F489" s="36" t="s">
        <v>8654</v>
      </c>
      <c r="G489" s="36" t="s">
        <v>13</v>
      </c>
      <c r="H489" s="36" t="str">
        <f>IFERROR(VLOOKUP(Table2[[#This Row], [Ticket]],Okey!A:B,2,0),"")</f>
        <v>ok</v>
      </c>
      <c r="I489" s="36" t="s">
        <v>8546</v>
      </c>
      <c r="J489" s="36" t="s">
        <v>18</v>
      </c>
      <c r="K489" s="36"/>
      <c r="L489" s="36"/>
      <c r="M489" s="36" t="s">
        <v>4799</v>
      </c>
    </row>
    <row r="490" spans="1:13" hidden="1">
      <c r="A490" s="42">
        <f t="shared" si="8"/>
        <v>489</v>
      </c>
      <c r="B490" s="36" t="s">
        <v>6</v>
      </c>
      <c r="C490" s="36" t="s">
        <v>8543</v>
      </c>
      <c r="D490" s="9" t="s">
        <v>8460</v>
      </c>
      <c r="F490" s="36" t="s">
        <v>8654</v>
      </c>
      <c r="G490" s="36" t="s">
        <v>13</v>
      </c>
      <c r="H490" s="36" t="str">
        <f>IFERROR(VLOOKUP(Table2[[#This Row], [Ticket]],Okey!A:B,2,0),"")</f>
        <v>ok</v>
      </c>
      <c r="I490" s="36" t="s">
        <v>8546</v>
      </c>
      <c r="J490" s="36" t="s">
        <v>18</v>
      </c>
      <c r="K490" s="36"/>
      <c r="L490" s="36"/>
      <c r="M490" s="36" t="s">
        <v>4799</v>
      </c>
    </row>
    <row r="491" spans="1:13" hidden="1">
      <c r="A491" s="42">
        <f t="shared" si="8"/>
        <v>490</v>
      </c>
      <c r="B491" s="36" t="s">
        <v>6</v>
      </c>
      <c r="C491" s="36" t="s">
        <v>8543</v>
      </c>
      <c r="D491" s="9" t="s">
        <v>8461</v>
      </c>
      <c r="F491" s="9" t="s">
        <v>8257</v>
      </c>
      <c r="G491" s="36" t="s">
        <v>13</v>
      </c>
      <c r="H491" s="36" t="str">
        <f>IFERROR(VLOOKUP(Table2[[#This Row], [Ticket]],Okey!A:B,2,0),"")</f>
        <v>ok</v>
      </c>
      <c r="I491" s="36" t="s">
        <v>8546</v>
      </c>
      <c r="J491" s="36" t="s">
        <v>18</v>
      </c>
      <c r="K491" s="36"/>
      <c r="L491" s="36"/>
      <c r="M491" s="36" t="s">
        <v>4799</v>
      </c>
    </row>
    <row r="492" spans="1:13" hidden="1">
      <c r="A492" s="42">
        <f t="shared" si="8"/>
        <v>491</v>
      </c>
      <c r="B492" s="36" t="s">
        <v>6</v>
      </c>
      <c r="C492" s="36" t="s">
        <v>8543</v>
      </c>
      <c r="D492" s="9" t="s">
        <v>8462</v>
      </c>
      <c r="F492" s="9" t="s">
        <v>8257</v>
      </c>
      <c r="G492" s="36" t="s">
        <v>13</v>
      </c>
      <c r="H492" s="36" t="str">
        <f>IFERROR(VLOOKUP(Table2[[#This Row], [Ticket]],Okey!A:B,2,0),"")</f>
        <v>ok</v>
      </c>
      <c r="I492" s="36" t="s">
        <v>8546</v>
      </c>
      <c r="J492" s="36" t="s">
        <v>18</v>
      </c>
      <c r="K492" s="36"/>
      <c r="L492" s="36"/>
      <c r="M492" s="36" t="s">
        <v>4799</v>
      </c>
    </row>
    <row r="493" spans="1:13" hidden="1">
      <c r="A493" s="42">
        <f t="shared" si="8"/>
        <v>492</v>
      </c>
      <c r="B493" s="36" t="s">
        <v>6</v>
      </c>
      <c r="C493" s="36" t="s">
        <v>8543</v>
      </c>
      <c r="D493" s="9" t="s">
        <v>8463</v>
      </c>
      <c r="F493" s="36" t="s">
        <v>8655</v>
      </c>
      <c r="G493" s="36" t="s">
        <v>13</v>
      </c>
      <c r="H493" s="36" t="str">
        <f>IFERROR(VLOOKUP(Table2[[#This Row], [Ticket]],Okey!A:B,2,0),"")</f>
        <v>ok</v>
      </c>
      <c r="I493" s="36" t="s">
        <v>8546</v>
      </c>
      <c r="J493" s="36" t="s">
        <v>18</v>
      </c>
      <c r="K493" s="36"/>
      <c r="L493" s="36"/>
      <c r="M493" s="36" t="s">
        <v>4799</v>
      </c>
    </row>
    <row r="494" spans="1:13" hidden="1">
      <c r="A494" s="42">
        <f t="shared" si="8"/>
        <v>493</v>
      </c>
      <c r="B494" s="36" t="s">
        <v>6</v>
      </c>
      <c r="C494" s="36" t="s">
        <v>8543</v>
      </c>
      <c r="D494" s="9" t="s">
        <v>8464</v>
      </c>
      <c r="F494" s="36" t="s">
        <v>8655</v>
      </c>
      <c r="G494" s="36" t="s">
        <v>13</v>
      </c>
      <c r="H494" s="36" t="str">
        <f>IFERROR(VLOOKUP(Table2[[#This Row], [Ticket]],Okey!A:B,2,0),"")</f>
        <v>ok</v>
      </c>
      <c r="I494" s="36" t="s">
        <v>8546</v>
      </c>
      <c r="J494" s="36" t="s">
        <v>18</v>
      </c>
      <c r="K494" s="36"/>
      <c r="L494" s="36"/>
      <c r="M494" s="36" t="s">
        <v>4799</v>
      </c>
    </row>
    <row r="495" spans="1:13" hidden="1">
      <c r="A495" s="42">
        <f t="shared" si="8"/>
        <v>494</v>
      </c>
      <c r="B495" s="36" t="s">
        <v>6</v>
      </c>
      <c r="C495" s="36" t="s">
        <v>8543</v>
      </c>
      <c r="D495" s="9" t="s">
        <v>8465</v>
      </c>
      <c r="F495" s="36" t="s">
        <v>8659</v>
      </c>
      <c r="G495" s="36" t="s">
        <v>13</v>
      </c>
      <c r="H495" s="36" t="str">
        <f>IFERROR(VLOOKUP(Table2[[#This Row], [Ticket]],Okey!A:B,2,0),"")</f>
        <v>ok</v>
      </c>
      <c r="I495" s="36" t="s">
        <v>8546</v>
      </c>
      <c r="J495" s="36" t="s">
        <v>18</v>
      </c>
      <c r="K495" s="36"/>
      <c r="L495" s="36"/>
      <c r="M495" s="36" t="s">
        <v>4799</v>
      </c>
    </row>
    <row r="496" spans="1:13" hidden="1">
      <c r="A496" s="42">
        <f t="shared" si="8"/>
        <v>495</v>
      </c>
      <c r="B496" s="36" t="s">
        <v>6</v>
      </c>
      <c r="C496" s="36" t="s">
        <v>8543</v>
      </c>
      <c r="D496" s="9" t="s">
        <v>8466</v>
      </c>
      <c r="F496" s="36" t="s">
        <v>8659</v>
      </c>
      <c r="G496" s="36" t="s">
        <v>13</v>
      </c>
      <c r="H496" s="36" t="str">
        <f>IFERROR(VLOOKUP(Table2[[#This Row], [Ticket]],Okey!A:B,2,0),"")</f>
        <v>ok</v>
      </c>
      <c r="I496" s="36" t="s">
        <v>8546</v>
      </c>
      <c r="J496" s="36" t="s">
        <v>18</v>
      </c>
      <c r="K496" s="36"/>
      <c r="L496" s="36"/>
      <c r="M496" s="36" t="s">
        <v>4799</v>
      </c>
    </row>
    <row r="497" spans="1:13" hidden="1">
      <c r="A497" s="42">
        <f t="shared" si="8"/>
        <v>496</v>
      </c>
      <c r="B497" s="36" t="s">
        <v>6</v>
      </c>
      <c r="C497" s="36" t="s">
        <v>8543</v>
      </c>
      <c r="D497" s="9" t="s">
        <v>8467</v>
      </c>
      <c r="F497" s="36" t="s">
        <v>8660</v>
      </c>
      <c r="G497" s="36" t="s">
        <v>13</v>
      </c>
      <c r="H497" s="36" t="str">
        <f>IFERROR(VLOOKUP(Table2[[#This Row], [Ticket]],Okey!A:B,2,0),"")</f>
        <v>ok</v>
      </c>
      <c r="I497" s="36" t="s">
        <v>8546</v>
      </c>
      <c r="J497" s="36" t="s">
        <v>18</v>
      </c>
      <c r="K497" s="36"/>
      <c r="L497" s="36"/>
      <c r="M497" s="36" t="s">
        <v>4799</v>
      </c>
    </row>
    <row r="498" spans="1:13" hidden="1">
      <c r="A498" s="42">
        <f t="shared" si="8"/>
        <v>497</v>
      </c>
      <c r="B498" s="36" t="s">
        <v>6</v>
      </c>
      <c r="C498" s="36" t="s">
        <v>8543</v>
      </c>
      <c r="D498" s="9" t="s">
        <v>8468</v>
      </c>
      <c r="F498" s="36" t="s">
        <v>8672</v>
      </c>
      <c r="G498" s="36" t="s">
        <v>13</v>
      </c>
      <c r="H498" s="36" t="str">
        <f>IFERROR(VLOOKUP(Table2[[#This Row], [Ticket]],Okey!A:B,2,0),"")</f>
        <v>ok</v>
      </c>
      <c r="I498" s="36" t="s">
        <v>8546</v>
      </c>
      <c r="J498" s="36" t="s">
        <v>18</v>
      </c>
      <c r="K498" s="36"/>
      <c r="L498" s="36"/>
      <c r="M498" s="36" t="s">
        <v>4799</v>
      </c>
    </row>
    <row r="499" spans="1:13" hidden="1">
      <c r="A499" s="42">
        <f t="shared" si="8"/>
        <v>498</v>
      </c>
      <c r="B499" s="36" t="s">
        <v>6</v>
      </c>
      <c r="C499" s="36" t="s">
        <v>8543</v>
      </c>
      <c r="D499" s="9" t="s">
        <v>8469</v>
      </c>
      <c r="F499" s="36" t="s">
        <v>8672</v>
      </c>
      <c r="G499" s="36" t="s">
        <v>13</v>
      </c>
      <c r="H499" s="36" t="str">
        <f>IFERROR(VLOOKUP(Table2[[#This Row], [Ticket]],Okey!A:B,2,0),"")</f>
        <v>ok</v>
      </c>
      <c r="I499" s="36" t="s">
        <v>8546</v>
      </c>
      <c r="J499" s="36" t="s">
        <v>18</v>
      </c>
      <c r="K499" s="36"/>
      <c r="L499" s="36"/>
      <c r="M499" s="36" t="s">
        <v>4799</v>
      </c>
    </row>
    <row r="500" spans="1:13" hidden="1">
      <c r="A500" s="42">
        <f t="shared" si="8"/>
        <v>499</v>
      </c>
      <c r="B500" s="36" t="s">
        <v>6</v>
      </c>
      <c r="C500" s="36" t="s">
        <v>8543</v>
      </c>
      <c r="D500" s="9" t="s">
        <v>8470</v>
      </c>
      <c r="F500" s="36" t="s">
        <v>8672</v>
      </c>
      <c r="G500" s="36" t="s">
        <v>13</v>
      </c>
      <c r="H500" s="36" t="str">
        <f>IFERROR(VLOOKUP(Table2[[#This Row], [Ticket]],Okey!A:B,2,0),"")</f>
        <v>ok</v>
      </c>
      <c r="I500" s="36" t="s">
        <v>8546</v>
      </c>
      <c r="J500" s="36" t="s">
        <v>18</v>
      </c>
      <c r="K500" s="36"/>
      <c r="L500" s="36"/>
      <c r="M500" s="36" t="s">
        <v>4799</v>
      </c>
    </row>
    <row r="501" spans="1:13" hidden="1">
      <c r="A501" s="42">
        <f t="shared" si="8"/>
        <v>500</v>
      </c>
      <c r="B501" s="36" t="s">
        <v>6</v>
      </c>
      <c r="C501" s="36" t="s">
        <v>8543</v>
      </c>
      <c r="D501" s="9" t="s">
        <v>8471</v>
      </c>
      <c r="F501" s="36" t="s">
        <v>8672</v>
      </c>
      <c r="G501" s="36" t="s">
        <v>13</v>
      </c>
      <c r="H501" s="36" t="str">
        <f>IFERROR(VLOOKUP(Table2[[#This Row], [Ticket]],Okey!A:B,2,0),"")</f>
        <v>ok</v>
      </c>
      <c r="I501" s="36" t="s">
        <v>8546</v>
      </c>
      <c r="J501" s="36" t="s">
        <v>18</v>
      </c>
      <c r="K501" s="36"/>
      <c r="L501" s="36"/>
      <c r="M501" s="36" t="s">
        <v>4799</v>
      </c>
    </row>
    <row r="502" spans="1:13" hidden="1">
      <c r="A502" s="42">
        <f t="shared" si="8"/>
        <v>501</v>
      </c>
      <c r="B502" s="36" t="s">
        <v>6</v>
      </c>
      <c r="C502" s="36" t="s">
        <v>8543</v>
      </c>
      <c r="D502" s="9" t="s">
        <v>8472</v>
      </c>
      <c r="F502" s="36" t="s">
        <v>8680</v>
      </c>
      <c r="G502" s="36" t="s">
        <v>13</v>
      </c>
      <c r="H502" s="36" t="str">
        <f>IFERROR(VLOOKUP(Table2[[#This Row], [Ticket]],Okey!A:B,2,0),"")</f>
        <v>ok</v>
      </c>
      <c r="I502" s="36" t="s">
        <v>8546</v>
      </c>
      <c r="J502" s="36" t="s">
        <v>18</v>
      </c>
      <c r="K502" s="36"/>
      <c r="L502" s="36"/>
      <c r="M502" s="36" t="s">
        <v>4799</v>
      </c>
    </row>
    <row r="503" spans="1:13" hidden="1">
      <c r="A503" s="42">
        <f t="shared" si="8"/>
        <v>502</v>
      </c>
      <c r="B503" s="36" t="s">
        <v>6</v>
      </c>
      <c r="C503" s="36" t="s">
        <v>8543</v>
      </c>
      <c r="D503" s="9" t="s">
        <v>8473</v>
      </c>
      <c r="F503" s="9" t="s">
        <v>5591</v>
      </c>
      <c r="G503" s="36" t="s">
        <v>13</v>
      </c>
      <c r="H503" s="36" t="str">
        <f>IFERROR(VLOOKUP(Table2[[#This Row], [Ticket]],Okey!A:B,2,0),"")</f>
        <v>ok</v>
      </c>
      <c r="I503" s="36" t="s">
        <v>8546</v>
      </c>
      <c r="J503" s="36" t="s">
        <v>18</v>
      </c>
      <c r="K503" s="36"/>
      <c r="L503" s="36"/>
      <c r="M503" s="36" t="s">
        <v>4799</v>
      </c>
    </row>
    <row r="504" spans="1:13" hidden="1">
      <c r="A504" s="42">
        <f t="shared" si="8"/>
        <v>503</v>
      </c>
      <c r="B504" s="36" t="s">
        <v>6</v>
      </c>
      <c r="C504" s="36" t="s">
        <v>8543</v>
      </c>
      <c r="D504" s="9" t="s">
        <v>3996</v>
      </c>
      <c r="F504" s="36" t="s">
        <v>8682</v>
      </c>
      <c r="G504" s="36" t="s">
        <v>13</v>
      </c>
      <c r="H504" s="36" t="str">
        <f>IFERROR(VLOOKUP(Table2[[#This Row], [Ticket]],Okey!A:B,2,0),"")</f>
        <v>ok</v>
      </c>
      <c r="I504" s="36" t="s">
        <v>8546</v>
      </c>
      <c r="J504" s="36" t="s">
        <v>18</v>
      </c>
      <c r="K504" s="36"/>
      <c r="L504" s="36"/>
      <c r="M504" s="36" t="s">
        <v>4799</v>
      </c>
    </row>
    <row r="505" spans="1:13" hidden="1">
      <c r="A505" s="42">
        <f t="shared" si="8"/>
        <v>504</v>
      </c>
      <c r="B505" s="36" t="s">
        <v>6</v>
      </c>
      <c r="C505" s="36" t="s">
        <v>8543</v>
      </c>
      <c r="D505" s="9" t="s">
        <v>3515</v>
      </c>
      <c r="F505" s="9" t="s">
        <v>4046</v>
      </c>
      <c r="G505" s="36" t="s">
        <v>13</v>
      </c>
      <c r="H505" s="36" t="str">
        <f>IFERROR(VLOOKUP(Table2[[#This Row], [Ticket]],Okey!A:B,2,0),"")</f>
        <v>ok</v>
      </c>
      <c r="I505" s="36" t="s">
        <v>8546</v>
      </c>
      <c r="J505" s="36" t="s">
        <v>18</v>
      </c>
      <c r="K505" s="36"/>
      <c r="L505" s="36"/>
      <c r="M505" s="36" t="s">
        <v>4799</v>
      </c>
    </row>
    <row r="506" spans="1:13" hidden="1">
      <c r="A506" s="42">
        <f t="shared" si="8"/>
        <v>505</v>
      </c>
      <c r="B506" s="36" t="s">
        <v>6</v>
      </c>
      <c r="C506" s="36" t="s">
        <v>8543</v>
      </c>
      <c r="D506" s="9" t="s">
        <v>7751</v>
      </c>
      <c r="F506" s="9" t="s">
        <v>3515</v>
      </c>
      <c r="G506" s="36" t="s">
        <v>13</v>
      </c>
      <c r="H506" s="36" t="str">
        <f>IFERROR(VLOOKUP(Table2[[#This Row], [Ticket]],Okey!A:B,2,0),"")</f>
        <v>ok</v>
      </c>
      <c r="I506" s="36" t="s">
        <v>8546</v>
      </c>
      <c r="J506" s="36" t="s">
        <v>18</v>
      </c>
      <c r="K506" s="36"/>
      <c r="L506" s="36"/>
      <c r="M506" s="36" t="s">
        <v>4799</v>
      </c>
    </row>
    <row r="507" spans="1:13" hidden="1">
      <c r="A507" s="42">
        <f t="shared" si="8"/>
        <v>506</v>
      </c>
      <c r="B507" s="36" t="s">
        <v>6</v>
      </c>
      <c r="C507" s="36" t="s">
        <v>8543</v>
      </c>
      <c r="D507" s="9" t="s">
        <v>8474</v>
      </c>
      <c r="F507" s="36" t="s">
        <v>8691</v>
      </c>
      <c r="G507" s="36" t="s">
        <v>13</v>
      </c>
      <c r="H507" s="36" t="str">
        <f>IFERROR(VLOOKUP(Table2[[#This Row], [Ticket]],Okey!A:B,2,0),"")</f>
        <v>ok</v>
      </c>
      <c r="I507" s="36" t="s">
        <v>8546</v>
      </c>
      <c r="J507" s="36" t="s">
        <v>18</v>
      </c>
      <c r="K507" s="36"/>
      <c r="L507" s="36"/>
      <c r="M507" s="36" t="s">
        <v>4799</v>
      </c>
    </row>
    <row r="508" spans="1:13" hidden="1">
      <c r="A508" s="42">
        <f t="shared" si="8"/>
        <v>507</v>
      </c>
      <c r="B508" s="36" t="s">
        <v>6</v>
      </c>
      <c r="C508" s="36" t="s">
        <v>8543</v>
      </c>
      <c r="D508" s="9" t="s">
        <v>8475</v>
      </c>
      <c r="F508" s="36" t="s">
        <v>8691</v>
      </c>
      <c r="G508" s="36" t="s">
        <v>13</v>
      </c>
      <c r="H508" s="36" t="str">
        <f>IFERROR(VLOOKUP(Table2[[#This Row], [Ticket]],Okey!A:B,2,0),"")</f>
        <v>ok</v>
      </c>
      <c r="I508" s="36" t="s">
        <v>8546</v>
      </c>
      <c r="J508" s="36" t="s">
        <v>18</v>
      </c>
      <c r="K508" s="36"/>
      <c r="L508" s="36"/>
      <c r="M508" s="36" t="s">
        <v>4799</v>
      </c>
    </row>
    <row r="509" spans="1:13" hidden="1">
      <c r="A509" s="42">
        <f t="shared" si="8"/>
        <v>508</v>
      </c>
      <c r="B509" s="36" t="s">
        <v>6</v>
      </c>
      <c r="C509" s="36" t="s">
        <v>8543</v>
      </c>
      <c r="D509" s="9" t="s">
        <v>8476</v>
      </c>
      <c r="F509" s="36" t="s">
        <v>8691</v>
      </c>
      <c r="G509" s="36" t="s">
        <v>13</v>
      </c>
      <c r="H509" s="36" t="str">
        <f>IFERROR(VLOOKUP(Table2[[#This Row], [Ticket]],Okey!A:B,2,0),"")</f>
        <v>ok</v>
      </c>
      <c r="I509" s="36" t="s">
        <v>8546</v>
      </c>
      <c r="J509" s="36" t="s">
        <v>18</v>
      </c>
      <c r="K509" s="36"/>
      <c r="L509" s="36"/>
      <c r="M509" s="36" t="s">
        <v>4799</v>
      </c>
    </row>
    <row r="510" spans="1:13" hidden="1">
      <c r="A510" s="42">
        <f t="shared" si="8"/>
        <v>509</v>
      </c>
      <c r="B510" s="36" t="s">
        <v>6</v>
      </c>
      <c r="C510" s="36" t="s">
        <v>8543</v>
      </c>
      <c r="D510" s="9" t="s">
        <v>8477</v>
      </c>
      <c r="F510" s="36" t="s">
        <v>8691</v>
      </c>
      <c r="G510" s="36" t="s">
        <v>13</v>
      </c>
      <c r="H510" s="36" t="str">
        <f>IFERROR(VLOOKUP(Table2[[#This Row], [Ticket]],Okey!A:B,2,0),"")</f>
        <v>ok</v>
      </c>
      <c r="I510" s="36" t="s">
        <v>8546</v>
      </c>
      <c r="J510" s="36" t="s">
        <v>18</v>
      </c>
      <c r="K510" s="36"/>
      <c r="L510" s="36"/>
      <c r="M510" s="36" t="s">
        <v>4799</v>
      </c>
    </row>
    <row r="511" spans="1:13" hidden="1">
      <c r="A511" s="42">
        <f t="shared" si="8"/>
        <v>510</v>
      </c>
      <c r="B511" s="36" t="s">
        <v>6</v>
      </c>
      <c r="C511" s="36" t="s">
        <v>8543</v>
      </c>
      <c r="D511" s="9" t="s">
        <v>8478</v>
      </c>
      <c r="F511" s="36" t="s">
        <v>8691</v>
      </c>
      <c r="G511" s="36" t="s">
        <v>13</v>
      </c>
      <c r="H511" s="36" t="str">
        <f>IFERROR(VLOOKUP(Table2[[#This Row], [Ticket]],Okey!A:B,2,0),"")</f>
        <v>ok</v>
      </c>
      <c r="I511" s="36" t="s">
        <v>8546</v>
      </c>
      <c r="J511" s="36" t="s">
        <v>18</v>
      </c>
      <c r="K511" s="36"/>
      <c r="L511" s="36"/>
      <c r="M511" s="36" t="s">
        <v>4799</v>
      </c>
    </row>
    <row r="512" spans="1:13" hidden="1">
      <c r="A512" s="42">
        <f t="shared" si="8"/>
        <v>511</v>
      </c>
      <c r="B512" s="36" t="s">
        <v>6</v>
      </c>
      <c r="C512" s="36" t="s">
        <v>8543</v>
      </c>
      <c r="D512" s="9" t="s">
        <v>8479</v>
      </c>
      <c r="F512" s="36" t="s">
        <v>8691</v>
      </c>
      <c r="G512" s="36" t="s">
        <v>13</v>
      </c>
      <c r="H512" s="36" t="str">
        <f>IFERROR(VLOOKUP(Table2[[#This Row], [Ticket]],Okey!A:B,2,0),"")</f>
        <v>ok</v>
      </c>
      <c r="I512" s="36" t="s">
        <v>8546</v>
      </c>
      <c r="J512" s="36" t="s">
        <v>18</v>
      </c>
      <c r="K512" s="36"/>
      <c r="L512" s="36"/>
      <c r="M512" s="36" t="s">
        <v>4799</v>
      </c>
    </row>
    <row r="513" spans="1:13" hidden="1">
      <c r="A513" s="42">
        <f t="shared" si="8"/>
        <v>512</v>
      </c>
      <c r="B513" s="36" t="s">
        <v>6</v>
      </c>
      <c r="C513" s="36" t="s">
        <v>8543</v>
      </c>
      <c r="D513" s="9" t="s">
        <v>8480</v>
      </c>
      <c r="F513" s="36" t="s">
        <v>8691</v>
      </c>
      <c r="G513" s="36" t="s">
        <v>13</v>
      </c>
      <c r="H513" s="36" t="str">
        <f>IFERROR(VLOOKUP(Table2[[#This Row], [Ticket]],Okey!A:B,2,0),"")</f>
        <v>ok</v>
      </c>
      <c r="I513" s="36" t="s">
        <v>8546</v>
      </c>
      <c r="J513" s="36" t="s">
        <v>18</v>
      </c>
      <c r="K513" s="36"/>
      <c r="L513" s="36"/>
      <c r="M513" s="36" t="s">
        <v>4799</v>
      </c>
    </row>
    <row r="514" spans="1:13" hidden="1">
      <c r="A514" s="42">
        <f t="shared" si="8"/>
        <v>513</v>
      </c>
      <c r="B514" s="36" t="s">
        <v>6</v>
      </c>
      <c r="C514" s="36" t="s">
        <v>8543</v>
      </c>
      <c r="D514" s="9" t="s">
        <v>3519</v>
      </c>
      <c r="F514" s="36" t="s">
        <v>8691</v>
      </c>
      <c r="G514" s="36" t="s">
        <v>13</v>
      </c>
      <c r="H514" s="36" t="str">
        <f>IFERROR(VLOOKUP(Table2[[#This Row], [Ticket]],Okey!A:B,2,0),"")</f>
        <v>ok</v>
      </c>
      <c r="I514" s="36" t="s">
        <v>8546</v>
      </c>
      <c r="J514" s="36" t="s">
        <v>18</v>
      </c>
      <c r="K514" s="36"/>
      <c r="L514" s="36"/>
      <c r="M514" s="36" t="s">
        <v>4799</v>
      </c>
    </row>
    <row r="515" spans="1:13" hidden="1">
      <c r="A515" s="42">
        <f t="shared" si="8"/>
        <v>514</v>
      </c>
      <c r="B515" s="36" t="s">
        <v>6</v>
      </c>
      <c r="C515" s="36" t="s">
        <v>8543</v>
      </c>
      <c r="D515" s="9" t="s">
        <v>8481</v>
      </c>
      <c r="F515" s="9" t="s">
        <v>3518</v>
      </c>
      <c r="G515" s="36" t="s">
        <v>13</v>
      </c>
      <c r="H515" s="36" t="str">
        <f>IFERROR(VLOOKUP(Table2[[#This Row], [Ticket]],Okey!A:B,2,0),"")</f>
        <v>ok</v>
      </c>
      <c r="I515" s="36" t="s">
        <v>8546</v>
      </c>
      <c r="J515" s="36" t="s">
        <v>18</v>
      </c>
      <c r="K515" s="36"/>
      <c r="L515" s="36"/>
      <c r="M515" s="36" t="s">
        <v>4799</v>
      </c>
    </row>
    <row r="516" spans="1:13" hidden="1">
      <c r="A516" s="42">
        <f t="shared" si="8"/>
        <v>515</v>
      </c>
      <c r="B516" s="36" t="s">
        <v>6</v>
      </c>
      <c r="C516" s="36" t="s">
        <v>8543</v>
      </c>
      <c r="D516" s="9" t="s">
        <v>8482</v>
      </c>
      <c r="F516" s="9" t="s">
        <v>3518</v>
      </c>
      <c r="G516" s="36" t="s">
        <v>13</v>
      </c>
      <c r="H516" s="36" t="str">
        <f>IFERROR(VLOOKUP(Table2[[#This Row], [Ticket]],Okey!A:B,2,0),"")</f>
        <v>ok</v>
      </c>
      <c r="I516" s="36" t="s">
        <v>8546</v>
      </c>
      <c r="J516" s="36" t="s">
        <v>18</v>
      </c>
      <c r="K516" s="36"/>
      <c r="L516" s="36"/>
      <c r="M516" s="36" t="s">
        <v>4799</v>
      </c>
    </row>
    <row r="517" spans="1:13" hidden="1">
      <c r="A517" s="42">
        <f t="shared" si="8"/>
        <v>516</v>
      </c>
      <c r="B517" s="36" t="s">
        <v>6</v>
      </c>
      <c r="C517" s="36" t="s">
        <v>8543</v>
      </c>
      <c r="D517" s="9" t="s">
        <v>8483</v>
      </c>
      <c r="F517" s="9" t="s">
        <v>3524</v>
      </c>
      <c r="G517" s="36" t="s">
        <v>13</v>
      </c>
      <c r="H517" s="36" t="str">
        <f>IFERROR(VLOOKUP(Table2[[#This Row], [Ticket]],Okey!A:B,2,0),"")</f>
        <v>ok</v>
      </c>
      <c r="I517" s="36" t="s">
        <v>8546</v>
      </c>
      <c r="J517" s="36" t="s">
        <v>18</v>
      </c>
      <c r="K517" s="36"/>
      <c r="L517" s="36"/>
      <c r="M517" s="36" t="s">
        <v>4799</v>
      </c>
    </row>
    <row r="518" spans="1:13" hidden="1">
      <c r="A518" s="42">
        <f t="shared" si="8"/>
        <v>517</v>
      </c>
      <c r="B518" s="36" t="s">
        <v>6</v>
      </c>
      <c r="C518" s="36" t="s">
        <v>8543</v>
      </c>
      <c r="D518" s="9" t="s">
        <v>8484</v>
      </c>
      <c r="F518" s="9" t="s">
        <v>3524</v>
      </c>
      <c r="G518" s="36" t="s">
        <v>13</v>
      </c>
      <c r="H518" s="36" t="str">
        <f>IFERROR(VLOOKUP(Table2[[#This Row], [Ticket]],Okey!A:B,2,0),"")</f>
        <v>ok</v>
      </c>
      <c r="I518" s="36" t="s">
        <v>8546</v>
      </c>
      <c r="J518" s="36" t="s">
        <v>18</v>
      </c>
      <c r="K518" s="36"/>
      <c r="L518" s="36"/>
      <c r="M518" s="36" t="s">
        <v>4799</v>
      </c>
    </row>
    <row r="519" spans="1:13" hidden="1">
      <c r="A519" s="42">
        <f t="shared" si="8"/>
        <v>518</v>
      </c>
      <c r="B519" s="36" t="s">
        <v>6</v>
      </c>
      <c r="C519" s="36" t="s">
        <v>8543</v>
      </c>
      <c r="D519" s="9" t="s">
        <v>8485</v>
      </c>
      <c r="F519" s="9" t="s">
        <v>3524</v>
      </c>
      <c r="G519" s="36" t="s">
        <v>13</v>
      </c>
      <c r="H519" s="36" t="str">
        <f>IFERROR(VLOOKUP(Table2[[#This Row], [Ticket]],Okey!A:B,2,0),"")</f>
        <v>ok</v>
      </c>
      <c r="I519" s="36" t="s">
        <v>8546</v>
      </c>
      <c r="J519" s="36" t="s">
        <v>18</v>
      </c>
      <c r="K519" s="36"/>
      <c r="L519" s="36"/>
      <c r="M519" s="36" t="s">
        <v>4799</v>
      </c>
    </row>
    <row r="520" spans="1:13" hidden="1">
      <c r="A520" s="42">
        <f t="shared" si="8"/>
        <v>519</v>
      </c>
      <c r="B520" s="36" t="s">
        <v>6</v>
      </c>
      <c r="C520" s="36" t="s">
        <v>8543</v>
      </c>
      <c r="D520" s="9" t="s">
        <v>8486</v>
      </c>
      <c r="F520" s="9" t="s">
        <v>3524</v>
      </c>
      <c r="G520" s="36" t="s">
        <v>13</v>
      </c>
      <c r="H520" s="36" t="str">
        <f>IFERROR(VLOOKUP(Table2[[#This Row], [Ticket]],Okey!A:B,2,0),"")</f>
        <v>ok</v>
      </c>
      <c r="I520" s="36" t="s">
        <v>8546</v>
      </c>
      <c r="J520" s="36" t="s">
        <v>18</v>
      </c>
      <c r="K520" s="36"/>
      <c r="L520" s="36"/>
      <c r="M520" s="36" t="s">
        <v>4799</v>
      </c>
    </row>
    <row r="521" spans="1:13" hidden="1">
      <c r="A521" s="42">
        <f t="shared" si="8"/>
        <v>520</v>
      </c>
      <c r="B521" s="36" t="s">
        <v>6</v>
      </c>
      <c r="C521" s="36" t="s">
        <v>8543</v>
      </c>
      <c r="D521" s="9" t="s">
        <v>8487</v>
      </c>
      <c r="F521" s="9" t="s">
        <v>3527</v>
      </c>
      <c r="G521" s="36" t="s">
        <v>13</v>
      </c>
      <c r="H521" s="36" t="str">
        <f>IFERROR(VLOOKUP(Table2[[#This Row], [Ticket]],Okey!A:B,2,0),"")</f>
        <v>ok</v>
      </c>
      <c r="I521" s="36" t="s">
        <v>8546</v>
      </c>
      <c r="J521" s="36" t="s">
        <v>18</v>
      </c>
      <c r="K521" s="36"/>
      <c r="L521" s="36"/>
      <c r="M521" s="36" t="s">
        <v>4799</v>
      </c>
    </row>
    <row r="522" spans="1:13" hidden="1">
      <c r="A522" s="42">
        <f t="shared" si="8"/>
        <v>521</v>
      </c>
      <c r="B522" s="36" t="s">
        <v>6</v>
      </c>
      <c r="C522" s="36" t="s">
        <v>8543</v>
      </c>
      <c r="D522" s="9" t="s">
        <v>8488</v>
      </c>
      <c r="F522" s="9" t="s">
        <v>3527</v>
      </c>
      <c r="G522" s="36" t="s">
        <v>13</v>
      </c>
      <c r="H522" s="36" t="str">
        <f>IFERROR(VLOOKUP(Table2[[#This Row], [Ticket]],Okey!A:B,2,0),"")</f>
        <v>ok</v>
      </c>
      <c r="I522" s="36" t="s">
        <v>8546</v>
      </c>
      <c r="J522" s="36" t="s">
        <v>18</v>
      </c>
      <c r="K522" s="36"/>
      <c r="L522" s="36"/>
      <c r="M522" s="36" t="s">
        <v>4799</v>
      </c>
    </row>
    <row r="523" spans="1:13" hidden="1">
      <c r="A523" s="42">
        <f t="shared" si="8"/>
        <v>522</v>
      </c>
      <c r="B523" s="36" t="s">
        <v>6</v>
      </c>
      <c r="C523" s="36" t="s">
        <v>8543</v>
      </c>
      <c r="D523" s="9" t="s">
        <v>8489</v>
      </c>
      <c r="F523" s="9" t="s">
        <v>3527</v>
      </c>
      <c r="G523" s="36" t="s">
        <v>13</v>
      </c>
      <c r="H523" s="36" t="str">
        <f>IFERROR(VLOOKUP(Table2[[#This Row], [Ticket]],Okey!A:B,2,0),"")</f>
        <v>ok</v>
      </c>
      <c r="I523" s="36" t="s">
        <v>8546</v>
      </c>
      <c r="J523" s="36" t="s">
        <v>18</v>
      </c>
      <c r="K523" s="36"/>
      <c r="L523" s="36"/>
      <c r="M523" s="36" t="s">
        <v>4799</v>
      </c>
    </row>
    <row r="524" spans="1:13" hidden="1">
      <c r="A524" s="42">
        <f t="shared" si="8"/>
        <v>523</v>
      </c>
      <c r="B524" s="36" t="s">
        <v>6</v>
      </c>
      <c r="C524" s="36" t="s">
        <v>8543</v>
      </c>
      <c r="D524" s="9" t="s">
        <v>8490</v>
      </c>
      <c r="F524" s="9" t="s">
        <v>3527</v>
      </c>
      <c r="G524" s="36" t="s">
        <v>13</v>
      </c>
      <c r="H524" s="36" t="str">
        <f>IFERROR(VLOOKUP(Table2[[#This Row], [Ticket]],Okey!A:B,2,0),"")</f>
        <v>ok</v>
      </c>
      <c r="I524" s="36" t="s">
        <v>8546</v>
      </c>
      <c r="J524" s="36" t="s">
        <v>18</v>
      </c>
      <c r="K524" s="36"/>
      <c r="L524" s="36"/>
      <c r="M524" s="36" t="s">
        <v>4799</v>
      </c>
    </row>
    <row r="525" spans="1:13" hidden="1">
      <c r="A525" s="42">
        <f t="shared" si="8"/>
        <v>524</v>
      </c>
      <c r="B525" s="36" t="s">
        <v>6</v>
      </c>
      <c r="C525" s="36" t="s">
        <v>8543</v>
      </c>
      <c r="D525" s="9" t="s">
        <v>8491</v>
      </c>
      <c r="F525" s="9" t="s">
        <v>3527</v>
      </c>
      <c r="G525" s="36" t="s">
        <v>13</v>
      </c>
      <c r="H525" s="36" t="str">
        <f>IFERROR(VLOOKUP(Table2[[#This Row], [Ticket]],Okey!A:B,2,0),"")</f>
        <v>ok</v>
      </c>
      <c r="I525" s="36" t="s">
        <v>8546</v>
      </c>
      <c r="J525" s="36" t="s">
        <v>18</v>
      </c>
      <c r="K525" s="36"/>
      <c r="L525" s="36"/>
      <c r="M525" s="36" t="s">
        <v>4799</v>
      </c>
    </row>
    <row r="526" spans="1:13" hidden="1">
      <c r="A526" s="42">
        <f t="shared" si="8"/>
        <v>525</v>
      </c>
      <c r="B526" s="36" t="s">
        <v>6</v>
      </c>
      <c r="C526" s="36" t="s">
        <v>8543</v>
      </c>
      <c r="D526" s="9" t="s">
        <v>3459</v>
      </c>
      <c r="F526" s="9" t="s">
        <v>3527</v>
      </c>
      <c r="G526" s="36" t="s">
        <v>13</v>
      </c>
      <c r="H526" s="36" t="str">
        <f>IFERROR(VLOOKUP(Table2[[#This Row], [Ticket]],Okey!A:B,2,0),"")</f>
        <v>ok</v>
      </c>
      <c r="I526" s="36" t="s">
        <v>8546</v>
      </c>
      <c r="J526" s="36" t="s">
        <v>18</v>
      </c>
      <c r="K526" s="36"/>
      <c r="L526" s="36"/>
      <c r="M526" s="36" t="s">
        <v>4799</v>
      </c>
    </row>
    <row r="527" spans="1:13" hidden="1">
      <c r="A527" s="42">
        <f t="shared" si="8"/>
        <v>526</v>
      </c>
      <c r="B527" s="36" t="s">
        <v>6</v>
      </c>
      <c r="C527" s="36" t="s">
        <v>8543</v>
      </c>
      <c r="D527" s="9" t="s">
        <v>8492</v>
      </c>
      <c r="F527" s="9" t="s">
        <v>3527</v>
      </c>
      <c r="G527" s="36" t="s">
        <v>13</v>
      </c>
      <c r="H527" s="36" t="str">
        <f>IFERROR(VLOOKUP(Table2[[#This Row], [Ticket]],Okey!A:B,2,0),"")</f>
        <v>ok</v>
      </c>
      <c r="I527" s="36" t="s">
        <v>8546</v>
      </c>
      <c r="J527" s="36" t="s">
        <v>18</v>
      </c>
      <c r="K527" s="36"/>
      <c r="L527" s="36"/>
      <c r="M527" s="36" t="s">
        <v>4799</v>
      </c>
    </row>
    <row r="528" spans="1:13" hidden="1">
      <c r="A528" s="42">
        <f t="shared" si="8"/>
        <v>527</v>
      </c>
      <c r="B528" s="36" t="s">
        <v>6</v>
      </c>
      <c r="C528" s="36" t="s">
        <v>8543</v>
      </c>
      <c r="D528" s="9" t="s">
        <v>8493</v>
      </c>
      <c r="F528" s="9" t="s">
        <v>3531</v>
      </c>
      <c r="G528" s="36" t="s">
        <v>13</v>
      </c>
      <c r="H528" s="36" t="str">
        <f>IFERROR(VLOOKUP(Table2[[#This Row], [Ticket]],Okey!A:B,2,0),"")</f>
        <v>ok</v>
      </c>
      <c r="I528" s="36" t="s">
        <v>8546</v>
      </c>
      <c r="J528" s="36" t="s">
        <v>18</v>
      </c>
      <c r="K528" s="36"/>
      <c r="L528" s="36"/>
      <c r="M528" s="36" t="s">
        <v>4799</v>
      </c>
    </row>
    <row r="529" spans="1:13" hidden="1">
      <c r="A529" s="42">
        <f t="shared" si="8"/>
        <v>528</v>
      </c>
      <c r="B529" s="36" t="s">
        <v>6</v>
      </c>
      <c r="C529" s="36" t="s">
        <v>8543</v>
      </c>
      <c r="D529" s="9" t="s">
        <v>8494</v>
      </c>
      <c r="F529" s="36" t="s">
        <v>8691</v>
      </c>
      <c r="G529" s="36" t="s">
        <v>13</v>
      </c>
      <c r="H529" s="36" t="str">
        <f>IFERROR(VLOOKUP(Table2[[#This Row], [Ticket]],Okey!A:B,2,0),"")</f>
        <v>ok</v>
      </c>
      <c r="I529" s="36" t="s">
        <v>8546</v>
      </c>
      <c r="J529" s="36" t="s">
        <v>18</v>
      </c>
      <c r="K529" s="36"/>
      <c r="L529" s="36"/>
      <c r="M529" s="36" t="s">
        <v>4799</v>
      </c>
    </row>
    <row r="530" spans="1:13" hidden="1">
      <c r="A530" s="42">
        <f t="shared" si="8"/>
        <v>529</v>
      </c>
      <c r="B530" s="36" t="s">
        <v>6</v>
      </c>
      <c r="C530" s="36" t="s">
        <v>8543</v>
      </c>
      <c r="D530" s="9" t="s">
        <v>8495</v>
      </c>
      <c r="F530" s="36" t="s">
        <v>8691</v>
      </c>
      <c r="G530" s="36" t="s">
        <v>13</v>
      </c>
      <c r="H530" s="36" t="str">
        <f>IFERROR(VLOOKUP(Table2[[#This Row], [Ticket]],Okey!A:B,2,0),"")</f>
        <v>ok</v>
      </c>
      <c r="I530" s="36" t="s">
        <v>8546</v>
      </c>
      <c r="J530" s="36" t="s">
        <v>18</v>
      </c>
      <c r="K530" s="36"/>
      <c r="L530" s="36"/>
      <c r="M530" s="36" t="s">
        <v>4799</v>
      </c>
    </row>
    <row r="531" spans="1:13" hidden="1">
      <c r="A531" s="42">
        <f t="shared" si="8"/>
        <v>530</v>
      </c>
      <c r="B531" s="36" t="s">
        <v>6</v>
      </c>
      <c r="C531" s="36" t="s">
        <v>8543</v>
      </c>
      <c r="D531" s="9" t="s">
        <v>8496</v>
      </c>
      <c r="F531" s="36" t="s">
        <v>8691</v>
      </c>
      <c r="G531" s="36" t="s">
        <v>13</v>
      </c>
      <c r="H531" s="36" t="str">
        <f>IFERROR(VLOOKUP(Table2[[#This Row], [Ticket]],Okey!A:B,2,0),"")</f>
        <v>ok</v>
      </c>
      <c r="I531" s="36" t="s">
        <v>8546</v>
      </c>
      <c r="J531" s="36" t="s">
        <v>18</v>
      </c>
      <c r="K531" s="36"/>
      <c r="L531" s="36"/>
      <c r="M531" s="36" t="s">
        <v>4799</v>
      </c>
    </row>
    <row r="532" spans="1:13" hidden="1">
      <c r="A532" s="42">
        <f t="shared" ref="A532:A595" si="9">1+A531</f>
        <v>531</v>
      </c>
      <c r="B532" s="36" t="s">
        <v>6</v>
      </c>
      <c r="C532" s="36" t="s">
        <v>8543</v>
      </c>
      <c r="D532" s="9" t="s">
        <v>8497</v>
      </c>
      <c r="F532" s="36" t="s">
        <v>8691</v>
      </c>
      <c r="G532" s="36" t="s">
        <v>13</v>
      </c>
      <c r="H532" s="36" t="str">
        <f>IFERROR(VLOOKUP(Table2[[#This Row], [Ticket]],Okey!A:B,2,0),"")</f>
        <v>ok</v>
      </c>
      <c r="I532" s="36" t="s">
        <v>8546</v>
      </c>
      <c r="J532" s="36" t="s">
        <v>18</v>
      </c>
      <c r="K532" s="36"/>
      <c r="L532" s="36"/>
      <c r="M532" s="36" t="s">
        <v>4799</v>
      </c>
    </row>
    <row r="533" spans="1:13" hidden="1">
      <c r="A533" s="42">
        <f t="shared" si="9"/>
        <v>532</v>
      </c>
      <c r="B533" s="36" t="s">
        <v>6</v>
      </c>
      <c r="C533" s="36" t="s">
        <v>8543</v>
      </c>
      <c r="D533" s="9" t="s">
        <v>8498</v>
      </c>
      <c r="F533" s="36" t="s">
        <v>8691</v>
      </c>
      <c r="G533" s="36" t="s">
        <v>13</v>
      </c>
      <c r="H533" s="36" t="str">
        <f>IFERROR(VLOOKUP(Table2[[#This Row], [Ticket]],Okey!A:B,2,0),"")</f>
        <v>ok</v>
      </c>
      <c r="I533" s="36" t="s">
        <v>8546</v>
      </c>
      <c r="J533" s="36" t="s">
        <v>18</v>
      </c>
      <c r="K533" s="36"/>
      <c r="L533" s="36"/>
      <c r="M533" s="36" t="s">
        <v>4799</v>
      </c>
    </row>
    <row r="534" spans="1:13" hidden="1">
      <c r="A534" s="42">
        <f t="shared" si="9"/>
        <v>533</v>
      </c>
      <c r="B534" s="36" t="s">
        <v>6</v>
      </c>
      <c r="C534" s="36" t="s">
        <v>8543</v>
      </c>
      <c r="D534" s="9" t="s">
        <v>8499</v>
      </c>
      <c r="F534" s="36" t="s">
        <v>8691</v>
      </c>
      <c r="G534" s="36" t="s">
        <v>13</v>
      </c>
      <c r="H534" s="36" t="str">
        <f>IFERROR(VLOOKUP(Table2[[#This Row], [Ticket]],Okey!A:B,2,0),"")</f>
        <v>ok</v>
      </c>
      <c r="I534" s="36" t="s">
        <v>8546</v>
      </c>
      <c r="J534" s="36" t="s">
        <v>18</v>
      </c>
      <c r="K534" s="36"/>
      <c r="L534" s="36"/>
      <c r="M534" s="36" t="s">
        <v>4799</v>
      </c>
    </row>
    <row r="535" spans="1:13" hidden="1">
      <c r="A535" s="42">
        <f t="shared" si="9"/>
        <v>534</v>
      </c>
      <c r="B535" s="36" t="s">
        <v>6</v>
      </c>
      <c r="C535" s="36" t="s">
        <v>8543</v>
      </c>
      <c r="D535" s="9" t="s">
        <v>8500</v>
      </c>
      <c r="F535" s="36" t="s">
        <v>8691</v>
      </c>
      <c r="G535" s="36" t="s">
        <v>13</v>
      </c>
      <c r="H535" s="36" t="str">
        <f>IFERROR(VLOOKUP(Table2[[#This Row], [Ticket]],Okey!A:B,2,0),"")</f>
        <v>ok</v>
      </c>
      <c r="I535" s="36" t="s">
        <v>8546</v>
      </c>
      <c r="J535" s="36" t="s">
        <v>18</v>
      </c>
      <c r="K535" s="36"/>
      <c r="L535" s="36"/>
      <c r="M535" s="36" t="s">
        <v>4799</v>
      </c>
    </row>
    <row r="536" spans="1:13" hidden="1">
      <c r="A536" s="42">
        <f t="shared" si="9"/>
        <v>535</v>
      </c>
      <c r="B536" s="36" t="s">
        <v>6</v>
      </c>
      <c r="C536" s="36" t="s">
        <v>8543</v>
      </c>
      <c r="D536" s="9" t="s">
        <v>3554</v>
      </c>
      <c r="F536" s="36" t="s">
        <v>8691</v>
      </c>
      <c r="G536" s="36" t="s">
        <v>13</v>
      </c>
      <c r="H536" s="36" t="str">
        <f>IFERROR(VLOOKUP(Table2[[#This Row], [Ticket]],Okey!A:B,2,0),"")</f>
        <v>ok</v>
      </c>
      <c r="I536" s="36" t="s">
        <v>8546</v>
      </c>
      <c r="J536" s="36" t="s">
        <v>18</v>
      </c>
      <c r="K536" s="36"/>
      <c r="L536" s="36"/>
      <c r="M536" s="36" t="s">
        <v>4799</v>
      </c>
    </row>
    <row r="537" spans="1:13" hidden="1">
      <c r="A537" s="42">
        <f t="shared" si="9"/>
        <v>536</v>
      </c>
      <c r="B537" s="36" t="s">
        <v>6</v>
      </c>
      <c r="C537" s="36" t="s">
        <v>8543</v>
      </c>
      <c r="D537" s="9" t="s">
        <v>3975</v>
      </c>
      <c r="F537" s="36" t="s">
        <v>8691</v>
      </c>
      <c r="G537" s="36" t="s">
        <v>13</v>
      </c>
      <c r="H537" s="36" t="str">
        <f>IFERROR(VLOOKUP(Table2[[#This Row], [Ticket]],Okey!A:B,2,0),"")</f>
        <v>ok</v>
      </c>
      <c r="I537" s="36" t="s">
        <v>8546</v>
      </c>
      <c r="J537" s="36" t="s">
        <v>18</v>
      </c>
      <c r="K537" s="36"/>
      <c r="L537" s="36"/>
      <c r="M537" s="36" t="s">
        <v>4799</v>
      </c>
    </row>
    <row r="538" spans="1:13" hidden="1">
      <c r="A538" s="42">
        <f t="shared" si="9"/>
        <v>537</v>
      </c>
      <c r="B538" s="36" t="s">
        <v>6</v>
      </c>
      <c r="C538" s="36" t="s">
        <v>8543</v>
      </c>
      <c r="D538" s="9" t="s">
        <v>3978</v>
      </c>
      <c r="F538" s="36" t="s">
        <v>8691</v>
      </c>
      <c r="G538" s="36" t="s">
        <v>13</v>
      </c>
      <c r="H538" s="36" t="str">
        <f>IFERROR(VLOOKUP(Table2[[#This Row], [Ticket]],Okey!A:B,2,0),"")</f>
        <v>ok</v>
      </c>
      <c r="I538" s="36" t="s">
        <v>8546</v>
      </c>
      <c r="J538" s="36" t="s">
        <v>18</v>
      </c>
      <c r="K538" s="36"/>
      <c r="L538" s="36"/>
      <c r="M538" s="36" t="s">
        <v>4799</v>
      </c>
    </row>
    <row r="539" spans="1:13" hidden="1">
      <c r="A539" s="42">
        <f t="shared" si="9"/>
        <v>538</v>
      </c>
      <c r="B539" s="36" t="s">
        <v>6</v>
      </c>
      <c r="C539" s="36" t="s">
        <v>8543</v>
      </c>
      <c r="D539" s="9" t="s">
        <v>3941</v>
      </c>
      <c r="F539" s="36" t="s">
        <v>8692</v>
      </c>
      <c r="G539" s="36" t="s">
        <v>13</v>
      </c>
      <c r="H539" s="36" t="str">
        <f>IFERROR(VLOOKUP(Table2[[#This Row], [Ticket]],Okey!A:B,2,0),"")</f>
        <v>ok</v>
      </c>
      <c r="I539" s="36" t="s">
        <v>8546</v>
      </c>
      <c r="J539" s="36" t="s">
        <v>18</v>
      </c>
      <c r="K539" s="36"/>
      <c r="L539" s="36"/>
      <c r="M539" s="36" t="s">
        <v>4799</v>
      </c>
    </row>
    <row r="540" spans="1:13" hidden="1">
      <c r="A540" s="42">
        <f t="shared" si="9"/>
        <v>539</v>
      </c>
      <c r="B540" s="36" t="s">
        <v>6</v>
      </c>
      <c r="C540" s="36" t="s">
        <v>8543</v>
      </c>
      <c r="D540" s="9" t="s">
        <v>8501</v>
      </c>
      <c r="F540" s="36" t="s">
        <v>8692</v>
      </c>
      <c r="G540" s="36" t="s">
        <v>13</v>
      </c>
      <c r="H540" s="36" t="str">
        <f>IFERROR(VLOOKUP(Table2[[#This Row], [Ticket]],Okey!A:B,2,0),"")</f>
        <v>ok</v>
      </c>
      <c r="I540" s="36" t="s">
        <v>8546</v>
      </c>
      <c r="J540" s="36" t="s">
        <v>18</v>
      </c>
      <c r="K540" s="36"/>
      <c r="L540" s="36"/>
      <c r="M540" s="36" t="s">
        <v>4799</v>
      </c>
    </row>
    <row r="541" spans="1:13" hidden="1">
      <c r="A541" s="42">
        <f t="shared" si="9"/>
        <v>540</v>
      </c>
      <c r="B541" s="36" t="s">
        <v>6</v>
      </c>
      <c r="C541" s="36" t="s">
        <v>8543</v>
      </c>
      <c r="D541" s="9" t="s">
        <v>8502</v>
      </c>
      <c r="F541" s="36" t="s">
        <v>8693</v>
      </c>
      <c r="G541" s="36" t="s">
        <v>13</v>
      </c>
      <c r="H541" s="36" t="str">
        <f>IFERROR(VLOOKUP(Table2[[#This Row], [Ticket]],Okey!A:B,2,0),"")</f>
        <v>ok</v>
      </c>
      <c r="I541" s="36" t="s">
        <v>8546</v>
      </c>
      <c r="J541" s="36" t="s">
        <v>18</v>
      </c>
      <c r="K541" s="36"/>
      <c r="L541" s="36"/>
      <c r="M541" s="36" t="s">
        <v>4799</v>
      </c>
    </row>
    <row r="542" spans="1:13" hidden="1">
      <c r="A542" s="42">
        <f t="shared" si="9"/>
        <v>541</v>
      </c>
      <c r="B542" s="36" t="s">
        <v>6</v>
      </c>
      <c r="C542" s="36" t="s">
        <v>8543</v>
      </c>
      <c r="D542" s="9" t="s">
        <v>8503</v>
      </c>
      <c r="F542" s="36" t="s">
        <v>8693</v>
      </c>
      <c r="G542" s="36" t="s">
        <v>13</v>
      </c>
      <c r="H542" s="36" t="str">
        <f>IFERROR(VLOOKUP(Table2[[#This Row], [Ticket]],Okey!A:B,2,0),"")</f>
        <v>ok</v>
      </c>
      <c r="I542" s="36" t="s">
        <v>8546</v>
      </c>
      <c r="J542" s="36" t="s">
        <v>18</v>
      </c>
      <c r="K542" s="36"/>
      <c r="L542" s="36"/>
      <c r="M542" s="36" t="s">
        <v>4799</v>
      </c>
    </row>
    <row r="543" spans="1:13" hidden="1">
      <c r="A543" s="42">
        <f t="shared" si="9"/>
        <v>542</v>
      </c>
      <c r="B543" s="36" t="s">
        <v>6</v>
      </c>
      <c r="C543" s="36" t="s">
        <v>8543</v>
      </c>
      <c r="D543" s="9" t="s">
        <v>8504</v>
      </c>
      <c r="F543" s="36" t="s">
        <v>8693</v>
      </c>
      <c r="G543" s="36" t="s">
        <v>13</v>
      </c>
      <c r="H543" s="36" t="str">
        <f>IFERROR(VLOOKUP(Table2[[#This Row], [Ticket]],Okey!A:B,2,0),"")</f>
        <v>ok</v>
      </c>
      <c r="I543" s="36" t="s">
        <v>8546</v>
      </c>
      <c r="J543" s="36" t="s">
        <v>18</v>
      </c>
      <c r="K543" s="36"/>
      <c r="L543" s="36"/>
      <c r="M543" s="36" t="s">
        <v>4799</v>
      </c>
    </row>
    <row r="544" spans="1:13" hidden="1">
      <c r="A544" s="42">
        <f t="shared" si="9"/>
        <v>543</v>
      </c>
      <c r="B544" s="36" t="s">
        <v>6</v>
      </c>
      <c r="C544" s="36" t="s">
        <v>8543</v>
      </c>
      <c r="D544" s="9" t="s">
        <v>8505</v>
      </c>
      <c r="F544" s="36" t="s">
        <v>8693</v>
      </c>
      <c r="G544" s="36" t="s">
        <v>13</v>
      </c>
      <c r="H544" s="36" t="str">
        <f>IFERROR(VLOOKUP(Table2[[#This Row], [Ticket]],Okey!A:B,2,0),"")</f>
        <v>ok</v>
      </c>
      <c r="I544" s="36" t="s">
        <v>8546</v>
      </c>
      <c r="J544" s="36" t="s">
        <v>18</v>
      </c>
      <c r="K544" s="36"/>
      <c r="L544" s="36"/>
      <c r="M544" s="36" t="s">
        <v>4799</v>
      </c>
    </row>
    <row r="545" spans="1:13" hidden="1">
      <c r="A545" s="42">
        <f t="shared" si="9"/>
        <v>544</v>
      </c>
      <c r="B545" s="36" t="s">
        <v>6</v>
      </c>
      <c r="C545" s="36" t="s">
        <v>8543</v>
      </c>
      <c r="D545" s="9" t="s">
        <v>8506</v>
      </c>
      <c r="F545" s="36" t="s">
        <v>8693</v>
      </c>
      <c r="G545" s="36" t="s">
        <v>13</v>
      </c>
      <c r="H545" s="36" t="str">
        <f>IFERROR(VLOOKUP(Table2[[#This Row], [Ticket]],Okey!A:B,2,0),"")</f>
        <v>ok</v>
      </c>
      <c r="I545" s="36" t="s">
        <v>8546</v>
      </c>
      <c r="J545" s="36" t="s">
        <v>18</v>
      </c>
      <c r="K545" s="36"/>
      <c r="L545" s="36"/>
      <c r="M545" s="36" t="s">
        <v>4799</v>
      </c>
    </row>
    <row r="546" spans="1:13" hidden="1">
      <c r="A546" s="42">
        <f t="shared" si="9"/>
        <v>545</v>
      </c>
      <c r="B546" s="36" t="s">
        <v>6</v>
      </c>
      <c r="C546" s="36" t="s">
        <v>8543</v>
      </c>
      <c r="D546" s="9" t="s">
        <v>8507</v>
      </c>
      <c r="F546" s="36" t="s">
        <v>8693</v>
      </c>
      <c r="G546" s="36" t="s">
        <v>13</v>
      </c>
      <c r="H546" s="36" t="str">
        <f>IFERROR(VLOOKUP(Table2[[#This Row], [Ticket]],Okey!A:B,2,0),"")</f>
        <v>ok</v>
      </c>
      <c r="I546" s="36" t="s">
        <v>8546</v>
      </c>
      <c r="J546" s="36" t="s">
        <v>18</v>
      </c>
      <c r="K546" s="36"/>
      <c r="L546" s="36"/>
      <c r="M546" s="36" t="s">
        <v>4799</v>
      </c>
    </row>
    <row r="547" spans="1:13" hidden="1">
      <c r="A547" s="42">
        <f t="shared" si="9"/>
        <v>546</v>
      </c>
      <c r="B547" s="36" t="s">
        <v>6</v>
      </c>
      <c r="C547" s="36" t="s">
        <v>8543</v>
      </c>
      <c r="D547" s="9" t="s">
        <v>8508</v>
      </c>
      <c r="F547" s="36" t="s">
        <v>8693</v>
      </c>
      <c r="G547" s="36" t="s">
        <v>13</v>
      </c>
      <c r="H547" s="36" t="str">
        <f>IFERROR(VLOOKUP(Table2[[#This Row], [Ticket]],Okey!A:B,2,0),"")</f>
        <v>ok</v>
      </c>
      <c r="I547" s="36" t="s">
        <v>8546</v>
      </c>
      <c r="J547" s="36" t="s">
        <v>18</v>
      </c>
      <c r="K547" s="36"/>
      <c r="L547" s="36"/>
      <c r="M547" s="36" t="s">
        <v>4799</v>
      </c>
    </row>
    <row r="548" spans="1:13" hidden="1">
      <c r="A548" s="42">
        <f t="shared" si="9"/>
        <v>547</v>
      </c>
      <c r="B548" s="36" t="s">
        <v>6</v>
      </c>
      <c r="C548" s="36" t="s">
        <v>8543</v>
      </c>
      <c r="D548" s="9" t="s">
        <v>8509</v>
      </c>
      <c r="F548" s="36" t="s">
        <v>8693</v>
      </c>
      <c r="G548" s="36" t="s">
        <v>13</v>
      </c>
      <c r="H548" s="36" t="str">
        <f>IFERROR(VLOOKUP(Table2[[#This Row], [Ticket]],Okey!A:B,2,0),"")</f>
        <v>ok</v>
      </c>
      <c r="I548" s="36" t="s">
        <v>8546</v>
      </c>
      <c r="J548" s="36" t="s">
        <v>18</v>
      </c>
      <c r="K548" s="36"/>
      <c r="L548" s="36"/>
      <c r="M548" s="36" t="s">
        <v>4799</v>
      </c>
    </row>
    <row r="549" spans="1:13" hidden="1">
      <c r="A549" s="42">
        <f t="shared" si="9"/>
        <v>548</v>
      </c>
      <c r="B549" s="36" t="s">
        <v>6</v>
      </c>
      <c r="C549" s="36" t="s">
        <v>8543</v>
      </c>
      <c r="D549" s="9" t="s">
        <v>8510</v>
      </c>
      <c r="F549" s="36" t="s">
        <v>8693</v>
      </c>
      <c r="G549" s="36" t="s">
        <v>13</v>
      </c>
      <c r="H549" s="36" t="str">
        <f>IFERROR(VLOOKUP(Table2[[#This Row], [Ticket]],Okey!A:B,2,0),"")</f>
        <v>ok</v>
      </c>
      <c r="I549" s="36" t="s">
        <v>8546</v>
      </c>
      <c r="J549" s="36" t="s">
        <v>18</v>
      </c>
      <c r="K549" s="36"/>
      <c r="L549" s="36"/>
      <c r="M549" s="36" t="s">
        <v>4799</v>
      </c>
    </row>
    <row r="550" spans="1:13" hidden="1">
      <c r="A550" s="42">
        <f t="shared" si="9"/>
        <v>549</v>
      </c>
      <c r="B550" s="36" t="s">
        <v>6</v>
      </c>
      <c r="C550" s="36" t="s">
        <v>8543</v>
      </c>
      <c r="D550" s="9" t="s">
        <v>8511</v>
      </c>
      <c r="F550" s="36" t="s">
        <v>8693</v>
      </c>
      <c r="G550" s="36" t="s">
        <v>13</v>
      </c>
      <c r="H550" s="36" t="str">
        <f>IFERROR(VLOOKUP(Table2[[#This Row], [Ticket]],Okey!A:B,2,0),"")</f>
        <v>ok</v>
      </c>
      <c r="I550" s="36" t="s">
        <v>8546</v>
      </c>
      <c r="J550" s="36" t="s">
        <v>18</v>
      </c>
      <c r="K550" s="36"/>
      <c r="L550" s="36"/>
      <c r="M550" s="36" t="s">
        <v>4799</v>
      </c>
    </row>
    <row r="551" spans="1:13" hidden="1">
      <c r="A551" s="42">
        <f t="shared" si="9"/>
        <v>550</v>
      </c>
      <c r="B551" s="36" t="s">
        <v>6</v>
      </c>
      <c r="C551" s="36" t="s">
        <v>8543</v>
      </c>
      <c r="D551" s="9" t="s">
        <v>8512</v>
      </c>
      <c r="F551" s="36" t="s">
        <v>8693</v>
      </c>
      <c r="G551" s="36" t="s">
        <v>13</v>
      </c>
      <c r="H551" s="36" t="str">
        <f>IFERROR(VLOOKUP(Table2[[#This Row], [Ticket]],Okey!A:B,2,0),"")</f>
        <v>ok</v>
      </c>
      <c r="I551" s="36" t="s">
        <v>8546</v>
      </c>
      <c r="J551" s="36" t="s">
        <v>18</v>
      </c>
      <c r="K551" s="36"/>
      <c r="L551" s="36"/>
      <c r="M551" s="36" t="s">
        <v>4799</v>
      </c>
    </row>
    <row r="552" spans="1:13" hidden="1">
      <c r="A552" s="42">
        <f t="shared" si="9"/>
        <v>551</v>
      </c>
      <c r="B552" s="36" t="s">
        <v>6</v>
      </c>
      <c r="C552" s="36" t="s">
        <v>8543</v>
      </c>
      <c r="D552" s="9" t="s">
        <v>8513</v>
      </c>
      <c r="F552" s="36" t="s">
        <v>8693</v>
      </c>
      <c r="G552" s="36" t="s">
        <v>13</v>
      </c>
      <c r="H552" s="36" t="str">
        <f>IFERROR(VLOOKUP(Table2[[#This Row], [Ticket]],Okey!A:B,2,0),"")</f>
        <v>ok</v>
      </c>
      <c r="I552" s="36" t="s">
        <v>8546</v>
      </c>
      <c r="J552" s="36" t="s">
        <v>18</v>
      </c>
      <c r="K552" s="36"/>
      <c r="L552" s="36"/>
      <c r="M552" s="36" t="s">
        <v>4799</v>
      </c>
    </row>
    <row r="553" spans="1:13" hidden="1">
      <c r="A553" s="42">
        <f t="shared" si="9"/>
        <v>552</v>
      </c>
      <c r="B553" s="36" t="s">
        <v>6</v>
      </c>
      <c r="C553" s="36" t="s">
        <v>8543</v>
      </c>
      <c r="D553" s="9" t="s">
        <v>8514</v>
      </c>
      <c r="F553" s="36" t="s">
        <v>8693</v>
      </c>
      <c r="G553" s="36" t="s">
        <v>13</v>
      </c>
      <c r="H553" s="36" t="str">
        <f>IFERROR(VLOOKUP(Table2[[#This Row], [Ticket]],Okey!A:B,2,0),"")</f>
        <v>ok</v>
      </c>
      <c r="I553" s="36" t="s">
        <v>8546</v>
      </c>
      <c r="J553" s="36" t="s">
        <v>18</v>
      </c>
      <c r="K553" s="36"/>
      <c r="L553" s="36"/>
      <c r="M553" s="36" t="s">
        <v>4799</v>
      </c>
    </row>
    <row r="554" spans="1:13" hidden="1">
      <c r="A554" s="42">
        <f t="shared" si="9"/>
        <v>553</v>
      </c>
      <c r="B554" s="36" t="s">
        <v>6</v>
      </c>
      <c r="C554" s="36" t="s">
        <v>8543</v>
      </c>
      <c r="D554" s="9" t="s">
        <v>8515</v>
      </c>
      <c r="F554" s="36" t="s">
        <v>8693</v>
      </c>
      <c r="G554" s="36" t="s">
        <v>13</v>
      </c>
      <c r="H554" s="36" t="str">
        <f>IFERROR(VLOOKUP(Table2[[#This Row], [Ticket]],Okey!A:B,2,0),"")</f>
        <v>ok</v>
      </c>
      <c r="I554" s="36" t="s">
        <v>8546</v>
      </c>
      <c r="J554" s="36" t="s">
        <v>18</v>
      </c>
      <c r="K554" s="36"/>
      <c r="L554" s="36"/>
      <c r="M554" s="36" t="s">
        <v>4799</v>
      </c>
    </row>
    <row r="555" spans="1:13" hidden="1">
      <c r="A555" s="42">
        <f t="shared" si="9"/>
        <v>554</v>
      </c>
      <c r="B555" s="36" t="s">
        <v>6</v>
      </c>
      <c r="C555" s="36" t="s">
        <v>8543</v>
      </c>
      <c r="D555" s="9" t="s">
        <v>8516</v>
      </c>
      <c r="F555" s="36" t="s">
        <v>8693</v>
      </c>
      <c r="G555" s="36" t="s">
        <v>13</v>
      </c>
      <c r="H555" s="36" t="str">
        <f>IFERROR(VLOOKUP(Table2[[#This Row], [Ticket]],Okey!A:B,2,0),"")</f>
        <v>ok</v>
      </c>
      <c r="I555" s="36" t="s">
        <v>8546</v>
      </c>
      <c r="J555" s="36" t="s">
        <v>18</v>
      </c>
      <c r="K555" s="36"/>
      <c r="L555" s="36"/>
      <c r="M555" s="36" t="s">
        <v>4799</v>
      </c>
    </row>
    <row r="556" spans="1:13" hidden="1">
      <c r="A556" s="42">
        <f t="shared" si="9"/>
        <v>555</v>
      </c>
      <c r="B556" s="36" t="s">
        <v>6</v>
      </c>
      <c r="C556" s="36" t="s">
        <v>8543</v>
      </c>
      <c r="D556" s="9" t="s">
        <v>8517</v>
      </c>
      <c r="F556" s="36" t="s">
        <v>8693</v>
      </c>
      <c r="G556" s="36" t="s">
        <v>13</v>
      </c>
      <c r="H556" s="36" t="str">
        <f>IFERROR(VLOOKUP(Table2[[#This Row], [Ticket]],Okey!A:B,2,0),"")</f>
        <v>ok</v>
      </c>
      <c r="I556" s="36" t="s">
        <v>8546</v>
      </c>
      <c r="J556" s="36" t="s">
        <v>18</v>
      </c>
      <c r="K556" s="36"/>
      <c r="L556" s="36"/>
      <c r="M556" s="36" t="s">
        <v>4799</v>
      </c>
    </row>
    <row r="557" spans="1:13" hidden="1">
      <c r="A557" s="42">
        <f t="shared" si="9"/>
        <v>556</v>
      </c>
      <c r="B557" s="36" t="s">
        <v>6</v>
      </c>
      <c r="C557" s="36" t="s">
        <v>8543</v>
      </c>
      <c r="D557" s="9" t="s">
        <v>8518</v>
      </c>
      <c r="F557" s="36" t="s">
        <v>8693</v>
      </c>
      <c r="G557" s="36" t="s">
        <v>13</v>
      </c>
      <c r="H557" s="36" t="str">
        <f>IFERROR(VLOOKUP(Table2[[#This Row], [Ticket]],Okey!A:B,2,0),"")</f>
        <v>ok</v>
      </c>
      <c r="I557" s="36" t="s">
        <v>8546</v>
      </c>
      <c r="J557" s="36" t="s">
        <v>18</v>
      </c>
      <c r="K557" s="36"/>
      <c r="L557" s="36"/>
      <c r="M557" s="36" t="s">
        <v>4799</v>
      </c>
    </row>
    <row r="558" spans="1:13" hidden="1">
      <c r="A558" s="42">
        <f t="shared" si="9"/>
        <v>557</v>
      </c>
      <c r="B558" s="36" t="s">
        <v>6</v>
      </c>
      <c r="C558" s="36" t="s">
        <v>8543</v>
      </c>
      <c r="D558" s="9" t="s">
        <v>8519</v>
      </c>
      <c r="F558" s="36" t="s">
        <v>8693</v>
      </c>
      <c r="G558" s="36" t="s">
        <v>13</v>
      </c>
      <c r="H558" s="36" t="str">
        <f>IFERROR(VLOOKUP(Table2[[#This Row], [Ticket]],Okey!A:B,2,0),"")</f>
        <v>ok</v>
      </c>
      <c r="I558" s="36" t="s">
        <v>8546</v>
      </c>
      <c r="J558" s="36" t="s">
        <v>18</v>
      </c>
      <c r="K558" s="36"/>
      <c r="L558" s="36"/>
      <c r="M558" s="36" t="s">
        <v>4799</v>
      </c>
    </row>
    <row r="559" spans="1:13" hidden="1">
      <c r="A559" s="42">
        <f t="shared" si="9"/>
        <v>558</v>
      </c>
      <c r="B559" s="36" t="s">
        <v>6</v>
      </c>
      <c r="C559" s="36" t="s">
        <v>8543</v>
      </c>
      <c r="D559" s="9" t="s">
        <v>8520</v>
      </c>
      <c r="F559" s="36" t="s">
        <v>8693</v>
      </c>
      <c r="G559" s="36" t="s">
        <v>13</v>
      </c>
      <c r="H559" s="36" t="str">
        <f>IFERROR(VLOOKUP(Table2[[#This Row], [Ticket]],Okey!A:B,2,0),"")</f>
        <v>ok</v>
      </c>
      <c r="I559" s="36" t="s">
        <v>8546</v>
      </c>
      <c r="J559" s="36" t="s">
        <v>18</v>
      </c>
      <c r="K559" s="36"/>
      <c r="L559" s="36"/>
      <c r="M559" s="36" t="s">
        <v>4799</v>
      </c>
    </row>
    <row r="560" spans="1:13" hidden="1">
      <c r="A560" s="42">
        <f t="shared" si="9"/>
        <v>559</v>
      </c>
      <c r="B560" s="36" t="s">
        <v>6</v>
      </c>
      <c r="C560" s="36" t="s">
        <v>8543</v>
      </c>
      <c r="D560" s="9" t="s">
        <v>5985</v>
      </c>
      <c r="F560" s="9" t="s">
        <v>4810</v>
      </c>
      <c r="G560" s="36" t="s">
        <v>13</v>
      </c>
      <c r="H560" s="36" t="str">
        <f>IFERROR(VLOOKUP(Table2[[#This Row], [Ticket]],Okey!A:B,2,0),"")</f>
        <v>ok</v>
      </c>
      <c r="I560" s="36" t="s">
        <v>8546</v>
      </c>
      <c r="J560" s="36" t="s">
        <v>18</v>
      </c>
      <c r="K560" s="36"/>
      <c r="L560" s="36"/>
      <c r="M560" s="36" t="s">
        <v>4799</v>
      </c>
    </row>
    <row r="561" spans="1:13" hidden="1">
      <c r="A561" s="42">
        <f t="shared" si="9"/>
        <v>560</v>
      </c>
      <c r="B561" s="36" t="s">
        <v>6</v>
      </c>
      <c r="C561" s="36" t="s">
        <v>8543</v>
      </c>
      <c r="D561" s="9" t="s">
        <v>5984</v>
      </c>
      <c r="F561" s="9" t="s">
        <v>8393</v>
      </c>
      <c r="G561" s="36" t="s">
        <v>13</v>
      </c>
      <c r="H561" s="36" t="str">
        <f>IFERROR(VLOOKUP(Table2[[#This Row], [Ticket]],Okey!A:B,2,0),"")</f>
        <v>ok</v>
      </c>
      <c r="I561" s="36" t="s">
        <v>8546</v>
      </c>
      <c r="J561" s="36" t="s">
        <v>18</v>
      </c>
      <c r="K561" s="36"/>
      <c r="L561" s="36"/>
      <c r="M561" s="36" t="s">
        <v>4799</v>
      </c>
    </row>
    <row r="562" spans="1:13" hidden="1">
      <c r="A562" s="42">
        <f t="shared" si="9"/>
        <v>561</v>
      </c>
      <c r="B562" s="36" t="s">
        <v>6</v>
      </c>
      <c r="C562" s="36" t="s">
        <v>8543</v>
      </c>
      <c r="D562" s="9" t="s">
        <v>8521</v>
      </c>
      <c r="F562" s="9" t="s">
        <v>8393</v>
      </c>
      <c r="G562" s="36" t="s">
        <v>13</v>
      </c>
      <c r="H562" s="36" t="str">
        <f>IFERROR(VLOOKUP(Table2[[#This Row], [Ticket]],Okey!A:B,2,0),"")</f>
        <v>ok</v>
      </c>
      <c r="I562" s="36" t="s">
        <v>8546</v>
      </c>
      <c r="J562" s="36" t="s">
        <v>18</v>
      </c>
      <c r="K562" s="36"/>
      <c r="L562" s="36"/>
      <c r="M562" s="36" t="s">
        <v>4799</v>
      </c>
    </row>
    <row r="563" spans="1:13" hidden="1">
      <c r="A563" s="42">
        <f t="shared" si="9"/>
        <v>562</v>
      </c>
      <c r="B563" s="36" t="s">
        <v>6</v>
      </c>
      <c r="C563" s="36" t="s">
        <v>8543</v>
      </c>
      <c r="D563" s="9" t="s">
        <v>8522</v>
      </c>
      <c r="F563" s="9" t="s">
        <v>8393</v>
      </c>
      <c r="G563" s="36" t="s">
        <v>13</v>
      </c>
      <c r="H563" s="36" t="str">
        <f>IFERROR(VLOOKUP(Table2[[#This Row], [Ticket]],Okey!A:B,2,0),"")</f>
        <v>ok</v>
      </c>
      <c r="I563" s="36" t="s">
        <v>8546</v>
      </c>
      <c r="J563" s="36" t="s">
        <v>18</v>
      </c>
      <c r="K563" s="36"/>
      <c r="L563" s="36"/>
      <c r="M563" s="36" t="s">
        <v>4799</v>
      </c>
    </row>
    <row r="564" spans="1:13" hidden="1">
      <c r="A564" s="42">
        <f t="shared" si="9"/>
        <v>563</v>
      </c>
      <c r="B564" s="36" t="s">
        <v>6</v>
      </c>
      <c r="C564" s="36" t="s">
        <v>8543</v>
      </c>
      <c r="D564" s="9" t="s">
        <v>8523</v>
      </c>
      <c r="F564" s="9" t="s">
        <v>5540</v>
      </c>
      <c r="G564" s="36" t="s">
        <v>13</v>
      </c>
      <c r="H564" s="36" t="str">
        <f>IFERROR(VLOOKUP(Table2[[#This Row], [Ticket]],Okey!A:B,2,0),"")</f>
        <v>ok</v>
      </c>
      <c r="I564" s="36" t="s">
        <v>8546</v>
      </c>
      <c r="J564" s="36" t="s">
        <v>18</v>
      </c>
      <c r="K564" s="36"/>
      <c r="L564" s="36"/>
      <c r="M564" s="36" t="s">
        <v>4799</v>
      </c>
    </row>
    <row r="565" spans="1:13" hidden="1">
      <c r="A565" s="42">
        <f t="shared" si="9"/>
        <v>564</v>
      </c>
      <c r="B565" s="36" t="s">
        <v>6</v>
      </c>
      <c r="C565" s="36" t="s">
        <v>8543</v>
      </c>
      <c r="D565" s="9" t="s">
        <v>5988</v>
      </c>
      <c r="F565" s="9" t="s">
        <v>3506</v>
      </c>
      <c r="G565" s="36" t="s">
        <v>13</v>
      </c>
      <c r="H565" s="36" t="str">
        <f>IFERROR(VLOOKUP(Table2[[#This Row], [Ticket]],Okey!A:B,2,0),"")</f>
        <v>ok</v>
      </c>
      <c r="I565" s="36" t="s">
        <v>8546</v>
      </c>
      <c r="J565" s="36" t="s">
        <v>18</v>
      </c>
      <c r="K565" s="36"/>
      <c r="L565" s="36"/>
      <c r="M565" s="36" t="s">
        <v>4799</v>
      </c>
    </row>
    <row r="566" spans="1:13" hidden="1">
      <c r="A566" s="42">
        <f t="shared" si="9"/>
        <v>565</v>
      </c>
      <c r="B566" s="36" t="s">
        <v>6</v>
      </c>
      <c r="C566" s="36" t="s">
        <v>8543</v>
      </c>
      <c r="D566" s="9" t="s">
        <v>5989</v>
      </c>
      <c r="F566" s="9" t="s">
        <v>3506</v>
      </c>
      <c r="G566" s="36" t="s">
        <v>13</v>
      </c>
      <c r="H566" s="36" t="str">
        <f>IFERROR(VLOOKUP(Table2[[#This Row], [Ticket]],Okey!A:B,2,0),"")</f>
        <v>ok</v>
      </c>
      <c r="I566" s="36" t="s">
        <v>8546</v>
      </c>
      <c r="J566" s="36" t="s">
        <v>18</v>
      </c>
      <c r="K566" s="36"/>
      <c r="L566" s="36"/>
      <c r="M566" s="36" t="s">
        <v>4799</v>
      </c>
    </row>
    <row r="567" spans="1:13" hidden="1">
      <c r="A567" s="42">
        <f t="shared" si="9"/>
        <v>566</v>
      </c>
      <c r="B567" s="36" t="s">
        <v>6</v>
      </c>
      <c r="C567" s="36" t="s">
        <v>8543</v>
      </c>
      <c r="D567" s="9" t="s">
        <v>3512</v>
      </c>
      <c r="F567" s="9" t="s">
        <v>3506</v>
      </c>
      <c r="G567" s="36" t="s">
        <v>13</v>
      </c>
      <c r="H567" s="36" t="str">
        <f>IFERROR(VLOOKUP(Table2[[#This Row], [Ticket]],Okey!A:B,2,0),"")</f>
        <v>ok</v>
      </c>
      <c r="I567" s="36" t="s">
        <v>8546</v>
      </c>
      <c r="J567" s="36" t="s">
        <v>18</v>
      </c>
      <c r="K567" s="36"/>
      <c r="L567" s="36"/>
      <c r="M567" s="36" t="s">
        <v>4799</v>
      </c>
    </row>
    <row r="568" spans="1:13" hidden="1">
      <c r="A568" s="42">
        <f t="shared" si="9"/>
        <v>567</v>
      </c>
      <c r="B568" s="36" t="s">
        <v>6</v>
      </c>
      <c r="C568" s="36" t="s">
        <v>8543</v>
      </c>
      <c r="D568" s="9" t="s">
        <v>4048</v>
      </c>
      <c r="F568" s="9" t="s">
        <v>3506</v>
      </c>
      <c r="G568" s="36" t="s">
        <v>13</v>
      </c>
      <c r="H568" s="36" t="str">
        <f>IFERROR(VLOOKUP(Table2[[#This Row], [Ticket]],Okey!A:B,2,0),"")</f>
        <v>ok</v>
      </c>
      <c r="I568" s="36" t="s">
        <v>8546</v>
      </c>
      <c r="J568" s="36" t="s">
        <v>18</v>
      </c>
      <c r="K568" s="36"/>
      <c r="L568" s="36"/>
      <c r="M568" s="36" t="s">
        <v>4799</v>
      </c>
    </row>
    <row r="569" spans="1:13" hidden="1">
      <c r="A569" s="42">
        <f t="shared" si="9"/>
        <v>568</v>
      </c>
      <c r="B569" s="9" t="s">
        <v>6</v>
      </c>
      <c r="C569" s="36" t="s">
        <v>8543</v>
      </c>
      <c r="D569" s="9" t="s">
        <v>8524</v>
      </c>
      <c r="F569" s="9" t="s">
        <v>5597</v>
      </c>
      <c r="G569" s="9" t="s">
        <v>8544</v>
      </c>
      <c r="H569" s="36" t="str">
        <f>IFERROR(VLOOKUP(Table2[[#This Row], [Ticket]],Okey!A:B,2,0),"")</f>
        <v>ok</v>
      </c>
      <c r="I569" s="36" t="s">
        <v>8546</v>
      </c>
      <c r="J569" s="36" t="s">
        <v>18</v>
      </c>
      <c r="K569" s="36"/>
      <c r="L569" s="36"/>
      <c r="M569" s="36" t="s">
        <v>4799</v>
      </c>
    </row>
    <row r="570" spans="1:13" hidden="1">
      <c r="A570" s="42">
        <f t="shared" si="9"/>
        <v>569</v>
      </c>
      <c r="B570" s="36" t="s">
        <v>6</v>
      </c>
      <c r="C570" s="36" t="s">
        <v>8543</v>
      </c>
      <c r="D570" s="9" t="s">
        <v>3360</v>
      </c>
      <c r="F570" s="9" t="s">
        <v>6029</v>
      </c>
      <c r="G570" s="36" t="s">
        <v>8544</v>
      </c>
      <c r="H570" s="36" t="str">
        <f>IFERROR(VLOOKUP(Table2[[#This Row], [Ticket]],Okey!A:B,2,0),"")</f>
        <v>ok</v>
      </c>
      <c r="I570" s="36" t="s">
        <v>8546</v>
      </c>
      <c r="J570" s="36" t="s">
        <v>18</v>
      </c>
      <c r="K570" s="36"/>
      <c r="L570" s="36"/>
      <c r="M570" s="36" t="s">
        <v>4799</v>
      </c>
    </row>
    <row r="571" spans="1:13" hidden="1">
      <c r="A571" s="42">
        <f t="shared" si="9"/>
        <v>570</v>
      </c>
      <c r="B571" s="36" t="s">
        <v>6</v>
      </c>
      <c r="C571" s="36" t="s">
        <v>8543</v>
      </c>
      <c r="D571" s="9" t="s">
        <v>8525</v>
      </c>
      <c r="F571" s="36" t="s">
        <v>6029</v>
      </c>
      <c r="G571" s="36" t="s">
        <v>8544</v>
      </c>
      <c r="H571" s="36" t="str">
        <f>IFERROR(VLOOKUP(Table2[[#This Row], [Ticket]],Okey!A:B,2,0),"")</f>
        <v>ok</v>
      </c>
      <c r="I571" s="36" t="s">
        <v>8546</v>
      </c>
      <c r="J571" s="36" t="s">
        <v>18</v>
      </c>
      <c r="K571" s="36"/>
      <c r="L571" s="36"/>
      <c r="M571" s="36" t="s">
        <v>4799</v>
      </c>
    </row>
    <row r="572" spans="1:13" hidden="1">
      <c r="A572" s="42">
        <f t="shared" si="9"/>
        <v>571</v>
      </c>
      <c r="B572" s="36" t="s">
        <v>6</v>
      </c>
      <c r="C572" s="36" t="s">
        <v>8543</v>
      </c>
      <c r="D572" s="9" t="s">
        <v>6532</v>
      </c>
      <c r="F572" s="36" t="s">
        <v>6029</v>
      </c>
      <c r="G572" s="36" t="s">
        <v>8544</v>
      </c>
      <c r="H572" s="36" t="str">
        <f>IFERROR(VLOOKUP(Table2[[#This Row], [Ticket]],Okey!A:B,2,0),"")</f>
        <v>ok</v>
      </c>
      <c r="I572" s="36" t="s">
        <v>8546</v>
      </c>
      <c r="J572" s="36" t="s">
        <v>18</v>
      </c>
      <c r="K572" s="36"/>
      <c r="L572" s="36"/>
      <c r="M572" s="36" t="s">
        <v>4799</v>
      </c>
    </row>
    <row r="573" spans="1:13" hidden="1">
      <c r="A573" s="42">
        <f t="shared" si="9"/>
        <v>572</v>
      </c>
      <c r="B573" s="36" t="s">
        <v>6</v>
      </c>
      <c r="C573" s="36" t="s">
        <v>8543</v>
      </c>
      <c r="D573" s="9" t="s">
        <v>6530</v>
      </c>
      <c r="F573" s="36" t="s">
        <v>6029</v>
      </c>
      <c r="G573" s="36" t="s">
        <v>8544</v>
      </c>
      <c r="H573" s="36" t="str">
        <f>IFERROR(VLOOKUP(Table2[[#This Row], [Ticket]],Okey!A:B,2,0),"")</f>
        <v>ok</v>
      </c>
      <c r="I573" s="36" t="s">
        <v>8546</v>
      </c>
      <c r="J573" s="36" t="s">
        <v>18</v>
      </c>
      <c r="K573" s="36"/>
      <c r="L573" s="36"/>
      <c r="M573" s="36" t="s">
        <v>4799</v>
      </c>
    </row>
    <row r="574" spans="1:13" hidden="1">
      <c r="A574" s="42">
        <f t="shared" si="9"/>
        <v>573</v>
      </c>
      <c r="B574" s="36" t="s">
        <v>6</v>
      </c>
      <c r="C574" s="36" t="s">
        <v>8543</v>
      </c>
      <c r="D574" s="9" t="s">
        <v>8526</v>
      </c>
      <c r="F574" s="36" t="s">
        <v>6029</v>
      </c>
      <c r="G574" s="36" t="s">
        <v>8544</v>
      </c>
      <c r="H574" s="36" t="str">
        <f>IFERROR(VLOOKUP(Table2[[#This Row], [Ticket]],Okey!A:B,2,0),"")</f>
        <v>ok</v>
      </c>
      <c r="I574" s="36" t="s">
        <v>8546</v>
      </c>
      <c r="J574" s="36" t="s">
        <v>18</v>
      </c>
      <c r="K574" s="36"/>
      <c r="L574" s="36"/>
      <c r="M574" s="36" t="s">
        <v>4799</v>
      </c>
    </row>
    <row r="575" spans="1:13" hidden="1">
      <c r="A575" s="42">
        <f t="shared" si="9"/>
        <v>574</v>
      </c>
      <c r="B575" s="36" t="s">
        <v>6</v>
      </c>
      <c r="C575" s="36" t="s">
        <v>8543</v>
      </c>
      <c r="D575" s="9" t="s">
        <v>8527</v>
      </c>
      <c r="F575" s="36" t="s">
        <v>6029</v>
      </c>
      <c r="G575" s="36" t="s">
        <v>8544</v>
      </c>
      <c r="H575" s="36" t="str">
        <f>IFERROR(VLOOKUP(Table2[[#This Row], [Ticket]],Okey!A:B,2,0),"")</f>
        <v>ok</v>
      </c>
      <c r="I575" s="36" t="s">
        <v>8546</v>
      </c>
      <c r="J575" s="36" t="s">
        <v>18</v>
      </c>
      <c r="K575" s="36"/>
      <c r="L575" s="36"/>
      <c r="M575" s="36" t="s">
        <v>4799</v>
      </c>
    </row>
    <row r="576" spans="1:13" hidden="1">
      <c r="A576" s="42">
        <f t="shared" si="9"/>
        <v>575</v>
      </c>
      <c r="B576" s="36" t="s">
        <v>6</v>
      </c>
      <c r="C576" s="36" t="s">
        <v>8543</v>
      </c>
      <c r="D576" s="9" t="s">
        <v>8528</v>
      </c>
      <c r="F576" s="36" t="s">
        <v>6029</v>
      </c>
      <c r="G576" s="36" t="s">
        <v>8544</v>
      </c>
      <c r="H576" s="36" t="str">
        <f>IFERROR(VLOOKUP(Table2[[#This Row], [Ticket]],Okey!A:B,2,0),"")</f>
        <v>ok</v>
      </c>
      <c r="I576" s="36" t="s">
        <v>8546</v>
      </c>
      <c r="J576" s="36" t="s">
        <v>18</v>
      </c>
      <c r="K576" s="36"/>
      <c r="L576" s="36"/>
      <c r="M576" s="36" t="s">
        <v>4799</v>
      </c>
    </row>
    <row r="577" spans="1:13" hidden="1">
      <c r="A577" s="42">
        <f t="shared" si="9"/>
        <v>576</v>
      </c>
      <c r="B577" s="36" t="s">
        <v>6</v>
      </c>
      <c r="C577" s="36" t="s">
        <v>8543</v>
      </c>
      <c r="D577" s="9" t="s">
        <v>8529</v>
      </c>
      <c r="F577" s="36" t="s">
        <v>6029</v>
      </c>
      <c r="G577" s="36" t="s">
        <v>8544</v>
      </c>
      <c r="H577" s="36" t="str">
        <f>IFERROR(VLOOKUP(Table2[[#This Row], [Ticket]],Okey!A:B,2,0),"")</f>
        <v>ok</v>
      </c>
      <c r="I577" s="36" t="s">
        <v>8546</v>
      </c>
      <c r="J577" s="36" t="s">
        <v>18</v>
      </c>
      <c r="K577" s="36"/>
      <c r="L577" s="36"/>
      <c r="M577" s="36" t="s">
        <v>4799</v>
      </c>
    </row>
    <row r="578" spans="1:13" hidden="1">
      <c r="A578" s="42">
        <f t="shared" si="9"/>
        <v>577</v>
      </c>
      <c r="B578" s="36" t="s">
        <v>6</v>
      </c>
      <c r="C578" s="36" t="s">
        <v>8543</v>
      </c>
      <c r="D578" s="9" t="s">
        <v>8530</v>
      </c>
      <c r="F578" s="36" t="s">
        <v>6029</v>
      </c>
      <c r="G578" s="36" t="s">
        <v>8544</v>
      </c>
      <c r="H578" s="36" t="str">
        <f>IFERROR(VLOOKUP(Table2[[#This Row], [Ticket]],Okey!A:B,2,0),"")</f>
        <v>ok</v>
      </c>
      <c r="I578" s="36" t="s">
        <v>8546</v>
      </c>
      <c r="J578" s="36" t="s">
        <v>18</v>
      </c>
      <c r="K578" s="36"/>
      <c r="L578" s="36"/>
      <c r="M578" s="36" t="s">
        <v>4799</v>
      </c>
    </row>
    <row r="579" spans="1:13" hidden="1">
      <c r="A579" s="42">
        <f t="shared" si="9"/>
        <v>578</v>
      </c>
      <c r="B579" s="36" t="s">
        <v>6</v>
      </c>
      <c r="C579" s="36" t="s">
        <v>8543</v>
      </c>
      <c r="D579" s="9" t="s">
        <v>8531</v>
      </c>
      <c r="F579" s="36" t="s">
        <v>6029</v>
      </c>
      <c r="G579" s="36" t="s">
        <v>8544</v>
      </c>
      <c r="H579" s="36" t="str">
        <f>IFERROR(VLOOKUP(Table2[[#This Row], [Ticket]],Okey!A:B,2,0),"")</f>
        <v>ok</v>
      </c>
      <c r="I579" s="36" t="s">
        <v>8546</v>
      </c>
      <c r="J579" s="36" t="s">
        <v>18</v>
      </c>
      <c r="K579" s="36"/>
      <c r="L579" s="36"/>
      <c r="M579" s="36" t="s">
        <v>4799</v>
      </c>
    </row>
    <row r="580" spans="1:13" hidden="1">
      <c r="A580" s="42">
        <f t="shared" si="9"/>
        <v>579</v>
      </c>
      <c r="B580" s="36" t="s">
        <v>6</v>
      </c>
      <c r="C580" s="36" t="s">
        <v>8543</v>
      </c>
      <c r="D580" s="9" t="s">
        <v>8532</v>
      </c>
      <c r="F580" s="36" t="s">
        <v>6029</v>
      </c>
      <c r="G580" s="36" t="s">
        <v>8544</v>
      </c>
      <c r="H580" s="36" t="str">
        <f>IFERROR(VLOOKUP(Table2[[#This Row], [Ticket]],Okey!A:B,2,0),"")</f>
        <v>ok</v>
      </c>
      <c r="I580" s="36" t="s">
        <v>8546</v>
      </c>
      <c r="J580" s="36" t="s">
        <v>18</v>
      </c>
      <c r="K580" s="36"/>
      <c r="L580" s="36"/>
      <c r="M580" s="36" t="s">
        <v>4799</v>
      </c>
    </row>
    <row r="581" spans="1:13" hidden="1">
      <c r="A581" s="42">
        <f t="shared" si="9"/>
        <v>580</v>
      </c>
      <c r="B581" s="36" t="s">
        <v>6</v>
      </c>
      <c r="C581" s="36" t="s">
        <v>8543</v>
      </c>
      <c r="D581" s="9" t="s">
        <v>8533</v>
      </c>
      <c r="F581" s="36" t="s">
        <v>6029</v>
      </c>
      <c r="G581" s="36" t="s">
        <v>8544</v>
      </c>
      <c r="H581" s="36" t="str">
        <f>IFERROR(VLOOKUP(Table2[[#This Row], [Ticket]],Okey!A:B,2,0),"")</f>
        <v>ok</v>
      </c>
      <c r="I581" s="36" t="s">
        <v>8546</v>
      </c>
      <c r="J581" s="36" t="s">
        <v>18</v>
      </c>
      <c r="K581" s="36"/>
      <c r="L581" s="36"/>
      <c r="M581" s="36" t="s">
        <v>4799</v>
      </c>
    </row>
    <row r="582" spans="1:13" hidden="1">
      <c r="A582" s="42">
        <f t="shared" si="9"/>
        <v>581</v>
      </c>
      <c r="B582" s="36" t="s">
        <v>6</v>
      </c>
      <c r="C582" s="36" t="s">
        <v>8543</v>
      </c>
      <c r="D582" s="9" t="s">
        <v>8534</v>
      </c>
      <c r="F582" s="36" t="s">
        <v>6029</v>
      </c>
      <c r="G582" s="36" t="s">
        <v>8544</v>
      </c>
      <c r="H582" s="36" t="str">
        <f>IFERROR(VLOOKUP(Table2[[#This Row], [Ticket]],Okey!A:B,2,0),"")</f>
        <v>ok</v>
      </c>
      <c r="I582" s="36" t="s">
        <v>8546</v>
      </c>
      <c r="J582" s="36" t="s">
        <v>18</v>
      </c>
      <c r="K582" s="36"/>
      <c r="L582" s="36"/>
      <c r="M582" s="36" t="s">
        <v>4799</v>
      </c>
    </row>
    <row r="583" spans="1:13" hidden="1">
      <c r="A583" s="42">
        <f t="shared" si="9"/>
        <v>582</v>
      </c>
      <c r="B583" s="36" t="s">
        <v>6</v>
      </c>
      <c r="C583" s="36" t="s">
        <v>8543</v>
      </c>
      <c r="D583" s="9" t="s">
        <v>8535</v>
      </c>
      <c r="F583" s="36" t="s">
        <v>6029</v>
      </c>
      <c r="G583" s="36" t="s">
        <v>8544</v>
      </c>
      <c r="H583" s="36" t="str">
        <f>IFERROR(VLOOKUP(Table2[[#This Row], [Ticket]],Okey!A:B,2,0),"")</f>
        <v>ok</v>
      </c>
      <c r="I583" s="36" t="s">
        <v>8546</v>
      </c>
      <c r="J583" s="36" t="s">
        <v>18</v>
      </c>
      <c r="K583" s="36"/>
      <c r="L583" s="36"/>
      <c r="M583" s="36" t="s">
        <v>4799</v>
      </c>
    </row>
    <row r="584" spans="1:13" hidden="1">
      <c r="A584" s="42">
        <f t="shared" si="9"/>
        <v>583</v>
      </c>
      <c r="B584" s="36" t="s">
        <v>6</v>
      </c>
      <c r="C584" s="36" t="s">
        <v>8543</v>
      </c>
      <c r="D584" s="9" t="s">
        <v>8536</v>
      </c>
      <c r="F584" s="36" t="s">
        <v>6029</v>
      </c>
      <c r="G584" s="36" t="s">
        <v>8544</v>
      </c>
      <c r="H584" s="36" t="str">
        <f>IFERROR(VLOOKUP(Table2[[#This Row], [Ticket]],Okey!A:B,2,0),"")</f>
        <v>ok</v>
      </c>
      <c r="I584" s="36" t="s">
        <v>8546</v>
      </c>
      <c r="J584" s="36" t="s">
        <v>18</v>
      </c>
      <c r="K584" s="36"/>
      <c r="L584" s="36"/>
      <c r="M584" s="36" t="s">
        <v>4799</v>
      </c>
    </row>
    <row r="585" spans="1:13" hidden="1">
      <c r="A585" s="42">
        <f t="shared" si="9"/>
        <v>584</v>
      </c>
      <c r="B585" s="36" t="s">
        <v>6</v>
      </c>
      <c r="C585" s="36" t="s">
        <v>8543</v>
      </c>
      <c r="D585" s="9" t="s">
        <v>8537</v>
      </c>
      <c r="F585" s="36" t="s">
        <v>6029</v>
      </c>
      <c r="G585" s="36" t="s">
        <v>8544</v>
      </c>
      <c r="H585" s="36" t="str">
        <f>IFERROR(VLOOKUP(Table2[[#This Row], [Ticket]],Okey!A:B,2,0),"")</f>
        <v>ok</v>
      </c>
      <c r="I585" s="36" t="s">
        <v>8546</v>
      </c>
      <c r="J585" s="36" t="s">
        <v>18</v>
      </c>
      <c r="K585" s="36"/>
      <c r="L585" s="36"/>
      <c r="M585" s="36" t="s">
        <v>4799</v>
      </c>
    </row>
    <row r="586" spans="1:13" hidden="1">
      <c r="A586" s="42">
        <f t="shared" si="9"/>
        <v>585</v>
      </c>
      <c r="B586" s="36" t="s">
        <v>6</v>
      </c>
      <c r="C586" s="36" t="s">
        <v>8543</v>
      </c>
      <c r="D586" s="9" t="s">
        <v>8538</v>
      </c>
      <c r="F586" s="36" t="s">
        <v>6029</v>
      </c>
      <c r="G586" s="36" t="s">
        <v>8544</v>
      </c>
      <c r="H586" s="36" t="str">
        <f>IFERROR(VLOOKUP(Table2[[#This Row], [Ticket]],Okey!A:B,2,0),"")</f>
        <v>ok</v>
      </c>
      <c r="I586" s="36" t="s">
        <v>8546</v>
      </c>
      <c r="J586" s="36" t="s">
        <v>18</v>
      </c>
      <c r="K586" s="36"/>
      <c r="L586" s="36"/>
      <c r="M586" s="36" t="s">
        <v>4799</v>
      </c>
    </row>
    <row r="587" spans="1:13" hidden="1">
      <c r="A587" s="42">
        <f t="shared" si="9"/>
        <v>586</v>
      </c>
      <c r="B587" s="36" t="s">
        <v>6</v>
      </c>
      <c r="C587" s="36" t="s">
        <v>8543</v>
      </c>
      <c r="D587" s="9" t="s">
        <v>8539</v>
      </c>
      <c r="F587" s="36" t="s">
        <v>6029</v>
      </c>
      <c r="G587" s="36" t="s">
        <v>8544</v>
      </c>
      <c r="H587" s="36" t="str">
        <f>IFERROR(VLOOKUP(Table2[[#This Row], [Ticket]],Okey!A:B,2,0),"")</f>
        <v>ok</v>
      </c>
      <c r="I587" s="36" t="s">
        <v>8546</v>
      </c>
      <c r="J587" s="36" t="s">
        <v>18</v>
      </c>
      <c r="K587" s="36"/>
      <c r="L587" s="36"/>
      <c r="M587" s="36" t="s">
        <v>4799</v>
      </c>
    </row>
    <row r="588" spans="1:13" hidden="1">
      <c r="A588" s="42">
        <f t="shared" si="9"/>
        <v>587</v>
      </c>
      <c r="B588" s="36" t="s">
        <v>6</v>
      </c>
      <c r="C588" s="36" t="s">
        <v>8543</v>
      </c>
      <c r="D588" s="9" t="s">
        <v>8540</v>
      </c>
      <c r="F588" s="36" t="s">
        <v>6029</v>
      </c>
      <c r="G588" s="36" t="s">
        <v>8544</v>
      </c>
      <c r="H588" s="36" t="str">
        <f>IFERROR(VLOOKUP(Table2[[#This Row], [Ticket]],Okey!A:B,2,0),"")</f>
        <v>ok</v>
      </c>
      <c r="I588" s="36" t="s">
        <v>8546</v>
      </c>
      <c r="J588" s="36" t="s">
        <v>18</v>
      </c>
      <c r="K588" s="36"/>
      <c r="L588" s="36"/>
      <c r="M588" s="36" t="s">
        <v>4799</v>
      </c>
    </row>
    <row r="589" spans="1:13" hidden="1">
      <c r="A589" s="42">
        <f t="shared" si="9"/>
        <v>588</v>
      </c>
      <c r="B589" s="36" t="s">
        <v>6</v>
      </c>
      <c r="C589" s="36" t="s">
        <v>8543</v>
      </c>
      <c r="D589" s="9" t="s">
        <v>8541</v>
      </c>
      <c r="F589" s="36" t="s">
        <v>6029</v>
      </c>
      <c r="G589" s="36" t="s">
        <v>8544</v>
      </c>
      <c r="H589" s="36" t="str">
        <f>IFERROR(VLOOKUP(Table2[[#This Row], [Ticket]],Okey!A:B,2,0),"")</f>
        <v>ok</v>
      </c>
      <c r="I589" s="36" t="s">
        <v>8546</v>
      </c>
      <c r="J589" s="36" t="s">
        <v>18</v>
      </c>
      <c r="K589" s="36"/>
      <c r="L589" s="36"/>
      <c r="M589" s="36" t="s">
        <v>4799</v>
      </c>
    </row>
    <row r="590" spans="1:13" hidden="1">
      <c r="A590" s="42">
        <f t="shared" si="9"/>
        <v>589</v>
      </c>
      <c r="B590" s="36" t="s">
        <v>6</v>
      </c>
      <c r="C590" s="9" t="s">
        <v>8543</v>
      </c>
      <c r="D590" s="9" t="s">
        <v>8542</v>
      </c>
      <c r="F590" s="36" t="s">
        <v>6029</v>
      </c>
      <c r="G590" s="36" t="s">
        <v>8544</v>
      </c>
      <c r="H590" s="36" t="str">
        <f>IFERROR(VLOOKUP(Table2[[#This Row], [Ticket]],Okey!A:B,2,0),"")</f>
        <v>ok</v>
      </c>
      <c r="I590" s="36" t="s">
        <v>8546</v>
      </c>
      <c r="J590" s="36" t="s">
        <v>18</v>
      </c>
      <c r="K590" s="36"/>
      <c r="L590" s="36"/>
      <c r="M590" s="36" t="s">
        <v>4799</v>
      </c>
    </row>
    <row r="591" spans="1:13" hidden="1">
      <c r="A591" s="42">
        <f t="shared" si="9"/>
        <v>590</v>
      </c>
      <c r="B591" s="36" t="s">
        <v>6</v>
      </c>
      <c r="C591" s="9" t="s">
        <v>8545</v>
      </c>
      <c r="D591" s="36" t="s">
        <v>8107</v>
      </c>
      <c r="F591" s="36" t="s">
        <v>275</v>
      </c>
      <c r="G591" s="36" t="s">
        <v>8544</v>
      </c>
      <c r="H591" s="36" t="str">
        <f>IFERROR(VLOOKUP(Table2[[#This Row], [Ticket]],Okey!A:B,2,0),"")</f>
        <v>ok</v>
      </c>
      <c r="I591" s="36" t="s">
        <v>8546</v>
      </c>
      <c r="J591" s="9" t="s">
        <v>19</v>
      </c>
      <c r="K591" s="36"/>
      <c r="L591" s="36"/>
      <c r="M591" s="9" t="s">
        <v>4782</v>
      </c>
    </row>
    <row r="592" spans="1:13" hidden="1">
      <c r="A592" s="42">
        <f t="shared" si="9"/>
        <v>591</v>
      </c>
      <c r="B592" s="36" t="s">
        <v>6</v>
      </c>
      <c r="C592" s="36" t="s">
        <v>8545</v>
      </c>
      <c r="D592" s="36" t="s">
        <v>7918</v>
      </c>
      <c r="F592" s="36" t="s">
        <v>275</v>
      </c>
      <c r="G592" s="36" t="s">
        <v>8544</v>
      </c>
      <c r="H592" s="36" t="str">
        <f>IFERROR(VLOOKUP(Table2[[#This Row], [Ticket]],Okey!A:B,2,0),"")</f>
        <v>ok</v>
      </c>
      <c r="I592" s="36" t="s">
        <v>8546</v>
      </c>
      <c r="J592" s="36" t="s">
        <v>19</v>
      </c>
      <c r="K592" s="36"/>
      <c r="L592" s="36"/>
      <c r="M592" s="36" t="s">
        <v>4782</v>
      </c>
    </row>
    <row r="593" spans="1:13" hidden="1">
      <c r="A593" s="42">
        <f t="shared" si="9"/>
        <v>592</v>
      </c>
      <c r="B593" s="36" t="s">
        <v>6</v>
      </c>
      <c r="C593" s="36" t="s">
        <v>8545</v>
      </c>
      <c r="D593" s="36" t="s">
        <v>8109</v>
      </c>
      <c r="F593" s="36" t="s">
        <v>275</v>
      </c>
      <c r="G593" s="36" t="s">
        <v>8544</v>
      </c>
      <c r="H593" s="36" t="str">
        <f>IFERROR(VLOOKUP(Table2[[#This Row], [Ticket]],Okey!A:B,2,0),"")</f>
        <v>ok</v>
      </c>
      <c r="I593" s="36" t="s">
        <v>8546</v>
      </c>
      <c r="J593" s="36" t="s">
        <v>19</v>
      </c>
      <c r="K593" s="36"/>
      <c r="L593" s="36"/>
      <c r="M593" s="36" t="s">
        <v>4782</v>
      </c>
    </row>
    <row r="594" spans="1:13" hidden="1">
      <c r="A594" s="42">
        <f t="shared" si="9"/>
        <v>593</v>
      </c>
      <c r="B594" s="36" t="s">
        <v>6</v>
      </c>
      <c r="C594" s="9" t="s">
        <v>8695</v>
      </c>
      <c r="D594" s="68" t="s">
        <v>7909</v>
      </c>
      <c r="F594" s="69" t="s">
        <v>8694</v>
      </c>
      <c r="G594" s="36" t="s">
        <v>13</v>
      </c>
      <c r="H594" s="36" t="str">
        <f>IFERROR(VLOOKUP(Table2[[#This Row], [Ticket]],Okey!A:B,2,0),"")</f>
        <v>ok</v>
      </c>
      <c r="I594" s="36" t="s">
        <v>8546</v>
      </c>
      <c r="J594" s="9" t="s">
        <v>19</v>
      </c>
      <c r="K594" s="36"/>
      <c r="L594" s="36"/>
      <c r="M594" s="9" t="s">
        <v>4782</v>
      </c>
    </row>
    <row r="595" spans="1:13" hidden="1">
      <c r="A595" s="42">
        <f t="shared" si="9"/>
        <v>594</v>
      </c>
      <c r="B595" s="36" t="s">
        <v>6</v>
      </c>
      <c r="C595" s="9" t="s">
        <v>8701</v>
      </c>
      <c r="D595" s="9" t="s">
        <v>8696</v>
      </c>
      <c r="E595" s="38" t="s">
        <v>8697</v>
      </c>
      <c r="G595" s="9" t="s">
        <v>15</v>
      </c>
      <c r="H595" s="36" t="str">
        <f>IFERROR(VLOOKUP(Table2[[#This Row], [Ticket]],Okey!A:B,2,0),"")</f>
        <v>ok</v>
      </c>
      <c r="I595" s="36" t="s">
        <v>8546</v>
      </c>
      <c r="J595" s="9" t="s">
        <v>17</v>
      </c>
      <c r="K595" s="36"/>
      <c r="L595" s="36"/>
      <c r="M595" s="36" t="s">
        <v>1230</v>
      </c>
    </row>
    <row r="596" spans="1:13" hidden="1">
      <c r="A596" s="42">
        <f t="shared" ref="A596:A659" si="10">1+A595</f>
        <v>595</v>
      </c>
      <c r="B596" s="36" t="s">
        <v>6</v>
      </c>
      <c r="C596" s="36" t="s">
        <v>8701</v>
      </c>
      <c r="D596" s="36" t="s">
        <v>8854</v>
      </c>
      <c r="E596" s="9" t="s">
        <v>8698</v>
      </c>
      <c r="F596" s="9" t="s">
        <v>8696</v>
      </c>
      <c r="G596" s="9" t="s">
        <v>14</v>
      </c>
      <c r="H596" s="36" t="str">
        <f>IFERROR(VLOOKUP(Table2[[#This Row], [Ticket]],Okey!A:B,2,0),"")</f>
        <v>ok</v>
      </c>
      <c r="I596" s="36" t="s">
        <v>8546</v>
      </c>
      <c r="J596" s="36" t="s">
        <v>17</v>
      </c>
      <c r="K596" s="36"/>
      <c r="L596" s="36"/>
      <c r="M596" s="36" t="s">
        <v>1230</v>
      </c>
    </row>
    <row r="597" spans="1:13" hidden="1">
      <c r="A597" s="42">
        <f t="shared" si="10"/>
        <v>596</v>
      </c>
      <c r="B597" s="36" t="s">
        <v>6</v>
      </c>
      <c r="C597" s="36" t="s">
        <v>8701</v>
      </c>
      <c r="D597" s="36" t="s">
        <v>8855</v>
      </c>
      <c r="E597" s="9" t="s">
        <v>8699</v>
      </c>
      <c r="F597" s="9" t="s">
        <v>8696</v>
      </c>
      <c r="G597" s="36" t="s">
        <v>14</v>
      </c>
      <c r="H597" s="36" t="str">
        <f>IFERROR(VLOOKUP(Table2[[#This Row], [Ticket]],Okey!A:B,2,0),"")</f>
        <v>ok</v>
      </c>
      <c r="I597" s="36" t="s">
        <v>8546</v>
      </c>
      <c r="J597" s="36" t="s">
        <v>17</v>
      </c>
      <c r="K597" s="36"/>
      <c r="L597" s="36"/>
      <c r="M597" s="36" t="s">
        <v>1230</v>
      </c>
    </row>
    <row r="598" spans="1:13" hidden="1">
      <c r="A598" s="42">
        <f t="shared" si="10"/>
        <v>597</v>
      </c>
      <c r="B598" s="36" t="s">
        <v>6</v>
      </c>
      <c r="C598" s="36" t="s">
        <v>8701</v>
      </c>
      <c r="D598" s="36" t="s">
        <v>8856</v>
      </c>
      <c r="E598" s="9" t="s">
        <v>8700</v>
      </c>
      <c r="F598" s="9" t="s">
        <v>8696</v>
      </c>
      <c r="G598" s="36" t="s">
        <v>14</v>
      </c>
      <c r="H598" s="36" t="str">
        <f>IFERROR(VLOOKUP(Table2[[#This Row], [Ticket]],Okey!A:B,2,0),"")</f>
        <v>ok</v>
      </c>
      <c r="I598" s="36" t="s">
        <v>8546</v>
      </c>
      <c r="J598" s="36" t="s">
        <v>17</v>
      </c>
      <c r="K598" s="36"/>
      <c r="L598" s="36"/>
      <c r="M598" s="9" t="s">
        <v>1230</v>
      </c>
    </row>
    <row r="599" spans="1:13" hidden="1">
      <c r="A599" s="42">
        <f t="shared" si="10"/>
        <v>598</v>
      </c>
      <c r="B599" s="36" t="s">
        <v>6</v>
      </c>
      <c r="C599" s="9" t="s">
        <v>8702</v>
      </c>
      <c r="D599" s="9" t="s">
        <v>8857</v>
      </c>
      <c r="E599" s="9" t="s">
        <v>8703</v>
      </c>
      <c r="F599" s="9" t="s">
        <v>3655</v>
      </c>
      <c r="G599" s="36" t="s">
        <v>14</v>
      </c>
      <c r="H599" s="36" t="str">
        <f>IFERROR(VLOOKUP(Table2[[#This Row], [Ticket]],Okey!A:B,2,0),"")</f>
        <v>ok</v>
      </c>
      <c r="I599" s="36" t="s">
        <v>8546</v>
      </c>
      <c r="J599" s="9" t="s">
        <v>17</v>
      </c>
      <c r="K599" s="36"/>
      <c r="L599" s="36"/>
      <c r="M599" s="9" t="s">
        <v>4778</v>
      </c>
    </row>
    <row r="600" spans="1:13" hidden="1">
      <c r="A600" s="42">
        <f t="shared" si="10"/>
        <v>599</v>
      </c>
      <c r="B600" s="36" t="s">
        <v>6</v>
      </c>
      <c r="C600" s="9" t="s">
        <v>8704</v>
      </c>
      <c r="D600" s="36" t="s">
        <v>8858</v>
      </c>
      <c r="E600" s="9" t="s">
        <v>8705</v>
      </c>
      <c r="F600" s="9" t="s">
        <v>3167</v>
      </c>
      <c r="G600" s="36" t="s">
        <v>14</v>
      </c>
      <c r="H600" s="36" t="str">
        <f>IFERROR(VLOOKUP(Table2[[#This Row], [Ticket]],Okey!A:B,2,0),"")</f>
        <v>ok</v>
      </c>
      <c r="I600" s="36" t="s">
        <v>8546</v>
      </c>
      <c r="J600" s="9" t="s">
        <v>20</v>
      </c>
      <c r="K600" s="36"/>
      <c r="L600" s="36"/>
      <c r="M600" s="9" t="s">
        <v>8013</v>
      </c>
    </row>
    <row r="601" spans="1:13" hidden="1">
      <c r="A601" s="42">
        <f t="shared" si="10"/>
        <v>600</v>
      </c>
      <c r="B601" s="36" t="s">
        <v>6</v>
      </c>
      <c r="C601" s="36" t="s">
        <v>8704</v>
      </c>
      <c r="D601" s="9" t="s">
        <v>8859</v>
      </c>
      <c r="E601" s="9" t="s">
        <v>8706</v>
      </c>
      <c r="F601" s="9" t="s">
        <v>8048</v>
      </c>
      <c r="G601" s="36" t="s">
        <v>14</v>
      </c>
      <c r="H601" s="36" t="str">
        <f>IFERROR(VLOOKUP(Table2[[#This Row], [Ticket]],Okey!A:B,2,0),"")</f>
        <v>ok</v>
      </c>
      <c r="I601" s="36" t="s">
        <v>8546</v>
      </c>
      <c r="J601" s="36" t="s">
        <v>20</v>
      </c>
      <c r="K601" s="36"/>
      <c r="L601" s="36"/>
      <c r="M601" s="36" t="s">
        <v>8013</v>
      </c>
    </row>
    <row r="602" spans="1:13" hidden="1">
      <c r="A602" s="42">
        <f t="shared" si="10"/>
        <v>601</v>
      </c>
      <c r="B602" s="36" t="s">
        <v>6</v>
      </c>
      <c r="C602" s="36" t="s">
        <v>8704</v>
      </c>
      <c r="D602" s="9" t="s">
        <v>8860</v>
      </c>
      <c r="E602" s="9" t="s">
        <v>8707</v>
      </c>
      <c r="F602" s="9" t="s">
        <v>4301</v>
      </c>
      <c r="G602" s="36" t="s">
        <v>14</v>
      </c>
      <c r="H602" s="36" t="str">
        <f>IFERROR(VLOOKUP(Table2[[#This Row], [Ticket]],Okey!A:B,2,0),"")</f>
        <v>ok</v>
      </c>
      <c r="I602" s="36" t="s">
        <v>8546</v>
      </c>
      <c r="J602" s="36" t="s">
        <v>20</v>
      </c>
      <c r="K602" s="36"/>
      <c r="L602" s="36"/>
      <c r="M602" s="36" t="s">
        <v>8013</v>
      </c>
    </row>
    <row r="603" spans="1:13" hidden="1">
      <c r="A603" s="42">
        <f t="shared" si="10"/>
        <v>602</v>
      </c>
      <c r="B603" s="36" t="s">
        <v>6</v>
      </c>
      <c r="C603" s="36" t="s">
        <v>8704</v>
      </c>
      <c r="D603" s="9" t="s">
        <v>8861</v>
      </c>
      <c r="E603" s="9" t="s">
        <v>8708</v>
      </c>
      <c r="F603" s="9" t="s">
        <v>8032</v>
      </c>
      <c r="G603" s="36" t="s">
        <v>14</v>
      </c>
      <c r="H603" s="36" t="str">
        <f>IFERROR(VLOOKUP(Table2[[#This Row], [Ticket]],Okey!A:B,2,0),"")</f>
        <v>ok</v>
      </c>
      <c r="I603" s="36" t="s">
        <v>8546</v>
      </c>
      <c r="J603" s="36" t="s">
        <v>20</v>
      </c>
      <c r="K603" s="36"/>
      <c r="L603" s="36"/>
      <c r="M603" s="36" t="s">
        <v>8013</v>
      </c>
    </row>
    <row r="604" spans="1:13" hidden="1">
      <c r="A604" s="42">
        <f t="shared" si="10"/>
        <v>603</v>
      </c>
      <c r="B604" s="36" t="s">
        <v>6</v>
      </c>
      <c r="C604" s="36" t="s">
        <v>8704</v>
      </c>
      <c r="D604" s="9" t="s">
        <v>8862</v>
      </c>
      <c r="E604" s="9" t="s">
        <v>8709</v>
      </c>
      <c r="F604" s="9" t="s">
        <v>2653</v>
      </c>
      <c r="G604" s="36" t="s">
        <v>14</v>
      </c>
      <c r="H604" s="36" t="str">
        <f>IFERROR(VLOOKUP(Table2[[#This Row], [Ticket]],Okey!A:B,2,0),"")</f>
        <v>ok</v>
      </c>
      <c r="I604" s="36" t="s">
        <v>8546</v>
      </c>
      <c r="J604" s="36" t="s">
        <v>20</v>
      </c>
      <c r="K604" s="36"/>
      <c r="L604" s="36"/>
      <c r="M604" s="36" t="s">
        <v>8013</v>
      </c>
    </row>
    <row r="605" spans="1:13" hidden="1">
      <c r="A605" s="42">
        <f t="shared" si="10"/>
        <v>604</v>
      </c>
      <c r="B605" s="36" t="s">
        <v>6</v>
      </c>
      <c r="C605" s="36" t="s">
        <v>8704</v>
      </c>
      <c r="D605" s="9" t="s">
        <v>8863</v>
      </c>
      <c r="E605" s="9" t="s">
        <v>8710</v>
      </c>
      <c r="F605" s="9" t="s">
        <v>2653</v>
      </c>
      <c r="G605" s="36" t="s">
        <v>14</v>
      </c>
      <c r="H605" s="36" t="str">
        <f>IFERROR(VLOOKUP(Table2[[#This Row], [Ticket]],Okey!A:B,2,0),"")</f>
        <v>ok</v>
      </c>
      <c r="I605" s="36" t="s">
        <v>8546</v>
      </c>
      <c r="J605" s="36" t="s">
        <v>20</v>
      </c>
      <c r="K605" s="36"/>
      <c r="L605" s="36"/>
      <c r="M605" s="36" t="s">
        <v>8013</v>
      </c>
    </row>
    <row r="606" spans="1:13" hidden="1">
      <c r="A606" s="42">
        <f t="shared" si="10"/>
        <v>605</v>
      </c>
      <c r="B606" s="36" t="s">
        <v>6</v>
      </c>
      <c r="C606" s="36" t="s">
        <v>8704</v>
      </c>
      <c r="D606" s="9" t="s">
        <v>8864</v>
      </c>
      <c r="E606" s="9" t="s">
        <v>8711</v>
      </c>
      <c r="F606" s="9" t="s">
        <v>2653</v>
      </c>
      <c r="G606" s="36" t="s">
        <v>14</v>
      </c>
      <c r="H606" s="36" t="str">
        <f>IFERROR(VLOOKUP(Table2[[#This Row], [Ticket]],Okey!A:B,2,0),"")</f>
        <v>ok</v>
      </c>
      <c r="I606" s="36" t="s">
        <v>8546</v>
      </c>
      <c r="J606" s="36" t="s">
        <v>20</v>
      </c>
      <c r="K606" s="36"/>
      <c r="L606" s="36"/>
      <c r="M606" s="36" t="s">
        <v>8013</v>
      </c>
    </row>
    <row r="607" spans="1:13" hidden="1">
      <c r="A607" s="42">
        <f t="shared" si="10"/>
        <v>606</v>
      </c>
      <c r="B607" s="36" t="s">
        <v>6</v>
      </c>
      <c r="C607" s="36" t="s">
        <v>8704</v>
      </c>
      <c r="D607" s="9" t="s">
        <v>8865</v>
      </c>
      <c r="E607" s="9" t="s">
        <v>8712</v>
      </c>
      <c r="F607" s="9" t="s">
        <v>2653</v>
      </c>
      <c r="G607" s="36" t="s">
        <v>14</v>
      </c>
      <c r="H607" s="36" t="str">
        <f>IFERROR(VLOOKUP(Table2[[#This Row], [Ticket]],Okey!A:B,2,0),"")</f>
        <v>ok</v>
      </c>
      <c r="I607" s="36" t="s">
        <v>8546</v>
      </c>
      <c r="J607" s="36" t="s">
        <v>20</v>
      </c>
      <c r="K607" s="36"/>
      <c r="L607" s="36"/>
      <c r="M607" s="36" t="s">
        <v>8013</v>
      </c>
    </row>
    <row r="608" spans="1:13" hidden="1">
      <c r="A608" s="42">
        <f t="shared" si="10"/>
        <v>607</v>
      </c>
      <c r="B608" s="36" t="s">
        <v>6</v>
      </c>
      <c r="C608" s="36" t="s">
        <v>8704</v>
      </c>
      <c r="D608" s="9" t="s">
        <v>8866</v>
      </c>
      <c r="E608" s="9" t="s">
        <v>8713</v>
      </c>
      <c r="F608" s="9" t="s">
        <v>2653</v>
      </c>
      <c r="G608" s="36" t="s">
        <v>14</v>
      </c>
      <c r="H608" s="36" t="str">
        <f>IFERROR(VLOOKUP(Table2[[#This Row], [Ticket]],Okey!A:B,2,0),"")</f>
        <v>ok</v>
      </c>
      <c r="I608" s="36" t="s">
        <v>8546</v>
      </c>
      <c r="J608" s="36" t="s">
        <v>20</v>
      </c>
      <c r="K608" s="36"/>
      <c r="L608" s="36"/>
      <c r="M608" s="36" t="s">
        <v>8013</v>
      </c>
    </row>
    <row r="609" spans="1:13" hidden="1">
      <c r="A609" s="42">
        <f t="shared" si="10"/>
        <v>608</v>
      </c>
      <c r="B609" s="36" t="s">
        <v>6</v>
      </c>
      <c r="C609" s="36" t="s">
        <v>8704</v>
      </c>
      <c r="D609" s="9" t="s">
        <v>8867</v>
      </c>
      <c r="E609" s="9" t="s">
        <v>8714</v>
      </c>
      <c r="F609" s="9" t="s">
        <v>8770</v>
      </c>
      <c r="G609" s="36" t="s">
        <v>14</v>
      </c>
      <c r="H609" s="36" t="str">
        <f>IFERROR(VLOOKUP(Table2[[#This Row], [Ticket]],Okey!A:B,2,0),"")</f>
        <v>ok</v>
      </c>
      <c r="I609" s="36" t="s">
        <v>8546</v>
      </c>
      <c r="J609" s="36" t="s">
        <v>20</v>
      </c>
      <c r="K609" s="36"/>
      <c r="L609" s="36"/>
      <c r="M609" s="36" t="s">
        <v>8013</v>
      </c>
    </row>
    <row r="610" spans="1:13" hidden="1">
      <c r="A610" s="42">
        <f t="shared" si="10"/>
        <v>609</v>
      </c>
      <c r="B610" s="36" t="s">
        <v>6</v>
      </c>
      <c r="C610" s="36" t="s">
        <v>8704</v>
      </c>
      <c r="D610" s="9" t="s">
        <v>8868</v>
      </c>
      <c r="E610" s="9" t="s">
        <v>8715</v>
      </c>
      <c r="F610" s="9" t="s">
        <v>2551</v>
      </c>
      <c r="G610" s="36" t="s">
        <v>14</v>
      </c>
      <c r="H610" s="36" t="str">
        <f>IFERROR(VLOOKUP(Table2[[#This Row], [Ticket]],Okey!A:B,2,0),"")</f>
        <v>ok</v>
      </c>
      <c r="I610" s="36" t="s">
        <v>8546</v>
      </c>
      <c r="J610" s="36" t="s">
        <v>20</v>
      </c>
      <c r="K610" s="36"/>
      <c r="L610" s="36"/>
      <c r="M610" s="36" t="s">
        <v>8013</v>
      </c>
    </row>
    <row r="611" spans="1:13" hidden="1">
      <c r="A611" s="42">
        <f t="shared" si="10"/>
        <v>610</v>
      </c>
      <c r="B611" s="36" t="s">
        <v>6</v>
      </c>
      <c r="C611" s="36" t="s">
        <v>8704</v>
      </c>
      <c r="D611" s="9" t="s">
        <v>8869</v>
      </c>
      <c r="E611" s="9" t="s">
        <v>8716</v>
      </c>
      <c r="F611" s="9" t="s">
        <v>2234</v>
      </c>
      <c r="G611" s="36" t="s">
        <v>14</v>
      </c>
      <c r="H611" s="36" t="str">
        <f>IFERROR(VLOOKUP(Table2[[#This Row], [Ticket]],Okey!A:B,2,0),"")</f>
        <v>ok</v>
      </c>
      <c r="I611" s="36" t="s">
        <v>8546</v>
      </c>
      <c r="J611" s="36" t="s">
        <v>20</v>
      </c>
      <c r="K611" s="36"/>
      <c r="L611" s="36"/>
      <c r="M611" s="36" t="s">
        <v>8013</v>
      </c>
    </row>
    <row r="612" spans="1:13" hidden="1">
      <c r="A612" s="42">
        <f t="shared" si="10"/>
        <v>611</v>
      </c>
      <c r="B612" s="36" t="s">
        <v>6</v>
      </c>
      <c r="C612" s="36" t="s">
        <v>8704</v>
      </c>
      <c r="D612" s="9" t="s">
        <v>8870</v>
      </c>
      <c r="E612" s="9" t="s">
        <v>8717</v>
      </c>
      <c r="F612" s="9" t="s">
        <v>2203</v>
      </c>
      <c r="G612" s="36" t="s">
        <v>14</v>
      </c>
      <c r="H612" s="36" t="str">
        <f>IFERROR(VLOOKUP(Table2[[#This Row], [Ticket]],Okey!A:B,2,0),"")</f>
        <v>ok</v>
      </c>
      <c r="I612" s="36" t="s">
        <v>8546</v>
      </c>
      <c r="J612" s="36" t="s">
        <v>20</v>
      </c>
      <c r="K612" s="36"/>
      <c r="L612" s="36"/>
      <c r="M612" s="36" t="s">
        <v>8013</v>
      </c>
    </row>
    <row r="613" spans="1:13" hidden="1">
      <c r="A613" s="42">
        <f t="shared" si="10"/>
        <v>612</v>
      </c>
      <c r="B613" s="36" t="s">
        <v>6</v>
      </c>
      <c r="C613" s="36" t="s">
        <v>8704</v>
      </c>
      <c r="D613" s="9" t="s">
        <v>8871</v>
      </c>
      <c r="E613" s="9" t="s">
        <v>8718</v>
      </c>
      <c r="F613" s="9" t="s">
        <v>5238</v>
      </c>
      <c r="G613" s="36" t="s">
        <v>14</v>
      </c>
      <c r="H613" s="36" t="str">
        <f>IFERROR(VLOOKUP(Table2[[#This Row], [Ticket]],Okey!A:B,2,0),"")</f>
        <v>ok</v>
      </c>
      <c r="I613" s="36" t="s">
        <v>8546</v>
      </c>
      <c r="J613" s="36" t="s">
        <v>20</v>
      </c>
      <c r="K613" s="36"/>
      <c r="L613" s="36"/>
      <c r="M613" s="36" t="s">
        <v>8013</v>
      </c>
    </row>
    <row r="614" spans="1:13" hidden="1">
      <c r="A614" s="42">
        <f t="shared" si="10"/>
        <v>613</v>
      </c>
      <c r="B614" s="36" t="s">
        <v>6</v>
      </c>
      <c r="C614" s="36" t="s">
        <v>8704</v>
      </c>
      <c r="D614" s="9" t="s">
        <v>8872</v>
      </c>
      <c r="E614" s="9" t="s">
        <v>8719</v>
      </c>
      <c r="F614" s="9" t="s">
        <v>5238</v>
      </c>
      <c r="G614" s="36" t="s">
        <v>14</v>
      </c>
      <c r="H614" s="36" t="str">
        <f>IFERROR(VLOOKUP(Table2[[#This Row], [Ticket]],Okey!A:B,2,0),"")</f>
        <v>ok</v>
      </c>
      <c r="I614" s="36" t="s">
        <v>8546</v>
      </c>
      <c r="J614" s="36" t="s">
        <v>20</v>
      </c>
      <c r="K614" s="36"/>
      <c r="L614" s="36"/>
      <c r="M614" s="36" t="s">
        <v>8013</v>
      </c>
    </row>
    <row r="615" spans="1:13" hidden="1">
      <c r="A615" s="42">
        <f t="shared" si="10"/>
        <v>614</v>
      </c>
      <c r="B615" s="36" t="s">
        <v>6</v>
      </c>
      <c r="C615" s="36" t="s">
        <v>8704</v>
      </c>
      <c r="D615" s="9" t="s">
        <v>8873</v>
      </c>
      <c r="E615" s="9" t="s">
        <v>8720</v>
      </c>
      <c r="F615" s="9" t="s">
        <v>5238</v>
      </c>
      <c r="G615" s="36" t="s">
        <v>14</v>
      </c>
      <c r="H615" s="36" t="str">
        <f>IFERROR(VLOOKUP(Table2[[#This Row], [Ticket]],Okey!A:B,2,0),"")</f>
        <v>ok</v>
      </c>
      <c r="I615" s="36" t="s">
        <v>8546</v>
      </c>
      <c r="J615" s="36" t="s">
        <v>20</v>
      </c>
      <c r="K615" s="36"/>
      <c r="L615" s="36"/>
      <c r="M615" s="36" t="s">
        <v>8013</v>
      </c>
    </row>
    <row r="616" spans="1:13" hidden="1">
      <c r="A616" s="42">
        <f t="shared" si="10"/>
        <v>615</v>
      </c>
      <c r="B616" s="36" t="s">
        <v>6</v>
      </c>
      <c r="C616" s="36" t="s">
        <v>8704</v>
      </c>
      <c r="D616" s="9" t="s">
        <v>8874</v>
      </c>
      <c r="E616" s="9" t="s">
        <v>8721</v>
      </c>
      <c r="F616" s="9" t="s">
        <v>5238</v>
      </c>
      <c r="G616" s="36" t="s">
        <v>14</v>
      </c>
      <c r="H616" s="36" t="str">
        <f>IFERROR(VLOOKUP(Table2[[#This Row], [Ticket]],Okey!A:B,2,0),"")</f>
        <v>ok</v>
      </c>
      <c r="I616" s="36" t="s">
        <v>8546</v>
      </c>
      <c r="J616" s="36" t="s">
        <v>20</v>
      </c>
      <c r="K616" s="36"/>
      <c r="L616" s="36"/>
      <c r="M616" s="36" t="s">
        <v>8013</v>
      </c>
    </row>
    <row r="617" spans="1:13" hidden="1">
      <c r="A617" s="42">
        <f t="shared" si="10"/>
        <v>616</v>
      </c>
      <c r="B617" s="36" t="s">
        <v>6</v>
      </c>
      <c r="C617" s="36" t="s">
        <v>8704</v>
      </c>
      <c r="D617" s="9" t="s">
        <v>8875</v>
      </c>
      <c r="E617" s="9" t="s">
        <v>8722</v>
      </c>
      <c r="F617" s="9" t="s">
        <v>5238</v>
      </c>
      <c r="G617" s="36" t="s">
        <v>14</v>
      </c>
      <c r="H617" s="36" t="str">
        <f>IFERROR(VLOOKUP(Table2[[#This Row], [Ticket]],Okey!A:B,2,0),"")</f>
        <v>ok</v>
      </c>
      <c r="I617" s="36" t="s">
        <v>8546</v>
      </c>
      <c r="J617" s="36" t="s">
        <v>20</v>
      </c>
      <c r="K617" s="36"/>
      <c r="L617" s="36"/>
      <c r="M617" s="36" t="s">
        <v>8013</v>
      </c>
    </row>
    <row r="618" spans="1:13" hidden="1">
      <c r="A618" s="42">
        <f t="shared" si="10"/>
        <v>617</v>
      </c>
      <c r="B618" s="36" t="s">
        <v>6</v>
      </c>
      <c r="C618" s="36" t="s">
        <v>8704</v>
      </c>
      <c r="D618" s="9" t="s">
        <v>8876</v>
      </c>
      <c r="E618" s="9" t="s">
        <v>8723</v>
      </c>
      <c r="F618" s="9" t="s">
        <v>5238</v>
      </c>
      <c r="G618" s="36" t="s">
        <v>14</v>
      </c>
      <c r="H618" s="36" t="str">
        <f>IFERROR(VLOOKUP(Table2[[#This Row], [Ticket]],Okey!A:B,2,0),"")</f>
        <v>ok</v>
      </c>
      <c r="I618" s="36" t="s">
        <v>8546</v>
      </c>
      <c r="J618" s="36" t="s">
        <v>20</v>
      </c>
      <c r="K618" s="36"/>
      <c r="L618" s="36"/>
      <c r="M618" s="36" t="s">
        <v>8013</v>
      </c>
    </row>
    <row r="619" spans="1:13" hidden="1">
      <c r="A619" s="42">
        <f t="shared" si="10"/>
        <v>618</v>
      </c>
      <c r="B619" s="36" t="s">
        <v>6</v>
      </c>
      <c r="C619" s="36" t="s">
        <v>8704</v>
      </c>
      <c r="D619" s="9" t="s">
        <v>8877</v>
      </c>
      <c r="E619" s="9" t="s">
        <v>8724</v>
      </c>
      <c r="F619" s="9" t="s">
        <v>5238</v>
      </c>
      <c r="G619" s="36" t="s">
        <v>14</v>
      </c>
      <c r="H619" s="36" t="str">
        <f>IFERROR(VLOOKUP(Table2[[#This Row], [Ticket]],Okey!A:B,2,0),"")</f>
        <v>ok</v>
      </c>
      <c r="I619" s="36" t="s">
        <v>8546</v>
      </c>
      <c r="J619" s="36" t="s">
        <v>20</v>
      </c>
      <c r="K619" s="36"/>
      <c r="L619" s="36"/>
      <c r="M619" s="36" t="s">
        <v>8013</v>
      </c>
    </row>
    <row r="620" spans="1:13" hidden="1">
      <c r="A620" s="42">
        <f t="shared" si="10"/>
        <v>619</v>
      </c>
      <c r="B620" s="36" t="s">
        <v>6</v>
      </c>
      <c r="C620" s="36" t="s">
        <v>8704</v>
      </c>
      <c r="D620" s="9" t="s">
        <v>8878</v>
      </c>
      <c r="E620" s="9" t="s">
        <v>8725</v>
      </c>
      <c r="F620" s="36" t="s">
        <v>8877</v>
      </c>
      <c r="G620" s="36" t="s">
        <v>14</v>
      </c>
      <c r="H620" s="36" t="str">
        <f>IFERROR(VLOOKUP(Table2[[#This Row], [Ticket]],Okey!A:B,2,0),"")</f>
        <v>ok</v>
      </c>
      <c r="I620" s="36" t="s">
        <v>8546</v>
      </c>
      <c r="J620" s="36" t="s">
        <v>20</v>
      </c>
      <c r="K620" s="36"/>
      <c r="L620" s="36"/>
      <c r="M620" s="36" t="s">
        <v>8013</v>
      </c>
    </row>
    <row r="621" spans="1:13" hidden="1">
      <c r="A621" s="42">
        <f t="shared" si="10"/>
        <v>620</v>
      </c>
      <c r="B621" s="36" t="s">
        <v>6</v>
      </c>
      <c r="C621" s="36" t="s">
        <v>8704</v>
      </c>
      <c r="D621" s="9" t="s">
        <v>8879</v>
      </c>
      <c r="E621" s="9" t="s">
        <v>8726</v>
      </c>
      <c r="F621" s="36" t="s">
        <v>8877</v>
      </c>
      <c r="G621" s="36" t="s">
        <v>14</v>
      </c>
      <c r="H621" s="36" t="str">
        <f>IFERROR(VLOOKUP(Table2[[#This Row], [Ticket]],Okey!A:B,2,0),"")</f>
        <v>ok</v>
      </c>
      <c r="I621" s="36" t="s">
        <v>8546</v>
      </c>
      <c r="J621" s="36" t="s">
        <v>20</v>
      </c>
      <c r="K621" s="36"/>
      <c r="L621" s="36"/>
      <c r="M621" s="36" t="s">
        <v>8013</v>
      </c>
    </row>
    <row r="622" spans="1:13" hidden="1">
      <c r="A622" s="42">
        <f t="shared" si="10"/>
        <v>621</v>
      </c>
      <c r="B622" s="36" t="s">
        <v>6</v>
      </c>
      <c r="C622" s="36" t="s">
        <v>8704</v>
      </c>
      <c r="D622" s="9" t="s">
        <v>8880</v>
      </c>
      <c r="E622" s="9" t="s">
        <v>8727</v>
      </c>
      <c r="F622" s="36" t="s">
        <v>8877</v>
      </c>
      <c r="G622" s="36" t="s">
        <v>14</v>
      </c>
      <c r="H622" s="36" t="str">
        <f>IFERROR(VLOOKUP(Table2[[#This Row], [Ticket]],Okey!A:B,2,0),"")</f>
        <v>ok</v>
      </c>
      <c r="I622" s="36" t="s">
        <v>8546</v>
      </c>
      <c r="J622" s="36" t="s">
        <v>20</v>
      </c>
      <c r="K622" s="36"/>
      <c r="L622" s="36"/>
      <c r="M622" s="36" t="s">
        <v>8013</v>
      </c>
    </row>
    <row r="623" spans="1:13" hidden="1">
      <c r="A623" s="42">
        <f t="shared" si="10"/>
        <v>622</v>
      </c>
      <c r="B623" s="36" t="s">
        <v>6</v>
      </c>
      <c r="C623" s="36" t="s">
        <v>8704</v>
      </c>
      <c r="D623" s="9" t="s">
        <v>8881</v>
      </c>
      <c r="E623" s="9" t="s">
        <v>8728</v>
      </c>
      <c r="F623" s="36" t="s">
        <v>8877</v>
      </c>
      <c r="G623" s="36" t="s">
        <v>14</v>
      </c>
      <c r="H623" s="36" t="str">
        <f>IFERROR(VLOOKUP(Table2[[#This Row], [Ticket]],Okey!A:B,2,0),"")</f>
        <v>ok</v>
      </c>
      <c r="I623" s="36" t="s">
        <v>8546</v>
      </c>
      <c r="J623" s="36" t="s">
        <v>20</v>
      </c>
      <c r="K623" s="36"/>
      <c r="L623" s="36"/>
      <c r="M623" s="36" t="s">
        <v>8013</v>
      </c>
    </row>
    <row r="624" spans="1:13" hidden="1">
      <c r="A624" s="42">
        <f t="shared" si="10"/>
        <v>623</v>
      </c>
      <c r="B624" s="36" t="s">
        <v>6</v>
      </c>
      <c r="C624" s="36" t="s">
        <v>8704</v>
      </c>
      <c r="D624" s="9" t="s">
        <v>8882</v>
      </c>
      <c r="E624" s="9" t="s">
        <v>8729</v>
      </c>
      <c r="F624" s="9" t="s">
        <v>2199</v>
      </c>
      <c r="G624" s="36" t="s">
        <v>14</v>
      </c>
      <c r="H624" s="36" t="str">
        <f>IFERROR(VLOOKUP(Table2[[#This Row], [Ticket]],Okey!A:B,2,0),"")</f>
        <v>ok</v>
      </c>
      <c r="I624" s="36" t="s">
        <v>8546</v>
      </c>
      <c r="J624" s="36" t="s">
        <v>20</v>
      </c>
      <c r="K624" s="36"/>
      <c r="L624" s="36"/>
      <c r="M624" s="36" t="s">
        <v>8013</v>
      </c>
    </row>
    <row r="625" spans="1:13" hidden="1">
      <c r="A625" s="42">
        <f t="shared" si="10"/>
        <v>624</v>
      </c>
      <c r="B625" s="36" t="s">
        <v>6</v>
      </c>
      <c r="C625" s="36" t="s">
        <v>8704</v>
      </c>
      <c r="D625" s="9" t="s">
        <v>8883</v>
      </c>
      <c r="E625" s="9" t="s">
        <v>8730</v>
      </c>
      <c r="F625" s="9" t="s">
        <v>2544</v>
      </c>
      <c r="G625" s="36" t="s">
        <v>14</v>
      </c>
      <c r="H625" s="36" t="str">
        <f>IFERROR(VLOOKUP(Table2[[#This Row], [Ticket]],Okey!A:B,2,0),"")</f>
        <v>ok</v>
      </c>
      <c r="I625" s="36" t="s">
        <v>8546</v>
      </c>
      <c r="J625" s="36" t="s">
        <v>20</v>
      </c>
      <c r="K625" s="36"/>
      <c r="L625" s="36"/>
      <c r="M625" s="36" t="s">
        <v>8013</v>
      </c>
    </row>
    <row r="626" spans="1:13" hidden="1">
      <c r="A626" s="42">
        <f t="shared" si="10"/>
        <v>625</v>
      </c>
      <c r="B626" s="36" t="s">
        <v>6</v>
      </c>
      <c r="C626" s="36" t="s">
        <v>8704</v>
      </c>
      <c r="D626" s="9" t="s">
        <v>8884</v>
      </c>
      <c r="E626" s="9" t="s">
        <v>8731</v>
      </c>
      <c r="F626" s="9" t="s">
        <v>8771</v>
      </c>
      <c r="G626" s="36" t="s">
        <v>14</v>
      </c>
      <c r="H626" s="36" t="str">
        <f>IFERROR(VLOOKUP(Table2[[#This Row], [Ticket]],Okey!A:B,2,0),"")</f>
        <v>ok</v>
      </c>
      <c r="I626" s="36" t="s">
        <v>8546</v>
      </c>
      <c r="J626" s="36" t="s">
        <v>20</v>
      </c>
      <c r="K626" s="36"/>
      <c r="L626" s="36"/>
      <c r="M626" s="36" t="s">
        <v>8013</v>
      </c>
    </row>
    <row r="627" spans="1:13" hidden="1">
      <c r="A627" s="42">
        <f t="shared" si="10"/>
        <v>626</v>
      </c>
      <c r="B627" s="36" t="s">
        <v>6</v>
      </c>
      <c r="C627" s="36" t="s">
        <v>8704</v>
      </c>
      <c r="D627" s="9" t="s">
        <v>8885</v>
      </c>
      <c r="E627" s="9" t="s">
        <v>8732</v>
      </c>
      <c r="F627" s="9" t="s">
        <v>8771</v>
      </c>
      <c r="G627" s="36" t="s">
        <v>14</v>
      </c>
      <c r="H627" s="36" t="str">
        <f>IFERROR(VLOOKUP(Table2[[#This Row], [Ticket]],Okey!A:B,2,0),"")</f>
        <v>ok</v>
      </c>
      <c r="I627" s="36" t="s">
        <v>8546</v>
      </c>
      <c r="J627" s="36" t="s">
        <v>20</v>
      </c>
      <c r="K627" s="36"/>
      <c r="L627" s="36"/>
      <c r="M627" s="36" t="s">
        <v>8013</v>
      </c>
    </row>
    <row r="628" spans="1:13" hidden="1">
      <c r="A628" s="42">
        <f t="shared" si="10"/>
        <v>627</v>
      </c>
      <c r="B628" s="36" t="s">
        <v>6</v>
      </c>
      <c r="C628" s="36" t="s">
        <v>8704</v>
      </c>
      <c r="D628" s="9" t="s">
        <v>8886</v>
      </c>
      <c r="E628" s="9" t="s">
        <v>8733</v>
      </c>
      <c r="F628" s="9" t="s">
        <v>2149</v>
      </c>
      <c r="G628" s="36" t="s">
        <v>14</v>
      </c>
      <c r="H628" s="36" t="str">
        <f>IFERROR(VLOOKUP(Table2[[#This Row], [Ticket]],Okey!A:B,2,0),"")</f>
        <v>ok</v>
      </c>
      <c r="I628" s="36" t="s">
        <v>8546</v>
      </c>
      <c r="J628" s="36" t="s">
        <v>20</v>
      </c>
      <c r="K628" s="36"/>
      <c r="L628" s="36"/>
      <c r="M628" s="36" t="s">
        <v>8013</v>
      </c>
    </row>
    <row r="629" spans="1:13" hidden="1">
      <c r="A629" s="42">
        <f t="shared" si="10"/>
        <v>628</v>
      </c>
      <c r="B629" s="36" t="s">
        <v>6</v>
      </c>
      <c r="C629" s="36" t="s">
        <v>8704</v>
      </c>
      <c r="D629" s="9" t="s">
        <v>8887</v>
      </c>
      <c r="E629" s="9" t="s">
        <v>8734</v>
      </c>
      <c r="F629" s="9" t="s">
        <v>2151</v>
      </c>
      <c r="G629" s="36" t="s">
        <v>14</v>
      </c>
      <c r="H629" s="36" t="str">
        <f>IFERROR(VLOOKUP(Table2[[#This Row], [Ticket]],Okey!A:B,2,0),"")</f>
        <v>ok</v>
      </c>
      <c r="I629" s="36" t="s">
        <v>8546</v>
      </c>
      <c r="J629" s="36" t="s">
        <v>20</v>
      </c>
      <c r="K629" s="36"/>
      <c r="L629" s="36"/>
      <c r="M629" s="36" t="s">
        <v>8013</v>
      </c>
    </row>
    <row r="630" spans="1:13" hidden="1">
      <c r="A630" s="42">
        <f t="shared" si="10"/>
        <v>629</v>
      </c>
      <c r="B630" s="36" t="s">
        <v>6</v>
      </c>
      <c r="C630" s="36" t="s">
        <v>8704</v>
      </c>
      <c r="D630" s="9" t="s">
        <v>8888</v>
      </c>
      <c r="E630" s="9" t="s">
        <v>8735</v>
      </c>
      <c r="F630" s="9" t="s">
        <v>2537</v>
      </c>
      <c r="G630" s="36" t="s">
        <v>14</v>
      </c>
      <c r="H630" s="36" t="str">
        <f>IFERROR(VLOOKUP(Table2[[#This Row], [Ticket]],Okey!A:B,2,0),"")</f>
        <v>ok</v>
      </c>
      <c r="I630" s="36" t="s">
        <v>8546</v>
      </c>
      <c r="J630" s="36" t="s">
        <v>20</v>
      </c>
      <c r="K630" s="36"/>
      <c r="L630" s="36"/>
      <c r="M630" s="36" t="s">
        <v>8013</v>
      </c>
    </row>
    <row r="631" spans="1:13" hidden="1">
      <c r="A631" s="42">
        <f t="shared" si="10"/>
        <v>630</v>
      </c>
      <c r="B631" s="36" t="s">
        <v>6</v>
      </c>
      <c r="C631" s="36" t="s">
        <v>8704</v>
      </c>
      <c r="D631" s="9" t="s">
        <v>8889</v>
      </c>
      <c r="E631" s="9" t="s">
        <v>8736</v>
      </c>
      <c r="F631" s="9" t="s">
        <v>8771</v>
      </c>
      <c r="G631" s="36" t="s">
        <v>14</v>
      </c>
      <c r="H631" s="36" t="str">
        <f>IFERROR(VLOOKUP(Table2[[#This Row], [Ticket]],Okey!A:B,2,0),"")</f>
        <v>ok</v>
      </c>
      <c r="I631" s="36" t="s">
        <v>8546</v>
      </c>
      <c r="J631" s="36" t="s">
        <v>20</v>
      </c>
      <c r="K631" s="36"/>
      <c r="L631" s="36"/>
      <c r="M631" s="36" t="s">
        <v>8013</v>
      </c>
    </row>
    <row r="632" spans="1:13" hidden="1">
      <c r="A632" s="42">
        <f t="shared" si="10"/>
        <v>631</v>
      </c>
      <c r="B632" s="36" t="s">
        <v>6</v>
      </c>
      <c r="C632" s="36" t="s">
        <v>8704</v>
      </c>
      <c r="D632" s="9" t="s">
        <v>8890</v>
      </c>
      <c r="E632" s="9" t="s">
        <v>8737</v>
      </c>
      <c r="F632" s="36" t="s">
        <v>8889</v>
      </c>
      <c r="G632" s="36" t="s">
        <v>14</v>
      </c>
      <c r="H632" s="36" t="str">
        <f>IFERROR(VLOOKUP(Table2[[#This Row], [Ticket]],Okey!A:B,2,0),"")</f>
        <v>ok</v>
      </c>
      <c r="I632" s="36" t="s">
        <v>8546</v>
      </c>
      <c r="J632" s="36" t="s">
        <v>20</v>
      </c>
      <c r="K632" s="36"/>
      <c r="L632" s="36"/>
      <c r="M632" s="36" t="s">
        <v>8013</v>
      </c>
    </row>
    <row r="633" spans="1:13" hidden="1">
      <c r="A633" s="42">
        <f t="shared" si="10"/>
        <v>632</v>
      </c>
      <c r="B633" s="36" t="s">
        <v>6</v>
      </c>
      <c r="C633" s="36" t="s">
        <v>8704</v>
      </c>
      <c r="D633" s="9" t="s">
        <v>8891</v>
      </c>
      <c r="E633" s="9" t="s">
        <v>8738</v>
      </c>
      <c r="F633" s="9" t="s">
        <v>8771</v>
      </c>
      <c r="G633" s="36" t="s">
        <v>14</v>
      </c>
      <c r="H633" s="36" t="str">
        <f>IFERROR(VLOOKUP(Table2[[#This Row], [Ticket]],Okey!A:B,2,0),"")</f>
        <v>ok</v>
      </c>
      <c r="I633" s="36" t="s">
        <v>8546</v>
      </c>
      <c r="J633" s="36" t="s">
        <v>20</v>
      </c>
      <c r="K633" s="36"/>
      <c r="L633" s="36"/>
      <c r="M633" s="36" t="s">
        <v>8013</v>
      </c>
    </row>
    <row r="634" spans="1:13" hidden="1">
      <c r="A634" s="42">
        <f t="shared" si="10"/>
        <v>633</v>
      </c>
      <c r="B634" s="36" t="s">
        <v>6</v>
      </c>
      <c r="C634" s="36" t="s">
        <v>8704</v>
      </c>
      <c r="D634" s="9" t="s">
        <v>8892</v>
      </c>
      <c r="E634" s="9" t="s">
        <v>8739</v>
      </c>
      <c r="F634" s="9" t="s">
        <v>8772</v>
      </c>
      <c r="G634" s="36" t="s">
        <v>14</v>
      </c>
      <c r="H634" s="36" t="str">
        <f>IFERROR(VLOOKUP(Table2[[#This Row], [Ticket]],Okey!A:B,2,0),"")</f>
        <v>ok</v>
      </c>
      <c r="I634" s="36" t="s">
        <v>8546</v>
      </c>
      <c r="J634" s="36" t="s">
        <v>20</v>
      </c>
      <c r="K634" s="36"/>
      <c r="L634" s="36"/>
      <c r="M634" s="36" t="s">
        <v>8013</v>
      </c>
    </row>
    <row r="635" spans="1:13" hidden="1">
      <c r="A635" s="42">
        <f t="shared" si="10"/>
        <v>634</v>
      </c>
      <c r="B635" s="36" t="s">
        <v>6</v>
      </c>
      <c r="C635" s="36" t="s">
        <v>8704</v>
      </c>
      <c r="D635" s="9" t="s">
        <v>8893</v>
      </c>
      <c r="E635" s="9" t="s">
        <v>8740</v>
      </c>
      <c r="F635" s="9" t="s">
        <v>2418</v>
      </c>
      <c r="G635" s="36" t="s">
        <v>14</v>
      </c>
      <c r="H635" s="36" t="str">
        <f>IFERROR(VLOOKUP(Table2[[#This Row], [Ticket]],Okey!A:B,2,0),"")</f>
        <v>ok</v>
      </c>
      <c r="I635" s="36" t="s">
        <v>8546</v>
      </c>
      <c r="J635" s="36" t="s">
        <v>20</v>
      </c>
      <c r="K635" s="36"/>
      <c r="L635" s="36"/>
      <c r="M635" s="36" t="s">
        <v>8013</v>
      </c>
    </row>
    <row r="636" spans="1:13" hidden="1">
      <c r="A636" s="42">
        <f t="shared" si="10"/>
        <v>635</v>
      </c>
      <c r="B636" s="36" t="s">
        <v>6</v>
      </c>
      <c r="C636" s="36" t="s">
        <v>8704</v>
      </c>
      <c r="D636" s="9" t="s">
        <v>8894</v>
      </c>
      <c r="E636" s="9" t="s">
        <v>8741</v>
      </c>
      <c r="F636" s="9" t="s">
        <v>8772</v>
      </c>
      <c r="G636" s="36" t="s">
        <v>14</v>
      </c>
      <c r="H636" s="36" t="str">
        <f>IFERROR(VLOOKUP(Table2[[#This Row], [Ticket]],Okey!A:B,2,0),"")</f>
        <v>ok</v>
      </c>
      <c r="I636" s="36" t="s">
        <v>8546</v>
      </c>
      <c r="J636" s="36" t="s">
        <v>20</v>
      </c>
      <c r="K636" s="36"/>
      <c r="L636" s="36"/>
      <c r="M636" s="36" t="s">
        <v>8013</v>
      </c>
    </row>
    <row r="637" spans="1:13" hidden="1">
      <c r="A637" s="42">
        <f t="shared" si="10"/>
        <v>636</v>
      </c>
      <c r="B637" s="36" t="s">
        <v>6</v>
      </c>
      <c r="C637" s="36" t="s">
        <v>8704</v>
      </c>
      <c r="D637" s="9" t="s">
        <v>8895</v>
      </c>
      <c r="E637" s="9" t="s">
        <v>8742</v>
      </c>
      <c r="F637" s="9" t="s">
        <v>2558</v>
      </c>
      <c r="G637" s="36" t="s">
        <v>14</v>
      </c>
      <c r="H637" s="36" t="str">
        <f>IFERROR(VLOOKUP(Table2[[#This Row], [Ticket]],Okey!A:B,2,0),"")</f>
        <v>ok</v>
      </c>
      <c r="I637" s="36" t="s">
        <v>8546</v>
      </c>
      <c r="J637" s="36" t="s">
        <v>20</v>
      </c>
      <c r="K637" s="36"/>
      <c r="L637" s="36"/>
      <c r="M637" s="36" t="s">
        <v>8013</v>
      </c>
    </row>
    <row r="638" spans="1:13" hidden="1">
      <c r="A638" s="42">
        <f t="shared" si="10"/>
        <v>637</v>
      </c>
      <c r="B638" s="36" t="s">
        <v>6</v>
      </c>
      <c r="C638" s="36" t="s">
        <v>8704</v>
      </c>
      <c r="D638" s="9" t="s">
        <v>8896</v>
      </c>
      <c r="E638" s="9" t="s">
        <v>8743</v>
      </c>
      <c r="F638" s="9" t="s">
        <v>5836</v>
      </c>
      <c r="G638" s="36" t="s">
        <v>14</v>
      </c>
      <c r="H638" s="36" t="str">
        <f>IFERROR(VLOOKUP(Table2[[#This Row], [Ticket]],Okey!A:B,2,0),"")</f>
        <v>ok</v>
      </c>
      <c r="I638" s="36" t="s">
        <v>8546</v>
      </c>
      <c r="J638" s="36" t="s">
        <v>20</v>
      </c>
      <c r="K638" s="36"/>
      <c r="L638" s="36"/>
      <c r="M638" s="36" t="s">
        <v>8013</v>
      </c>
    </row>
    <row r="639" spans="1:13" hidden="1">
      <c r="A639" s="42">
        <f t="shared" si="10"/>
        <v>638</v>
      </c>
      <c r="B639" s="36" t="s">
        <v>6</v>
      </c>
      <c r="C639" s="36" t="s">
        <v>8704</v>
      </c>
      <c r="D639" s="9" t="s">
        <v>8897</v>
      </c>
      <c r="E639" s="9" t="s">
        <v>8744</v>
      </c>
      <c r="F639" s="9" t="s">
        <v>5799</v>
      </c>
      <c r="G639" s="36" t="s">
        <v>14</v>
      </c>
      <c r="H639" s="36" t="str">
        <f>IFERROR(VLOOKUP(Table2[[#This Row], [Ticket]],Okey!A:B,2,0),"")</f>
        <v>ok</v>
      </c>
      <c r="I639" s="36" t="s">
        <v>8546</v>
      </c>
      <c r="J639" s="36" t="s">
        <v>20</v>
      </c>
      <c r="K639" s="36"/>
      <c r="L639" s="36"/>
      <c r="M639" s="36" t="s">
        <v>8013</v>
      </c>
    </row>
    <row r="640" spans="1:13" hidden="1">
      <c r="A640" s="42">
        <f t="shared" si="10"/>
        <v>639</v>
      </c>
      <c r="B640" s="36" t="s">
        <v>6</v>
      </c>
      <c r="C640" s="36" t="s">
        <v>8704</v>
      </c>
      <c r="D640" s="9" t="s">
        <v>8898</v>
      </c>
      <c r="E640" s="9" t="s">
        <v>8745</v>
      </c>
      <c r="F640" s="9" t="s">
        <v>5854</v>
      </c>
      <c r="G640" s="36" t="s">
        <v>14</v>
      </c>
      <c r="H640" s="36" t="str">
        <f>IFERROR(VLOOKUP(Table2[[#This Row], [Ticket]],Okey!A:B,2,0),"")</f>
        <v>ok</v>
      </c>
      <c r="I640" s="36" t="s">
        <v>8546</v>
      </c>
      <c r="J640" s="36" t="s">
        <v>20</v>
      </c>
      <c r="K640" s="36"/>
      <c r="L640" s="36"/>
      <c r="M640" s="36" t="s">
        <v>8013</v>
      </c>
    </row>
    <row r="641" spans="1:13" hidden="1">
      <c r="A641" s="42">
        <f t="shared" si="10"/>
        <v>640</v>
      </c>
      <c r="B641" s="36" t="s">
        <v>6</v>
      </c>
      <c r="C641" s="36" t="s">
        <v>8704</v>
      </c>
      <c r="D641" s="9" t="s">
        <v>8899</v>
      </c>
      <c r="E641" s="9" t="s">
        <v>8746</v>
      </c>
      <c r="F641" s="9" t="s">
        <v>4288</v>
      </c>
      <c r="G641" s="36" t="s">
        <v>14</v>
      </c>
      <c r="H641" s="36" t="str">
        <f>IFERROR(VLOOKUP(Table2[[#This Row], [Ticket]],Okey!A:B,2,0),"")</f>
        <v>ok</v>
      </c>
      <c r="I641" s="36" t="s">
        <v>8546</v>
      </c>
      <c r="J641" s="36" t="s">
        <v>20</v>
      </c>
      <c r="K641" s="36"/>
      <c r="L641" s="36"/>
      <c r="M641" s="36" t="s">
        <v>8013</v>
      </c>
    </row>
    <row r="642" spans="1:13" hidden="1">
      <c r="A642" s="42">
        <f t="shared" si="10"/>
        <v>641</v>
      </c>
      <c r="B642" s="36" t="s">
        <v>6</v>
      </c>
      <c r="C642" s="36" t="s">
        <v>8704</v>
      </c>
      <c r="D642" s="9" t="s">
        <v>8900</v>
      </c>
      <c r="E642" s="9" t="s">
        <v>8747</v>
      </c>
      <c r="F642" s="9" t="s">
        <v>4208</v>
      </c>
      <c r="G642" s="36" t="s">
        <v>14</v>
      </c>
      <c r="H642" s="36" t="str">
        <f>IFERROR(VLOOKUP(Table2[[#This Row], [Ticket]],Okey!A:B,2,0),"")</f>
        <v>ok</v>
      </c>
      <c r="I642" s="36" t="s">
        <v>8546</v>
      </c>
      <c r="J642" s="36" t="s">
        <v>20</v>
      </c>
      <c r="K642" s="36"/>
      <c r="L642" s="36"/>
      <c r="M642" s="36" t="s">
        <v>8013</v>
      </c>
    </row>
    <row r="643" spans="1:13" hidden="1">
      <c r="A643" s="42">
        <f t="shared" si="10"/>
        <v>642</v>
      </c>
      <c r="B643" s="36" t="s">
        <v>6</v>
      </c>
      <c r="C643" s="36" t="s">
        <v>8704</v>
      </c>
      <c r="D643" s="9" t="s">
        <v>8901</v>
      </c>
      <c r="E643" s="9" t="s">
        <v>8748</v>
      </c>
      <c r="F643" s="9" t="s">
        <v>5324</v>
      </c>
      <c r="G643" s="36" t="s">
        <v>14</v>
      </c>
      <c r="H643" s="36" t="str">
        <f>IFERROR(VLOOKUP(Table2[[#This Row], [Ticket]],Okey!A:B,2,0),"")</f>
        <v>ok</v>
      </c>
      <c r="I643" s="36" t="s">
        <v>8546</v>
      </c>
      <c r="J643" s="36" t="s">
        <v>20</v>
      </c>
      <c r="K643" s="36"/>
      <c r="L643" s="36"/>
      <c r="M643" s="36" t="s">
        <v>8013</v>
      </c>
    </row>
    <row r="644" spans="1:13" hidden="1">
      <c r="A644" s="42">
        <f t="shared" si="10"/>
        <v>643</v>
      </c>
      <c r="B644" s="36" t="s">
        <v>6</v>
      </c>
      <c r="C644" s="36" t="s">
        <v>8704</v>
      </c>
      <c r="D644" s="9" t="s">
        <v>8902</v>
      </c>
      <c r="E644" s="9" t="s">
        <v>8749</v>
      </c>
      <c r="F644" s="9" t="s">
        <v>5395</v>
      </c>
      <c r="G644" s="36" t="s">
        <v>14</v>
      </c>
      <c r="H644" s="36" t="str">
        <f>IFERROR(VLOOKUP(Table2[[#This Row], [Ticket]],Okey!A:B,2,0),"")</f>
        <v>ok</v>
      </c>
      <c r="I644" s="36" t="s">
        <v>8546</v>
      </c>
      <c r="J644" s="36" t="s">
        <v>20</v>
      </c>
      <c r="K644" s="36"/>
      <c r="L644" s="36"/>
      <c r="M644" s="36" t="s">
        <v>8013</v>
      </c>
    </row>
    <row r="645" spans="1:13" hidden="1">
      <c r="A645" s="42">
        <f t="shared" si="10"/>
        <v>644</v>
      </c>
      <c r="B645" s="36" t="s">
        <v>6</v>
      </c>
      <c r="C645" s="36" t="s">
        <v>8704</v>
      </c>
      <c r="D645" s="9" t="s">
        <v>8903</v>
      </c>
      <c r="E645" s="9" t="s">
        <v>8750</v>
      </c>
      <c r="F645" s="9" t="s">
        <v>4638</v>
      </c>
      <c r="G645" s="36" t="s">
        <v>14</v>
      </c>
      <c r="H645" s="36" t="str">
        <f>IFERROR(VLOOKUP(Table2[[#This Row], [Ticket]],Okey!A:B,2,0),"")</f>
        <v>ok</v>
      </c>
      <c r="I645" s="36" t="s">
        <v>8546</v>
      </c>
      <c r="J645" s="36" t="s">
        <v>20</v>
      </c>
      <c r="K645" s="36"/>
      <c r="L645" s="36"/>
      <c r="M645" s="36" t="s">
        <v>8013</v>
      </c>
    </row>
    <row r="646" spans="1:13" hidden="1">
      <c r="A646" s="42">
        <f t="shared" si="10"/>
        <v>645</v>
      </c>
      <c r="B646" s="36" t="s">
        <v>6</v>
      </c>
      <c r="C646" s="36" t="s">
        <v>8704</v>
      </c>
      <c r="D646" s="9" t="s">
        <v>8904</v>
      </c>
      <c r="E646" s="9" t="s">
        <v>8751</v>
      </c>
      <c r="F646" s="9" t="s">
        <v>4640</v>
      </c>
      <c r="G646" s="36" t="s">
        <v>14</v>
      </c>
      <c r="H646" s="36" t="str">
        <f>IFERROR(VLOOKUP(Table2[[#This Row], [Ticket]],Okey!A:B,2,0),"")</f>
        <v>ok</v>
      </c>
      <c r="I646" s="36" t="s">
        <v>8546</v>
      </c>
      <c r="J646" s="36" t="s">
        <v>20</v>
      </c>
      <c r="K646" s="36"/>
      <c r="L646" s="36"/>
      <c r="M646" s="36" t="s">
        <v>8013</v>
      </c>
    </row>
    <row r="647" spans="1:13" hidden="1">
      <c r="A647" s="42">
        <f t="shared" si="10"/>
        <v>646</v>
      </c>
      <c r="B647" s="36" t="s">
        <v>6</v>
      </c>
      <c r="C647" s="36" t="s">
        <v>8704</v>
      </c>
      <c r="D647" s="9" t="s">
        <v>8905</v>
      </c>
      <c r="E647" s="9" t="s">
        <v>8752</v>
      </c>
      <c r="F647" s="9" t="s">
        <v>4642</v>
      </c>
      <c r="G647" s="36" t="s">
        <v>14</v>
      </c>
      <c r="H647" s="36" t="str">
        <f>IFERROR(VLOOKUP(Table2[[#This Row], [Ticket]],Okey!A:B,2,0),"")</f>
        <v>ok</v>
      </c>
      <c r="I647" s="36" t="s">
        <v>8546</v>
      </c>
      <c r="J647" s="36" t="s">
        <v>20</v>
      </c>
      <c r="K647" s="36"/>
      <c r="L647" s="36"/>
      <c r="M647" s="36" t="s">
        <v>8013</v>
      </c>
    </row>
    <row r="648" spans="1:13" hidden="1">
      <c r="A648" s="42">
        <f t="shared" si="10"/>
        <v>647</v>
      </c>
      <c r="B648" s="36" t="s">
        <v>6</v>
      </c>
      <c r="C648" s="36" t="s">
        <v>8704</v>
      </c>
      <c r="D648" s="9" t="s">
        <v>8906</v>
      </c>
      <c r="E648" s="9" t="s">
        <v>8753</v>
      </c>
      <c r="F648" s="9" t="s">
        <v>4644</v>
      </c>
      <c r="G648" s="36" t="s">
        <v>14</v>
      </c>
      <c r="H648" s="36" t="str">
        <f>IFERROR(VLOOKUP(Table2[[#This Row], [Ticket]],Okey!A:B,2,0),"")</f>
        <v>ok</v>
      </c>
      <c r="I648" s="36" t="s">
        <v>8546</v>
      </c>
      <c r="J648" s="36" t="s">
        <v>20</v>
      </c>
      <c r="K648" s="36"/>
      <c r="L648" s="36"/>
      <c r="M648" s="36" t="s">
        <v>8013</v>
      </c>
    </row>
    <row r="649" spans="1:13" hidden="1">
      <c r="A649" s="42">
        <f t="shared" si="10"/>
        <v>648</v>
      </c>
      <c r="B649" s="36" t="s">
        <v>6</v>
      </c>
      <c r="C649" s="36" t="s">
        <v>8704</v>
      </c>
      <c r="D649" s="9" t="s">
        <v>8907</v>
      </c>
      <c r="E649" s="9" t="s">
        <v>8754</v>
      </c>
      <c r="F649" s="9" t="s">
        <v>4646</v>
      </c>
      <c r="G649" s="36" t="s">
        <v>14</v>
      </c>
      <c r="H649" s="36" t="str">
        <f>IFERROR(VLOOKUP(Table2[[#This Row], [Ticket]],Okey!A:B,2,0),"")</f>
        <v>ok</v>
      </c>
      <c r="I649" s="36" t="s">
        <v>8546</v>
      </c>
      <c r="J649" s="36" t="s">
        <v>20</v>
      </c>
      <c r="K649" s="36"/>
      <c r="L649" s="36"/>
      <c r="M649" s="36" t="s">
        <v>8013</v>
      </c>
    </row>
    <row r="650" spans="1:13" hidden="1">
      <c r="A650" s="42">
        <f t="shared" si="10"/>
        <v>649</v>
      </c>
      <c r="B650" s="36" t="s">
        <v>6</v>
      </c>
      <c r="C650" s="36" t="s">
        <v>8704</v>
      </c>
      <c r="D650" s="9" t="s">
        <v>8908</v>
      </c>
      <c r="E650" s="9" t="s">
        <v>8755</v>
      </c>
      <c r="F650" s="9" t="s">
        <v>4650</v>
      </c>
      <c r="G650" s="36" t="s">
        <v>14</v>
      </c>
      <c r="H650" s="36" t="str">
        <f>IFERROR(VLOOKUP(Table2[[#This Row], [Ticket]],Okey!A:B,2,0),"")</f>
        <v>ok</v>
      </c>
      <c r="I650" s="36" t="s">
        <v>8546</v>
      </c>
      <c r="J650" s="36" t="s">
        <v>20</v>
      </c>
      <c r="K650" s="36"/>
      <c r="L650" s="36"/>
      <c r="M650" s="36" t="s">
        <v>8013</v>
      </c>
    </row>
    <row r="651" spans="1:13" hidden="1">
      <c r="A651" s="42">
        <f t="shared" si="10"/>
        <v>650</v>
      </c>
      <c r="B651" s="36" t="s">
        <v>6</v>
      </c>
      <c r="C651" s="36" t="s">
        <v>8704</v>
      </c>
      <c r="D651" s="9" t="s">
        <v>8909</v>
      </c>
      <c r="E651" s="9" t="s">
        <v>8756</v>
      </c>
      <c r="F651" s="9" t="s">
        <v>4652</v>
      </c>
      <c r="G651" s="36" t="s">
        <v>14</v>
      </c>
      <c r="H651" s="36" t="str">
        <f>IFERROR(VLOOKUP(Table2[[#This Row], [Ticket]],Okey!A:B,2,0),"")</f>
        <v>ok</v>
      </c>
      <c r="I651" s="36" t="s">
        <v>8546</v>
      </c>
      <c r="J651" s="36" t="s">
        <v>20</v>
      </c>
      <c r="K651" s="36"/>
      <c r="L651" s="36"/>
      <c r="M651" s="36" t="s">
        <v>8013</v>
      </c>
    </row>
    <row r="652" spans="1:13" hidden="1">
      <c r="A652" s="42">
        <f t="shared" si="10"/>
        <v>651</v>
      </c>
      <c r="B652" s="36" t="s">
        <v>6</v>
      </c>
      <c r="C652" s="36" t="s">
        <v>8704</v>
      </c>
      <c r="D652" s="9" t="s">
        <v>8910</v>
      </c>
      <c r="E652" s="9" t="s">
        <v>8757</v>
      </c>
      <c r="F652" s="9" t="s">
        <v>4654</v>
      </c>
      <c r="G652" s="36" t="s">
        <v>14</v>
      </c>
      <c r="H652" s="36" t="str">
        <f>IFERROR(VLOOKUP(Table2[[#This Row], [Ticket]],Okey!A:B,2,0),"")</f>
        <v>ok</v>
      </c>
      <c r="I652" s="36" t="s">
        <v>8546</v>
      </c>
      <c r="J652" s="36" t="s">
        <v>20</v>
      </c>
      <c r="K652" s="36"/>
      <c r="L652" s="36"/>
      <c r="M652" s="36" t="s">
        <v>8013</v>
      </c>
    </row>
    <row r="653" spans="1:13" hidden="1">
      <c r="A653" s="42">
        <f t="shared" si="10"/>
        <v>652</v>
      </c>
      <c r="B653" s="36" t="s">
        <v>6</v>
      </c>
      <c r="C653" s="36" t="s">
        <v>8704</v>
      </c>
      <c r="D653" s="9" t="s">
        <v>8911</v>
      </c>
      <c r="E653" s="9" t="s">
        <v>8754</v>
      </c>
      <c r="F653" s="9" t="s">
        <v>7803</v>
      </c>
      <c r="G653" s="36" t="s">
        <v>14</v>
      </c>
      <c r="H653" s="36" t="str">
        <f>IFERROR(VLOOKUP(Table2[[#This Row], [Ticket]],Okey!A:B,2,0),"")</f>
        <v>ok</v>
      </c>
      <c r="I653" s="36" t="s">
        <v>8546</v>
      </c>
      <c r="J653" s="36" t="s">
        <v>20</v>
      </c>
      <c r="K653" s="36"/>
      <c r="L653" s="36"/>
      <c r="M653" s="36" t="s">
        <v>8013</v>
      </c>
    </row>
    <row r="654" spans="1:13" hidden="1">
      <c r="A654" s="42">
        <f t="shared" si="10"/>
        <v>653</v>
      </c>
      <c r="B654" s="36" t="s">
        <v>6</v>
      </c>
      <c r="C654" s="36" t="s">
        <v>8704</v>
      </c>
      <c r="D654" s="9" t="s">
        <v>8912</v>
      </c>
      <c r="E654" s="9" t="s">
        <v>8758</v>
      </c>
      <c r="F654" s="9" t="s">
        <v>7812</v>
      </c>
      <c r="G654" s="36" t="s">
        <v>14</v>
      </c>
      <c r="H654" s="36" t="str">
        <f>IFERROR(VLOOKUP(Table2[[#This Row], [Ticket]],Okey!A:B,2,0),"")</f>
        <v>ok</v>
      </c>
      <c r="I654" s="36" t="s">
        <v>8546</v>
      </c>
      <c r="J654" s="36" t="s">
        <v>20</v>
      </c>
      <c r="K654" s="36"/>
      <c r="L654" s="36"/>
      <c r="M654" s="36" t="s">
        <v>8013</v>
      </c>
    </row>
    <row r="655" spans="1:13" hidden="1">
      <c r="A655" s="42">
        <f t="shared" si="10"/>
        <v>654</v>
      </c>
      <c r="B655" s="36" t="s">
        <v>6</v>
      </c>
      <c r="C655" s="36" t="s">
        <v>8704</v>
      </c>
      <c r="D655" s="9" t="s">
        <v>8913</v>
      </c>
      <c r="E655" s="9" t="s">
        <v>8757</v>
      </c>
      <c r="F655" s="9" t="s">
        <v>7813</v>
      </c>
      <c r="G655" s="36" t="s">
        <v>14</v>
      </c>
      <c r="H655" s="36" t="str">
        <f>IFERROR(VLOOKUP(Table2[[#This Row], [Ticket]],Okey!A:B,2,0),"")</f>
        <v>ok</v>
      </c>
      <c r="I655" s="36" t="s">
        <v>8546</v>
      </c>
      <c r="J655" s="36" t="s">
        <v>20</v>
      </c>
      <c r="K655" s="36"/>
      <c r="L655" s="36"/>
      <c r="M655" s="36" t="s">
        <v>8013</v>
      </c>
    </row>
    <row r="656" spans="1:13" hidden="1">
      <c r="A656" s="42">
        <f t="shared" si="10"/>
        <v>655</v>
      </c>
      <c r="B656" s="36" t="s">
        <v>6</v>
      </c>
      <c r="C656" s="36" t="s">
        <v>8704</v>
      </c>
      <c r="D656" s="9" t="s">
        <v>8914</v>
      </c>
      <c r="E656" s="9" t="s">
        <v>4686</v>
      </c>
      <c r="F656" s="9" t="s">
        <v>7813</v>
      </c>
      <c r="G656" s="36" t="s">
        <v>14</v>
      </c>
      <c r="H656" s="36" t="str">
        <f>IFERROR(VLOOKUP(Table2[[#This Row], [Ticket]],Okey!A:B,2,0),"")</f>
        <v>ok</v>
      </c>
      <c r="I656" s="36" t="s">
        <v>8546</v>
      </c>
      <c r="J656" s="36" t="s">
        <v>20</v>
      </c>
      <c r="K656" s="36"/>
      <c r="L656" s="36"/>
      <c r="M656" s="36" t="s">
        <v>8013</v>
      </c>
    </row>
    <row r="657" spans="1:13" hidden="1">
      <c r="A657" s="42">
        <f t="shared" si="10"/>
        <v>656</v>
      </c>
      <c r="B657" s="36" t="s">
        <v>6</v>
      </c>
      <c r="C657" s="36" t="s">
        <v>8704</v>
      </c>
      <c r="D657" s="9" t="s">
        <v>8915</v>
      </c>
      <c r="E657" s="9" t="s">
        <v>8759</v>
      </c>
      <c r="F657" s="9" t="s">
        <v>7813</v>
      </c>
      <c r="G657" s="36" t="s">
        <v>14</v>
      </c>
      <c r="H657" s="36" t="str">
        <f>IFERROR(VLOOKUP(Table2[[#This Row], [Ticket]],Okey!A:B,2,0),"")</f>
        <v>ok</v>
      </c>
      <c r="I657" s="36" t="s">
        <v>8546</v>
      </c>
      <c r="J657" s="36" t="s">
        <v>20</v>
      </c>
      <c r="K657" s="36"/>
      <c r="L657" s="36"/>
      <c r="M657" s="36" t="s">
        <v>8013</v>
      </c>
    </row>
    <row r="658" spans="1:13" hidden="1">
      <c r="A658" s="42">
        <f t="shared" si="10"/>
        <v>657</v>
      </c>
      <c r="B658" s="36" t="s">
        <v>6</v>
      </c>
      <c r="C658" s="36" t="s">
        <v>8704</v>
      </c>
      <c r="D658" s="9" t="s">
        <v>8916</v>
      </c>
      <c r="E658" s="9" t="s">
        <v>8760</v>
      </c>
      <c r="F658" s="9" t="s">
        <v>4638</v>
      </c>
      <c r="G658" s="36" t="s">
        <v>14</v>
      </c>
      <c r="H658" s="36" t="str">
        <f>IFERROR(VLOOKUP(Table2[[#This Row], [Ticket]],Okey!A:B,2,0),"")</f>
        <v>ok</v>
      </c>
      <c r="I658" s="36" t="s">
        <v>8546</v>
      </c>
      <c r="J658" s="36" t="s">
        <v>20</v>
      </c>
      <c r="K658" s="36"/>
      <c r="L658" s="36"/>
      <c r="M658" s="36" t="s">
        <v>8013</v>
      </c>
    </row>
    <row r="659" spans="1:13" hidden="1">
      <c r="A659" s="42">
        <f t="shared" si="10"/>
        <v>658</v>
      </c>
      <c r="B659" s="36" t="s">
        <v>6</v>
      </c>
      <c r="C659" s="36" t="s">
        <v>8704</v>
      </c>
      <c r="D659" s="9" t="s">
        <v>8917</v>
      </c>
      <c r="E659" s="9" t="s">
        <v>8761</v>
      </c>
      <c r="F659" s="9" t="s">
        <v>4640</v>
      </c>
      <c r="G659" s="36" t="s">
        <v>14</v>
      </c>
      <c r="H659" s="36" t="str">
        <f>IFERROR(VLOOKUP(Table2[[#This Row], [Ticket]],Okey!A:B,2,0),"")</f>
        <v>ok</v>
      </c>
      <c r="I659" s="36" t="s">
        <v>8546</v>
      </c>
      <c r="J659" s="36" t="s">
        <v>20</v>
      </c>
      <c r="K659" s="36"/>
      <c r="L659" s="36"/>
      <c r="M659" s="36" t="s">
        <v>8013</v>
      </c>
    </row>
    <row r="660" spans="1:13" hidden="1">
      <c r="A660" s="42">
        <f t="shared" ref="A660:A723" si="11">1+A659</f>
        <v>659</v>
      </c>
      <c r="B660" s="36" t="s">
        <v>6</v>
      </c>
      <c r="C660" s="36" t="s">
        <v>8704</v>
      </c>
      <c r="D660" s="9" t="s">
        <v>8918</v>
      </c>
      <c r="E660" s="9" t="s">
        <v>8762</v>
      </c>
      <c r="F660" s="9" t="s">
        <v>4642</v>
      </c>
      <c r="G660" s="36" t="s">
        <v>14</v>
      </c>
      <c r="H660" s="36" t="str">
        <f>IFERROR(VLOOKUP(Table2[[#This Row], [Ticket]],Okey!A:B,2,0),"")</f>
        <v>ok</v>
      </c>
      <c r="I660" s="36" t="s">
        <v>8546</v>
      </c>
      <c r="J660" s="36" t="s">
        <v>20</v>
      </c>
      <c r="K660" s="36"/>
      <c r="L660" s="36"/>
      <c r="M660" s="36" t="s">
        <v>8013</v>
      </c>
    </row>
    <row r="661" spans="1:13" hidden="1">
      <c r="A661" s="42">
        <f t="shared" si="11"/>
        <v>660</v>
      </c>
      <c r="B661" s="36" t="s">
        <v>6</v>
      </c>
      <c r="C661" s="36" t="s">
        <v>8704</v>
      </c>
      <c r="D661" s="9" t="s">
        <v>8919</v>
      </c>
      <c r="E661" s="9" t="s">
        <v>8763</v>
      </c>
      <c r="F661" s="9" t="s">
        <v>4644</v>
      </c>
      <c r="G661" s="36" t="s">
        <v>14</v>
      </c>
      <c r="H661" s="36" t="str">
        <f>IFERROR(VLOOKUP(Table2[[#This Row], [Ticket]],Okey!A:B,2,0),"")</f>
        <v>ok</v>
      </c>
      <c r="I661" s="36" t="s">
        <v>8546</v>
      </c>
      <c r="J661" s="36" t="s">
        <v>20</v>
      </c>
      <c r="K661" s="36"/>
      <c r="L661" s="36"/>
      <c r="M661" s="36" t="s">
        <v>8013</v>
      </c>
    </row>
    <row r="662" spans="1:13" hidden="1">
      <c r="A662" s="42">
        <f t="shared" si="11"/>
        <v>661</v>
      </c>
      <c r="B662" s="36" t="s">
        <v>6</v>
      </c>
      <c r="C662" s="36" t="s">
        <v>8704</v>
      </c>
      <c r="D662" s="9" t="s">
        <v>8920</v>
      </c>
      <c r="E662" s="9" t="s">
        <v>8764</v>
      </c>
      <c r="F662" s="9" t="s">
        <v>4646</v>
      </c>
      <c r="G662" s="36" t="s">
        <v>14</v>
      </c>
      <c r="H662" s="36" t="str">
        <f>IFERROR(VLOOKUP(Table2[[#This Row], [Ticket]],Okey!A:B,2,0),"")</f>
        <v>ok</v>
      </c>
      <c r="I662" s="36" t="s">
        <v>8546</v>
      </c>
      <c r="J662" s="36" t="s">
        <v>20</v>
      </c>
      <c r="K662" s="36"/>
      <c r="L662" s="36"/>
      <c r="M662" s="36" t="s">
        <v>8013</v>
      </c>
    </row>
    <row r="663" spans="1:13" hidden="1">
      <c r="A663" s="42">
        <f t="shared" si="11"/>
        <v>662</v>
      </c>
      <c r="B663" s="36" t="s">
        <v>6</v>
      </c>
      <c r="C663" s="36" t="s">
        <v>8704</v>
      </c>
      <c r="D663" s="9" t="s">
        <v>8921</v>
      </c>
      <c r="E663" s="9" t="s">
        <v>8765</v>
      </c>
      <c r="F663" s="9" t="s">
        <v>4650</v>
      </c>
      <c r="G663" s="36" t="s">
        <v>14</v>
      </c>
      <c r="H663" s="36" t="str">
        <f>IFERROR(VLOOKUP(Table2[[#This Row], [Ticket]],Okey!A:B,2,0),"")</f>
        <v>ok</v>
      </c>
      <c r="I663" s="36" t="s">
        <v>8546</v>
      </c>
      <c r="J663" s="36" t="s">
        <v>20</v>
      </c>
      <c r="K663" s="36"/>
      <c r="L663" s="36"/>
      <c r="M663" s="36" t="s">
        <v>8013</v>
      </c>
    </row>
    <row r="664" spans="1:13" hidden="1">
      <c r="A664" s="42">
        <f t="shared" si="11"/>
        <v>663</v>
      </c>
      <c r="B664" s="36" t="s">
        <v>6</v>
      </c>
      <c r="C664" s="36" t="s">
        <v>8704</v>
      </c>
      <c r="D664" s="9" t="s">
        <v>8922</v>
      </c>
      <c r="E664" s="9" t="s">
        <v>8766</v>
      </c>
      <c r="F664" s="9" t="s">
        <v>4652</v>
      </c>
      <c r="G664" s="36" t="s">
        <v>14</v>
      </c>
      <c r="H664" s="36" t="str">
        <f>IFERROR(VLOOKUP(Table2[[#This Row], [Ticket]],Okey!A:B,2,0),"")</f>
        <v>ok</v>
      </c>
      <c r="I664" s="36" t="s">
        <v>8546</v>
      </c>
      <c r="J664" s="36" t="s">
        <v>20</v>
      </c>
      <c r="K664" s="36"/>
      <c r="L664" s="36"/>
      <c r="M664" s="36" t="s">
        <v>8013</v>
      </c>
    </row>
    <row r="665" spans="1:13" hidden="1">
      <c r="A665" s="42">
        <f t="shared" si="11"/>
        <v>664</v>
      </c>
      <c r="B665" s="36" t="s">
        <v>6</v>
      </c>
      <c r="C665" s="36" t="s">
        <v>8704</v>
      </c>
      <c r="D665" s="9" t="s">
        <v>8923</v>
      </c>
      <c r="E665" s="9" t="s">
        <v>8759</v>
      </c>
      <c r="F665" s="9" t="s">
        <v>4654</v>
      </c>
      <c r="G665" s="36" t="s">
        <v>14</v>
      </c>
      <c r="H665" s="36" t="str">
        <f>IFERROR(VLOOKUP(Table2[[#This Row], [Ticket]],Okey!A:B,2,0),"")</f>
        <v>ok</v>
      </c>
      <c r="I665" s="36" t="s">
        <v>8546</v>
      </c>
      <c r="J665" s="36" t="s">
        <v>20</v>
      </c>
      <c r="K665" s="36"/>
      <c r="L665" s="36"/>
      <c r="M665" s="36" t="s">
        <v>8013</v>
      </c>
    </row>
    <row r="666" spans="1:13" hidden="1">
      <c r="A666" s="42">
        <f t="shared" si="11"/>
        <v>665</v>
      </c>
      <c r="B666" s="36" t="s">
        <v>6</v>
      </c>
      <c r="C666" s="36" t="s">
        <v>8704</v>
      </c>
      <c r="D666" s="9" t="s">
        <v>8924</v>
      </c>
      <c r="E666" s="9" t="s">
        <v>8764</v>
      </c>
      <c r="F666" s="9" t="s">
        <v>7803</v>
      </c>
      <c r="G666" s="36" t="s">
        <v>14</v>
      </c>
      <c r="H666" s="36" t="str">
        <f>IFERROR(VLOOKUP(Table2[[#This Row], [Ticket]],Okey!A:B,2,0),"")</f>
        <v>ok</v>
      </c>
      <c r="I666" s="36" t="s">
        <v>8546</v>
      </c>
      <c r="J666" s="36" t="s">
        <v>20</v>
      </c>
      <c r="K666" s="36"/>
      <c r="L666" s="36"/>
      <c r="M666" s="36" t="s">
        <v>8013</v>
      </c>
    </row>
    <row r="667" spans="1:13" hidden="1">
      <c r="A667" s="42">
        <f t="shared" si="11"/>
        <v>666</v>
      </c>
      <c r="B667" s="36" t="s">
        <v>6</v>
      </c>
      <c r="C667" s="36" t="s">
        <v>8704</v>
      </c>
      <c r="D667" s="9" t="s">
        <v>8925</v>
      </c>
      <c r="E667" s="9" t="s">
        <v>8767</v>
      </c>
      <c r="F667" s="9" t="s">
        <v>7812</v>
      </c>
      <c r="G667" s="36" t="s">
        <v>14</v>
      </c>
      <c r="H667" s="36" t="str">
        <f>IFERROR(VLOOKUP(Table2[[#This Row], [Ticket]],Okey!A:B,2,0),"")</f>
        <v>ok</v>
      </c>
      <c r="I667" s="36" t="s">
        <v>8546</v>
      </c>
      <c r="J667" s="36" t="s">
        <v>20</v>
      </c>
      <c r="K667" s="36"/>
      <c r="L667" s="36"/>
      <c r="M667" s="36" t="s">
        <v>8013</v>
      </c>
    </row>
    <row r="668" spans="1:13" hidden="1">
      <c r="A668" s="42">
        <f t="shared" si="11"/>
        <v>667</v>
      </c>
      <c r="B668" s="36" t="s">
        <v>6</v>
      </c>
      <c r="C668" s="36" t="s">
        <v>8704</v>
      </c>
      <c r="D668" s="9" t="s">
        <v>8926</v>
      </c>
      <c r="E668" s="9" t="s">
        <v>8768</v>
      </c>
      <c r="F668" s="9" t="s">
        <v>7812</v>
      </c>
      <c r="G668" s="36" t="s">
        <v>14</v>
      </c>
      <c r="H668" s="36" t="str">
        <f>IFERROR(VLOOKUP(Table2[[#This Row], [Ticket]],Okey!A:B,2,0),"")</f>
        <v>ok</v>
      </c>
      <c r="I668" s="36" t="s">
        <v>8546</v>
      </c>
      <c r="J668" s="36" t="s">
        <v>20</v>
      </c>
      <c r="K668" s="36"/>
      <c r="L668" s="36"/>
      <c r="M668" s="36" t="s">
        <v>8013</v>
      </c>
    </row>
    <row r="669" spans="1:13" hidden="1">
      <c r="A669" s="42">
        <f t="shared" si="11"/>
        <v>668</v>
      </c>
      <c r="B669" s="36" t="s">
        <v>6</v>
      </c>
      <c r="C669" s="36" t="s">
        <v>8704</v>
      </c>
      <c r="D669" s="9" t="s">
        <v>8927</v>
      </c>
      <c r="E669" s="9" t="s">
        <v>4674</v>
      </c>
      <c r="F669" s="9" t="s">
        <v>7803</v>
      </c>
      <c r="G669" s="36" t="s">
        <v>14</v>
      </c>
      <c r="H669" s="36" t="str">
        <f>IFERROR(VLOOKUP(Table2[[#This Row], [Ticket]],Okey!A:B,2,0),"")</f>
        <v>ok</v>
      </c>
      <c r="I669" s="36" t="s">
        <v>8546</v>
      </c>
      <c r="J669" s="36" t="s">
        <v>20</v>
      </c>
      <c r="K669" s="36"/>
      <c r="L669" s="36"/>
      <c r="M669" s="36" t="s">
        <v>8013</v>
      </c>
    </row>
    <row r="670" spans="1:13" hidden="1">
      <c r="A670" s="42">
        <f t="shared" si="11"/>
        <v>669</v>
      </c>
      <c r="B670" s="36" t="s">
        <v>6</v>
      </c>
      <c r="C670" s="36" t="s">
        <v>8704</v>
      </c>
      <c r="D670" s="9" t="s">
        <v>8928</v>
      </c>
      <c r="E670" s="9" t="s">
        <v>8769</v>
      </c>
      <c r="F670" s="9" t="s">
        <v>8044</v>
      </c>
      <c r="G670" s="36" t="s">
        <v>14</v>
      </c>
      <c r="H670" s="36" t="str">
        <f>IFERROR(VLOOKUP(Table2[[#This Row], [Ticket]],Okey!A:B,2,0),"")</f>
        <v>ok</v>
      </c>
      <c r="I670" s="36" t="s">
        <v>8546</v>
      </c>
      <c r="J670" s="36" t="s">
        <v>20</v>
      </c>
      <c r="K670" s="36"/>
      <c r="L670" s="36"/>
      <c r="M670" s="36" t="s">
        <v>8013</v>
      </c>
    </row>
    <row r="671" spans="1:13" hidden="1">
      <c r="A671" s="42">
        <f t="shared" si="11"/>
        <v>670</v>
      </c>
      <c r="B671" s="36" t="s">
        <v>6</v>
      </c>
      <c r="C671" s="36" t="s">
        <v>8704</v>
      </c>
      <c r="D671" s="9" t="s">
        <v>3336</v>
      </c>
      <c r="E671" s="9" t="s">
        <v>8773</v>
      </c>
      <c r="G671" s="9" t="s">
        <v>15</v>
      </c>
      <c r="H671" s="36" t="str">
        <f>IFERROR(VLOOKUP(Table2[[#This Row], [Ticket]],Okey!A:B,2,0),"")</f>
        <v>ok</v>
      </c>
      <c r="I671" s="36" t="s">
        <v>8546</v>
      </c>
      <c r="J671" s="36" t="s">
        <v>20</v>
      </c>
      <c r="K671" s="36"/>
      <c r="L671" s="36"/>
      <c r="M671" s="36" t="s">
        <v>8013</v>
      </c>
    </row>
    <row r="672" spans="1:13" hidden="1">
      <c r="A672" s="42">
        <f t="shared" si="11"/>
        <v>671</v>
      </c>
      <c r="B672" s="36" t="s">
        <v>6</v>
      </c>
      <c r="C672" s="36" t="s">
        <v>8704</v>
      </c>
      <c r="D672" s="9" t="s">
        <v>722</v>
      </c>
      <c r="E672" s="9" t="s">
        <v>8774</v>
      </c>
      <c r="G672" s="36" t="s">
        <v>15</v>
      </c>
      <c r="H672" s="36" t="str">
        <f>IFERROR(VLOOKUP(Table2[[#This Row], [Ticket]],Okey!A:B,2,0),"")</f>
        <v>ok</v>
      </c>
      <c r="I672" s="36" t="s">
        <v>8546</v>
      </c>
      <c r="J672" s="36" t="s">
        <v>20</v>
      </c>
      <c r="K672" s="36"/>
      <c r="L672" s="36"/>
      <c r="M672" s="36" t="s">
        <v>8013</v>
      </c>
    </row>
    <row r="673" spans="1:13" hidden="1">
      <c r="A673" s="42">
        <f t="shared" si="11"/>
        <v>672</v>
      </c>
      <c r="B673" s="36" t="s">
        <v>6</v>
      </c>
      <c r="C673" s="36" t="s">
        <v>8704</v>
      </c>
      <c r="D673" s="9" t="s">
        <v>4297</v>
      </c>
      <c r="E673" s="9" t="s">
        <v>8775</v>
      </c>
      <c r="G673" s="36" t="s">
        <v>15</v>
      </c>
      <c r="H673" s="36" t="str">
        <f>IFERROR(VLOOKUP(Table2[[#This Row], [Ticket]],Okey!A:B,2,0),"")</f>
        <v>ok</v>
      </c>
      <c r="I673" s="36" t="s">
        <v>8546</v>
      </c>
      <c r="J673" s="36" t="s">
        <v>20</v>
      </c>
      <c r="K673" s="36"/>
      <c r="L673" s="36"/>
      <c r="M673" s="36" t="s">
        <v>8013</v>
      </c>
    </row>
    <row r="674" spans="1:13" hidden="1">
      <c r="A674" s="42">
        <f t="shared" si="11"/>
        <v>673</v>
      </c>
      <c r="B674" s="36" t="s">
        <v>6</v>
      </c>
      <c r="C674" s="36" t="s">
        <v>8704</v>
      </c>
      <c r="D674" s="9" t="s">
        <v>4210</v>
      </c>
      <c r="E674" s="9" t="s">
        <v>8776</v>
      </c>
      <c r="G674" s="36" t="s">
        <v>15</v>
      </c>
      <c r="H674" s="36" t="str">
        <f>IFERROR(VLOOKUP(Table2[[#This Row], [Ticket]],Okey!A:B,2,0),"")</f>
        <v>ok</v>
      </c>
      <c r="I674" s="36" t="s">
        <v>8546</v>
      </c>
      <c r="J674" s="36" t="s">
        <v>20</v>
      </c>
      <c r="K674" s="36"/>
      <c r="L674" s="36"/>
      <c r="M674" s="36" t="s">
        <v>8013</v>
      </c>
    </row>
    <row r="675" spans="1:13" hidden="1">
      <c r="A675" s="42">
        <f t="shared" si="11"/>
        <v>674</v>
      </c>
      <c r="B675" s="36" t="s">
        <v>6</v>
      </c>
      <c r="C675" s="36" t="s">
        <v>8704</v>
      </c>
      <c r="D675" s="9" t="s">
        <v>5322</v>
      </c>
      <c r="E675" s="9" t="s">
        <v>8777</v>
      </c>
      <c r="G675" s="36" t="s">
        <v>15</v>
      </c>
      <c r="H675" s="36" t="str">
        <f>IFERROR(VLOOKUP(Table2[[#This Row], [Ticket]],Okey!A:B,2,0),"")</f>
        <v>ok</v>
      </c>
      <c r="I675" s="36" t="s">
        <v>8546</v>
      </c>
      <c r="J675" s="36" t="s">
        <v>20</v>
      </c>
      <c r="K675" s="36"/>
      <c r="L675" s="36"/>
      <c r="M675" s="36" t="s">
        <v>8013</v>
      </c>
    </row>
    <row r="676" spans="1:13" hidden="1">
      <c r="A676" s="42">
        <f t="shared" si="11"/>
        <v>675</v>
      </c>
      <c r="B676" s="36" t="s">
        <v>6</v>
      </c>
      <c r="C676" s="36" t="s">
        <v>8704</v>
      </c>
      <c r="D676" s="9" t="s">
        <v>5348</v>
      </c>
      <c r="E676" s="9" t="s">
        <v>8778</v>
      </c>
      <c r="G676" s="36" t="s">
        <v>15</v>
      </c>
      <c r="H676" s="36" t="str">
        <f>IFERROR(VLOOKUP(Table2[[#This Row], [Ticket]],Okey!A:B,2,0),"")</f>
        <v>ok</v>
      </c>
      <c r="I676" s="36" t="s">
        <v>8546</v>
      </c>
      <c r="J676" s="36" t="s">
        <v>20</v>
      </c>
      <c r="K676" s="36"/>
      <c r="L676" s="36"/>
      <c r="M676" s="36" t="s">
        <v>8013</v>
      </c>
    </row>
    <row r="677" spans="1:13" hidden="1">
      <c r="A677" s="42">
        <f t="shared" si="11"/>
        <v>676</v>
      </c>
      <c r="B677" s="36" t="s">
        <v>6</v>
      </c>
      <c r="C677" s="36" t="s">
        <v>8704</v>
      </c>
      <c r="D677" s="9" t="s">
        <v>5873</v>
      </c>
      <c r="E677" s="9" t="s">
        <v>8779</v>
      </c>
      <c r="G677" s="36" t="s">
        <v>15</v>
      </c>
      <c r="H677" s="36" t="str">
        <f>IFERROR(VLOOKUP(Table2[[#This Row], [Ticket]],Okey!A:B,2,0),"")</f>
        <v>ok</v>
      </c>
      <c r="I677" s="36" t="s">
        <v>8546</v>
      </c>
      <c r="J677" s="36" t="s">
        <v>20</v>
      </c>
      <c r="K677" s="36"/>
      <c r="L677" s="36"/>
      <c r="M677" s="36" t="s">
        <v>8013</v>
      </c>
    </row>
    <row r="678" spans="1:13" hidden="1">
      <c r="A678" s="42">
        <f t="shared" si="11"/>
        <v>677</v>
      </c>
      <c r="B678" s="36" t="s">
        <v>6</v>
      </c>
      <c r="C678" s="36" t="s">
        <v>8704</v>
      </c>
      <c r="D678" s="9" t="s">
        <v>5393</v>
      </c>
      <c r="E678" s="9" t="s">
        <v>8780</v>
      </c>
      <c r="G678" s="36" t="s">
        <v>15</v>
      </c>
      <c r="H678" s="36" t="str">
        <f>IFERROR(VLOOKUP(Table2[[#This Row], [Ticket]],Okey!A:B,2,0),"")</f>
        <v>ok</v>
      </c>
      <c r="I678" s="36" t="s">
        <v>8546</v>
      </c>
      <c r="J678" s="36" t="s">
        <v>20</v>
      </c>
      <c r="K678" s="36"/>
      <c r="L678" s="36"/>
      <c r="M678" s="36" t="s">
        <v>8013</v>
      </c>
    </row>
    <row r="679" spans="1:13" hidden="1">
      <c r="A679" s="42">
        <f t="shared" si="11"/>
        <v>678</v>
      </c>
      <c r="B679" s="36" t="s">
        <v>6</v>
      </c>
      <c r="C679" s="36" t="s">
        <v>8704</v>
      </c>
      <c r="D679" s="9" t="s">
        <v>5890</v>
      </c>
      <c r="E679" s="9" t="s">
        <v>8781</v>
      </c>
      <c r="G679" s="36" t="s">
        <v>15</v>
      </c>
      <c r="H679" s="36" t="str">
        <f>IFERROR(VLOOKUP(Table2[[#This Row], [Ticket]],Okey!A:B,2,0),"")</f>
        <v>ok</v>
      </c>
      <c r="I679" s="36" t="s">
        <v>8546</v>
      </c>
      <c r="J679" s="36" t="s">
        <v>20</v>
      </c>
      <c r="K679" s="36"/>
      <c r="L679" s="36"/>
      <c r="M679" s="36" t="s">
        <v>8013</v>
      </c>
    </row>
    <row r="680" spans="1:13" hidden="1">
      <c r="A680" s="42">
        <f t="shared" si="11"/>
        <v>679</v>
      </c>
      <c r="B680" s="36" t="s">
        <v>6</v>
      </c>
      <c r="C680" s="36" t="s">
        <v>8704</v>
      </c>
      <c r="D680" s="9" t="s">
        <v>8782</v>
      </c>
      <c r="E680" s="9" t="s">
        <v>8783</v>
      </c>
      <c r="G680" s="36" t="s">
        <v>15</v>
      </c>
      <c r="H680" s="36" t="str">
        <f>IFERROR(VLOOKUP(Table2[[#This Row], [Ticket]],Okey!A:B,2,0),"")</f>
        <v>ok</v>
      </c>
      <c r="I680" s="36" t="s">
        <v>8546</v>
      </c>
      <c r="J680" s="36" t="s">
        <v>20</v>
      </c>
      <c r="K680" s="36"/>
      <c r="L680" s="36"/>
      <c r="M680" s="36" t="s">
        <v>8013</v>
      </c>
    </row>
    <row r="681" spans="1:13" hidden="1">
      <c r="A681" s="42">
        <f t="shared" si="11"/>
        <v>680</v>
      </c>
      <c r="B681" s="36" t="s">
        <v>6</v>
      </c>
      <c r="C681" s="36" t="s">
        <v>8704</v>
      </c>
      <c r="D681" s="9" t="s">
        <v>8784</v>
      </c>
      <c r="E681" s="9" t="s">
        <v>8785</v>
      </c>
      <c r="G681" s="36" t="s">
        <v>15</v>
      </c>
      <c r="H681" s="36" t="str">
        <f>IFERROR(VLOOKUP(Table2[[#This Row], [Ticket]],Okey!A:B,2,0),"")</f>
        <v>ok</v>
      </c>
      <c r="I681" s="36" t="s">
        <v>8546</v>
      </c>
      <c r="J681" s="36" t="s">
        <v>20</v>
      </c>
      <c r="K681" s="36"/>
      <c r="L681" s="36"/>
      <c r="M681" s="36" t="s">
        <v>8013</v>
      </c>
    </row>
    <row r="682" spans="1:13" hidden="1">
      <c r="A682" s="42">
        <f t="shared" si="11"/>
        <v>681</v>
      </c>
      <c r="B682" s="36" t="s">
        <v>6</v>
      </c>
      <c r="C682" s="36" t="s">
        <v>8704</v>
      </c>
      <c r="D682" s="9" t="s">
        <v>8786</v>
      </c>
      <c r="E682" s="9" t="s">
        <v>8787</v>
      </c>
      <c r="G682" s="36" t="s">
        <v>15</v>
      </c>
      <c r="H682" s="36" t="str">
        <f>IFERROR(VLOOKUP(Table2[[#This Row], [Ticket]],Okey!A:B,2,0),"")</f>
        <v>ok</v>
      </c>
      <c r="I682" s="36" t="s">
        <v>8546</v>
      </c>
      <c r="J682" s="36" t="s">
        <v>20</v>
      </c>
      <c r="K682" s="36"/>
      <c r="L682" s="36"/>
      <c r="M682" s="36" t="s">
        <v>8013</v>
      </c>
    </row>
    <row r="683" spans="1:13" hidden="1">
      <c r="A683" s="42">
        <f t="shared" si="11"/>
        <v>682</v>
      </c>
      <c r="B683" s="36" t="s">
        <v>6</v>
      </c>
      <c r="C683" s="36" t="s">
        <v>8704</v>
      </c>
      <c r="D683" s="9" t="s">
        <v>2445</v>
      </c>
      <c r="E683" s="9" t="s">
        <v>8788</v>
      </c>
      <c r="G683" s="36" t="s">
        <v>15</v>
      </c>
      <c r="H683" s="36" t="str">
        <f>IFERROR(VLOOKUP(Table2[[#This Row], [Ticket]],Okey!A:B,2,0),"")</f>
        <v>ok</v>
      </c>
      <c r="I683" s="36" t="s">
        <v>8546</v>
      </c>
      <c r="J683" s="36" t="s">
        <v>20</v>
      </c>
      <c r="K683" s="36"/>
      <c r="L683" s="36"/>
      <c r="M683" s="36" t="s">
        <v>8013</v>
      </c>
    </row>
    <row r="684" spans="1:13" hidden="1">
      <c r="A684" s="42">
        <f t="shared" si="11"/>
        <v>683</v>
      </c>
      <c r="B684" s="36" t="s">
        <v>6</v>
      </c>
      <c r="C684" s="36" t="s">
        <v>8704</v>
      </c>
      <c r="D684" s="9" t="s">
        <v>1621</v>
      </c>
      <c r="E684" s="9" t="s">
        <v>8789</v>
      </c>
      <c r="G684" s="36" t="s">
        <v>15</v>
      </c>
      <c r="H684" s="36" t="str">
        <f>IFERROR(VLOOKUP(Table2[[#This Row], [Ticket]],Okey!A:B,2,0),"")</f>
        <v>ok</v>
      </c>
      <c r="I684" s="36" t="s">
        <v>8546</v>
      </c>
      <c r="J684" s="36" t="s">
        <v>20</v>
      </c>
      <c r="K684" s="36"/>
      <c r="L684" s="36"/>
      <c r="M684" s="36" t="s">
        <v>8013</v>
      </c>
    </row>
    <row r="685" spans="1:13" hidden="1">
      <c r="A685" s="42">
        <f t="shared" si="11"/>
        <v>684</v>
      </c>
      <c r="B685" s="36" t="s">
        <v>6</v>
      </c>
      <c r="C685" s="36" t="s">
        <v>8704</v>
      </c>
      <c r="D685" s="9" t="s">
        <v>2500</v>
      </c>
      <c r="E685" s="9" t="s">
        <v>8790</v>
      </c>
      <c r="G685" s="36" t="s">
        <v>15</v>
      </c>
      <c r="H685" s="36" t="str">
        <f>IFERROR(VLOOKUP(Table2[[#This Row], [Ticket]],Okey!A:B,2,0),"")</f>
        <v>ok</v>
      </c>
      <c r="I685" s="36" t="s">
        <v>8546</v>
      </c>
      <c r="J685" s="36" t="s">
        <v>20</v>
      </c>
      <c r="K685" s="36"/>
      <c r="L685" s="36"/>
      <c r="M685" s="36" t="s">
        <v>8013</v>
      </c>
    </row>
    <row r="686" spans="1:13" hidden="1">
      <c r="A686" s="42">
        <f t="shared" si="11"/>
        <v>685</v>
      </c>
      <c r="B686" s="36" t="s">
        <v>6</v>
      </c>
      <c r="C686" s="36" t="s">
        <v>8704</v>
      </c>
      <c r="D686" s="9" t="s">
        <v>4857</v>
      </c>
      <c r="E686" s="9" t="s">
        <v>8791</v>
      </c>
      <c r="G686" s="36" t="s">
        <v>15</v>
      </c>
      <c r="H686" s="36" t="str">
        <f>IFERROR(VLOOKUP(Table2[[#This Row], [Ticket]],Okey!A:B,2,0),"")</f>
        <v>ok</v>
      </c>
      <c r="I686" s="36" t="s">
        <v>8546</v>
      </c>
      <c r="J686" s="36" t="s">
        <v>20</v>
      </c>
      <c r="K686" s="36"/>
      <c r="L686" s="36"/>
      <c r="M686" s="36" t="s">
        <v>8013</v>
      </c>
    </row>
    <row r="687" spans="1:13" hidden="1">
      <c r="A687" s="42">
        <f t="shared" si="11"/>
        <v>686</v>
      </c>
      <c r="B687" s="36" t="s">
        <v>6</v>
      </c>
      <c r="C687" s="36" t="s">
        <v>8704</v>
      </c>
      <c r="D687" s="9" t="s">
        <v>4861</v>
      </c>
      <c r="E687" s="9" t="s">
        <v>8792</v>
      </c>
      <c r="G687" s="36" t="s">
        <v>15</v>
      </c>
      <c r="H687" s="36" t="str">
        <f>IFERROR(VLOOKUP(Table2[[#This Row], [Ticket]],Okey!A:B,2,0),"")</f>
        <v>ok</v>
      </c>
      <c r="I687" s="36" t="s">
        <v>8546</v>
      </c>
      <c r="J687" s="36" t="s">
        <v>20</v>
      </c>
      <c r="K687" s="36"/>
      <c r="L687" s="36"/>
      <c r="M687" s="36" t="s">
        <v>8013</v>
      </c>
    </row>
    <row r="688" spans="1:13" hidden="1">
      <c r="A688" s="42">
        <f t="shared" si="11"/>
        <v>687</v>
      </c>
      <c r="B688" s="36" t="s">
        <v>6</v>
      </c>
      <c r="C688" s="36" t="s">
        <v>8704</v>
      </c>
      <c r="D688" s="9" t="s">
        <v>4863</v>
      </c>
      <c r="E688" s="9" t="s">
        <v>8793</v>
      </c>
      <c r="G688" s="36" t="s">
        <v>15</v>
      </c>
      <c r="H688" s="36" t="str">
        <f>IFERROR(VLOOKUP(Table2[[#This Row], [Ticket]],Okey!A:B,2,0),"")</f>
        <v>ok</v>
      </c>
      <c r="I688" s="36" t="s">
        <v>8546</v>
      </c>
      <c r="J688" s="36" t="s">
        <v>20</v>
      </c>
      <c r="K688" s="36"/>
      <c r="L688" s="36"/>
      <c r="M688" s="36" t="s">
        <v>8013</v>
      </c>
    </row>
    <row r="689" spans="1:13" hidden="1">
      <c r="A689" s="42">
        <f t="shared" si="11"/>
        <v>688</v>
      </c>
      <c r="B689" s="36" t="s">
        <v>6</v>
      </c>
      <c r="C689" s="36" t="s">
        <v>8704</v>
      </c>
      <c r="D689" s="9" t="s">
        <v>2537</v>
      </c>
      <c r="E689" s="9" t="s">
        <v>8794</v>
      </c>
      <c r="G689" s="36" t="s">
        <v>15</v>
      </c>
      <c r="H689" s="36" t="str">
        <f>IFERROR(VLOOKUP(Table2[[#This Row], [Ticket]],Okey!A:B,2,0),"")</f>
        <v>ok</v>
      </c>
      <c r="I689" s="36" t="s">
        <v>8546</v>
      </c>
      <c r="J689" s="36" t="s">
        <v>20</v>
      </c>
      <c r="K689" s="36"/>
      <c r="L689" s="36"/>
      <c r="M689" s="36" t="s">
        <v>8013</v>
      </c>
    </row>
    <row r="690" spans="1:13" hidden="1">
      <c r="A690" s="42">
        <f t="shared" si="11"/>
        <v>689</v>
      </c>
      <c r="B690" s="36" t="s">
        <v>6</v>
      </c>
      <c r="C690" s="36" t="s">
        <v>8704</v>
      </c>
      <c r="D690" s="9" t="s">
        <v>2535</v>
      </c>
      <c r="E690" s="9" t="s">
        <v>8795</v>
      </c>
      <c r="G690" s="36" t="s">
        <v>15</v>
      </c>
      <c r="H690" s="36" t="str">
        <f>IFERROR(VLOOKUP(Table2[[#This Row], [Ticket]],Okey!A:B,2,0),"")</f>
        <v>ok</v>
      </c>
      <c r="I690" s="36" t="s">
        <v>8546</v>
      </c>
      <c r="J690" s="36" t="s">
        <v>20</v>
      </c>
      <c r="K690" s="36"/>
      <c r="L690" s="36"/>
      <c r="M690" s="36" t="s">
        <v>8013</v>
      </c>
    </row>
    <row r="691" spans="1:13" hidden="1">
      <c r="A691" s="42">
        <f t="shared" si="11"/>
        <v>690</v>
      </c>
      <c r="B691" s="36" t="s">
        <v>6</v>
      </c>
      <c r="C691" s="36" t="s">
        <v>8704</v>
      </c>
      <c r="D691" s="9" t="s">
        <v>2538</v>
      </c>
      <c r="E691" s="9" t="s">
        <v>8796</v>
      </c>
      <c r="G691" s="36" t="s">
        <v>15</v>
      </c>
      <c r="H691" s="36" t="str">
        <f>IFERROR(VLOOKUP(Table2[[#This Row], [Ticket]],Okey!A:B,2,0),"")</f>
        <v>ok</v>
      </c>
      <c r="I691" s="36" t="s">
        <v>8546</v>
      </c>
      <c r="J691" s="36" t="s">
        <v>20</v>
      </c>
      <c r="K691" s="36"/>
      <c r="L691" s="36"/>
      <c r="M691" s="36" t="s">
        <v>8013</v>
      </c>
    </row>
    <row r="692" spans="1:13" hidden="1">
      <c r="A692" s="42">
        <f t="shared" si="11"/>
        <v>691</v>
      </c>
      <c r="B692" s="36" t="s">
        <v>6</v>
      </c>
      <c r="C692" s="36" t="s">
        <v>8704</v>
      </c>
      <c r="D692" s="9" t="s">
        <v>2540</v>
      </c>
      <c r="E692" s="9" t="s">
        <v>8797</v>
      </c>
      <c r="G692" s="36" t="s">
        <v>15</v>
      </c>
      <c r="H692" s="36" t="str">
        <f>IFERROR(VLOOKUP(Table2[[#This Row], [Ticket]],Okey!A:B,2,0),"")</f>
        <v>ok</v>
      </c>
      <c r="I692" s="36" t="s">
        <v>8546</v>
      </c>
      <c r="J692" s="36" t="s">
        <v>20</v>
      </c>
      <c r="K692" s="36"/>
      <c r="L692" s="36"/>
      <c r="M692" s="36" t="s">
        <v>8013</v>
      </c>
    </row>
    <row r="693" spans="1:13" hidden="1">
      <c r="A693" s="42">
        <f t="shared" si="11"/>
        <v>692</v>
      </c>
      <c r="B693" s="36" t="s">
        <v>6</v>
      </c>
      <c r="C693" s="36" t="s">
        <v>8704</v>
      </c>
      <c r="D693" s="9" t="s">
        <v>2418</v>
      </c>
      <c r="E693" s="9" t="s">
        <v>8798</v>
      </c>
      <c r="G693" s="36" t="s">
        <v>15</v>
      </c>
      <c r="H693" s="36" t="str">
        <f>IFERROR(VLOOKUP(Table2[[#This Row], [Ticket]],Okey!A:B,2,0),"")</f>
        <v>ok</v>
      </c>
      <c r="I693" s="36" t="s">
        <v>8546</v>
      </c>
      <c r="J693" s="36" t="s">
        <v>20</v>
      </c>
      <c r="K693" s="36"/>
      <c r="L693" s="36"/>
      <c r="M693" s="36" t="s">
        <v>8013</v>
      </c>
    </row>
    <row r="694" spans="1:13" hidden="1">
      <c r="A694" s="42">
        <f t="shared" si="11"/>
        <v>693</v>
      </c>
      <c r="B694" s="36" t="s">
        <v>6</v>
      </c>
      <c r="C694" s="36" t="s">
        <v>8704</v>
      </c>
      <c r="D694" s="9" t="s">
        <v>2558</v>
      </c>
      <c r="E694" s="9" t="s">
        <v>8799</v>
      </c>
      <c r="G694" s="36" t="s">
        <v>15</v>
      </c>
      <c r="H694" s="36" t="str">
        <f>IFERROR(VLOOKUP(Table2[[#This Row], [Ticket]],Okey!A:B,2,0),"")</f>
        <v>ok</v>
      </c>
      <c r="I694" s="36" t="s">
        <v>8546</v>
      </c>
      <c r="J694" s="36" t="s">
        <v>20</v>
      </c>
      <c r="K694" s="36"/>
      <c r="L694" s="36"/>
      <c r="M694" s="36" t="s">
        <v>8013</v>
      </c>
    </row>
    <row r="695" spans="1:13" hidden="1">
      <c r="A695" s="42">
        <f t="shared" si="11"/>
        <v>694</v>
      </c>
      <c r="B695" s="36" t="s">
        <v>6</v>
      </c>
      <c r="C695" s="36" t="s">
        <v>8704</v>
      </c>
      <c r="D695" s="9" t="s">
        <v>2556</v>
      </c>
      <c r="E695" s="9" t="s">
        <v>8800</v>
      </c>
      <c r="G695" s="36" t="s">
        <v>15</v>
      </c>
      <c r="H695" s="36" t="str">
        <f>IFERROR(VLOOKUP(Table2[[#This Row], [Ticket]],Okey!A:B,2,0),"")</f>
        <v>ok</v>
      </c>
      <c r="I695" s="36" t="s">
        <v>8546</v>
      </c>
      <c r="J695" s="36" t="s">
        <v>20</v>
      </c>
      <c r="K695" s="36"/>
      <c r="L695" s="36"/>
      <c r="M695" s="36" t="s">
        <v>8013</v>
      </c>
    </row>
    <row r="696" spans="1:13" hidden="1">
      <c r="A696" s="42">
        <f t="shared" si="11"/>
        <v>695</v>
      </c>
      <c r="B696" s="36" t="s">
        <v>6</v>
      </c>
      <c r="C696" s="36" t="s">
        <v>8704</v>
      </c>
      <c r="D696" s="9" t="s">
        <v>2559</v>
      </c>
      <c r="E696" s="9" t="s">
        <v>8801</v>
      </c>
      <c r="G696" s="36" t="s">
        <v>15</v>
      </c>
      <c r="H696" s="36" t="str">
        <f>IFERROR(VLOOKUP(Table2[[#This Row], [Ticket]],Okey!A:B,2,0),"")</f>
        <v>ok</v>
      </c>
      <c r="I696" s="36" t="s">
        <v>8546</v>
      </c>
      <c r="J696" s="36" t="s">
        <v>20</v>
      </c>
      <c r="K696" s="36"/>
      <c r="L696" s="36"/>
      <c r="M696" s="36" t="s">
        <v>8013</v>
      </c>
    </row>
    <row r="697" spans="1:13" hidden="1">
      <c r="A697" s="42">
        <f t="shared" si="11"/>
        <v>696</v>
      </c>
      <c r="B697" s="36" t="s">
        <v>6</v>
      </c>
      <c r="C697" s="36" t="s">
        <v>8704</v>
      </c>
      <c r="D697" s="9" t="s">
        <v>2561</v>
      </c>
      <c r="E697" s="9" t="s">
        <v>8802</v>
      </c>
      <c r="G697" s="36" t="s">
        <v>15</v>
      </c>
      <c r="H697" s="36" t="str">
        <f>IFERROR(VLOOKUP(Table2[[#This Row], [Ticket]],Okey!A:B,2,0),"")</f>
        <v>ok</v>
      </c>
      <c r="I697" s="36" t="s">
        <v>8546</v>
      </c>
      <c r="J697" s="36" t="s">
        <v>20</v>
      </c>
      <c r="K697" s="36"/>
      <c r="L697" s="36"/>
      <c r="M697" s="36" t="s">
        <v>8013</v>
      </c>
    </row>
    <row r="698" spans="1:13" hidden="1">
      <c r="A698" s="42">
        <f t="shared" si="11"/>
        <v>697</v>
      </c>
      <c r="B698" s="36" t="s">
        <v>6</v>
      </c>
      <c r="C698" s="36" t="s">
        <v>8704</v>
      </c>
      <c r="D698" s="9" t="s">
        <v>8803</v>
      </c>
      <c r="E698" s="9" t="s">
        <v>8804</v>
      </c>
      <c r="G698" s="36" t="s">
        <v>15</v>
      </c>
      <c r="H698" s="36" t="str">
        <f>IFERROR(VLOOKUP(Table2[[#This Row], [Ticket]],Okey!A:B,2,0),"")</f>
        <v>ok</v>
      </c>
      <c r="I698" s="36" t="s">
        <v>8546</v>
      </c>
      <c r="J698" s="36" t="s">
        <v>20</v>
      </c>
      <c r="K698" s="36"/>
      <c r="L698" s="36"/>
      <c r="M698" s="36" t="s">
        <v>8013</v>
      </c>
    </row>
    <row r="699" spans="1:13" hidden="1">
      <c r="A699" s="42">
        <f t="shared" si="11"/>
        <v>698</v>
      </c>
      <c r="B699" s="36" t="s">
        <v>6</v>
      </c>
      <c r="C699" s="36" t="s">
        <v>8704</v>
      </c>
      <c r="D699" s="9" t="s">
        <v>5926</v>
      </c>
      <c r="E699" s="9" t="s">
        <v>8805</v>
      </c>
      <c r="G699" s="36" t="s">
        <v>15</v>
      </c>
      <c r="H699" s="36" t="str">
        <f>IFERROR(VLOOKUP(Table2[[#This Row], [Ticket]],Okey!A:B,2,0),"")</f>
        <v>ok</v>
      </c>
      <c r="I699" s="36" t="s">
        <v>8546</v>
      </c>
      <c r="J699" s="36" t="s">
        <v>20</v>
      </c>
      <c r="K699" s="36"/>
      <c r="L699" s="36"/>
      <c r="M699" s="36" t="s">
        <v>8013</v>
      </c>
    </row>
    <row r="700" spans="1:13" hidden="1">
      <c r="A700" s="42">
        <f t="shared" si="11"/>
        <v>699</v>
      </c>
      <c r="B700" s="36" t="s">
        <v>6</v>
      </c>
      <c r="C700" s="36" t="s">
        <v>8704</v>
      </c>
      <c r="D700" s="9" t="s">
        <v>8806</v>
      </c>
      <c r="E700" s="9" t="s">
        <v>8807</v>
      </c>
      <c r="G700" s="36" t="s">
        <v>15</v>
      </c>
      <c r="H700" s="36" t="str">
        <f>IFERROR(VLOOKUP(Table2[[#This Row], [Ticket]],Okey!A:B,2,0),"")</f>
        <v>ok</v>
      </c>
      <c r="I700" s="36" t="s">
        <v>8546</v>
      </c>
      <c r="J700" s="36" t="s">
        <v>20</v>
      </c>
      <c r="K700" s="36"/>
      <c r="L700" s="36"/>
      <c r="M700" s="36" t="s">
        <v>8013</v>
      </c>
    </row>
    <row r="701" spans="1:13" hidden="1">
      <c r="A701" s="42">
        <f t="shared" si="11"/>
        <v>700</v>
      </c>
      <c r="B701" s="36" t="s">
        <v>6</v>
      </c>
      <c r="C701" s="36" t="s">
        <v>8704</v>
      </c>
      <c r="D701" s="9" t="s">
        <v>8808</v>
      </c>
      <c r="E701" s="9" t="s">
        <v>8809</v>
      </c>
      <c r="G701" s="36" t="s">
        <v>15</v>
      </c>
      <c r="H701" s="36" t="str">
        <f>IFERROR(VLOOKUP(Table2[[#This Row], [Ticket]],Okey!A:B,2,0),"")</f>
        <v>ok</v>
      </c>
      <c r="I701" s="36" t="s">
        <v>8546</v>
      </c>
      <c r="J701" s="36" t="s">
        <v>20</v>
      </c>
      <c r="K701" s="36"/>
      <c r="L701" s="36"/>
      <c r="M701" s="36" t="s">
        <v>8013</v>
      </c>
    </row>
    <row r="702" spans="1:13" hidden="1">
      <c r="A702" s="42">
        <f t="shared" si="11"/>
        <v>701</v>
      </c>
      <c r="B702" s="36" t="s">
        <v>6</v>
      </c>
      <c r="C702" s="36" t="s">
        <v>8704</v>
      </c>
      <c r="D702" s="9" t="s">
        <v>8810</v>
      </c>
      <c r="E702" s="9" t="s">
        <v>8809</v>
      </c>
      <c r="G702" s="36" t="s">
        <v>15</v>
      </c>
      <c r="H702" s="36" t="str">
        <f>IFERROR(VLOOKUP(Table2[[#This Row], [Ticket]],Okey!A:B,2,0),"")</f>
        <v>ok</v>
      </c>
      <c r="I702" s="36" t="s">
        <v>8546</v>
      </c>
      <c r="J702" s="36" t="s">
        <v>20</v>
      </c>
      <c r="K702" s="36"/>
      <c r="L702" s="36"/>
      <c r="M702" s="36" t="s">
        <v>8013</v>
      </c>
    </row>
    <row r="703" spans="1:13" hidden="1">
      <c r="A703" s="42">
        <f t="shared" si="11"/>
        <v>702</v>
      </c>
      <c r="B703" s="36" t="s">
        <v>6</v>
      </c>
      <c r="C703" s="36" t="s">
        <v>8704</v>
      </c>
      <c r="D703" s="9" t="s">
        <v>8811</v>
      </c>
      <c r="E703" s="9" t="s">
        <v>8812</v>
      </c>
      <c r="G703" s="36" t="s">
        <v>15</v>
      </c>
      <c r="H703" s="36" t="str">
        <f>IFERROR(VLOOKUP(Table2[[#This Row], [Ticket]],Okey!A:B,2,0),"")</f>
        <v>ok</v>
      </c>
      <c r="I703" s="36" t="s">
        <v>8546</v>
      </c>
      <c r="J703" s="36" t="s">
        <v>20</v>
      </c>
      <c r="K703" s="36"/>
      <c r="L703" s="36"/>
      <c r="M703" s="36" t="s">
        <v>8013</v>
      </c>
    </row>
    <row r="704" spans="1:13" hidden="1">
      <c r="A704" s="42">
        <f t="shared" si="11"/>
        <v>703</v>
      </c>
      <c r="B704" s="36" t="s">
        <v>6</v>
      </c>
      <c r="C704" s="36" t="s">
        <v>8704</v>
      </c>
      <c r="D704" s="9" t="s">
        <v>8813</v>
      </c>
      <c r="E704" s="9" t="s">
        <v>8814</v>
      </c>
      <c r="G704" s="36" t="s">
        <v>15</v>
      </c>
      <c r="H704" s="36" t="str">
        <f>IFERROR(VLOOKUP(Table2[[#This Row], [Ticket]],Okey!A:B,2,0),"")</f>
        <v>ok</v>
      </c>
      <c r="I704" s="36" t="s">
        <v>8546</v>
      </c>
      <c r="J704" s="36" t="s">
        <v>20</v>
      </c>
      <c r="K704" s="36"/>
      <c r="L704" s="36"/>
      <c r="M704" s="36" t="s">
        <v>8013</v>
      </c>
    </row>
    <row r="705" spans="1:13" hidden="1">
      <c r="A705" s="42">
        <f t="shared" si="11"/>
        <v>704</v>
      </c>
      <c r="B705" s="36" t="s">
        <v>6</v>
      </c>
      <c r="C705" s="36" t="s">
        <v>8704</v>
      </c>
      <c r="D705" s="9" t="s">
        <v>8815</v>
      </c>
      <c r="E705" s="9" t="s">
        <v>8816</v>
      </c>
      <c r="G705" s="36" t="s">
        <v>15</v>
      </c>
      <c r="H705" s="36" t="str">
        <f>IFERROR(VLOOKUP(Table2[[#This Row], [Ticket]],Okey!A:B,2,0),"")</f>
        <v>ok</v>
      </c>
      <c r="I705" s="36" t="s">
        <v>8546</v>
      </c>
      <c r="J705" s="36" t="s">
        <v>20</v>
      </c>
      <c r="K705" s="36"/>
      <c r="L705" s="36"/>
      <c r="M705" s="36" t="s">
        <v>8013</v>
      </c>
    </row>
    <row r="706" spans="1:13" hidden="1">
      <c r="A706" s="42">
        <f t="shared" si="11"/>
        <v>705</v>
      </c>
      <c r="B706" s="36" t="s">
        <v>6</v>
      </c>
      <c r="C706" s="36" t="s">
        <v>8704</v>
      </c>
      <c r="D706" s="9" t="s">
        <v>2192</v>
      </c>
      <c r="E706" s="9" t="s">
        <v>8817</v>
      </c>
      <c r="G706" s="36" t="s">
        <v>15</v>
      </c>
      <c r="H706" s="36" t="str">
        <f>IFERROR(VLOOKUP(Table2[[#This Row], [Ticket]],Okey!A:B,2,0),"")</f>
        <v>ok</v>
      </c>
      <c r="I706" s="36" t="s">
        <v>8546</v>
      </c>
      <c r="J706" s="36" t="s">
        <v>20</v>
      </c>
      <c r="K706" s="36"/>
      <c r="L706" s="36"/>
      <c r="M706" s="36" t="s">
        <v>8013</v>
      </c>
    </row>
    <row r="707" spans="1:13" hidden="1">
      <c r="A707" s="42">
        <f t="shared" si="11"/>
        <v>706</v>
      </c>
      <c r="B707" s="36" t="s">
        <v>6</v>
      </c>
      <c r="C707" s="36" t="s">
        <v>8704</v>
      </c>
      <c r="D707" s="9" t="s">
        <v>2542</v>
      </c>
      <c r="E707" s="9" t="s">
        <v>8818</v>
      </c>
      <c r="G707" s="36" t="s">
        <v>15</v>
      </c>
      <c r="H707" s="36" t="str">
        <f>IFERROR(VLOOKUP(Table2[[#This Row], [Ticket]],Okey!A:B,2,0),"")</f>
        <v>ok</v>
      </c>
      <c r="I707" s="36" t="s">
        <v>8546</v>
      </c>
      <c r="J707" s="36" t="s">
        <v>20</v>
      </c>
      <c r="K707" s="36"/>
      <c r="L707" s="36"/>
      <c r="M707" s="36" t="s">
        <v>8013</v>
      </c>
    </row>
    <row r="708" spans="1:13" hidden="1">
      <c r="A708" s="42">
        <f t="shared" si="11"/>
        <v>707</v>
      </c>
      <c r="B708" s="36" t="s">
        <v>6</v>
      </c>
      <c r="C708" s="36" t="s">
        <v>8704</v>
      </c>
      <c r="D708" s="9" t="s">
        <v>2545</v>
      </c>
      <c r="E708" s="9" t="s">
        <v>8819</v>
      </c>
      <c r="G708" s="36" t="s">
        <v>15</v>
      </c>
      <c r="H708" s="36" t="str">
        <f>IFERROR(VLOOKUP(Table2[[#This Row], [Ticket]],Okey!A:B,2,0),"")</f>
        <v>ok</v>
      </c>
      <c r="I708" s="36" t="s">
        <v>8546</v>
      </c>
      <c r="J708" s="36" t="s">
        <v>20</v>
      </c>
      <c r="K708" s="36"/>
      <c r="L708" s="36"/>
      <c r="M708" s="36" t="s">
        <v>8013</v>
      </c>
    </row>
    <row r="709" spans="1:13" hidden="1">
      <c r="A709" s="42">
        <f t="shared" si="11"/>
        <v>708</v>
      </c>
      <c r="B709" s="36" t="s">
        <v>6</v>
      </c>
      <c r="C709" s="36" t="s">
        <v>8704</v>
      </c>
      <c r="D709" s="9" t="s">
        <v>2547</v>
      </c>
      <c r="E709" s="9" t="s">
        <v>8820</v>
      </c>
      <c r="G709" s="36" t="s">
        <v>15</v>
      </c>
      <c r="H709" s="36" t="str">
        <f>IFERROR(VLOOKUP(Table2[[#This Row], [Ticket]],Okey!A:B,2,0),"")</f>
        <v>ok</v>
      </c>
      <c r="I709" s="36" t="s">
        <v>8546</v>
      </c>
      <c r="J709" s="36" t="s">
        <v>20</v>
      </c>
      <c r="K709" s="36"/>
      <c r="L709" s="36"/>
      <c r="M709" s="36" t="s">
        <v>8013</v>
      </c>
    </row>
    <row r="710" spans="1:13" hidden="1">
      <c r="A710" s="42">
        <f t="shared" si="11"/>
        <v>709</v>
      </c>
      <c r="B710" s="36" t="s">
        <v>6</v>
      </c>
      <c r="C710" s="36" t="s">
        <v>8704</v>
      </c>
      <c r="D710" s="9" t="s">
        <v>5238</v>
      </c>
      <c r="E710" s="9" t="s">
        <v>8821</v>
      </c>
      <c r="G710" s="36" t="s">
        <v>15</v>
      </c>
      <c r="H710" s="36" t="str">
        <f>IFERROR(VLOOKUP(Table2[[#This Row], [Ticket]],Okey!A:B,2,0),"")</f>
        <v>ok</v>
      </c>
      <c r="I710" s="36" t="s">
        <v>8546</v>
      </c>
      <c r="J710" s="36" t="s">
        <v>20</v>
      </c>
      <c r="K710" s="36"/>
      <c r="L710" s="36"/>
      <c r="M710" s="36" t="s">
        <v>8013</v>
      </c>
    </row>
    <row r="711" spans="1:13" hidden="1">
      <c r="A711" s="42">
        <f t="shared" si="11"/>
        <v>710</v>
      </c>
      <c r="B711" s="36" t="s">
        <v>6</v>
      </c>
      <c r="C711" s="36" t="s">
        <v>8704</v>
      </c>
      <c r="D711" s="9" t="s">
        <v>2305</v>
      </c>
      <c r="E711" s="9" t="s">
        <v>8822</v>
      </c>
      <c r="G711" s="36" t="s">
        <v>15</v>
      </c>
      <c r="H711" s="36" t="str">
        <f>IFERROR(VLOOKUP(Table2[[#This Row], [Ticket]],Okey!A:B,2,0),"")</f>
        <v>ok</v>
      </c>
      <c r="I711" s="36" t="s">
        <v>8546</v>
      </c>
      <c r="J711" s="36" t="s">
        <v>20</v>
      </c>
      <c r="K711" s="36"/>
      <c r="L711" s="36"/>
      <c r="M711" s="36" t="s">
        <v>8013</v>
      </c>
    </row>
    <row r="712" spans="1:13" hidden="1">
      <c r="A712" s="42">
        <f t="shared" si="11"/>
        <v>711</v>
      </c>
      <c r="B712" s="36" t="s">
        <v>6</v>
      </c>
      <c r="C712" s="36" t="s">
        <v>8704</v>
      </c>
      <c r="D712" s="9" t="s">
        <v>2549</v>
      </c>
      <c r="E712" s="9" t="s">
        <v>8823</v>
      </c>
      <c r="G712" s="36" t="s">
        <v>15</v>
      </c>
      <c r="H712" s="36" t="str">
        <f>IFERROR(VLOOKUP(Table2[[#This Row], [Ticket]],Okey!A:B,2,0),"")</f>
        <v>ok</v>
      </c>
      <c r="I712" s="36" t="s">
        <v>8546</v>
      </c>
      <c r="J712" s="36" t="s">
        <v>20</v>
      </c>
      <c r="K712" s="36"/>
      <c r="L712" s="36"/>
      <c r="M712" s="36" t="s">
        <v>8013</v>
      </c>
    </row>
    <row r="713" spans="1:13" hidden="1">
      <c r="A713" s="42">
        <f t="shared" si="11"/>
        <v>712</v>
      </c>
      <c r="B713" s="36" t="s">
        <v>6</v>
      </c>
      <c r="C713" s="36" t="s">
        <v>8704</v>
      </c>
      <c r="D713" s="9" t="s">
        <v>2552</v>
      </c>
      <c r="E713" s="9" t="s">
        <v>8824</v>
      </c>
      <c r="G713" s="36" t="s">
        <v>15</v>
      </c>
      <c r="H713" s="36" t="str">
        <f>IFERROR(VLOOKUP(Table2[[#This Row], [Ticket]],Okey!A:B,2,0),"")</f>
        <v>ok</v>
      </c>
      <c r="I713" s="36" t="s">
        <v>8546</v>
      </c>
      <c r="J713" s="36" t="s">
        <v>20</v>
      </c>
      <c r="K713" s="36"/>
      <c r="L713" s="36"/>
      <c r="M713" s="36" t="s">
        <v>8013</v>
      </c>
    </row>
    <row r="714" spans="1:13" hidden="1">
      <c r="A714" s="42">
        <f t="shared" si="11"/>
        <v>713</v>
      </c>
      <c r="B714" s="36" t="s">
        <v>6</v>
      </c>
      <c r="C714" s="36" t="s">
        <v>8704</v>
      </c>
      <c r="D714" s="9" t="s">
        <v>2554</v>
      </c>
      <c r="E714" s="9" t="s">
        <v>8825</v>
      </c>
      <c r="G714" s="36" t="s">
        <v>15</v>
      </c>
      <c r="H714" s="36" t="str">
        <f>IFERROR(VLOOKUP(Table2[[#This Row], [Ticket]],Okey!A:B,2,0),"")</f>
        <v>ok</v>
      </c>
      <c r="I714" s="36" t="s">
        <v>8546</v>
      </c>
      <c r="J714" s="36" t="s">
        <v>20</v>
      </c>
      <c r="K714" s="36"/>
      <c r="L714" s="36"/>
      <c r="M714" s="36" t="s">
        <v>8013</v>
      </c>
    </row>
    <row r="715" spans="1:13" hidden="1">
      <c r="A715" s="42">
        <f t="shared" si="11"/>
        <v>714</v>
      </c>
      <c r="B715" s="36" t="s">
        <v>6</v>
      </c>
      <c r="C715" s="36" t="s">
        <v>8704</v>
      </c>
      <c r="D715" s="9" t="s">
        <v>4212</v>
      </c>
      <c r="E715" s="9" t="s">
        <v>8826</v>
      </c>
      <c r="F715" s="9" t="s">
        <v>4208</v>
      </c>
      <c r="G715" s="9" t="s">
        <v>16</v>
      </c>
      <c r="H715" s="36" t="str">
        <f>IFERROR(VLOOKUP(Table2[[#This Row], [Ticket]],Okey!A:B,2,0),"")</f>
        <v>ok</v>
      </c>
      <c r="I715" s="36" t="s">
        <v>8546</v>
      </c>
      <c r="J715" s="36" t="s">
        <v>20</v>
      </c>
      <c r="K715" s="36"/>
      <c r="L715" s="36"/>
      <c r="M715" s="36" t="s">
        <v>8013</v>
      </c>
    </row>
    <row r="716" spans="1:13" hidden="1">
      <c r="A716" s="42">
        <f t="shared" si="11"/>
        <v>715</v>
      </c>
      <c r="B716" s="36" t="s">
        <v>6</v>
      </c>
      <c r="C716" s="36" t="s">
        <v>8704</v>
      </c>
      <c r="D716" s="9" t="s">
        <v>5220</v>
      </c>
      <c r="E716" s="9" t="s">
        <v>8827</v>
      </c>
      <c r="F716" s="9" t="s">
        <v>5350</v>
      </c>
      <c r="G716" s="36" t="s">
        <v>16</v>
      </c>
      <c r="H716" s="36" t="str">
        <f>IFERROR(VLOOKUP(Table2[[#This Row], [Ticket]],Okey!A:B,2,0),"")</f>
        <v>ok</v>
      </c>
      <c r="I716" s="36" t="s">
        <v>8546</v>
      </c>
      <c r="J716" s="36" t="s">
        <v>20</v>
      </c>
      <c r="K716" s="36"/>
      <c r="L716" s="36"/>
      <c r="M716" s="36" t="s">
        <v>8013</v>
      </c>
    </row>
    <row r="717" spans="1:13" hidden="1">
      <c r="A717" s="42">
        <f t="shared" si="11"/>
        <v>716</v>
      </c>
      <c r="B717" s="36" t="s">
        <v>6</v>
      </c>
      <c r="C717" s="36" t="s">
        <v>8704</v>
      </c>
      <c r="D717" s="9" t="s">
        <v>5327</v>
      </c>
      <c r="E717" s="9" t="s">
        <v>8828</v>
      </c>
      <c r="F717" s="9" t="s">
        <v>5324</v>
      </c>
      <c r="G717" s="36" t="s">
        <v>16</v>
      </c>
      <c r="H717" s="36" t="str">
        <f>IFERROR(VLOOKUP(Table2[[#This Row], [Ticket]],Okey!A:B,2,0),"")</f>
        <v>ok</v>
      </c>
      <c r="I717" s="36" t="s">
        <v>8546</v>
      </c>
      <c r="J717" s="36" t="s">
        <v>20</v>
      </c>
      <c r="K717" s="36"/>
      <c r="L717" s="36"/>
      <c r="M717" s="36" t="s">
        <v>8013</v>
      </c>
    </row>
    <row r="718" spans="1:13" hidden="1">
      <c r="A718" s="42">
        <f t="shared" si="11"/>
        <v>717</v>
      </c>
      <c r="B718" s="36" t="s">
        <v>6</v>
      </c>
      <c r="C718" s="36" t="s">
        <v>8704</v>
      </c>
      <c r="D718" s="9" t="s">
        <v>5355</v>
      </c>
      <c r="E718" s="9" t="s">
        <v>8829</v>
      </c>
      <c r="F718" s="9" t="s">
        <v>5350</v>
      </c>
      <c r="G718" s="36" t="s">
        <v>16</v>
      </c>
      <c r="H718" s="36" t="str">
        <f>IFERROR(VLOOKUP(Table2[[#This Row], [Ticket]],Okey!A:B,2,0),"")</f>
        <v>ok</v>
      </c>
      <c r="I718" s="36" t="s">
        <v>8546</v>
      </c>
      <c r="J718" s="36" t="s">
        <v>20</v>
      </c>
      <c r="K718" s="36"/>
      <c r="L718" s="36"/>
      <c r="M718" s="36" t="s">
        <v>8013</v>
      </c>
    </row>
    <row r="719" spans="1:13" hidden="1">
      <c r="A719" s="42">
        <f t="shared" si="11"/>
        <v>718</v>
      </c>
      <c r="B719" s="36" t="s">
        <v>6</v>
      </c>
      <c r="C719" s="36" t="s">
        <v>8704</v>
      </c>
      <c r="D719" s="9" t="s">
        <v>5396</v>
      </c>
      <c r="E719" s="9" t="s">
        <v>8830</v>
      </c>
      <c r="F719" s="9" t="s">
        <v>5395</v>
      </c>
      <c r="G719" s="36" t="s">
        <v>16</v>
      </c>
      <c r="H719" s="36" t="str">
        <f>IFERROR(VLOOKUP(Table2[[#This Row], [Ticket]],Okey!A:B,2,0),"")</f>
        <v>ok</v>
      </c>
      <c r="I719" s="36" t="s">
        <v>8546</v>
      </c>
      <c r="J719" s="36" t="s">
        <v>20</v>
      </c>
      <c r="K719" s="36"/>
      <c r="L719" s="36"/>
      <c r="M719" s="36" t="s">
        <v>8013</v>
      </c>
    </row>
    <row r="720" spans="1:13" hidden="1">
      <c r="A720" s="42">
        <f t="shared" si="11"/>
        <v>719</v>
      </c>
      <c r="B720" s="36" t="s">
        <v>6</v>
      </c>
      <c r="C720" s="36" t="s">
        <v>8704</v>
      </c>
      <c r="D720" s="9" t="s">
        <v>6434</v>
      </c>
      <c r="E720" s="9" t="s">
        <v>8831</v>
      </c>
      <c r="F720" s="9" t="s">
        <v>4861</v>
      </c>
      <c r="G720" s="36" t="s">
        <v>16</v>
      </c>
      <c r="H720" s="36" t="str">
        <f>IFERROR(VLOOKUP(Table2[[#This Row], [Ticket]],Okey!A:B,2,0),"")</f>
        <v>ok</v>
      </c>
      <c r="I720" s="36" t="s">
        <v>8546</v>
      </c>
      <c r="J720" s="36" t="s">
        <v>20</v>
      </c>
      <c r="K720" s="36"/>
      <c r="L720" s="36"/>
      <c r="M720" s="36" t="s">
        <v>8013</v>
      </c>
    </row>
    <row r="721" spans="1:13" hidden="1">
      <c r="A721" s="42">
        <f t="shared" si="11"/>
        <v>720</v>
      </c>
      <c r="B721" s="36" t="s">
        <v>6</v>
      </c>
      <c r="C721" s="36" t="s">
        <v>8704</v>
      </c>
      <c r="D721" s="9" t="s">
        <v>6435</v>
      </c>
      <c r="E721" s="9" t="s">
        <v>8832</v>
      </c>
      <c r="F721" s="9" t="s">
        <v>4861</v>
      </c>
      <c r="G721" s="36" t="s">
        <v>16</v>
      </c>
      <c r="H721" s="36" t="str">
        <f>IFERROR(VLOOKUP(Table2[[#This Row], [Ticket]],Okey!A:B,2,0),"")</f>
        <v>ok</v>
      </c>
      <c r="I721" s="36" t="s">
        <v>8546</v>
      </c>
      <c r="J721" s="36" t="s">
        <v>20</v>
      </c>
      <c r="K721" s="36"/>
      <c r="L721" s="36"/>
      <c r="M721" s="36" t="s">
        <v>8013</v>
      </c>
    </row>
    <row r="722" spans="1:13" hidden="1">
      <c r="A722" s="42">
        <f t="shared" si="11"/>
        <v>721</v>
      </c>
      <c r="B722" s="36" t="s">
        <v>6</v>
      </c>
      <c r="C722" s="36" t="s">
        <v>8704</v>
      </c>
      <c r="D722" s="9" t="s">
        <v>6436</v>
      </c>
      <c r="E722" s="9" t="s">
        <v>8833</v>
      </c>
      <c r="F722" s="9" t="s">
        <v>4861</v>
      </c>
      <c r="G722" s="36" t="s">
        <v>16</v>
      </c>
      <c r="H722" s="36" t="str">
        <f>IFERROR(VLOOKUP(Table2[[#This Row], [Ticket]],Okey!A:B,2,0),"")</f>
        <v>ok</v>
      </c>
      <c r="I722" s="36" t="s">
        <v>8546</v>
      </c>
      <c r="J722" s="36" t="s">
        <v>20</v>
      </c>
      <c r="K722" s="36"/>
      <c r="L722" s="36"/>
      <c r="M722" s="36" t="s">
        <v>8013</v>
      </c>
    </row>
    <row r="723" spans="1:13" hidden="1">
      <c r="A723" s="42">
        <f t="shared" si="11"/>
        <v>722</v>
      </c>
      <c r="B723" s="36" t="s">
        <v>6</v>
      </c>
      <c r="C723" s="36" t="s">
        <v>8704</v>
      </c>
      <c r="D723" s="9" t="s">
        <v>6437</v>
      </c>
      <c r="E723" s="9" t="s">
        <v>8834</v>
      </c>
      <c r="F723" s="9" t="s">
        <v>4861</v>
      </c>
      <c r="G723" s="36" t="s">
        <v>16</v>
      </c>
      <c r="H723" s="36" t="str">
        <f>IFERROR(VLOOKUP(Table2[[#This Row], [Ticket]],Okey!A:B,2,0),"")</f>
        <v>ok</v>
      </c>
      <c r="I723" s="36" t="s">
        <v>8546</v>
      </c>
      <c r="J723" s="36" t="s">
        <v>20</v>
      </c>
      <c r="K723" s="36"/>
      <c r="L723" s="36"/>
      <c r="M723" s="36" t="s">
        <v>8013</v>
      </c>
    </row>
    <row r="724" spans="1:13" hidden="1">
      <c r="A724" s="42">
        <f t="shared" ref="A724:A787" si="12">1+A723</f>
        <v>723</v>
      </c>
      <c r="B724" s="36" t="s">
        <v>6</v>
      </c>
      <c r="C724" s="36" t="s">
        <v>8704</v>
      </c>
      <c r="D724" s="9" t="s">
        <v>4875</v>
      </c>
      <c r="E724" s="9" t="s">
        <v>8835</v>
      </c>
      <c r="F724" s="9" t="s">
        <v>2688</v>
      </c>
      <c r="G724" s="36" t="s">
        <v>16</v>
      </c>
      <c r="H724" s="36" t="str">
        <f>IFERROR(VLOOKUP(Table2[[#This Row], [Ticket]],Okey!A:B,2,0),"")</f>
        <v>ok</v>
      </c>
      <c r="I724" s="36" t="s">
        <v>8546</v>
      </c>
      <c r="J724" s="36" t="s">
        <v>20</v>
      </c>
      <c r="K724" s="36"/>
      <c r="L724" s="36"/>
      <c r="M724" s="36" t="s">
        <v>8013</v>
      </c>
    </row>
    <row r="725" spans="1:13" hidden="1">
      <c r="A725" s="42">
        <f t="shared" si="12"/>
        <v>724</v>
      </c>
      <c r="B725" s="36" t="s">
        <v>6</v>
      </c>
      <c r="C725" s="36" t="s">
        <v>8704</v>
      </c>
      <c r="D725" s="9" t="s">
        <v>4877</v>
      </c>
      <c r="E725" s="9" t="s">
        <v>8836</v>
      </c>
      <c r="F725" s="9" t="s">
        <v>2688</v>
      </c>
      <c r="G725" s="36" t="s">
        <v>16</v>
      </c>
      <c r="H725" s="36" t="str">
        <f>IFERROR(VLOOKUP(Table2[[#This Row], [Ticket]],Okey!A:B,2,0),"")</f>
        <v>ok</v>
      </c>
      <c r="I725" s="36" t="s">
        <v>8546</v>
      </c>
      <c r="J725" s="36" t="s">
        <v>20</v>
      </c>
      <c r="K725" s="36"/>
      <c r="L725" s="36"/>
      <c r="M725" s="36" t="s">
        <v>8013</v>
      </c>
    </row>
    <row r="726" spans="1:13" hidden="1">
      <c r="A726" s="42">
        <f t="shared" si="12"/>
        <v>725</v>
      </c>
      <c r="B726" s="36" t="s">
        <v>6</v>
      </c>
      <c r="C726" s="36" t="s">
        <v>8704</v>
      </c>
      <c r="D726" s="9" t="s">
        <v>4879</v>
      </c>
      <c r="E726" s="9" t="s">
        <v>8837</v>
      </c>
      <c r="F726" s="9" t="s">
        <v>2688</v>
      </c>
      <c r="G726" s="36" t="s">
        <v>16</v>
      </c>
      <c r="H726" s="36" t="str">
        <f>IFERROR(VLOOKUP(Table2[[#This Row], [Ticket]],Okey!A:B,2,0),"")</f>
        <v>ok</v>
      </c>
      <c r="I726" s="36" t="s">
        <v>8546</v>
      </c>
      <c r="J726" s="36" t="s">
        <v>20</v>
      </c>
      <c r="K726" s="36"/>
      <c r="L726" s="36"/>
      <c r="M726" s="36" t="s">
        <v>8013</v>
      </c>
    </row>
    <row r="727" spans="1:13" hidden="1">
      <c r="A727" s="42">
        <f t="shared" si="12"/>
        <v>726</v>
      </c>
      <c r="B727" s="36" t="s">
        <v>6</v>
      </c>
      <c r="C727" s="36" t="s">
        <v>8704</v>
      </c>
      <c r="D727" s="9" t="s">
        <v>4921</v>
      </c>
      <c r="E727" s="9" t="s">
        <v>8838</v>
      </c>
      <c r="F727" s="9" t="s">
        <v>4861</v>
      </c>
      <c r="G727" s="36" t="s">
        <v>16</v>
      </c>
      <c r="H727" s="36" t="str">
        <f>IFERROR(VLOOKUP(Table2[[#This Row], [Ticket]],Okey!A:B,2,0),"")</f>
        <v>ok</v>
      </c>
      <c r="I727" s="36" t="s">
        <v>8546</v>
      </c>
      <c r="J727" s="36" t="s">
        <v>20</v>
      </c>
      <c r="K727" s="36"/>
      <c r="L727" s="36"/>
      <c r="M727" s="36" t="s">
        <v>8013</v>
      </c>
    </row>
    <row r="728" spans="1:13" hidden="1">
      <c r="A728" s="42">
        <f t="shared" si="12"/>
        <v>727</v>
      </c>
      <c r="B728" s="36" t="s">
        <v>6</v>
      </c>
      <c r="C728" s="36" t="s">
        <v>8704</v>
      </c>
      <c r="D728" s="9" t="s">
        <v>4922</v>
      </c>
      <c r="E728" s="9" t="s">
        <v>8839</v>
      </c>
      <c r="F728" s="9" t="s">
        <v>4861</v>
      </c>
      <c r="G728" s="36" t="s">
        <v>16</v>
      </c>
      <c r="H728" s="36" t="str">
        <f>IFERROR(VLOOKUP(Table2[[#This Row], [Ticket]],Okey!A:B,2,0),"")</f>
        <v>ok</v>
      </c>
      <c r="I728" s="36" t="s">
        <v>8546</v>
      </c>
      <c r="J728" s="36" t="s">
        <v>20</v>
      </c>
      <c r="K728" s="36"/>
      <c r="L728" s="36"/>
      <c r="M728" s="36" t="s">
        <v>8013</v>
      </c>
    </row>
    <row r="729" spans="1:13" hidden="1">
      <c r="A729" s="42">
        <f t="shared" si="12"/>
        <v>728</v>
      </c>
      <c r="B729" s="36" t="s">
        <v>6</v>
      </c>
      <c r="C729" s="36" t="s">
        <v>8704</v>
      </c>
      <c r="D729" s="9" t="s">
        <v>4923</v>
      </c>
      <c r="E729" s="9" t="s">
        <v>8840</v>
      </c>
      <c r="F729" s="9" t="s">
        <v>2688</v>
      </c>
      <c r="G729" s="36" t="s">
        <v>16</v>
      </c>
      <c r="H729" s="36" t="str">
        <f>IFERROR(VLOOKUP(Table2[[#This Row], [Ticket]],Okey!A:B,2,0),"")</f>
        <v>ok</v>
      </c>
      <c r="I729" s="36" t="s">
        <v>8546</v>
      </c>
      <c r="J729" s="36" t="s">
        <v>20</v>
      </c>
      <c r="K729" s="36"/>
      <c r="L729" s="36"/>
      <c r="M729" s="36" t="s">
        <v>8013</v>
      </c>
    </row>
    <row r="730" spans="1:13" hidden="1">
      <c r="A730" s="42">
        <f t="shared" si="12"/>
        <v>729</v>
      </c>
      <c r="B730" s="36" t="s">
        <v>6</v>
      </c>
      <c r="C730" s="36" t="s">
        <v>8704</v>
      </c>
      <c r="D730" s="9" t="s">
        <v>4882</v>
      </c>
      <c r="E730" s="9" t="s">
        <v>8841</v>
      </c>
      <c r="F730" s="9" t="s">
        <v>4923</v>
      </c>
      <c r="G730" s="36" t="s">
        <v>16</v>
      </c>
      <c r="H730" s="36" t="str">
        <f>IFERROR(VLOOKUP(Table2[[#This Row], [Ticket]],Okey!A:B,2,0),"")</f>
        <v>ok</v>
      </c>
      <c r="I730" s="36" t="s">
        <v>8546</v>
      </c>
      <c r="J730" s="36" t="s">
        <v>20</v>
      </c>
      <c r="K730" s="36"/>
      <c r="L730" s="36"/>
      <c r="M730" s="36" t="s">
        <v>8013</v>
      </c>
    </row>
    <row r="731" spans="1:13" hidden="1">
      <c r="A731" s="42">
        <f t="shared" si="12"/>
        <v>730</v>
      </c>
      <c r="B731" s="36" t="s">
        <v>6</v>
      </c>
      <c r="C731" s="36" t="s">
        <v>8704</v>
      </c>
      <c r="D731" s="9" t="s">
        <v>4924</v>
      </c>
      <c r="E731" s="9" t="s">
        <v>8842</v>
      </c>
      <c r="F731" s="9" t="s">
        <v>4923</v>
      </c>
      <c r="G731" s="36" t="s">
        <v>16</v>
      </c>
      <c r="H731" s="36" t="str">
        <f>IFERROR(VLOOKUP(Table2[[#This Row], [Ticket]],Okey!A:B,2,0),"")</f>
        <v>ok</v>
      </c>
      <c r="I731" s="36" t="s">
        <v>8546</v>
      </c>
      <c r="J731" s="36" t="s">
        <v>20</v>
      </c>
      <c r="K731" s="36"/>
      <c r="L731" s="36"/>
      <c r="M731" s="36" t="s">
        <v>8013</v>
      </c>
    </row>
    <row r="732" spans="1:13" hidden="1">
      <c r="A732" s="42">
        <f t="shared" si="12"/>
        <v>731</v>
      </c>
      <c r="B732" s="36" t="s">
        <v>6</v>
      </c>
      <c r="C732" s="36" t="s">
        <v>8704</v>
      </c>
      <c r="D732" s="9" t="s">
        <v>4925</v>
      </c>
      <c r="E732" s="9" t="s">
        <v>8843</v>
      </c>
      <c r="F732" s="9" t="s">
        <v>2688</v>
      </c>
      <c r="G732" s="36" t="s">
        <v>16</v>
      </c>
      <c r="H732" s="36" t="str">
        <f>IFERROR(VLOOKUP(Table2[[#This Row], [Ticket]],Okey!A:B,2,0),"")</f>
        <v>ok</v>
      </c>
      <c r="I732" s="36" t="s">
        <v>8546</v>
      </c>
      <c r="J732" s="36" t="s">
        <v>20</v>
      </c>
      <c r="K732" s="36"/>
      <c r="L732" s="36"/>
      <c r="M732" s="36" t="s">
        <v>8013</v>
      </c>
    </row>
    <row r="733" spans="1:13" hidden="1">
      <c r="A733" s="42">
        <f t="shared" si="12"/>
        <v>732</v>
      </c>
      <c r="B733" s="36" t="s">
        <v>6</v>
      </c>
      <c r="C733" s="36" t="s">
        <v>8704</v>
      </c>
      <c r="D733" s="9" t="s">
        <v>2144</v>
      </c>
      <c r="E733" s="9" t="s">
        <v>8844</v>
      </c>
      <c r="F733" s="9" t="s">
        <v>2142</v>
      </c>
      <c r="G733" s="36" t="s">
        <v>16</v>
      </c>
      <c r="H733" s="36" t="str">
        <f>IFERROR(VLOOKUP(Table2[[#This Row], [Ticket]],Okey!A:B,2,0),"")</f>
        <v>ok</v>
      </c>
      <c r="I733" s="36" t="s">
        <v>8546</v>
      </c>
      <c r="J733" s="36" t="s">
        <v>20</v>
      </c>
      <c r="K733" s="36"/>
      <c r="L733" s="36"/>
      <c r="M733" s="36" t="s">
        <v>8013</v>
      </c>
    </row>
    <row r="734" spans="1:13" hidden="1">
      <c r="A734" s="42">
        <f t="shared" si="12"/>
        <v>733</v>
      </c>
      <c r="B734" s="36" t="s">
        <v>6</v>
      </c>
      <c r="C734" s="36" t="s">
        <v>8704</v>
      </c>
      <c r="D734" s="9" t="s">
        <v>3190</v>
      </c>
      <c r="E734" s="9" t="s">
        <v>8845</v>
      </c>
      <c r="F734" s="9" t="s">
        <v>2195</v>
      </c>
      <c r="G734" s="36" t="s">
        <v>16</v>
      </c>
      <c r="H734" s="36" t="str">
        <f>IFERROR(VLOOKUP(Table2[[#This Row], [Ticket]],Okey!A:B,2,0),"")</f>
        <v>ok</v>
      </c>
      <c r="I734" s="36" t="s">
        <v>8546</v>
      </c>
      <c r="J734" s="36" t="s">
        <v>20</v>
      </c>
      <c r="K734" s="36"/>
      <c r="L734" s="36"/>
      <c r="M734" s="36" t="s">
        <v>8013</v>
      </c>
    </row>
    <row r="735" spans="1:13" hidden="1">
      <c r="A735" s="42">
        <f t="shared" si="12"/>
        <v>734</v>
      </c>
      <c r="B735" s="36" t="s">
        <v>6</v>
      </c>
      <c r="C735" s="36" t="s">
        <v>8704</v>
      </c>
      <c r="D735" s="9" t="s">
        <v>2197</v>
      </c>
      <c r="E735" s="9" t="s">
        <v>8846</v>
      </c>
      <c r="F735" s="9" t="s">
        <v>2190</v>
      </c>
      <c r="G735" s="36" t="s">
        <v>16</v>
      </c>
      <c r="H735" s="36" t="str">
        <f>IFERROR(VLOOKUP(Table2[[#This Row], [Ticket]],Okey!A:B,2,0),"")</f>
        <v>ok</v>
      </c>
      <c r="I735" s="36" t="s">
        <v>8546</v>
      </c>
      <c r="J735" s="36" t="s">
        <v>20</v>
      </c>
      <c r="K735" s="36"/>
      <c r="L735" s="36"/>
      <c r="M735" s="36" t="s">
        <v>8013</v>
      </c>
    </row>
    <row r="736" spans="1:13" hidden="1">
      <c r="A736" s="42">
        <f t="shared" si="12"/>
        <v>735</v>
      </c>
      <c r="B736" s="36" t="s">
        <v>6</v>
      </c>
      <c r="C736" s="36" t="s">
        <v>8704</v>
      </c>
      <c r="D736" s="9" t="s">
        <v>2201</v>
      </c>
      <c r="E736" s="9" t="s">
        <v>8847</v>
      </c>
      <c r="F736" s="9" t="s">
        <v>8049</v>
      </c>
      <c r="G736" s="36" t="s">
        <v>16</v>
      </c>
      <c r="H736" s="36" t="str">
        <f>IFERROR(VLOOKUP(Table2[[#This Row], [Ticket]],Okey!A:B,2,0),"")</f>
        <v>ok</v>
      </c>
      <c r="I736" s="36" t="s">
        <v>8546</v>
      </c>
      <c r="J736" s="36" t="s">
        <v>20</v>
      </c>
      <c r="K736" s="36"/>
      <c r="L736" s="36"/>
      <c r="M736" s="36" t="s">
        <v>8013</v>
      </c>
    </row>
    <row r="737" spans="1:13" hidden="1">
      <c r="A737" s="42">
        <f t="shared" si="12"/>
        <v>736</v>
      </c>
      <c r="B737" s="36" t="s">
        <v>6</v>
      </c>
      <c r="C737" s="36" t="s">
        <v>8704</v>
      </c>
      <c r="D737" s="9" t="s">
        <v>4317</v>
      </c>
      <c r="F737" s="9" t="s">
        <v>4321</v>
      </c>
      <c r="G737" s="9" t="s">
        <v>13</v>
      </c>
      <c r="H737" s="36" t="str">
        <f>IFERROR(VLOOKUP(Table2[[#This Row], [Ticket]],Okey!A:B,2,0),"")</f>
        <v>ok</v>
      </c>
      <c r="I737" s="36" t="s">
        <v>8546</v>
      </c>
      <c r="J737" s="36" t="s">
        <v>20</v>
      </c>
      <c r="K737" s="36"/>
      <c r="L737" s="36"/>
      <c r="M737" s="36" t="s">
        <v>8013</v>
      </c>
    </row>
    <row r="738" spans="1:13" hidden="1">
      <c r="A738" s="42">
        <f t="shared" si="12"/>
        <v>737</v>
      </c>
      <c r="B738" s="36" t="s">
        <v>6</v>
      </c>
      <c r="C738" s="36" t="s">
        <v>8704</v>
      </c>
      <c r="D738" s="9" t="s">
        <v>2676</v>
      </c>
      <c r="F738" s="9" t="s">
        <v>8028</v>
      </c>
      <c r="G738" s="36" t="s">
        <v>13</v>
      </c>
      <c r="H738" s="36" t="str">
        <f>IFERROR(VLOOKUP(Table2[[#This Row], [Ticket]],Okey!A:B,2,0),"")</f>
        <v>ok</v>
      </c>
      <c r="I738" s="36" t="s">
        <v>8546</v>
      </c>
      <c r="J738" s="36" t="s">
        <v>20</v>
      </c>
      <c r="K738" s="36"/>
      <c r="L738" s="36"/>
      <c r="M738" s="36" t="s">
        <v>8013</v>
      </c>
    </row>
    <row r="739" spans="1:13" hidden="1">
      <c r="A739" s="42">
        <f t="shared" si="12"/>
        <v>738</v>
      </c>
      <c r="B739" s="36" t="s">
        <v>6</v>
      </c>
      <c r="C739" s="36" t="s">
        <v>8704</v>
      </c>
      <c r="D739" s="9" t="s">
        <v>8848</v>
      </c>
      <c r="F739" s="9" t="s">
        <v>4626</v>
      </c>
      <c r="G739" s="36" t="s">
        <v>13</v>
      </c>
      <c r="H739" s="36" t="str">
        <f>IFERROR(VLOOKUP(Table2[[#This Row], [Ticket]],Okey!A:B,2,0),"")</f>
        <v>ok</v>
      </c>
      <c r="I739" s="36" t="s">
        <v>8546</v>
      </c>
      <c r="J739" s="36" t="s">
        <v>20</v>
      </c>
      <c r="K739" s="36"/>
      <c r="L739" s="36"/>
      <c r="M739" s="36" t="s">
        <v>8013</v>
      </c>
    </row>
    <row r="740" spans="1:13" hidden="1">
      <c r="A740" s="42">
        <f t="shared" si="12"/>
        <v>739</v>
      </c>
      <c r="B740" s="36" t="s">
        <v>6</v>
      </c>
      <c r="C740" s="36" t="s">
        <v>8704</v>
      </c>
      <c r="D740" s="9" t="s">
        <v>4636</v>
      </c>
      <c r="F740" s="9" t="s">
        <v>4626</v>
      </c>
      <c r="G740" s="36" t="s">
        <v>13</v>
      </c>
      <c r="H740" s="36" t="str">
        <f>IFERROR(VLOOKUP(Table2[[#This Row], [Ticket]],Okey!A:B,2,0),"")</f>
        <v>ok</v>
      </c>
      <c r="I740" s="36" t="s">
        <v>8546</v>
      </c>
      <c r="J740" s="36" t="s">
        <v>20</v>
      </c>
      <c r="K740" s="36"/>
      <c r="L740" s="36"/>
      <c r="M740" s="36" t="s">
        <v>8013</v>
      </c>
    </row>
    <row r="741" spans="1:13" hidden="1">
      <c r="A741" s="42">
        <f t="shared" si="12"/>
        <v>740</v>
      </c>
      <c r="B741" s="36" t="s">
        <v>6</v>
      </c>
      <c r="C741" s="36" t="s">
        <v>8704</v>
      </c>
      <c r="D741" s="9" t="s">
        <v>8849</v>
      </c>
      <c r="F741" s="9" t="s">
        <v>4626</v>
      </c>
      <c r="G741" s="36" t="s">
        <v>13</v>
      </c>
      <c r="H741" s="36" t="str">
        <f>IFERROR(VLOOKUP(Table2[[#This Row], [Ticket]],Okey!A:B,2,0),"")</f>
        <v>ok</v>
      </c>
      <c r="I741" s="36" t="s">
        <v>8546</v>
      </c>
      <c r="J741" s="36" t="s">
        <v>20</v>
      </c>
      <c r="K741" s="36"/>
      <c r="L741" s="36"/>
      <c r="M741" s="36" t="s">
        <v>8013</v>
      </c>
    </row>
    <row r="742" spans="1:13" hidden="1">
      <c r="A742" s="42">
        <f t="shared" si="12"/>
        <v>741</v>
      </c>
      <c r="B742" s="36" t="s">
        <v>6</v>
      </c>
      <c r="C742" s="36" t="s">
        <v>8704</v>
      </c>
      <c r="D742" s="9" t="s">
        <v>2100</v>
      </c>
      <c r="F742" s="9" t="s">
        <v>8014</v>
      </c>
      <c r="G742" s="36" t="s">
        <v>13</v>
      </c>
      <c r="H742" s="36" t="str">
        <f>IFERROR(VLOOKUP(Table2[[#This Row], [Ticket]],Okey!A:B,2,0),"")</f>
        <v>ok</v>
      </c>
      <c r="I742" s="36" t="s">
        <v>8546</v>
      </c>
      <c r="J742" s="36" t="s">
        <v>20</v>
      </c>
      <c r="K742" s="36"/>
      <c r="L742" s="36"/>
      <c r="M742" s="36" t="s">
        <v>8013</v>
      </c>
    </row>
    <row r="743" spans="1:13" hidden="1">
      <c r="A743" s="42">
        <f t="shared" si="12"/>
        <v>742</v>
      </c>
      <c r="B743" s="36" t="s">
        <v>6</v>
      </c>
      <c r="C743" s="36" t="s">
        <v>8704</v>
      </c>
      <c r="D743" s="9" t="s">
        <v>8036</v>
      </c>
      <c r="F743" s="9" t="s">
        <v>8035</v>
      </c>
      <c r="G743" s="36" t="s">
        <v>13</v>
      </c>
      <c r="H743" s="36" t="str">
        <f>IFERROR(VLOOKUP(Table2[[#This Row], [Ticket]],Okey!A:B,2,0),"")</f>
        <v>ok</v>
      </c>
      <c r="I743" s="36" t="s">
        <v>8546</v>
      </c>
      <c r="J743" s="36" t="s">
        <v>20</v>
      </c>
      <c r="K743" s="36"/>
      <c r="L743" s="36"/>
      <c r="M743" s="36" t="s">
        <v>8013</v>
      </c>
    </row>
    <row r="744" spans="1:13" hidden="1">
      <c r="A744" s="42">
        <f t="shared" si="12"/>
        <v>743</v>
      </c>
      <c r="B744" s="36" t="s">
        <v>6</v>
      </c>
      <c r="C744" s="36" t="s">
        <v>8704</v>
      </c>
      <c r="D744" s="9" t="s">
        <v>4357</v>
      </c>
      <c r="F744" s="9" t="s">
        <v>4626</v>
      </c>
      <c r="G744" s="36" t="s">
        <v>13</v>
      </c>
      <c r="H744" s="36" t="str">
        <f>IFERROR(VLOOKUP(Table2[[#This Row], [Ticket]],Okey!A:B,2,0),"")</f>
        <v>ok</v>
      </c>
      <c r="I744" s="36" t="s">
        <v>8546</v>
      </c>
      <c r="J744" s="36" t="s">
        <v>20</v>
      </c>
      <c r="K744" s="36"/>
      <c r="L744" s="36"/>
      <c r="M744" s="36" t="s">
        <v>8013</v>
      </c>
    </row>
    <row r="745" spans="1:13" hidden="1">
      <c r="A745" s="42">
        <f t="shared" si="12"/>
        <v>744</v>
      </c>
      <c r="B745" s="36" t="s">
        <v>6</v>
      </c>
      <c r="C745" s="36" t="s">
        <v>8704</v>
      </c>
      <c r="D745" s="9" t="s">
        <v>4731</v>
      </c>
      <c r="F745" s="9" t="s">
        <v>4863</v>
      </c>
      <c r="G745" s="36" t="s">
        <v>13</v>
      </c>
      <c r="H745" s="36" t="str">
        <f>IFERROR(VLOOKUP(Table2[[#This Row], [Ticket]],Okey!A:B,2,0),"")</f>
        <v>ok</v>
      </c>
      <c r="I745" s="36" t="s">
        <v>8546</v>
      </c>
      <c r="J745" s="36" t="s">
        <v>20</v>
      </c>
      <c r="K745" s="36"/>
      <c r="L745" s="36"/>
      <c r="M745" s="36" t="s">
        <v>8013</v>
      </c>
    </row>
    <row r="746" spans="1:13" hidden="1">
      <c r="A746" s="42">
        <f t="shared" si="12"/>
        <v>745</v>
      </c>
      <c r="B746" s="36" t="s">
        <v>6</v>
      </c>
      <c r="C746" s="36" t="s">
        <v>8704</v>
      </c>
      <c r="D746" s="9" t="s">
        <v>2142</v>
      </c>
      <c r="F746" s="9" t="s">
        <v>8771</v>
      </c>
      <c r="G746" s="36" t="s">
        <v>13</v>
      </c>
      <c r="H746" s="36" t="str">
        <f>IFERROR(VLOOKUP(Table2[[#This Row], [Ticket]],Okey!A:B,2,0),"")</f>
        <v>ok</v>
      </c>
      <c r="I746" s="36" t="s">
        <v>8546</v>
      </c>
      <c r="J746" s="36" t="s">
        <v>20</v>
      </c>
      <c r="K746" s="36"/>
      <c r="L746" s="36"/>
      <c r="M746" s="36" t="s">
        <v>8013</v>
      </c>
    </row>
    <row r="747" spans="1:13" hidden="1">
      <c r="A747" s="42">
        <f t="shared" si="12"/>
        <v>746</v>
      </c>
      <c r="B747" s="36" t="s">
        <v>6</v>
      </c>
      <c r="C747" s="36" t="s">
        <v>8704</v>
      </c>
      <c r="D747" s="9" t="s">
        <v>2190</v>
      </c>
      <c r="F747" s="9" t="s">
        <v>8049</v>
      </c>
      <c r="G747" s="36" t="s">
        <v>13</v>
      </c>
      <c r="H747" s="36" t="str">
        <f>IFERROR(VLOOKUP(Table2[[#This Row], [Ticket]],Okey!A:B,2,0),"")</f>
        <v>ok</v>
      </c>
      <c r="I747" s="36" t="s">
        <v>8546</v>
      </c>
      <c r="J747" s="36" t="s">
        <v>20</v>
      </c>
      <c r="K747" s="36"/>
      <c r="L747" s="36"/>
      <c r="M747" s="36" t="s">
        <v>8013</v>
      </c>
    </row>
    <row r="748" spans="1:13" hidden="1">
      <c r="A748" s="42">
        <f t="shared" si="12"/>
        <v>747</v>
      </c>
      <c r="B748" s="36" t="s">
        <v>6</v>
      </c>
      <c r="C748" s="36" t="s">
        <v>8704</v>
      </c>
      <c r="D748" s="9" t="s">
        <v>2195</v>
      </c>
      <c r="F748" s="9" t="s">
        <v>8049</v>
      </c>
      <c r="G748" s="36" t="s">
        <v>13</v>
      </c>
      <c r="H748" s="36" t="str">
        <f>IFERROR(VLOOKUP(Table2[[#This Row], [Ticket]],Okey!A:B,2,0),"")</f>
        <v>ok</v>
      </c>
      <c r="I748" s="36" t="s">
        <v>8546</v>
      </c>
      <c r="J748" s="36" t="s">
        <v>20</v>
      </c>
      <c r="K748" s="36"/>
      <c r="L748" s="36"/>
      <c r="M748" s="36" t="s">
        <v>8013</v>
      </c>
    </row>
    <row r="749" spans="1:13" hidden="1">
      <c r="A749" s="42">
        <f t="shared" si="12"/>
        <v>748</v>
      </c>
      <c r="B749" s="36" t="s">
        <v>6</v>
      </c>
      <c r="C749" s="36" t="s">
        <v>8704</v>
      </c>
      <c r="D749" s="9" t="s">
        <v>2199</v>
      </c>
      <c r="F749" s="9" t="s">
        <v>8049</v>
      </c>
      <c r="G749" s="36" t="s">
        <v>13</v>
      </c>
      <c r="H749" s="36" t="str">
        <f>IFERROR(VLOOKUP(Table2[[#This Row], [Ticket]],Okey!A:B,2,0),"")</f>
        <v>ok</v>
      </c>
      <c r="I749" s="36" t="s">
        <v>8546</v>
      </c>
      <c r="J749" s="36" t="s">
        <v>20</v>
      </c>
      <c r="K749" s="36"/>
      <c r="L749" s="36"/>
      <c r="M749" s="36" t="s">
        <v>8013</v>
      </c>
    </row>
    <row r="750" spans="1:13" hidden="1">
      <c r="A750" s="42">
        <f t="shared" si="12"/>
        <v>749</v>
      </c>
      <c r="B750" s="36" t="s">
        <v>6</v>
      </c>
      <c r="C750" s="36" t="s">
        <v>8704</v>
      </c>
      <c r="D750" s="9" t="s">
        <v>2203</v>
      </c>
      <c r="F750" s="9" t="s">
        <v>8049</v>
      </c>
      <c r="G750" s="36" t="s">
        <v>13</v>
      </c>
      <c r="H750" s="36" t="str">
        <f>IFERROR(VLOOKUP(Table2[[#This Row], [Ticket]],Okey!A:B,2,0),"")</f>
        <v>ok</v>
      </c>
      <c r="I750" s="36" t="s">
        <v>8546</v>
      </c>
      <c r="J750" s="36" t="s">
        <v>20</v>
      </c>
      <c r="K750" s="36"/>
      <c r="L750" s="36"/>
      <c r="M750" s="36" t="s">
        <v>8013</v>
      </c>
    </row>
    <row r="751" spans="1:13" hidden="1">
      <c r="A751" s="42">
        <f t="shared" si="12"/>
        <v>750</v>
      </c>
      <c r="B751" s="36" t="s">
        <v>6</v>
      </c>
      <c r="C751" s="36" t="s">
        <v>8704</v>
      </c>
      <c r="D751" s="9" t="s">
        <v>2303</v>
      </c>
      <c r="F751" s="9" t="s">
        <v>2234</v>
      </c>
      <c r="G751" s="36" t="s">
        <v>13</v>
      </c>
      <c r="H751" s="36" t="str">
        <f>IFERROR(VLOOKUP(Table2[[#This Row], [Ticket]],Okey!A:B,2,0),"")</f>
        <v>ok</v>
      </c>
      <c r="I751" s="36" t="s">
        <v>8546</v>
      </c>
      <c r="J751" s="36" t="s">
        <v>20</v>
      </c>
      <c r="K751" s="36"/>
      <c r="L751" s="36"/>
      <c r="M751" s="36" t="s">
        <v>8013</v>
      </c>
    </row>
    <row r="752" spans="1:13" hidden="1">
      <c r="A752" s="42">
        <f t="shared" si="12"/>
        <v>751</v>
      </c>
      <c r="B752" s="36" t="s">
        <v>6</v>
      </c>
      <c r="C752" s="36" t="s">
        <v>8704</v>
      </c>
      <c r="D752" s="9" t="s">
        <v>2306</v>
      </c>
      <c r="F752" s="9" t="s">
        <v>2234</v>
      </c>
      <c r="G752" s="36" t="s">
        <v>13</v>
      </c>
      <c r="H752" s="36" t="str">
        <f>IFERROR(VLOOKUP(Table2[[#This Row], [Ticket]],Okey!A:B,2,0),"")</f>
        <v>ok</v>
      </c>
      <c r="I752" s="36" t="s">
        <v>8546</v>
      </c>
      <c r="J752" s="36" t="s">
        <v>20</v>
      </c>
      <c r="K752" s="36"/>
      <c r="L752" s="36"/>
      <c r="M752" s="36" t="s">
        <v>8013</v>
      </c>
    </row>
    <row r="753" spans="1:13" hidden="1">
      <c r="A753" s="42">
        <f t="shared" si="12"/>
        <v>752</v>
      </c>
      <c r="B753" s="36" t="s">
        <v>6</v>
      </c>
      <c r="C753" s="36" t="s">
        <v>8704</v>
      </c>
      <c r="D753" s="9" t="s">
        <v>2308</v>
      </c>
      <c r="F753" s="9" t="s">
        <v>2234</v>
      </c>
      <c r="G753" s="36" t="s">
        <v>13</v>
      </c>
      <c r="H753" s="36" t="str">
        <f>IFERROR(VLOOKUP(Table2[[#This Row], [Ticket]],Okey!A:B,2,0),"")</f>
        <v>ok</v>
      </c>
      <c r="I753" s="36" t="s">
        <v>8546</v>
      </c>
      <c r="J753" s="36" t="s">
        <v>20</v>
      </c>
      <c r="K753" s="36"/>
      <c r="L753" s="36"/>
      <c r="M753" s="36" t="s">
        <v>8013</v>
      </c>
    </row>
    <row r="754" spans="1:13" hidden="1">
      <c r="A754" s="42">
        <f t="shared" si="12"/>
        <v>753</v>
      </c>
      <c r="B754" s="36" t="s">
        <v>6</v>
      </c>
      <c r="C754" s="36" t="s">
        <v>8704</v>
      </c>
      <c r="D754" s="9" t="s">
        <v>8850</v>
      </c>
      <c r="F754" s="9" t="s">
        <v>2482</v>
      </c>
      <c r="G754" s="36" t="s">
        <v>13</v>
      </c>
      <c r="H754" s="36" t="str">
        <f>IFERROR(VLOOKUP(Table2[[#This Row], [Ticket]],Okey!A:B,2,0),"")</f>
        <v>ok</v>
      </c>
      <c r="I754" s="36" t="s">
        <v>8546</v>
      </c>
      <c r="J754" s="36" t="s">
        <v>20</v>
      </c>
      <c r="K754" s="36"/>
      <c r="L754" s="36"/>
      <c r="M754" s="36" t="s">
        <v>8013</v>
      </c>
    </row>
    <row r="755" spans="1:13" hidden="1">
      <c r="A755" s="42">
        <f t="shared" si="12"/>
        <v>754</v>
      </c>
      <c r="B755" s="36" t="s">
        <v>6</v>
      </c>
      <c r="C755" s="36" t="s">
        <v>8704</v>
      </c>
      <c r="D755" s="9" t="s">
        <v>8851</v>
      </c>
      <c r="F755" s="9" t="s">
        <v>2509</v>
      </c>
      <c r="G755" s="36" t="s">
        <v>13</v>
      </c>
      <c r="H755" s="36" t="str">
        <f>IFERROR(VLOOKUP(Table2[[#This Row], [Ticket]],Okey!A:B,2,0),"")</f>
        <v>ok</v>
      </c>
      <c r="I755" s="36" t="s">
        <v>8546</v>
      </c>
      <c r="J755" s="36" t="s">
        <v>20</v>
      </c>
      <c r="K755" s="36"/>
      <c r="L755" s="36"/>
      <c r="M755" s="36" t="s">
        <v>8013</v>
      </c>
    </row>
    <row r="756" spans="1:13" hidden="1">
      <c r="A756" s="42">
        <f t="shared" si="12"/>
        <v>755</v>
      </c>
      <c r="B756" s="36" t="s">
        <v>6</v>
      </c>
      <c r="C756" s="36" t="s">
        <v>8704</v>
      </c>
      <c r="D756" s="9" t="s">
        <v>8852</v>
      </c>
      <c r="F756" s="9" t="s">
        <v>2454</v>
      </c>
      <c r="G756" s="36" t="s">
        <v>13</v>
      </c>
      <c r="H756" s="36" t="str">
        <f>IFERROR(VLOOKUP(Table2[[#This Row], [Ticket]],Okey!A:B,2,0),"")</f>
        <v>ok</v>
      </c>
      <c r="I756" s="36" t="s">
        <v>8546</v>
      </c>
      <c r="J756" s="36" t="s">
        <v>20</v>
      </c>
      <c r="K756" s="36"/>
      <c r="L756" s="36"/>
      <c r="M756" s="36" t="s">
        <v>8013</v>
      </c>
    </row>
    <row r="757" spans="1:13" hidden="1">
      <c r="A757" s="42">
        <f t="shared" si="12"/>
        <v>756</v>
      </c>
      <c r="B757" s="36" t="s">
        <v>6</v>
      </c>
      <c r="C757" s="36" t="s">
        <v>8704</v>
      </c>
      <c r="D757" s="9" t="s">
        <v>2446</v>
      </c>
      <c r="F757" s="9" t="s">
        <v>8044</v>
      </c>
      <c r="G757" s="36" t="s">
        <v>13</v>
      </c>
      <c r="H757" s="36" t="str">
        <f>IFERROR(VLOOKUP(Table2[[#This Row], [Ticket]],Okey!A:B,2,0),"")</f>
        <v>ok</v>
      </c>
      <c r="I757" s="36" t="s">
        <v>8546</v>
      </c>
      <c r="J757" s="36" t="s">
        <v>20</v>
      </c>
      <c r="K757" s="36"/>
      <c r="L757" s="36"/>
      <c r="M757" s="36" t="s">
        <v>8013</v>
      </c>
    </row>
    <row r="758" spans="1:13" hidden="1">
      <c r="A758" s="42">
        <f t="shared" si="12"/>
        <v>757</v>
      </c>
      <c r="B758" s="36" t="s">
        <v>6</v>
      </c>
      <c r="C758" s="36" t="s">
        <v>8704</v>
      </c>
      <c r="D758" s="9" t="s">
        <v>2456</v>
      </c>
      <c r="F758" s="9" t="s">
        <v>8044</v>
      </c>
      <c r="G758" s="36" t="s">
        <v>13</v>
      </c>
      <c r="H758" s="36" t="str">
        <f>IFERROR(VLOOKUP(Table2[[#This Row], [Ticket]],Okey!A:B,2,0),"")</f>
        <v>ok</v>
      </c>
      <c r="I758" s="36" t="s">
        <v>8546</v>
      </c>
      <c r="J758" s="36" t="s">
        <v>20</v>
      </c>
      <c r="K758" s="36"/>
      <c r="L758" s="36"/>
      <c r="M758" s="36" t="s">
        <v>8013</v>
      </c>
    </row>
    <row r="759" spans="1:13" hidden="1">
      <c r="A759" s="42">
        <f t="shared" si="12"/>
        <v>758</v>
      </c>
      <c r="B759" s="36" t="s">
        <v>6</v>
      </c>
      <c r="C759" s="36" t="s">
        <v>8704</v>
      </c>
      <c r="D759" s="9" t="s">
        <v>2501</v>
      </c>
      <c r="F759" s="9" t="s">
        <v>8044</v>
      </c>
      <c r="G759" s="36" t="s">
        <v>13</v>
      </c>
      <c r="H759" s="36" t="str">
        <f>IFERROR(VLOOKUP(Table2[[#This Row], [Ticket]],Okey!A:B,2,0),"")</f>
        <v>ok</v>
      </c>
      <c r="I759" s="36" t="s">
        <v>8546</v>
      </c>
      <c r="J759" s="36" t="s">
        <v>20</v>
      </c>
      <c r="K759" s="36"/>
      <c r="L759" s="36"/>
      <c r="M759" s="36" t="s">
        <v>8013</v>
      </c>
    </row>
    <row r="760" spans="1:13" hidden="1">
      <c r="A760" s="42">
        <f t="shared" si="12"/>
        <v>759</v>
      </c>
      <c r="B760" s="36" t="s">
        <v>6</v>
      </c>
      <c r="C760" s="36" t="s">
        <v>8704</v>
      </c>
      <c r="D760" s="9" t="s">
        <v>2474</v>
      </c>
      <c r="F760" s="9" t="s">
        <v>8044</v>
      </c>
      <c r="G760" s="36" t="s">
        <v>13</v>
      </c>
      <c r="H760" s="36" t="str">
        <f>IFERROR(VLOOKUP(Table2[[#This Row], [Ticket]],Okey!A:B,2,0),"")</f>
        <v>ok</v>
      </c>
      <c r="I760" s="36" t="s">
        <v>8546</v>
      </c>
      <c r="J760" s="36" t="s">
        <v>20</v>
      </c>
      <c r="K760" s="36"/>
      <c r="L760" s="36"/>
      <c r="M760" s="36" t="s">
        <v>8013</v>
      </c>
    </row>
    <row r="761" spans="1:13" hidden="1">
      <c r="A761" s="42">
        <f t="shared" si="12"/>
        <v>760</v>
      </c>
      <c r="B761" s="36" t="s">
        <v>6</v>
      </c>
      <c r="C761" s="36" t="s">
        <v>8704</v>
      </c>
      <c r="D761" s="9" t="s">
        <v>2484</v>
      </c>
      <c r="F761" s="9" t="s">
        <v>8044</v>
      </c>
      <c r="G761" s="36" t="s">
        <v>13</v>
      </c>
      <c r="H761" s="36" t="str">
        <f>IFERROR(VLOOKUP(Table2[[#This Row], [Ticket]],Okey!A:B,2,0),"")</f>
        <v>ok</v>
      </c>
      <c r="I761" s="36" t="s">
        <v>8546</v>
      </c>
      <c r="J761" s="36" t="s">
        <v>20</v>
      </c>
      <c r="K761" s="36"/>
      <c r="L761" s="36"/>
      <c r="M761" s="36" t="s">
        <v>8013</v>
      </c>
    </row>
    <row r="762" spans="1:13" hidden="1">
      <c r="A762" s="42">
        <f t="shared" si="12"/>
        <v>761</v>
      </c>
      <c r="B762" s="36" t="s">
        <v>6</v>
      </c>
      <c r="C762" s="36" t="s">
        <v>8704</v>
      </c>
      <c r="D762" s="9" t="s">
        <v>2168</v>
      </c>
      <c r="F762" s="36" t="s">
        <v>275</v>
      </c>
      <c r="G762" s="9" t="s">
        <v>8544</v>
      </c>
      <c r="H762" s="36" t="str">
        <f>IFERROR(VLOOKUP(Table2[[#This Row], [Ticket]],Okey!A:B,2,0),"")</f>
        <v>ok</v>
      </c>
      <c r="I762" s="36" t="s">
        <v>8546</v>
      </c>
      <c r="J762" s="36" t="s">
        <v>20</v>
      </c>
      <c r="L762" s="36"/>
      <c r="M762" s="36" t="s">
        <v>8013</v>
      </c>
    </row>
    <row r="763" spans="1:13" hidden="1">
      <c r="A763" s="42">
        <f t="shared" si="12"/>
        <v>762</v>
      </c>
      <c r="B763" s="36" t="s">
        <v>6</v>
      </c>
      <c r="C763" s="36" t="s">
        <v>8704</v>
      </c>
      <c r="D763" s="9" t="s">
        <v>2018</v>
      </c>
      <c r="F763" s="36" t="s">
        <v>275</v>
      </c>
      <c r="G763" s="36" t="s">
        <v>8544</v>
      </c>
      <c r="H763" s="36" t="str">
        <f>IFERROR(VLOOKUP(Table2[[#This Row], [Ticket]],Okey!A:B,2,0),"")</f>
        <v>ok</v>
      </c>
      <c r="I763" s="36" t="s">
        <v>8546</v>
      </c>
      <c r="J763" s="36" t="s">
        <v>20</v>
      </c>
      <c r="K763" s="36"/>
      <c r="L763" s="36"/>
      <c r="M763" s="36" t="s">
        <v>8013</v>
      </c>
    </row>
    <row r="764" spans="1:13" hidden="1">
      <c r="A764" s="42">
        <f t="shared" si="12"/>
        <v>763</v>
      </c>
      <c r="B764" s="36" t="s">
        <v>6</v>
      </c>
      <c r="C764" s="36" t="s">
        <v>8704</v>
      </c>
      <c r="D764" s="9" t="s">
        <v>2766</v>
      </c>
      <c r="F764" s="36" t="s">
        <v>275</v>
      </c>
      <c r="G764" s="36" t="s">
        <v>8544</v>
      </c>
      <c r="H764" s="36" t="str">
        <f>IFERROR(VLOOKUP(Table2[[#This Row], [Ticket]],Okey!A:B,2,0),"")</f>
        <v>ok</v>
      </c>
      <c r="I764" s="36" t="s">
        <v>8546</v>
      </c>
      <c r="J764" s="36" t="s">
        <v>20</v>
      </c>
      <c r="K764" s="36"/>
      <c r="L764" s="36"/>
      <c r="M764" s="36" t="s">
        <v>8013</v>
      </c>
    </row>
    <row r="765" spans="1:13" hidden="1">
      <c r="A765" s="42">
        <f t="shared" si="12"/>
        <v>764</v>
      </c>
      <c r="B765" s="36" t="s">
        <v>6</v>
      </c>
      <c r="C765" s="36" t="s">
        <v>8704</v>
      </c>
      <c r="D765" s="9" t="s">
        <v>2768</v>
      </c>
      <c r="F765" s="36" t="s">
        <v>275</v>
      </c>
      <c r="G765" s="36" t="s">
        <v>8544</v>
      </c>
      <c r="H765" s="36" t="str">
        <f>IFERROR(VLOOKUP(Table2[[#This Row], [Ticket]],Okey!A:B,2,0),"")</f>
        <v>ok</v>
      </c>
      <c r="I765" s="36" t="s">
        <v>8546</v>
      </c>
      <c r="J765" s="36" t="s">
        <v>20</v>
      </c>
      <c r="K765" s="36"/>
      <c r="L765" s="36"/>
      <c r="M765" s="36" t="s">
        <v>8013</v>
      </c>
    </row>
    <row r="766" spans="1:13" hidden="1">
      <c r="A766" s="42">
        <f t="shared" si="12"/>
        <v>765</v>
      </c>
      <c r="B766" s="36" t="s">
        <v>6</v>
      </c>
      <c r="C766" s="36" t="s">
        <v>8704</v>
      </c>
      <c r="D766" s="9" t="s">
        <v>2770</v>
      </c>
      <c r="F766" s="36" t="s">
        <v>275</v>
      </c>
      <c r="G766" s="36" t="s">
        <v>8544</v>
      </c>
      <c r="H766" s="36" t="str">
        <f>IFERROR(VLOOKUP(Table2[[#This Row], [Ticket]],Okey!A:B,2,0),"")</f>
        <v>ok</v>
      </c>
      <c r="I766" s="36" t="s">
        <v>8546</v>
      </c>
      <c r="J766" s="36" t="s">
        <v>20</v>
      </c>
      <c r="K766" s="36"/>
      <c r="L766" s="36"/>
      <c r="M766" s="36" t="s">
        <v>8013</v>
      </c>
    </row>
    <row r="767" spans="1:13" hidden="1">
      <c r="A767" s="42">
        <f t="shared" si="12"/>
        <v>766</v>
      </c>
      <c r="B767" s="36" t="s">
        <v>6</v>
      </c>
      <c r="C767" s="36" t="s">
        <v>8704</v>
      </c>
      <c r="D767" s="9" t="s">
        <v>2772</v>
      </c>
      <c r="F767" s="36" t="s">
        <v>275</v>
      </c>
      <c r="G767" s="36" t="s">
        <v>8544</v>
      </c>
      <c r="H767" s="36" t="str">
        <f>IFERROR(VLOOKUP(Table2[[#This Row], [Ticket]],Okey!A:B,2,0),"")</f>
        <v>ok</v>
      </c>
      <c r="I767" s="36" t="s">
        <v>8546</v>
      </c>
      <c r="J767" s="36" t="s">
        <v>20</v>
      </c>
      <c r="K767" s="36"/>
      <c r="L767" s="36"/>
      <c r="M767" s="36" t="s">
        <v>8013</v>
      </c>
    </row>
    <row r="768" spans="1:13" hidden="1">
      <c r="A768" s="42">
        <f t="shared" si="12"/>
        <v>767</v>
      </c>
      <c r="B768" s="36" t="s">
        <v>6</v>
      </c>
      <c r="C768" s="36" t="s">
        <v>8704</v>
      </c>
      <c r="D768" s="9" t="s">
        <v>2774</v>
      </c>
      <c r="F768" s="36" t="s">
        <v>275</v>
      </c>
      <c r="G768" s="36" t="s">
        <v>8544</v>
      </c>
      <c r="H768" s="36" t="str">
        <f>IFERROR(VLOOKUP(Table2[[#This Row], [Ticket]],Okey!A:B,2,0),"")</f>
        <v>ok</v>
      </c>
      <c r="I768" s="36" t="s">
        <v>8546</v>
      </c>
      <c r="J768" s="36" t="s">
        <v>20</v>
      </c>
      <c r="K768" s="36"/>
      <c r="L768" s="36"/>
      <c r="M768" s="36" t="s">
        <v>8013</v>
      </c>
    </row>
    <row r="769" spans="1:13" hidden="1">
      <c r="A769" s="42">
        <f t="shared" si="12"/>
        <v>768</v>
      </c>
      <c r="B769" s="36" t="s">
        <v>6</v>
      </c>
      <c r="C769" s="36" t="s">
        <v>8704</v>
      </c>
      <c r="D769" s="9" t="s">
        <v>2776</v>
      </c>
      <c r="F769" s="36" t="s">
        <v>275</v>
      </c>
      <c r="G769" s="36" t="s">
        <v>8544</v>
      </c>
      <c r="H769" s="36" t="str">
        <f>IFERROR(VLOOKUP(Table2[[#This Row], [Ticket]],Okey!A:B,2,0),"")</f>
        <v>ok</v>
      </c>
      <c r="I769" s="36" t="s">
        <v>8546</v>
      </c>
      <c r="J769" s="36" t="s">
        <v>20</v>
      </c>
      <c r="K769" s="36"/>
      <c r="L769" s="36"/>
      <c r="M769" s="36" t="s">
        <v>8013</v>
      </c>
    </row>
    <row r="770" spans="1:13" hidden="1">
      <c r="A770" s="42">
        <f t="shared" si="12"/>
        <v>769</v>
      </c>
      <c r="B770" s="36" t="s">
        <v>6</v>
      </c>
      <c r="C770" s="36" t="s">
        <v>8704</v>
      </c>
      <c r="D770" s="9" t="s">
        <v>2778</v>
      </c>
      <c r="F770" s="36" t="s">
        <v>275</v>
      </c>
      <c r="G770" s="36" t="s">
        <v>8544</v>
      </c>
      <c r="H770" s="36" t="str">
        <f>IFERROR(VLOOKUP(Table2[[#This Row], [Ticket]],Okey!A:B,2,0),"")</f>
        <v>ok</v>
      </c>
      <c r="I770" s="36" t="s">
        <v>8546</v>
      </c>
      <c r="J770" s="36" t="s">
        <v>20</v>
      </c>
      <c r="K770" s="36"/>
      <c r="L770" s="36"/>
      <c r="M770" s="36" t="s">
        <v>8013</v>
      </c>
    </row>
    <row r="771" spans="1:13" hidden="1">
      <c r="A771" s="42">
        <f t="shared" si="12"/>
        <v>770</v>
      </c>
      <c r="B771" s="36" t="s">
        <v>6</v>
      </c>
      <c r="C771" s="36" t="s">
        <v>8704</v>
      </c>
      <c r="D771" s="9" t="s">
        <v>2780</v>
      </c>
      <c r="F771" s="36" t="s">
        <v>275</v>
      </c>
      <c r="G771" s="36" t="s">
        <v>8544</v>
      </c>
      <c r="H771" s="36" t="str">
        <f>IFERROR(VLOOKUP(Table2[[#This Row], [Ticket]],Okey!A:B,2,0),"")</f>
        <v>ok</v>
      </c>
      <c r="I771" s="36" t="s">
        <v>8546</v>
      </c>
      <c r="J771" s="36" t="s">
        <v>20</v>
      </c>
      <c r="K771" s="36"/>
      <c r="L771" s="36"/>
      <c r="M771" s="36" t="s">
        <v>8013</v>
      </c>
    </row>
    <row r="772" spans="1:13" hidden="1">
      <c r="A772" s="42">
        <f t="shared" si="12"/>
        <v>771</v>
      </c>
      <c r="B772" s="36" t="s">
        <v>6</v>
      </c>
      <c r="C772" s="36" t="s">
        <v>8704</v>
      </c>
      <c r="D772" s="9" t="s">
        <v>2782</v>
      </c>
      <c r="F772" s="36" t="s">
        <v>275</v>
      </c>
      <c r="G772" s="36" t="s">
        <v>8544</v>
      </c>
      <c r="H772" s="36" t="str">
        <f>IFERROR(VLOOKUP(Table2[[#This Row], [Ticket]],Okey!A:B,2,0),"")</f>
        <v>ok</v>
      </c>
      <c r="I772" s="36" t="s">
        <v>8546</v>
      </c>
      <c r="J772" s="36" t="s">
        <v>20</v>
      </c>
      <c r="K772" s="36"/>
      <c r="L772" s="36"/>
      <c r="M772" s="36" t="s">
        <v>8013</v>
      </c>
    </row>
    <row r="773" spans="1:13" hidden="1">
      <c r="A773" s="42">
        <f t="shared" si="12"/>
        <v>772</v>
      </c>
      <c r="B773" s="36" t="s">
        <v>6</v>
      </c>
      <c r="C773" s="36" t="s">
        <v>8704</v>
      </c>
      <c r="D773" s="9" t="s">
        <v>2784</v>
      </c>
      <c r="F773" s="36" t="s">
        <v>275</v>
      </c>
      <c r="G773" s="36" t="s">
        <v>8544</v>
      </c>
      <c r="H773" s="36" t="str">
        <f>IFERROR(VLOOKUP(Table2[[#This Row], [Ticket]],Okey!A:B,2,0),"")</f>
        <v>ok</v>
      </c>
      <c r="I773" s="36" t="s">
        <v>8546</v>
      </c>
      <c r="J773" s="36" t="s">
        <v>20</v>
      </c>
      <c r="K773" s="36"/>
      <c r="L773" s="36"/>
      <c r="M773" s="36" t="s">
        <v>8013</v>
      </c>
    </row>
    <row r="774" spans="1:13" hidden="1">
      <c r="A774" s="42">
        <f t="shared" si="12"/>
        <v>773</v>
      </c>
      <c r="B774" s="36" t="s">
        <v>6</v>
      </c>
      <c r="C774" s="36" t="s">
        <v>8704</v>
      </c>
      <c r="D774" s="9" t="s">
        <v>4335</v>
      </c>
      <c r="F774" s="36" t="s">
        <v>275</v>
      </c>
      <c r="G774" s="36" t="s">
        <v>8544</v>
      </c>
      <c r="H774" s="36" t="str">
        <f>IFERROR(VLOOKUP(Table2[[#This Row], [Ticket]],Okey!A:B,2,0),"")</f>
        <v>ok</v>
      </c>
      <c r="I774" s="36" t="s">
        <v>8546</v>
      </c>
      <c r="J774" s="36" t="s">
        <v>20</v>
      </c>
      <c r="K774" s="36"/>
      <c r="L774" s="36"/>
      <c r="M774" s="36" t="s">
        <v>8013</v>
      </c>
    </row>
    <row r="775" spans="1:13" hidden="1">
      <c r="A775" s="42">
        <f t="shared" si="12"/>
        <v>774</v>
      </c>
      <c r="B775" s="36" t="s">
        <v>6</v>
      </c>
      <c r="C775" s="36" t="s">
        <v>8704</v>
      </c>
      <c r="D775" s="9" t="s">
        <v>2998</v>
      </c>
      <c r="F775" s="36" t="s">
        <v>275</v>
      </c>
      <c r="G775" s="36" t="s">
        <v>8544</v>
      </c>
      <c r="H775" s="36" t="str">
        <f>IFERROR(VLOOKUP(Table2[[#This Row], [Ticket]],Okey!A:B,2,0),"")</f>
        <v>ok</v>
      </c>
      <c r="I775" s="36" t="s">
        <v>8546</v>
      </c>
      <c r="J775" s="36" t="s">
        <v>20</v>
      </c>
      <c r="K775" s="36"/>
      <c r="L775" s="36"/>
      <c r="M775" s="36" t="s">
        <v>8013</v>
      </c>
    </row>
    <row r="776" spans="1:13" hidden="1">
      <c r="A776" s="42">
        <f t="shared" si="12"/>
        <v>775</v>
      </c>
      <c r="B776" s="36" t="s">
        <v>6</v>
      </c>
      <c r="C776" s="36" t="s">
        <v>8704</v>
      </c>
      <c r="D776" s="9" t="s">
        <v>3000</v>
      </c>
      <c r="F776" s="36" t="s">
        <v>275</v>
      </c>
      <c r="G776" s="36" t="s">
        <v>8544</v>
      </c>
      <c r="H776" s="36" t="str">
        <f>IFERROR(VLOOKUP(Table2[[#This Row], [Ticket]],Okey!A:B,2,0),"")</f>
        <v>ok</v>
      </c>
      <c r="I776" s="36" t="s">
        <v>8546</v>
      </c>
      <c r="J776" s="36" t="s">
        <v>20</v>
      </c>
      <c r="K776" s="36"/>
      <c r="L776" s="36"/>
      <c r="M776" s="36" t="s">
        <v>8013</v>
      </c>
    </row>
    <row r="777" spans="1:13" hidden="1">
      <c r="A777" s="42">
        <f t="shared" si="12"/>
        <v>776</v>
      </c>
      <c r="B777" s="36" t="s">
        <v>6</v>
      </c>
      <c r="C777" s="36" t="s">
        <v>8704</v>
      </c>
      <c r="D777" s="9" t="s">
        <v>3002</v>
      </c>
      <c r="F777" s="36" t="s">
        <v>275</v>
      </c>
      <c r="G777" s="36" t="s">
        <v>8544</v>
      </c>
      <c r="H777" s="36" t="str">
        <f>IFERROR(VLOOKUP(Table2[[#This Row], [Ticket]],Okey!A:B,2,0),"")</f>
        <v>ok</v>
      </c>
      <c r="I777" s="36" t="s">
        <v>8546</v>
      </c>
      <c r="J777" s="36" t="s">
        <v>20</v>
      </c>
      <c r="K777" s="36"/>
      <c r="L777" s="36"/>
      <c r="M777" s="36" t="s">
        <v>8013</v>
      </c>
    </row>
    <row r="778" spans="1:13" hidden="1">
      <c r="A778" s="42">
        <f t="shared" si="12"/>
        <v>777</v>
      </c>
      <c r="B778" s="36" t="s">
        <v>6</v>
      </c>
      <c r="C778" s="36" t="s">
        <v>8704</v>
      </c>
      <c r="D778" s="9" t="s">
        <v>3004</v>
      </c>
      <c r="F778" s="36" t="s">
        <v>275</v>
      </c>
      <c r="G778" s="36" t="s">
        <v>8544</v>
      </c>
      <c r="H778" s="36" t="str">
        <f>IFERROR(VLOOKUP(Table2[[#This Row], [Ticket]],Okey!A:B,2,0),"")</f>
        <v>ok</v>
      </c>
      <c r="I778" s="36" t="s">
        <v>8546</v>
      </c>
      <c r="J778" s="36" t="s">
        <v>20</v>
      </c>
      <c r="K778" s="36"/>
      <c r="L778" s="36"/>
      <c r="M778" s="36" t="s">
        <v>8013</v>
      </c>
    </row>
    <row r="779" spans="1:13" hidden="1">
      <c r="A779" s="42">
        <f t="shared" si="12"/>
        <v>778</v>
      </c>
      <c r="B779" s="36" t="s">
        <v>6</v>
      </c>
      <c r="C779" s="36" t="s">
        <v>8704</v>
      </c>
      <c r="D779" s="9" t="s">
        <v>3006</v>
      </c>
      <c r="F779" s="36" t="s">
        <v>275</v>
      </c>
      <c r="G779" s="36" t="s">
        <v>8544</v>
      </c>
      <c r="H779" s="36" t="str">
        <f>IFERROR(VLOOKUP(Table2[[#This Row], [Ticket]],Okey!A:B,2,0),"")</f>
        <v>ok</v>
      </c>
      <c r="I779" s="36" t="s">
        <v>8546</v>
      </c>
      <c r="J779" s="36" t="s">
        <v>20</v>
      </c>
      <c r="K779" s="36"/>
      <c r="L779" s="36"/>
      <c r="M779" s="36" t="s">
        <v>8013</v>
      </c>
    </row>
    <row r="780" spans="1:13" hidden="1">
      <c r="A780" s="42">
        <f t="shared" si="12"/>
        <v>779</v>
      </c>
      <c r="B780" s="36" t="s">
        <v>6</v>
      </c>
      <c r="C780" s="36" t="s">
        <v>8704</v>
      </c>
      <c r="D780" s="9" t="s">
        <v>3008</v>
      </c>
      <c r="F780" s="36" t="s">
        <v>275</v>
      </c>
      <c r="G780" s="36" t="s">
        <v>8544</v>
      </c>
      <c r="H780" s="36" t="str">
        <f>IFERROR(VLOOKUP(Table2[[#This Row], [Ticket]],Okey!A:B,2,0),"")</f>
        <v>ok</v>
      </c>
      <c r="I780" s="36" t="s">
        <v>8546</v>
      </c>
      <c r="J780" s="36" t="s">
        <v>20</v>
      </c>
      <c r="K780" s="36"/>
      <c r="L780" s="36"/>
      <c r="M780" s="36" t="s">
        <v>8013</v>
      </c>
    </row>
    <row r="781" spans="1:13" hidden="1">
      <c r="A781" s="42">
        <f t="shared" si="12"/>
        <v>780</v>
      </c>
      <c r="B781" s="36" t="s">
        <v>6</v>
      </c>
      <c r="C781" s="36" t="s">
        <v>8704</v>
      </c>
      <c r="D781" s="9" t="s">
        <v>3010</v>
      </c>
      <c r="F781" s="36" t="s">
        <v>275</v>
      </c>
      <c r="G781" s="36" t="s">
        <v>8544</v>
      </c>
      <c r="H781" s="36" t="str">
        <f>IFERROR(VLOOKUP(Table2[[#This Row], [Ticket]],Okey!A:B,2,0),"")</f>
        <v>ok</v>
      </c>
      <c r="I781" s="36" t="s">
        <v>8546</v>
      </c>
      <c r="J781" s="36" t="s">
        <v>20</v>
      </c>
      <c r="K781" s="36"/>
      <c r="L781" s="36"/>
      <c r="M781" s="36" t="s">
        <v>8013</v>
      </c>
    </row>
    <row r="782" spans="1:13" hidden="1">
      <c r="A782" s="42">
        <f t="shared" si="12"/>
        <v>781</v>
      </c>
      <c r="B782" s="36" t="s">
        <v>6</v>
      </c>
      <c r="C782" s="36" t="s">
        <v>8704</v>
      </c>
      <c r="D782" s="9" t="s">
        <v>3012</v>
      </c>
      <c r="F782" s="36" t="s">
        <v>275</v>
      </c>
      <c r="G782" s="36" t="s">
        <v>8544</v>
      </c>
      <c r="H782" s="36" t="str">
        <f>IFERROR(VLOOKUP(Table2[[#This Row], [Ticket]],Okey!A:B,2,0),"")</f>
        <v>ok</v>
      </c>
      <c r="I782" s="36" t="s">
        <v>8546</v>
      </c>
      <c r="J782" s="36" t="s">
        <v>20</v>
      </c>
      <c r="K782" s="36"/>
      <c r="L782" s="36"/>
      <c r="M782" s="36" t="s">
        <v>8013</v>
      </c>
    </row>
    <row r="783" spans="1:13" hidden="1">
      <c r="A783" s="42">
        <f t="shared" si="12"/>
        <v>782</v>
      </c>
      <c r="B783" s="36" t="s">
        <v>6</v>
      </c>
      <c r="C783" s="36" t="s">
        <v>8704</v>
      </c>
      <c r="D783" s="9" t="s">
        <v>3014</v>
      </c>
      <c r="F783" s="36" t="s">
        <v>275</v>
      </c>
      <c r="G783" s="36" t="s">
        <v>8544</v>
      </c>
      <c r="H783" s="36" t="str">
        <f>IFERROR(VLOOKUP(Table2[[#This Row], [Ticket]],Okey!A:B,2,0),"")</f>
        <v>ok</v>
      </c>
      <c r="I783" s="36" t="s">
        <v>8546</v>
      </c>
      <c r="J783" s="36" t="s">
        <v>20</v>
      </c>
      <c r="K783" s="36"/>
      <c r="L783" s="36"/>
      <c r="M783" s="36" t="s">
        <v>8013</v>
      </c>
    </row>
    <row r="784" spans="1:13" hidden="1">
      <c r="A784" s="42">
        <f t="shared" si="12"/>
        <v>783</v>
      </c>
      <c r="B784" s="36" t="s">
        <v>6</v>
      </c>
      <c r="C784" s="36" t="s">
        <v>8704</v>
      </c>
      <c r="D784" s="9" t="s">
        <v>2168</v>
      </c>
      <c r="F784" s="36" t="s">
        <v>275</v>
      </c>
      <c r="G784" s="36" t="s">
        <v>8544</v>
      </c>
      <c r="H784" s="36" t="str">
        <f>IFERROR(VLOOKUP(Table2[[#This Row], [Ticket]],Okey!A:B,2,0),"")</f>
        <v>ok</v>
      </c>
      <c r="I784" s="36" t="s">
        <v>8546</v>
      </c>
      <c r="J784" s="36" t="s">
        <v>20</v>
      </c>
      <c r="K784" s="36"/>
      <c r="L784" s="36"/>
      <c r="M784" s="36" t="s">
        <v>8013</v>
      </c>
    </row>
    <row r="785" spans="1:13" hidden="1">
      <c r="A785" s="42">
        <f t="shared" si="12"/>
        <v>784</v>
      </c>
      <c r="B785" s="36" t="s">
        <v>6</v>
      </c>
      <c r="C785" s="36" t="s">
        <v>8704</v>
      </c>
      <c r="D785" s="9" t="s">
        <v>4228</v>
      </c>
      <c r="F785" s="36" t="s">
        <v>275</v>
      </c>
      <c r="G785" s="36" t="s">
        <v>8544</v>
      </c>
      <c r="H785" s="36" t="str">
        <f>IFERROR(VLOOKUP(Table2[[#This Row], [Ticket]],Okey!A:B,2,0),"")</f>
        <v>ok</v>
      </c>
      <c r="I785" s="36" t="s">
        <v>8546</v>
      </c>
      <c r="J785" s="36" t="s">
        <v>20</v>
      </c>
      <c r="K785" s="36"/>
      <c r="L785" s="36"/>
      <c r="M785" s="36" t="s">
        <v>8013</v>
      </c>
    </row>
    <row r="786" spans="1:13" hidden="1">
      <c r="A786" s="42">
        <f t="shared" si="12"/>
        <v>785</v>
      </c>
      <c r="B786" s="36" t="s">
        <v>6</v>
      </c>
      <c r="C786" s="36" t="s">
        <v>8704</v>
      </c>
      <c r="D786" s="9" t="s">
        <v>2719</v>
      </c>
      <c r="F786" s="36" t="s">
        <v>275</v>
      </c>
      <c r="G786" s="36" t="s">
        <v>8544</v>
      </c>
      <c r="H786" s="36" t="str">
        <f>IFERROR(VLOOKUP(Table2[[#This Row], [Ticket]],Okey!A:B,2,0),"")</f>
        <v>ok</v>
      </c>
      <c r="I786" s="36" t="s">
        <v>8546</v>
      </c>
      <c r="J786" s="36" t="s">
        <v>20</v>
      </c>
      <c r="K786" s="36"/>
      <c r="L786" s="36"/>
      <c r="M786" s="36" t="s">
        <v>8013</v>
      </c>
    </row>
    <row r="787" spans="1:13" hidden="1">
      <c r="A787" s="42">
        <f t="shared" si="12"/>
        <v>786</v>
      </c>
      <c r="B787" s="36" t="s">
        <v>6</v>
      </c>
      <c r="C787" s="36" t="s">
        <v>8704</v>
      </c>
      <c r="D787" s="9" t="s">
        <v>4656</v>
      </c>
      <c r="F787" s="36" t="s">
        <v>275</v>
      </c>
      <c r="G787" s="36" t="s">
        <v>8544</v>
      </c>
      <c r="H787" s="36" t="str">
        <f>IFERROR(VLOOKUP(Table2[[#This Row], [Ticket]],Okey!A:B,2,0),"")</f>
        <v>ok</v>
      </c>
      <c r="I787" s="36" t="s">
        <v>8546</v>
      </c>
      <c r="J787" s="36" t="s">
        <v>20</v>
      </c>
      <c r="K787" s="36"/>
      <c r="L787" s="36"/>
      <c r="M787" s="36" t="s">
        <v>8013</v>
      </c>
    </row>
    <row r="788" spans="1:13" hidden="1">
      <c r="A788" s="42">
        <f t="shared" ref="A788:A851" si="13">1+A787</f>
        <v>787</v>
      </c>
      <c r="B788" s="36" t="s">
        <v>6</v>
      </c>
      <c r="C788" s="36" t="s">
        <v>8704</v>
      </c>
      <c r="D788" s="9" t="s">
        <v>2690</v>
      </c>
      <c r="F788" s="36" t="s">
        <v>275</v>
      </c>
      <c r="G788" s="36" t="s">
        <v>8544</v>
      </c>
      <c r="H788" s="36" t="str">
        <f>IFERROR(VLOOKUP(Table2[[#This Row], [Ticket]],Okey!A:B,2,0),"")</f>
        <v>ok</v>
      </c>
      <c r="I788" s="36" t="s">
        <v>8546</v>
      </c>
      <c r="J788" s="36" t="s">
        <v>20</v>
      </c>
      <c r="K788" s="36"/>
      <c r="L788" s="36"/>
      <c r="M788" s="36" t="s">
        <v>8013</v>
      </c>
    </row>
    <row r="789" spans="1:13" hidden="1">
      <c r="A789" s="42">
        <f t="shared" si="13"/>
        <v>788</v>
      </c>
      <c r="B789" s="36" t="s">
        <v>6</v>
      </c>
      <c r="C789" s="36" t="s">
        <v>8704</v>
      </c>
      <c r="D789" s="9" t="s">
        <v>4725</v>
      </c>
      <c r="F789" s="36" t="s">
        <v>275</v>
      </c>
      <c r="G789" s="36" t="s">
        <v>8544</v>
      </c>
      <c r="H789" s="36" t="str">
        <f>IFERROR(VLOOKUP(Table2[[#This Row], [Ticket]],Okey!A:B,2,0),"")</f>
        <v>ok</v>
      </c>
      <c r="I789" s="36" t="s">
        <v>8546</v>
      </c>
      <c r="J789" s="36" t="s">
        <v>20</v>
      </c>
      <c r="K789" s="36"/>
      <c r="L789" s="36"/>
      <c r="M789" s="36" t="s">
        <v>8013</v>
      </c>
    </row>
    <row r="790" spans="1:13" hidden="1">
      <c r="A790" s="42">
        <f t="shared" si="13"/>
        <v>789</v>
      </c>
      <c r="B790" s="36" t="s">
        <v>6</v>
      </c>
      <c r="C790" s="36" t="s">
        <v>8704</v>
      </c>
      <c r="D790" s="9" t="s">
        <v>4727</v>
      </c>
      <c r="F790" s="36" t="s">
        <v>275</v>
      </c>
      <c r="G790" s="36" t="s">
        <v>8544</v>
      </c>
      <c r="H790" s="36" t="str">
        <f>IFERROR(VLOOKUP(Table2[[#This Row], [Ticket]],Okey!A:B,2,0),"")</f>
        <v>ok</v>
      </c>
      <c r="I790" s="36" t="s">
        <v>8546</v>
      </c>
      <c r="J790" s="36" t="s">
        <v>20</v>
      </c>
      <c r="K790" s="36"/>
      <c r="L790" s="36"/>
      <c r="M790" s="36" t="s">
        <v>8013</v>
      </c>
    </row>
    <row r="791" spans="1:13" hidden="1">
      <c r="A791" s="42">
        <f t="shared" si="13"/>
        <v>790</v>
      </c>
      <c r="B791" s="36" t="s">
        <v>6</v>
      </c>
      <c r="C791" s="36" t="s">
        <v>8704</v>
      </c>
      <c r="D791" s="9" t="s">
        <v>4729</v>
      </c>
      <c r="F791" s="36" t="s">
        <v>275</v>
      </c>
      <c r="G791" s="36" t="s">
        <v>8544</v>
      </c>
      <c r="H791" s="36" t="str">
        <f>IFERROR(VLOOKUP(Table2[[#This Row], [Ticket]],Okey!A:B,2,0),"")</f>
        <v>ok</v>
      </c>
      <c r="I791" s="36" t="s">
        <v>8546</v>
      </c>
      <c r="J791" s="36" t="s">
        <v>20</v>
      </c>
      <c r="K791" s="36"/>
      <c r="L791" s="36"/>
      <c r="M791" s="36" t="s">
        <v>8013</v>
      </c>
    </row>
    <row r="792" spans="1:13" hidden="1">
      <c r="A792" s="42">
        <f t="shared" si="13"/>
        <v>791</v>
      </c>
      <c r="B792" s="36" t="s">
        <v>6</v>
      </c>
      <c r="C792" s="36" t="s">
        <v>8704</v>
      </c>
      <c r="D792" s="9" t="s">
        <v>4926</v>
      </c>
      <c r="F792" s="36" t="s">
        <v>275</v>
      </c>
      <c r="G792" s="36" t="s">
        <v>8544</v>
      </c>
      <c r="H792" s="36" t="str">
        <f>IFERROR(VLOOKUP(Table2[[#This Row], [Ticket]],Okey!A:B,2,0),"")</f>
        <v>ok</v>
      </c>
      <c r="I792" s="36" t="s">
        <v>8546</v>
      </c>
      <c r="J792" s="36" t="s">
        <v>20</v>
      </c>
      <c r="K792" s="36"/>
      <c r="L792" s="36"/>
      <c r="M792" s="36" t="s">
        <v>8013</v>
      </c>
    </row>
    <row r="793" spans="1:13" hidden="1">
      <c r="A793" s="42">
        <f t="shared" si="13"/>
        <v>792</v>
      </c>
      <c r="B793" s="36" t="s">
        <v>6</v>
      </c>
      <c r="C793" s="36" t="s">
        <v>8704</v>
      </c>
      <c r="D793" s="9" t="s">
        <v>4884</v>
      </c>
      <c r="F793" s="36" t="s">
        <v>275</v>
      </c>
      <c r="G793" s="36" t="s">
        <v>8544</v>
      </c>
      <c r="H793" s="36" t="str">
        <f>IFERROR(VLOOKUP(Table2[[#This Row], [Ticket]],Okey!A:B,2,0),"")</f>
        <v>ok</v>
      </c>
      <c r="I793" s="36" t="s">
        <v>8546</v>
      </c>
      <c r="J793" s="36" t="s">
        <v>20</v>
      </c>
      <c r="K793" s="36"/>
      <c r="L793" s="36"/>
      <c r="M793" s="36" t="s">
        <v>8013</v>
      </c>
    </row>
    <row r="794" spans="1:13" hidden="1">
      <c r="A794" s="42">
        <f t="shared" si="13"/>
        <v>793</v>
      </c>
      <c r="B794" s="36" t="s">
        <v>6</v>
      </c>
      <c r="C794" s="36" t="s">
        <v>8704</v>
      </c>
      <c r="D794" s="9" t="s">
        <v>8853</v>
      </c>
      <c r="F794" s="36" t="s">
        <v>275</v>
      </c>
      <c r="G794" s="36" t="s">
        <v>8544</v>
      </c>
      <c r="H794" s="36" t="str">
        <f>IFERROR(VLOOKUP(Table2[[#This Row], [Ticket]],Okey!A:B,2,0),"")</f>
        <v>ok</v>
      </c>
      <c r="I794" s="36" t="s">
        <v>8546</v>
      </c>
      <c r="J794" s="36" t="s">
        <v>20</v>
      </c>
      <c r="K794" s="36"/>
      <c r="L794" s="36"/>
      <c r="M794" s="36" t="s">
        <v>8013</v>
      </c>
    </row>
    <row r="795" spans="1:13" hidden="1">
      <c r="A795" s="42">
        <f t="shared" si="13"/>
        <v>794</v>
      </c>
      <c r="B795" s="36" t="s">
        <v>6</v>
      </c>
      <c r="C795" s="36" t="s">
        <v>8704</v>
      </c>
      <c r="D795" s="9" t="s">
        <v>4865</v>
      </c>
      <c r="F795" s="36" t="s">
        <v>275</v>
      </c>
      <c r="G795" s="36" t="s">
        <v>8544</v>
      </c>
      <c r="H795" s="36" t="str">
        <f>IFERROR(VLOOKUP(Table2[[#This Row], [Ticket]],Okey!A:B,2,0),"")</f>
        <v>ok</v>
      </c>
      <c r="I795" s="36" t="s">
        <v>8546</v>
      </c>
      <c r="J795" s="36" t="s">
        <v>20</v>
      </c>
      <c r="K795" s="36"/>
      <c r="L795" s="36"/>
      <c r="M795" s="36" t="s">
        <v>8013</v>
      </c>
    </row>
    <row r="796" spans="1:13" hidden="1">
      <c r="A796" s="42">
        <f t="shared" si="13"/>
        <v>795</v>
      </c>
      <c r="B796" s="36" t="s">
        <v>6</v>
      </c>
      <c r="C796" s="36" t="s">
        <v>8704</v>
      </c>
      <c r="D796" s="9" t="s">
        <v>4887</v>
      </c>
      <c r="F796" s="36" t="s">
        <v>275</v>
      </c>
      <c r="G796" s="36" t="s">
        <v>8544</v>
      </c>
      <c r="H796" s="36" t="str">
        <f>IFERROR(VLOOKUP(Table2[[#This Row], [Ticket]],Okey!A:B,2,0),"")</f>
        <v>ok</v>
      </c>
      <c r="I796" s="36" t="s">
        <v>8546</v>
      </c>
      <c r="J796" s="36" t="s">
        <v>20</v>
      </c>
      <c r="K796" s="36"/>
      <c r="L796" s="36"/>
      <c r="M796" s="36" t="s">
        <v>8013</v>
      </c>
    </row>
    <row r="797" spans="1:13" hidden="1">
      <c r="A797" s="42">
        <f t="shared" si="13"/>
        <v>796</v>
      </c>
      <c r="B797" s="36" t="s">
        <v>6</v>
      </c>
      <c r="C797" s="36" t="s">
        <v>8704</v>
      </c>
      <c r="D797" s="9" t="s">
        <v>4889</v>
      </c>
      <c r="F797" s="36" t="s">
        <v>275</v>
      </c>
      <c r="G797" s="36" t="s">
        <v>8544</v>
      </c>
      <c r="H797" s="36" t="str">
        <f>IFERROR(VLOOKUP(Table2[[#This Row], [Ticket]],Okey!A:B,2,0),"")</f>
        <v>ok</v>
      </c>
      <c r="I797" s="36" t="s">
        <v>8546</v>
      </c>
      <c r="J797" s="36" t="s">
        <v>20</v>
      </c>
      <c r="K797" s="36"/>
      <c r="L797" s="36"/>
      <c r="M797" s="36" t="s">
        <v>8013</v>
      </c>
    </row>
    <row r="798" spans="1:13" hidden="1">
      <c r="A798" s="42">
        <f t="shared" si="13"/>
        <v>797</v>
      </c>
      <c r="B798" s="36" t="s">
        <v>6</v>
      </c>
      <c r="C798" s="36" t="s">
        <v>8704</v>
      </c>
      <c r="D798" s="9" t="s">
        <v>4891</v>
      </c>
      <c r="F798" s="36" t="s">
        <v>275</v>
      </c>
      <c r="G798" s="36" t="s">
        <v>8544</v>
      </c>
      <c r="H798" s="36" t="str">
        <f>IFERROR(VLOOKUP(Table2[[#This Row], [Ticket]],Okey!A:B,2,0),"")</f>
        <v>ok</v>
      </c>
      <c r="I798" s="36" t="s">
        <v>8546</v>
      </c>
      <c r="J798" s="36" t="s">
        <v>20</v>
      </c>
      <c r="K798" s="36"/>
      <c r="L798" s="36"/>
      <c r="M798" s="36" t="s">
        <v>8013</v>
      </c>
    </row>
    <row r="799" spans="1:13" hidden="1">
      <c r="A799" s="42">
        <f t="shared" si="13"/>
        <v>798</v>
      </c>
      <c r="B799" s="36" t="s">
        <v>6</v>
      </c>
      <c r="C799" s="36" t="s">
        <v>8704</v>
      </c>
      <c r="D799" s="9" t="s">
        <v>4893</v>
      </c>
      <c r="F799" s="36" t="s">
        <v>275</v>
      </c>
      <c r="G799" s="36" t="s">
        <v>8544</v>
      </c>
      <c r="H799" s="36" t="str">
        <f>IFERROR(VLOOKUP(Table2[[#This Row], [Ticket]],Okey!A:B,2,0),"")</f>
        <v>ok</v>
      </c>
      <c r="I799" s="36" t="s">
        <v>8546</v>
      </c>
      <c r="J799" s="36" t="s">
        <v>20</v>
      </c>
      <c r="K799" s="36"/>
      <c r="L799" s="36"/>
      <c r="M799" s="36" t="s">
        <v>8013</v>
      </c>
    </row>
    <row r="800" spans="1:13" hidden="1">
      <c r="A800" s="42">
        <f t="shared" si="13"/>
        <v>799</v>
      </c>
      <c r="B800" s="36" t="s">
        <v>6</v>
      </c>
      <c r="C800" s="36" t="s">
        <v>8704</v>
      </c>
      <c r="D800" s="9" t="s">
        <v>4895</v>
      </c>
      <c r="F800" s="36" t="s">
        <v>275</v>
      </c>
      <c r="G800" s="36" t="s">
        <v>8544</v>
      </c>
      <c r="H800" s="36" t="str">
        <f>IFERROR(VLOOKUP(Table2[[#This Row], [Ticket]],Okey!A:B,2,0),"")</f>
        <v>ok</v>
      </c>
      <c r="I800" s="36" t="s">
        <v>8546</v>
      </c>
      <c r="J800" s="36" t="s">
        <v>20</v>
      </c>
      <c r="K800" s="36"/>
      <c r="L800" s="36"/>
      <c r="M800" s="36" t="s">
        <v>8013</v>
      </c>
    </row>
    <row r="801" spans="1:13" hidden="1">
      <c r="A801" s="42">
        <f t="shared" si="13"/>
        <v>800</v>
      </c>
      <c r="B801" s="36" t="s">
        <v>6</v>
      </c>
      <c r="C801" s="36" t="s">
        <v>8704</v>
      </c>
      <c r="D801" s="9" t="s">
        <v>2443</v>
      </c>
      <c r="F801" s="36" t="s">
        <v>275</v>
      </c>
      <c r="G801" s="36" t="s">
        <v>8544</v>
      </c>
      <c r="H801" s="36" t="str">
        <f>IFERROR(VLOOKUP(Table2[[#This Row], [Ticket]],Okey!A:B,2,0),"")</f>
        <v>ok</v>
      </c>
      <c r="I801" s="36" t="s">
        <v>8546</v>
      </c>
      <c r="J801" s="36" t="s">
        <v>20</v>
      </c>
      <c r="K801" s="36"/>
      <c r="L801" s="36"/>
      <c r="M801" s="36" t="s">
        <v>8013</v>
      </c>
    </row>
    <row r="802" spans="1:13" hidden="1">
      <c r="A802" s="42">
        <f t="shared" si="13"/>
        <v>801</v>
      </c>
      <c r="B802" s="36" t="s">
        <v>6</v>
      </c>
      <c r="C802" s="36" t="s">
        <v>8935</v>
      </c>
      <c r="D802" s="9" t="s">
        <v>8929</v>
      </c>
      <c r="E802" s="9" t="s">
        <v>8930</v>
      </c>
      <c r="F802" s="9" t="s">
        <v>7909</v>
      </c>
      <c r="G802" s="9" t="s">
        <v>14</v>
      </c>
      <c r="H802" s="36" t="str">
        <f>IFERROR(VLOOKUP(Table2[[#This Row], [Ticket]],Okey!A:B,2,0),"")</f>
        <v>ok</v>
      </c>
      <c r="I802" s="36" t="s">
        <v>8546</v>
      </c>
      <c r="J802" s="36" t="s">
        <v>19</v>
      </c>
      <c r="K802" s="36"/>
      <c r="L802" s="36"/>
      <c r="M802" s="9" t="s">
        <v>4786</v>
      </c>
    </row>
    <row r="803" spans="1:13" hidden="1">
      <c r="A803" s="42">
        <f t="shared" si="13"/>
        <v>802</v>
      </c>
      <c r="B803" s="36" t="s">
        <v>6</v>
      </c>
      <c r="C803" s="36" t="s">
        <v>8935</v>
      </c>
      <c r="D803" s="9" t="s">
        <v>8931</v>
      </c>
      <c r="E803" s="9" t="s">
        <v>8932</v>
      </c>
      <c r="F803" s="9" t="s">
        <v>7909</v>
      </c>
      <c r="G803" s="36" t="s">
        <v>14</v>
      </c>
      <c r="H803" s="36" t="str">
        <f>IFERROR(VLOOKUP(Table2[[#This Row], [Ticket]],Okey!A:B,2,0),"")</f>
        <v>ok</v>
      </c>
      <c r="I803" s="36" t="s">
        <v>8546</v>
      </c>
      <c r="J803" s="36" t="s">
        <v>19</v>
      </c>
      <c r="K803" s="36"/>
      <c r="L803" s="36"/>
      <c r="M803" s="36" t="s">
        <v>4786</v>
      </c>
    </row>
    <row r="804" spans="1:13" hidden="1">
      <c r="A804" s="42">
        <f t="shared" si="13"/>
        <v>803</v>
      </c>
      <c r="B804" s="36" t="s">
        <v>6</v>
      </c>
      <c r="C804" s="36" t="s">
        <v>8935</v>
      </c>
      <c r="D804" s="9" t="s">
        <v>8933</v>
      </c>
      <c r="E804" s="9" t="s">
        <v>8934</v>
      </c>
      <c r="F804" s="9" t="s">
        <v>7909</v>
      </c>
      <c r="G804" s="36" t="s">
        <v>14</v>
      </c>
      <c r="H804" s="36" t="str">
        <f>IFERROR(VLOOKUP(Table2[[#This Row], [Ticket]],Okey!A:B,2,0),"")</f>
        <v>ok</v>
      </c>
      <c r="I804" s="36" t="s">
        <v>8546</v>
      </c>
      <c r="J804" s="36" t="s">
        <v>19</v>
      </c>
      <c r="K804" s="36"/>
      <c r="L804" s="36"/>
      <c r="M804" s="36" t="s">
        <v>4786</v>
      </c>
    </row>
    <row r="805" spans="1:13" hidden="1">
      <c r="A805" s="42">
        <f t="shared" si="13"/>
        <v>804</v>
      </c>
      <c r="B805" s="36" t="s">
        <v>6</v>
      </c>
      <c r="C805" s="9" t="s">
        <v>8936</v>
      </c>
      <c r="D805" s="9" t="s">
        <v>8108</v>
      </c>
      <c r="F805" s="36" t="s">
        <v>275</v>
      </c>
      <c r="G805" s="36" t="s">
        <v>8544</v>
      </c>
      <c r="H805" s="36" t="str">
        <f>IFERROR(VLOOKUP(Table2[[#This Row], [Ticket]],Okey!A:B,2,0),"")</f>
        <v>ok</v>
      </c>
      <c r="I805" s="36" t="s">
        <v>8546</v>
      </c>
      <c r="J805" s="9" t="s">
        <v>19</v>
      </c>
      <c r="K805" s="36"/>
      <c r="L805" s="36"/>
      <c r="M805" s="9" t="s">
        <v>4782</v>
      </c>
    </row>
    <row r="806" spans="1:13" hidden="1">
      <c r="A806" s="42">
        <f t="shared" si="13"/>
        <v>805</v>
      </c>
      <c r="B806" s="36" t="s">
        <v>6</v>
      </c>
      <c r="C806" s="36" t="s">
        <v>8936</v>
      </c>
      <c r="D806" s="36" t="s">
        <v>8953</v>
      </c>
      <c r="E806" t="s">
        <v>8994</v>
      </c>
      <c r="F806" t="s">
        <v>8952</v>
      </c>
      <c r="G806" s="36" t="s">
        <v>14</v>
      </c>
      <c r="H806" s="36" t="str">
        <f>IFERROR(VLOOKUP(Table2[[#This Row], [Ticket]],Okey!A:B,2,0),"")</f>
        <v>ok</v>
      </c>
      <c r="I806" s="36" t="s">
        <v>8546</v>
      </c>
      <c r="J806" s="36" t="s">
        <v>19</v>
      </c>
      <c r="K806" s="36"/>
      <c r="L806" s="36"/>
      <c r="M806" s="36" t="s">
        <v>4782</v>
      </c>
    </row>
    <row r="807" spans="1:13" hidden="1">
      <c r="A807" s="42">
        <f t="shared" si="13"/>
        <v>806</v>
      </c>
      <c r="B807" s="36" t="s">
        <v>6</v>
      </c>
      <c r="C807" s="36" t="s">
        <v>8936</v>
      </c>
      <c r="D807" s="9" t="s">
        <v>8954</v>
      </c>
      <c r="E807" t="s">
        <v>8937</v>
      </c>
      <c r="F807" t="s">
        <v>8953</v>
      </c>
      <c r="G807" s="36" t="s">
        <v>14</v>
      </c>
      <c r="H807" s="36" t="str">
        <f>IFERROR(VLOOKUP(Table2[[#This Row], [Ticket]],Okey!A:B,2,0),"")</f>
        <v>ok</v>
      </c>
      <c r="I807" s="36" t="s">
        <v>8546</v>
      </c>
      <c r="J807" s="36" t="s">
        <v>19</v>
      </c>
      <c r="K807" s="36"/>
      <c r="L807" s="36"/>
      <c r="M807" s="36" t="s">
        <v>4782</v>
      </c>
    </row>
    <row r="808" spans="1:13" hidden="1">
      <c r="A808" s="42">
        <f t="shared" si="13"/>
        <v>807</v>
      </c>
      <c r="B808" s="36" t="s">
        <v>6</v>
      </c>
      <c r="C808" s="36" t="s">
        <v>8936</v>
      </c>
      <c r="D808" s="9" t="s">
        <v>8955</v>
      </c>
      <c r="E808" t="s">
        <v>8938</v>
      </c>
      <c r="F808" t="s">
        <v>8953</v>
      </c>
      <c r="G808" s="36" t="s">
        <v>14</v>
      </c>
      <c r="H808" s="36" t="str">
        <f>IFERROR(VLOOKUP(Table2[[#This Row], [Ticket]],Okey!A:B,2,0),"")</f>
        <v>ok</v>
      </c>
      <c r="I808" s="36" t="s">
        <v>8546</v>
      </c>
      <c r="J808" s="36" t="s">
        <v>19</v>
      </c>
      <c r="K808" s="36"/>
      <c r="L808" s="36"/>
      <c r="M808" s="36" t="s">
        <v>4782</v>
      </c>
    </row>
    <row r="809" spans="1:13" hidden="1">
      <c r="A809" s="42">
        <f t="shared" si="13"/>
        <v>808</v>
      </c>
      <c r="B809" s="36" t="s">
        <v>6</v>
      </c>
      <c r="C809" s="36" t="s">
        <v>8936</v>
      </c>
      <c r="D809" s="9" t="s">
        <v>8956</v>
      </c>
      <c r="E809" t="s">
        <v>8939</v>
      </c>
      <c r="F809" t="s">
        <v>8953</v>
      </c>
      <c r="G809" s="36" t="s">
        <v>14</v>
      </c>
      <c r="H809" s="36" t="str">
        <f>IFERROR(VLOOKUP(Table2[[#This Row], [Ticket]],Okey!A:B,2,0),"")</f>
        <v>ok</v>
      </c>
      <c r="I809" s="36" t="s">
        <v>8546</v>
      </c>
      <c r="J809" s="36" t="s">
        <v>19</v>
      </c>
      <c r="K809" s="36"/>
      <c r="L809" s="36"/>
      <c r="M809" s="36" t="s">
        <v>4782</v>
      </c>
    </row>
    <row r="810" spans="1:13" hidden="1">
      <c r="A810" s="42">
        <f t="shared" si="13"/>
        <v>809</v>
      </c>
      <c r="B810" s="36" t="s">
        <v>6</v>
      </c>
      <c r="C810" s="36" t="s">
        <v>8936</v>
      </c>
      <c r="D810" s="9" t="s">
        <v>8957</v>
      </c>
      <c r="E810" t="s">
        <v>8940</v>
      </c>
      <c r="F810" t="s">
        <v>8953</v>
      </c>
      <c r="G810" s="36" t="s">
        <v>14</v>
      </c>
      <c r="H810" s="36" t="str">
        <f>IFERROR(VLOOKUP(Table2[[#This Row], [Ticket]],Okey!A:B,2,0),"")</f>
        <v>ok</v>
      </c>
      <c r="I810" s="36" t="s">
        <v>8546</v>
      </c>
      <c r="J810" s="36" t="s">
        <v>19</v>
      </c>
      <c r="K810" s="36"/>
      <c r="L810" s="36"/>
      <c r="M810" s="36" t="s">
        <v>4782</v>
      </c>
    </row>
    <row r="811" spans="1:13" hidden="1">
      <c r="A811" s="42">
        <f t="shared" si="13"/>
        <v>810</v>
      </c>
      <c r="B811" s="36" t="s">
        <v>6</v>
      </c>
      <c r="C811" s="36" t="s">
        <v>8936</v>
      </c>
      <c r="D811" s="9" t="s">
        <v>8958</v>
      </c>
      <c r="E811" t="s">
        <v>8941</v>
      </c>
      <c r="F811" t="s">
        <v>8953</v>
      </c>
      <c r="G811" s="36" t="s">
        <v>14</v>
      </c>
      <c r="H811" s="36" t="str">
        <f>IFERROR(VLOOKUP(Table2[[#This Row], [Ticket]],Okey!A:B,2,0),"")</f>
        <v>ok</v>
      </c>
      <c r="I811" s="36" t="s">
        <v>8546</v>
      </c>
      <c r="J811" s="36" t="s">
        <v>19</v>
      </c>
      <c r="K811" s="36"/>
      <c r="L811" s="36"/>
      <c r="M811" s="36" t="s">
        <v>4782</v>
      </c>
    </row>
    <row r="812" spans="1:13" hidden="1">
      <c r="A812" s="42">
        <f t="shared" si="13"/>
        <v>811</v>
      </c>
      <c r="B812" s="36" t="s">
        <v>6</v>
      </c>
      <c r="C812" s="36" t="s">
        <v>8936</v>
      </c>
      <c r="D812" s="9" t="s">
        <v>8959</v>
      </c>
      <c r="E812" t="s">
        <v>8942</v>
      </c>
      <c r="F812" t="s">
        <v>8953</v>
      </c>
      <c r="G812" s="36" t="s">
        <v>14</v>
      </c>
      <c r="H812" s="36" t="str">
        <f>IFERROR(VLOOKUP(Table2[[#This Row], [Ticket]],Okey!A:B,2,0),"")</f>
        <v>ok</v>
      </c>
      <c r="I812" s="36" t="s">
        <v>8546</v>
      </c>
      <c r="J812" s="36" t="s">
        <v>19</v>
      </c>
      <c r="K812" s="36"/>
      <c r="L812" s="36"/>
      <c r="M812" s="36" t="s">
        <v>4782</v>
      </c>
    </row>
    <row r="813" spans="1:13" hidden="1">
      <c r="A813" s="42">
        <f t="shared" si="13"/>
        <v>812</v>
      </c>
      <c r="B813" s="36" t="s">
        <v>6</v>
      </c>
      <c r="C813" s="36" t="s">
        <v>8936</v>
      </c>
      <c r="D813" s="9" t="s">
        <v>8960</v>
      </c>
      <c r="E813" t="s">
        <v>8995</v>
      </c>
      <c r="F813" t="s">
        <v>8954</v>
      </c>
      <c r="G813" s="36" t="s">
        <v>14</v>
      </c>
      <c r="H813" s="36" t="str">
        <f>IFERROR(VLOOKUP(Table2[[#This Row], [Ticket]],Okey!A:B,2,0),"")</f>
        <v>ok</v>
      </c>
      <c r="I813" s="36" t="s">
        <v>8546</v>
      </c>
      <c r="J813" s="36" t="s">
        <v>19</v>
      </c>
      <c r="K813" s="36"/>
      <c r="L813" s="36"/>
      <c r="M813" s="36" t="s">
        <v>4782</v>
      </c>
    </row>
    <row r="814" spans="1:13" hidden="1">
      <c r="A814" s="42">
        <f t="shared" si="13"/>
        <v>813</v>
      </c>
      <c r="B814" s="36" t="s">
        <v>6</v>
      </c>
      <c r="C814" s="36" t="s">
        <v>8936</v>
      </c>
      <c r="D814" s="9" t="s">
        <v>8961</v>
      </c>
      <c r="E814" t="s">
        <v>8943</v>
      </c>
      <c r="F814" t="s">
        <v>8954</v>
      </c>
      <c r="G814" s="36" t="s">
        <v>14</v>
      </c>
      <c r="H814" s="36" t="str">
        <f>IFERROR(VLOOKUP(Table2[[#This Row], [Ticket]],Okey!A:B,2,0),"")</f>
        <v>ok</v>
      </c>
      <c r="I814" s="36" t="s">
        <v>8546</v>
      </c>
      <c r="J814" s="36" t="s">
        <v>19</v>
      </c>
      <c r="K814" s="36"/>
      <c r="L814" s="36"/>
      <c r="M814" s="36" t="s">
        <v>4782</v>
      </c>
    </row>
    <row r="815" spans="1:13" hidden="1">
      <c r="A815" s="42">
        <f t="shared" si="13"/>
        <v>814</v>
      </c>
      <c r="B815" s="36" t="s">
        <v>6</v>
      </c>
      <c r="C815" s="36" t="s">
        <v>8936</v>
      </c>
      <c r="D815" s="9" t="s">
        <v>8962</v>
      </c>
      <c r="E815" t="s">
        <v>8996</v>
      </c>
      <c r="F815" t="s">
        <v>8954</v>
      </c>
      <c r="G815" s="36" t="s">
        <v>14</v>
      </c>
      <c r="H815" s="36" t="str">
        <f>IFERROR(VLOOKUP(Table2[[#This Row], [Ticket]],Okey!A:B,2,0),"")</f>
        <v>ok</v>
      </c>
      <c r="I815" s="36" t="s">
        <v>8546</v>
      </c>
      <c r="J815" s="36" t="s">
        <v>19</v>
      </c>
      <c r="K815" s="36"/>
      <c r="L815" s="36"/>
      <c r="M815" s="36" t="s">
        <v>4782</v>
      </c>
    </row>
    <row r="816" spans="1:13" hidden="1">
      <c r="A816" s="42">
        <f t="shared" si="13"/>
        <v>815</v>
      </c>
      <c r="B816" s="36" t="s">
        <v>6</v>
      </c>
      <c r="C816" s="36" t="s">
        <v>8936</v>
      </c>
      <c r="D816" s="9" t="s">
        <v>8963</v>
      </c>
      <c r="E816" t="s">
        <v>8997</v>
      </c>
      <c r="F816" t="s">
        <v>8954</v>
      </c>
      <c r="G816" s="36" t="s">
        <v>14</v>
      </c>
      <c r="H816" s="36" t="str">
        <f>IFERROR(VLOOKUP(Table2[[#This Row], [Ticket]],Okey!A:B,2,0),"")</f>
        <v>ok</v>
      </c>
      <c r="I816" s="36" t="s">
        <v>8546</v>
      </c>
      <c r="J816" s="36" t="s">
        <v>19</v>
      </c>
      <c r="K816" s="36"/>
      <c r="L816" s="36"/>
      <c r="M816" s="36" t="s">
        <v>4782</v>
      </c>
    </row>
    <row r="817" spans="1:13" hidden="1">
      <c r="A817" s="42">
        <f t="shared" si="13"/>
        <v>816</v>
      </c>
      <c r="B817" s="36" t="s">
        <v>6</v>
      </c>
      <c r="C817" s="36" t="s">
        <v>8936</v>
      </c>
      <c r="D817" s="9" t="s">
        <v>8964</v>
      </c>
      <c r="E817" t="s">
        <v>8944</v>
      </c>
      <c r="F817" t="s">
        <v>8954</v>
      </c>
      <c r="G817" s="36" t="s">
        <v>14</v>
      </c>
      <c r="H817" s="36" t="str">
        <f>IFERROR(VLOOKUP(Table2[[#This Row], [Ticket]],Okey!A:B,2,0),"")</f>
        <v>ok</v>
      </c>
      <c r="I817" s="36" t="s">
        <v>8546</v>
      </c>
      <c r="J817" s="36" t="s">
        <v>19</v>
      </c>
      <c r="K817" s="36"/>
      <c r="L817" s="36"/>
      <c r="M817" s="36" t="s">
        <v>4782</v>
      </c>
    </row>
    <row r="818" spans="1:13" hidden="1">
      <c r="A818" s="42">
        <f t="shared" si="13"/>
        <v>817</v>
      </c>
      <c r="B818" s="36" t="s">
        <v>6</v>
      </c>
      <c r="C818" s="36" t="s">
        <v>8936</v>
      </c>
      <c r="D818" s="9" t="s">
        <v>8965</v>
      </c>
      <c r="E818" t="s">
        <v>8945</v>
      </c>
      <c r="F818" t="s">
        <v>8955</v>
      </c>
      <c r="G818" s="36" t="s">
        <v>14</v>
      </c>
      <c r="H818" s="36" t="str">
        <f>IFERROR(VLOOKUP(Table2[[#This Row], [Ticket]],Okey!A:B,2,0),"")</f>
        <v>ok</v>
      </c>
      <c r="I818" s="36" t="s">
        <v>8546</v>
      </c>
      <c r="J818" s="36" t="s">
        <v>19</v>
      </c>
      <c r="K818" s="36"/>
      <c r="L818" s="36"/>
      <c r="M818" s="36" t="s">
        <v>4782</v>
      </c>
    </row>
    <row r="819" spans="1:13" hidden="1">
      <c r="A819" s="42">
        <f t="shared" si="13"/>
        <v>818</v>
      </c>
      <c r="B819" s="36" t="s">
        <v>6</v>
      </c>
      <c r="C819" s="36" t="s">
        <v>8936</v>
      </c>
      <c r="D819" s="9" t="s">
        <v>8966</v>
      </c>
      <c r="E819" t="s">
        <v>8946</v>
      </c>
      <c r="F819" t="s">
        <v>8955</v>
      </c>
      <c r="G819" s="36" t="s">
        <v>14</v>
      </c>
      <c r="H819" s="36" t="str">
        <f>IFERROR(VLOOKUP(Table2[[#This Row], [Ticket]],Okey!A:B,2,0),"")</f>
        <v>ok</v>
      </c>
      <c r="I819" s="36" t="s">
        <v>8546</v>
      </c>
      <c r="J819" s="36" t="s">
        <v>19</v>
      </c>
      <c r="K819" s="36"/>
      <c r="L819" s="36"/>
      <c r="M819" s="36" t="s">
        <v>4782</v>
      </c>
    </row>
    <row r="820" spans="1:13" hidden="1">
      <c r="A820" s="42">
        <f t="shared" si="13"/>
        <v>819</v>
      </c>
      <c r="B820" s="36" t="s">
        <v>6</v>
      </c>
      <c r="C820" s="36" t="s">
        <v>8936</v>
      </c>
      <c r="D820" s="9" t="s">
        <v>8967</v>
      </c>
      <c r="E820" t="s">
        <v>8947</v>
      </c>
      <c r="F820" t="s">
        <v>8955</v>
      </c>
      <c r="G820" s="36" t="s">
        <v>14</v>
      </c>
      <c r="H820" s="36" t="str">
        <f>IFERROR(VLOOKUP(Table2[[#This Row], [Ticket]],Okey!A:B,2,0),"")</f>
        <v>ok</v>
      </c>
      <c r="I820" s="36" t="s">
        <v>8546</v>
      </c>
      <c r="J820" s="36" t="s">
        <v>19</v>
      </c>
      <c r="K820" s="36"/>
      <c r="L820" s="36"/>
      <c r="M820" s="36" t="s">
        <v>4782</v>
      </c>
    </row>
    <row r="821" spans="1:13" hidden="1">
      <c r="A821" s="42">
        <f t="shared" si="13"/>
        <v>820</v>
      </c>
      <c r="B821" s="36" t="s">
        <v>6</v>
      </c>
      <c r="C821" s="36" t="s">
        <v>8936</v>
      </c>
      <c r="D821" s="9" t="s">
        <v>8968</v>
      </c>
      <c r="E821" t="s">
        <v>8948</v>
      </c>
      <c r="F821" t="s">
        <v>8956</v>
      </c>
      <c r="G821" s="36" t="s">
        <v>14</v>
      </c>
      <c r="H821" s="36" t="str">
        <f>IFERROR(VLOOKUP(Table2[[#This Row], [Ticket]],Okey!A:B,2,0),"")</f>
        <v>ok</v>
      </c>
      <c r="I821" s="36" t="s">
        <v>8546</v>
      </c>
      <c r="J821" s="36" t="s">
        <v>19</v>
      </c>
      <c r="K821" s="36"/>
      <c r="L821" s="36"/>
      <c r="M821" s="36" t="s">
        <v>4782</v>
      </c>
    </row>
    <row r="822" spans="1:13" hidden="1">
      <c r="A822" s="42">
        <f t="shared" si="13"/>
        <v>821</v>
      </c>
      <c r="B822" s="36" t="s">
        <v>6</v>
      </c>
      <c r="C822" s="36" t="s">
        <v>8936</v>
      </c>
      <c r="D822" s="9" t="s">
        <v>8969</v>
      </c>
      <c r="E822" t="s">
        <v>8949</v>
      </c>
      <c r="F822" t="s">
        <v>8957</v>
      </c>
      <c r="G822" s="36" t="s">
        <v>14</v>
      </c>
      <c r="H822" s="36" t="str">
        <f>IFERROR(VLOOKUP(Table2[[#This Row], [Ticket]],Okey!A:B,2,0),"")</f>
        <v>ok</v>
      </c>
      <c r="I822" s="36" t="s">
        <v>8546</v>
      </c>
      <c r="J822" s="36" t="s">
        <v>19</v>
      </c>
      <c r="K822" s="36"/>
      <c r="L822" s="36"/>
      <c r="M822" s="36" t="s">
        <v>4782</v>
      </c>
    </row>
    <row r="823" spans="1:13" hidden="1">
      <c r="A823" s="42">
        <f t="shared" si="13"/>
        <v>822</v>
      </c>
      <c r="B823" s="36" t="s">
        <v>6</v>
      </c>
      <c r="C823" s="36" t="s">
        <v>8936</v>
      </c>
      <c r="D823" s="9" t="s">
        <v>8970</v>
      </c>
      <c r="E823" t="s">
        <v>8950</v>
      </c>
      <c r="F823" t="s">
        <v>8958</v>
      </c>
      <c r="G823" s="36" t="s">
        <v>14</v>
      </c>
      <c r="H823" s="36" t="str">
        <f>IFERROR(VLOOKUP(Table2[[#This Row], [Ticket]],Okey!A:B,2,0),"")</f>
        <v>ok</v>
      </c>
      <c r="I823" s="36" t="s">
        <v>8546</v>
      </c>
      <c r="J823" s="36" t="s">
        <v>19</v>
      </c>
      <c r="K823" s="36"/>
      <c r="L823" s="36"/>
      <c r="M823" s="36" t="s">
        <v>4782</v>
      </c>
    </row>
    <row r="824" spans="1:13" hidden="1">
      <c r="A824" s="42">
        <f t="shared" si="13"/>
        <v>823</v>
      </c>
      <c r="B824" s="36" t="s">
        <v>6</v>
      </c>
      <c r="C824" s="36" t="s">
        <v>8936</v>
      </c>
      <c r="D824" s="9" t="s">
        <v>8971</v>
      </c>
      <c r="E824" t="s">
        <v>8951</v>
      </c>
      <c r="F824" t="s">
        <v>8959</v>
      </c>
      <c r="G824" s="36" t="s">
        <v>14</v>
      </c>
      <c r="H824" s="36" t="str">
        <f>IFERROR(VLOOKUP(Table2[[#This Row], [Ticket]],Okey!A:B,2,0),"")</f>
        <v>ok</v>
      </c>
      <c r="I824" s="36" t="s">
        <v>8546</v>
      </c>
      <c r="J824" s="36" t="s">
        <v>19</v>
      </c>
      <c r="K824" s="36"/>
      <c r="L824" s="36"/>
      <c r="M824" s="36" t="s">
        <v>4782</v>
      </c>
    </row>
    <row r="825" spans="1:13" hidden="1">
      <c r="A825" s="42">
        <f t="shared" si="13"/>
        <v>824</v>
      </c>
      <c r="B825" s="36" t="s">
        <v>6</v>
      </c>
      <c r="C825" s="9" t="s">
        <v>8972</v>
      </c>
      <c r="D825" s="9" t="s">
        <v>8973</v>
      </c>
      <c r="F825" s="9" t="s">
        <v>1736</v>
      </c>
      <c r="G825" s="9" t="s">
        <v>13</v>
      </c>
      <c r="H825" s="36" t="str">
        <f>IFERROR(VLOOKUP(Table2[[#This Row], [Ticket]],Okey!A:B,2,0),"")</f>
        <v>ok</v>
      </c>
      <c r="I825" s="36" t="s">
        <v>8546</v>
      </c>
      <c r="J825" s="9" t="s">
        <v>18</v>
      </c>
      <c r="L825" s="36"/>
      <c r="M825" s="36" t="s">
        <v>4799</v>
      </c>
    </row>
    <row r="826" spans="1:13" hidden="1">
      <c r="A826" s="42">
        <f t="shared" si="13"/>
        <v>825</v>
      </c>
      <c r="B826" s="36" t="s">
        <v>6</v>
      </c>
      <c r="C826" s="36" t="s">
        <v>8972</v>
      </c>
      <c r="D826" s="9" t="s">
        <v>6476</v>
      </c>
      <c r="F826" s="9" t="s">
        <v>1736</v>
      </c>
      <c r="G826" s="36" t="s">
        <v>13</v>
      </c>
      <c r="H826" s="36" t="str">
        <f>IFERROR(VLOOKUP(Table2[[#This Row], [Ticket]],Okey!A:B,2,0),"")</f>
        <v>ok</v>
      </c>
      <c r="I826" s="36" t="s">
        <v>8546</v>
      </c>
      <c r="J826" s="36" t="s">
        <v>18</v>
      </c>
      <c r="K826" s="36"/>
      <c r="L826" s="36"/>
      <c r="M826" s="36" t="s">
        <v>4799</v>
      </c>
    </row>
    <row r="827" spans="1:13" hidden="1">
      <c r="A827" s="42">
        <f t="shared" si="13"/>
        <v>826</v>
      </c>
      <c r="B827" s="36" t="s">
        <v>6</v>
      </c>
      <c r="C827" s="36" t="s">
        <v>8972</v>
      </c>
      <c r="D827" s="9" t="s">
        <v>5550</v>
      </c>
      <c r="F827" s="9" t="s">
        <v>1736</v>
      </c>
      <c r="G827" s="36" t="s">
        <v>13</v>
      </c>
      <c r="H827" s="36" t="str">
        <f>IFERROR(VLOOKUP(Table2[[#This Row], [Ticket]],Okey!A:B,2,0),"")</f>
        <v>ok</v>
      </c>
      <c r="I827" s="36" t="s">
        <v>8546</v>
      </c>
      <c r="J827" s="36" t="s">
        <v>18</v>
      </c>
      <c r="K827" s="36"/>
      <c r="L827" s="36"/>
      <c r="M827" s="36" t="s">
        <v>4799</v>
      </c>
    </row>
    <row r="828" spans="1:13" hidden="1">
      <c r="A828" s="42">
        <f t="shared" si="13"/>
        <v>827</v>
      </c>
      <c r="B828" s="36" t="s">
        <v>6</v>
      </c>
      <c r="C828" s="9" t="s">
        <v>8974</v>
      </c>
      <c r="D828" s="9" t="s">
        <v>8975</v>
      </c>
      <c r="F828" s="9" t="s">
        <v>8325</v>
      </c>
      <c r="G828" s="36" t="s">
        <v>13</v>
      </c>
      <c r="H828" s="36" t="str">
        <f>IFERROR(VLOOKUP(Table2[[#This Row], [Ticket]],Okey!A:B,2,0),"")</f>
        <v>ok</v>
      </c>
      <c r="I828" s="36" t="s">
        <v>8546</v>
      </c>
      <c r="J828" s="36" t="s">
        <v>18</v>
      </c>
      <c r="K828" s="36"/>
      <c r="L828" s="36"/>
      <c r="M828" s="36" t="s">
        <v>4799</v>
      </c>
    </row>
    <row r="829" spans="1:13" hidden="1">
      <c r="A829" s="42">
        <f t="shared" si="13"/>
        <v>828</v>
      </c>
      <c r="B829" s="36" t="s">
        <v>6</v>
      </c>
      <c r="C829" s="9" t="s">
        <v>8977</v>
      </c>
      <c r="D829" s="70" t="s">
        <v>8976</v>
      </c>
      <c r="F829" t="s">
        <v>8586</v>
      </c>
      <c r="G829" s="36" t="s">
        <v>13</v>
      </c>
      <c r="H829" s="36" t="str">
        <f>IFERROR(VLOOKUP(Table2[[#This Row], [Ticket]],Okey!A:B,2,0),"")</f>
        <v>ok</v>
      </c>
      <c r="I829" s="36" t="s">
        <v>8546</v>
      </c>
      <c r="J829" s="36" t="s">
        <v>18</v>
      </c>
      <c r="K829" s="36"/>
      <c r="L829" s="36"/>
      <c r="M829" s="36" t="s">
        <v>4799</v>
      </c>
    </row>
    <row r="830" spans="1:13" hidden="1">
      <c r="A830" s="42">
        <f t="shared" si="13"/>
        <v>829</v>
      </c>
      <c r="B830" s="36" t="s">
        <v>6</v>
      </c>
      <c r="C830" s="9" t="s">
        <v>8977</v>
      </c>
      <c r="D830" t="s">
        <v>8589</v>
      </c>
      <c r="F830" s="9" t="s">
        <v>6029</v>
      </c>
      <c r="G830" s="9" t="s">
        <v>8544</v>
      </c>
      <c r="H830" s="36" t="str">
        <f>IFERROR(VLOOKUP(Table2[[#This Row], [Ticket]],Okey!A:B,2,0),"")</f>
        <v>ok</v>
      </c>
      <c r="I830" s="36" t="s">
        <v>8546</v>
      </c>
      <c r="J830" s="36" t="s">
        <v>18</v>
      </c>
      <c r="K830" s="36"/>
      <c r="L830" s="36"/>
      <c r="M830" s="36" t="s">
        <v>4799</v>
      </c>
    </row>
    <row r="831" spans="1:13" hidden="1">
      <c r="A831" s="42">
        <f t="shared" si="13"/>
        <v>830</v>
      </c>
      <c r="B831" s="36" t="s">
        <v>6</v>
      </c>
      <c r="C831" s="9" t="s">
        <v>8984</v>
      </c>
      <c r="D831" s="9" t="s">
        <v>4807</v>
      </c>
      <c r="E831" s="9" t="s">
        <v>8978</v>
      </c>
      <c r="G831" s="9" t="s">
        <v>15</v>
      </c>
      <c r="H831" s="36" t="str">
        <f>IFERROR(VLOOKUP(Table2[[#This Row], [Ticket]],Okey!A:B,2,0),"")</f>
        <v>ok</v>
      </c>
      <c r="I831" s="36" t="s">
        <v>8546</v>
      </c>
      <c r="J831" s="36" t="s">
        <v>17</v>
      </c>
      <c r="K831" s="36"/>
      <c r="L831" s="36"/>
      <c r="M831" s="9" t="s">
        <v>4778</v>
      </c>
    </row>
    <row r="832" spans="1:13" hidden="1">
      <c r="A832" s="42">
        <f t="shared" si="13"/>
        <v>831</v>
      </c>
      <c r="B832" s="36" t="s">
        <v>6</v>
      </c>
      <c r="C832" s="36" t="s">
        <v>8984</v>
      </c>
      <c r="D832" s="9" t="s">
        <v>4809</v>
      </c>
      <c r="E832" s="9" t="s">
        <v>8979</v>
      </c>
      <c r="G832" s="36" t="s">
        <v>15</v>
      </c>
      <c r="H832" s="36" t="str">
        <f>IFERROR(VLOOKUP(Table2[[#This Row], [Ticket]],Okey!A:B,2,0),"")</f>
        <v>ok</v>
      </c>
      <c r="I832" s="36" t="s">
        <v>8546</v>
      </c>
      <c r="J832" s="36" t="s">
        <v>17</v>
      </c>
      <c r="K832" s="36"/>
      <c r="L832" s="36"/>
      <c r="M832" s="36" t="s">
        <v>4778</v>
      </c>
    </row>
    <row r="833" spans="1:13" hidden="1">
      <c r="A833" s="42">
        <f t="shared" si="13"/>
        <v>832</v>
      </c>
      <c r="B833" s="36" t="s">
        <v>6</v>
      </c>
      <c r="C833" s="36" t="s">
        <v>8984</v>
      </c>
      <c r="D833" s="9" t="s">
        <v>4811</v>
      </c>
      <c r="E833" s="9" t="s">
        <v>8980</v>
      </c>
      <c r="G833" s="36" t="s">
        <v>15</v>
      </c>
      <c r="H833" s="36" t="str">
        <f>IFERROR(VLOOKUP(Table2[[#This Row], [Ticket]],Okey!A:B,2,0),"")</f>
        <v>ok</v>
      </c>
      <c r="I833" s="36" t="s">
        <v>8546</v>
      </c>
      <c r="J833" s="36" t="s">
        <v>17</v>
      </c>
      <c r="K833" s="36"/>
      <c r="L833" s="36"/>
      <c r="M833" s="36" t="s">
        <v>4778</v>
      </c>
    </row>
    <row r="834" spans="1:13" hidden="1">
      <c r="A834" s="42">
        <f t="shared" si="13"/>
        <v>833</v>
      </c>
      <c r="B834" s="36" t="s">
        <v>6</v>
      </c>
      <c r="C834" s="36" t="s">
        <v>8984</v>
      </c>
      <c r="D834" s="9" t="s">
        <v>4813</v>
      </c>
      <c r="E834" s="9" t="s">
        <v>8981</v>
      </c>
      <c r="G834" s="36" t="s">
        <v>15</v>
      </c>
      <c r="H834" s="36" t="str">
        <f>IFERROR(VLOOKUP(Table2[[#This Row], [Ticket]],Okey!A:B,2,0),"")</f>
        <v>ok</v>
      </c>
      <c r="I834" s="36" t="s">
        <v>8546</v>
      </c>
      <c r="J834" s="36" t="s">
        <v>17</v>
      </c>
      <c r="K834" s="36"/>
      <c r="L834" s="36"/>
      <c r="M834" s="36" t="s">
        <v>4778</v>
      </c>
    </row>
    <row r="835" spans="1:13" hidden="1">
      <c r="A835" s="42">
        <f t="shared" si="13"/>
        <v>834</v>
      </c>
      <c r="B835" s="36" t="s">
        <v>6</v>
      </c>
      <c r="C835" s="36" t="s">
        <v>8984</v>
      </c>
      <c r="D835" s="9" t="s">
        <v>4816</v>
      </c>
      <c r="E835" s="9" t="s">
        <v>8982</v>
      </c>
      <c r="G835" s="36" t="s">
        <v>15</v>
      </c>
      <c r="H835" s="36" t="str">
        <f>IFERROR(VLOOKUP(Table2[[#This Row], [Ticket]],Okey!A:B,2,0),"")</f>
        <v>ok</v>
      </c>
      <c r="I835" s="36" t="s">
        <v>8546</v>
      </c>
      <c r="J835" s="36" t="s">
        <v>17</v>
      </c>
      <c r="K835" s="36"/>
      <c r="L835" s="36"/>
      <c r="M835" s="36" t="s">
        <v>4778</v>
      </c>
    </row>
    <row r="836" spans="1:13" hidden="1">
      <c r="A836" s="42">
        <f t="shared" si="13"/>
        <v>835</v>
      </c>
      <c r="B836" s="36" t="s">
        <v>6</v>
      </c>
      <c r="C836" s="36" t="s">
        <v>8984</v>
      </c>
      <c r="D836" s="9" t="s">
        <v>8983</v>
      </c>
      <c r="F836" s="9" t="s">
        <v>275</v>
      </c>
      <c r="G836" s="9" t="s">
        <v>8544</v>
      </c>
      <c r="H836" s="36" t="str">
        <f>IFERROR(VLOOKUP(Table2[[#This Row], [Ticket]],Okey!A:B,2,0),"")</f>
        <v>ok</v>
      </c>
      <c r="I836" s="36" t="s">
        <v>8546</v>
      </c>
      <c r="J836" s="36" t="s">
        <v>17</v>
      </c>
      <c r="K836" s="36"/>
      <c r="L836" s="36"/>
      <c r="M836" s="36" t="s">
        <v>4778</v>
      </c>
    </row>
    <row r="837" spans="1:13" hidden="1">
      <c r="A837" s="42">
        <f t="shared" si="13"/>
        <v>836</v>
      </c>
      <c r="B837" s="36" t="s">
        <v>6</v>
      </c>
      <c r="C837" s="9" t="s">
        <v>8986</v>
      </c>
      <c r="D837" s="9" t="s">
        <v>8559</v>
      </c>
      <c r="F837" s="9" t="s">
        <v>8985</v>
      </c>
      <c r="G837" s="9" t="s">
        <v>13</v>
      </c>
      <c r="H837" s="36" t="str">
        <f>IFERROR(VLOOKUP(Table2[[#This Row], [Ticket]],Okey!A:B,2,0),"")</f>
        <v>ok</v>
      </c>
      <c r="I837" s="36" t="s">
        <v>8546</v>
      </c>
      <c r="J837" s="36" t="s">
        <v>18</v>
      </c>
      <c r="L837" s="36"/>
      <c r="M837" s="36" t="s">
        <v>4799</v>
      </c>
    </row>
    <row r="838" spans="1:13" hidden="1">
      <c r="A838" s="42">
        <f t="shared" si="13"/>
        <v>837</v>
      </c>
      <c r="B838" s="36" t="s">
        <v>6</v>
      </c>
      <c r="C838" s="9" t="s">
        <v>8986</v>
      </c>
      <c r="D838" s="70" t="s">
        <v>8161</v>
      </c>
      <c r="F838" t="s">
        <v>1277</v>
      </c>
      <c r="G838" s="36" t="s">
        <v>13</v>
      </c>
      <c r="H838" s="36" t="str">
        <f>IFERROR(VLOOKUP(Table2[[#This Row], [Ticket]],Okey!A:B,2,0),"")</f>
        <v>ok</v>
      </c>
      <c r="I838" s="36" t="s">
        <v>8546</v>
      </c>
      <c r="J838" s="36" t="s">
        <v>18</v>
      </c>
      <c r="K838" s="36"/>
      <c r="L838" s="36"/>
      <c r="M838" s="36" t="s">
        <v>4799</v>
      </c>
    </row>
    <row r="839" spans="1:13" hidden="1">
      <c r="A839" s="42">
        <f t="shared" si="13"/>
        <v>838</v>
      </c>
      <c r="B839" s="36" t="s">
        <v>6</v>
      </c>
      <c r="C839" s="9" t="s">
        <v>8987</v>
      </c>
      <c r="D839" s="38" t="s">
        <v>1290</v>
      </c>
      <c r="E839" s="38" t="s">
        <v>8988</v>
      </c>
      <c r="G839" s="36" t="s">
        <v>15</v>
      </c>
      <c r="H839" s="36" t="str">
        <f>IFERROR(VLOOKUP(Table2[[#This Row], [Ticket]],Okey!A:B,2,0),"")</f>
        <v>ok</v>
      </c>
      <c r="I839" s="36" t="s">
        <v>8546</v>
      </c>
      <c r="J839" s="9" t="s">
        <v>18</v>
      </c>
      <c r="L839" s="36"/>
      <c r="M839" s="36" t="s">
        <v>4799</v>
      </c>
    </row>
    <row r="840" spans="1:13" hidden="1">
      <c r="A840" s="42">
        <f t="shared" si="13"/>
        <v>839</v>
      </c>
      <c r="B840" s="36" t="s">
        <v>6</v>
      </c>
      <c r="C840" s="9" t="s">
        <v>8991</v>
      </c>
      <c r="D840" s="9" t="s">
        <v>7605</v>
      </c>
      <c r="F840" s="9" t="s">
        <v>7605</v>
      </c>
      <c r="G840" s="9" t="s">
        <v>13</v>
      </c>
      <c r="H840" s="36" t="str">
        <f>IFERROR(VLOOKUP(Table2[[#This Row], [Ticket]],Okey!A:B,2,0),"")</f>
        <v>ok</v>
      </c>
      <c r="I840" s="36" t="s">
        <v>9013</v>
      </c>
      <c r="J840" s="9" t="s">
        <v>19</v>
      </c>
      <c r="L840" s="36"/>
      <c r="M840" s="9" t="s">
        <v>4787</v>
      </c>
    </row>
    <row r="841" spans="1:13" hidden="1">
      <c r="A841" s="42">
        <f t="shared" si="13"/>
        <v>840</v>
      </c>
      <c r="B841" s="36" t="s">
        <v>6</v>
      </c>
      <c r="C841" s="36" t="s">
        <v>8991</v>
      </c>
      <c r="D841" s="9" t="s">
        <v>8989</v>
      </c>
      <c r="F841" s="9" t="s">
        <v>8989</v>
      </c>
      <c r="G841" s="36" t="s">
        <v>13</v>
      </c>
      <c r="H841" s="36" t="str">
        <f>IFERROR(VLOOKUP(Table2[[#This Row], [Ticket]],Okey!A:B,2,0),"")</f>
        <v>ok</v>
      </c>
      <c r="I841" s="36" t="s">
        <v>9013</v>
      </c>
      <c r="J841" s="36" t="s">
        <v>19</v>
      </c>
      <c r="L841" s="36"/>
      <c r="M841" s="36" t="s">
        <v>4787</v>
      </c>
    </row>
    <row r="842" spans="1:13" hidden="1">
      <c r="A842" s="42">
        <f t="shared" si="13"/>
        <v>841</v>
      </c>
      <c r="B842" s="36" t="s">
        <v>6</v>
      </c>
      <c r="C842" s="36" t="s">
        <v>8991</v>
      </c>
      <c r="D842" s="9" t="s">
        <v>8989</v>
      </c>
      <c r="F842" s="9" t="s">
        <v>8989</v>
      </c>
      <c r="G842" s="36" t="s">
        <v>13</v>
      </c>
      <c r="H842" s="36" t="str">
        <f>IFERROR(VLOOKUP(Table2[[#This Row], [Ticket]],Okey!A:B,2,0),"")</f>
        <v>ok</v>
      </c>
      <c r="I842" s="36" t="s">
        <v>9013</v>
      </c>
      <c r="J842" s="36" t="s">
        <v>19</v>
      </c>
      <c r="L842" s="36"/>
      <c r="M842" s="36" t="s">
        <v>4787</v>
      </c>
    </row>
    <row r="843" spans="1:13" hidden="1">
      <c r="A843" s="42">
        <f t="shared" si="13"/>
        <v>842</v>
      </c>
      <c r="B843" s="36" t="s">
        <v>6</v>
      </c>
      <c r="C843" s="36" t="s">
        <v>8991</v>
      </c>
      <c r="D843" s="9" t="s">
        <v>8990</v>
      </c>
      <c r="F843" s="9" t="s">
        <v>8990</v>
      </c>
      <c r="G843" s="36" t="s">
        <v>13</v>
      </c>
      <c r="H843" s="36" t="str">
        <f>IFERROR(VLOOKUP(Table2[[#This Row], [Ticket]],Okey!A:B,2,0),"")</f>
        <v>ok</v>
      </c>
      <c r="I843" s="36" t="s">
        <v>9013</v>
      </c>
      <c r="J843" s="36" t="s">
        <v>19</v>
      </c>
      <c r="L843" s="36"/>
      <c r="M843" s="36" t="s">
        <v>4787</v>
      </c>
    </row>
    <row r="844" spans="1:13" hidden="1">
      <c r="A844" s="42">
        <f t="shared" si="13"/>
        <v>843</v>
      </c>
      <c r="B844" s="36" t="s">
        <v>6</v>
      </c>
      <c r="C844" s="36" t="s">
        <v>8991</v>
      </c>
      <c r="D844" s="9" t="s">
        <v>8989</v>
      </c>
      <c r="F844" s="9" t="s">
        <v>8989</v>
      </c>
      <c r="G844" s="36" t="s">
        <v>13</v>
      </c>
      <c r="H844" s="36" t="str">
        <f>IFERROR(VLOOKUP(Table2[[#This Row], [Ticket]],Okey!A:B,2,0),"")</f>
        <v>ok</v>
      </c>
      <c r="I844" s="36" t="s">
        <v>9013</v>
      </c>
      <c r="J844" s="36" t="s">
        <v>19</v>
      </c>
      <c r="L844" s="36"/>
      <c r="M844" s="36" t="s">
        <v>4787</v>
      </c>
    </row>
    <row r="845" spans="1:13" hidden="1">
      <c r="A845" s="42">
        <f t="shared" si="13"/>
        <v>844</v>
      </c>
      <c r="B845" s="36" t="s">
        <v>6</v>
      </c>
      <c r="C845" s="36" t="s">
        <v>8991</v>
      </c>
      <c r="D845" s="9" t="s">
        <v>5421</v>
      </c>
      <c r="F845" s="9" t="s">
        <v>5421</v>
      </c>
      <c r="G845" s="36" t="s">
        <v>13</v>
      </c>
      <c r="H845" s="36" t="str">
        <f>IFERROR(VLOOKUP(Table2[[#This Row], [Ticket]],Okey!A:B,2,0),"")</f>
        <v>ok</v>
      </c>
      <c r="I845" s="36" t="s">
        <v>9013</v>
      </c>
      <c r="J845" s="36" t="s">
        <v>19</v>
      </c>
      <c r="L845" s="36"/>
      <c r="M845" s="36" t="s">
        <v>4787</v>
      </c>
    </row>
    <row r="846" spans="1:13" hidden="1">
      <c r="A846" s="42">
        <f t="shared" si="13"/>
        <v>845</v>
      </c>
      <c r="B846" s="36" t="s">
        <v>6</v>
      </c>
      <c r="C846" s="9" t="s">
        <v>8992</v>
      </c>
      <c r="D846" s="9" t="s">
        <v>2245</v>
      </c>
      <c r="F846" s="71" t="s">
        <v>5238</v>
      </c>
      <c r="G846" s="36" t="s">
        <v>13</v>
      </c>
      <c r="H846" s="36" t="str">
        <f>IFERROR(VLOOKUP(Table2[[#This Row], [Ticket]],Okey!A:B,2,0),"")</f>
        <v>ok</v>
      </c>
      <c r="I846" s="36" t="s">
        <v>8546</v>
      </c>
      <c r="J846" s="9" t="s">
        <v>20</v>
      </c>
      <c r="K846" s="36"/>
      <c r="L846" s="36"/>
      <c r="M846" s="9" t="s">
        <v>8013</v>
      </c>
    </row>
    <row r="847" spans="1:13" hidden="1">
      <c r="A847" s="42">
        <f t="shared" si="13"/>
        <v>846</v>
      </c>
      <c r="B847" s="36" t="s">
        <v>6</v>
      </c>
      <c r="C847" s="36" t="s">
        <v>8992</v>
      </c>
      <c r="D847" s="9" t="s">
        <v>2250</v>
      </c>
      <c r="F847" s="71" t="s">
        <v>5238</v>
      </c>
      <c r="G847" s="36" t="s">
        <v>13</v>
      </c>
      <c r="H847" s="36" t="str">
        <f>IFERROR(VLOOKUP(Table2[[#This Row], [Ticket]],Okey!A:B,2,0),"")</f>
        <v>ok</v>
      </c>
      <c r="I847" s="36" t="s">
        <v>8546</v>
      </c>
      <c r="J847" s="36" t="s">
        <v>20</v>
      </c>
      <c r="K847" s="36"/>
      <c r="L847" s="36"/>
      <c r="M847" s="9" t="s">
        <v>8013</v>
      </c>
    </row>
    <row r="848" spans="1:13" hidden="1">
      <c r="A848" s="42">
        <f t="shared" si="13"/>
        <v>847</v>
      </c>
      <c r="B848" s="36" t="s">
        <v>6</v>
      </c>
      <c r="C848" s="9" t="s">
        <v>8993</v>
      </c>
      <c r="D848" t="s">
        <v>7739</v>
      </c>
      <c r="F848" s="9" t="s">
        <v>6029</v>
      </c>
      <c r="G848" s="36" t="s">
        <v>13</v>
      </c>
      <c r="H848" s="36" t="str">
        <f>IFERROR(VLOOKUP(Table2[[#This Row], [Ticket]],Okey!A:B,2,0),"")</f>
        <v>ok</v>
      </c>
      <c r="I848" s="36" t="s">
        <v>8546</v>
      </c>
      <c r="J848" s="9" t="s">
        <v>18</v>
      </c>
      <c r="K848" s="36"/>
      <c r="L848" s="36"/>
      <c r="M848" s="36" t="s">
        <v>4799</v>
      </c>
    </row>
    <row r="849" spans="1:13" hidden="1">
      <c r="A849" s="42">
        <f t="shared" si="13"/>
        <v>848</v>
      </c>
      <c r="B849" s="36" t="s">
        <v>8</v>
      </c>
      <c r="C849" s="9" t="s">
        <v>9008</v>
      </c>
      <c r="D849" s="9" t="s">
        <v>8999</v>
      </c>
      <c r="F849" s="9" t="s">
        <v>7971</v>
      </c>
      <c r="G849" s="36" t="s">
        <v>13</v>
      </c>
      <c r="H849" s="36" t="str">
        <f>IFERROR(VLOOKUP(Table2[[#This Row], [Ticket]],Okey!A:B,2,0),"")</f>
        <v>ok</v>
      </c>
      <c r="I849" s="36" t="s">
        <v>8546</v>
      </c>
      <c r="J849" s="36" t="s">
        <v>19</v>
      </c>
      <c r="L849" s="36"/>
      <c r="M849" s="9" t="s">
        <v>9007</v>
      </c>
    </row>
    <row r="850" spans="1:13" hidden="1">
      <c r="A850" s="42">
        <f t="shared" si="13"/>
        <v>849</v>
      </c>
      <c r="B850" s="36" t="s">
        <v>8</v>
      </c>
      <c r="C850" s="36" t="s">
        <v>9008</v>
      </c>
      <c r="D850" s="9" t="s">
        <v>9000</v>
      </c>
      <c r="F850" s="9" t="s">
        <v>7971</v>
      </c>
      <c r="G850" s="36" t="s">
        <v>13</v>
      </c>
      <c r="H850" s="36" t="str">
        <f>IFERROR(VLOOKUP(Table2[[#This Row], [Ticket]],Okey!A:B,2,0),"")</f>
        <v>ok</v>
      </c>
      <c r="I850" s="36" t="s">
        <v>8546</v>
      </c>
      <c r="J850" s="36" t="s">
        <v>19</v>
      </c>
      <c r="L850" s="36"/>
      <c r="M850" s="36" t="s">
        <v>9007</v>
      </c>
    </row>
    <row r="851" spans="1:13" hidden="1">
      <c r="A851" s="42">
        <f t="shared" si="13"/>
        <v>850</v>
      </c>
      <c r="B851" s="36" t="s">
        <v>8</v>
      </c>
      <c r="C851" s="36" t="s">
        <v>9008</v>
      </c>
      <c r="D851" s="9" t="s">
        <v>9001</v>
      </c>
      <c r="F851" s="9" t="s">
        <v>7971</v>
      </c>
      <c r="G851" s="36" t="s">
        <v>13</v>
      </c>
      <c r="H851" s="36" t="str">
        <f>IFERROR(VLOOKUP(Table2[[#This Row], [Ticket]],Okey!A:B,2,0),"")</f>
        <v>ok</v>
      </c>
      <c r="I851" s="36" t="s">
        <v>8546</v>
      </c>
      <c r="J851" s="36" t="s">
        <v>19</v>
      </c>
      <c r="L851" s="36"/>
      <c r="M851" s="36" t="s">
        <v>9007</v>
      </c>
    </row>
    <row r="852" spans="1:13" hidden="1">
      <c r="A852" s="42">
        <f t="shared" ref="A852:A915" si="14">1+A851</f>
        <v>851</v>
      </c>
      <c r="B852" s="36" t="s">
        <v>8</v>
      </c>
      <c r="C852" s="36" t="s">
        <v>9008</v>
      </c>
      <c r="D852" s="9" t="s">
        <v>9002</v>
      </c>
      <c r="F852" s="9" t="s">
        <v>7971</v>
      </c>
      <c r="G852" s="36" t="s">
        <v>13</v>
      </c>
      <c r="H852" s="36" t="str">
        <f>IFERROR(VLOOKUP(Table2[[#This Row], [Ticket]],Okey!A:B,2,0),"")</f>
        <v>ok</v>
      </c>
      <c r="I852" s="36" t="s">
        <v>8546</v>
      </c>
      <c r="J852" s="36" t="s">
        <v>19</v>
      </c>
      <c r="L852" s="36"/>
      <c r="M852" s="36" t="s">
        <v>9007</v>
      </c>
    </row>
    <row r="853" spans="1:13" hidden="1">
      <c r="A853" s="42">
        <f t="shared" si="14"/>
        <v>852</v>
      </c>
      <c r="B853" s="36" t="s">
        <v>8</v>
      </c>
      <c r="C853" s="36" t="s">
        <v>9008</v>
      </c>
      <c r="D853" s="9" t="s">
        <v>9003</v>
      </c>
      <c r="F853" s="9" t="s">
        <v>7971</v>
      </c>
      <c r="G853" s="36" t="s">
        <v>13</v>
      </c>
      <c r="H853" s="36" t="str">
        <f>IFERROR(VLOOKUP(Table2[[#This Row], [Ticket]],Okey!A:B,2,0),"")</f>
        <v>ok</v>
      </c>
      <c r="I853" s="36" t="s">
        <v>8546</v>
      </c>
      <c r="J853" s="36" t="s">
        <v>19</v>
      </c>
      <c r="L853" s="36"/>
      <c r="M853" s="36" t="s">
        <v>9007</v>
      </c>
    </row>
    <row r="854" spans="1:13" hidden="1">
      <c r="A854" s="42">
        <f t="shared" si="14"/>
        <v>853</v>
      </c>
      <c r="B854" s="36" t="s">
        <v>8</v>
      </c>
      <c r="C854" s="36" t="s">
        <v>9008</v>
      </c>
      <c r="D854" s="9" t="s">
        <v>9004</v>
      </c>
      <c r="F854" s="9" t="s">
        <v>7971</v>
      </c>
      <c r="G854" s="36" t="s">
        <v>13</v>
      </c>
      <c r="H854" s="36" t="str">
        <f>IFERROR(VLOOKUP(Table2[[#This Row], [Ticket]],Okey!A:B,2,0),"")</f>
        <v>ok</v>
      </c>
      <c r="I854" s="36" t="s">
        <v>8546</v>
      </c>
      <c r="J854" s="36" t="s">
        <v>19</v>
      </c>
      <c r="L854" s="36"/>
      <c r="M854" s="36" t="s">
        <v>9007</v>
      </c>
    </row>
    <row r="855" spans="1:13" hidden="1">
      <c r="A855" s="42">
        <f t="shared" si="14"/>
        <v>854</v>
      </c>
      <c r="B855" s="36" t="s">
        <v>8</v>
      </c>
      <c r="C855" s="36" t="s">
        <v>9008</v>
      </c>
      <c r="D855" s="9" t="s">
        <v>9005</v>
      </c>
      <c r="F855" s="9" t="s">
        <v>7971</v>
      </c>
      <c r="G855" s="36" t="s">
        <v>13</v>
      </c>
      <c r="H855" s="36" t="str">
        <f>IFERROR(VLOOKUP(Table2[[#This Row], [Ticket]],Okey!A:B,2,0),"")</f>
        <v>ok</v>
      </c>
      <c r="I855" s="36" t="s">
        <v>8546</v>
      </c>
      <c r="J855" s="36" t="s">
        <v>19</v>
      </c>
      <c r="L855" s="36"/>
      <c r="M855" s="36" t="s">
        <v>9007</v>
      </c>
    </row>
    <row r="856" spans="1:13" hidden="1">
      <c r="A856" s="42">
        <f t="shared" si="14"/>
        <v>855</v>
      </c>
      <c r="B856" s="36" t="s">
        <v>8</v>
      </c>
      <c r="C856" s="36" t="s">
        <v>9008</v>
      </c>
      <c r="D856" s="9" t="s">
        <v>9006</v>
      </c>
      <c r="F856" s="9" t="s">
        <v>7971</v>
      </c>
      <c r="G856" s="36" t="s">
        <v>13</v>
      </c>
      <c r="H856" s="36" t="str">
        <f>IFERROR(VLOOKUP(Table2[[#This Row], [Ticket]],Okey!A:B,2,0),"")</f>
        <v>ok</v>
      </c>
      <c r="I856" s="36" t="s">
        <v>8546</v>
      </c>
      <c r="J856" s="36" t="s">
        <v>19</v>
      </c>
      <c r="L856" s="36"/>
      <c r="M856" s="36" t="s">
        <v>9007</v>
      </c>
    </row>
    <row r="857" spans="1:13" hidden="1">
      <c r="A857" s="42">
        <f t="shared" si="14"/>
        <v>856</v>
      </c>
      <c r="B857" s="36" t="s">
        <v>8</v>
      </c>
      <c r="C857" s="36" t="s">
        <v>9008</v>
      </c>
      <c r="D857" s="9" t="s">
        <v>1124</v>
      </c>
      <c r="F857" s="9" t="s">
        <v>7971</v>
      </c>
      <c r="G857" s="36" t="s">
        <v>13</v>
      </c>
      <c r="H857" s="36" t="str">
        <f>IFERROR(VLOOKUP(Table2[[#This Row], [Ticket]],Okey!A:B,2,0),"")</f>
        <v>ok</v>
      </c>
      <c r="I857" s="36" t="s">
        <v>8546</v>
      </c>
      <c r="J857" s="36" t="s">
        <v>19</v>
      </c>
      <c r="L857" s="36"/>
      <c r="M857" s="36" t="s">
        <v>9007</v>
      </c>
    </row>
    <row r="858" spans="1:13" hidden="1">
      <c r="A858" s="42">
        <f t="shared" si="14"/>
        <v>857</v>
      </c>
      <c r="B858" s="36" t="s">
        <v>8</v>
      </c>
      <c r="C858" s="9" t="s">
        <v>9009</v>
      </c>
      <c r="D858" s="72" t="s">
        <v>413</v>
      </c>
      <c r="F858" s="73" t="s">
        <v>409</v>
      </c>
      <c r="G858" s="36" t="s">
        <v>13</v>
      </c>
      <c r="H858" s="36" t="str">
        <f>IFERROR(VLOOKUP(Table2[[#This Row], [Ticket]],Okey!A:B,2,0),"")</f>
        <v>ok</v>
      </c>
      <c r="I858" s="36" t="s">
        <v>8546</v>
      </c>
      <c r="J858" s="9" t="s">
        <v>17</v>
      </c>
      <c r="L858" s="36"/>
      <c r="M858" s="9" t="s">
        <v>3767</v>
      </c>
    </row>
    <row r="859" spans="1:13" hidden="1">
      <c r="A859" s="42">
        <f t="shared" si="14"/>
        <v>858</v>
      </c>
      <c r="B859" s="36" t="s">
        <v>8</v>
      </c>
      <c r="C859" s="9" t="s">
        <v>9010</v>
      </c>
      <c r="D859" s="74" t="s">
        <v>858</v>
      </c>
      <c r="F859" s="75" t="s">
        <v>9012</v>
      </c>
      <c r="G859" s="9" t="s">
        <v>13</v>
      </c>
      <c r="H859" s="36" t="str">
        <f>IFERROR(VLOOKUP(Table2[[#This Row], [Ticket]],Okey!A:B,2,0),"")</f>
        <v>ok</v>
      </c>
      <c r="I859" s="36" t="s">
        <v>8546</v>
      </c>
      <c r="J859" s="36" t="s">
        <v>17</v>
      </c>
      <c r="L859" s="36"/>
      <c r="M859" s="9" t="s">
        <v>9011</v>
      </c>
    </row>
    <row r="860" spans="1:13" hidden="1">
      <c r="A860" s="42">
        <f t="shared" si="14"/>
        <v>859</v>
      </c>
      <c r="B860" s="36" t="s">
        <v>8</v>
      </c>
      <c r="C860" s="9" t="s">
        <v>9015</v>
      </c>
      <c r="D860" s="76" t="s">
        <v>393</v>
      </c>
      <c r="F860" s="77" t="s">
        <v>9014</v>
      </c>
      <c r="G860" s="36" t="s">
        <v>13</v>
      </c>
      <c r="H860" s="36" t="str">
        <f>IFERROR(VLOOKUP(Table2[[#This Row], [Ticket]],Okey!A:B,2,0),"")</f>
        <v>ok</v>
      </c>
      <c r="I860" s="36" t="s">
        <v>8546</v>
      </c>
      <c r="J860" s="36" t="s">
        <v>17</v>
      </c>
      <c r="L860" s="36"/>
      <c r="M860" s="36" t="s">
        <v>3767</v>
      </c>
    </row>
    <row r="861" spans="1:13" hidden="1">
      <c r="A861" s="42">
        <f t="shared" si="14"/>
        <v>860</v>
      </c>
      <c r="B861" s="36" t="s">
        <v>8</v>
      </c>
      <c r="C861" s="36" t="s">
        <v>9021</v>
      </c>
      <c r="D861" s="9" t="s">
        <v>4928</v>
      </c>
      <c r="E861" s="9" t="s">
        <v>9016</v>
      </c>
      <c r="G861" s="9" t="s">
        <v>15</v>
      </c>
      <c r="H861" s="36" t="str">
        <f>IFERROR(VLOOKUP(Table2[[#This Row], [Ticket]],Okey!A:B,2,0),"")</f>
        <v>ok</v>
      </c>
      <c r="I861" s="36" t="s">
        <v>8546</v>
      </c>
      <c r="J861" s="36" t="s">
        <v>20</v>
      </c>
      <c r="L861" s="36"/>
      <c r="M861" s="36" t="s">
        <v>8013</v>
      </c>
    </row>
    <row r="862" spans="1:13" hidden="1">
      <c r="A862" s="42">
        <f t="shared" si="14"/>
        <v>861</v>
      </c>
      <c r="B862" s="36" t="s">
        <v>8</v>
      </c>
      <c r="C862" s="36" t="s">
        <v>9021</v>
      </c>
      <c r="D862" s="9" t="s">
        <v>4929</v>
      </c>
      <c r="E862" s="9" t="s">
        <v>9017</v>
      </c>
      <c r="G862" s="36" t="s">
        <v>15</v>
      </c>
      <c r="H862" s="36" t="str">
        <f>IFERROR(VLOOKUP(Table2[[#This Row], [Ticket]],Okey!A:B,2,0),"")</f>
        <v>ok</v>
      </c>
      <c r="I862" s="36" t="s">
        <v>8546</v>
      </c>
      <c r="J862" s="36" t="s">
        <v>20</v>
      </c>
      <c r="K862" s="36"/>
      <c r="L862" s="36"/>
      <c r="M862" s="36" t="s">
        <v>8013</v>
      </c>
    </row>
    <row r="863" spans="1:13" hidden="1">
      <c r="A863" s="42">
        <f t="shared" si="14"/>
        <v>862</v>
      </c>
      <c r="B863" s="36" t="s">
        <v>8</v>
      </c>
      <c r="C863" s="36" t="s">
        <v>9021</v>
      </c>
      <c r="D863" s="9" t="s">
        <v>4930</v>
      </c>
      <c r="E863" s="9" t="s">
        <v>9018</v>
      </c>
      <c r="G863" s="36" t="s">
        <v>15</v>
      </c>
      <c r="H863" s="36" t="str">
        <f>IFERROR(VLOOKUP(Table2[[#This Row], [Ticket]],Okey!A:B,2,0),"")</f>
        <v>ok</v>
      </c>
      <c r="I863" s="36" t="s">
        <v>8546</v>
      </c>
      <c r="J863" s="36" t="s">
        <v>20</v>
      </c>
      <c r="K863" s="36"/>
      <c r="L863" s="36"/>
      <c r="M863" s="36" t="s">
        <v>8013</v>
      </c>
    </row>
    <row r="864" spans="1:13" hidden="1">
      <c r="A864" s="42">
        <f t="shared" si="14"/>
        <v>863</v>
      </c>
      <c r="B864" s="36" t="s">
        <v>8</v>
      </c>
      <c r="C864" s="36" t="s">
        <v>9021</v>
      </c>
      <c r="D864" s="9" t="s">
        <v>4931</v>
      </c>
      <c r="E864" s="9" t="s">
        <v>9019</v>
      </c>
      <c r="G864" s="36" t="s">
        <v>15</v>
      </c>
      <c r="H864" s="36" t="str">
        <f>IFERROR(VLOOKUP(Table2[[#This Row], [Ticket]],Okey!A:B,2,0),"")</f>
        <v>ok</v>
      </c>
      <c r="I864" s="36" t="s">
        <v>8546</v>
      </c>
      <c r="J864" s="36" t="s">
        <v>20</v>
      </c>
      <c r="K864" s="36"/>
      <c r="L864" s="36"/>
      <c r="M864" s="36" t="s">
        <v>8013</v>
      </c>
    </row>
    <row r="865" spans="1:13" hidden="1">
      <c r="A865" s="42">
        <f t="shared" si="14"/>
        <v>864</v>
      </c>
      <c r="B865" s="36" t="s">
        <v>8</v>
      </c>
      <c r="C865" s="36" t="s">
        <v>9021</v>
      </c>
      <c r="D865" s="9" t="s">
        <v>4932</v>
      </c>
      <c r="E865" s="9" t="s">
        <v>9020</v>
      </c>
      <c r="G865" s="36" t="s">
        <v>15</v>
      </c>
      <c r="H865" s="36" t="str">
        <f>IFERROR(VLOOKUP(Table2[[#This Row], [Ticket]],Okey!A:B,2,0),"")</f>
        <v>ok</v>
      </c>
      <c r="I865" s="36" t="s">
        <v>8546</v>
      </c>
      <c r="J865" s="36" t="s">
        <v>20</v>
      </c>
      <c r="K865" s="36"/>
      <c r="L865" s="36"/>
      <c r="M865" s="36" t="s">
        <v>8013</v>
      </c>
    </row>
    <row r="866" spans="1:13" hidden="1">
      <c r="A866" s="42">
        <f t="shared" si="14"/>
        <v>865</v>
      </c>
      <c r="B866" s="36" t="s">
        <v>8</v>
      </c>
      <c r="C866" s="9" t="s">
        <v>9022</v>
      </c>
      <c r="D866" s="36" t="s">
        <v>9035</v>
      </c>
      <c r="E866" s="9" t="s">
        <v>9023</v>
      </c>
      <c r="F866" s="9" t="s">
        <v>9026</v>
      </c>
      <c r="G866" s="9" t="s">
        <v>14</v>
      </c>
      <c r="H866" s="36" t="str">
        <f>IFERROR(VLOOKUP(Table2[[#This Row], [Ticket]],Okey!A:B,2,0),"")</f>
        <v>ok</v>
      </c>
      <c r="I866" s="36" t="s">
        <v>8546</v>
      </c>
      <c r="J866" s="9" t="s">
        <v>19</v>
      </c>
      <c r="K866" s="36"/>
      <c r="L866" s="36"/>
      <c r="M866" s="9" t="s">
        <v>9034</v>
      </c>
    </row>
    <row r="867" spans="1:13" hidden="1">
      <c r="A867" s="42">
        <f t="shared" si="14"/>
        <v>866</v>
      </c>
      <c r="B867" s="36" t="s">
        <v>8</v>
      </c>
      <c r="C867" s="36" t="s">
        <v>9022</v>
      </c>
      <c r="D867" s="36" t="s">
        <v>9036</v>
      </c>
      <c r="E867" s="9" t="s">
        <v>9024</v>
      </c>
      <c r="F867" s="36" t="s">
        <v>9035</v>
      </c>
      <c r="G867" s="36" t="s">
        <v>14</v>
      </c>
      <c r="H867" s="36" t="str">
        <f>IFERROR(VLOOKUP(Table2[[#This Row], [Ticket]],Okey!A:B,2,0),"")</f>
        <v>ok</v>
      </c>
      <c r="I867" s="36" t="s">
        <v>8546</v>
      </c>
      <c r="J867" s="36" t="s">
        <v>19</v>
      </c>
      <c r="K867" s="36"/>
      <c r="L867" s="36"/>
      <c r="M867" s="36" t="s">
        <v>9034</v>
      </c>
    </row>
    <row r="868" spans="1:13" hidden="1">
      <c r="A868" s="42">
        <f t="shared" si="14"/>
        <v>867</v>
      </c>
      <c r="B868" s="36" t="s">
        <v>8</v>
      </c>
      <c r="C868" s="36" t="s">
        <v>9022</v>
      </c>
      <c r="D868" s="36" t="s">
        <v>9037</v>
      </c>
      <c r="E868" s="9" t="s">
        <v>9025</v>
      </c>
      <c r="F868" s="36" t="s">
        <v>9035</v>
      </c>
      <c r="G868" s="36" t="s">
        <v>14</v>
      </c>
      <c r="H868" s="36" t="str">
        <f>IFERROR(VLOOKUP(Table2[[#This Row], [Ticket]],Okey!A:B,2,0),"")</f>
        <v>ok</v>
      </c>
      <c r="I868" s="36" t="s">
        <v>8546</v>
      </c>
      <c r="J868" s="36" t="s">
        <v>19</v>
      </c>
      <c r="K868" s="36"/>
      <c r="L868" s="36"/>
      <c r="M868" s="36" t="s">
        <v>9034</v>
      </c>
    </row>
    <row r="869" spans="1:13" hidden="1">
      <c r="A869" s="42">
        <f t="shared" si="14"/>
        <v>868</v>
      </c>
      <c r="B869" s="36" t="s">
        <v>8</v>
      </c>
      <c r="C869" s="36" t="s">
        <v>9022</v>
      </c>
      <c r="D869" s="9" t="s">
        <v>9027</v>
      </c>
      <c r="E869" s="9" t="s">
        <v>9030</v>
      </c>
      <c r="G869" s="36" t="s">
        <v>15</v>
      </c>
      <c r="H869" s="36" t="str">
        <f>IFERROR(VLOOKUP(Table2[[#This Row], [Ticket]],Okey!A:B,2,0),"")</f>
        <v>ok</v>
      </c>
      <c r="I869" s="36" t="s">
        <v>8546</v>
      </c>
      <c r="J869" s="36" t="s">
        <v>19</v>
      </c>
      <c r="K869" s="36"/>
      <c r="L869" s="36"/>
      <c r="M869" s="36" t="s">
        <v>9034</v>
      </c>
    </row>
    <row r="870" spans="1:13" hidden="1">
      <c r="A870" s="42">
        <f t="shared" si="14"/>
        <v>869</v>
      </c>
      <c r="B870" s="36" t="s">
        <v>8</v>
      </c>
      <c r="C870" s="36" t="s">
        <v>9022</v>
      </c>
      <c r="D870" s="9" t="s">
        <v>9028</v>
      </c>
      <c r="E870" s="9" t="s">
        <v>9031</v>
      </c>
      <c r="G870" s="36" t="s">
        <v>15</v>
      </c>
      <c r="H870" s="36" t="str">
        <f>IFERROR(VLOOKUP(Table2[[#This Row], [Ticket]],Okey!A:B,2,0),"")</f>
        <v>ok</v>
      </c>
      <c r="I870" s="36" t="s">
        <v>8546</v>
      </c>
      <c r="J870" s="36" t="s">
        <v>19</v>
      </c>
      <c r="K870" s="36"/>
      <c r="L870" s="36"/>
      <c r="M870" s="36" t="s">
        <v>9034</v>
      </c>
    </row>
    <row r="871" spans="1:13" hidden="1">
      <c r="A871" s="42">
        <f t="shared" si="14"/>
        <v>870</v>
      </c>
      <c r="B871" s="36" t="s">
        <v>8</v>
      </c>
      <c r="C871" s="36" t="s">
        <v>9022</v>
      </c>
      <c r="D871" s="9" t="s">
        <v>9029</v>
      </c>
      <c r="E871" s="9" t="s">
        <v>9032</v>
      </c>
      <c r="G871" s="36" t="s">
        <v>15</v>
      </c>
      <c r="H871" s="36" t="str">
        <f>IFERROR(VLOOKUP(Table2[[#This Row], [Ticket]],Okey!A:B,2,0),"")</f>
        <v>ok</v>
      </c>
      <c r="I871" s="36" t="s">
        <v>8546</v>
      </c>
      <c r="J871" s="36" t="s">
        <v>19</v>
      </c>
      <c r="K871" s="36"/>
      <c r="L871" s="36"/>
      <c r="M871" s="36" t="s">
        <v>9034</v>
      </c>
    </row>
    <row r="872" spans="1:13" hidden="1">
      <c r="A872" s="42">
        <f t="shared" si="14"/>
        <v>871</v>
      </c>
      <c r="B872" s="36" t="s">
        <v>8</v>
      </c>
      <c r="C872" s="36" t="s">
        <v>9022</v>
      </c>
      <c r="D872" s="9" t="s">
        <v>9033</v>
      </c>
      <c r="F872" s="36" t="s">
        <v>9035</v>
      </c>
      <c r="G872" s="9" t="s">
        <v>13</v>
      </c>
      <c r="H872" s="36" t="str">
        <f>IFERROR(VLOOKUP(Table2[[#This Row], [Ticket]],Okey!A:B,2,0),"")</f>
        <v>ok</v>
      </c>
      <c r="I872" s="36" t="s">
        <v>8546</v>
      </c>
      <c r="J872" s="36" t="s">
        <v>19</v>
      </c>
      <c r="L872" s="36"/>
      <c r="M872" s="36" t="s">
        <v>9034</v>
      </c>
    </row>
    <row r="873" spans="1:13" hidden="1">
      <c r="A873" s="42">
        <f t="shared" si="14"/>
        <v>872</v>
      </c>
      <c r="B873" s="36" t="s">
        <v>8</v>
      </c>
      <c r="C873" s="9" t="s">
        <v>9038</v>
      </c>
      <c r="D873" s="36" t="s">
        <v>9040</v>
      </c>
      <c r="E873" s="9" t="s">
        <v>9039</v>
      </c>
      <c r="F873" s="9" t="s">
        <v>6118</v>
      </c>
      <c r="G873" s="9" t="s">
        <v>14</v>
      </c>
      <c r="H873" s="36" t="str">
        <f>IFERROR(VLOOKUP(Table2[[#This Row], [Ticket]],Okey!A:B,2,0),"")</f>
        <v>ok</v>
      </c>
      <c r="I873" s="36" t="s">
        <v>8546</v>
      </c>
      <c r="J873" s="36" t="s">
        <v>19</v>
      </c>
      <c r="K873" s="36"/>
      <c r="L873" s="36"/>
      <c r="M873" s="36" t="s">
        <v>9034</v>
      </c>
    </row>
    <row r="874" spans="1:13" hidden="1">
      <c r="A874" s="42">
        <f t="shared" si="14"/>
        <v>873</v>
      </c>
      <c r="B874" s="36" t="s">
        <v>8</v>
      </c>
      <c r="C874" s="36" t="s">
        <v>9038</v>
      </c>
      <c r="D874" s="78" t="s">
        <v>2010</v>
      </c>
      <c r="E874" s="79" t="s">
        <v>9041</v>
      </c>
      <c r="G874" s="36" t="s">
        <v>15</v>
      </c>
      <c r="H874" s="36" t="str">
        <f>IFERROR(VLOOKUP(Table2[[#This Row], [Ticket]],Okey!A:B,2,0),"")</f>
        <v>ok</v>
      </c>
      <c r="I874" s="36" t="s">
        <v>8546</v>
      </c>
      <c r="J874" s="36" t="s">
        <v>19</v>
      </c>
      <c r="K874" s="36"/>
      <c r="L874" s="36"/>
      <c r="M874" s="36" t="s">
        <v>9034</v>
      </c>
    </row>
    <row r="875" spans="1:13" hidden="1">
      <c r="A875" s="42">
        <f t="shared" si="14"/>
        <v>874</v>
      </c>
      <c r="B875" s="36" t="s">
        <v>8</v>
      </c>
      <c r="C875" s="36" t="s">
        <v>9038</v>
      </c>
      <c r="D875" s="9" t="s">
        <v>9042</v>
      </c>
      <c r="E875" s="9" t="s">
        <v>9047</v>
      </c>
      <c r="F875" s="9" t="s">
        <v>9040</v>
      </c>
      <c r="G875" s="9" t="s">
        <v>16</v>
      </c>
      <c r="H875" s="36" t="str">
        <f>IFERROR(VLOOKUP(Table2[[#This Row], [Ticket]],Okey!A:B,2,0),"")</f>
        <v>ok</v>
      </c>
      <c r="I875" s="36" t="s">
        <v>8546</v>
      </c>
      <c r="J875" s="36" t="s">
        <v>19</v>
      </c>
      <c r="K875" s="36"/>
      <c r="L875" s="36"/>
      <c r="M875" s="36" t="s">
        <v>9034</v>
      </c>
    </row>
    <row r="876" spans="1:13" hidden="1">
      <c r="A876" s="42">
        <f t="shared" si="14"/>
        <v>875</v>
      </c>
      <c r="B876" s="36" t="s">
        <v>8</v>
      </c>
      <c r="C876" s="36" t="s">
        <v>9038</v>
      </c>
      <c r="D876" s="9" t="s">
        <v>9043</v>
      </c>
      <c r="E876" s="9" t="s">
        <v>9048</v>
      </c>
      <c r="F876" s="36" t="s">
        <v>9040</v>
      </c>
      <c r="G876" s="36" t="s">
        <v>16</v>
      </c>
      <c r="H876" s="36" t="str">
        <f>IFERROR(VLOOKUP(Table2[[#This Row], [Ticket]],Okey!A:B,2,0),"")</f>
        <v>ok</v>
      </c>
      <c r="I876" s="36" t="s">
        <v>8546</v>
      </c>
      <c r="J876" s="36" t="s">
        <v>19</v>
      </c>
      <c r="K876" s="36"/>
      <c r="L876" s="36"/>
      <c r="M876" s="36" t="s">
        <v>9034</v>
      </c>
    </row>
    <row r="877" spans="1:13" hidden="1">
      <c r="A877" s="42">
        <f t="shared" si="14"/>
        <v>876</v>
      </c>
      <c r="B877" s="36" t="s">
        <v>8</v>
      </c>
      <c r="C877" s="36" t="s">
        <v>9038</v>
      </c>
      <c r="D877" s="9" t="s">
        <v>9044</v>
      </c>
      <c r="E877" s="9" t="s">
        <v>9049</v>
      </c>
      <c r="F877" s="36" t="s">
        <v>9040</v>
      </c>
      <c r="G877" s="36" t="s">
        <v>16</v>
      </c>
      <c r="H877" s="36" t="str">
        <f>IFERROR(VLOOKUP(Table2[[#This Row], [Ticket]],Okey!A:B,2,0),"")</f>
        <v>ok</v>
      </c>
      <c r="I877" s="36" t="s">
        <v>8546</v>
      </c>
      <c r="J877" s="36" t="s">
        <v>19</v>
      </c>
      <c r="K877" s="36"/>
      <c r="L877" s="36"/>
      <c r="M877" s="36" t="s">
        <v>9034</v>
      </c>
    </row>
    <row r="878" spans="1:13" hidden="1">
      <c r="A878" s="42">
        <f t="shared" si="14"/>
        <v>877</v>
      </c>
      <c r="B878" s="36" t="s">
        <v>8</v>
      </c>
      <c r="C878" s="36" t="s">
        <v>9038</v>
      </c>
      <c r="D878" s="9" t="s">
        <v>9045</v>
      </c>
      <c r="E878" s="9" t="s">
        <v>9050</v>
      </c>
      <c r="F878" s="36" t="s">
        <v>9040</v>
      </c>
      <c r="G878" s="36" t="s">
        <v>16</v>
      </c>
      <c r="H878" s="36" t="str">
        <f>IFERROR(VLOOKUP(Table2[[#This Row], [Ticket]],Okey!A:B,2,0),"")</f>
        <v>ok</v>
      </c>
      <c r="I878" s="36" t="s">
        <v>8546</v>
      </c>
      <c r="J878" s="36" t="s">
        <v>19</v>
      </c>
      <c r="K878" s="36"/>
      <c r="L878" s="36"/>
      <c r="M878" s="36" t="s">
        <v>9034</v>
      </c>
    </row>
    <row r="879" spans="1:13" hidden="1">
      <c r="A879" s="42">
        <f t="shared" si="14"/>
        <v>878</v>
      </c>
      <c r="B879" s="36" t="s">
        <v>8</v>
      </c>
      <c r="C879" s="36" t="s">
        <v>9038</v>
      </c>
      <c r="D879" s="9" t="s">
        <v>9046</v>
      </c>
      <c r="E879" s="9" t="s">
        <v>9051</v>
      </c>
      <c r="F879" s="36" t="s">
        <v>9040</v>
      </c>
      <c r="G879" s="36" t="s">
        <v>16</v>
      </c>
      <c r="H879" s="36" t="str">
        <f>IFERROR(VLOOKUP(Table2[[#This Row], [Ticket]],Okey!A:B,2,0),"")</f>
        <v>ok</v>
      </c>
      <c r="I879" s="36" t="s">
        <v>8546</v>
      </c>
      <c r="J879" s="36" t="s">
        <v>19</v>
      </c>
      <c r="K879" s="36"/>
      <c r="L879" s="36"/>
      <c r="M879" s="36" t="s">
        <v>9034</v>
      </c>
    </row>
    <row r="880" spans="1:13" hidden="1">
      <c r="A880" s="42">
        <f t="shared" si="14"/>
        <v>879</v>
      </c>
      <c r="B880" s="36" t="s">
        <v>8</v>
      </c>
      <c r="C880" s="36" t="s">
        <v>9038</v>
      </c>
      <c r="D880" s="9" t="s">
        <v>9052</v>
      </c>
      <c r="F880" s="36" t="s">
        <v>9040</v>
      </c>
      <c r="G880" s="9" t="s">
        <v>13</v>
      </c>
      <c r="H880" s="36" t="str">
        <f>IFERROR(VLOOKUP(Table2[[#This Row], [Ticket]],Okey!A:B,2,0),"")</f>
        <v>ok</v>
      </c>
      <c r="I880" s="36" t="s">
        <v>8546</v>
      </c>
      <c r="J880" s="36" t="s">
        <v>19</v>
      </c>
      <c r="K880" s="36"/>
      <c r="L880" s="36"/>
      <c r="M880" s="36" t="s">
        <v>9034</v>
      </c>
    </row>
    <row r="881" spans="1:13" hidden="1">
      <c r="A881" s="42">
        <f t="shared" si="14"/>
        <v>880</v>
      </c>
      <c r="B881" s="36" t="s">
        <v>8</v>
      </c>
      <c r="C881" s="36" t="s">
        <v>9038</v>
      </c>
      <c r="D881" s="9" t="s">
        <v>9053</v>
      </c>
      <c r="F881" s="36" t="s">
        <v>9040</v>
      </c>
      <c r="G881" s="36" t="s">
        <v>13</v>
      </c>
      <c r="H881" s="36" t="str">
        <f>IFERROR(VLOOKUP(Table2[[#This Row], [Ticket]],Okey!A:B,2,0),"")</f>
        <v>ok</v>
      </c>
      <c r="I881" s="36" t="s">
        <v>8546</v>
      </c>
      <c r="J881" s="36" t="s">
        <v>19</v>
      </c>
      <c r="K881" s="36"/>
      <c r="L881" s="36"/>
      <c r="M881" s="36" t="s">
        <v>9034</v>
      </c>
    </row>
    <row r="882" spans="1:13" hidden="1">
      <c r="A882" s="42">
        <f t="shared" si="14"/>
        <v>881</v>
      </c>
      <c r="B882" s="36" t="s">
        <v>8</v>
      </c>
      <c r="C882" s="36" t="s">
        <v>9038</v>
      </c>
      <c r="D882" s="9" t="s">
        <v>9054</v>
      </c>
      <c r="F882" s="36" t="s">
        <v>9040</v>
      </c>
      <c r="G882" s="36" t="s">
        <v>13</v>
      </c>
      <c r="H882" s="36" t="str">
        <f>IFERROR(VLOOKUP(Table2[[#This Row], [Ticket]],Okey!A:B,2,0),"")</f>
        <v>ok</v>
      </c>
      <c r="I882" s="36" t="s">
        <v>8546</v>
      </c>
      <c r="J882" s="36" t="s">
        <v>19</v>
      </c>
      <c r="K882" s="36"/>
      <c r="L882" s="36"/>
      <c r="M882" s="36" t="s">
        <v>9034</v>
      </c>
    </row>
    <row r="883" spans="1:13" hidden="1">
      <c r="A883" s="42">
        <f t="shared" si="14"/>
        <v>882</v>
      </c>
      <c r="B883" s="36" t="s">
        <v>8</v>
      </c>
      <c r="C883" s="36" t="s">
        <v>9038</v>
      </c>
      <c r="D883" s="9" t="s">
        <v>9055</v>
      </c>
      <c r="F883" s="36" t="s">
        <v>9040</v>
      </c>
      <c r="G883" s="36" t="s">
        <v>13</v>
      </c>
      <c r="H883" s="36" t="str">
        <f>IFERROR(VLOOKUP(Table2[[#This Row], [Ticket]],Okey!A:B,2,0),"")</f>
        <v>ok</v>
      </c>
      <c r="I883" s="36" t="s">
        <v>8546</v>
      </c>
      <c r="J883" s="36" t="s">
        <v>19</v>
      </c>
      <c r="K883" s="36"/>
      <c r="L883" s="36"/>
      <c r="M883" s="36" t="s">
        <v>9034</v>
      </c>
    </row>
    <row r="884" spans="1:13" hidden="1">
      <c r="A884" s="42">
        <f t="shared" si="14"/>
        <v>883</v>
      </c>
      <c r="B884" s="36" t="s">
        <v>8</v>
      </c>
      <c r="C884" s="36" t="s">
        <v>9038</v>
      </c>
      <c r="D884" s="9" t="s">
        <v>9056</v>
      </c>
      <c r="F884" s="36" t="s">
        <v>9040</v>
      </c>
      <c r="G884" s="36" t="s">
        <v>13</v>
      </c>
      <c r="H884" s="36" t="str">
        <f>IFERROR(VLOOKUP(Table2[[#This Row], [Ticket]],Okey!A:B,2,0),"")</f>
        <v>ok</v>
      </c>
      <c r="I884" s="36" t="s">
        <v>8546</v>
      </c>
      <c r="J884" s="36" t="s">
        <v>19</v>
      </c>
      <c r="K884" s="36"/>
      <c r="L884" s="36"/>
      <c r="M884" s="36" t="s">
        <v>9034</v>
      </c>
    </row>
    <row r="885" spans="1:13" hidden="1">
      <c r="A885" s="42">
        <f t="shared" si="14"/>
        <v>884</v>
      </c>
      <c r="B885" s="36" t="s">
        <v>8</v>
      </c>
      <c r="C885" s="36" t="s">
        <v>9038</v>
      </c>
      <c r="D885" s="9" t="s">
        <v>9057</v>
      </c>
      <c r="F885" s="9" t="s">
        <v>275</v>
      </c>
      <c r="G885" s="9" t="s">
        <v>8544</v>
      </c>
      <c r="H885" s="36" t="str">
        <f>IFERROR(VLOOKUP(Table2[[#This Row], [Ticket]],Okey!A:B,2,0),"")</f>
        <v>ok</v>
      </c>
      <c r="I885" s="36" t="s">
        <v>8546</v>
      </c>
      <c r="J885" s="36" t="s">
        <v>19</v>
      </c>
      <c r="L885" s="36"/>
      <c r="M885" s="36" t="s">
        <v>9034</v>
      </c>
    </row>
    <row r="886" spans="1:13" hidden="1">
      <c r="A886" s="42">
        <f t="shared" si="14"/>
        <v>885</v>
      </c>
      <c r="B886" s="36" t="s">
        <v>8</v>
      </c>
      <c r="C886" s="9" t="s">
        <v>9058</v>
      </c>
      <c r="D886" s="9" t="s">
        <v>6100</v>
      </c>
      <c r="E886" s="9" t="s">
        <v>9061</v>
      </c>
      <c r="F886" s="9" t="s">
        <v>6118</v>
      </c>
      <c r="G886" s="36" t="s">
        <v>16</v>
      </c>
      <c r="H886" s="36" t="str">
        <f>IFERROR(VLOOKUP(Table2[[#This Row], [Ticket]],Okey!A:B,2,0),"")</f>
        <v>ok</v>
      </c>
      <c r="I886" s="36" t="s">
        <v>8546</v>
      </c>
      <c r="J886" s="36" t="s">
        <v>19</v>
      </c>
      <c r="K886" s="36"/>
      <c r="L886" s="36"/>
      <c r="M886" s="36" t="s">
        <v>9034</v>
      </c>
    </row>
    <row r="887" spans="1:13" hidden="1">
      <c r="A887" s="42">
        <f t="shared" si="14"/>
        <v>886</v>
      </c>
      <c r="B887" s="36" t="s">
        <v>8</v>
      </c>
      <c r="C887" s="36" t="s">
        <v>9058</v>
      </c>
      <c r="D887" s="9" t="s">
        <v>9059</v>
      </c>
      <c r="F887" s="9" t="s">
        <v>6100</v>
      </c>
      <c r="G887" s="36" t="s">
        <v>13</v>
      </c>
      <c r="H887" s="36" t="str">
        <f>IFERROR(VLOOKUP(Table2[[#This Row], [Ticket]],Okey!A:B,2,0),"")</f>
        <v>ok</v>
      </c>
      <c r="I887" s="36" t="s">
        <v>8546</v>
      </c>
      <c r="J887" s="36" t="s">
        <v>19</v>
      </c>
      <c r="K887" s="36"/>
      <c r="L887" s="36"/>
      <c r="M887" s="36" t="s">
        <v>9034</v>
      </c>
    </row>
    <row r="888" spans="1:13" hidden="1">
      <c r="A888" s="42">
        <f t="shared" si="14"/>
        <v>887</v>
      </c>
      <c r="B888" s="36" t="s">
        <v>8</v>
      </c>
      <c r="C888" s="36" t="s">
        <v>9058</v>
      </c>
      <c r="D888" s="9" t="s">
        <v>9060</v>
      </c>
      <c r="F888" s="9" t="s">
        <v>6100</v>
      </c>
      <c r="G888" s="36" t="s">
        <v>13</v>
      </c>
      <c r="H888" s="36" t="str">
        <f>IFERROR(VLOOKUP(Table2[[#This Row], [Ticket]],Okey!A:B,2,0),"")</f>
        <v>ok</v>
      </c>
      <c r="I888" s="36" t="s">
        <v>8546</v>
      </c>
      <c r="J888" s="36" t="s">
        <v>19</v>
      </c>
      <c r="K888" s="36"/>
      <c r="L888" s="36"/>
      <c r="M888" s="36" t="s">
        <v>9034</v>
      </c>
    </row>
    <row r="889" spans="1:13" hidden="1">
      <c r="A889" s="42">
        <f t="shared" si="14"/>
        <v>888</v>
      </c>
      <c r="B889" s="36" t="s">
        <v>8</v>
      </c>
      <c r="C889" s="9" t="s">
        <v>9080</v>
      </c>
      <c r="D889" s="36" t="s">
        <v>9071</v>
      </c>
      <c r="E889" s="80" t="s">
        <v>9062</v>
      </c>
      <c r="F889" s="81" t="s">
        <v>6118</v>
      </c>
      <c r="G889" s="9" t="s">
        <v>14</v>
      </c>
      <c r="H889" s="36" t="str">
        <f>IFERROR(VLOOKUP(Table2[[#This Row], [Ticket]],Okey!A:B,2,0),"")</f>
        <v>ok</v>
      </c>
      <c r="I889" s="36" t="s">
        <v>8546</v>
      </c>
      <c r="J889" s="36" t="s">
        <v>19</v>
      </c>
      <c r="K889" s="36"/>
      <c r="L889" s="36"/>
      <c r="M889" s="36" t="s">
        <v>9034</v>
      </c>
    </row>
    <row r="890" spans="1:13" hidden="1">
      <c r="A890" s="42">
        <f t="shared" si="14"/>
        <v>889</v>
      </c>
      <c r="B890" s="36" t="s">
        <v>8</v>
      </c>
      <c r="C890" s="36" t="s">
        <v>9080</v>
      </c>
      <c r="D890" s="82" t="s">
        <v>9063</v>
      </c>
      <c r="E890" s="83" t="s">
        <v>9064</v>
      </c>
      <c r="G890" s="9" t="s">
        <v>15</v>
      </c>
      <c r="H890" s="36" t="str">
        <f>IFERROR(VLOOKUP(Table2[[#This Row], [Ticket]],Okey!A:B,2,0),"")</f>
        <v>ok</v>
      </c>
      <c r="I890" s="36" t="s">
        <v>8546</v>
      </c>
      <c r="J890" s="36" t="s">
        <v>19</v>
      </c>
      <c r="K890" s="36"/>
      <c r="L890" s="36"/>
      <c r="M890" s="36" t="s">
        <v>9034</v>
      </c>
    </row>
    <row r="891" spans="1:13" hidden="1">
      <c r="A891" s="42">
        <f t="shared" si="14"/>
        <v>890</v>
      </c>
      <c r="B891" s="36" t="s">
        <v>8</v>
      </c>
      <c r="C891" s="36" t="s">
        <v>9080</v>
      </c>
      <c r="D891" s="84" t="s">
        <v>9065</v>
      </c>
      <c r="E891" s="9" t="s">
        <v>9067</v>
      </c>
      <c r="F891" s="85" t="s">
        <v>9071</v>
      </c>
      <c r="G891" s="9" t="s">
        <v>16</v>
      </c>
      <c r="H891" s="36" t="str">
        <f>IFERROR(VLOOKUP(Table2[[#This Row], [Ticket]],Okey!A:B,2,0),"")</f>
        <v>ok</v>
      </c>
      <c r="I891" s="36" t="s">
        <v>8546</v>
      </c>
      <c r="J891" s="36" t="s">
        <v>19</v>
      </c>
      <c r="K891" s="36"/>
      <c r="L891" s="36"/>
      <c r="M891" s="36" t="s">
        <v>9034</v>
      </c>
    </row>
    <row r="892" spans="1:13" hidden="1">
      <c r="A892" s="42">
        <f t="shared" si="14"/>
        <v>891</v>
      </c>
      <c r="B892" s="36" t="s">
        <v>8</v>
      </c>
      <c r="C892" s="36" t="s">
        <v>9080</v>
      </c>
      <c r="D892" s="84" t="s">
        <v>7583</v>
      </c>
      <c r="E892" s="9" t="s">
        <v>9068</v>
      </c>
      <c r="F892" s="85" t="s">
        <v>9071</v>
      </c>
      <c r="G892" s="36" t="s">
        <v>16</v>
      </c>
      <c r="H892" s="36" t="str">
        <f>IFERROR(VLOOKUP(Table2[[#This Row], [Ticket]],Okey!A:B,2,0),"")</f>
        <v>ok</v>
      </c>
      <c r="I892" s="36" t="s">
        <v>8546</v>
      </c>
      <c r="J892" s="36" t="s">
        <v>19</v>
      </c>
      <c r="K892" s="36"/>
      <c r="L892" s="36"/>
      <c r="M892" s="36" t="s">
        <v>9034</v>
      </c>
    </row>
    <row r="893" spans="1:13" hidden="1">
      <c r="A893" s="42">
        <f t="shared" si="14"/>
        <v>892</v>
      </c>
      <c r="B893" s="36" t="s">
        <v>8</v>
      </c>
      <c r="C893" s="36" t="s">
        <v>9080</v>
      </c>
      <c r="D893" s="84" t="s">
        <v>9066</v>
      </c>
      <c r="E893" s="9" t="s">
        <v>9069</v>
      </c>
      <c r="F893" s="85" t="s">
        <v>9071</v>
      </c>
      <c r="G893" s="36" t="s">
        <v>16</v>
      </c>
      <c r="H893" s="36" t="str">
        <f>IFERROR(VLOOKUP(Table2[[#This Row], [Ticket]],Okey!A:B,2,0),"")</f>
        <v>ok</v>
      </c>
      <c r="I893" s="36" t="s">
        <v>8546</v>
      </c>
      <c r="J893" s="36" t="s">
        <v>19</v>
      </c>
      <c r="K893" s="36"/>
      <c r="L893" s="36"/>
      <c r="M893" s="36" t="s">
        <v>9034</v>
      </c>
    </row>
    <row r="894" spans="1:13" hidden="1">
      <c r="A894" s="42">
        <f t="shared" si="14"/>
        <v>893</v>
      </c>
      <c r="B894" s="36" t="s">
        <v>8</v>
      </c>
      <c r="C894" s="36" t="s">
        <v>9080</v>
      </c>
      <c r="D894" s="84" t="s">
        <v>1713</v>
      </c>
      <c r="E894" s="9" t="s">
        <v>9070</v>
      </c>
      <c r="F894" s="85" t="s">
        <v>9071</v>
      </c>
      <c r="G894" s="36" t="s">
        <v>16</v>
      </c>
      <c r="H894" s="36" t="str">
        <f>IFERROR(VLOOKUP(Table2[[#This Row], [Ticket]],Okey!A:B,2,0),"")</f>
        <v>ok</v>
      </c>
      <c r="I894" s="36" t="s">
        <v>8546</v>
      </c>
      <c r="J894" s="36" t="s">
        <v>19</v>
      </c>
      <c r="K894" s="36"/>
      <c r="L894" s="36"/>
      <c r="M894" s="36" t="s">
        <v>9034</v>
      </c>
    </row>
    <row r="895" spans="1:13" hidden="1">
      <c r="A895" s="42">
        <f t="shared" si="14"/>
        <v>894</v>
      </c>
      <c r="B895" s="36" t="s">
        <v>8</v>
      </c>
      <c r="C895" s="36" t="s">
        <v>9080</v>
      </c>
      <c r="D895" s="9" t="s">
        <v>9072</v>
      </c>
      <c r="F895" s="85" t="s">
        <v>9071</v>
      </c>
      <c r="G895" s="9" t="s">
        <v>13</v>
      </c>
      <c r="H895" s="36" t="str">
        <f>IFERROR(VLOOKUP(Table2[[#This Row], [Ticket]],Okey!A:B,2,0),"")</f>
        <v>ok</v>
      </c>
      <c r="I895" s="36" t="s">
        <v>8546</v>
      </c>
      <c r="J895" s="36" t="s">
        <v>19</v>
      </c>
      <c r="K895" s="36"/>
      <c r="L895" s="36"/>
      <c r="M895" s="36" t="s">
        <v>9034</v>
      </c>
    </row>
    <row r="896" spans="1:13" hidden="1">
      <c r="A896" s="42">
        <f t="shared" si="14"/>
        <v>895</v>
      </c>
      <c r="B896" s="36" t="s">
        <v>8</v>
      </c>
      <c r="C896" s="36" t="s">
        <v>9080</v>
      </c>
      <c r="D896" s="9" t="s">
        <v>9073</v>
      </c>
      <c r="F896" s="85" t="s">
        <v>9071</v>
      </c>
      <c r="G896" s="36" t="s">
        <v>13</v>
      </c>
      <c r="H896" s="36" t="str">
        <f>IFERROR(VLOOKUP(Table2[[#This Row], [Ticket]],Okey!A:B,2,0),"")</f>
        <v>ok</v>
      </c>
      <c r="I896" s="36" t="s">
        <v>8546</v>
      </c>
      <c r="J896" s="36" t="s">
        <v>19</v>
      </c>
      <c r="K896" s="36"/>
      <c r="L896" s="36"/>
      <c r="M896" s="36" t="s">
        <v>9034</v>
      </c>
    </row>
    <row r="897" spans="1:13" hidden="1">
      <c r="A897" s="42">
        <f t="shared" si="14"/>
        <v>896</v>
      </c>
      <c r="B897" s="36" t="s">
        <v>8</v>
      </c>
      <c r="C897" s="36" t="s">
        <v>9080</v>
      </c>
      <c r="D897" s="9" t="s">
        <v>9074</v>
      </c>
      <c r="F897" s="85" t="s">
        <v>9071</v>
      </c>
      <c r="G897" s="36" t="s">
        <v>13</v>
      </c>
      <c r="H897" s="36" t="str">
        <f>IFERROR(VLOOKUP(Table2[[#This Row], [Ticket]],Okey!A:B,2,0),"")</f>
        <v>ok</v>
      </c>
      <c r="I897" s="36" t="s">
        <v>8546</v>
      </c>
      <c r="J897" s="36" t="s">
        <v>19</v>
      </c>
      <c r="K897" s="36"/>
      <c r="L897" s="36"/>
      <c r="M897" s="36" t="s">
        <v>9034</v>
      </c>
    </row>
    <row r="898" spans="1:13" hidden="1">
      <c r="A898" s="42">
        <f t="shared" si="14"/>
        <v>897</v>
      </c>
      <c r="B898" s="36" t="s">
        <v>8</v>
      </c>
      <c r="C898" s="36" t="s">
        <v>9080</v>
      </c>
      <c r="D898" s="9" t="s">
        <v>1714</v>
      </c>
      <c r="F898" s="85" t="s">
        <v>9071</v>
      </c>
      <c r="G898" s="36" t="s">
        <v>13</v>
      </c>
      <c r="H898" s="36" t="str">
        <f>IFERROR(VLOOKUP(Table2[[#This Row], [Ticket]],Okey!A:B,2,0),"")</f>
        <v>ok</v>
      </c>
      <c r="I898" s="36" t="s">
        <v>8546</v>
      </c>
      <c r="J898" s="36" t="s">
        <v>19</v>
      </c>
      <c r="K898" s="36"/>
      <c r="L898" s="36"/>
      <c r="M898" s="36" t="s">
        <v>9034</v>
      </c>
    </row>
    <row r="899" spans="1:13" hidden="1">
      <c r="A899" s="42">
        <f t="shared" si="14"/>
        <v>898</v>
      </c>
      <c r="B899" s="36" t="s">
        <v>8</v>
      </c>
      <c r="C899" s="36" t="s">
        <v>9080</v>
      </c>
      <c r="D899" s="9" t="s">
        <v>9075</v>
      </c>
      <c r="F899" s="85" t="s">
        <v>9071</v>
      </c>
      <c r="G899" s="36" t="s">
        <v>13</v>
      </c>
      <c r="H899" s="36" t="str">
        <f>IFERROR(VLOOKUP(Table2[[#This Row], [Ticket]],Okey!A:B,2,0),"")</f>
        <v>ok</v>
      </c>
      <c r="I899" s="36" t="s">
        <v>8546</v>
      </c>
      <c r="J899" s="36" t="s">
        <v>19</v>
      </c>
      <c r="K899" s="36"/>
      <c r="L899" s="36"/>
      <c r="M899" s="36" t="s">
        <v>9034</v>
      </c>
    </row>
    <row r="900" spans="1:13" hidden="1">
      <c r="A900" s="42">
        <f t="shared" si="14"/>
        <v>899</v>
      </c>
      <c r="B900" s="36" t="s">
        <v>8</v>
      </c>
      <c r="C900" s="36" t="s">
        <v>9080</v>
      </c>
      <c r="D900" s="9" t="s">
        <v>9076</v>
      </c>
      <c r="F900" s="9" t="s">
        <v>1713</v>
      </c>
      <c r="G900" s="36" t="s">
        <v>13</v>
      </c>
      <c r="H900" s="36" t="str">
        <f>IFERROR(VLOOKUP(Table2[[#This Row], [Ticket]],Okey!A:B,2,0),"")</f>
        <v>ok</v>
      </c>
      <c r="I900" s="36" t="s">
        <v>8546</v>
      </c>
      <c r="J900" s="36" t="s">
        <v>19</v>
      </c>
      <c r="K900" s="36"/>
      <c r="L900" s="36"/>
      <c r="M900" s="36" t="s">
        <v>9034</v>
      </c>
    </row>
    <row r="901" spans="1:13" hidden="1">
      <c r="A901" s="42">
        <f t="shared" si="14"/>
        <v>900</v>
      </c>
      <c r="B901" s="36" t="s">
        <v>8</v>
      </c>
      <c r="C901" s="36" t="s">
        <v>9080</v>
      </c>
      <c r="D901" s="9" t="s">
        <v>9077</v>
      </c>
      <c r="F901" s="85" t="s">
        <v>9071</v>
      </c>
      <c r="G901" s="36" t="s">
        <v>13</v>
      </c>
      <c r="H901" s="36" t="str">
        <f>IFERROR(VLOOKUP(Table2[[#This Row], [Ticket]],Okey!A:B,2,0),"")</f>
        <v>ok</v>
      </c>
      <c r="I901" s="36" t="s">
        <v>8546</v>
      </c>
      <c r="J901" s="36" t="s">
        <v>19</v>
      </c>
      <c r="K901" s="36"/>
      <c r="L901" s="36"/>
      <c r="M901" s="36" t="s">
        <v>9034</v>
      </c>
    </row>
    <row r="902" spans="1:13" hidden="1">
      <c r="A902" s="42">
        <f t="shared" si="14"/>
        <v>901</v>
      </c>
      <c r="B902" s="36" t="s">
        <v>8</v>
      </c>
      <c r="C902" s="36" t="s">
        <v>9080</v>
      </c>
      <c r="D902" s="9" t="s">
        <v>4935</v>
      </c>
      <c r="F902" s="85" t="s">
        <v>9071</v>
      </c>
      <c r="G902" s="36" t="s">
        <v>13</v>
      </c>
      <c r="H902" s="36" t="str">
        <f>IFERROR(VLOOKUP(Table2[[#This Row], [Ticket]],Okey!A:B,2,0),"")</f>
        <v>ok</v>
      </c>
      <c r="I902" s="36" t="s">
        <v>8546</v>
      </c>
      <c r="J902" s="36" t="s">
        <v>19</v>
      </c>
      <c r="K902" s="36"/>
      <c r="L902" s="36"/>
      <c r="M902" s="36" t="s">
        <v>9034</v>
      </c>
    </row>
    <row r="903" spans="1:13" hidden="1">
      <c r="A903" s="42">
        <f t="shared" si="14"/>
        <v>902</v>
      </c>
      <c r="B903" s="36" t="s">
        <v>8</v>
      </c>
      <c r="C903" s="36" t="s">
        <v>9080</v>
      </c>
      <c r="D903" s="9" t="s">
        <v>6097</v>
      </c>
      <c r="F903" s="9" t="s">
        <v>9079</v>
      </c>
      <c r="G903" s="36" t="s">
        <v>13</v>
      </c>
      <c r="H903" s="36" t="str">
        <f>IFERROR(VLOOKUP(Table2[[#This Row], [Ticket]],Okey!A:B,2,0),"")</f>
        <v>ok</v>
      </c>
      <c r="I903" s="36" t="s">
        <v>8546</v>
      </c>
      <c r="J903" s="36" t="s">
        <v>19</v>
      </c>
      <c r="K903" s="36"/>
      <c r="L903" s="36"/>
      <c r="M903" s="36" t="s">
        <v>9034</v>
      </c>
    </row>
    <row r="904" spans="1:13" hidden="1">
      <c r="A904" s="42">
        <f t="shared" si="14"/>
        <v>903</v>
      </c>
      <c r="B904" s="36" t="s">
        <v>8</v>
      </c>
      <c r="C904" s="36" t="s">
        <v>9080</v>
      </c>
      <c r="D904" s="9" t="s">
        <v>6099</v>
      </c>
      <c r="F904" s="36" t="s">
        <v>9079</v>
      </c>
      <c r="G904" s="36" t="s">
        <v>13</v>
      </c>
      <c r="H904" s="36" t="str">
        <f>IFERROR(VLOOKUP(Table2[[#This Row], [Ticket]],Okey!A:B,2,0),"")</f>
        <v>ok</v>
      </c>
      <c r="I904" s="36" t="s">
        <v>8546</v>
      </c>
      <c r="J904" s="36" t="s">
        <v>19</v>
      </c>
      <c r="K904" s="36"/>
      <c r="L904" s="36"/>
      <c r="M904" s="36" t="s">
        <v>9034</v>
      </c>
    </row>
    <row r="905" spans="1:13" hidden="1">
      <c r="A905" s="42">
        <f t="shared" si="14"/>
        <v>904</v>
      </c>
      <c r="B905" s="36" t="s">
        <v>8</v>
      </c>
      <c r="C905" s="36" t="s">
        <v>9080</v>
      </c>
      <c r="D905" s="9" t="s">
        <v>9078</v>
      </c>
      <c r="F905" s="36" t="s">
        <v>9079</v>
      </c>
      <c r="G905" s="36" t="s">
        <v>13</v>
      </c>
      <c r="H905" s="36" t="str">
        <f>IFERROR(VLOOKUP(Table2[[#This Row], [Ticket]],Okey!A:B,2,0),"")</f>
        <v>ok</v>
      </c>
      <c r="I905" s="36" t="s">
        <v>8546</v>
      </c>
      <c r="J905" s="36" t="s">
        <v>19</v>
      </c>
      <c r="K905" s="36"/>
      <c r="L905" s="36"/>
      <c r="M905" s="36" t="s">
        <v>9034</v>
      </c>
    </row>
    <row r="906" spans="1:13" hidden="1">
      <c r="A906" s="42">
        <f t="shared" si="14"/>
        <v>905</v>
      </c>
      <c r="B906" s="36" t="s">
        <v>8</v>
      </c>
      <c r="C906" s="36" t="s">
        <v>9080</v>
      </c>
      <c r="D906" s="9" t="s">
        <v>9081</v>
      </c>
      <c r="F906" s="36" t="s">
        <v>275</v>
      </c>
      <c r="G906" s="36" t="s">
        <v>8544</v>
      </c>
      <c r="H906" s="36" t="str">
        <f>IFERROR(VLOOKUP(Table2[[#This Row], [Ticket]],Okey!A:B,2,0),"")</f>
        <v>ok</v>
      </c>
      <c r="I906" s="36" t="s">
        <v>8546</v>
      </c>
      <c r="J906" s="36" t="s">
        <v>19</v>
      </c>
      <c r="K906" s="36"/>
      <c r="L906" s="36"/>
      <c r="M906" s="36" t="s">
        <v>9034</v>
      </c>
    </row>
    <row r="907" spans="1:13" hidden="1">
      <c r="A907" s="42">
        <f t="shared" si="14"/>
        <v>906</v>
      </c>
      <c r="B907" s="36" t="s">
        <v>8</v>
      </c>
      <c r="C907" s="36" t="s">
        <v>9080</v>
      </c>
      <c r="D907" s="9" t="s">
        <v>4934</v>
      </c>
      <c r="F907" s="36" t="s">
        <v>275</v>
      </c>
      <c r="G907" s="36" t="s">
        <v>8544</v>
      </c>
      <c r="H907" s="36" t="str">
        <f>IFERROR(VLOOKUP(Table2[[#This Row], [Ticket]],Okey!A:B,2,0),"")</f>
        <v>ok</v>
      </c>
      <c r="I907" s="36" t="s">
        <v>8546</v>
      </c>
      <c r="J907" s="36" t="s">
        <v>19</v>
      </c>
      <c r="K907" s="36"/>
      <c r="L907" s="36"/>
      <c r="M907" s="36" t="s">
        <v>9034</v>
      </c>
    </row>
    <row r="908" spans="1:13" hidden="1">
      <c r="A908" s="42">
        <f t="shared" si="14"/>
        <v>907</v>
      </c>
      <c r="B908" s="36" t="s">
        <v>8</v>
      </c>
      <c r="C908" s="36" t="s">
        <v>9080</v>
      </c>
      <c r="D908" s="9" t="s">
        <v>4936</v>
      </c>
      <c r="F908" s="36" t="s">
        <v>275</v>
      </c>
      <c r="G908" s="36" t="s">
        <v>8544</v>
      </c>
      <c r="H908" s="36" t="str">
        <f>IFERROR(VLOOKUP(Table2[[#This Row], [Ticket]],Okey!A:B,2,0),"")</f>
        <v>ok</v>
      </c>
      <c r="I908" s="36" t="s">
        <v>8546</v>
      </c>
      <c r="J908" s="36" t="s">
        <v>19</v>
      </c>
      <c r="K908" s="36"/>
      <c r="L908" s="36"/>
      <c r="M908" s="36" t="s">
        <v>9034</v>
      </c>
    </row>
    <row r="909" spans="1:13" hidden="1">
      <c r="A909" s="42">
        <f t="shared" si="14"/>
        <v>908</v>
      </c>
      <c r="B909" s="36" t="s">
        <v>8</v>
      </c>
      <c r="C909" s="36" t="s">
        <v>9080</v>
      </c>
      <c r="D909" s="9" t="s">
        <v>9082</v>
      </c>
      <c r="F909" s="36" t="s">
        <v>275</v>
      </c>
      <c r="G909" s="36" t="s">
        <v>8544</v>
      </c>
      <c r="H909" s="36" t="str">
        <f>IFERROR(VLOOKUP(Table2[[#This Row], [Ticket]],Okey!A:B,2,0),"")</f>
        <v>ok</v>
      </c>
      <c r="I909" s="36" t="s">
        <v>8546</v>
      </c>
      <c r="J909" s="36" t="s">
        <v>19</v>
      </c>
      <c r="K909" s="36"/>
      <c r="L909" s="36"/>
      <c r="M909" s="36" t="s">
        <v>9034</v>
      </c>
    </row>
    <row r="910" spans="1:13" hidden="1">
      <c r="A910" s="42">
        <f t="shared" si="14"/>
        <v>909</v>
      </c>
      <c r="B910" s="36" t="s">
        <v>8</v>
      </c>
      <c r="C910" s="36" t="s">
        <v>9080</v>
      </c>
      <c r="D910" s="9" t="s">
        <v>6101</v>
      </c>
      <c r="F910" s="36" t="s">
        <v>275</v>
      </c>
      <c r="G910" s="36" t="s">
        <v>8544</v>
      </c>
      <c r="H910" s="36" t="str">
        <f>IFERROR(VLOOKUP(Table2[[#This Row], [Ticket]],Okey!A:B,2,0),"")</f>
        <v>ok</v>
      </c>
      <c r="I910" s="36" t="s">
        <v>8546</v>
      </c>
      <c r="J910" s="36" t="s">
        <v>19</v>
      </c>
      <c r="K910" s="36"/>
      <c r="L910" s="36"/>
      <c r="M910" s="36" t="s">
        <v>9034</v>
      </c>
    </row>
    <row r="911" spans="1:13" hidden="1">
      <c r="A911" s="42">
        <f t="shared" si="14"/>
        <v>910</v>
      </c>
      <c r="B911" s="36" t="s">
        <v>8</v>
      </c>
      <c r="C911" s="9" t="s">
        <v>9083</v>
      </c>
      <c r="D911" s="9" t="s">
        <v>8142</v>
      </c>
      <c r="E911" s="9" t="s">
        <v>9084</v>
      </c>
      <c r="G911" s="36" t="s">
        <v>15</v>
      </c>
      <c r="H911" s="36" t="str">
        <f>IFERROR(VLOOKUP(Table2[[#This Row], [Ticket]],Okey!A:B,2,0),"")</f>
        <v>ok</v>
      </c>
      <c r="I911" s="36" t="s">
        <v>8546</v>
      </c>
      <c r="J911" s="36" t="s">
        <v>19</v>
      </c>
      <c r="K911" s="36"/>
      <c r="L911" s="36"/>
      <c r="M911" s="36" t="s">
        <v>9034</v>
      </c>
    </row>
    <row r="912" spans="1:13" hidden="1">
      <c r="A912" s="42">
        <f t="shared" si="14"/>
        <v>911</v>
      </c>
      <c r="B912" s="36" t="s">
        <v>8</v>
      </c>
      <c r="C912" s="36" t="s">
        <v>9083</v>
      </c>
      <c r="D912" s="9" t="s">
        <v>6692</v>
      </c>
      <c r="E912" s="9" t="s">
        <v>9085</v>
      </c>
      <c r="G912" s="36" t="s">
        <v>15</v>
      </c>
      <c r="H912" s="36" t="str">
        <f>IFERROR(VLOOKUP(Table2[[#This Row], [Ticket]],Okey!A:B,2,0),"")</f>
        <v>ok</v>
      </c>
      <c r="I912" s="36" t="s">
        <v>8546</v>
      </c>
      <c r="J912" s="36" t="s">
        <v>19</v>
      </c>
      <c r="K912" s="36"/>
      <c r="L912" s="36"/>
      <c r="M912" s="36" t="s">
        <v>9034</v>
      </c>
    </row>
    <row r="913" spans="1:13" hidden="1">
      <c r="A913" s="42">
        <f t="shared" si="14"/>
        <v>912</v>
      </c>
      <c r="B913" s="36" t="s">
        <v>8</v>
      </c>
      <c r="C913" s="36" t="s">
        <v>9083</v>
      </c>
      <c r="D913" s="9" t="s">
        <v>6693</v>
      </c>
      <c r="E913" s="9" t="s">
        <v>9086</v>
      </c>
      <c r="G913" s="36" t="s">
        <v>15</v>
      </c>
      <c r="H913" s="36" t="str">
        <f>IFERROR(VLOOKUP(Table2[[#This Row], [Ticket]],Okey!A:B,2,0),"")</f>
        <v>ok</v>
      </c>
      <c r="I913" s="36" t="s">
        <v>8546</v>
      </c>
      <c r="J913" s="36" t="s">
        <v>19</v>
      </c>
      <c r="K913" s="36"/>
      <c r="L913" s="36"/>
      <c r="M913" s="36" t="s">
        <v>9034</v>
      </c>
    </row>
    <row r="914" spans="1:13" hidden="1">
      <c r="A914" s="42">
        <f t="shared" si="14"/>
        <v>913</v>
      </c>
      <c r="B914" s="36" t="s">
        <v>8</v>
      </c>
      <c r="C914" s="36" t="s">
        <v>9083</v>
      </c>
      <c r="D914" s="9" t="s">
        <v>6685</v>
      </c>
      <c r="E914" s="9" t="s">
        <v>9087</v>
      </c>
      <c r="G914" s="36" t="s">
        <v>15</v>
      </c>
      <c r="H914" s="36" t="str">
        <f>IFERROR(VLOOKUP(Table2[[#This Row], [Ticket]],Okey!A:B,2,0),"")</f>
        <v>ok</v>
      </c>
      <c r="I914" s="36" t="s">
        <v>8546</v>
      </c>
      <c r="J914" s="36" t="s">
        <v>19</v>
      </c>
      <c r="K914" s="36"/>
      <c r="L914" s="36"/>
      <c r="M914" s="36" t="s">
        <v>9034</v>
      </c>
    </row>
    <row r="915" spans="1:13" hidden="1">
      <c r="A915" s="42">
        <f t="shared" si="14"/>
        <v>914</v>
      </c>
      <c r="B915" s="36" t="s">
        <v>8</v>
      </c>
      <c r="C915" s="36" t="s">
        <v>9083</v>
      </c>
      <c r="D915" s="9" t="s">
        <v>6694</v>
      </c>
      <c r="E915" s="9" t="s">
        <v>9088</v>
      </c>
      <c r="G915" s="36" t="s">
        <v>15</v>
      </c>
      <c r="H915" s="36" t="str">
        <f>IFERROR(VLOOKUP(Table2[[#This Row], [Ticket]],Okey!A:B,2,0),"")</f>
        <v>ok</v>
      </c>
      <c r="I915" s="36" t="s">
        <v>8546</v>
      </c>
      <c r="J915" s="36" t="s">
        <v>19</v>
      </c>
      <c r="K915" s="36"/>
      <c r="L915" s="36"/>
      <c r="M915" s="36" t="s">
        <v>9034</v>
      </c>
    </row>
    <row r="916" spans="1:13" hidden="1">
      <c r="A916" s="42">
        <f t="shared" ref="A916:A979" si="15">1+A915</f>
        <v>915</v>
      </c>
      <c r="B916" s="36" t="s">
        <v>8</v>
      </c>
      <c r="C916" s="36" t="s">
        <v>9083</v>
      </c>
      <c r="D916" s="9" t="s">
        <v>6695</v>
      </c>
      <c r="E916" s="9" t="s">
        <v>9089</v>
      </c>
      <c r="G916" s="36" t="s">
        <v>15</v>
      </c>
      <c r="H916" s="36" t="str">
        <f>IFERROR(VLOOKUP(Table2[[#This Row], [Ticket]],Okey!A:B,2,0),"")</f>
        <v>ok</v>
      </c>
      <c r="I916" s="36" t="s">
        <v>8546</v>
      </c>
      <c r="J916" s="36" t="s">
        <v>19</v>
      </c>
      <c r="K916" s="36"/>
      <c r="L916" s="36"/>
      <c r="M916" s="36" t="s">
        <v>9034</v>
      </c>
    </row>
    <row r="917" spans="1:13" hidden="1">
      <c r="A917" s="42">
        <f t="shared" si="15"/>
        <v>916</v>
      </c>
      <c r="B917" s="36" t="s">
        <v>8</v>
      </c>
      <c r="C917" s="36" t="s">
        <v>9083</v>
      </c>
      <c r="D917" s="9" t="s">
        <v>7161</v>
      </c>
      <c r="E917" s="9" t="s">
        <v>9090</v>
      </c>
      <c r="G917" s="36" t="s">
        <v>15</v>
      </c>
      <c r="H917" s="36" t="str">
        <f>IFERROR(VLOOKUP(Table2[[#This Row], [Ticket]],Okey!A:B,2,0),"")</f>
        <v>ok</v>
      </c>
      <c r="I917" s="36" t="s">
        <v>8546</v>
      </c>
      <c r="J917" s="36" t="s">
        <v>19</v>
      </c>
      <c r="K917" s="36"/>
      <c r="L917" s="36"/>
      <c r="M917" s="36" t="s">
        <v>9034</v>
      </c>
    </row>
    <row r="918" spans="1:13" hidden="1">
      <c r="A918" s="42">
        <f t="shared" si="15"/>
        <v>917</v>
      </c>
      <c r="B918" s="36" t="s">
        <v>8</v>
      </c>
      <c r="C918" s="36" t="s">
        <v>9083</v>
      </c>
      <c r="D918" s="9" t="s">
        <v>7162</v>
      </c>
      <c r="E918" s="9" t="s">
        <v>9091</v>
      </c>
      <c r="G918" s="36" t="s">
        <v>15</v>
      </c>
      <c r="H918" s="36" t="str">
        <f>IFERROR(VLOOKUP(Table2[[#This Row], [Ticket]],Okey!A:B,2,0),"")</f>
        <v>ok</v>
      </c>
      <c r="I918" s="36" t="s">
        <v>8546</v>
      </c>
      <c r="J918" s="36" t="s">
        <v>19</v>
      </c>
      <c r="K918" s="36"/>
      <c r="L918" s="36"/>
      <c r="M918" s="36" t="s">
        <v>9034</v>
      </c>
    </row>
    <row r="919" spans="1:13" hidden="1">
      <c r="A919" s="42">
        <f t="shared" si="15"/>
        <v>918</v>
      </c>
      <c r="B919" s="36" t="s">
        <v>8</v>
      </c>
      <c r="C919" s="36" t="s">
        <v>9083</v>
      </c>
      <c r="D919" s="9" t="s">
        <v>7163</v>
      </c>
      <c r="E919" s="9" t="s">
        <v>9092</v>
      </c>
      <c r="G919" s="36" t="s">
        <v>15</v>
      </c>
      <c r="H919" s="36" t="str">
        <f>IFERROR(VLOOKUP(Table2[[#This Row], [Ticket]],Okey!A:B,2,0),"")</f>
        <v>ok</v>
      </c>
      <c r="I919" s="36" t="s">
        <v>8546</v>
      </c>
      <c r="J919" s="36" t="s">
        <v>19</v>
      </c>
      <c r="K919" s="36"/>
      <c r="L919" s="36"/>
      <c r="M919" s="36" t="s">
        <v>9034</v>
      </c>
    </row>
    <row r="920" spans="1:13" hidden="1">
      <c r="A920" s="42">
        <f t="shared" si="15"/>
        <v>919</v>
      </c>
      <c r="B920" s="36" t="s">
        <v>8</v>
      </c>
      <c r="C920" s="36" t="s">
        <v>9083</v>
      </c>
      <c r="D920" s="9" t="s">
        <v>7164</v>
      </c>
      <c r="E920" s="9" t="s">
        <v>9093</v>
      </c>
      <c r="G920" s="36" t="s">
        <v>15</v>
      </c>
      <c r="H920" s="36" t="str">
        <f>IFERROR(VLOOKUP(Table2[[#This Row], [Ticket]],Okey!A:B,2,0),"")</f>
        <v>ok</v>
      </c>
      <c r="I920" s="36" t="s">
        <v>8546</v>
      </c>
      <c r="J920" s="36" t="s">
        <v>19</v>
      </c>
      <c r="K920" s="36"/>
      <c r="L920" s="36"/>
      <c r="M920" s="36" t="s">
        <v>9034</v>
      </c>
    </row>
    <row r="921" spans="1:13" hidden="1">
      <c r="A921" s="42">
        <f t="shared" si="15"/>
        <v>920</v>
      </c>
      <c r="B921" s="36" t="s">
        <v>8</v>
      </c>
      <c r="C921" s="36" t="s">
        <v>9083</v>
      </c>
      <c r="D921" s="9" t="s">
        <v>7165</v>
      </c>
      <c r="E921" s="9" t="s">
        <v>9094</v>
      </c>
      <c r="G921" s="36" t="s">
        <v>15</v>
      </c>
      <c r="H921" s="36" t="str">
        <f>IFERROR(VLOOKUP(Table2[[#This Row], [Ticket]],Okey!A:B,2,0),"")</f>
        <v>ok</v>
      </c>
      <c r="I921" s="36" t="s">
        <v>8546</v>
      </c>
      <c r="J921" s="36" t="s">
        <v>19</v>
      </c>
      <c r="K921" s="36"/>
      <c r="L921" s="36"/>
      <c r="M921" s="36" t="s">
        <v>9034</v>
      </c>
    </row>
    <row r="922" spans="1:13" hidden="1">
      <c r="A922" s="42">
        <f t="shared" si="15"/>
        <v>921</v>
      </c>
      <c r="B922" s="36" t="s">
        <v>8</v>
      </c>
      <c r="C922" s="36" t="s">
        <v>9083</v>
      </c>
      <c r="D922" s="9" t="s">
        <v>7181</v>
      </c>
      <c r="E922" s="9" t="s">
        <v>9095</v>
      </c>
      <c r="G922" s="36" t="s">
        <v>15</v>
      </c>
      <c r="H922" s="36" t="str">
        <f>IFERROR(VLOOKUP(Table2[[#This Row], [Ticket]],Okey!A:B,2,0),"")</f>
        <v>ok</v>
      </c>
      <c r="I922" s="36" t="s">
        <v>8546</v>
      </c>
      <c r="J922" s="36" t="s">
        <v>19</v>
      </c>
      <c r="K922" s="36"/>
      <c r="L922" s="36"/>
      <c r="M922" s="36" t="s">
        <v>9034</v>
      </c>
    </row>
    <row r="923" spans="1:13" hidden="1">
      <c r="A923" s="42">
        <f t="shared" si="15"/>
        <v>922</v>
      </c>
      <c r="B923" s="36" t="s">
        <v>8</v>
      </c>
      <c r="C923" s="36" t="s">
        <v>9083</v>
      </c>
      <c r="D923" s="9" t="s">
        <v>7182</v>
      </c>
      <c r="E923" s="9" t="s">
        <v>9096</v>
      </c>
      <c r="G923" s="36" t="s">
        <v>15</v>
      </c>
      <c r="H923" s="36" t="str">
        <f>IFERROR(VLOOKUP(Table2[[#This Row], [Ticket]],Okey!A:B,2,0),"")</f>
        <v>ok</v>
      </c>
      <c r="I923" s="36" t="s">
        <v>8546</v>
      </c>
      <c r="J923" s="36" t="s">
        <v>19</v>
      </c>
      <c r="K923" s="36"/>
      <c r="L923" s="36"/>
      <c r="M923" s="36" t="s">
        <v>9034</v>
      </c>
    </row>
    <row r="924" spans="1:13" hidden="1">
      <c r="A924" s="42">
        <f t="shared" si="15"/>
        <v>923</v>
      </c>
      <c r="B924" s="36" t="s">
        <v>8</v>
      </c>
      <c r="C924" s="36" t="s">
        <v>9083</v>
      </c>
      <c r="D924" s="9" t="s">
        <v>7183</v>
      </c>
      <c r="E924" s="9" t="s">
        <v>9097</v>
      </c>
      <c r="G924" s="36" t="s">
        <v>15</v>
      </c>
      <c r="H924" s="36" t="str">
        <f>IFERROR(VLOOKUP(Table2[[#This Row], [Ticket]],Okey!A:B,2,0),"")</f>
        <v>ok</v>
      </c>
      <c r="I924" s="36" t="s">
        <v>8546</v>
      </c>
      <c r="J924" s="36" t="s">
        <v>19</v>
      </c>
      <c r="K924" s="36"/>
      <c r="L924" s="36"/>
      <c r="M924" s="36" t="s">
        <v>9034</v>
      </c>
    </row>
    <row r="925" spans="1:13" hidden="1">
      <c r="A925" s="42">
        <f t="shared" si="15"/>
        <v>924</v>
      </c>
      <c r="B925" s="36" t="s">
        <v>8</v>
      </c>
      <c r="C925" s="36" t="s">
        <v>9083</v>
      </c>
      <c r="D925" s="9" t="s">
        <v>7184</v>
      </c>
      <c r="E925" s="9" t="s">
        <v>9098</v>
      </c>
      <c r="G925" s="36" t="s">
        <v>15</v>
      </c>
      <c r="H925" s="36" t="str">
        <f>IFERROR(VLOOKUP(Table2[[#This Row], [Ticket]],Okey!A:B,2,0),"")</f>
        <v>ok</v>
      </c>
      <c r="I925" s="36" t="s">
        <v>8546</v>
      </c>
      <c r="J925" s="36" t="s">
        <v>19</v>
      </c>
      <c r="K925" s="36"/>
      <c r="L925" s="36"/>
      <c r="M925" s="36" t="s">
        <v>9034</v>
      </c>
    </row>
    <row r="926" spans="1:13" hidden="1">
      <c r="A926" s="42">
        <f t="shared" si="15"/>
        <v>925</v>
      </c>
      <c r="B926" s="36" t="s">
        <v>8</v>
      </c>
      <c r="C926" s="36" t="s">
        <v>9083</v>
      </c>
      <c r="D926" s="9" t="s">
        <v>7185</v>
      </c>
      <c r="E926" s="9" t="s">
        <v>9099</v>
      </c>
      <c r="G926" s="36" t="s">
        <v>15</v>
      </c>
      <c r="H926" s="36" t="str">
        <f>IFERROR(VLOOKUP(Table2[[#This Row], [Ticket]],Okey!A:B,2,0),"")</f>
        <v>ok</v>
      </c>
      <c r="I926" s="36" t="s">
        <v>8546</v>
      </c>
      <c r="J926" s="36" t="s">
        <v>19</v>
      </c>
      <c r="K926" s="36"/>
      <c r="L926" s="36"/>
      <c r="M926" s="36" t="s">
        <v>9034</v>
      </c>
    </row>
    <row r="927" spans="1:13" hidden="1">
      <c r="A927" s="42">
        <f t="shared" si="15"/>
        <v>926</v>
      </c>
      <c r="B927" s="36" t="s">
        <v>8</v>
      </c>
      <c r="C927" s="36" t="s">
        <v>9083</v>
      </c>
      <c r="D927" s="9" t="s">
        <v>7201</v>
      </c>
      <c r="E927" s="9" t="s">
        <v>9100</v>
      </c>
      <c r="G927" s="36" t="s">
        <v>15</v>
      </c>
      <c r="H927" s="36" t="str">
        <f>IFERROR(VLOOKUP(Table2[[#This Row], [Ticket]],Okey!A:B,2,0),"")</f>
        <v>ok</v>
      </c>
      <c r="I927" s="36" t="s">
        <v>8546</v>
      </c>
      <c r="J927" s="36" t="s">
        <v>19</v>
      </c>
      <c r="K927" s="36"/>
      <c r="L927" s="36"/>
      <c r="M927" s="36" t="s">
        <v>9034</v>
      </c>
    </row>
    <row r="928" spans="1:13" hidden="1">
      <c r="A928" s="42">
        <f t="shared" si="15"/>
        <v>927</v>
      </c>
      <c r="B928" s="36" t="s">
        <v>8</v>
      </c>
      <c r="C928" s="36" t="s">
        <v>9083</v>
      </c>
      <c r="D928" s="9" t="s">
        <v>7202</v>
      </c>
      <c r="E928" s="9" t="s">
        <v>9101</v>
      </c>
      <c r="G928" s="36" t="s">
        <v>15</v>
      </c>
      <c r="H928" s="36" t="str">
        <f>IFERROR(VLOOKUP(Table2[[#This Row], [Ticket]],Okey!A:B,2,0),"")</f>
        <v>ok</v>
      </c>
      <c r="I928" s="36" t="s">
        <v>8546</v>
      </c>
      <c r="J928" s="36" t="s">
        <v>19</v>
      </c>
      <c r="K928" s="36"/>
      <c r="L928" s="36"/>
      <c r="M928" s="36" t="s">
        <v>9034</v>
      </c>
    </row>
    <row r="929" spans="1:13" hidden="1">
      <c r="A929" s="42">
        <f t="shared" si="15"/>
        <v>928</v>
      </c>
      <c r="B929" s="36" t="s">
        <v>8</v>
      </c>
      <c r="C929" s="36" t="s">
        <v>9083</v>
      </c>
      <c r="D929" s="9" t="s">
        <v>7203</v>
      </c>
      <c r="E929" s="9" t="s">
        <v>9102</v>
      </c>
      <c r="G929" s="36" t="s">
        <v>15</v>
      </c>
      <c r="H929" s="36" t="str">
        <f>IFERROR(VLOOKUP(Table2[[#This Row], [Ticket]],Okey!A:B,2,0),"")</f>
        <v>ok</v>
      </c>
      <c r="I929" s="36" t="s">
        <v>8546</v>
      </c>
      <c r="J929" s="36" t="s">
        <v>19</v>
      </c>
      <c r="K929" s="36"/>
      <c r="L929" s="36"/>
      <c r="M929" s="36" t="s">
        <v>9034</v>
      </c>
    </row>
    <row r="930" spans="1:13" hidden="1">
      <c r="A930" s="42">
        <f t="shared" si="15"/>
        <v>929</v>
      </c>
      <c r="B930" s="36" t="s">
        <v>8</v>
      </c>
      <c r="C930" s="36" t="s">
        <v>9083</v>
      </c>
      <c r="D930" s="9" t="s">
        <v>7204</v>
      </c>
      <c r="E930" s="9" t="s">
        <v>9103</v>
      </c>
      <c r="G930" s="36" t="s">
        <v>15</v>
      </c>
      <c r="H930" s="36" t="str">
        <f>IFERROR(VLOOKUP(Table2[[#This Row], [Ticket]],Okey!A:B,2,0),"")</f>
        <v>ok</v>
      </c>
      <c r="I930" s="36" t="s">
        <v>8546</v>
      </c>
      <c r="J930" s="36" t="s">
        <v>19</v>
      </c>
      <c r="K930" s="36"/>
      <c r="L930" s="36"/>
      <c r="M930" s="36" t="s">
        <v>9034</v>
      </c>
    </row>
    <row r="931" spans="1:13" hidden="1">
      <c r="A931" s="42">
        <f t="shared" si="15"/>
        <v>930</v>
      </c>
      <c r="B931" s="36" t="s">
        <v>8</v>
      </c>
      <c r="C931" s="36" t="s">
        <v>9083</v>
      </c>
      <c r="D931" s="9" t="s">
        <v>7205</v>
      </c>
      <c r="E931" s="9" t="s">
        <v>9104</v>
      </c>
      <c r="G931" s="36" t="s">
        <v>15</v>
      </c>
      <c r="H931" s="36" t="str">
        <f>IFERROR(VLOOKUP(Table2[[#This Row], [Ticket]],Okey!A:B,2,0),"")</f>
        <v>ok</v>
      </c>
      <c r="I931" s="36" t="s">
        <v>8546</v>
      </c>
      <c r="J931" s="36" t="s">
        <v>19</v>
      </c>
      <c r="K931" s="36"/>
      <c r="L931" s="36"/>
      <c r="M931" s="36" t="s">
        <v>9034</v>
      </c>
    </row>
    <row r="932" spans="1:13" hidden="1">
      <c r="A932" s="42">
        <f t="shared" si="15"/>
        <v>931</v>
      </c>
      <c r="B932" s="36" t="s">
        <v>8</v>
      </c>
      <c r="C932" s="36" t="s">
        <v>9083</v>
      </c>
      <c r="D932" s="9" t="s">
        <v>7221</v>
      </c>
      <c r="E932" s="9" t="s">
        <v>9105</v>
      </c>
      <c r="G932" s="36" t="s">
        <v>15</v>
      </c>
      <c r="H932" s="36" t="str">
        <f>IFERROR(VLOOKUP(Table2[[#This Row], [Ticket]],Okey!A:B,2,0),"")</f>
        <v>ok</v>
      </c>
      <c r="I932" s="36" t="s">
        <v>8546</v>
      </c>
      <c r="J932" s="36" t="s">
        <v>19</v>
      </c>
      <c r="K932" s="36"/>
      <c r="L932" s="36"/>
      <c r="M932" s="36" t="s">
        <v>9034</v>
      </c>
    </row>
    <row r="933" spans="1:13" hidden="1">
      <c r="A933" s="42">
        <f t="shared" si="15"/>
        <v>932</v>
      </c>
      <c r="B933" s="36" t="s">
        <v>8</v>
      </c>
      <c r="C933" s="36" t="s">
        <v>9083</v>
      </c>
      <c r="D933" s="9" t="s">
        <v>7222</v>
      </c>
      <c r="E933" s="9" t="s">
        <v>9106</v>
      </c>
      <c r="G933" s="36" t="s">
        <v>15</v>
      </c>
      <c r="H933" s="36" t="str">
        <f>IFERROR(VLOOKUP(Table2[[#This Row], [Ticket]],Okey!A:B,2,0),"")</f>
        <v>ok</v>
      </c>
      <c r="I933" s="36" t="s">
        <v>8546</v>
      </c>
      <c r="J933" s="36" t="s">
        <v>19</v>
      </c>
      <c r="K933" s="36"/>
      <c r="L933" s="36"/>
      <c r="M933" s="36" t="s">
        <v>9034</v>
      </c>
    </row>
    <row r="934" spans="1:13" hidden="1">
      <c r="A934" s="42">
        <f t="shared" si="15"/>
        <v>933</v>
      </c>
      <c r="B934" s="36" t="s">
        <v>8</v>
      </c>
      <c r="C934" s="36" t="s">
        <v>9083</v>
      </c>
      <c r="D934" s="9" t="s">
        <v>7223</v>
      </c>
      <c r="E934" s="9" t="s">
        <v>9107</v>
      </c>
      <c r="G934" s="36" t="s">
        <v>15</v>
      </c>
      <c r="H934" s="36" t="str">
        <f>IFERROR(VLOOKUP(Table2[[#This Row], [Ticket]],Okey!A:B,2,0),"")</f>
        <v>ok</v>
      </c>
      <c r="I934" s="36" t="s">
        <v>8546</v>
      </c>
      <c r="J934" s="36" t="s">
        <v>19</v>
      </c>
      <c r="K934" s="36"/>
      <c r="L934" s="36"/>
      <c r="M934" s="36" t="s">
        <v>9034</v>
      </c>
    </row>
    <row r="935" spans="1:13" hidden="1">
      <c r="A935" s="42">
        <f t="shared" si="15"/>
        <v>934</v>
      </c>
      <c r="B935" s="36" t="s">
        <v>8</v>
      </c>
      <c r="C935" s="36" t="s">
        <v>9083</v>
      </c>
      <c r="D935" s="9" t="s">
        <v>7224</v>
      </c>
      <c r="E935" s="9" t="s">
        <v>9108</v>
      </c>
      <c r="G935" s="36" t="s">
        <v>15</v>
      </c>
      <c r="H935" s="36" t="str">
        <f>IFERROR(VLOOKUP(Table2[[#This Row], [Ticket]],Okey!A:B,2,0),"")</f>
        <v>ok</v>
      </c>
      <c r="I935" s="36" t="s">
        <v>8546</v>
      </c>
      <c r="J935" s="36" t="s">
        <v>19</v>
      </c>
      <c r="K935" s="36"/>
      <c r="L935" s="36"/>
      <c r="M935" s="36" t="s">
        <v>9034</v>
      </c>
    </row>
    <row r="936" spans="1:13" hidden="1">
      <c r="A936" s="42">
        <f t="shared" si="15"/>
        <v>935</v>
      </c>
      <c r="B936" s="36" t="s">
        <v>8</v>
      </c>
      <c r="C936" s="36" t="s">
        <v>9083</v>
      </c>
      <c r="D936" s="9" t="s">
        <v>7225</v>
      </c>
      <c r="E936" s="9" t="s">
        <v>9109</v>
      </c>
      <c r="G936" s="36" t="s">
        <v>15</v>
      </c>
      <c r="H936" s="36" t="str">
        <f>IFERROR(VLOOKUP(Table2[[#This Row], [Ticket]],Okey!A:B,2,0),"")</f>
        <v>ok</v>
      </c>
      <c r="I936" s="36" t="s">
        <v>8546</v>
      </c>
      <c r="J936" s="36" t="s">
        <v>19</v>
      </c>
      <c r="K936" s="36"/>
      <c r="L936" s="36"/>
      <c r="M936" s="36" t="s">
        <v>9034</v>
      </c>
    </row>
    <row r="937" spans="1:13" hidden="1">
      <c r="A937" s="42">
        <f t="shared" si="15"/>
        <v>936</v>
      </c>
      <c r="B937" s="36" t="s">
        <v>8</v>
      </c>
      <c r="C937" s="36" t="s">
        <v>9083</v>
      </c>
      <c r="D937" s="9" t="s">
        <v>7241</v>
      </c>
      <c r="E937" s="9" t="s">
        <v>9110</v>
      </c>
      <c r="G937" s="36" t="s">
        <v>15</v>
      </c>
      <c r="H937" s="36" t="str">
        <f>IFERROR(VLOOKUP(Table2[[#This Row], [Ticket]],Okey!A:B,2,0),"")</f>
        <v>ok</v>
      </c>
      <c r="I937" s="36" t="s">
        <v>8546</v>
      </c>
      <c r="J937" s="36" t="s">
        <v>19</v>
      </c>
      <c r="K937" s="36"/>
      <c r="L937" s="36"/>
      <c r="M937" s="36" t="s">
        <v>9034</v>
      </c>
    </row>
    <row r="938" spans="1:13" hidden="1">
      <c r="A938" s="42">
        <f t="shared" si="15"/>
        <v>937</v>
      </c>
      <c r="B938" s="36" t="s">
        <v>8</v>
      </c>
      <c r="C938" s="36" t="s">
        <v>9083</v>
      </c>
      <c r="D938" s="9" t="s">
        <v>7242</v>
      </c>
      <c r="E938" s="9" t="s">
        <v>9111</v>
      </c>
      <c r="G938" s="36" t="s">
        <v>15</v>
      </c>
      <c r="H938" s="36" t="str">
        <f>IFERROR(VLOOKUP(Table2[[#This Row], [Ticket]],Okey!A:B,2,0),"")</f>
        <v>ok</v>
      </c>
      <c r="I938" s="36" t="s">
        <v>8546</v>
      </c>
      <c r="J938" s="36" t="s">
        <v>19</v>
      </c>
      <c r="K938" s="36"/>
      <c r="L938" s="36"/>
      <c r="M938" s="36" t="s">
        <v>9034</v>
      </c>
    </row>
    <row r="939" spans="1:13" hidden="1">
      <c r="A939" s="42">
        <f t="shared" si="15"/>
        <v>938</v>
      </c>
      <c r="B939" s="36" t="s">
        <v>8</v>
      </c>
      <c r="C939" s="36" t="s">
        <v>9083</v>
      </c>
      <c r="D939" s="9" t="s">
        <v>7243</v>
      </c>
      <c r="E939" s="9" t="s">
        <v>9112</v>
      </c>
      <c r="G939" s="36" t="s">
        <v>15</v>
      </c>
      <c r="H939" s="36" t="str">
        <f>IFERROR(VLOOKUP(Table2[[#This Row], [Ticket]],Okey!A:B,2,0),"")</f>
        <v>ok</v>
      </c>
      <c r="I939" s="36" t="s">
        <v>8546</v>
      </c>
      <c r="J939" s="36" t="s">
        <v>19</v>
      </c>
      <c r="K939" s="36"/>
      <c r="L939" s="36"/>
      <c r="M939" s="36" t="s">
        <v>9034</v>
      </c>
    </row>
    <row r="940" spans="1:13" hidden="1">
      <c r="A940" s="42">
        <f t="shared" si="15"/>
        <v>939</v>
      </c>
      <c r="B940" s="36" t="s">
        <v>8</v>
      </c>
      <c r="C940" s="36" t="s">
        <v>9083</v>
      </c>
      <c r="D940" s="9" t="s">
        <v>7244</v>
      </c>
      <c r="E940" s="9" t="s">
        <v>9113</v>
      </c>
      <c r="G940" s="36" t="s">
        <v>15</v>
      </c>
      <c r="H940" s="36" t="str">
        <f>IFERROR(VLOOKUP(Table2[[#This Row], [Ticket]],Okey!A:B,2,0),"")</f>
        <v>ok</v>
      </c>
      <c r="I940" s="36" t="s">
        <v>8546</v>
      </c>
      <c r="J940" s="36" t="s">
        <v>19</v>
      </c>
      <c r="K940" s="36"/>
      <c r="L940" s="36"/>
      <c r="M940" s="36" t="s">
        <v>9034</v>
      </c>
    </row>
    <row r="941" spans="1:13" hidden="1">
      <c r="A941" s="42">
        <f t="shared" si="15"/>
        <v>940</v>
      </c>
      <c r="B941" s="36" t="s">
        <v>8</v>
      </c>
      <c r="C941" s="36" t="s">
        <v>9083</v>
      </c>
      <c r="D941" s="9" t="s">
        <v>7245</v>
      </c>
      <c r="E941" s="9" t="s">
        <v>9113</v>
      </c>
      <c r="G941" s="36" t="s">
        <v>15</v>
      </c>
      <c r="H941" s="36" t="str">
        <f>IFERROR(VLOOKUP(Table2[[#This Row], [Ticket]],Okey!A:B,2,0),"")</f>
        <v>ok</v>
      </c>
      <c r="I941" s="36" t="s">
        <v>8546</v>
      </c>
      <c r="J941" s="36" t="s">
        <v>19</v>
      </c>
      <c r="K941" s="36"/>
      <c r="L941" s="36"/>
      <c r="M941" s="36" t="s">
        <v>9034</v>
      </c>
    </row>
    <row r="942" spans="1:13" hidden="1">
      <c r="A942" s="42">
        <f t="shared" si="15"/>
        <v>941</v>
      </c>
      <c r="B942" s="36" t="s">
        <v>8</v>
      </c>
      <c r="C942" s="36" t="s">
        <v>9083</v>
      </c>
      <c r="D942" s="9" t="s">
        <v>7261</v>
      </c>
      <c r="E942" s="9" t="s">
        <v>9114</v>
      </c>
      <c r="G942" s="36" t="s">
        <v>15</v>
      </c>
      <c r="H942" s="36" t="str">
        <f>IFERROR(VLOOKUP(Table2[[#This Row], [Ticket]],Okey!A:B,2,0),"")</f>
        <v>ok</v>
      </c>
      <c r="I942" s="36" t="s">
        <v>8546</v>
      </c>
      <c r="J942" s="36" t="s">
        <v>19</v>
      </c>
      <c r="K942" s="36"/>
      <c r="L942" s="36"/>
      <c r="M942" s="36" t="s">
        <v>9034</v>
      </c>
    </row>
    <row r="943" spans="1:13" hidden="1">
      <c r="A943" s="42">
        <f t="shared" si="15"/>
        <v>942</v>
      </c>
      <c r="B943" s="36" t="s">
        <v>8</v>
      </c>
      <c r="C943" s="36" t="s">
        <v>9083</v>
      </c>
      <c r="D943" s="9" t="s">
        <v>7262</v>
      </c>
      <c r="E943" s="9" t="s">
        <v>9115</v>
      </c>
      <c r="G943" s="36" t="s">
        <v>15</v>
      </c>
      <c r="H943" s="36" t="str">
        <f>IFERROR(VLOOKUP(Table2[[#This Row], [Ticket]],Okey!A:B,2,0),"")</f>
        <v>ok</v>
      </c>
      <c r="I943" s="36" t="s">
        <v>8546</v>
      </c>
      <c r="J943" s="36" t="s">
        <v>19</v>
      </c>
      <c r="K943" s="36"/>
      <c r="L943" s="36"/>
      <c r="M943" s="36" t="s">
        <v>9034</v>
      </c>
    </row>
    <row r="944" spans="1:13" hidden="1">
      <c r="A944" s="42">
        <f t="shared" si="15"/>
        <v>943</v>
      </c>
      <c r="B944" s="36" t="s">
        <v>8</v>
      </c>
      <c r="C944" s="36" t="s">
        <v>9083</v>
      </c>
      <c r="D944" s="9" t="s">
        <v>7263</v>
      </c>
      <c r="E944" s="9" t="s">
        <v>9116</v>
      </c>
      <c r="G944" s="36" t="s">
        <v>15</v>
      </c>
      <c r="H944" s="36" t="str">
        <f>IFERROR(VLOOKUP(Table2[[#This Row], [Ticket]],Okey!A:B,2,0),"")</f>
        <v>ok</v>
      </c>
      <c r="I944" s="36" t="s">
        <v>8546</v>
      </c>
      <c r="J944" s="36" t="s">
        <v>19</v>
      </c>
      <c r="K944" s="36"/>
      <c r="L944" s="36"/>
      <c r="M944" s="36" t="s">
        <v>9034</v>
      </c>
    </row>
    <row r="945" spans="1:13" hidden="1">
      <c r="A945" s="42">
        <f t="shared" si="15"/>
        <v>944</v>
      </c>
      <c r="B945" s="36" t="s">
        <v>8</v>
      </c>
      <c r="C945" s="36" t="s">
        <v>9083</v>
      </c>
      <c r="D945" s="9" t="s">
        <v>7264</v>
      </c>
      <c r="E945" s="9" t="s">
        <v>9117</v>
      </c>
      <c r="G945" s="36" t="s">
        <v>15</v>
      </c>
      <c r="H945" s="36" t="str">
        <f>IFERROR(VLOOKUP(Table2[[#This Row], [Ticket]],Okey!A:B,2,0),"")</f>
        <v>ok</v>
      </c>
      <c r="I945" s="36" t="s">
        <v>8546</v>
      </c>
      <c r="J945" s="36" t="s">
        <v>19</v>
      </c>
      <c r="K945" s="36"/>
      <c r="L945" s="36"/>
      <c r="M945" s="36" t="s">
        <v>9034</v>
      </c>
    </row>
    <row r="946" spans="1:13" hidden="1">
      <c r="A946" s="42">
        <f t="shared" si="15"/>
        <v>945</v>
      </c>
      <c r="B946" s="36" t="s">
        <v>8</v>
      </c>
      <c r="C946" s="36" t="s">
        <v>9083</v>
      </c>
      <c r="D946" s="9" t="s">
        <v>7265</v>
      </c>
      <c r="E946" s="9" t="s">
        <v>9117</v>
      </c>
      <c r="G946" s="36" t="s">
        <v>15</v>
      </c>
      <c r="H946" s="36" t="str">
        <f>IFERROR(VLOOKUP(Table2[[#This Row], [Ticket]],Okey!A:B,2,0),"")</f>
        <v>ok</v>
      </c>
      <c r="I946" s="36" t="s">
        <v>8546</v>
      </c>
      <c r="J946" s="36" t="s">
        <v>19</v>
      </c>
      <c r="K946" s="36"/>
      <c r="L946" s="36"/>
      <c r="M946" s="36" t="s">
        <v>9034</v>
      </c>
    </row>
    <row r="947" spans="1:13" hidden="1">
      <c r="A947" s="42">
        <f t="shared" si="15"/>
        <v>946</v>
      </c>
      <c r="B947" s="36" t="s">
        <v>8</v>
      </c>
      <c r="C947" s="36" t="s">
        <v>9083</v>
      </c>
      <c r="D947" s="9" t="s">
        <v>7281</v>
      </c>
      <c r="E947" s="9" t="s">
        <v>9118</v>
      </c>
      <c r="G947" s="36" t="s">
        <v>15</v>
      </c>
      <c r="H947" s="36" t="str">
        <f>IFERROR(VLOOKUP(Table2[[#This Row], [Ticket]],Okey!A:B,2,0),"")</f>
        <v>ok</v>
      </c>
      <c r="I947" s="36" t="s">
        <v>8546</v>
      </c>
      <c r="J947" s="36" t="s">
        <v>19</v>
      </c>
      <c r="K947" s="36"/>
      <c r="L947" s="36"/>
      <c r="M947" s="36" t="s">
        <v>9034</v>
      </c>
    </row>
    <row r="948" spans="1:13" hidden="1">
      <c r="A948" s="42">
        <f t="shared" si="15"/>
        <v>947</v>
      </c>
      <c r="B948" s="36" t="s">
        <v>8</v>
      </c>
      <c r="C948" s="36" t="s">
        <v>9083</v>
      </c>
      <c r="D948" s="9" t="s">
        <v>7282</v>
      </c>
      <c r="E948" s="9" t="s">
        <v>9119</v>
      </c>
      <c r="G948" s="36" t="s">
        <v>15</v>
      </c>
      <c r="H948" s="36" t="str">
        <f>IFERROR(VLOOKUP(Table2[[#This Row], [Ticket]],Okey!A:B,2,0),"")</f>
        <v>ok</v>
      </c>
      <c r="I948" s="36" t="s">
        <v>8546</v>
      </c>
      <c r="J948" s="36" t="s">
        <v>19</v>
      </c>
      <c r="K948" s="36"/>
      <c r="L948" s="36"/>
      <c r="M948" s="36" t="s">
        <v>9034</v>
      </c>
    </row>
    <row r="949" spans="1:13" hidden="1">
      <c r="A949" s="42">
        <f t="shared" si="15"/>
        <v>948</v>
      </c>
      <c r="B949" s="36" t="s">
        <v>8</v>
      </c>
      <c r="C949" s="36" t="s">
        <v>9083</v>
      </c>
      <c r="D949" s="9" t="s">
        <v>7283</v>
      </c>
      <c r="E949" s="9" t="s">
        <v>9120</v>
      </c>
      <c r="G949" s="36" t="s">
        <v>15</v>
      </c>
      <c r="H949" s="36" t="str">
        <f>IFERROR(VLOOKUP(Table2[[#This Row], [Ticket]],Okey!A:B,2,0),"")</f>
        <v>ok</v>
      </c>
      <c r="I949" s="36" t="s">
        <v>8546</v>
      </c>
      <c r="J949" s="36" t="s">
        <v>19</v>
      </c>
      <c r="K949" s="36"/>
      <c r="L949" s="36"/>
      <c r="M949" s="36" t="s">
        <v>9034</v>
      </c>
    </row>
    <row r="950" spans="1:13" hidden="1">
      <c r="A950" s="42">
        <f t="shared" si="15"/>
        <v>949</v>
      </c>
      <c r="B950" s="36" t="s">
        <v>8</v>
      </c>
      <c r="C950" s="36" t="s">
        <v>9083</v>
      </c>
      <c r="D950" s="9" t="s">
        <v>7284</v>
      </c>
      <c r="E950" s="9" t="s">
        <v>9121</v>
      </c>
      <c r="G950" s="36" t="s">
        <v>15</v>
      </c>
      <c r="H950" s="36" t="str">
        <f>IFERROR(VLOOKUP(Table2[[#This Row], [Ticket]],Okey!A:B,2,0),"")</f>
        <v>ok</v>
      </c>
      <c r="I950" s="36" t="s">
        <v>8546</v>
      </c>
      <c r="J950" s="36" t="s">
        <v>19</v>
      </c>
      <c r="K950" s="36"/>
      <c r="L950" s="36"/>
      <c r="M950" s="36" t="s">
        <v>9034</v>
      </c>
    </row>
    <row r="951" spans="1:13" hidden="1">
      <c r="A951" s="42">
        <f t="shared" si="15"/>
        <v>950</v>
      </c>
      <c r="B951" s="36" t="s">
        <v>8</v>
      </c>
      <c r="C951" s="36" t="s">
        <v>9083</v>
      </c>
      <c r="D951" s="9" t="s">
        <v>7285</v>
      </c>
      <c r="E951" s="9" t="s">
        <v>9122</v>
      </c>
      <c r="G951" s="36" t="s">
        <v>15</v>
      </c>
      <c r="H951" s="36" t="str">
        <f>IFERROR(VLOOKUP(Table2[[#This Row], [Ticket]],Okey!A:B,2,0),"")</f>
        <v>ok</v>
      </c>
      <c r="I951" s="36" t="s">
        <v>8546</v>
      </c>
      <c r="J951" s="36" t="s">
        <v>19</v>
      </c>
      <c r="K951" s="36"/>
      <c r="L951" s="36"/>
      <c r="M951" s="36" t="s">
        <v>9034</v>
      </c>
    </row>
    <row r="952" spans="1:13" hidden="1">
      <c r="A952" s="42">
        <f t="shared" si="15"/>
        <v>951</v>
      </c>
      <c r="B952" s="36" t="s">
        <v>8</v>
      </c>
      <c r="C952" s="36" t="s">
        <v>9083</v>
      </c>
      <c r="D952" s="9" t="s">
        <v>7301</v>
      </c>
      <c r="E952" s="9" t="s">
        <v>9123</v>
      </c>
      <c r="G952" s="36" t="s">
        <v>15</v>
      </c>
      <c r="H952" s="36" t="str">
        <f>IFERROR(VLOOKUP(Table2[[#This Row], [Ticket]],Okey!A:B,2,0),"")</f>
        <v>ok</v>
      </c>
      <c r="I952" s="36" t="s">
        <v>8546</v>
      </c>
      <c r="J952" s="36" t="s">
        <v>19</v>
      </c>
      <c r="K952" s="36"/>
      <c r="L952" s="36"/>
      <c r="M952" s="36" t="s">
        <v>9034</v>
      </c>
    </row>
    <row r="953" spans="1:13" hidden="1">
      <c r="A953" s="42">
        <f t="shared" si="15"/>
        <v>952</v>
      </c>
      <c r="B953" s="36" t="s">
        <v>8</v>
      </c>
      <c r="C953" s="36" t="s">
        <v>9083</v>
      </c>
      <c r="D953" s="9" t="s">
        <v>7302</v>
      </c>
      <c r="E953" s="9" t="s">
        <v>9124</v>
      </c>
      <c r="G953" s="36" t="s">
        <v>15</v>
      </c>
      <c r="H953" s="36" t="str">
        <f>IFERROR(VLOOKUP(Table2[[#This Row], [Ticket]],Okey!A:B,2,0),"")</f>
        <v>ok</v>
      </c>
      <c r="I953" s="36" t="s">
        <v>8546</v>
      </c>
      <c r="J953" s="36" t="s">
        <v>19</v>
      </c>
      <c r="K953" s="36"/>
      <c r="L953" s="36"/>
      <c r="M953" s="36" t="s">
        <v>9034</v>
      </c>
    </row>
    <row r="954" spans="1:13" hidden="1">
      <c r="A954" s="42">
        <f t="shared" si="15"/>
        <v>953</v>
      </c>
      <c r="B954" s="36" t="s">
        <v>8</v>
      </c>
      <c r="C954" s="36" t="s">
        <v>9083</v>
      </c>
      <c r="D954" s="9" t="s">
        <v>7303</v>
      </c>
      <c r="E954" s="9" t="s">
        <v>9125</v>
      </c>
      <c r="G954" s="36" t="s">
        <v>15</v>
      </c>
      <c r="H954" s="36" t="str">
        <f>IFERROR(VLOOKUP(Table2[[#This Row], [Ticket]],Okey!A:B,2,0),"")</f>
        <v>ok</v>
      </c>
      <c r="I954" s="36" t="s">
        <v>8546</v>
      </c>
      <c r="J954" s="36" t="s">
        <v>19</v>
      </c>
      <c r="K954" s="36"/>
      <c r="L954" s="36"/>
      <c r="M954" s="36" t="s">
        <v>9034</v>
      </c>
    </row>
    <row r="955" spans="1:13" hidden="1">
      <c r="A955" s="42">
        <f t="shared" si="15"/>
        <v>954</v>
      </c>
      <c r="B955" s="36" t="s">
        <v>8</v>
      </c>
      <c r="C955" s="36" t="s">
        <v>9083</v>
      </c>
      <c r="D955" s="9" t="s">
        <v>7304</v>
      </c>
      <c r="E955" s="9" t="s">
        <v>9126</v>
      </c>
      <c r="G955" s="36" t="s">
        <v>15</v>
      </c>
      <c r="H955" s="36" t="str">
        <f>IFERROR(VLOOKUP(Table2[[#This Row], [Ticket]],Okey!A:B,2,0),"")</f>
        <v>ok</v>
      </c>
      <c r="I955" s="36" t="s">
        <v>8546</v>
      </c>
      <c r="J955" s="36" t="s">
        <v>19</v>
      </c>
      <c r="K955" s="36"/>
      <c r="L955" s="36"/>
      <c r="M955" s="36" t="s">
        <v>9034</v>
      </c>
    </row>
    <row r="956" spans="1:13" hidden="1">
      <c r="A956" s="42">
        <f t="shared" si="15"/>
        <v>955</v>
      </c>
      <c r="B956" s="36" t="s">
        <v>8</v>
      </c>
      <c r="C956" s="36" t="s">
        <v>9083</v>
      </c>
      <c r="D956" s="9" t="s">
        <v>7305</v>
      </c>
      <c r="E956" s="9" t="s">
        <v>9127</v>
      </c>
      <c r="G956" s="36" t="s">
        <v>15</v>
      </c>
      <c r="H956" s="36" t="str">
        <f>IFERROR(VLOOKUP(Table2[[#This Row], [Ticket]],Okey!A:B,2,0),"")</f>
        <v>ok</v>
      </c>
      <c r="I956" s="36" t="s">
        <v>8546</v>
      </c>
      <c r="J956" s="36" t="s">
        <v>19</v>
      </c>
      <c r="K956" s="36"/>
      <c r="L956" s="36"/>
      <c r="M956" s="36" t="s">
        <v>9034</v>
      </c>
    </row>
    <row r="957" spans="1:13" hidden="1">
      <c r="A957" s="42">
        <f t="shared" si="15"/>
        <v>956</v>
      </c>
      <c r="B957" s="36" t="s">
        <v>8</v>
      </c>
      <c r="C957" s="36" t="s">
        <v>9083</v>
      </c>
      <c r="D957" s="9" t="s">
        <v>7321</v>
      </c>
      <c r="E957" s="9" t="s">
        <v>9128</v>
      </c>
      <c r="G957" s="36" t="s">
        <v>15</v>
      </c>
      <c r="H957" s="36" t="str">
        <f>IFERROR(VLOOKUP(Table2[[#This Row], [Ticket]],Okey!A:B,2,0),"")</f>
        <v>ok</v>
      </c>
      <c r="I957" s="36" t="s">
        <v>8546</v>
      </c>
      <c r="J957" s="36" t="s">
        <v>19</v>
      </c>
      <c r="K957" s="36"/>
      <c r="L957" s="36"/>
      <c r="M957" s="36" t="s">
        <v>9034</v>
      </c>
    </row>
    <row r="958" spans="1:13" hidden="1">
      <c r="A958" s="42">
        <f t="shared" si="15"/>
        <v>957</v>
      </c>
      <c r="B958" s="36" t="s">
        <v>8</v>
      </c>
      <c r="C958" s="36" t="s">
        <v>9083</v>
      </c>
      <c r="D958" s="9" t="s">
        <v>7322</v>
      </c>
      <c r="E958" s="9" t="s">
        <v>9129</v>
      </c>
      <c r="G958" s="36" t="s">
        <v>15</v>
      </c>
      <c r="H958" s="36" t="str">
        <f>IFERROR(VLOOKUP(Table2[[#This Row], [Ticket]],Okey!A:B,2,0),"")</f>
        <v>ok</v>
      </c>
      <c r="I958" s="36" t="s">
        <v>8546</v>
      </c>
      <c r="J958" s="36" t="s">
        <v>19</v>
      </c>
      <c r="K958" s="36"/>
      <c r="L958" s="36"/>
      <c r="M958" s="36" t="s">
        <v>9034</v>
      </c>
    </row>
    <row r="959" spans="1:13" hidden="1">
      <c r="A959" s="42">
        <f t="shared" si="15"/>
        <v>958</v>
      </c>
      <c r="B959" s="36" t="s">
        <v>8</v>
      </c>
      <c r="C959" s="36" t="s">
        <v>9083</v>
      </c>
      <c r="D959" s="9" t="s">
        <v>7323</v>
      </c>
      <c r="E959" s="9" t="s">
        <v>9130</v>
      </c>
      <c r="G959" s="36" t="s">
        <v>15</v>
      </c>
      <c r="H959" s="36" t="str">
        <f>IFERROR(VLOOKUP(Table2[[#This Row], [Ticket]],Okey!A:B,2,0),"")</f>
        <v>ok</v>
      </c>
      <c r="I959" s="36" t="s">
        <v>8546</v>
      </c>
      <c r="J959" s="36" t="s">
        <v>19</v>
      </c>
      <c r="K959" s="36"/>
      <c r="L959" s="36"/>
      <c r="M959" s="36" t="s">
        <v>9034</v>
      </c>
    </row>
    <row r="960" spans="1:13" hidden="1">
      <c r="A960" s="42">
        <f t="shared" si="15"/>
        <v>959</v>
      </c>
      <c r="B960" s="36" t="s">
        <v>8</v>
      </c>
      <c r="C960" s="36" t="s">
        <v>9083</v>
      </c>
      <c r="D960" s="9" t="s">
        <v>7324</v>
      </c>
      <c r="E960" s="9" t="s">
        <v>9130</v>
      </c>
      <c r="G960" s="36" t="s">
        <v>15</v>
      </c>
      <c r="H960" s="36" t="str">
        <f>IFERROR(VLOOKUP(Table2[[#This Row], [Ticket]],Okey!A:B,2,0),"")</f>
        <v>ok</v>
      </c>
      <c r="I960" s="36" t="s">
        <v>8546</v>
      </c>
      <c r="J960" s="36" t="s">
        <v>19</v>
      </c>
      <c r="K960" s="36"/>
      <c r="L960" s="36"/>
      <c r="M960" s="36" t="s">
        <v>9034</v>
      </c>
    </row>
    <row r="961" spans="1:13" hidden="1">
      <c r="A961" s="42">
        <f t="shared" si="15"/>
        <v>960</v>
      </c>
      <c r="B961" s="36" t="s">
        <v>8</v>
      </c>
      <c r="C961" s="36" t="s">
        <v>9083</v>
      </c>
      <c r="D961" s="9" t="s">
        <v>7325</v>
      </c>
      <c r="E961" s="9" t="s">
        <v>9131</v>
      </c>
      <c r="G961" s="36" t="s">
        <v>15</v>
      </c>
      <c r="H961" s="36" t="str">
        <f>IFERROR(VLOOKUP(Table2[[#This Row], [Ticket]],Okey!A:B,2,0),"")</f>
        <v>ok</v>
      </c>
      <c r="I961" s="36" t="s">
        <v>8546</v>
      </c>
      <c r="J961" s="36" t="s">
        <v>19</v>
      </c>
      <c r="K961" s="36"/>
      <c r="L961" s="36"/>
      <c r="M961" s="36" t="s">
        <v>9034</v>
      </c>
    </row>
    <row r="962" spans="1:13" hidden="1">
      <c r="A962" s="42">
        <f t="shared" si="15"/>
        <v>961</v>
      </c>
      <c r="B962" s="36" t="s">
        <v>8</v>
      </c>
      <c r="C962" s="36" t="s">
        <v>9083</v>
      </c>
      <c r="D962" s="9" t="s">
        <v>7341</v>
      </c>
      <c r="E962" s="9" t="s">
        <v>9132</v>
      </c>
      <c r="G962" s="36" t="s">
        <v>15</v>
      </c>
      <c r="H962" s="36" t="str">
        <f>IFERROR(VLOOKUP(Table2[[#This Row], [Ticket]],Okey!A:B,2,0),"")</f>
        <v>ok</v>
      </c>
      <c r="I962" s="36" t="s">
        <v>8546</v>
      </c>
      <c r="J962" s="36" t="s">
        <v>19</v>
      </c>
      <c r="K962" s="36"/>
      <c r="L962" s="36"/>
      <c r="M962" s="36" t="s">
        <v>9034</v>
      </c>
    </row>
    <row r="963" spans="1:13" hidden="1">
      <c r="A963" s="42">
        <f t="shared" si="15"/>
        <v>962</v>
      </c>
      <c r="B963" s="36" t="s">
        <v>8</v>
      </c>
      <c r="C963" s="36" t="s">
        <v>9083</v>
      </c>
      <c r="D963" s="9" t="s">
        <v>7342</v>
      </c>
      <c r="E963" s="9" t="s">
        <v>9133</v>
      </c>
      <c r="G963" s="36" t="s">
        <v>15</v>
      </c>
      <c r="H963" s="36" t="str">
        <f>IFERROR(VLOOKUP(Table2[[#This Row], [Ticket]],Okey!A:B,2,0),"")</f>
        <v>ok</v>
      </c>
      <c r="I963" s="36" t="s">
        <v>8546</v>
      </c>
      <c r="J963" s="36" t="s">
        <v>19</v>
      </c>
      <c r="K963" s="36"/>
      <c r="L963" s="36"/>
      <c r="M963" s="36" t="s">
        <v>9034</v>
      </c>
    </row>
    <row r="964" spans="1:13" hidden="1">
      <c r="A964" s="42">
        <f t="shared" si="15"/>
        <v>963</v>
      </c>
      <c r="B964" s="36" t="s">
        <v>8</v>
      </c>
      <c r="C964" s="36" t="s">
        <v>9083</v>
      </c>
      <c r="D964" s="9" t="s">
        <v>7343</v>
      </c>
      <c r="E964" s="9" t="s">
        <v>9134</v>
      </c>
      <c r="G964" s="36" t="s">
        <v>15</v>
      </c>
      <c r="H964" s="36" t="str">
        <f>IFERROR(VLOOKUP(Table2[[#This Row], [Ticket]],Okey!A:B,2,0),"")</f>
        <v>ok</v>
      </c>
      <c r="I964" s="36" t="s">
        <v>8546</v>
      </c>
      <c r="J964" s="36" t="s">
        <v>19</v>
      </c>
      <c r="K964" s="36"/>
      <c r="L964" s="36"/>
      <c r="M964" s="36" t="s">
        <v>9034</v>
      </c>
    </row>
    <row r="965" spans="1:13" hidden="1">
      <c r="A965" s="42">
        <f t="shared" si="15"/>
        <v>964</v>
      </c>
      <c r="B965" s="36" t="s">
        <v>8</v>
      </c>
      <c r="C965" s="36" t="s">
        <v>9083</v>
      </c>
      <c r="D965" s="9" t="s">
        <v>7344</v>
      </c>
      <c r="E965" s="9" t="s">
        <v>9134</v>
      </c>
      <c r="G965" s="36" t="s">
        <v>15</v>
      </c>
      <c r="H965" s="36" t="str">
        <f>IFERROR(VLOOKUP(Table2[[#This Row], [Ticket]],Okey!A:B,2,0),"")</f>
        <v>ok</v>
      </c>
      <c r="I965" s="36" t="s">
        <v>8546</v>
      </c>
      <c r="J965" s="36" t="s">
        <v>19</v>
      </c>
      <c r="K965" s="36"/>
      <c r="L965" s="36"/>
      <c r="M965" s="36" t="s">
        <v>9034</v>
      </c>
    </row>
    <row r="966" spans="1:13" hidden="1">
      <c r="A966" s="42">
        <f t="shared" si="15"/>
        <v>965</v>
      </c>
      <c r="B966" s="36" t="s">
        <v>8</v>
      </c>
      <c r="C966" s="36" t="s">
        <v>9083</v>
      </c>
      <c r="D966" s="9" t="s">
        <v>7345</v>
      </c>
      <c r="E966" s="9" t="s">
        <v>9135</v>
      </c>
      <c r="G966" s="36" t="s">
        <v>15</v>
      </c>
      <c r="H966" s="36" t="str">
        <f>IFERROR(VLOOKUP(Table2[[#This Row], [Ticket]],Okey!A:B,2,0),"")</f>
        <v>ok</v>
      </c>
      <c r="I966" s="36" t="s">
        <v>8546</v>
      </c>
      <c r="J966" s="36" t="s">
        <v>19</v>
      </c>
      <c r="K966" s="36"/>
      <c r="L966" s="36"/>
      <c r="M966" s="36" t="s">
        <v>9034</v>
      </c>
    </row>
    <row r="967" spans="1:13" hidden="1">
      <c r="A967" s="42">
        <f t="shared" si="15"/>
        <v>966</v>
      </c>
      <c r="B967" s="36" t="s">
        <v>8</v>
      </c>
      <c r="C967" s="36" t="s">
        <v>9083</v>
      </c>
      <c r="D967" s="9" t="s">
        <v>7361</v>
      </c>
      <c r="E967" s="9" t="s">
        <v>9136</v>
      </c>
      <c r="G967" s="36" t="s">
        <v>15</v>
      </c>
      <c r="H967" s="36" t="str">
        <f>IFERROR(VLOOKUP(Table2[[#This Row], [Ticket]],Okey!A:B,2,0),"")</f>
        <v>ok</v>
      </c>
      <c r="I967" s="36" t="s">
        <v>8546</v>
      </c>
      <c r="J967" s="36" t="s">
        <v>19</v>
      </c>
      <c r="K967" s="36"/>
      <c r="L967" s="36"/>
      <c r="M967" s="36" t="s">
        <v>9034</v>
      </c>
    </row>
    <row r="968" spans="1:13" hidden="1">
      <c r="A968" s="42">
        <f t="shared" si="15"/>
        <v>967</v>
      </c>
      <c r="B968" s="36" t="s">
        <v>8</v>
      </c>
      <c r="C968" s="36" t="s">
        <v>9083</v>
      </c>
      <c r="D968" s="9" t="s">
        <v>7362</v>
      </c>
      <c r="E968" s="9" t="s">
        <v>9137</v>
      </c>
      <c r="G968" s="36" t="s">
        <v>15</v>
      </c>
      <c r="H968" s="36" t="str">
        <f>IFERROR(VLOOKUP(Table2[[#This Row], [Ticket]],Okey!A:B,2,0),"")</f>
        <v>ok</v>
      </c>
      <c r="I968" s="36" t="s">
        <v>8546</v>
      </c>
      <c r="J968" s="36" t="s">
        <v>19</v>
      </c>
      <c r="K968" s="36"/>
      <c r="L968" s="36"/>
      <c r="M968" s="36" t="s">
        <v>9034</v>
      </c>
    </row>
    <row r="969" spans="1:13" hidden="1">
      <c r="A969" s="42">
        <f t="shared" si="15"/>
        <v>968</v>
      </c>
      <c r="B969" s="36" t="s">
        <v>8</v>
      </c>
      <c r="C969" s="36" t="s">
        <v>9083</v>
      </c>
      <c r="D969" s="9" t="s">
        <v>7363</v>
      </c>
      <c r="E969" s="9" t="s">
        <v>9138</v>
      </c>
      <c r="G969" s="36" t="s">
        <v>15</v>
      </c>
      <c r="H969" s="36" t="str">
        <f>IFERROR(VLOOKUP(Table2[[#This Row], [Ticket]],Okey!A:B,2,0),"")</f>
        <v>ok</v>
      </c>
      <c r="I969" s="36" t="s">
        <v>8546</v>
      </c>
      <c r="J969" s="36" t="s">
        <v>19</v>
      </c>
      <c r="K969" s="36"/>
      <c r="L969" s="36"/>
      <c r="M969" s="36" t="s">
        <v>9034</v>
      </c>
    </row>
    <row r="970" spans="1:13" hidden="1">
      <c r="A970" s="42">
        <f t="shared" si="15"/>
        <v>969</v>
      </c>
      <c r="B970" s="36" t="s">
        <v>8</v>
      </c>
      <c r="C970" s="36" t="s">
        <v>9083</v>
      </c>
      <c r="D970" s="9" t="s">
        <v>7364</v>
      </c>
      <c r="E970" s="9" t="s">
        <v>9138</v>
      </c>
      <c r="G970" s="36" t="s">
        <v>15</v>
      </c>
      <c r="H970" s="36" t="str">
        <f>IFERROR(VLOOKUP(Table2[[#This Row], [Ticket]],Okey!A:B,2,0),"")</f>
        <v>ok</v>
      </c>
      <c r="I970" s="36" t="s">
        <v>8546</v>
      </c>
      <c r="J970" s="36" t="s">
        <v>19</v>
      </c>
      <c r="K970" s="36"/>
      <c r="L970" s="36"/>
      <c r="M970" s="36" t="s">
        <v>9034</v>
      </c>
    </row>
    <row r="971" spans="1:13" hidden="1">
      <c r="A971" s="42">
        <f t="shared" si="15"/>
        <v>970</v>
      </c>
      <c r="B971" s="36" t="s">
        <v>8</v>
      </c>
      <c r="C971" s="36" t="s">
        <v>9083</v>
      </c>
      <c r="D971" s="9" t="s">
        <v>7365</v>
      </c>
      <c r="E971" s="9" t="s">
        <v>9139</v>
      </c>
      <c r="G971" s="36" t="s">
        <v>15</v>
      </c>
      <c r="H971" s="36" t="str">
        <f>IFERROR(VLOOKUP(Table2[[#This Row], [Ticket]],Okey!A:B,2,0),"")</f>
        <v>ok</v>
      </c>
      <c r="I971" s="36" t="s">
        <v>8546</v>
      </c>
      <c r="J971" s="36" t="s">
        <v>19</v>
      </c>
      <c r="K971" s="36"/>
      <c r="L971" s="36"/>
      <c r="M971" s="36" t="s">
        <v>9034</v>
      </c>
    </row>
    <row r="972" spans="1:13" hidden="1">
      <c r="A972" s="42">
        <f t="shared" si="15"/>
        <v>971</v>
      </c>
      <c r="B972" s="36" t="s">
        <v>8</v>
      </c>
      <c r="C972" s="36" t="s">
        <v>9083</v>
      </c>
      <c r="D972" s="9" t="s">
        <v>7381</v>
      </c>
      <c r="E972" s="9" t="s">
        <v>9140</v>
      </c>
      <c r="G972" s="36" t="s">
        <v>15</v>
      </c>
      <c r="H972" s="36" t="str">
        <f>IFERROR(VLOOKUP(Table2[[#This Row], [Ticket]],Okey!A:B,2,0),"")</f>
        <v>ok</v>
      </c>
      <c r="I972" s="36" t="s">
        <v>8546</v>
      </c>
      <c r="J972" s="36" t="s">
        <v>19</v>
      </c>
      <c r="K972" s="36"/>
      <c r="L972" s="36"/>
      <c r="M972" s="36" t="s">
        <v>9034</v>
      </c>
    </row>
    <row r="973" spans="1:13" hidden="1">
      <c r="A973" s="42">
        <f t="shared" si="15"/>
        <v>972</v>
      </c>
      <c r="B973" s="36" t="s">
        <v>8</v>
      </c>
      <c r="C973" s="36" t="s">
        <v>9083</v>
      </c>
      <c r="D973" s="9" t="s">
        <v>7382</v>
      </c>
      <c r="E973" s="9" t="s">
        <v>9141</v>
      </c>
      <c r="G973" s="36" t="s">
        <v>15</v>
      </c>
      <c r="H973" s="36" t="str">
        <f>IFERROR(VLOOKUP(Table2[[#This Row], [Ticket]],Okey!A:B,2,0),"")</f>
        <v>ok</v>
      </c>
      <c r="I973" s="36" t="s">
        <v>8546</v>
      </c>
      <c r="J973" s="36" t="s">
        <v>19</v>
      </c>
      <c r="K973" s="36"/>
      <c r="L973" s="36"/>
      <c r="M973" s="36" t="s">
        <v>9034</v>
      </c>
    </row>
    <row r="974" spans="1:13" hidden="1">
      <c r="A974" s="42">
        <f t="shared" si="15"/>
        <v>973</v>
      </c>
      <c r="B974" s="36" t="s">
        <v>8</v>
      </c>
      <c r="C974" s="36" t="s">
        <v>9083</v>
      </c>
      <c r="D974" s="9" t="s">
        <v>7383</v>
      </c>
      <c r="E974" s="9" t="s">
        <v>9142</v>
      </c>
      <c r="G974" s="36" t="s">
        <v>15</v>
      </c>
      <c r="H974" s="36" t="str">
        <f>IFERROR(VLOOKUP(Table2[[#This Row], [Ticket]],Okey!A:B,2,0),"")</f>
        <v>ok</v>
      </c>
      <c r="I974" s="36" t="s">
        <v>8546</v>
      </c>
      <c r="J974" s="36" t="s">
        <v>19</v>
      </c>
      <c r="K974" s="36"/>
      <c r="L974" s="36"/>
      <c r="M974" s="36" t="s">
        <v>9034</v>
      </c>
    </row>
    <row r="975" spans="1:13" hidden="1">
      <c r="A975" s="42">
        <f t="shared" si="15"/>
        <v>974</v>
      </c>
      <c r="B975" s="36" t="s">
        <v>8</v>
      </c>
      <c r="C975" s="36" t="s">
        <v>9083</v>
      </c>
      <c r="D975" s="9" t="s">
        <v>7384</v>
      </c>
      <c r="E975" s="9" t="s">
        <v>9142</v>
      </c>
      <c r="G975" s="36" t="s">
        <v>15</v>
      </c>
      <c r="H975" s="36" t="str">
        <f>IFERROR(VLOOKUP(Table2[[#This Row], [Ticket]],Okey!A:B,2,0),"")</f>
        <v>ok</v>
      </c>
      <c r="I975" s="36" t="s">
        <v>8546</v>
      </c>
      <c r="J975" s="36" t="s">
        <v>19</v>
      </c>
      <c r="K975" s="36"/>
      <c r="L975" s="36"/>
      <c r="M975" s="36" t="s">
        <v>9034</v>
      </c>
    </row>
    <row r="976" spans="1:13" hidden="1">
      <c r="A976" s="42">
        <f t="shared" si="15"/>
        <v>975</v>
      </c>
      <c r="B976" s="36" t="s">
        <v>8</v>
      </c>
      <c r="C976" s="36" t="s">
        <v>9083</v>
      </c>
      <c r="D976" s="9" t="s">
        <v>7385</v>
      </c>
      <c r="E976" s="9" t="s">
        <v>9143</v>
      </c>
      <c r="G976" s="36" t="s">
        <v>15</v>
      </c>
      <c r="H976" s="36" t="str">
        <f>IFERROR(VLOOKUP(Table2[[#This Row], [Ticket]],Okey!A:B,2,0),"")</f>
        <v>ok</v>
      </c>
      <c r="I976" s="36" t="s">
        <v>8546</v>
      </c>
      <c r="J976" s="36" t="s">
        <v>19</v>
      </c>
      <c r="K976" s="36"/>
      <c r="L976" s="36"/>
      <c r="M976" s="36" t="s">
        <v>9034</v>
      </c>
    </row>
    <row r="977" spans="1:13" hidden="1">
      <c r="A977" s="42">
        <f t="shared" si="15"/>
        <v>976</v>
      </c>
      <c r="B977" s="36" t="s">
        <v>8</v>
      </c>
      <c r="C977" s="36" t="s">
        <v>9083</v>
      </c>
      <c r="D977" s="9" t="s">
        <v>7401</v>
      </c>
      <c r="E977" s="9" t="s">
        <v>9144</v>
      </c>
      <c r="G977" s="36" t="s">
        <v>15</v>
      </c>
      <c r="H977" s="36" t="str">
        <f>IFERROR(VLOOKUP(Table2[[#This Row], [Ticket]],Okey!A:B,2,0),"")</f>
        <v>ok</v>
      </c>
      <c r="I977" s="36" t="s">
        <v>8546</v>
      </c>
      <c r="J977" s="36" t="s">
        <v>19</v>
      </c>
      <c r="K977" s="36"/>
      <c r="L977" s="36"/>
      <c r="M977" s="36" t="s">
        <v>9034</v>
      </c>
    </row>
    <row r="978" spans="1:13" hidden="1">
      <c r="A978" s="42">
        <f t="shared" si="15"/>
        <v>977</v>
      </c>
      <c r="B978" s="36" t="s">
        <v>8</v>
      </c>
      <c r="C978" s="36" t="s">
        <v>9083</v>
      </c>
      <c r="D978" s="9" t="s">
        <v>7402</v>
      </c>
      <c r="E978" s="9" t="s">
        <v>9145</v>
      </c>
      <c r="G978" s="36" t="s">
        <v>15</v>
      </c>
      <c r="H978" s="36" t="str">
        <f>IFERROR(VLOOKUP(Table2[[#This Row], [Ticket]],Okey!A:B,2,0),"")</f>
        <v>ok</v>
      </c>
      <c r="I978" s="36" t="s">
        <v>8546</v>
      </c>
      <c r="J978" s="36" t="s">
        <v>19</v>
      </c>
      <c r="K978" s="36"/>
      <c r="L978" s="36"/>
      <c r="M978" s="36" t="s">
        <v>9034</v>
      </c>
    </row>
    <row r="979" spans="1:13" hidden="1">
      <c r="A979" s="42">
        <f t="shared" si="15"/>
        <v>978</v>
      </c>
      <c r="B979" s="36" t="s">
        <v>8</v>
      </c>
      <c r="C979" s="36" t="s">
        <v>9083</v>
      </c>
      <c r="D979" s="9" t="s">
        <v>7403</v>
      </c>
      <c r="E979" s="9" t="s">
        <v>9146</v>
      </c>
      <c r="G979" s="36" t="s">
        <v>15</v>
      </c>
      <c r="H979" s="36" t="str">
        <f>IFERROR(VLOOKUP(Table2[[#This Row], [Ticket]],Okey!A:B,2,0),"")</f>
        <v>ok</v>
      </c>
      <c r="I979" s="36" t="s">
        <v>8546</v>
      </c>
      <c r="J979" s="36" t="s">
        <v>19</v>
      </c>
      <c r="K979" s="36"/>
      <c r="L979" s="36"/>
      <c r="M979" s="36" t="s">
        <v>9034</v>
      </c>
    </row>
    <row r="980" spans="1:13" hidden="1">
      <c r="A980" s="42">
        <f t="shared" ref="A980:A1043" si="16">1+A979</f>
        <v>979</v>
      </c>
      <c r="B980" s="36" t="s">
        <v>8</v>
      </c>
      <c r="C980" s="36" t="s">
        <v>9083</v>
      </c>
      <c r="D980" s="9" t="s">
        <v>7404</v>
      </c>
      <c r="E980" s="9" t="s">
        <v>9146</v>
      </c>
      <c r="G980" s="36" t="s">
        <v>15</v>
      </c>
      <c r="H980" s="36" t="str">
        <f>IFERROR(VLOOKUP(Table2[[#This Row], [Ticket]],Okey!A:B,2,0),"")</f>
        <v>ok</v>
      </c>
      <c r="I980" s="36" t="s">
        <v>8546</v>
      </c>
      <c r="J980" s="36" t="s">
        <v>19</v>
      </c>
      <c r="K980" s="36"/>
      <c r="L980" s="36"/>
      <c r="M980" s="36" t="s">
        <v>9034</v>
      </c>
    </row>
    <row r="981" spans="1:13" hidden="1">
      <c r="A981" s="42">
        <f t="shared" si="16"/>
        <v>980</v>
      </c>
      <c r="B981" s="36" t="s">
        <v>8</v>
      </c>
      <c r="C981" s="36" t="s">
        <v>9083</v>
      </c>
      <c r="D981" s="9" t="s">
        <v>7405</v>
      </c>
      <c r="E981" s="9" t="s">
        <v>9147</v>
      </c>
      <c r="G981" s="36" t="s">
        <v>15</v>
      </c>
      <c r="H981" s="36" t="str">
        <f>IFERROR(VLOOKUP(Table2[[#This Row], [Ticket]],Okey!A:B,2,0),"")</f>
        <v>ok</v>
      </c>
      <c r="I981" s="36" t="s">
        <v>8546</v>
      </c>
      <c r="J981" s="36" t="s">
        <v>19</v>
      </c>
      <c r="K981" s="36"/>
      <c r="L981" s="36"/>
      <c r="M981" s="36" t="s">
        <v>9034</v>
      </c>
    </row>
    <row r="982" spans="1:13" hidden="1">
      <c r="A982" s="42">
        <f t="shared" si="16"/>
        <v>981</v>
      </c>
      <c r="B982" s="36" t="s">
        <v>8</v>
      </c>
      <c r="C982" s="36" t="s">
        <v>9083</v>
      </c>
      <c r="D982" s="9" t="s">
        <v>7421</v>
      </c>
      <c r="E982" s="9" t="s">
        <v>9148</v>
      </c>
      <c r="G982" s="36" t="s">
        <v>15</v>
      </c>
      <c r="H982" s="36" t="str">
        <f>IFERROR(VLOOKUP(Table2[[#This Row], [Ticket]],Okey!A:B,2,0),"")</f>
        <v>ok</v>
      </c>
      <c r="I982" s="36" t="s">
        <v>8546</v>
      </c>
      <c r="J982" s="36" t="s">
        <v>19</v>
      </c>
      <c r="K982" s="36"/>
      <c r="L982" s="36"/>
      <c r="M982" s="36" t="s">
        <v>9034</v>
      </c>
    </row>
    <row r="983" spans="1:13" hidden="1">
      <c r="A983" s="42">
        <f t="shared" si="16"/>
        <v>982</v>
      </c>
      <c r="B983" s="36" t="s">
        <v>8</v>
      </c>
      <c r="C983" s="36" t="s">
        <v>9083</v>
      </c>
      <c r="D983" s="9" t="s">
        <v>7422</v>
      </c>
      <c r="E983" s="9" t="s">
        <v>9149</v>
      </c>
      <c r="G983" s="36" t="s">
        <v>15</v>
      </c>
      <c r="H983" s="36" t="str">
        <f>IFERROR(VLOOKUP(Table2[[#This Row], [Ticket]],Okey!A:B,2,0),"")</f>
        <v>ok</v>
      </c>
      <c r="I983" s="36" t="s">
        <v>8546</v>
      </c>
      <c r="J983" s="36" t="s">
        <v>19</v>
      </c>
      <c r="K983" s="36"/>
      <c r="L983" s="36"/>
      <c r="M983" s="36" t="s">
        <v>9034</v>
      </c>
    </row>
    <row r="984" spans="1:13" hidden="1">
      <c r="A984" s="42">
        <f t="shared" si="16"/>
        <v>983</v>
      </c>
      <c r="B984" s="36" t="s">
        <v>8</v>
      </c>
      <c r="C984" s="36" t="s">
        <v>9083</v>
      </c>
      <c r="D984" s="9" t="s">
        <v>7423</v>
      </c>
      <c r="E984" s="9" t="s">
        <v>9150</v>
      </c>
      <c r="G984" s="36" t="s">
        <v>15</v>
      </c>
      <c r="H984" s="36" t="str">
        <f>IFERROR(VLOOKUP(Table2[[#This Row], [Ticket]],Okey!A:B,2,0),"")</f>
        <v>ok</v>
      </c>
      <c r="I984" s="36" t="s">
        <v>8546</v>
      </c>
      <c r="J984" s="36" t="s">
        <v>19</v>
      </c>
      <c r="K984" s="36"/>
      <c r="L984" s="36"/>
      <c r="M984" s="36" t="s">
        <v>9034</v>
      </c>
    </row>
    <row r="985" spans="1:13" hidden="1">
      <c r="A985" s="42">
        <f t="shared" si="16"/>
        <v>984</v>
      </c>
      <c r="B985" s="36" t="s">
        <v>8</v>
      </c>
      <c r="C985" s="36" t="s">
        <v>9083</v>
      </c>
      <c r="D985" s="9" t="s">
        <v>7424</v>
      </c>
      <c r="E985" s="9" t="s">
        <v>9150</v>
      </c>
      <c r="G985" s="36" t="s">
        <v>15</v>
      </c>
      <c r="H985" s="36" t="str">
        <f>IFERROR(VLOOKUP(Table2[[#This Row], [Ticket]],Okey!A:B,2,0),"")</f>
        <v>ok</v>
      </c>
      <c r="I985" s="36" t="s">
        <v>8546</v>
      </c>
      <c r="J985" s="36" t="s">
        <v>19</v>
      </c>
      <c r="K985" s="36"/>
      <c r="L985" s="36"/>
      <c r="M985" s="36" t="s">
        <v>9034</v>
      </c>
    </row>
    <row r="986" spans="1:13" hidden="1">
      <c r="A986" s="42">
        <f t="shared" si="16"/>
        <v>985</v>
      </c>
      <c r="B986" s="36" t="s">
        <v>8</v>
      </c>
      <c r="C986" s="36" t="s">
        <v>9083</v>
      </c>
      <c r="D986" s="9" t="s">
        <v>7425</v>
      </c>
      <c r="E986" s="9" t="s">
        <v>9151</v>
      </c>
      <c r="G986" s="36" t="s">
        <v>15</v>
      </c>
      <c r="H986" s="36" t="str">
        <f>IFERROR(VLOOKUP(Table2[[#This Row], [Ticket]],Okey!A:B,2,0),"")</f>
        <v>ok</v>
      </c>
      <c r="I986" s="36" t="s">
        <v>8546</v>
      </c>
      <c r="J986" s="36" t="s">
        <v>19</v>
      </c>
      <c r="K986" s="36"/>
      <c r="L986" s="36"/>
      <c r="M986" s="36" t="s">
        <v>9034</v>
      </c>
    </row>
    <row r="987" spans="1:13" hidden="1">
      <c r="A987" s="42">
        <f t="shared" si="16"/>
        <v>986</v>
      </c>
      <c r="B987" s="36" t="s">
        <v>8</v>
      </c>
      <c r="C987" s="36" t="s">
        <v>9083</v>
      </c>
      <c r="D987" s="9" t="s">
        <v>7441</v>
      </c>
      <c r="E987" s="9" t="s">
        <v>9152</v>
      </c>
      <c r="G987" s="36" t="s">
        <v>15</v>
      </c>
      <c r="H987" s="36" t="str">
        <f>IFERROR(VLOOKUP(Table2[[#This Row], [Ticket]],Okey!A:B,2,0),"")</f>
        <v>ok</v>
      </c>
      <c r="I987" s="36" t="s">
        <v>8546</v>
      </c>
      <c r="J987" s="36" t="s">
        <v>19</v>
      </c>
      <c r="K987" s="36"/>
      <c r="L987" s="36"/>
      <c r="M987" s="36" t="s">
        <v>9034</v>
      </c>
    </row>
    <row r="988" spans="1:13" hidden="1">
      <c r="A988" s="42">
        <f t="shared" si="16"/>
        <v>987</v>
      </c>
      <c r="B988" s="36" t="s">
        <v>8</v>
      </c>
      <c r="C988" s="36" t="s">
        <v>9083</v>
      </c>
      <c r="D988" s="9" t="s">
        <v>7442</v>
      </c>
      <c r="E988" s="9" t="s">
        <v>9153</v>
      </c>
      <c r="G988" s="36" t="s">
        <v>15</v>
      </c>
      <c r="H988" s="36" t="str">
        <f>IFERROR(VLOOKUP(Table2[[#This Row], [Ticket]],Okey!A:B,2,0),"")</f>
        <v>ok</v>
      </c>
      <c r="I988" s="36" t="s">
        <v>8546</v>
      </c>
      <c r="J988" s="36" t="s">
        <v>19</v>
      </c>
      <c r="K988" s="36"/>
      <c r="L988" s="36"/>
      <c r="M988" s="36" t="s">
        <v>9034</v>
      </c>
    </row>
    <row r="989" spans="1:13" hidden="1">
      <c r="A989" s="42">
        <f t="shared" si="16"/>
        <v>988</v>
      </c>
      <c r="B989" s="36" t="s">
        <v>8</v>
      </c>
      <c r="C989" s="36" t="s">
        <v>9083</v>
      </c>
      <c r="D989" s="9" t="s">
        <v>7443</v>
      </c>
      <c r="E989" s="9" t="s">
        <v>9154</v>
      </c>
      <c r="G989" s="36" t="s">
        <v>15</v>
      </c>
      <c r="H989" s="36" t="str">
        <f>IFERROR(VLOOKUP(Table2[[#This Row], [Ticket]],Okey!A:B,2,0),"")</f>
        <v>ok</v>
      </c>
      <c r="I989" s="36" t="s">
        <v>8546</v>
      </c>
      <c r="J989" s="36" t="s">
        <v>19</v>
      </c>
      <c r="K989" s="36"/>
      <c r="L989" s="36"/>
      <c r="M989" s="36" t="s">
        <v>9034</v>
      </c>
    </row>
    <row r="990" spans="1:13" hidden="1">
      <c r="A990" s="42">
        <f t="shared" si="16"/>
        <v>989</v>
      </c>
      <c r="B990" s="36" t="s">
        <v>8</v>
      </c>
      <c r="C990" s="36" t="s">
        <v>9083</v>
      </c>
      <c r="D990" s="9" t="s">
        <v>7444</v>
      </c>
      <c r="E990" s="9" t="s">
        <v>9154</v>
      </c>
      <c r="G990" s="36" t="s">
        <v>15</v>
      </c>
      <c r="H990" s="36" t="str">
        <f>IFERROR(VLOOKUP(Table2[[#This Row], [Ticket]],Okey!A:B,2,0),"")</f>
        <v>ok</v>
      </c>
      <c r="I990" s="36" t="s">
        <v>8546</v>
      </c>
      <c r="J990" s="36" t="s">
        <v>19</v>
      </c>
      <c r="K990" s="36"/>
      <c r="L990" s="36"/>
      <c r="M990" s="36" t="s">
        <v>9034</v>
      </c>
    </row>
    <row r="991" spans="1:13" hidden="1">
      <c r="A991" s="42">
        <f t="shared" si="16"/>
        <v>990</v>
      </c>
      <c r="B991" s="36" t="s">
        <v>8</v>
      </c>
      <c r="C991" s="36" t="s">
        <v>9083</v>
      </c>
      <c r="D991" s="9" t="s">
        <v>7445</v>
      </c>
      <c r="E991" s="9" t="s">
        <v>9155</v>
      </c>
      <c r="G991" s="36" t="s">
        <v>15</v>
      </c>
      <c r="H991" s="36" t="str">
        <f>IFERROR(VLOOKUP(Table2[[#This Row], [Ticket]],Okey!A:B,2,0),"")</f>
        <v>ok</v>
      </c>
      <c r="I991" s="36" t="s">
        <v>8546</v>
      </c>
      <c r="J991" s="36" t="s">
        <v>19</v>
      </c>
      <c r="K991" s="36"/>
      <c r="L991" s="36"/>
      <c r="M991" s="36" t="s">
        <v>9034</v>
      </c>
    </row>
    <row r="992" spans="1:13" hidden="1">
      <c r="A992" s="42">
        <f t="shared" si="16"/>
        <v>991</v>
      </c>
      <c r="B992" s="36" t="s">
        <v>8</v>
      </c>
      <c r="C992" s="36" t="s">
        <v>9083</v>
      </c>
      <c r="D992" s="9" t="s">
        <v>7461</v>
      </c>
      <c r="E992" s="9" t="s">
        <v>9156</v>
      </c>
      <c r="G992" s="36" t="s">
        <v>15</v>
      </c>
      <c r="H992" s="36" t="str">
        <f>IFERROR(VLOOKUP(Table2[[#This Row], [Ticket]],Okey!A:B,2,0),"")</f>
        <v>ok</v>
      </c>
      <c r="I992" s="36" t="s">
        <v>8546</v>
      </c>
      <c r="J992" s="36" t="s">
        <v>19</v>
      </c>
      <c r="K992" s="36"/>
      <c r="L992" s="36"/>
      <c r="M992" s="36" t="s">
        <v>9034</v>
      </c>
    </row>
    <row r="993" spans="1:13" hidden="1">
      <c r="A993" s="42">
        <f t="shared" si="16"/>
        <v>992</v>
      </c>
      <c r="B993" s="36" t="s">
        <v>8</v>
      </c>
      <c r="C993" s="36" t="s">
        <v>9083</v>
      </c>
      <c r="D993" s="9" t="s">
        <v>7462</v>
      </c>
      <c r="E993" s="9" t="s">
        <v>9157</v>
      </c>
      <c r="G993" s="36" t="s">
        <v>15</v>
      </c>
      <c r="H993" s="36" t="str">
        <f>IFERROR(VLOOKUP(Table2[[#This Row], [Ticket]],Okey!A:B,2,0),"")</f>
        <v>ok</v>
      </c>
      <c r="I993" s="36" t="s">
        <v>8546</v>
      </c>
      <c r="J993" s="36" t="s">
        <v>19</v>
      </c>
      <c r="K993" s="36"/>
      <c r="L993" s="36"/>
      <c r="M993" s="36" t="s">
        <v>9034</v>
      </c>
    </row>
    <row r="994" spans="1:13" hidden="1">
      <c r="A994" s="42">
        <f t="shared" si="16"/>
        <v>993</v>
      </c>
      <c r="B994" s="36" t="s">
        <v>8</v>
      </c>
      <c r="C994" s="36" t="s">
        <v>9083</v>
      </c>
      <c r="D994" s="9" t="s">
        <v>7463</v>
      </c>
      <c r="E994" s="9" t="s">
        <v>9158</v>
      </c>
      <c r="G994" s="36" t="s">
        <v>15</v>
      </c>
      <c r="H994" s="36" t="str">
        <f>IFERROR(VLOOKUP(Table2[[#This Row], [Ticket]],Okey!A:B,2,0),"")</f>
        <v>ok</v>
      </c>
      <c r="I994" s="36" t="s">
        <v>8546</v>
      </c>
      <c r="J994" s="36" t="s">
        <v>19</v>
      </c>
      <c r="K994" s="36"/>
      <c r="L994" s="36"/>
      <c r="M994" s="36" t="s">
        <v>9034</v>
      </c>
    </row>
    <row r="995" spans="1:13" hidden="1">
      <c r="A995" s="42">
        <f t="shared" si="16"/>
        <v>994</v>
      </c>
      <c r="B995" s="36" t="s">
        <v>8</v>
      </c>
      <c r="C995" s="36" t="s">
        <v>9083</v>
      </c>
      <c r="D995" s="9" t="s">
        <v>7464</v>
      </c>
      <c r="E995" s="9" t="s">
        <v>9158</v>
      </c>
      <c r="G995" s="36" t="s">
        <v>15</v>
      </c>
      <c r="H995" s="36" t="str">
        <f>IFERROR(VLOOKUP(Table2[[#This Row], [Ticket]],Okey!A:B,2,0),"")</f>
        <v>ok</v>
      </c>
      <c r="I995" s="36" t="s">
        <v>8546</v>
      </c>
      <c r="J995" s="36" t="s">
        <v>19</v>
      </c>
      <c r="K995" s="36"/>
      <c r="L995" s="36"/>
      <c r="M995" s="36" t="s">
        <v>9034</v>
      </c>
    </row>
    <row r="996" spans="1:13" hidden="1">
      <c r="A996" s="42">
        <f t="shared" si="16"/>
        <v>995</v>
      </c>
      <c r="B996" s="36" t="s">
        <v>8</v>
      </c>
      <c r="C996" s="36" t="s">
        <v>9083</v>
      </c>
      <c r="D996" s="9" t="s">
        <v>7465</v>
      </c>
      <c r="E996" s="9" t="s">
        <v>9159</v>
      </c>
      <c r="G996" s="36" t="s">
        <v>15</v>
      </c>
      <c r="H996" s="36" t="str">
        <f>IFERROR(VLOOKUP(Table2[[#This Row], [Ticket]],Okey!A:B,2,0),"")</f>
        <v>ok</v>
      </c>
      <c r="I996" s="36" t="s">
        <v>8546</v>
      </c>
      <c r="J996" s="36" t="s">
        <v>19</v>
      </c>
      <c r="K996" s="36"/>
      <c r="L996" s="36"/>
      <c r="M996" s="36" t="s">
        <v>9034</v>
      </c>
    </row>
    <row r="997" spans="1:13" hidden="1">
      <c r="A997" s="42">
        <f t="shared" si="16"/>
        <v>996</v>
      </c>
      <c r="B997" s="36" t="s">
        <v>8</v>
      </c>
      <c r="C997" s="36" t="s">
        <v>9083</v>
      </c>
      <c r="D997" s="9" t="s">
        <v>7481</v>
      </c>
      <c r="E997" s="9" t="s">
        <v>9160</v>
      </c>
      <c r="G997" s="36" t="s">
        <v>15</v>
      </c>
      <c r="H997" s="36" t="str">
        <f>IFERROR(VLOOKUP(Table2[[#This Row], [Ticket]],Okey!A:B,2,0),"")</f>
        <v>ok</v>
      </c>
      <c r="I997" s="36" t="s">
        <v>8546</v>
      </c>
      <c r="J997" s="36" t="s">
        <v>19</v>
      </c>
      <c r="K997" s="36"/>
      <c r="L997" s="36"/>
      <c r="M997" s="36" t="s">
        <v>9034</v>
      </c>
    </row>
    <row r="998" spans="1:13" hidden="1">
      <c r="A998" s="42">
        <f t="shared" si="16"/>
        <v>997</v>
      </c>
      <c r="B998" s="36" t="s">
        <v>8</v>
      </c>
      <c r="C998" s="36" t="s">
        <v>9083</v>
      </c>
      <c r="D998" s="9" t="s">
        <v>7482</v>
      </c>
      <c r="E998" s="9" t="s">
        <v>9161</v>
      </c>
      <c r="G998" s="36" t="s">
        <v>15</v>
      </c>
      <c r="H998" s="36" t="str">
        <f>IFERROR(VLOOKUP(Table2[[#This Row], [Ticket]],Okey!A:B,2,0),"")</f>
        <v>ok</v>
      </c>
      <c r="I998" s="36" t="s">
        <v>8546</v>
      </c>
      <c r="J998" s="36" t="s">
        <v>19</v>
      </c>
      <c r="K998" s="36"/>
      <c r="L998" s="36"/>
      <c r="M998" s="36" t="s">
        <v>9034</v>
      </c>
    </row>
    <row r="999" spans="1:13" hidden="1">
      <c r="A999" s="42">
        <f t="shared" si="16"/>
        <v>998</v>
      </c>
      <c r="B999" s="36" t="s">
        <v>8</v>
      </c>
      <c r="C999" s="36" t="s">
        <v>9083</v>
      </c>
      <c r="D999" s="9" t="s">
        <v>7483</v>
      </c>
      <c r="E999" s="9" t="s">
        <v>9162</v>
      </c>
      <c r="G999" s="36" t="s">
        <v>15</v>
      </c>
      <c r="H999" s="36" t="str">
        <f>IFERROR(VLOOKUP(Table2[[#This Row], [Ticket]],Okey!A:B,2,0),"")</f>
        <v>ok</v>
      </c>
      <c r="I999" s="36" t="s">
        <v>8546</v>
      </c>
      <c r="J999" s="36" t="s">
        <v>19</v>
      </c>
      <c r="K999" s="36"/>
      <c r="L999" s="36"/>
      <c r="M999" s="36" t="s">
        <v>9034</v>
      </c>
    </row>
    <row r="1000" spans="1:13" hidden="1">
      <c r="A1000" s="42">
        <f t="shared" si="16"/>
        <v>999</v>
      </c>
      <c r="B1000" s="36" t="s">
        <v>8</v>
      </c>
      <c r="C1000" s="36" t="s">
        <v>9083</v>
      </c>
      <c r="D1000" s="9" t="s">
        <v>7484</v>
      </c>
      <c r="E1000" s="9" t="s">
        <v>9162</v>
      </c>
      <c r="G1000" s="36" t="s">
        <v>15</v>
      </c>
      <c r="H1000" s="36" t="str">
        <f>IFERROR(VLOOKUP(Table2[[#This Row], [Ticket]],Okey!A:B,2,0),"")</f>
        <v>ok</v>
      </c>
      <c r="I1000" s="36" t="s">
        <v>8546</v>
      </c>
      <c r="J1000" s="36" t="s">
        <v>19</v>
      </c>
      <c r="K1000" s="36"/>
      <c r="L1000" s="36"/>
      <c r="M1000" s="36" t="s">
        <v>9034</v>
      </c>
    </row>
    <row r="1001" spans="1:13" hidden="1">
      <c r="A1001" s="42">
        <f t="shared" si="16"/>
        <v>1000</v>
      </c>
      <c r="B1001" s="36" t="s">
        <v>8</v>
      </c>
      <c r="C1001" s="36" t="s">
        <v>9083</v>
      </c>
      <c r="D1001" s="9" t="s">
        <v>7485</v>
      </c>
      <c r="E1001" s="9" t="s">
        <v>9163</v>
      </c>
      <c r="G1001" s="36" t="s">
        <v>15</v>
      </c>
      <c r="H1001" s="36" t="str">
        <f>IFERROR(VLOOKUP(Table2[[#This Row], [Ticket]],Okey!A:B,2,0),"")</f>
        <v>ok</v>
      </c>
      <c r="I1001" s="36" t="s">
        <v>8546</v>
      </c>
      <c r="J1001" s="36" t="s">
        <v>19</v>
      </c>
      <c r="K1001" s="36"/>
      <c r="L1001" s="36"/>
      <c r="M1001" s="36" t="s">
        <v>9034</v>
      </c>
    </row>
    <row r="1002" spans="1:13" hidden="1">
      <c r="A1002" s="42">
        <f t="shared" si="16"/>
        <v>1001</v>
      </c>
      <c r="B1002" s="36" t="s">
        <v>8</v>
      </c>
      <c r="C1002" s="36" t="s">
        <v>9083</v>
      </c>
      <c r="D1002" s="9" t="s">
        <v>7501</v>
      </c>
      <c r="E1002" s="9" t="s">
        <v>9164</v>
      </c>
      <c r="G1002" s="36" t="s">
        <v>15</v>
      </c>
      <c r="H1002" s="36" t="str">
        <f>IFERROR(VLOOKUP(Table2[[#This Row], [Ticket]],Okey!A:B,2,0),"")</f>
        <v>ok</v>
      </c>
      <c r="I1002" s="36" t="s">
        <v>8546</v>
      </c>
      <c r="J1002" s="36" t="s">
        <v>19</v>
      </c>
      <c r="K1002" s="36"/>
      <c r="L1002" s="36"/>
      <c r="M1002" s="36" t="s">
        <v>9034</v>
      </c>
    </row>
    <row r="1003" spans="1:13" hidden="1">
      <c r="A1003" s="42">
        <f t="shared" si="16"/>
        <v>1002</v>
      </c>
      <c r="B1003" s="36" t="s">
        <v>8</v>
      </c>
      <c r="C1003" s="36" t="s">
        <v>9083</v>
      </c>
      <c r="D1003" s="9" t="s">
        <v>7502</v>
      </c>
      <c r="E1003" s="9" t="s">
        <v>9165</v>
      </c>
      <c r="G1003" s="36" t="s">
        <v>15</v>
      </c>
      <c r="H1003" s="36" t="str">
        <f>IFERROR(VLOOKUP(Table2[[#This Row], [Ticket]],Okey!A:B,2,0),"")</f>
        <v>ok</v>
      </c>
      <c r="I1003" s="36" t="s">
        <v>8546</v>
      </c>
      <c r="J1003" s="36" t="s">
        <v>19</v>
      </c>
      <c r="K1003" s="36"/>
      <c r="L1003" s="36"/>
      <c r="M1003" s="36" t="s">
        <v>9034</v>
      </c>
    </row>
    <row r="1004" spans="1:13" hidden="1">
      <c r="A1004" s="42">
        <f t="shared" si="16"/>
        <v>1003</v>
      </c>
      <c r="B1004" s="36" t="s">
        <v>8</v>
      </c>
      <c r="C1004" s="36" t="s">
        <v>9083</v>
      </c>
      <c r="D1004" s="9" t="s">
        <v>7503</v>
      </c>
      <c r="E1004" s="9" t="s">
        <v>9166</v>
      </c>
      <c r="G1004" s="36" t="s">
        <v>15</v>
      </c>
      <c r="H1004" s="36" t="str">
        <f>IFERROR(VLOOKUP(Table2[[#This Row], [Ticket]],Okey!A:B,2,0),"")</f>
        <v>ok</v>
      </c>
      <c r="I1004" s="36" t="s">
        <v>8546</v>
      </c>
      <c r="J1004" s="36" t="s">
        <v>19</v>
      </c>
      <c r="K1004" s="36"/>
      <c r="L1004" s="36"/>
      <c r="M1004" s="36" t="s">
        <v>9034</v>
      </c>
    </row>
    <row r="1005" spans="1:13" hidden="1">
      <c r="A1005" s="42">
        <f t="shared" si="16"/>
        <v>1004</v>
      </c>
      <c r="B1005" s="36" t="s">
        <v>8</v>
      </c>
      <c r="C1005" s="36" t="s">
        <v>9083</v>
      </c>
      <c r="D1005" s="9" t="s">
        <v>7504</v>
      </c>
      <c r="E1005" s="9" t="s">
        <v>9166</v>
      </c>
      <c r="G1005" s="36" t="s">
        <v>15</v>
      </c>
      <c r="H1005" s="36" t="str">
        <f>IFERROR(VLOOKUP(Table2[[#This Row], [Ticket]],Okey!A:B,2,0),"")</f>
        <v>ok</v>
      </c>
      <c r="I1005" s="36" t="s">
        <v>8546</v>
      </c>
      <c r="J1005" s="36" t="s">
        <v>19</v>
      </c>
      <c r="K1005" s="36"/>
      <c r="L1005" s="36"/>
      <c r="M1005" s="36" t="s">
        <v>9034</v>
      </c>
    </row>
    <row r="1006" spans="1:13" hidden="1">
      <c r="A1006" s="42">
        <f t="shared" si="16"/>
        <v>1005</v>
      </c>
      <c r="B1006" s="36" t="s">
        <v>8</v>
      </c>
      <c r="C1006" s="36" t="s">
        <v>9083</v>
      </c>
      <c r="D1006" s="9" t="s">
        <v>7505</v>
      </c>
      <c r="E1006" s="9" t="s">
        <v>9167</v>
      </c>
      <c r="G1006" s="36" t="s">
        <v>15</v>
      </c>
      <c r="H1006" s="36" t="str">
        <f>IFERROR(VLOOKUP(Table2[[#This Row], [Ticket]],Okey!A:B,2,0),"")</f>
        <v>ok</v>
      </c>
      <c r="I1006" s="36" t="s">
        <v>8546</v>
      </c>
      <c r="J1006" s="36" t="s">
        <v>19</v>
      </c>
      <c r="K1006" s="36"/>
      <c r="L1006" s="36"/>
      <c r="M1006" s="36" t="s">
        <v>9034</v>
      </c>
    </row>
    <row r="1007" spans="1:13" hidden="1">
      <c r="A1007" s="42">
        <f t="shared" si="16"/>
        <v>1006</v>
      </c>
      <c r="B1007" s="36" t="s">
        <v>8</v>
      </c>
      <c r="C1007" s="36" t="s">
        <v>9083</v>
      </c>
      <c r="D1007" s="9" t="s">
        <v>7521</v>
      </c>
      <c r="E1007" s="9" t="s">
        <v>9168</v>
      </c>
      <c r="G1007" s="36" t="s">
        <v>15</v>
      </c>
      <c r="H1007" s="36" t="str">
        <f>IFERROR(VLOOKUP(Table2[[#This Row], [Ticket]],Okey!A:B,2,0),"")</f>
        <v>ok</v>
      </c>
      <c r="I1007" s="36" t="s">
        <v>8546</v>
      </c>
      <c r="J1007" s="36" t="s">
        <v>19</v>
      </c>
      <c r="K1007" s="36"/>
      <c r="L1007" s="36"/>
      <c r="M1007" s="36" t="s">
        <v>9034</v>
      </c>
    </row>
    <row r="1008" spans="1:13" hidden="1">
      <c r="A1008" s="42">
        <f t="shared" si="16"/>
        <v>1007</v>
      </c>
      <c r="B1008" s="36" t="s">
        <v>8</v>
      </c>
      <c r="C1008" s="36" t="s">
        <v>9083</v>
      </c>
      <c r="D1008" s="9" t="s">
        <v>7522</v>
      </c>
      <c r="E1008" s="9" t="s">
        <v>9169</v>
      </c>
      <c r="G1008" s="36" t="s">
        <v>15</v>
      </c>
      <c r="H1008" s="36" t="str">
        <f>IFERROR(VLOOKUP(Table2[[#This Row], [Ticket]],Okey!A:B,2,0),"")</f>
        <v>ok</v>
      </c>
      <c r="I1008" s="36" t="s">
        <v>8546</v>
      </c>
      <c r="J1008" s="36" t="s">
        <v>19</v>
      </c>
      <c r="K1008" s="36"/>
      <c r="L1008" s="36"/>
      <c r="M1008" s="36" t="s">
        <v>9034</v>
      </c>
    </row>
    <row r="1009" spans="1:13" hidden="1">
      <c r="A1009" s="42">
        <f t="shared" si="16"/>
        <v>1008</v>
      </c>
      <c r="B1009" s="36" t="s">
        <v>8</v>
      </c>
      <c r="C1009" s="36" t="s">
        <v>9083</v>
      </c>
      <c r="D1009" s="9" t="s">
        <v>7523</v>
      </c>
      <c r="E1009" s="9" t="s">
        <v>9170</v>
      </c>
      <c r="G1009" s="36" t="s">
        <v>15</v>
      </c>
      <c r="H1009" s="36" t="str">
        <f>IFERROR(VLOOKUP(Table2[[#This Row], [Ticket]],Okey!A:B,2,0),"")</f>
        <v>ok</v>
      </c>
      <c r="I1009" s="36" t="s">
        <v>8546</v>
      </c>
      <c r="J1009" s="36" t="s">
        <v>19</v>
      </c>
      <c r="K1009" s="36"/>
      <c r="L1009" s="36"/>
      <c r="M1009" s="36" t="s">
        <v>9034</v>
      </c>
    </row>
    <row r="1010" spans="1:13" hidden="1">
      <c r="A1010" s="42">
        <f t="shared" si="16"/>
        <v>1009</v>
      </c>
      <c r="B1010" s="36" t="s">
        <v>8</v>
      </c>
      <c r="C1010" s="36" t="s">
        <v>9083</v>
      </c>
      <c r="D1010" s="9" t="s">
        <v>7524</v>
      </c>
      <c r="E1010" s="9" t="s">
        <v>9170</v>
      </c>
      <c r="G1010" s="36" t="s">
        <v>15</v>
      </c>
      <c r="H1010" s="36" t="str">
        <f>IFERROR(VLOOKUP(Table2[[#This Row], [Ticket]],Okey!A:B,2,0),"")</f>
        <v>ok</v>
      </c>
      <c r="I1010" s="36" t="s">
        <v>8546</v>
      </c>
      <c r="J1010" s="36" t="s">
        <v>19</v>
      </c>
      <c r="K1010" s="36"/>
      <c r="L1010" s="36"/>
      <c r="M1010" s="36" t="s">
        <v>9034</v>
      </c>
    </row>
    <row r="1011" spans="1:13" hidden="1">
      <c r="A1011" s="42">
        <f t="shared" si="16"/>
        <v>1010</v>
      </c>
      <c r="B1011" s="36" t="s">
        <v>8</v>
      </c>
      <c r="C1011" s="36" t="s">
        <v>9083</v>
      </c>
      <c r="D1011" s="9" t="s">
        <v>7525</v>
      </c>
      <c r="E1011" s="9" t="s">
        <v>9171</v>
      </c>
      <c r="G1011" s="36" t="s">
        <v>15</v>
      </c>
      <c r="H1011" s="36" t="str">
        <f>IFERROR(VLOOKUP(Table2[[#This Row], [Ticket]],Okey!A:B,2,0),"")</f>
        <v>ok</v>
      </c>
      <c r="I1011" s="36" t="s">
        <v>8546</v>
      </c>
      <c r="J1011" s="36" t="s">
        <v>19</v>
      </c>
      <c r="K1011" s="36"/>
      <c r="L1011" s="36"/>
      <c r="M1011" s="36" t="s">
        <v>9034</v>
      </c>
    </row>
    <row r="1012" spans="1:13" hidden="1">
      <c r="A1012" s="42">
        <f t="shared" si="16"/>
        <v>1011</v>
      </c>
      <c r="B1012" s="36" t="s">
        <v>8</v>
      </c>
      <c r="C1012" s="36" t="s">
        <v>9083</v>
      </c>
      <c r="D1012" s="9" t="s">
        <v>7541</v>
      </c>
      <c r="E1012" s="9" t="s">
        <v>9172</v>
      </c>
      <c r="G1012" s="36" t="s">
        <v>15</v>
      </c>
      <c r="H1012" s="36" t="str">
        <f>IFERROR(VLOOKUP(Table2[[#This Row], [Ticket]],Okey!A:B,2,0),"")</f>
        <v>ok</v>
      </c>
      <c r="I1012" s="36" t="s">
        <v>8546</v>
      </c>
      <c r="J1012" s="36" t="s">
        <v>19</v>
      </c>
      <c r="K1012" s="36"/>
      <c r="L1012" s="36"/>
      <c r="M1012" s="36" t="s">
        <v>9034</v>
      </c>
    </row>
    <row r="1013" spans="1:13" hidden="1">
      <c r="A1013" s="42">
        <f t="shared" si="16"/>
        <v>1012</v>
      </c>
      <c r="B1013" s="36" t="s">
        <v>8</v>
      </c>
      <c r="C1013" s="36" t="s">
        <v>9083</v>
      </c>
      <c r="D1013" s="9" t="s">
        <v>7542</v>
      </c>
      <c r="E1013" s="9" t="s">
        <v>9173</v>
      </c>
      <c r="G1013" s="36" t="s">
        <v>15</v>
      </c>
      <c r="H1013" s="36" t="str">
        <f>IFERROR(VLOOKUP(Table2[[#This Row], [Ticket]],Okey!A:B,2,0),"")</f>
        <v>ok</v>
      </c>
      <c r="I1013" s="36" t="s">
        <v>8546</v>
      </c>
      <c r="J1013" s="36" t="s">
        <v>19</v>
      </c>
      <c r="K1013" s="36"/>
      <c r="L1013" s="36"/>
      <c r="M1013" s="36" t="s">
        <v>9034</v>
      </c>
    </row>
    <row r="1014" spans="1:13" hidden="1">
      <c r="A1014" s="42">
        <f t="shared" si="16"/>
        <v>1013</v>
      </c>
      <c r="B1014" s="36" t="s">
        <v>8</v>
      </c>
      <c r="C1014" s="36" t="s">
        <v>9083</v>
      </c>
      <c r="D1014" s="9" t="s">
        <v>7543</v>
      </c>
      <c r="E1014" s="9" t="s">
        <v>9174</v>
      </c>
      <c r="G1014" s="36" t="s">
        <v>15</v>
      </c>
      <c r="H1014" s="36" t="str">
        <f>IFERROR(VLOOKUP(Table2[[#This Row], [Ticket]],Okey!A:B,2,0),"")</f>
        <v>ok</v>
      </c>
      <c r="I1014" s="36" t="s">
        <v>8546</v>
      </c>
      <c r="J1014" s="36" t="s">
        <v>19</v>
      </c>
      <c r="K1014" s="36"/>
      <c r="L1014" s="36"/>
      <c r="M1014" s="36" t="s">
        <v>9034</v>
      </c>
    </row>
    <row r="1015" spans="1:13" hidden="1">
      <c r="A1015" s="42">
        <f t="shared" si="16"/>
        <v>1014</v>
      </c>
      <c r="B1015" s="36" t="s">
        <v>8</v>
      </c>
      <c r="C1015" s="36" t="s">
        <v>9083</v>
      </c>
      <c r="D1015" s="9" t="s">
        <v>7544</v>
      </c>
      <c r="E1015" s="9" t="s">
        <v>9174</v>
      </c>
      <c r="G1015" s="36" t="s">
        <v>15</v>
      </c>
      <c r="H1015" s="36" t="str">
        <f>IFERROR(VLOOKUP(Table2[[#This Row], [Ticket]],Okey!A:B,2,0),"")</f>
        <v>ok</v>
      </c>
      <c r="I1015" s="36" t="s">
        <v>8546</v>
      </c>
      <c r="J1015" s="36" t="s">
        <v>19</v>
      </c>
      <c r="K1015" s="36"/>
      <c r="L1015" s="36"/>
      <c r="M1015" s="36" t="s">
        <v>9034</v>
      </c>
    </row>
    <row r="1016" spans="1:13" hidden="1">
      <c r="A1016" s="42">
        <f t="shared" si="16"/>
        <v>1015</v>
      </c>
      <c r="B1016" s="36" t="s">
        <v>8</v>
      </c>
      <c r="C1016" s="36" t="s">
        <v>9083</v>
      </c>
      <c r="D1016" s="9" t="s">
        <v>7545</v>
      </c>
      <c r="E1016" s="9" t="s">
        <v>9175</v>
      </c>
      <c r="G1016" s="36" t="s">
        <v>15</v>
      </c>
      <c r="H1016" s="36" t="str">
        <f>IFERROR(VLOOKUP(Table2[[#This Row], [Ticket]],Okey!A:B,2,0),"")</f>
        <v>ok</v>
      </c>
      <c r="I1016" s="36" t="s">
        <v>8546</v>
      </c>
      <c r="J1016" s="36" t="s">
        <v>19</v>
      </c>
      <c r="K1016" s="36"/>
      <c r="L1016" s="36"/>
      <c r="M1016" s="36" t="s">
        <v>9034</v>
      </c>
    </row>
    <row r="1017" spans="1:13" hidden="1">
      <c r="A1017" s="42">
        <f t="shared" si="16"/>
        <v>1016</v>
      </c>
      <c r="B1017" s="36" t="s">
        <v>8</v>
      </c>
      <c r="C1017" s="36" t="s">
        <v>9083</v>
      </c>
      <c r="D1017" s="9" t="s">
        <v>7561</v>
      </c>
      <c r="E1017" s="9" t="s">
        <v>9176</v>
      </c>
      <c r="G1017" s="36" t="s">
        <v>15</v>
      </c>
      <c r="H1017" s="36" t="str">
        <f>IFERROR(VLOOKUP(Table2[[#This Row], [Ticket]],Okey!A:B,2,0),"")</f>
        <v>ok</v>
      </c>
      <c r="I1017" s="36" t="s">
        <v>8546</v>
      </c>
      <c r="J1017" s="36" t="s">
        <v>19</v>
      </c>
      <c r="K1017" s="36"/>
      <c r="L1017" s="36"/>
      <c r="M1017" s="36" t="s">
        <v>9034</v>
      </c>
    </row>
    <row r="1018" spans="1:13" hidden="1">
      <c r="A1018" s="42">
        <f t="shared" si="16"/>
        <v>1017</v>
      </c>
      <c r="B1018" s="36" t="s">
        <v>8</v>
      </c>
      <c r="C1018" s="36" t="s">
        <v>9083</v>
      </c>
      <c r="D1018" s="9" t="s">
        <v>7562</v>
      </c>
      <c r="E1018" s="9" t="s">
        <v>9177</v>
      </c>
      <c r="G1018" s="36" t="s">
        <v>15</v>
      </c>
      <c r="H1018" s="36" t="str">
        <f>IFERROR(VLOOKUP(Table2[[#This Row], [Ticket]],Okey!A:B,2,0),"")</f>
        <v>ok</v>
      </c>
      <c r="I1018" s="36" t="s">
        <v>8546</v>
      </c>
      <c r="J1018" s="36" t="s">
        <v>19</v>
      </c>
      <c r="K1018" s="36"/>
      <c r="L1018" s="36"/>
      <c r="M1018" s="36" t="s">
        <v>9034</v>
      </c>
    </row>
    <row r="1019" spans="1:13" hidden="1">
      <c r="A1019" s="42">
        <f t="shared" si="16"/>
        <v>1018</v>
      </c>
      <c r="B1019" s="36" t="s">
        <v>8</v>
      </c>
      <c r="C1019" s="36" t="s">
        <v>9083</v>
      </c>
      <c r="D1019" s="9" t="s">
        <v>7563</v>
      </c>
      <c r="E1019" s="9" t="s">
        <v>9178</v>
      </c>
      <c r="G1019" s="36" t="s">
        <v>15</v>
      </c>
      <c r="H1019" s="36" t="str">
        <f>IFERROR(VLOOKUP(Table2[[#This Row], [Ticket]],Okey!A:B,2,0),"")</f>
        <v>ok</v>
      </c>
      <c r="I1019" s="36" t="s">
        <v>8546</v>
      </c>
      <c r="J1019" s="36" t="s">
        <v>19</v>
      </c>
      <c r="K1019" s="36"/>
      <c r="L1019" s="36"/>
      <c r="M1019" s="36" t="s">
        <v>9034</v>
      </c>
    </row>
    <row r="1020" spans="1:13" hidden="1">
      <c r="A1020" s="42">
        <f t="shared" si="16"/>
        <v>1019</v>
      </c>
      <c r="B1020" s="36" t="s">
        <v>8</v>
      </c>
      <c r="C1020" s="36" t="s">
        <v>9083</v>
      </c>
      <c r="D1020" s="9" t="s">
        <v>7564</v>
      </c>
      <c r="E1020" s="9" t="s">
        <v>9178</v>
      </c>
      <c r="G1020" s="36" t="s">
        <v>15</v>
      </c>
      <c r="H1020" s="36" t="str">
        <f>IFERROR(VLOOKUP(Table2[[#This Row], [Ticket]],Okey!A:B,2,0),"")</f>
        <v>ok</v>
      </c>
      <c r="I1020" s="36" t="s">
        <v>8546</v>
      </c>
      <c r="J1020" s="36" t="s">
        <v>19</v>
      </c>
      <c r="K1020" s="36"/>
      <c r="L1020" s="36"/>
      <c r="M1020" s="36" t="s">
        <v>9034</v>
      </c>
    </row>
    <row r="1021" spans="1:13" hidden="1">
      <c r="A1021" s="42">
        <f t="shared" si="16"/>
        <v>1020</v>
      </c>
      <c r="B1021" s="36" t="s">
        <v>8</v>
      </c>
      <c r="C1021" s="36" t="s">
        <v>9083</v>
      </c>
      <c r="D1021" s="9" t="s">
        <v>7565</v>
      </c>
      <c r="E1021" s="9" t="s">
        <v>9179</v>
      </c>
      <c r="G1021" s="36" t="s">
        <v>15</v>
      </c>
      <c r="H1021" s="36" t="str">
        <f>IFERROR(VLOOKUP(Table2[[#This Row], [Ticket]],Okey!A:B,2,0),"")</f>
        <v>ok</v>
      </c>
      <c r="I1021" s="36" t="s">
        <v>8546</v>
      </c>
      <c r="J1021" s="36" t="s">
        <v>19</v>
      </c>
      <c r="K1021" s="36"/>
      <c r="L1021" s="36"/>
      <c r="M1021" s="36" t="s">
        <v>9034</v>
      </c>
    </row>
    <row r="1022" spans="1:13" hidden="1">
      <c r="A1022" s="42">
        <f t="shared" si="16"/>
        <v>1021</v>
      </c>
      <c r="B1022" s="36" t="s">
        <v>8</v>
      </c>
      <c r="C1022" s="36" t="s">
        <v>9083</v>
      </c>
      <c r="D1022" s="9" t="s">
        <v>6701</v>
      </c>
      <c r="E1022" s="9" t="s">
        <v>9180</v>
      </c>
      <c r="G1022" s="36" t="s">
        <v>15</v>
      </c>
      <c r="H1022" s="36" t="str">
        <f>IFERROR(VLOOKUP(Table2[[#This Row], [Ticket]],Okey!A:B,2,0),"")</f>
        <v>ok</v>
      </c>
      <c r="I1022" s="36" t="s">
        <v>8546</v>
      </c>
      <c r="J1022" s="36" t="s">
        <v>19</v>
      </c>
      <c r="K1022" s="36"/>
      <c r="L1022" s="36"/>
      <c r="M1022" s="36" t="s">
        <v>9034</v>
      </c>
    </row>
    <row r="1023" spans="1:13" hidden="1">
      <c r="A1023" s="42">
        <f t="shared" si="16"/>
        <v>1022</v>
      </c>
      <c r="B1023" s="36" t="s">
        <v>8</v>
      </c>
      <c r="C1023" s="36" t="s">
        <v>9083</v>
      </c>
      <c r="D1023" s="9" t="s">
        <v>6688</v>
      </c>
      <c r="E1023" s="9" t="s">
        <v>9181</v>
      </c>
      <c r="G1023" s="36" t="s">
        <v>15</v>
      </c>
      <c r="H1023" s="36" t="str">
        <f>IFERROR(VLOOKUP(Table2[[#This Row], [Ticket]],Okey!A:B,2,0),"")</f>
        <v>ok</v>
      </c>
      <c r="I1023" s="36" t="s">
        <v>8546</v>
      </c>
      <c r="J1023" s="36" t="s">
        <v>19</v>
      </c>
      <c r="K1023" s="36"/>
      <c r="L1023" s="36"/>
      <c r="M1023" s="36" t="s">
        <v>9034</v>
      </c>
    </row>
    <row r="1024" spans="1:13" hidden="1">
      <c r="A1024" s="42">
        <f t="shared" si="16"/>
        <v>1023</v>
      </c>
      <c r="B1024" s="36" t="s">
        <v>8</v>
      </c>
      <c r="C1024" s="36" t="s">
        <v>9083</v>
      </c>
      <c r="D1024" s="9" t="s">
        <v>6702</v>
      </c>
      <c r="E1024" s="9" t="s">
        <v>9182</v>
      </c>
      <c r="G1024" s="36" t="s">
        <v>15</v>
      </c>
      <c r="H1024" s="36" t="str">
        <f>IFERROR(VLOOKUP(Table2[[#This Row], [Ticket]],Okey!A:B,2,0),"")</f>
        <v>ok</v>
      </c>
      <c r="I1024" s="36" t="s">
        <v>8546</v>
      </c>
      <c r="J1024" s="36" t="s">
        <v>19</v>
      </c>
      <c r="K1024" s="36"/>
      <c r="L1024" s="36"/>
      <c r="M1024" s="36" t="s">
        <v>9034</v>
      </c>
    </row>
    <row r="1025" spans="1:13" hidden="1">
      <c r="A1025" s="42">
        <f t="shared" si="16"/>
        <v>1024</v>
      </c>
      <c r="B1025" s="36" t="s">
        <v>8</v>
      </c>
      <c r="C1025" s="36" t="s">
        <v>9083</v>
      </c>
      <c r="D1025" s="9" t="s">
        <v>6703</v>
      </c>
      <c r="E1025" s="9" t="s">
        <v>9183</v>
      </c>
      <c r="G1025" s="36" t="s">
        <v>15</v>
      </c>
      <c r="H1025" s="36" t="str">
        <f>IFERROR(VLOOKUP(Table2[[#This Row], [Ticket]],Okey!A:B,2,0),"")</f>
        <v>ok</v>
      </c>
      <c r="I1025" s="36" t="s">
        <v>8546</v>
      </c>
      <c r="J1025" s="36" t="s">
        <v>19</v>
      </c>
      <c r="K1025" s="36"/>
      <c r="L1025" s="36"/>
      <c r="M1025" s="36" t="s">
        <v>9034</v>
      </c>
    </row>
    <row r="1026" spans="1:13" hidden="1">
      <c r="A1026" s="42">
        <f t="shared" si="16"/>
        <v>1025</v>
      </c>
      <c r="B1026" s="36" t="s">
        <v>8</v>
      </c>
      <c r="C1026" s="36" t="s">
        <v>9083</v>
      </c>
      <c r="D1026" s="9" t="s">
        <v>6689</v>
      </c>
      <c r="E1026" s="9" t="s">
        <v>9184</v>
      </c>
      <c r="G1026" s="36" t="s">
        <v>15</v>
      </c>
      <c r="H1026" s="36" t="str">
        <f>IFERROR(VLOOKUP(Table2[[#This Row], [Ticket]],Okey!A:B,2,0),"")</f>
        <v>ok</v>
      </c>
      <c r="I1026" s="36" t="s">
        <v>8546</v>
      </c>
      <c r="J1026" s="36" t="s">
        <v>19</v>
      </c>
      <c r="K1026" s="36"/>
      <c r="L1026" s="36"/>
      <c r="M1026" s="36" t="s">
        <v>9034</v>
      </c>
    </row>
    <row r="1027" spans="1:13" hidden="1">
      <c r="A1027" s="42">
        <f t="shared" si="16"/>
        <v>1026</v>
      </c>
      <c r="B1027" s="36" t="s">
        <v>8</v>
      </c>
      <c r="C1027" s="36" t="s">
        <v>9083</v>
      </c>
      <c r="D1027" s="9" t="s">
        <v>6704</v>
      </c>
      <c r="E1027" s="9" t="s">
        <v>9185</v>
      </c>
      <c r="G1027" s="36" t="s">
        <v>15</v>
      </c>
      <c r="H1027" s="36" t="str">
        <f>IFERROR(VLOOKUP(Table2[[#This Row], [Ticket]],Okey!A:B,2,0),"")</f>
        <v>ok</v>
      </c>
      <c r="I1027" s="36" t="s">
        <v>8546</v>
      </c>
      <c r="J1027" s="36" t="s">
        <v>19</v>
      </c>
      <c r="K1027" s="36"/>
      <c r="L1027" s="36"/>
      <c r="M1027" s="36" t="s">
        <v>9034</v>
      </c>
    </row>
    <row r="1028" spans="1:13" hidden="1">
      <c r="A1028" s="42">
        <f t="shared" si="16"/>
        <v>1027</v>
      </c>
      <c r="B1028" s="36" t="s">
        <v>8</v>
      </c>
      <c r="C1028" s="36" t="s">
        <v>9083</v>
      </c>
      <c r="D1028" s="9" t="s">
        <v>6705</v>
      </c>
      <c r="E1028" s="9" t="s">
        <v>9186</v>
      </c>
      <c r="G1028" s="36" t="s">
        <v>15</v>
      </c>
      <c r="H1028" s="36" t="str">
        <f>IFERROR(VLOOKUP(Table2[[#This Row], [Ticket]],Okey!A:B,2,0),"")</f>
        <v>ok</v>
      </c>
      <c r="I1028" s="36" t="s">
        <v>8546</v>
      </c>
      <c r="J1028" s="36" t="s">
        <v>19</v>
      </c>
      <c r="K1028" s="36"/>
      <c r="L1028" s="36"/>
      <c r="M1028" s="36" t="s">
        <v>9034</v>
      </c>
    </row>
    <row r="1029" spans="1:13" hidden="1">
      <c r="A1029" s="42">
        <f t="shared" si="16"/>
        <v>1028</v>
      </c>
      <c r="B1029" s="36" t="s">
        <v>8</v>
      </c>
      <c r="C1029" s="36" t="s">
        <v>9083</v>
      </c>
      <c r="D1029" s="9" t="s">
        <v>7173</v>
      </c>
      <c r="E1029" s="9" t="s">
        <v>9187</v>
      </c>
      <c r="G1029" s="36" t="s">
        <v>15</v>
      </c>
      <c r="H1029" s="36" t="str">
        <f>IFERROR(VLOOKUP(Table2[[#This Row], [Ticket]],Okey!A:B,2,0),"")</f>
        <v>ok</v>
      </c>
      <c r="I1029" s="36" t="s">
        <v>8546</v>
      </c>
      <c r="J1029" s="36" t="s">
        <v>19</v>
      </c>
      <c r="K1029" s="36"/>
      <c r="L1029" s="36"/>
      <c r="M1029" s="36" t="s">
        <v>9034</v>
      </c>
    </row>
    <row r="1030" spans="1:13" hidden="1">
      <c r="A1030" s="42">
        <f t="shared" si="16"/>
        <v>1029</v>
      </c>
      <c r="B1030" s="36" t="s">
        <v>8</v>
      </c>
      <c r="C1030" s="36" t="s">
        <v>9083</v>
      </c>
      <c r="D1030" s="9" t="s">
        <v>7174</v>
      </c>
      <c r="E1030" s="9" t="s">
        <v>9188</v>
      </c>
      <c r="G1030" s="36" t="s">
        <v>15</v>
      </c>
      <c r="H1030" s="36" t="str">
        <f>IFERROR(VLOOKUP(Table2[[#This Row], [Ticket]],Okey!A:B,2,0),"")</f>
        <v>ok</v>
      </c>
      <c r="I1030" s="36" t="s">
        <v>8546</v>
      </c>
      <c r="J1030" s="36" t="s">
        <v>19</v>
      </c>
      <c r="K1030" s="36"/>
      <c r="L1030" s="36"/>
      <c r="M1030" s="36" t="s">
        <v>9034</v>
      </c>
    </row>
    <row r="1031" spans="1:13" hidden="1">
      <c r="A1031" s="42">
        <f t="shared" si="16"/>
        <v>1030</v>
      </c>
      <c r="B1031" s="36" t="s">
        <v>8</v>
      </c>
      <c r="C1031" s="36" t="s">
        <v>9083</v>
      </c>
      <c r="D1031" s="9" t="s">
        <v>7175</v>
      </c>
      <c r="E1031" s="9" t="s">
        <v>9189</v>
      </c>
      <c r="G1031" s="36" t="s">
        <v>15</v>
      </c>
      <c r="H1031" s="36" t="str">
        <f>IFERROR(VLOOKUP(Table2[[#This Row], [Ticket]],Okey!A:B,2,0),"")</f>
        <v>ok</v>
      </c>
      <c r="I1031" s="36" t="s">
        <v>8546</v>
      </c>
      <c r="J1031" s="36" t="s">
        <v>19</v>
      </c>
      <c r="K1031" s="36"/>
      <c r="L1031" s="36"/>
      <c r="M1031" s="36" t="s">
        <v>9034</v>
      </c>
    </row>
    <row r="1032" spans="1:13" hidden="1">
      <c r="A1032" s="42">
        <f t="shared" si="16"/>
        <v>1031</v>
      </c>
      <c r="B1032" s="36" t="s">
        <v>8</v>
      </c>
      <c r="C1032" s="36" t="s">
        <v>9083</v>
      </c>
      <c r="D1032" s="9" t="s">
        <v>7176</v>
      </c>
      <c r="E1032" s="9" t="s">
        <v>9190</v>
      </c>
      <c r="G1032" s="36" t="s">
        <v>15</v>
      </c>
      <c r="H1032" s="36" t="str">
        <f>IFERROR(VLOOKUP(Table2[[#This Row], [Ticket]],Okey!A:B,2,0),"")</f>
        <v>ok</v>
      </c>
      <c r="I1032" s="36" t="s">
        <v>8546</v>
      </c>
      <c r="J1032" s="36" t="s">
        <v>19</v>
      </c>
      <c r="K1032" s="36"/>
      <c r="L1032" s="36"/>
      <c r="M1032" s="36" t="s">
        <v>9034</v>
      </c>
    </row>
    <row r="1033" spans="1:13" hidden="1">
      <c r="A1033" s="42">
        <f t="shared" si="16"/>
        <v>1032</v>
      </c>
      <c r="B1033" s="36" t="s">
        <v>8</v>
      </c>
      <c r="C1033" s="36" t="s">
        <v>9083</v>
      </c>
      <c r="D1033" s="9" t="s">
        <v>7177</v>
      </c>
      <c r="E1033" s="9" t="s">
        <v>9191</v>
      </c>
      <c r="G1033" s="36" t="s">
        <v>15</v>
      </c>
      <c r="H1033" s="36" t="str">
        <f>IFERROR(VLOOKUP(Table2[[#This Row], [Ticket]],Okey!A:B,2,0),"")</f>
        <v>ok</v>
      </c>
      <c r="I1033" s="36" t="s">
        <v>8546</v>
      </c>
      <c r="J1033" s="36" t="s">
        <v>19</v>
      </c>
      <c r="K1033" s="36"/>
      <c r="L1033" s="36"/>
      <c r="M1033" s="36" t="s">
        <v>9034</v>
      </c>
    </row>
    <row r="1034" spans="1:13" hidden="1">
      <c r="A1034" s="42">
        <f t="shared" si="16"/>
        <v>1033</v>
      </c>
      <c r="B1034" s="36" t="s">
        <v>8</v>
      </c>
      <c r="C1034" s="36" t="s">
        <v>9083</v>
      </c>
      <c r="D1034" s="9" t="s">
        <v>7178</v>
      </c>
      <c r="E1034" s="9" t="s">
        <v>9192</v>
      </c>
      <c r="G1034" s="36" t="s">
        <v>15</v>
      </c>
      <c r="H1034" s="36" t="str">
        <f>IFERROR(VLOOKUP(Table2[[#This Row], [Ticket]],Okey!A:B,2,0),"")</f>
        <v>ok</v>
      </c>
      <c r="I1034" s="36" t="s">
        <v>8546</v>
      </c>
      <c r="J1034" s="36" t="s">
        <v>19</v>
      </c>
      <c r="K1034" s="36"/>
      <c r="L1034" s="36"/>
      <c r="M1034" s="36" t="s">
        <v>9034</v>
      </c>
    </row>
    <row r="1035" spans="1:13" hidden="1">
      <c r="A1035" s="42">
        <f t="shared" si="16"/>
        <v>1034</v>
      </c>
      <c r="B1035" s="36" t="s">
        <v>8</v>
      </c>
      <c r="C1035" s="36" t="s">
        <v>9083</v>
      </c>
      <c r="D1035" s="9" t="s">
        <v>7179</v>
      </c>
      <c r="E1035" s="9" t="s">
        <v>9193</v>
      </c>
      <c r="G1035" s="36" t="s">
        <v>15</v>
      </c>
      <c r="H1035" s="36" t="str">
        <f>IFERROR(VLOOKUP(Table2[[#This Row], [Ticket]],Okey!A:B,2,0),"")</f>
        <v>ok</v>
      </c>
      <c r="I1035" s="36" t="s">
        <v>8546</v>
      </c>
      <c r="J1035" s="36" t="s">
        <v>19</v>
      </c>
      <c r="K1035" s="36"/>
      <c r="L1035" s="36"/>
      <c r="M1035" s="36" t="s">
        <v>9034</v>
      </c>
    </row>
    <row r="1036" spans="1:13" hidden="1">
      <c r="A1036" s="42">
        <f t="shared" si="16"/>
        <v>1035</v>
      </c>
      <c r="B1036" s="36" t="s">
        <v>8</v>
      </c>
      <c r="C1036" s="36" t="s">
        <v>9083</v>
      </c>
      <c r="D1036" s="9" t="s">
        <v>7193</v>
      </c>
      <c r="E1036" s="9" t="s">
        <v>9194</v>
      </c>
      <c r="G1036" s="36" t="s">
        <v>15</v>
      </c>
      <c r="H1036" s="36" t="str">
        <f>IFERROR(VLOOKUP(Table2[[#This Row], [Ticket]],Okey!A:B,2,0),"")</f>
        <v>ok</v>
      </c>
      <c r="I1036" s="36" t="s">
        <v>8546</v>
      </c>
      <c r="J1036" s="36" t="s">
        <v>19</v>
      </c>
      <c r="K1036" s="36"/>
      <c r="L1036" s="36"/>
      <c r="M1036" s="36" t="s">
        <v>9034</v>
      </c>
    </row>
    <row r="1037" spans="1:13" hidden="1">
      <c r="A1037" s="42">
        <f t="shared" si="16"/>
        <v>1036</v>
      </c>
      <c r="B1037" s="36" t="s">
        <v>8</v>
      </c>
      <c r="C1037" s="36" t="s">
        <v>9083</v>
      </c>
      <c r="D1037" s="9" t="s">
        <v>7194</v>
      </c>
      <c r="E1037" s="9" t="s">
        <v>9195</v>
      </c>
      <c r="G1037" s="36" t="s">
        <v>15</v>
      </c>
      <c r="H1037" s="36" t="str">
        <f>IFERROR(VLOOKUP(Table2[[#This Row], [Ticket]],Okey!A:B,2,0),"")</f>
        <v>ok</v>
      </c>
      <c r="I1037" s="36" t="s">
        <v>8546</v>
      </c>
      <c r="J1037" s="36" t="s">
        <v>19</v>
      </c>
      <c r="K1037" s="36"/>
      <c r="L1037" s="36"/>
      <c r="M1037" s="36" t="s">
        <v>9034</v>
      </c>
    </row>
    <row r="1038" spans="1:13" hidden="1">
      <c r="A1038" s="42">
        <f t="shared" si="16"/>
        <v>1037</v>
      </c>
      <c r="B1038" s="36" t="s">
        <v>8</v>
      </c>
      <c r="C1038" s="36" t="s">
        <v>9083</v>
      </c>
      <c r="D1038" s="9" t="s">
        <v>7195</v>
      </c>
      <c r="E1038" s="9" t="s">
        <v>9196</v>
      </c>
      <c r="G1038" s="36" t="s">
        <v>15</v>
      </c>
      <c r="H1038" s="36" t="str">
        <f>IFERROR(VLOOKUP(Table2[[#This Row], [Ticket]],Okey!A:B,2,0),"")</f>
        <v>ok</v>
      </c>
      <c r="I1038" s="36" t="s">
        <v>8546</v>
      </c>
      <c r="J1038" s="36" t="s">
        <v>19</v>
      </c>
      <c r="K1038" s="36"/>
      <c r="L1038" s="36"/>
      <c r="M1038" s="36" t="s">
        <v>9034</v>
      </c>
    </row>
    <row r="1039" spans="1:13" hidden="1">
      <c r="A1039" s="42">
        <f t="shared" si="16"/>
        <v>1038</v>
      </c>
      <c r="B1039" s="36" t="s">
        <v>8</v>
      </c>
      <c r="C1039" s="36" t="s">
        <v>9083</v>
      </c>
      <c r="D1039" s="9" t="s">
        <v>7196</v>
      </c>
      <c r="E1039" s="9" t="s">
        <v>9197</v>
      </c>
      <c r="G1039" s="36" t="s">
        <v>15</v>
      </c>
      <c r="H1039" s="36" t="str">
        <f>IFERROR(VLOOKUP(Table2[[#This Row], [Ticket]],Okey!A:B,2,0),"")</f>
        <v>ok</v>
      </c>
      <c r="I1039" s="36" t="s">
        <v>8546</v>
      </c>
      <c r="J1039" s="36" t="s">
        <v>19</v>
      </c>
      <c r="K1039" s="36"/>
      <c r="L1039" s="36"/>
      <c r="M1039" s="36" t="s">
        <v>9034</v>
      </c>
    </row>
    <row r="1040" spans="1:13" hidden="1">
      <c r="A1040" s="42">
        <f t="shared" si="16"/>
        <v>1039</v>
      </c>
      <c r="B1040" s="36" t="s">
        <v>8</v>
      </c>
      <c r="C1040" s="36" t="s">
        <v>9083</v>
      </c>
      <c r="D1040" s="9" t="s">
        <v>7197</v>
      </c>
      <c r="E1040" s="9" t="s">
        <v>9198</v>
      </c>
      <c r="G1040" s="36" t="s">
        <v>15</v>
      </c>
      <c r="H1040" s="36" t="str">
        <f>IFERROR(VLOOKUP(Table2[[#This Row], [Ticket]],Okey!A:B,2,0),"")</f>
        <v>ok</v>
      </c>
      <c r="I1040" s="36" t="s">
        <v>8546</v>
      </c>
      <c r="J1040" s="36" t="s">
        <v>19</v>
      </c>
      <c r="K1040" s="36"/>
      <c r="L1040" s="36"/>
      <c r="M1040" s="36" t="s">
        <v>9034</v>
      </c>
    </row>
    <row r="1041" spans="1:13" hidden="1">
      <c r="A1041" s="42">
        <f t="shared" si="16"/>
        <v>1040</v>
      </c>
      <c r="B1041" s="36" t="s">
        <v>8</v>
      </c>
      <c r="C1041" s="36" t="s">
        <v>9083</v>
      </c>
      <c r="D1041" s="9" t="s">
        <v>7198</v>
      </c>
      <c r="E1041" s="9" t="s">
        <v>9199</v>
      </c>
      <c r="G1041" s="36" t="s">
        <v>15</v>
      </c>
      <c r="H1041" s="36" t="str">
        <f>IFERROR(VLOOKUP(Table2[[#This Row], [Ticket]],Okey!A:B,2,0),"")</f>
        <v>ok</v>
      </c>
      <c r="I1041" s="36" t="s">
        <v>8546</v>
      </c>
      <c r="J1041" s="36" t="s">
        <v>19</v>
      </c>
      <c r="K1041" s="36"/>
      <c r="L1041" s="36"/>
      <c r="M1041" s="36" t="s">
        <v>9034</v>
      </c>
    </row>
    <row r="1042" spans="1:13" hidden="1">
      <c r="A1042" s="42">
        <f t="shared" si="16"/>
        <v>1041</v>
      </c>
      <c r="B1042" s="36" t="s">
        <v>8</v>
      </c>
      <c r="C1042" s="36" t="s">
        <v>9083</v>
      </c>
      <c r="D1042" s="9" t="s">
        <v>7199</v>
      </c>
      <c r="E1042" s="9" t="s">
        <v>9200</v>
      </c>
      <c r="G1042" s="36" t="s">
        <v>15</v>
      </c>
      <c r="H1042" s="36" t="str">
        <f>IFERROR(VLOOKUP(Table2[[#This Row], [Ticket]],Okey!A:B,2,0),"")</f>
        <v>ok</v>
      </c>
      <c r="I1042" s="36" t="s">
        <v>8546</v>
      </c>
      <c r="J1042" s="36" t="s">
        <v>19</v>
      </c>
      <c r="K1042" s="36"/>
      <c r="L1042" s="36"/>
      <c r="M1042" s="36" t="s">
        <v>9034</v>
      </c>
    </row>
    <row r="1043" spans="1:13" hidden="1">
      <c r="A1043" s="42">
        <f t="shared" si="16"/>
        <v>1042</v>
      </c>
      <c r="B1043" s="36" t="s">
        <v>8</v>
      </c>
      <c r="C1043" s="36" t="s">
        <v>9083</v>
      </c>
      <c r="D1043" s="9" t="s">
        <v>7213</v>
      </c>
      <c r="E1043" s="9" t="s">
        <v>9201</v>
      </c>
      <c r="G1043" s="36" t="s">
        <v>15</v>
      </c>
      <c r="H1043" s="36" t="str">
        <f>IFERROR(VLOOKUP(Table2[[#This Row], [Ticket]],Okey!A:B,2,0),"")</f>
        <v>ok</v>
      </c>
      <c r="I1043" s="36" t="s">
        <v>8546</v>
      </c>
      <c r="J1043" s="36" t="s">
        <v>19</v>
      </c>
      <c r="K1043" s="36"/>
      <c r="L1043" s="36"/>
      <c r="M1043" s="36" t="s">
        <v>9034</v>
      </c>
    </row>
    <row r="1044" spans="1:13" hidden="1">
      <c r="A1044" s="42">
        <f t="shared" ref="A1044:A1107" si="17">1+A1043</f>
        <v>1043</v>
      </c>
      <c r="B1044" s="36" t="s">
        <v>8</v>
      </c>
      <c r="C1044" s="36" t="s">
        <v>9083</v>
      </c>
      <c r="D1044" s="9" t="s">
        <v>7214</v>
      </c>
      <c r="E1044" s="9" t="s">
        <v>9202</v>
      </c>
      <c r="G1044" s="36" t="s">
        <v>15</v>
      </c>
      <c r="H1044" s="36" t="str">
        <f>IFERROR(VLOOKUP(Table2[[#This Row], [Ticket]],Okey!A:B,2,0),"")</f>
        <v>ok</v>
      </c>
      <c r="I1044" s="36" t="s">
        <v>8546</v>
      </c>
      <c r="J1044" s="36" t="s">
        <v>19</v>
      </c>
      <c r="K1044" s="36"/>
      <c r="L1044" s="36"/>
      <c r="M1044" s="36" t="s">
        <v>9034</v>
      </c>
    </row>
    <row r="1045" spans="1:13" hidden="1">
      <c r="A1045" s="42">
        <f t="shared" si="17"/>
        <v>1044</v>
      </c>
      <c r="B1045" s="36" t="s">
        <v>8</v>
      </c>
      <c r="C1045" s="36" t="s">
        <v>9083</v>
      </c>
      <c r="D1045" s="9" t="s">
        <v>7215</v>
      </c>
      <c r="E1045" s="9" t="s">
        <v>9203</v>
      </c>
      <c r="G1045" s="36" t="s">
        <v>15</v>
      </c>
      <c r="H1045" s="36" t="str">
        <f>IFERROR(VLOOKUP(Table2[[#This Row], [Ticket]],Okey!A:B,2,0),"")</f>
        <v>ok</v>
      </c>
      <c r="I1045" s="36" t="s">
        <v>8546</v>
      </c>
      <c r="J1045" s="36" t="s">
        <v>19</v>
      </c>
      <c r="K1045" s="36"/>
      <c r="L1045" s="36"/>
      <c r="M1045" s="36" t="s">
        <v>9034</v>
      </c>
    </row>
    <row r="1046" spans="1:13" hidden="1">
      <c r="A1046" s="42">
        <f t="shared" si="17"/>
        <v>1045</v>
      </c>
      <c r="B1046" s="36" t="s">
        <v>8</v>
      </c>
      <c r="C1046" s="36" t="s">
        <v>9083</v>
      </c>
      <c r="D1046" s="9" t="s">
        <v>7216</v>
      </c>
      <c r="E1046" s="9" t="s">
        <v>9204</v>
      </c>
      <c r="G1046" s="36" t="s">
        <v>15</v>
      </c>
      <c r="H1046" s="36" t="str">
        <f>IFERROR(VLOOKUP(Table2[[#This Row], [Ticket]],Okey!A:B,2,0),"")</f>
        <v>ok</v>
      </c>
      <c r="I1046" s="36" t="s">
        <v>8546</v>
      </c>
      <c r="J1046" s="36" t="s">
        <v>19</v>
      </c>
      <c r="K1046" s="36"/>
      <c r="L1046" s="36"/>
      <c r="M1046" s="36" t="s">
        <v>9034</v>
      </c>
    </row>
    <row r="1047" spans="1:13" hidden="1">
      <c r="A1047" s="42">
        <f t="shared" si="17"/>
        <v>1046</v>
      </c>
      <c r="B1047" s="36" t="s">
        <v>8</v>
      </c>
      <c r="C1047" s="36" t="s">
        <v>9083</v>
      </c>
      <c r="D1047" s="9" t="s">
        <v>7217</v>
      </c>
      <c r="E1047" s="9" t="s">
        <v>9205</v>
      </c>
      <c r="G1047" s="36" t="s">
        <v>15</v>
      </c>
      <c r="H1047" s="36" t="str">
        <f>IFERROR(VLOOKUP(Table2[[#This Row], [Ticket]],Okey!A:B,2,0),"")</f>
        <v>ok</v>
      </c>
      <c r="I1047" s="36" t="s">
        <v>8546</v>
      </c>
      <c r="J1047" s="36" t="s">
        <v>19</v>
      </c>
      <c r="K1047" s="36"/>
      <c r="L1047" s="36"/>
      <c r="M1047" s="36" t="s">
        <v>9034</v>
      </c>
    </row>
    <row r="1048" spans="1:13" hidden="1">
      <c r="A1048" s="42">
        <f t="shared" si="17"/>
        <v>1047</v>
      </c>
      <c r="B1048" s="36" t="s">
        <v>8</v>
      </c>
      <c r="C1048" s="36" t="s">
        <v>9083</v>
      </c>
      <c r="D1048" s="9" t="s">
        <v>7218</v>
      </c>
      <c r="E1048" s="9" t="s">
        <v>9206</v>
      </c>
      <c r="G1048" s="36" t="s">
        <v>15</v>
      </c>
      <c r="H1048" s="36" t="str">
        <f>IFERROR(VLOOKUP(Table2[[#This Row], [Ticket]],Okey!A:B,2,0),"")</f>
        <v>ok</v>
      </c>
      <c r="I1048" s="36" t="s">
        <v>8546</v>
      </c>
      <c r="J1048" s="36" t="s">
        <v>19</v>
      </c>
      <c r="K1048" s="36"/>
      <c r="L1048" s="36"/>
      <c r="M1048" s="36" t="s">
        <v>9034</v>
      </c>
    </row>
    <row r="1049" spans="1:13" hidden="1">
      <c r="A1049" s="42">
        <f t="shared" si="17"/>
        <v>1048</v>
      </c>
      <c r="B1049" s="36" t="s">
        <v>8</v>
      </c>
      <c r="C1049" s="36" t="s">
        <v>9083</v>
      </c>
      <c r="D1049" s="9" t="s">
        <v>7219</v>
      </c>
      <c r="E1049" s="9" t="s">
        <v>9207</v>
      </c>
      <c r="G1049" s="36" t="s">
        <v>15</v>
      </c>
      <c r="H1049" s="36" t="str">
        <f>IFERROR(VLOOKUP(Table2[[#This Row], [Ticket]],Okey!A:B,2,0),"")</f>
        <v>ok</v>
      </c>
      <c r="I1049" s="36" t="s">
        <v>8546</v>
      </c>
      <c r="J1049" s="36" t="s">
        <v>19</v>
      </c>
      <c r="K1049" s="36"/>
      <c r="L1049" s="36"/>
      <c r="M1049" s="36" t="s">
        <v>9034</v>
      </c>
    </row>
    <row r="1050" spans="1:13" hidden="1">
      <c r="A1050" s="42">
        <f t="shared" si="17"/>
        <v>1049</v>
      </c>
      <c r="B1050" s="36" t="s">
        <v>8</v>
      </c>
      <c r="C1050" s="36" t="s">
        <v>9083</v>
      </c>
      <c r="D1050" s="9" t="s">
        <v>7233</v>
      </c>
      <c r="E1050" s="9" t="s">
        <v>9208</v>
      </c>
      <c r="G1050" s="36" t="s">
        <v>15</v>
      </c>
      <c r="H1050" s="36" t="str">
        <f>IFERROR(VLOOKUP(Table2[[#This Row], [Ticket]],Okey!A:B,2,0),"")</f>
        <v>ok</v>
      </c>
      <c r="I1050" s="36" t="s">
        <v>8546</v>
      </c>
      <c r="J1050" s="36" t="s">
        <v>19</v>
      </c>
      <c r="K1050" s="36"/>
      <c r="L1050" s="36"/>
      <c r="M1050" s="36" t="s">
        <v>9034</v>
      </c>
    </row>
    <row r="1051" spans="1:13" hidden="1">
      <c r="A1051" s="42">
        <f t="shared" si="17"/>
        <v>1050</v>
      </c>
      <c r="B1051" s="36" t="s">
        <v>8</v>
      </c>
      <c r="C1051" s="36" t="s">
        <v>9083</v>
      </c>
      <c r="D1051" s="9" t="s">
        <v>7234</v>
      </c>
      <c r="E1051" s="9" t="s">
        <v>9209</v>
      </c>
      <c r="G1051" s="36" t="s">
        <v>15</v>
      </c>
      <c r="H1051" s="36" t="str">
        <f>IFERROR(VLOOKUP(Table2[[#This Row], [Ticket]],Okey!A:B,2,0),"")</f>
        <v>ok</v>
      </c>
      <c r="I1051" s="36" t="s">
        <v>8546</v>
      </c>
      <c r="J1051" s="36" t="s">
        <v>19</v>
      </c>
      <c r="K1051" s="36"/>
      <c r="L1051" s="36"/>
      <c r="M1051" s="36" t="s">
        <v>9034</v>
      </c>
    </row>
    <row r="1052" spans="1:13" hidden="1">
      <c r="A1052" s="42">
        <f t="shared" si="17"/>
        <v>1051</v>
      </c>
      <c r="B1052" s="36" t="s">
        <v>8</v>
      </c>
      <c r="C1052" s="36" t="s">
        <v>9083</v>
      </c>
      <c r="D1052" s="9" t="s">
        <v>7235</v>
      </c>
      <c r="E1052" s="9" t="s">
        <v>9210</v>
      </c>
      <c r="G1052" s="36" t="s">
        <v>15</v>
      </c>
      <c r="H1052" s="36" t="str">
        <f>IFERROR(VLOOKUP(Table2[[#This Row], [Ticket]],Okey!A:B,2,0),"")</f>
        <v>ok</v>
      </c>
      <c r="I1052" s="36" t="s">
        <v>8546</v>
      </c>
      <c r="J1052" s="36" t="s">
        <v>19</v>
      </c>
      <c r="K1052" s="36"/>
      <c r="L1052" s="36"/>
      <c r="M1052" s="36" t="s">
        <v>9034</v>
      </c>
    </row>
    <row r="1053" spans="1:13" hidden="1">
      <c r="A1053" s="42">
        <f t="shared" si="17"/>
        <v>1052</v>
      </c>
      <c r="B1053" s="36" t="s">
        <v>8</v>
      </c>
      <c r="C1053" s="36" t="s">
        <v>9083</v>
      </c>
      <c r="D1053" s="9" t="s">
        <v>7236</v>
      </c>
      <c r="E1053" s="9" t="s">
        <v>9211</v>
      </c>
      <c r="G1053" s="36" t="s">
        <v>15</v>
      </c>
      <c r="H1053" s="36" t="str">
        <f>IFERROR(VLOOKUP(Table2[[#This Row], [Ticket]],Okey!A:B,2,0),"")</f>
        <v>ok</v>
      </c>
      <c r="I1053" s="36" t="s">
        <v>8546</v>
      </c>
      <c r="J1053" s="36" t="s">
        <v>19</v>
      </c>
      <c r="K1053" s="36"/>
      <c r="L1053" s="36"/>
      <c r="M1053" s="36" t="s">
        <v>9034</v>
      </c>
    </row>
    <row r="1054" spans="1:13" hidden="1">
      <c r="A1054" s="42">
        <f t="shared" si="17"/>
        <v>1053</v>
      </c>
      <c r="B1054" s="36" t="s">
        <v>8</v>
      </c>
      <c r="C1054" s="36" t="s">
        <v>9083</v>
      </c>
      <c r="D1054" s="9" t="s">
        <v>7237</v>
      </c>
      <c r="E1054" s="9" t="s">
        <v>9212</v>
      </c>
      <c r="G1054" s="36" t="s">
        <v>15</v>
      </c>
      <c r="H1054" s="36" t="str">
        <f>IFERROR(VLOOKUP(Table2[[#This Row], [Ticket]],Okey!A:B,2,0),"")</f>
        <v>ok</v>
      </c>
      <c r="I1054" s="36" t="s">
        <v>8546</v>
      </c>
      <c r="J1054" s="36" t="s">
        <v>19</v>
      </c>
      <c r="K1054" s="36"/>
      <c r="L1054" s="36"/>
      <c r="M1054" s="36" t="s">
        <v>9034</v>
      </c>
    </row>
    <row r="1055" spans="1:13" hidden="1">
      <c r="A1055" s="42">
        <f t="shared" si="17"/>
        <v>1054</v>
      </c>
      <c r="B1055" s="36" t="s">
        <v>8</v>
      </c>
      <c r="C1055" s="36" t="s">
        <v>9083</v>
      </c>
      <c r="D1055" s="9" t="s">
        <v>7238</v>
      </c>
      <c r="E1055" s="9" t="s">
        <v>9213</v>
      </c>
      <c r="G1055" s="36" t="s">
        <v>15</v>
      </c>
      <c r="H1055" s="36" t="str">
        <f>IFERROR(VLOOKUP(Table2[[#This Row], [Ticket]],Okey!A:B,2,0),"")</f>
        <v>ok</v>
      </c>
      <c r="I1055" s="36" t="s">
        <v>8546</v>
      </c>
      <c r="J1055" s="36" t="s">
        <v>19</v>
      </c>
      <c r="K1055" s="36"/>
      <c r="L1055" s="36"/>
      <c r="M1055" s="36" t="s">
        <v>9034</v>
      </c>
    </row>
    <row r="1056" spans="1:13" hidden="1">
      <c r="A1056" s="42">
        <f t="shared" si="17"/>
        <v>1055</v>
      </c>
      <c r="B1056" s="36" t="s">
        <v>8</v>
      </c>
      <c r="C1056" s="36" t="s">
        <v>9083</v>
      </c>
      <c r="D1056" s="9" t="s">
        <v>7239</v>
      </c>
      <c r="E1056" s="9" t="s">
        <v>9214</v>
      </c>
      <c r="G1056" s="36" t="s">
        <v>15</v>
      </c>
      <c r="H1056" s="36" t="str">
        <f>IFERROR(VLOOKUP(Table2[[#This Row], [Ticket]],Okey!A:B,2,0),"")</f>
        <v>ok</v>
      </c>
      <c r="I1056" s="36" t="s">
        <v>8546</v>
      </c>
      <c r="J1056" s="36" t="s">
        <v>19</v>
      </c>
      <c r="K1056" s="36"/>
      <c r="L1056" s="36"/>
      <c r="M1056" s="36" t="s">
        <v>9034</v>
      </c>
    </row>
    <row r="1057" spans="1:13" hidden="1">
      <c r="A1057" s="42">
        <f t="shared" si="17"/>
        <v>1056</v>
      </c>
      <c r="B1057" s="36" t="s">
        <v>8</v>
      </c>
      <c r="C1057" s="36" t="s">
        <v>9083</v>
      </c>
      <c r="D1057" s="9" t="s">
        <v>7253</v>
      </c>
      <c r="E1057" s="9" t="s">
        <v>9215</v>
      </c>
      <c r="G1057" s="36" t="s">
        <v>15</v>
      </c>
      <c r="H1057" s="36" t="str">
        <f>IFERROR(VLOOKUP(Table2[[#This Row], [Ticket]],Okey!A:B,2,0),"")</f>
        <v>ok</v>
      </c>
      <c r="I1057" s="36" t="s">
        <v>8546</v>
      </c>
      <c r="J1057" s="36" t="s">
        <v>19</v>
      </c>
      <c r="K1057" s="36"/>
      <c r="L1057" s="36"/>
      <c r="M1057" s="36" t="s">
        <v>9034</v>
      </c>
    </row>
    <row r="1058" spans="1:13" hidden="1">
      <c r="A1058" s="42">
        <f t="shared" si="17"/>
        <v>1057</v>
      </c>
      <c r="B1058" s="36" t="s">
        <v>8</v>
      </c>
      <c r="C1058" s="36" t="s">
        <v>9083</v>
      </c>
      <c r="D1058" s="9" t="s">
        <v>7254</v>
      </c>
      <c r="E1058" s="9" t="s">
        <v>9216</v>
      </c>
      <c r="G1058" s="36" t="s">
        <v>15</v>
      </c>
      <c r="H1058" s="36" t="str">
        <f>IFERROR(VLOOKUP(Table2[[#This Row], [Ticket]],Okey!A:B,2,0),"")</f>
        <v>ok</v>
      </c>
      <c r="I1058" s="36" t="s">
        <v>8546</v>
      </c>
      <c r="J1058" s="36" t="s">
        <v>19</v>
      </c>
      <c r="K1058" s="36"/>
      <c r="L1058" s="36"/>
      <c r="M1058" s="36" t="s">
        <v>9034</v>
      </c>
    </row>
    <row r="1059" spans="1:13" hidden="1">
      <c r="A1059" s="42">
        <f t="shared" si="17"/>
        <v>1058</v>
      </c>
      <c r="B1059" s="36" t="s">
        <v>8</v>
      </c>
      <c r="C1059" s="36" t="s">
        <v>9083</v>
      </c>
      <c r="D1059" s="9" t="s">
        <v>7255</v>
      </c>
      <c r="E1059" s="9" t="s">
        <v>9217</v>
      </c>
      <c r="G1059" s="36" t="s">
        <v>15</v>
      </c>
      <c r="H1059" s="36" t="str">
        <f>IFERROR(VLOOKUP(Table2[[#This Row], [Ticket]],Okey!A:B,2,0),"")</f>
        <v>ok</v>
      </c>
      <c r="I1059" s="36" t="s">
        <v>8546</v>
      </c>
      <c r="J1059" s="36" t="s">
        <v>19</v>
      </c>
      <c r="K1059" s="36"/>
      <c r="L1059" s="36"/>
      <c r="M1059" s="36" t="s">
        <v>9034</v>
      </c>
    </row>
    <row r="1060" spans="1:13" hidden="1">
      <c r="A1060" s="42">
        <f t="shared" si="17"/>
        <v>1059</v>
      </c>
      <c r="B1060" s="36" t="s">
        <v>8</v>
      </c>
      <c r="C1060" s="36" t="s">
        <v>9083</v>
      </c>
      <c r="D1060" s="9" t="s">
        <v>7256</v>
      </c>
      <c r="E1060" s="9" t="s">
        <v>9218</v>
      </c>
      <c r="G1060" s="36" t="s">
        <v>15</v>
      </c>
      <c r="H1060" s="36" t="str">
        <f>IFERROR(VLOOKUP(Table2[[#This Row], [Ticket]],Okey!A:B,2,0),"")</f>
        <v>ok</v>
      </c>
      <c r="I1060" s="36" t="s">
        <v>8546</v>
      </c>
      <c r="J1060" s="36" t="s">
        <v>19</v>
      </c>
      <c r="K1060" s="36"/>
      <c r="L1060" s="36"/>
      <c r="M1060" s="36" t="s">
        <v>9034</v>
      </c>
    </row>
    <row r="1061" spans="1:13" hidden="1">
      <c r="A1061" s="42">
        <f t="shared" si="17"/>
        <v>1060</v>
      </c>
      <c r="B1061" s="36" t="s">
        <v>8</v>
      </c>
      <c r="C1061" s="36" t="s">
        <v>9083</v>
      </c>
      <c r="D1061" s="9" t="s">
        <v>7257</v>
      </c>
      <c r="E1061" s="9" t="s">
        <v>9219</v>
      </c>
      <c r="G1061" s="36" t="s">
        <v>15</v>
      </c>
      <c r="H1061" s="36" t="str">
        <f>IFERROR(VLOOKUP(Table2[[#This Row], [Ticket]],Okey!A:B,2,0),"")</f>
        <v>ok</v>
      </c>
      <c r="I1061" s="36" t="s">
        <v>8546</v>
      </c>
      <c r="J1061" s="36" t="s">
        <v>19</v>
      </c>
      <c r="K1061" s="36"/>
      <c r="L1061" s="36"/>
      <c r="M1061" s="36" t="s">
        <v>9034</v>
      </c>
    </row>
    <row r="1062" spans="1:13" hidden="1">
      <c r="A1062" s="42">
        <f t="shared" si="17"/>
        <v>1061</v>
      </c>
      <c r="B1062" s="36" t="s">
        <v>8</v>
      </c>
      <c r="C1062" s="36" t="s">
        <v>9083</v>
      </c>
      <c r="D1062" s="9" t="s">
        <v>7258</v>
      </c>
      <c r="E1062" s="9" t="s">
        <v>9220</v>
      </c>
      <c r="G1062" s="36" t="s">
        <v>15</v>
      </c>
      <c r="H1062" s="36" t="str">
        <f>IFERROR(VLOOKUP(Table2[[#This Row], [Ticket]],Okey!A:B,2,0),"")</f>
        <v>ok</v>
      </c>
      <c r="I1062" s="36" t="s">
        <v>8546</v>
      </c>
      <c r="J1062" s="36" t="s">
        <v>19</v>
      </c>
      <c r="K1062" s="36"/>
      <c r="L1062" s="36"/>
      <c r="M1062" s="36" t="s">
        <v>9034</v>
      </c>
    </row>
    <row r="1063" spans="1:13" hidden="1">
      <c r="A1063" s="42">
        <f t="shared" si="17"/>
        <v>1062</v>
      </c>
      <c r="B1063" s="36" t="s">
        <v>8</v>
      </c>
      <c r="C1063" s="36" t="s">
        <v>9083</v>
      </c>
      <c r="D1063" s="9" t="s">
        <v>7259</v>
      </c>
      <c r="E1063" s="9" t="s">
        <v>9221</v>
      </c>
      <c r="G1063" s="36" t="s">
        <v>15</v>
      </c>
      <c r="H1063" s="36" t="str">
        <f>IFERROR(VLOOKUP(Table2[[#This Row], [Ticket]],Okey!A:B,2,0),"")</f>
        <v>ok</v>
      </c>
      <c r="I1063" s="36" t="s">
        <v>8546</v>
      </c>
      <c r="J1063" s="36" t="s">
        <v>19</v>
      </c>
      <c r="K1063" s="36"/>
      <c r="L1063" s="36"/>
      <c r="M1063" s="36" t="s">
        <v>9034</v>
      </c>
    </row>
    <row r="1064" spans="1:13" hidden="1">
      <c r="A1064" s="42">
        <f t="shared" si="17"/>
        <v>1063</v>
      </c>
      <c r="B1064" s="36" t="s">
        <v>8</v>
      </c>
      <c r="C1064" s="36" t="s">
        <v>9083</v>
      </c>
      <c r="D1064" s="9" t="s">
        <v>7273</v>
      </c>
      <c r="E1064" s="9" t="s">
        <v>9222</v>
      </c>
      <c r="G1064" s="36" t="s">
        <v>15</v>
      </c>
      <c r="H1064" s="36" t="str">
        <f>IFERROR(VLOOKUP(Table2[[#This Row], [Ticket]],Okey!A:B,2,0),"")</f>
        <v>ok</v>
      </c>
      <c r="I1064" s="36" t="s">
        <v>8546</v>
      </c>
      <c r="J1064" s="36" t="s">
        <v>19</v>
      </c>
      <c r="K1064" s="36"/>
      <c r="L1064" s="36"/>
      <c r="M1064" s="36" t="s">
        <v>9034</v>
      </c>
    </row>
    <row r="1065" spans="1:13" hidden="1">
      <c r="A1065" s="42">
        <f t="shared" si="17"/>
        <v>1064</v>
      </c>
      <c r="B1065" s="36" t="s">
        <v>8</v>
      </c>
      <c r="C1065" s="36" t="s">
        <v>9083</v>
      </c>
      <c r="D1065" s="9" t="s">
        <v>7274</v>
      </c>
      <c r="E1065" s="9" t="s">
        <v>9223</v>
      </c>
      <c r="G1065" s="36" t="s">
        <v>15</v>
      </c>
      <c r="H1065" s="36" t="str">
        <f>IFERROR(VLOOKUP(Table2[[#This Row], [Ticket]],Okey!A:B,2,0),"")</f>
        <v>ok</v>
      </c>
      <c r="I1065" s="36" t="s">
        <v>8546</v>
      </c>
      <c r="J1065" s="36" t="s">
        <v>19</v>
      </c>
      <c r="K1065" s="36"/>
      <c r="L1065" s="36"/>
      <c r="M1065" s="36" t="s">
        <v>9034</v>
      </c>
    </row>
    <row r="1066" spans="1:13" hidden="1">
      <c r="A1066" s="42">
        <f t="shared" si="17"/>
        <v>1065</v>
      </c>
      <c r="B1066" s="36" t="s">
        <v>8</v>
      </c>
      <c r="C1066" s="36" t="s">
        <v>9083</v>
      </c>
      <c r="D1066" s="9" t="s">
        <v>7275</v>
      </c>
      <c r="E1066" s="9" t="s">
        <v>9224</v>
      </c>
      <c r="G1066" s="36" t="s">
        <v>15</v>
      </c>
      <c r="H1066" s="36" t="str">
        <f>IFERROR(VLOOKUP(Table2[[#This Row], [Ticket]],Okey!A:B,2,0),"")</f>
        <v>ok</v>
      </c>
      <c r="I1066" s="36" t="s">
        <v>8546</v>
      </c>
      <c r="J1066" s="36" t="s">
        <v>19</v>
      </c>
      <c r="K1066" s="36"/>
      <c r="L1066" s="36"/>
      <c r="M1066" s="36" t="s">
        <v>9034</v>
      </c>
    </row>
    <row r="1067" spans="1:13" hidden="1">
      <c r="A1067" s="42">
        <f t="shared" si="17"/>
        <v>1066</v>
      </c>
      <c r="B1067" s="36" t="s">
        <v>8</v>
      </c>
      <c r="C1067" s="36" t="s">
        <v>9083</v>
      </c>
      <c r="D1067" s="9" t="s">
        <v>7276</v>
      </c>
      <c r="E1067" s="9" t="s">
        <v>9225</v>
      </c>
      <c r="G1067" s="36" t="s">
        <v>15</v>
      </c>
      <c r="H1067" s="36" t="str">
        <f>IFERROR(VLOOKUP(Table2[[#This Row], [Ticket]],Okey!A:B,2,0),"")</f>
        <v>ok</v>
      </c>
      <c r="I1067" s="36" t="s">
        <v>8546</v>
      </c>
      <c r="J1067" s="36" t="s">
        <v>19</v>
      </c>
      <c r="K1067" s="36"/>
      <c r="L1067" s="36"/>
      <c r="M1067" s="36" t="s">
        <v>9034</v>
      </c>
    </row>
    <row r="1068" spans="1:13" hidden="1">
      <c r="A1068" s="42">
        <f t="shared" si="17"/>
        <v>1067</v>
      </c>
      <c r="B1068" s="36" t="s">
        <v>8</v>
      </c>
      <c r="C1068" s="36" t="s">
        <v>9083</v>
      </c>
      <c r="D1068" s="9" t="s">
        <v>7277</v>
      </c>
      <c r="E1068" s="9" t="s">
        <v>9226</v>
      </c>
      <c r="G1068" s="36" t="s">
        <v>15</v>
      </c>
      <c r="H1068" s="36" t="str">
        <f>IFERROR(VLOOKUP(Table2[[#This Row], [Ticket]],Okey!A:B,2,0),"")</f>
        <v>ok</v>
      </c>
      <c r="I1068" s="36" t="s">
        <v>8546</v>
      </c>
      <c r="J1068" s="36" t="s">
        <v>19</v>
      </c>
      <c r="K1068" s="36"/>
      <c r="L1068" s="36"/>
      <c r="M1068" s="36" t="s">
        <v>9034</v>
      </c>
    </row>
    <row r="1069" spans="1:13" hidden="1">
      <c r="A1069" s="42">
        <f t="shared" si="17"/>
        <v>1068</v>
      </c>
      <c r="B1069" s="36" t="s">
        <v>8</v>
      </c>
      <c r="C1069" s="36" t="s">
        <v>9083</v>
      </c>
      <c r="D1069" s="9" t="s">
        <v>7278</v>
      </c>
      <c r="E1069" s="9" t="s">
        <v>9227</v>
      </c>
      <c r="G1069" s="36" t="s">
        <v>15</v>
      </c>
      <c r="H1069" s="36" t="str">
        <f>IFERROR(VLOOKUP(Table2[[#This Row], [Ticket]],Okey!A:B,2,0),"")</f>
        <v>ok</v>
      </c>
      <c r="I1069" s="36" t="s">
        <v>8546</v>
      </c>
      <c r="J1069" s="36" t="s">
        <v>19</v>
      </c>
      <c r="K1069" s="36"/>
      <c r="L1069" s="36"/>
      <c r="M1069" s="36" t="s">
        <v>9034</v>
      </c>
    </row>
    <row r="1070" spans="1:13" hidden="1">
      <c r="A1070" s="42">
        <f t="shared" si="17"/>
        <v>1069</v>
      </c>
      <c r="B1070" s="36" t="s">
        <v>8</v>
      </c>
      <c r="C1070" s="36" t="s">
        <v>9083</v>
      </c>
      <c r="D1070" s="9" t="s">
        <v>7279</v>
      </c>
      <c r="E1070" s="9" t="s">
        <v>9228</v>
      </c>
      <c r="G1070" s="36" t="s">
        <v>15</v>
      </c>
      <c r="H1070" s="36" t="str">
        <f>IFERROR(VLOOKUP(Table2[[#This Row], [Ticket]],Okey!A:B,2,0),"")</f>
        <v>ok</v>
      </c>
      <c r="I1070" s="36" t="s">
        <v>8546</v>
      </c>
      <c r="J1070" s="36" t="s">
        <v>19</v>
      </c>
      <c r="K1070" s="36"/>
      <c r="L1070" s="36"/>
      <c r="M1070" s="36" t="s">
        <v>9034</v>
      </c>
    </row>
    <row r="1071" spans="1:13" hidden="1">
      <c r="A1071" s="42">
        <f t="shared" si="17"/>
        <v>1070</v>
      </c>
      <c r="B1071" s="36" t="s">
        <v>8</v>
      </c>
      <c r="C1071" s="36" t="s">
        <v>9083</v>
      </c>
      <c r="D1071" s="9" t="s">
        <v>7293</v>
      </c>
      <c r="E1071" s="9" t="s">
        <v>9229</v>
      </c>
      <c r="G1071" s="36" t="s">
        <v>15</v>
      </c>
      <c r="H1071" s="36" t="str">
        <f>IFERROR(VLOOKUP(Table2[[#This Row], [Ticket]],Okey!A:B,2,0),"")</f>
        <v>ok</v>
      </c>
      <c r="I1071" s="36" t="s">
        <v>8546</v>
      </c>
      <c r="J1071" s="36" t="s">
        <v>19</v>
      </c>
      <c r="K1071" s="36"/>
      <c r="L1071" s="36"/>
      <c r="M1071" s="36" t="s">
        <v>9034</v>
      </c>
    </row>
    <row r="1072" spans="1:13" hidden="1">
      <c r="A1072" s="42">
        <f t="shared" si="17"/>
        <v>1071</v>
      </c>
      <c r="B1072" s="36" t="s">
        <v>8</v>
      </c>
      <c r="C1072" s="36" t="s">
        <v>9083</v>
      </c>
      <c r="D1072" s="9" t="s">
        <v>7294</v>
      </c>
      <c r="E1072" s="9" t="s">
        <v>9230</v>
      </c>
      <c r="G1072" s="36" t="s">
        <v>15</v>
      </c>
      <c r="H1072" s="36" t="str">
        <f>IFERROR(VLOOKUP(Table2[[#This Row], [Ticket]],Okey!A:B,2,0),"")</f>
        <v>ok</v>
      </c>
      <c r="I1072" s="36" t="s">
        <v>8546</v>
      </c>
      <c r="J1072" s="36" t="s">
        <v>19</v>
      </c>
      <c r="K1072" s="36"/>
      <c r="L1072" s="36"/>
      <c r="M1072" s="36" t="s">
        <v>9034</v>
      </c>
    </row>
    <row r="1073" spans="1:13" hidden="1">
      <c r="A1073" s="42">
        <f t="shared" si="17"/>
        <v>1072</v>
      </c>
      <c r="B1073" s="36" t="s">
        <v>8</v>
      </c>
      <c r="C1073" s="36" t="s">
        <v>9083</v>
      </c>
      <c r="D1073" s="9" t="s">
        <v>7295</v>
      </c>
      <c r="E1073" s="9" t="s">
        <v>9231</v>
      </c>
      <c r="G1073" s="36" t="s">
        <v>15</v>
      </c>
      <c r="H1073" s="36" t="str">
        <f>IFERROR(VLOOKUP(Table2[[#This Row], [Ticket]],Okey!A:B,2,0),"")</f>
        <v>ok</v>
      </c>
      <c r="I1073" s="36" t="s">
        <v>8546</v>
      </c>
      <c r="J1073" s="36" t="s">
        <v>19</v>
      </c>
      <c r="K1073" s="36"/>
      <c r="L1073" s="36"/>
      <c r="M1073" s="36" t="s">
        <v>9034</v>
      </c>
    </row>
    <row r="1074" spans="1:13" hidden="1">
      <c r="A1074" s="42">
        <f t="shared" si="17"/>
        <v>1073</v>
      </c>
      <c r="B1074" s="36" t="s">
        <v>8</v>
      </c>
      <c r="C1074" s="36" t="s">
        <v>9083</v>
      </c>
      <c r="D1074" s="9" t="s">
        <v>7296</v>
      </c>
      <c r="E1074" s="9" t="s">
        <v>9232</v>
      </c>
      <c r="G1074" s="36" t="s">
        <v>15</v>
      </c>
      <c r="H1074" s="36" t="str">
        <f>IFERROR(VLOOKUP(Table2[[#This Row], [Ticket]],Okey!A:B,2,0),"")</f>
        <v>ok</v>
      </c>
      <c r="I1074" s="36" t="s">
        <v>8546</v>
      </c>
      <c r="J1074" s="36" t="s">
        <v>19</v>
      </c>
      <c r="K1074" s="36"/>
      <c r="L1074" s="36"/>
      <c r="M1074" s="36" t="s">
        <v>9034</v>
      </c>
    </row>
    <row r="1075" spans="1:13" hidden="1">
      <c r="A1075" s="42">
        <f t="shared" si="17"/>
        <v>1074</v>
      </c>
      <c r="B1075" s="36" t="s">
        <v>8</v>
      </c>
      <c r="C1075" s="36" t="s">
        <v>9083</v>
      </c>
      <c r="D1075" s="9" t="s">
        <v>7297</v>
      </c>
      <c r="E1075" s="9" t="s">
        <v>9233</v>
      </c>
      <c r="G1075" s="36" t="s">
        <v>15</v>
      </c>
      <c r="H1075" s="36" t="str">
        <f>IFERROR(VLOOKUP(Table2[[#This Row], [Ticket]],Okey!A:B,2,0),"")</f>
        <v>ok</v>
      </c>
      <c r="I1075" s="36" t="s">
        <v>8546</v>
      </c>
      <c r="J1075" s="36" t="s">
        <v>19</v>
      </c>
      <c r="K1075" s="36"/>
      <c r="L1075" s="36"/>
      <c r="M1075" s="36" t="s">
        <v>9034</v>
      </c>
    </row>
    <row r="1076" spans="1:13" hidden="1">
      <c r="A1076" s="42">
        <f t="shared" si="17"/>
        <v>1075</v>
      </c>
      <c r="B1076" s="36" t="s">
        <v>8</v>
      </c>
      <c r="C1076" s="36" t="s">
        <v>9083</v>
      </c>
      <c r="D1076" s="9" t="s">
        <v>7298</v>
      </c>
      <c r="E1076" s="9" t="s">
        <v>9234</v>
      </c>
      <c r="G1076" s="36" t="s">
        <v>15</v>
      </c>
      <c r="H1076" s="36" t="str">
        <f>IFERROR(VLOOKUP(Table2[[#This Row], [Ticket]],Okey!A:B,2,0),"")</f>
        <v>ok</v>
      </c>
      <c r="I1076" s="36" t="s">
        <v>8546</v>
      </c>
      <c r="J1076" s="36" t="s">
        <v>19</v>
      </c>
      <c r="K1076" s="36"/>
      <c r="L1076" s="36"/>
      <c r="M1076" s="36" t="s">
        <v>9034</v>
      </c>
    </row>
    <row r="1077" spans="1:13" hidden="1">
      <c r="A1077" s="42">
        <f t="shared" si="17"/>
        <v>1076</v>
      </c>
      <c r="B1077" s="36" t="s">
        <v>8</v>
      </c>
      <c r="C1077" s="36" t="s">
        <v>9083</v>
      </c>
      <c r="D1077" s="9" t="s">
        <v>7299</v>
      </c>
      <c r="E1077" s="9" t="s">
        <v>9235</v>
      </c>
      <c r="G1077" s="36" t="s">
        <v>15</v>
      </c>
      <c r="H1077" s="36" t="str">
        <f>IFERROR(VLOOKUP(Table2[[#This Row], [Ticket]],Okey!A:B,2,0),"")</f>
        <v>ok</v>
      </c>
      <c r="I1077" s="36" t="s">
        <v>8546</v>
      </c>
      <c r="J1077" s="36" t="s">
        <v>19</v>
      </c>
      <c r="K1077" s="36"/>
      <c r="L1077" s="36"/>
      <c r="M1077" s="36" t="s">
        <v>9034</v>
      </c>
    </row>
    <row r="1078" spans="1:13" hidden="1">
      <c r="A1078" s="42">
        <f t="shared" si="17"/>
        <v>1077</v>
      </c>
      <c r="B1078" s="36" t="s">
        <v>8</v>
      </c>
      <c r="C1078" s="36" t="s">
        <v>9083</v>
      </c>
      <c r="D1078" s="9" t="s">
        <v>7313</v>
      </c>
      <c r="E1078" s="9" t="s">
        <v>9236</v>
      </c>
      <c r="G1078" s="36" t="s">
        <v>15</v>
      </c>
      <c r="H1078" s="36" t="str">
        <f>IFERROR(VLOOKUP(Table2[[#This Row], [Ticket]],Okey!A:B,2,0),"")</f>
        <v>ok</v>
      </c>
      <c r="I1078" s="36" t="s">
        <v>8546</v>
      </c>
      <c r="J1078" s="36" t="s">
        <v>19</v>
      </c>
      <c r="K1078" s="36"/>
      <c r="L1078" s="36"/>
      <c r="M1078" s="36" t="s">
        <v>9034</v>
      </c>
    </row>
    <row r="1079" spans="1:13" hidden="1">
      <c r="A1079" s="42">
        <f t="shared" si="17"/>
        <v>1078</v>
      </c>
      <c r="B1079" s="36" t="s">
        <v>8</v>
      </c>
      <c r="C1079" s="36" t="s">
        <v>9083</v>
      </c>
      <c r="D1079" s="9" t="s">
        <v>7314</v>
      </c>
      <c r="E1079" s="9" t="s">
        <v>9237</v>
      </c>
      <c r="G1079" s="36" t="s">
        <v>15</v>
      </c>
      <c r="H1079" s="36" t="str">
        <f>IFERROR(VLOOKUP(Table2[[#This Row], [Ticket]],Okey!A:B,2,0),"")</f>
        <v>ok</v>
      </c>
      <c r="I1079" s="36" t="s">
        <v>8546</v>
      </c>
      <c r="J1079" s="36" t="s">
        <v>19</v>
      </c>
      <c r="K1079" s="36"/>
      <c r="L1079" s="36"/>
      <c r="M1079" s="36" t="s">
        <v>9034</v>
      </c>
    </row>
    <row r="1080" spans="1:13" hidden="1">
      <c r="A1080" s="42">
        <f t="shared" si="17"/>
        <v>1079</v>
      </c>
      <c r="B1080" s="36" t="s">
        <v>8</v>
      </c>
      <c r="C1080" s="36" t="s">
        <v>9083</v>
      </c>
      <c r="D1080" s="9" t="s">
        <v>7315</v>
      </c>
      <c r="E1080" s="9" t="s">
        <v>9238</v>
      </c>
      <c r="G1080" s="36" t="s">
        <v>15</v>
      </c>
      <c r="H1080" s="36" t="str">
        <f>IFERROR(VLOOKUP(Table2[[#This Row], [Ticket]],Okey!A:B,2,0),"")</f>
        <v>ok</v>
      </c>
      <c r="I1080" s="36" t="s">
        <v>8546</v>
      </c>
      <c r="J1080" s="36" t="s">
        <v>19</v>
      </c>
      <c r="K1080" s="36"/>
      <c r="L1080" s="36"/>
      <c r="M1080" s="36" t="s">
        <v>9034</v>
      </c>
    </row>
    <row r="1081" spans="1:13" hidden="1">
      <c r="A1081" s="42">
        <f t="shared" si="17"/>
        <v>1080</v>
      </c>
      <c r="B1081" s="36" t="s">
        <v>8</v>
      </c>
      <c r="C1081" s="36" t="s">
        <v>9083</v>
      </c>
      <c r="D1081" s="9" t="s">
        <v>7316</v>
      </c>
      <c r="E1081" s="9" t="s">
        <v>9239</v>
      </c>
      <c r="G1081" s="36" t="s">
        <v>15</v>
      </c>
      <c r="H1081" s="36" t="str">
        <f>IFERROR(VLOOKUP(Table2[[#This Row], [Ticket]],Okey!A:B,2,0),"")</f>
        <v>ok</v>
      </c>
      <c r="I1081" s="36" t="s">
        <v>8546</v>
      </c>
      <c r="J1081" s="36" t="s">
        <v>19</v>
      </c>
      <c r="K1081" s="36"/>
      <c r="L1081" s="36"/>
      <c r="M1081" s="36" t="s">
        <v>9034</v>
      </c>
    </row>
    <row r="1082" spans="1:13" hidden="1">
      <c r="A1082" s="42">
        <f t="shared" si="17"/>
        <v>1081</v>
      </c>
      <c r="B1082" s="36" t="s">
        <v>8</v>
      </c>
      <c r="C1082" s="36" t="s">
        <v>9083</v>
      </c>
      <c r="D1082" s="9" t="s">
        <v>7317</v>
      </c>
      <c r="E1082" s="9" t="s">
        <v>9240</v>
      </c>
      <c r="G1082" s="36" t="s">
        <v>15</v>
      </c>
      <c r="H1082" s="36" t="str">
        <f>IFERROR(VLOOKUP(Table2[[#This Row], [Ticket]],Okey!A:B,2,0),"")</f>
        <v>ok</v>
      </c>
      <c r="I1082" s="36" t="s">
        <v>8546</v>
      </c>
      <c r="J1082" s="36" t="s">
        <v>19</v>
      </c>
      <c r="K1082" s="36"/>
      <c r="L1082" s="36"/>
      <c r="M1082" s="36" t="s">
        <v>9034</v>
      </c>
    </row>
    <row r="1083" spans="1:13" hidden="1">
      <c r="A1083" s="42">
        <f t="shared" si="17"/>
        <v>1082</v>
      </c>
      <c r="B1083" s="36" t="s">
        <v>8</v>
      </c>
      <c r="C1083" s="36" t="s">
        <v>9083</v>
      </c>
      <c r="D1083" s="9" t="s">
        <v>7318</v>
      </c>
      <c r="E1083" s="9" t="s">
        <v>9241</v>
      </c>
      <c r="G1083" s="36" t="s">
        <v>15</v>
      </c>
      <c r="H1083" s="36" t="str">
        <f>IFERROR(VLOOKUP(Table2[[#This Row], [Ticket]],Okey!A:B,2,0),"")</f>
        <v>ok</v>
      </c>
      <c r="I1083" s="36" t="s">
        <v>8546</v>
      </c>
      <c r="J1083" s="36" t="s">
        <v>19</v>
      </c>
      <c r="K1083" s="36"/>
      <c r="L1083" s="36"/>
      <c r="M1083" s="36" t="s">
        <v>9034</v>
      </c>
    </row>
    <row r="1084" spans="1:13" hidden="1">
      <c r="A1084" s="42">
        <f t="shared" si="17"/>
        <v>1083</v>
      </c>
      <c r="B1084" s="36" t="s">
        <v>8</v>
      </c>
      <c r="C1084" s="36" t="s">
        <v>9083</v>
      </c>
      <c r="D1084" s="9" t="s">
        <v>7319</v>
      </c>
      <c r="E1084" s="9" t="s">
        <v>9242</v>
      </c>
      <c r="G1084" s="36" t="s">
        <v>15</v>
      </c>
      <c r="H1084" s="36" t="str">
        <f>IFERROR(VLOOKUP(Table2[[#This Row], [Ticket]],Okey!A:B,2,0),"")</f>
        <v>ok</v>
      </c>
      <c r="I1084" s="36" t="s">
        <v>8546</v>
      </c>
      <c r="J1084" s="36" t="s">
        <v>19</v>
      </c>
      <c r="K1084" s="36"/>
      <c r="L1084" s="36"/>
      <c r="M1084" s="36" t="s">
        <v>9034</v>
      </c>
    </row>
    <row r="1085" spans="1:13" hidden="1">
      <c r="A1085" s="42">
        <f t="shared" si="17"/>
        <v>1084</v>
      </c>
      <c r="B1085" s="36" t="s">
        <v>8</v>
      </c>
      <c r="C1085" s="36" t="s">
        <v>9083</v>
      </c>
      <c r="D1085" s="9" t="s">
        <v>7333</v>
      </c>
      <c r="E1085" s="9" t="s">
        <v>9243</v>
      </c>
      <c r="G1085" s="36" t="s">
        <v>15</v>
      </c>
      <c r="H1085" s="36" t="str">
        <f>IFERROR(VLOOKUP(Table2[[#This Row], [Ticket]],Okey!A:B,2,0),"")</f>
        <v>ok</v>
      </c>
      <c r="I1085" s="36" t="s">
        <v>8546</v>
      </c>
      <c r="J1085" s="36" t="s">
        <v>19</v>
      </c>
      <c r="K1085" s="36"/>
      <c r="L1085" s="36"/>
      <c r="M1085" s="36" t="s">
        <v>9034</v>
      </c>
    </row>
    <row r="1086" spans="1:13" hidden="1">
      <c r="A1086" s="42">
        <f t="shared" si="17"/>
        <v>1085</v>
      </c>
      <c r="B1086" s="36" t="s">
        <v>8</v>
      </c>
      <c r="C1086" s="36" t="s">
        <v>9083</v>
      </c>
      <c r="D1086" s="9" t="s">
        <v>7334</v>
      </c>
      <c r="E1086" s="9" t="s">
        <v>9244</v>
      </c>
      <c r="G1086" s="36" t="s">
        <v>15</v>
      </c>
      <c r="H1086" s="36" t="str">
        <f>IFERROR(VLOOKUP(Table2[[#This Row], [Ticket]],Okey!A:B,2,0),"")</f>
        <v>ok</v>
      </c>
      <c r="I1086" s="36" t="s">
        <v>8546</v>
      </c>
      <c r="J1086" s="36" t="s">
        <v>19</v>
      </c>
      <c r="K1086" s="36"/>
      <c r="L1086" s="36"/>
      <c r="M1086" s="36" t="s">
        <v>9034</v>
      </c>
    </row>
    <row r="1087" spans="1:13" hidden="1">
      <c r="A1087" s="42">
        <f t="shared" si="17"/>
        <v>1086</v>
      </c>
      <c r="B1087" s="36" t="s">
        <v>8</v>
      </c>
      <c r="C1087" s="36" t="s">
        <v>9083</v>
      </c>
      <c r="D1087" s="9" t="s">
        <v>7335</v>
      </c>
      <c r="E1087" s="9" t="s">
        <v>9245</v>
      </c>
      <c r="G1087" s="36" t="s">
        <v>15</v>
      </c>
      <c r="H1087" s="36" t="str">
        <f>IFERROR(VLOOKUP(Table2[[#This Row], [Ticket]],Okey!A:B,2,0),"")</f>
        <v>ok</v>
      </c>
      <c r="I1087" s="36" t="s">
        <v>8546</v>
      </c>
      <c r="J1087" s="36" t="s">
        <v>19</v>
      </c>
      <c r="K1087" s="36"/>
      <c r="L1087" s="36"/>
      <c r="M1087" s="36" t="s">
        <v>9034</v>
      </c>
    </row>
    <row r="1088" spans="1:13" hidden="1">
      <c r="A1088" s="42">
        <f t="shared" si="17"/>
        <v>1087</v>
      </c>
      <c r="B1088" s="36" t="s">
        <v>8</v>
      </c>
      <c r="C1088" s="36" t="s">
        <v>9083</v>
      </c>
      <c r="D1088" s="9" t="s">
        <v>7336</v>
      </c>
      <c r="E1088" s="9" t="s">
        <v>9246</v>
      </c>
      <c r="G1088" s="36" t="s">
        <v>15</v>
      </c>
      <c r="H1088" s="36" t="str">
        <f>IFERROR(VLOOKUP(Table2[[#This Row], [Ticket]],Okey!A:B,2,0),"")</f>
        <v>ok</v>
      </c>
      <c r="I1088" s="36" t="s">
        <v>8546</v>
      </c>
      <c r="J1088" s="36" t="s">
        <v>19</v>
      </c>
      <c r="K1088" s="36"/>
      <c r="L1088" s="36"/>
      <c r="M1088" s="36" t="s">
        <v>9034</v>
      </c>
    </row>
    <row r="1089" spans="1:13" hidden="1">
      <c r="A1089" s="42">
        <f t="shared" si="17"/>
        <v>1088</v>
      </c>
      <c r="B1089" s="36" t="s">
        <v>8</v>
      </c>
      <c r="C1089" s="36" t="s">
        <v>9083</v>
      </c>
      <c r="D1089" s="9" t="s">
        <v>7337</v>
      </c>
      <c r="E1089" s="9" t="s">
        <v>9247</v>
      </c>
      <c r="G1089" s="36" t="s">
        <v>15</v>
      </c>
      <c r="H1089" s="36" t="str">
        <f>IFERROR(VLOOKUP(Table2[[#This Row], [Ticket]],Okey!A:B,2,0),"")</f>
        <v>ok</v>
      </c>
      <c r="I1089" s="36" t="s">
        <v>8546</v>
      </c>
      <c r="J1089" s="36" t="s">
        <v>19</v>
      </c>
      <c r="K1089" s="36"/>
      <c r="L1089" s="36"/>
      <c r="M1089" s="36" t="s">
        <v>9034</v>
      </c>
    </row>
    <row r="1090" spans="1:13" hidden="1">
      <c r="A1090" s="42">
        <f t="shared" si="17"/>
        <v>1089</v>
      </c>
      <c r="B1090" s="36" t="s">
        <v>8</v>
      </c>
      <c r="C1090" s="36" t="s">
        <v>9083</v>
      </c>
      <c r="D1090" s="9" t="s">
        <v>7338</v>
      </c>
      <c r="E1090" s="9" t="s">
        <v>9248</v>
      </c>
      <c r="G1090" s="36" t="s">
        <v>15</v>
      </c>
      <c r="H1090" s="36" t="str">
        <f>IFERROR(VLOOKUP(Table2[[#This Row], [Ticket]],Okey!A:B,2,0),"")</f>
        <v>ok</v>
      </c>
      <c r="I1090" s="36" t="s">
        <v>8546</v>
      </c>
      <c r="J1090" s="36" t="s">
        <v>19</v>
      </c>
      <c r="K1090" s="36"/>
      <c r="L1090" s="36"/>
      <c r="M1090" s="36" t="s">
        <v>9034</v>
      </c>
    </row>
    <row r="1091" spans="1:13" hidden="1">
      <c r="A1091" s="42">
        <f t="shared" si="17"/>
        <v>1090</v>
      </c>
      <c r="B1091" s="36" t="s">
        <v>8</v>
      </c>
      <c r="C1091" s="36" t="s">
        <v>9083</v>
      </c>
      <c r="D1091" s="9" t="s">
        <v>7339</v>
      </c>
      <c r="E1091" s="9" t="s">
        <v>9249</v>
      </c>
      <c r="G1091" s="36" t="s">
        <v>15</v>
      </c>
      <c r="H1091" s="36" t="str">
        <f>IFERROR(VLOOKUP(Table2[[#This Row], [Ticket]],Okey!A:B,2,0),"")</f>
        <v>ok</v>
      </c>
      <c r="I1091" s="36" t="s">
        <v>8546</v>
      </c>
      <c r="J1091" s="36" t="s">
        <v>19</v>
      </c>
      <c r="K1091" s="36"/>
      <c r="L1091" s="36"/>
      <c r="M1091" s="36" t="s">
        <v>9034</v>
      </c>
    </row>
    <row r="1092" spans="1:13" hidden="1">
      <c r="A1092" s="42">
        <f t="shared" si="17"/>
        <v>1091</v>
      </c>
      <c r="B1092" s="36" t="s">
        <v>8</v>
      </c>
      <c r="C1092" s="36" t="s">
        <v>9083</v>
      </c>
      <c r="D1092" s="9" t="s">
        <v>7353</v>
      </c>
      <c r="E1092" s="9" t="s">
        <v>9250</v>
      </c>
      <c r="G1092" s="36" t="s">
        <v>15</v>
      </c>
      <c r="H1092" s="36" t="str">
        <f>IFERROR(VLOOKUP(Table2[[#This Row], [Ticket]],Okey!A:B,2,0),"")</f>
        <v>ok</v>
      </c>
      <c r="I1092" s="36" t="s">
        <v>8546</v>
      </c>
      <c r="J1092" s="36" t="s">
        <v>19</v>
      </c>
      <c r="K1092" s="36"/>
      <c r="L1092" s="36"/>
      <c r="M1092" s="36" t="s">
        <v>9034</v>
      </c>
    </row>
    <row r="1093" spans="1:13" hidden="1">
      <c r="A1093" s="42">
        <f t="shared" si="17"/>
        <v>1092</v>
      </c>
      <c r="B1093" s="36" t="s">
        <v>8</v>
      </c>
      <c r="C1093" s="36" t="s">
        <v>9083</v>
      </c>
      <c r="D1093" s="9" t="s">
        <v>7354</v>
      </c>
      <c r="E1093" s="9" t="s">
        <v>9251</v>
      </c>
      <c r="G1093" s="36" t="s">
        <v>15</v>
      </c>
      <c r="H1093" s="36" t="str">
        <f>IFERROR(VLOOKUP(Table2[[#This Row], [Ticket]],Okey!A:B,2,0),"")</f>
        <v>ok</v>
      </c>
      <c r="I1093" s="36" t="s">
        <v>8546</v>
      </c>
      <c r="J1093" s="36" t="s">
        <v>19</v>
      </c>
      <c r="K1093" s="36"/>
      <c r="L1093" s="36"/>
      <c r="M1093" s="36" t="s">
        <v>9034</v>
      </c>
    </row>
    <row r="1094" spans="1:13" hidden="1">
      <c r="A1094" s="42">
        <f t="shared" si="17"/>
        <v>1093</v>
      </c>
      <c r="B1094" s="36" t="s">
        <v>8</v>
      </c>
      <c r="C1094" s="36" t="s">
        <v>9083</v>
      </c>
      <c r="D1094" s="9" t="s">
        <v>7355</v>
      </c>
      <c r="E1094" s="9" t="s">
        <v>9252</v>
      </c>
      <c r="G1094" s="36" t="s">
        <v>15</v>
      </c>
      <c r="H1094" s="36" t="str">
        <f>IFERROR(VLOOKUP(Table2[[#This Row], [Ticket]],Okey!A:B,2,0),"")</f>
        <v>ok</v>
      </c>
      <c r="I1094" s="36" t="s">
        <v>8546</v>
      </c>
      <c r="J1094" s="36" t="s">
        <v>19</v>
      </c>
      <c r="K1094" s="36"/>
      <c r="L1094" s="36"/>
      <c r="M1094" s="36" t="s">
        <v>9034</v>
      </c>
    </row>
    <row r="1095" spans="1:13" hidden="1">
      <c r="A1095" s="42">
        <f t="shared" si="17"/>
        <v>1094</v>
      </c>
      <c r="B1095" s="36" t="s">
        <v>8</v>
      </c>
      <c r="C1095" s="36" t="s">
        <v>9083</v>
      </c>
      <c r="D1095" s="9" t="s">
        <v>7356</v>
      </c>
      <c r="E1095" s="9" t="s">
        <v>9253</v>
      </c>
      <c r="G1095" s="36" t="s">
        <v>15</v>
      </c>
      <c r="H1095" s="36" t="str">
        <f>IFERROR(VLOOKUP(Table2[[#This Row], [Ticket]],Okey!A:B,2,0),"")</f>
        <v>ok</v>
      </c>
      <c r="I1095" s="36" t="s">
        <v>8546</v>
      </c>
      <c r="J1095" s="36" t="s">
        <v>19</v>
      </c>
      <c r="K1095" s="36"/>
      <c r="L1095" s="36"/>
      <c r="M1095" s="36" t="s">
        <v>9034</v>
      </c>
    </row>
    <row r="1096" spans="1:13" hidden="1">
      <c r="A1096" s="42">
        <f t="shared" si="17"/>
        <v>1095</v>
      </c>
      <c r="B1096" s="36" t="s">
        <v>8</v>
      </c>
      <c r="C1096" s="36" t="s">
        <v>9083</v>
      </c>
      <c r="D1096" s="9" t="s">
        <v>7357</v>
      </c>
      <c r="E1096" s="9" t="s">
        <v>9254</v>
      </c>
      <c r="G1096" s="36" t="s">
        <v>15</v>
      </c>
      <c r="H1096" s="36" t="str">
        <f>IFERROR(VLOOKUP(Table2[[#This Row], [Ticket]],Okey!A:B,2,0),"")</f>
        <v>ok</v>
      </c>
      <c r="I1096" s="36" t="s">
        <v>8546</v>
      </c>
      <c r="J1096" s="36" t="s">
        <v>19</v>
      </c>
      <c r="K1096" s="36"/>
      <c r="L1096" s="36"/>
      <c r="M1096" s="36" t="s">
        <v>9034</v>
      </c>
    </row>
    <row r="1097" spans="1:13" hidden="1">
      <c r="A1097" s="42">
        <f t="shared" si="17"/>
        <v>1096</v>
      </c>
      <c r="B1097" s="36" t="s">
        <v>8</v>
      </c>
      <c r="C1097" s="36" t="s">
        <v>9083</v>
      </c>
      <c r="D1097" s="9" t="s">
        <v>7358</v>
      </c>
      <c r="E1097" s="9" t="s">
        <v>9255</v>
      </c>
      <c r="G1097" s="36" t="s">
        <v>15</v>
      </c>
      <c r="H1097" s="36" t="str">
        <f>IFERROR(VLOOKUP(Table2[[#This Row], [Ticket]],Okey!A:B,2,0),"")</f>
        <v>ok</v>
      </c>
      <c r="I1097" s="36" t="s">
        <v>8546</v>
      </c>
      <c r="J1097" s="36" t="s">
        <v>19</v>
      </c>
      <c r="K1097" s="36"/>
      <c r="L1097" s="36"/>
      <c r="M1097" s="36" t="s">
        <v>9034</v>
      </c>
    </row>
    <row r="1098" spans="1:13" hidden="1">
      <c r="A1098" s="42">
        <f t="shared" si="17"/>
        <v>1097</v>
      </c>
      <c r="B1098" s="36" t="s">
        <v>8</v>
      </c>
      <c r="C1098" s="36" t="s">
        <v>9083</v>
      </c>
      <c r="D1098" s="9" t="s">
        <v>7359</v>
      </c>
      <c r="E1098" s="9" t="s">
        <v>9256</v>
      </c>
      <c r="G1098" s="36" t="s">
        <v>15</v>
      </c>
      <c r="H1098" s="36" t="str">
        <f>IFERROR(VLOOKUP(Table2[[#This Row], [Ticket]],Okey!A:B,2,0),"")</f>
        <v>ok</v>
      </c>
      <c r="I1098" s="36" t="s">
        <v>8546</v>
      </c>
      <c r="J1098" s="36" t="s">
        <v>19</v>
      </c>
      <c r="K1098" s="36"/>
      <c r="L1098" s="36"/>
      <c r="M1098" s="36" t="s">
        <v>9034</v>
      </c>
    </row>
    <row r="1099" spans="1:13" hidden="1">
      <c r="A1099" s="42">
        <f t="shared" si="17"/>
        <v>1098</v>
      </c>
      <c r="B1099" s="36" t="s">
        <v>8</v>
      </c>
      <c r="C1099" s="36" t="s">
        <v>9083</v>
      </c>
      <c r="D1099" s="9" t="s">
        <v>7373</v>
      </c>
      <c r="E1099" s="9" t="s">
        <v>9257</v>
      </c>
      <c r="G1099" s="36" t="s">
        <v>15</v>
      </c>
      <c r="H1099" s="36" t="str">
        <f>IFERROR(VLOOKUP(Table2[[#This Row], [Ticket]],Okey!A:B,2,0),"")</f>
        <v>ok</v>
      </c>
      <c r="I1099" s="36" t="s">
        <v>8546</v>
      </c>
      <c r="J1099" s="36" t="s">
        <v>19</v>
      </c>
      <c r="K1099" s="36"/>
      <c r="L1099" s="36"/>
      <c r="M1099" s="36" t="s">
        <v>9034</v>
      </c>
    </row>
    <row r="1100" spans="1:13" hidden="1">
      <c r="A1100" s="42">
        <f t="shared" si="17"/>
        <v>1099</v>
      </c>
      <c r="B1100" s="36" t="s">
        <v>8</v>
      </c>
      <c r="C1100" s="36" t="s">
        <v>9083</v>
      </c>
      <c r="D1100" s="9" t="s">
        <v>7374</v>
      </c>
      <c r="E1100" s="9" t="s">
        <v>9258</v>
      </c>
      <c r="G1100" s="36" t="s">
        <v>15</v>
      </c>
      <c r="H1100" s="36" t="str">
        <f>IFERROR(VLOOKUP(Table2[[#This Row], [Ticket]],Okey!A:B,2,0),"")</f>
        <v>ok</v>
      </c>
      <c r="I1100" s="36" t="s">
        <v>8546</v>
      </c>
      <c r="J1100" s="36" t="s">
        <v>19</v>
      </c>
      <c r="K1100" s="36"/>
      <c r="L1100" s="36"/>
      <c r="M1100" s="36" t="s">
        <v>9034</v>
      </c>
    </row>
    <row r="1101" spans="1:13" hidden="1">
      <c r="A1101" s="42">
        <f t="shared" si="17"/>
        <v>1100</v>
      </c>
      <c r="B1101" s="36" t="s">
        <v>8</v>
      </c>
      <c r="C1101" s="36" t="s">
        <v>9083</v>
      </c>
      <c r="D1101" s="9" t="s">
        <v>7375</v>
      </c>
      <c r="E1101" s="9" t="s">
        <v>9259</v>
      </c>
      <c r="G1101" s="36" t="s">
        <v>15</v>
      </c>
      <c r="H1101" s="36" t="str">
        <f>IFERROR(VLOOKUP(Table2[[#This Row], [Ticket]],Okey!A:B,2,0),"")</f>
        <v>ok</v>
      </c>
      <c r="I1101" s="36" t="s">
        <v>8546</v>
      </c>
      <c r="J1101" s="36" t="s">
        <v>19</v>
      </c>
      <c r="K1101" s="36"/>
      <c r="L1101" s="36"/>
      <c r="M1101" s="36" t="s">
        <v>9034</v>
      </c>
    </row>
    <row r="1102" spans="1:13" hidden="1">
      <c r="A1102" s="42">
        <f t="shared" si="17"/>
        <v>1101</v>
      </c>
      <c r="B1102" s="36" t="s">
        <v>8</v>
      </c>
      <c r="C1102" s="36" t="s">
        <v>9083</v>
      </c>
      <c r="D1102" s="9" t="s">
        <v>7376</v>
      </c>
      <c r="E1102" s="9" t="s">
        <v>9260</v>
      </c>
      <c r="G1102" s="36" t="s">
        <v>15</v>
      </c>
      <c r="H1102" s="36" t="str">
        <f>IFERROR(VLOOKUP(Table2[[#This Row], [Ticket]],Okey!A:B,2,0),"")</f>
        <v>ok</v>
      </c>
      <c r="I1102" s="36" t="s">
        <v>8546</v>
      </c>
      <c r="J1102" s="36" t="s">
        <v>19</v>
      </c>
      <c r="K1102" s="36"/>
      <c r="L1102" s="36"/>
      <c r="M1102" s="36" t="s">
        <v>9034</v>
      </c>
    </row>
    <row r="1103" spans="1:13" hidden="1">
      <c r="A1103" s="42">
        <f t="shared" si="17"/>
        <v>1102</v>
      </c>
      <c r="B1103" s="36" t="s">
        <v>8</v>
      </c>
      <c r="C1103" s="36" t="s">
        <v>9083</v>
      </c>
      <c r="D1103" s="9" t="s">
        <v>7377</v>
      </c>
      <c r="E1103" s="9" t="s">
        <v>9261</v>
      </c>
      <c r="G1103" s="36" t="s">
        <v>15</v>
      </c>
      <c r="H1103" s="36" t="str">
        <f>IFERROR(VLOOKUP(Table2[[#This Row], [Ticket]],Okey!A:B,2,0),"")</f>
        <v>ok</v>
      </c>
      <c r="I1103" s="36" t="s">
        <v>8546</v>
      </c>
      <c r="J1103" s="36" t="s">
        <v>19</v>
      </c>
      <c r="K1103" s="36"/>
      <c r="L1103" s="36"/>
      <c r="M1103" s="36" t="s">
        <v>9034</v>
      </c>
    </row>
    <row r="1104" spans="1:13" hidden="1">
      <c r="A1104" s="42">
        <f t="shared" si="17"/>
        <v>1103</v>
      </c>
      <c r="B1104" s="36" t="s">
        <v>8</v>
      </c>
      <c r="C1104" s="36" t="s">
        <v>9083</v>
      </c>
      <c r="D1104" s="9" t="s">
        <v>7378</v>
      </c>
      <c r="E1104" s="9" t="s">
        <v>9262</v>
      </c>
      <c r="G1104" s="36" t="s">
        <v>15</v>
      </c>
      <c r="H1104" s="36" t="str">
        <f>IFERROR(VLOOKUP(Table2[[#This Row], [Ticket]],Okey!A:B,2,0),"")</f>
        <v>ok</v>
      </c>
      <c r="I1104" s="36" t="s">
        <v>8546</v>
      </c>
      <c r="J1104" s="36" t="s">
        <v>19</v>
      </c>
      <c r="K1104" s="36"/>
      <c r="L1104" s="36"/>
      <c r="M1104" s="36" t="s">
        <v>9034</v>
      </c>
    </row>
    <row r="1105" spans="1:13" hidden="1">
      <c r="A1105" s="42">
        <f t="shared" si="17"/>
        <v>1104</v>
      </c>
      <c r="B1105" s="36" t="s">
        <v>8</v>
      </c>
      <c r="C1105" s="36" t="s">
        <v>9083</v>
      </c>
      <c r="D1105" s="9" t="s">
        <v>7379</v>
      </c>
      <c r="E1105" s="9" t="s">
        <v>9263</v>
      </c>
      <c r="G1105" s="36" t="s">
        <v>15</v>
      </c>
      <c r="H1105" s="36" t="str">
        <f>IFERROR(VLOOKUP(Table2[[#This Row], [Ticket]],Okey!A:B,2,0),"")</f>
        <v>ok</v>
      </c>
      <c r="I1105" s="36" t="s">
        <v>8546</v>
      </c>
      <c r="J1105" s="36" t="s">
        <v>19</v>
      </c>
      <c r="K1105" s="36"/>
      <c r="L1105" s="36"/>
      <c r="M1105" s="36" t="s">
        <v>9034</v>
      </c>
    </row>
    <row r="1106" spans="1:13" hidden="1">
      <c r="A1106" s="42">
        <f t="shared" si="17"/>
        <v>1105</v>
      </c>
      <c r="B1106" s="36" t="s">
        <v>8</v>
      </c>
      <c r="C1106" s="36" t="s">
        <v>9083</v>
      </c>
      <c r="D1106" s="9" t="s">
        <v>7393</v>
      </c>
      <c r="E1106" s="9" t="s">
        <v>9264</v>
      </c>
      <c r="G1106" s="36" t="s">
        <v>15</v>
      </c>
      <c r="H1106" s="36" t="str">
        <f>IFERROR(VLOOKUP(Table2[[#This Row], [Ticket]],Okey!A:B,2,0),"")</f>
        <v>ok</v>
      </c>
      <c r="I1106" s="36" t="s">
        <v>8546</v>
      </c>
      <c r="J1106" s="36" t="s">
        <v>19</v>
      </c>
      <c r="K1106" s="36"/>
      <c r="L1106" s="36"/>
      <c r="M1106" s="36" t="s">
        <v>9034</v>
      </c>
    </row>
    <row r="1107" spans="1:13" hidden="1">
      <c r="A1107" s="42">
        <f t="shared" si="17"/>
        <v>1106</v>
      </c>
      <c r="B1107" s="36" t="s">
        <v>8</v>
      </c>
      <c r="C1107" s="36" t="s">
        <v>9083</v>
      </c>
      <c r="D1107" s="9" t="s">
        <v>7394</v>
      </c>
      <c r="E1107" s="9" t="s">
        <v>9265</v>
      </c>
      <c r="G1107" s="36" t="s">
        <v>15</v>
      </c>
      <c r="H1107" s="36" t="str">
        <f>IFERROR(VLOOKUP(Table2[[#This Row], [Ticket]],Okey!A:B,2,0),"")</f>
        <v>ok</v>
      </c>
      <c r="I1107" s="36" t="s">
        <v>8546</v>
      </c>
      <c r="J1107" s="36" t="s">
        <v>19</v>
      </c>
      <c r="K1107" s="36"/>
      <c r="L1107" s="36"/>
      <c r="M1107" s="36" t="s">
        <v>9034</v>
      </c>
    </row>
    <row r="1108" spans="1:13" hidden="1">
      <c r="A1108" s="42">
        <f t="shared" ref="A1108:A1171" si="18">1+A1107</f>
        <v>1107</v>
      </c>
      <c r="B1108" s="36" t="s">
        <v>8</v>
      </c>
      <c r="C1108" s="36" t="s">
        <v>9083</v>
      </c>
      <c r="D1108" s="9" t="s">
        <v>7395</v>
      </c>
      <c r="E1108" s="9" t="s">
        <v>9266</v>
      </c>
      <c r="G1108" s="36" t="s">
        <v>15</v>
      </c>
      <c r="H1108" s="36" t="str">
        <f>IFERROR(VLOOKUP(Table2[[#This Row], [Ticket]],Okey!A:B,2,0),"")</f>
        <v>ok</v>
      </c>
      <c r="I1108" s="36" t="s">
        <v>8546</v>
      </c>
      <c r="J1108" s="36" t="s">
        <v>19</v>
      </c>
      <c r="K1108" s="36"/>
      <c r="L1108" s="36"/>
      <c r="M1108" s="36" t="s">
        <v>9034</v>
      </c>
    </row>
    <row r="1109" spans="1:13" hidden="1">
      <c r="A1109" s="42">
        <f t="shared" si="18"/>
        <v>1108</v>
      </c>
      <c r="B1109" s="36" t="s">
        <v>8</v>
      </c>
      <c r="C1109" s="36" t="s">
        <v>9083</v>
      </c>
      <c r="D1109" s="9" t="s">
        <v>7396</v>
      </c>
      <c r="E1109" s="9" t="s">
        <v>9267</v>
      </c>
      <c r="G1109" s="36" t="s">
        <v>15</v>
      </c>
      <c r="H1109" s="36" t="str">
        <f>IFERROR(VLOOKUP(Table2[[#This Row], [Ticket]],Okey!A:B,2,0),"")</f>
        <v>ok</v>
      </c>
      <c r="I1109" s="36" t="s">
        <v>8546</v>
      </c>
      <c r="J1109" s="36" t="s">
        <v>19</v>
      </c>
      <c r="K1109" s="36"/>
      <c r="L1109" s="36"/>
      <c r="M1109" s="36" t="s">
        <v>9034</v>
      </c>
    </row>
    <row r="1110" spans="1:13" hidden="1">
      <c r="A1110" s="42">
        <f t="shared" si="18"/>
        <v>1109</v>
      </c>
      <c r="B1110" s="36" t="s">
        <v>8</v>
      </c>
      <c r="C1110" s="36" t="s">
        <v>9083</v>
      </c>
      <c r="D1110" s="9" t="s">
        <v>7397</v>
      </c>
      <c r="E1110" s="9" t="s">
        <v>9268</v>
      </c>
      <c r="G1110" s="36" t="s">
        <v>15</v>
      </c>
      <c r="H1110" s="36" t="str">
        <f>IFERROR(VLOOKUP(Table2[[#This Row], [Ticket]],Okey!A:B,2,0),"")</f>
        <v>ok</v>
      </c>
      <c r="I1110" s="36" t="s">
        <v>8546</v>
      </c>
      <c r="J1110" s="36" t="s">
        <v>19</v>
      </c>
      <c r="K1110" s="36"/>
      <c r="L1110" s="36"/>
      <c r="M1110" s="36" t="s">
        <v>9034</v>
      </c>
    </row>
    <row r="1111" spans="1:13" hidden="1">
      <c r="A1111" s="42">
        <f t="shared" si="18"/>
        <v>1110</v>
      </c>
      <c r="B1111" s="36" t="s">
        <v>8</v>
      </c>
      <c r="C1111" s="36" t="s">
        <v>9083</v>
      </c>
      <c r="D1111" s="9" t="s">
        <v>7398</v>
      </c>
      <c r="E1111" s="9" t="s">
        <v>9269</v>
      </c>
      <c r="G1111" s="36" t="s">
        <v>15</v>
      </c>
      <c r="H1111" s="36" t="str">
        <f>IFERROR(VLOOKUP(Table2[[#This Row], [Ticket]],Okey!A:B,2,0),"")</f>
        <v>ok</v>
      </c>
      <c r="I1111" s="36" t="s">
        <v>8546</v>
      </c>
      <c r="J1111" s="36" t="s">
        <v>19</v>
      </c>
      <c r="K1111" s="36"/>
      <c r="L1111" s="36"/>
      <c r="M1111" s="36" t="s">
        <v>9034</v>
      </c>
    </row>
    <row r="1112" spans="1:13" hidden="1">
      <c r="A1112" s="42">
        <f t="shared" si="18"/>
        <v>1111</v>
      </c>
      <c r="B1112" s="36" t="s">
        <v>8</v>
      </c>
      <c r="C1112" s="36" t="s">
        <v>9083</v>
      </c>
      <c r="D1112" s="9" t="s">
        <v>7399</v>
      </c>
      <c r="E1112" s="9" t="s">
        <v>9270</v>
      </c>
      <c r="G1112" s="36" t="s">
        <v>15</v>
      </c>
      <c r="H1112" s="36" t="str">
        <f>IFERROR(VLOOKUP(Table2[[#This Row], [Ticket]],Okey!A:B,2,0),"")</f>
        <v>ok</v>
      </c>
      <c r="I1112" s="36" t="s">
        <v>8546</v>
      </c>
      <c r="J1112" s="36" t="s">
        <v>19</v>
      </c>
      <c r="K1112" s="36"/>
      <c r="L1112" s="36"/>
      <c r="M1112" s="36" t="s">
        <v>9034</v>
      </c>
    </row>
    <row r="1113" spans="1:13" hidden="1">
      <c r="A1113" s="42">
        <f t="shared" si="18"/>
        <v>1112</v>
      </c>
      <c r="B1113" s="36" t="s">
        <v>8</v>
      </c>
      <c r="C1113" s="36" t="s">
        <v>9083</v>
      </c>
      <c r="D1113" s="9" t="s">
        <v>7413</v>
      </c>
      <c r="E1113" s="9" t="s">
        <v>9271</v>
      </c>
      <c r="G1113" s="36" t="s">
        <v>15</v>
      </c>
      <c r="H1113" s="36" t="str">
        <f>IFERROR(VLOOKUP(Table2[[#This Row], [Ticket]],Okey!A:B,2,0),"")</f>
        <v>ok</v>
      </c>
      <c r="I1113" s="36" t="s">
        <v>8546</v>
      </c>
      <c r="J1113" s="36" t="s">
        <v>19</v>
      </c>
      <c r="K1113" s="36"/>
      <c r="L1113" s="36"/>
      <c r="M1113" s="36" t="s">
        <v>9034</v>
      </c>
    </row>
    <row r="1114" spans="1:13" hidden="1">
      <c r="A1114" s="42">
        <f t="shared" si="18"/>
        <v>1113</v>
      </c>
      <c r="B1114" s="36" t="s">
        <v>8</v>
      </c>
      <c r="C1114" s="36" t="s">
        <v>9083</v>
      </c>
      <c r="D1114" s="9" t="s">
        <v>7414</v>
      </c>
      <c r="E1114" s="9" t="s">
        <v>9272</v>
      </c>
      <c r="G1114" s="36" t="s">
        <v>15</v>
      </c>
      <c r="H1114" s="36" t="str">
        <f>IFERROR(VLOOKUP(Table2[[#This Row], [Ticket]],Okey!A:B,2,0),"")</f>
        <v>ok</v>
      </c>
      <c r="I1114" s="36" t="s">
        <v>8546</v>
      </c>
      <c r="J1114" s="36" t="s">
        <v>19</v>
      </c>
      <c r="K1114" s="36"/>
      <c r="L1114" s="36"/>
      <c r="M1114" s="36" t="s">
        <v>9034</v>
      </c>
    </row>
    <row r="1115" spans="1:13" hidden="1">
      <c r="A1115" s="42">
        <f t="shared" si="18"/>
        <v>1114</v>
      </c>
      <c r="B1115" s="36" t="s">
        <v>8</v>
      </c>
      <c r="C1115" s="36" t="s">
        <v>9083</v>
      </c>
      <c r="D1115" s="9" t="s">
        <v>7415</v>
      </c>
      <c r="E1115" s="9" t="s">
        <v>9273</v>
      </c>
      <c r="G1115" s="36" t="s">
        <v>15</v>
      </c>
      <c r="H1115" s="36" t="str">
        <f>IFERROR(VLOOKUP(Table2[[#This Row], [Ticket]],Okey!A:B,2,0),"")</f>
        <v>ok</v>
      </c>
      <c r="I1115" s="36" t="s">
        <v>8546</v>
      </c>
      <c r="J1115" s="36" t="s">
        <v>19</v>
      </c>
      <c r="K1115" s="36"/>
      <c r="L1115" s="36"/>
      <c r="M1115" s="36" t="s">
        <v>9034</v>
      </c>
    </row>
    <row r="1116" spans="1:13" hidden="1">
      <c r="A1116" s="42">
        <f t="shared" si="18"/>
        <v>1115</v>
      </c>
      <c r="B1116" s="36" t="s">
        <v>8</v>
      </c>
      <c r="C1116" s="36" t="s">
        <v>9083</v>
      </c>
      <c r="D1116" s="9" t="s">
        <v>7416</v>
      </c>
      <c r="E1116" s="9" t="s">
        <v>9274</v>
      </c>
      <c r="G1116" s="36" t="s">
        <v>15</v>
      </c>
      <c r="H1116" s="36" t="str">
        <f>IFERROR(VLOOKUP(Table2[[#This Row], [Ticket]],Okey!A:B,2,0),"")</f>
        <v>ok</v>
      </c>
      <c r="I1116" s="36" t="s">
        <v>8546</v>
      </c>
      <c r="J1116" s="36" t="s">
        <v>19</v>
      </c>
      <c r="K1116" s="36"/>
      <c r="L1116" s="36"/>
      <c r="M1116" s="36" t="s">
        <v>9034</v>
      </c>
    </row>
    <row r="1117" spans="1:13" hidden="1">
      <c r="A1117" s="42">
        <f t="shared" si="18"/>
        <v>1116</v>
      </c>
      <c r="B1117" s="36" t="s">
        <v>8</v>
      </c>
      <c r="C1117" s="36" t="s">
        <v>9083</v>
      </c>
      <c r="D1117" s="9" t="s">
        <v>7417</v>
      </c>
      <c r="E1117" s="9" t="s">
        <v>9275</v>
      </c>
      <c r="G1117" s="36" t="s">
        <v>15</v>
      </c>
      <c r="H1117" s="36" t="str">
        <f>IFERROR(VLOOKUP(Table2[[#This Row], [Ticket]],Okey!A:B,2,0),"")</f>
        <v>ok</v>
      </c>
      <c r="I1117" s="36" t="s">
        <v>8546</v>
      </c>
      <c r="J1117" s="36" t="s">
        <v>19</v>
      </c>
      <c r="K1117" s="36"/>
      <c r="L1117" s="36"/>
      <c r="M1117" s="36" t="s">
        <v>9034</v>
      </c>
    </row>
    <row r="1118" spans="1:13" hidden="1">
      <c r="A1118" s="42">
        <f t="shared" si="18"/>
        <v>1117</v>
      </c>
      <c r="B1118" s="36" t="s">
        <v>8</v>
      </c>
      <c r="C1118" s="36" t="s">
        <v>9083</v>
      </c>
      <c r="D1118" s="9" t="s">
        <v>7418</v>
      </c>
      <c r="E1118" s="9" t="s">
        <v>9276</v>
      </c>
      <c r="G1118" s="36" t="s">
        <v>15</v>
      </c>
      <c r="H1118" s="36" t="str">
        <f>IFERROR(VLOOKUP(Table2[[#This Row], [Ticket]],Okey!A:B,2,0),"")</f>
        <v>ok</v>
      </c>
      <c r="I1118" s="36" t="s">
        <v>8546</v>
      </c>
      <c r="J1118" s="36" t="s">
        <v>19</v>
      </c>
      <c r="K1118" s="36"/>
      <c r="L1118" s="36"/>
      <c r="M1118" s="36" t="s">
        <v>9034</v>
      </c>
    </row>
    <row r="1119" spans="1:13" hidden="1">
      <c r="A1119" s="42">
        <f t="shared" si="18"/>
        <v>1118</v>
      </c>
      <c r="B1119" s="36" t="s">
        <v>8</v>
      </c>
      <c r="C1119" s="36" t="s">
        <v>9083</v>
      </c>
      <c r="D1119" s="9" t="s">
        <v>7419</v>
      </c>
      <c r="E1119" s="9" t="s">
        <v>9277</v>
      </c>
      <c r="G1119" s="36" t="s">
        <v>15</v>
      </c>
      <c r="H1119" s="36" t="str">
        <f>IFERROR(VLOOKUP(Table2[[#This Row], [Ticket]],Okey!A:B,2,0),"")</f>
        <v>ok</v>
      </c>
      <c r="I1119" s="36" t="s">
        <v>8546</v>
      </c>
      <c r="J1119" s="36" t="s">
        <v>19</v>
      </c>
      <c r="K1119" s="36"/>
      <c r="L1119" s="36"/>
      <c r="M1119" s="36" t="s">
        <v>9034</v>
      </c>
    </row>
    <row r="1120" spans="1:13" hidden="1">
      <c r="A1120" s="42">
        <f t="shared" si="18"/>
        <v>1119</v>
      </c>
      <c r="B1120" s="36" t="s">
        <v>8</v>
      </c>
      <c r="C1120" s="36" t="s">
        <v>9083</v>
      </c>
      <c r="D1120" s="9" t="s">
        <v>7433</v>
      </c>
      <c r="E1120" s="9" t="s">
        <v>9278</v>
      </c>
      <c r="G1120" s="36" t="s">
        <v>15</v>
      </c>
      <c r="H1120" s="36" t="str">
        <f>IFERROR(VLOOKUP(Table2[[#This Row], [Ticket]],Okey!A:B,2,0),"")</f>
        <v>ok</v>
      </c>
      <c r="I1120" s="36" t="s">
        <v>8546</v>
      </c>
      <c r="J1120" s="36" t="s">
        <v>19</v>
      </c>
      <c r="K1120" s="36"/>
      <c r="L1120" s="36"/>
      <c r="M1120" s="36" t="s">
        <v>9034</v>
      </c>
    </row>
    <row r="1121" spans="1:13" hidden="1">
      <c r="A1121" s="42">
        <f t="shared" si="18"/>
        <v>1120</v>
      </c>
      <c r="B1121" s="36" t="s">
        <v>8</v>
      </c>
      <c r="C1121" s="36" t="s">
        <v>9083</v>
      </c>
      <c r="D1121" s="9" t="s">
        <v>7434</v>
      </c>
      <c r="E1121" s="9" t="s">
        <v>9279</v>
      </c>
      <c r="G1121" s="36" t="s">
        <v>15</v>
      </c>
      <c r="H1121" s="36" t="str">
        <f>IFERROR(VLOOKUP(Table2[[#This Row], [Ticket]],Okey!A:B,2,0),"")</f>
        <v>ok</v>
      </c>
      <c r="I1121" s="36" t="s">
        <v>8546</v>
      </c>
      <c r="J1121" s="36" t="s">
        <v>19</v>
      </c>
      <c r="K1121" s="36"/>
      <c r="L1121" s="36"/>
      <c r="M1121" s="36" t="s">
        <v>9034</v>
      </c>
    </row>
    <row r="1122" spans="1:13" hidden="1">
      <c r="A1122" s="42">
        <f t="shared" si="18"/>
        <v>1121</v>
      </c>
      <c r="B1122" s="36" t="s">
        <v>8</v>
      </c>
      <c r="C1122" s="36" t="s">
        <v>9083</v>
      </c>
      <c r="D1122" s="9" t="s">
        <v>7435</v>
      </c>
      <c r="E1122" s="9" t="s">
        <v>9280</v>
      </c>
      <c r="G1122" s="36" t="s">
        <v>15</v>
      </c>
      <c r="H1122" s="36" t="str">
        <f>IFERROR(VLOOKUP(Table2[[#This Row], [Ticket]],Okey!A:B,2,0),"")</f>
        <v>ok</v>
      </c>
      <c r="I1122" s="36" t="s">
        <v>8546</v>
      </c>
      <c r="J1122" s="36" t="s">
        <v>19</v>
      </c>
      <c r="K1122" s="36"/>
      <c r="L1122" s="36"/>
      <c r="M1122" s="36" t="s">
        <v>9034</v>
      </c>
    </row>
    <row r="1123" spans="1:13" hidden="1">
      <c r="A1123" s="42">
        <f t="shared" si="18"/>
        <v>1122</v>
      </c>
      <c r="B1123" s="36" t="s">
        <v>8</v>
      </c>
      <c r="C1123" s="36" t="s">
        <v>9083</v>
      </c>
      <c r="D1123" s="9" t="s">
        <v>7436</v>
      </c>
      <c r="E1123" s="9" t="s">
        <v>9281</v>
      </c>
      <c r="G1123" s="36" t="s">
        <v>15</v>
      </c>
      <c r="H1123" s="36" t="str">
        <f>IFERROR(VLOOKUP(Table2[[#This Row], [Ticket]],Okey!A:B,2,0),"")</f>
        <v>ok</v>
      </c>
      <c r="I1123" s="36" t="s">
        <v>8546</v>
      </c>
      <c r="J1123" s="36" t="s">
        <v>19</v>
      </c>
      <c r="K1123" s="36"/>
      <c r="L1123" s="36"/>
      <c r="M1123" s="36" t="s">
        <v>9034</v>
      </c>
    </row>
    <row r="1124" spans="1:13" hidden="1">
      <c r="A1124" s="42">
        <f t="shared" si="18"/>
        <v>1123</v>
      </c>
      <c r="B1124" s="36" t="s">
        <v>8</v>
      </c>
      <c r="C1124" s="36" t="s">
        <v>9083</v>
      </c>
      <c r="D1124" s="9" t="s">
        <v>7437</v>
      </c>
      <c r="E1124" s="9" t="s">
        <v>9282</v>
      </c>
      <c r="G1124" s="36" t="s">
        <v>15</v>
      </c>
      <c r="H1124" s="36" t="str">
        <f>IFERROR(VLOOKUP(Table2[[#This Row], [Ticket]],Okey!A:B,2,0),"")</f>
        <v>ok</v>
      </c>
      <c r="I1124" s="36" t="s">
        <v>8546</v>
      </c>
      <c r="J1124" s="36" t="s">
        <v>19</v>
      </c>
      <c r="K1124" s="36"/>
      <c r="L1124" s="36"/>
      <c r="M1124" s="36" t="s">
        <v>9034</v>
      </c>
    </row>
    <row r="1125" spans="1:13" hidden="1">
      <c r="A1125" s="42">
        <f t="shared" si="18"/>
        <v>1124</v>
      </c>
      <c r="B1125" s="36" t="s">
        <v>8</v>
      </c>
      <c r="C1125" s="36" t="s">
        <v>9083</v>
      </c>
      <c r="D1125" s="9" t="s">
        <v>7438</v>
      </c>
      <c r="E1125" s="9" t="s">
        <v>9283</v>
      </c>
      <c r="G1125" s="36" t="s">
        <v>15</v>
      </c>
      <c r="H1125" s="36" t="str">
        <f>IFERROR(VLOOKUP(Table2[[#This Row], [Ticket]],Okey!A:B,2,0),"")</f>
        <v>ok</v>
      </c>
      <c r="I1125" s="36" t="s">
        <v>8546</v>
      </c>
      <c r="J1125" s="36" t="s">
        <v>19</v>
      </c>
      <c r="K1125" s="36"/>
      <c r="L1125" s="36"/>
      <c r="M1125" s="36" t="s">
        <v>9034</v>
      </c>
    </row>
    <row r="1126" spans="1:13" hidden="1">
      <c r="A1126" s="42">
        <f t="shared" si="18"/>
        <v>1125</v>
      </c>
      <c r="B1126" s="36" t="s">
        <v>8</v>
      </c>
      <c r="C1126" s="36" t="s">
        <v>9083</v>
      </c>
      <c r="D1126" s="9" t="s">
        <v>7439</v>
      </c>
      <c r="E1126" s="9" t="s">
        <v>9284</v>
      </c>
      <c r="G1126" s="36" t="s">
        <v>15</v>
      </c>
      <c r="H1126" s="36" t="str">
        <f>IFERROR(VLOOKUP(Table2[[#This Row], [Ticket]],Okey!A:B,2,0),"")</f>
        <v>ok</v>
      </c>
      <c r="I1126" s="36" t="s">
        <v>8546</v>
      </c>
      <c r="J1126" s="36" t="s">
        <v>19</v>
      </c>
      <c r="K1126" s="36"/>
      <c r="L1126" s="36"/>
      <c r="M1126" s="36" t="s">
        <v>9034</v>
      </c>
    </row>
    <row r="1127" spans="1:13" hidden="1">
      <c r="A1127" s="42">
        <f t="shared" si="18"/>
        <v>1126</v>
      </c>
      <c r="B1127" s="36" t="s">
        <v>8</v>
      </c>
      <c r="C1127" s="36" t="s">
        <v>9083</v>
      </c>
      <c r="D1127" s="9" t="s">
        <v>7453</v>
      </c>
      <c r="E1127" s="9" t="s">
        <v>9285</v>
      </c>
      <c r="G1127" s="36" t="s">
        <v>15</v>
      </c>
      <c r="H1127" s="36" t="str">
        <f>IFERROR(VLOOKUP(Table2[[#This Row], [Ticket]],Okey!A:B,2,0),"")</f>
        <v>ok</v>
      </c>
      <c r="I1127" s="36" t="s">
        <v>8546</v>
      </c>
      <c r="J1127" s="36" t="s">
        <v>19</v>
      </c>
      <c r="K1127" s="36"/>
      <c r="L1127" s="36"/>
      <c r="M1127" s="36" t="s">
        <v>9034</v>
      </c>
    </row>
    <row r="1128" spans="1:13" hidden="1">
      <c r="A1128" s="42">
        <f t="shared" si="18"/>
        <v>1127</v>
      </c>
      <c r="B1128" s="36" t="s">
        <v>8</v>
      </c>
      <c r="C1128" s="36" t="s">
        <v>9083</v>
      </c>
      <c r="D1128" s="9" t="s">
        <v>7454</v>
      </c>
      <c r="E1128" s="9" t="s">
        <v>9286</v>
      </c>
      <c r="G1128" s="36" t="s">
        <v>15</v>
      </c>
      <c r="H1128" s="36" t="str">
        <f>IFERROR(VLOOKUP(Table2[[#This Row], [Ticket]],Okey!A:B,2,0),"")</f>
        <v>ok</v>
      </c>
      <c r="I1128" s="36" t="s">
        <v>8546</v>
      </c>
      <c r="J1128" s="36" t="s">
        <v>19</v>
      </c>
      <c r="K1128" s="36"/>
      <c r="L1128" s="36"/>
      <c r="M1128" s="36" t="s">
        <v>9034</v>
      </c>
    </row>
    <row r="1129" spans="1:13" hidden="1">
      <c r="A1129" s="42">
        <f t="shared" si="18"/>
        <v>1128</v>
      </c>
      <c r="B1129" s="36" t="s">
        <v>8</v>
      </c>
      <c r="C1129" s="36" t="s">
        <v>9083</v>
      </c>
      <c r="D1129" s="9" t="s">
        <v>7455</v>
      </c>
      <c r="E1129" s="9" t="s">
        <v>9287</v>
      </c>
      <c r="G1129" s="36" t="s">
        <v>15</v>
      </c>
      <c r="H1129" s="36" t="str">
        <f>IFERROR(VLOOKUP(Table2[[#This Row], [Ticket]],Okey!A:B,2,0),"")</f>
        <v>ok</v>
      </c>
      <c r="I1129" s="36" t="s">
        <v>8546</v>
      </c>
      <c r="J1129" s="36" t="s">
        <v>19</v>
      </c>
      <c r="K1129" s="36"/>
      <c r="L1129" s="36"/>
      <c r="M1129" s="36" t="s">
        <v>9034</v>
      </c>
    </row>
    <row r="1130" spans="1:13" hidden="1">
      <c r="A1130" s="42">
        <f t="shared" si="18"/>
        <v>1129</v>
      </c>
      <c r="B1130" s="36" t="s">
        <v>8</v>
      </c>
      <c r="C1130" s="36" t="s">
        <v>9083</v>
      </c>
      <c r="D1130" s="9" t="s">
        <v>7456</v>
      </c>
      <c r="E1130" s="9" t="s">
        <v>9288</v>
      </c>
      <c r="G1130" s="36" t="s">
        <v>15</v>
      </c>
      <c r="H1130" s="36" t="str">
        <f>IFERROR(VLOOKUP(Table2[[#This Row], [Ticket]],Okey!A:B,2,0),"")</f>
        <v>ok</v>
      </c>
      <c r="I1130" s="36" t="s">
        <v>8546</v>
      </c>
      <c r="J1130" s="36" t="s">
        <v>19</v>
      </c>
      <c r="K1130" s="36"/>
      <c r="L1130" s="36"/>
      <c r="M1130" s="36" t="s">
        <v>9034</v>
      </c>
    </row>
    <row r="1131" spans="1:13" hidden="1">
      <c r="A1131" s="42">
        <f t="shared" si="18"/>
        <v>1130</v>
      </c>
      <c r="B1131" s="36" t="s">
        <v>8</v>
      </c>
      <c r="C1131" s="36" t="s">
        <v>9083</v>
      </c>
      <c r="D1131" s="9" t="s">
        <v>7457</v>
      </c>
      <c r="E1131" s="9" t="s">
        <v>9289</v>
      </c>
      <c r="G1131" s="36" t="s">
        <v>15</v>
      </c>
      <c r="H1131" s="36" t="str">
        <f>IFERROR(VLOOKUP(Table2[[#This Row], [Ticket]],Okey!A:B,2,0),"")</f>
        <v>ok</v>
      </c>
      <c r="I1131" s="36" t="s">
        <v>8546</v>
      </c>
      <c r="J1131" s="36" t="s">
        <v>19</v>
      </c>
      <c r="K1131" s="36"/>
      <c r="L1131" s="36"/>
      <c r="M1131" s="36" t="s">
        <v>9034</v>
      </c>
    </row>
    <row r="1132" spans="1:13" hidden="1">
      <c r="A1132" s="42">
        <f t="shared" si="18"/>
        <v>1131</v>
      </c>
      <c r="B1132" s="36" t="s">
        <v>8</v>
      </c>
      <c r="C1132" s="36" t="s">
        <v>9083</v>
      </c>
      <c r="D1132" s="9" t="s">
        <v>7458</v>
      </c>
      <c r="E1132" s="9" t="s">
        <v>9290</v>
      </c>
      <c r="G1132" s="36" t="s">
        <v>15</v>
      </c>
      <c r="H1132" s="36" t="str">
        <f>IFERROR(VLOOKUP(Table2[[#This Row], [Ticket]],Okey!A:B,2,0),"")</f>
        <v>ok</v>
      </c>
      <c r="I1132" s="36" t="s">
        <v>8546</v>
      </c>
      <c r="J1132" s="36" t="s">
        <v>19</v>
      </c>
      <c r="K1132" s="36"/>
      <c r="L1132" s="36"/>
      <c r="M1132" s="36" t="s">
        <v>9034</v>
      </c>
    </row>
    <row r="1133" spans="1:13" hidden="1">
      <c r="A1133" s="42">
        <f t="shared" si="18"/>
        <v>1132</v>
      </c>
      <c r="B1133" s="36" t="s">
        <v>8</v>
      </c>
      <c r="C1133" s="36" t="s">
        <v>9083</v>
      </c>
      <c r="D1133" s="9" t="s">
        <v>7459</v>
      </c>
      <c r="E1133" s="9" t="s">
        <v>9291</v>
      </c>
      <c r="G1133" s="36" t="s">
        <v>15</v>
      </c>
      <c r="H1133" s="36" t="str">
        <f>IFERROR(VLOOKUP(Table2[[#This Row], [Ticket]],Okey!A:B,2,0),"")</f>
        <v>ok</v>
      </c>
      <c r="I1133" s="36" t="s">
        <v>8546</v>
      </c>
      <c r="J1133" s="36" t="s">
        <v>19</v>
      </c>
      <c r="K1133" s="36"/>
      <c r="L1133" s="36"/>
      <c r="M1133" s="36" t="s">
        <v>9034</v>
      </c>
    </row>
    <row r="1134" spans="1:13" hidden="1">
      <c r="A1134" s="42">
        <f t="shared" si="18"/>
        <v>1133</v>
      </c>
      <c r="B1134" s="36" t="s">
        <v>8</v>
      </c>
      <c r="C1134" s="36" t="s">
        <v>9083</v>
      </c>
      <c r="D1134" s="9" t="s">
        <v>7473</v>
      </c>
      <c r="E1134" s="9" t="s">
        <v>9292</v>
      </c>
      <c r="G1134" s="36" t="s">
        <v>15</v>
      </c>
      <c r="H1134" s="36" t="str">
        <f>IFERROR(VLOOKUP(Table2[[#This Row], [Ticket]],Okey!A:B,2,0),"")</f>
        <v>ok</v>
      </c>
      <c r="I1134" s="36" t="s">
        <v>8546</v>
      </c>
      <c r="J1134" s="36" t="s">
        <v>19</v>
      </c>
      <c r="K1134" s="36"/>
      <c r="L1134" s="36"/>
      <c r="M1134" s="36" t="s">
        <v>9034</v>
      </c>
    </row>
    <row r="1135" spans="1:13" hidden="1">
      <c r="A1135" s="42">
        <f t="shared" si="18"/>
        <v>1134</v>
      </c>
      <c r="B1135" s="36" t="s">
        <v>8</v>
      </c>
      <c r="C1135" s="36" t="s">
        <v>9083</v>
      </c>
      <c r="D1135" s="9" t="s">
        <v>7474</v>
      </c>
      <c r="E1135" s="9" t="s">
        <v>9293</v>
      </c>
      <c r="G1135" s="36" t="s">
        <v>15</v>
      </c>
      <c r="H1135" s="36" t="str">
        <f>IFERROR(VLOOKUP(Table2[[#This Row], [Ticket]],Okey!A:B,2,0),"")</f>
        <v>ok</v>
      </c>
      <c r="I1135" s="36" t="s">
        <v>8546</v>
      </c>
      <c r="J1135" s="36" t="s">
        <v>19</v>
      </c>
      <c r="K1135" s="36"/>
      <c r="L1135" s="36"/>
      <c r="M1135" s="36" t="s">
        <v>9034</v>
      </c>
    </row>
    <row r="1136" spans="1:13" hidden="1">
      <c r="A1136" s="42">
        <f t="shared" si="18"/>
        <v>1135</v>
      </c>
      <c r="B1136" s="36" t="s">
        <v>8</v>
      </c>
      <c r="C1136" s="36" t="s">
        <v>9083</v>
      </c>
      <c r="D1136" s="9" t="s">
        <v>7475</v>
      </c>
      <c r="E1136" s="9" t="s">
        <v>9294</v>
      </c>
      <c r="G1136" s="36" t="s">
        <v>15</v>
      </c>
      <c r="H1136" s="36" t="str">
        <f>IFERROR(VLOOKUP(Table2[[#This Row], [Ticket]],Okey!A:B,2,0),"")</f>
        <v>ok</v>
      </c>
      <c r="I1136" s="36" t="s">
        <v>8546</v>
      </c>
      <c r="J1136" s="36" t="s">
        <v>19</v>
      </c>
      <c r="K1136" s="36"/>
      <c r="L1136" s="36"/>
      <c r="M1136" s="36" t="s">
        <v>9034</v>
      </c>
    </row>
    <row r="1137" spans="1:13" hidden="1">
      <c r="A1137" s="42">
        <f t="shared" si="18"/>
        <v>1136</v>
      </c>
      <c r="B1137" s="36" t="s">
        <v>8</v>
      </c>
      <c r="C1137" s="36" t="s">
        <v>9083</v>
      </c>
      <c r="D1137" s="9" t="s">
        <v>7476</v>
      </c>
      <c r="E1137" s="9" t="s">
        <v>9295</v>
      </c>
      <c r="G1137" s="36" t="s">
        <v>15</v>
      </c>
      <c r="H1137" s="36" t="str">
        <f>IFERROR(VLOOKUP(Table2[[#This Row], [Ticket]],Okey!A:B,2,0),"")</f>
        <v>ok</v>
      </c>
      <c r="I1137" s="36" t="s">
        <v>8546</v>
      </c>
      <c r="J1137" s="36" t="s">
        <v>19</v>
      </c>
      <c r="K1137" s="36"/>
      <c r="L1137" s="36"/>
      <c r="M1137" s="36" t="s">
        <v>9034</v>
      </c>
    </row>
    <row r="1138" spans="1:13" hidden="1">
      <c r="A1138" s="42">
        <f t="shared" si="18"/>
        <v>1137</v>
      </c>
      <c r="B1138" s="36" t="s">
        <v>8</v>
      </c>
      <c r="C1138" s="36" t="s">
        <v>9083</v>
      </c>
      <c r="D1138" s="9" t="s">
        <v>7477</v>
      </c>
      <c r="E1138" s="9" t="s">
        <v>9296</v>
      </c>
      <c r="G1138" s="36" t="s">
        <v>15</v>
      </c>
      <c r="H1138" s="36" t="str">
        <f>IFERROR(VLOOKUP(Table2[[#This Row], [Ticket]],Okey!A:B,2,0),"")</f>
        <v>ok</v>
      </c>
      <c r="I1138" s="36" t="s">
        <v>8546</v>
      </c>
      <c r="J1138" s="36" t="s">
        <v>19</v>
      </c>
      <c r="K1138" s="36"/>
      <c r="L1138" s="36"/>
      <c r="M1138" s="36" t="s">
        <v>9034</v>
      </c>
    </row>
    <row r="1139" spans="1:13" hidden="1">
      <c r="A1139" s="42">
        <f t="shared" si="18"/>
        <v>1138</v>
      </c>
      <c r="B1139" s="36" t="s">
        <v>8</v>
      </c>
      <c r="C1139" s="36" t="s">
        <v>9083</v>
      </c>
      <c r="D1139" s="9" t="s">
        <v>7478</v>
      </c>
      <c r="E1139" s="9" t="s">
        <v>9297</v>
      </c>
      <c r="G1139" s="36" t="s">
        <v>15</v>
      </c>
      <c r="H1139" s="36" t="str">
        <f>IFERROR(VLOOKUP(Table2[[#This Row], [Ticket]],Okey!A:B,2,0),"")</f>
        <v>ok</v>
      </c>
      <c r="I1139" s="36" t="s">
        <v>8546</v>
      </c>
      <c r="J1139" s="36" t="s">
        <v>19</v>
      </c>
      <c r="K1139" s="36"/>
      <c r="L1139" s="36"/>
      <c r="M1139" s="36" t="s">
        <v>9034</v>
      </c>
    </row>
    <row r="1140" spans="1:13" hidden="1">
      <c r="A1140" s="42">
        <f t="shared" si="18"/>
        <v>1139</v>
      </c>
      <c r="B1140" s="36" t="s">
        <v>8</v>
      </c>
      <c r="C1140" s="36" t="s">
        <v>9083</v>
      </c>
      <c r="D1140" s="9" t="s">
        <v>7479</v>
      </c>
      <c r="E1140" s="9" t="s">
        <v>9298</v>
      </c>
      <c r="G1140" s="36" t="s">
        <v>15</v>
      </c>
      <c r="H1140" s="36" t="str">
        <f>IFERROR(VLOOKUP(Table2[[#This Row], [Ticket]],Okey!A:B,2,0),"")</f>
        <v>ok</v>
      </c>
      <c r="I1140" s="36" t="s">
        <v>8546</v>
      </c>
      <c r="J1140" s="36" t="s">
        <v>19</v>
      </c>
      <c r="K1140" s="36"/>
      <c r="L1140" s="36"/>
      <c r="M1140" s="36" t="s">
        <v>9034</v>
      </c>
    </row>
    <row r="1141" spans="1:13" hidden="1">
      <c r="A1141" s="42">
        <f t="shared" si="18"/>
        <v>1140</v>
      </c>
      <c r="B1141" s="36" t="s">
        <v>8</v>
      </c>
      <c r="C1141" s="36" t="s">
        <v>9083</v>
      </c>
      <c r="D1141" s="9" t="s">
        <v>7493</v>
      </c>
      <c r="E1141" s="9" t="s">
        <v>9299</v>
      </c>
      <c r="G1141" s="36" t="s">
        <v>15</v>
      </c>
      <c r="H1141" s="36" t="str">
        <f>IFERROR(VLOOKUP(Table2[[#This Row], [Ticket]],Okey!A:B,2,0),"")</f>
        <v>ok</v>
      </c>
      <c r="I1141" s="36" t="s">
        <v>8546</v>
      </c>
      <c r="J1141" s="36" t="s">
        <v>19</v>
      </c>
      <c r="K1141" s="36"/>
      <c r="L1141" s="36"/>
      <c r="M1141" s="36" t="s">
        <v>9034</v>
      </c>
    </row>
    <row r="1142" spans="1:13" hidden="1">
      <c r="A1142" s="42">
        <f t="shared" si="18"/>
        <v>1141</v>
      </c>
      <c r="B1142" s="36" t="s">
        <v>8</v>
      </c>
      <c r="C1142" s="36" t="s">
        <v>9083</v>
      </c>
      <c r="D1142" s="9" t="s">
        <v>7494</v>
      </c>
      <c r="E1142" s="9" t="s">
        <v>9300</v>
      </c>
      <c r="G1142" s="36" t="s">
        <v>15</v>
      </c>
      <c r="H1142" s="36" t="str">
        <f>IFERROR(VLOOKUP(Table2[[#This Row], [Ticket]],Okey!A:B,2,0),"")</f>
        <v>ok</v>
      </c>
      <c r="I1142" s="36" t="s">
        <v>8546</v>
      </c>
      <c r="J1142" s="36" t="s">
        <v>19</v>
      </c>
      <c r="K1142" s="36"/>
      <c r="L1142" s="36"/>
      <c r="M1142" s="36" t="s">
        <v>9034</v>
      </c>
    </row>
    <row r="1143" spans="1:13" hidden="1">
      <c r="A1143" s="42">
        <f t="shared" si="18"/>
        <v>1142</v>
      </c>
      <c r="B1143" s="36" t="s">
        <v>8</v>
      </c>
      <c r="C1143" s="36" t="s">
        <v>9083</v>
      </c>
      <c r="D1143" s="9" t="s">
        <v>7495</v>
      </c>
      <c r="E1143" s="9" t="s">
        <v>9301</v>
      </c>
      <c r="G1143" s="36" t="s">
        <v>15</v>
      </c>
      <c r="H1143" s="36" t="str">
        <f>IFERROR(VLOOKUP(Table2[[#This Row], [Ticket]],Okey!A:B,2,0),"")</f>
        <v>ok</v>
      </c>
      <c r="I1143" s="36" t="s">
        <v>8546</v>
      </c>
      <c r="J1143" s="36" t="s">
        <v>19</v>
      </c>
      <c r="K1143" s="36"/>
      <c r="L1143" s="36"/>
      <c r="M1143" s="36" t="s">
        <v>9034</v>
      </c>
    </row>
    <row r="1144" spans="1:13" hidden="1">
      <c r="A1144" s="42">
        <f t="shared" si="18"/>
        <v>1143</v>
      </c>
      <c r="B1144" s="36" t="s">
        <v>8</v>
      </c>
      <c r="C1144" s="36" t="s">
        <v>9083</v>
      </c>
      <c r="D1144" s="9" t="s">
        <v>7496</v>
      </c>
      <c r="E1144" s="9" t="s">
        <v>9302</v>
      </c>
      <c r="G1144" s="36" t="s">
        <v>15</v>
      </c>
      <c r="H1144" s="36" t="str">
        <f>IFERROR(VLOOKUP(Table2[[#This Row], [Ticket]],Okey!A:B,2,0),"")</f>
        <v>ok</v>
      </c>
      <c r="I1144" s="36" t="s">
        <v>8546</v>
      </c>
      <c r="J1144" s="36" t="s">
        <v>19</v>
      </c>
      <c r="K1144" s="36"/>
      <c r="L1144" s="36"/>
      <c r="M1144" s="36" t="s">
        <v>9034</v>
      </c>
    </row>
    <row r="1145" spans="1:13" hidden="1">
      <c r="A1145" s="42">
        <f t="shared" si="18"/>
        <v>1144</v>
      </c>
      <c r="B1145" s="36" t="s">
        <v>8</v>
      </c>
      <c r="C1145" s="36" t="s">
        <v>9083</v>
      </c>
      <c r="D1145" s="9" t="s">
        <v>7497</v>
      </c>
      <c r="E1145" s="9" t="s">
        <v>9303</v>
      </c>
      <c r="G1145" s="36" t="s">
        <v>15</v>
      </c>
      <c r="H1145" s="36" t="str">
        <f>IFERROR(VLOOKUP(Table2[[#This Row], [Ticket]],Okey!A:B,2,0),"")</f>
        <v>ok</v>
      </c>
      <c r="I1145" s="36" t="s">
        <v>8546</v>
      </c>
      <c r="J1145" s="36" t="s">
        <v>19</v>
      </c>
      <c r="K1145" s="36"/>
      <c r="L1145" s="36"/>
      <c r="M1145" s="36" t="s">
        <v>9034</v>
      </c>
    </row>
    <row r="1146" spans="1:13" hidden="1">
      <c r="A1146" s="42">
        <f t="shared" si="18"/>
        <v>1145</v>
      </c>
      <c r="B1146" s="36" t="s">
        <v>8</v>
      </c>
      <c r="C1146" s="36" t="s">
        <v>9083</v>
      </c>
      <c r="D1146" s="9" t="s">
        <v>7498</v>
      </c>
      <c r="E1146" s="9" t="s">
        <v>9304</v>
      </c>
      <c r="G1146" s="36" t="s">
        <v>15</v>
      </c>
      <c r="H1146" s="36" t="str">
        <f>IFERROR(VLOOKUP(Table2[[#This Row], [Ticket]],Okey!A:B,2,0),"")</f>
        <v>ok</v>
      </c>
      <c r="I1146" s="36" t="s">
        <v>8546</v>
      </c>
      <c r="J1146" s="36" t="s">
        <v>19</v>
      </c>
      <c r="K1146" s="36"/>
      <c r="L1146" s="36"/>
      <c r="M1146" s="36" t="s">
        <v>9034</v>
      </c>
    </row>
    <row r="1147" spans="1:13" hidden="1">
      <c r="A1147" s="42">
        <f t="shared" si="18"/>
        <v>1146</v>
      </c>
      <c r="B1147" s="36" t="s">
        <v>8</v>
      </c>
      <c r="C1147" s="36" t="s">
        <v>9083</v>
      </c>
      <c r="D1147" s="9" t="s">
        <v>7499</v>
      </c>
      <c r="E1147" s="9" t="s">
        <v>9305</v>
      </c>
      <c r="G1147" s="36" t="s">
        <v>15</v>
      </c>
      <c r="H1147" s="36" t="str">
        <f>IFERROR(VLOOKUP(Table2[[#This Row], [Ticket]],Okey!A:B,2,0),"")</f>
        <v>ok</v>
      </c>
      <c r="I1147" s="36" t="s">
        <v>8546</v>
      </c>
      <c r="J1147" s="36" t="s">
        <v>19</v>
      </c>
      <c r="K1147" s="36"/>
      <c r="L1147" s="36"/>
      <c r="M1147" s="36" t="s">
        <v>9034</v>
      </c>
    </row>
    <row r="1148" spans="1:13" hidden="1">
      <c r="A1148" s="42">
        <f t="shared" si="18"/>
        <v>1147</v>
      </c>
      <c r="B1148" s="36" t="s">
        <v>8</v>
      </c>
      <c r="C1148" s="36" t="s">
        <v>9083</v>
      </c>
      <c r="D1148" s="9" t="s">
        <v>7513</v>
      </c>
      <c r="E1148" s="9" t="s">
        <v>9306</v>
      </c>
      <c r="G1148" s="36" t="s">
        <v>15</v>
      </c>
      <c r="H1148" s="36" t="str">
        <f>IFERROR(VLOOKUP(Table2[[#This Row], [Ticket]],Okey!A:B,2,0),"")</f>
        <v>ok</v>
      </c>
      <c r="I1148" s="36" t="s">
        <v>8546</v>
      </c>
      <c r="J1148" s="36" t="s">
        <v>19</v>
      </c>
      <c r="K1148" s="36"/>
      <c r="L1148" s="36"/>
      <c r="M1148" s="36" t="s">
        <v>9034</v>
      </c>
    </row>
    <row r="1149" spans="1:13" hidden="1">
      <c r="A1149" s="42">
        <f t="shared" si="18"/>
        <v>1148</v>
      </c>
      <c r="B1149" s="36" t="s">
        <v>8</v>
      </c>
      <c r="C1149" s="36" t="s">
        <v>9083</v>
      </c>
      <c r="D1149" s="9" t="s">
        <v>7514</v>
      </c>
      <c r="E1149" s="9" t="s">
        <v>9307</v>
      </c>
      <c r="G1149" s="36" t="s">
        <v>15</v>
      </c>
      <c r="H1149" s="36" t="str">
        <f>IFERROR(VLOOKUP(Table2[[#This Row], [Ticket]],Okey!A:B,2,0),"")</f>
        <v>ok</v>
      </c>
      <c r="I1149" s="36" t="s">
        <v>8546</v>
      </c>
      <c r="J1149" s="36" t="s">
        <v>19</v>
      </c>
      <c r="K1149" s="36"/>
      <c r="L1149" s="36"/>
      <c r="M1149" s="36" t="s">
        <v>9034</v>
      </c>
    </row>
    <row r="1150" spans="1:13" hidden="1">
      <c r="A1150" s="42">
        <f t="shared" si="18"/>
        <v>1149</v>
      </c>
      <c r="B1150" s="36" t="s">
        <v>8</v>
      </c>
      <c r="C1150" s="36" t="s">
        <v>9083</v>
      </c>
      <c r="D1150" s="9" t="s">
        <v>7515</v>
      </c>
      <c r="E1150" s="9" t="s">
        <v>9308</v>
      </c>
      <c r="G1150" s="36" t="s">
        <v>15</v>
      </c>
      <c r="H1150" s="36" t="str">
        <f>IFERROR(VLOOKUP(Table2[[#This Row], [Ticket]],Okey!A:B,2,0),"")</f>
        <v>ok</v>
      </c>
      <c r="I1150" s="36" t="s">
        <v>8546</v>
      </c>
      <c r="J1150" s="36" t="s">
        <v>19</v>
      </c>
      <c r="K1150" s="36"/>
      <c r="L1150" s="36"/>
      <c r="M1150" s="36" t="s">
        <v>9034</v>
      </c>
    </row>
    <row r="1151" spans="1:13" hidden="1">
      <c r="A1151" s="42">
        <f t="shared" si="18"/>
        <v>1150</v>
      </c>
      <c r="B1151" s="36" t="s">
        <v>8</v>
      </c>
      <c r="C1151" s="36" t="s">
        <v>9083</v>
      </c>
      <c r="D1151" s="9" t="s">
        <v>7516</v>
      </c>
      <c r="E1151" s="9" t="s">
        <v>9309</v>
      </c>
      <c r="G1151" s="36" t="s">
        <v>15</v>
      </c>
      <c r="H1151" s="36" t="str">
        <f>IFERROR(VLOOKUP(Table2[[#This Row], [Ticket]],Okey!A:B,2,0),"")</f>
        <v>ok</v>
      </c>
      <c r="I1151" s="36" t="s">
        <v>8546</v>
      </c>
      <c r="J1151" s="36" t="s">
        <v>19</v>
      </c>
      <c r="K1151" s="36"/>
      <c r="L1151" s="36"/>
      <c r="M1151" s="36" t="s">
        <v>9034</v>
      </c>
    </row>
    <row r="1152" spans="1:13" hidden="1">
      <c r="A1152" s="42">
        <f t="shared" si="18"/>
        <v>1151</v>
      </c>
      <c r="B1152" s="36" t="s">
        <v>8</v>
      </c>
      <c r="C1152" s="36" t="s">
        <v>9083</v>
      </c>
      <c r="D1152" s="9" t="s">
        <v>7517</v>
      </c>
      <c r="E1152" s="9" t="s">
        <v>9310</v>
      </c>
      <c r="G1152" s="36" t="s">
        <v>15</v>
      </c>
      <c r="H1152" s="36" t="str">
        <f>IFERROR(VLOOKUP(Table2[[#This Row], [Ticket]],Okey!A:B,2,0),"")</f>
        <v>ok</v>
      </c>
      <c r="I1152" s="36" t="s">
        <v>8546</v>
      </c>
      <c r="J1152" s="36" t="s">
        <v>19</v>
      </c>
      <c r="K1152" s="36"/>
      <c r="L1152" s="36"/>
      <c r="M1152" s="36" t="s">
        <v>9034</v>
      </c>
    </row>
    <row r="1153" spans="1:13" hidden="1">
      <c r="A1153" s="42">
        <f t="shared" si="18"/>
        <v>1152</v>
      </c>
      <c r="B1153" s="36" t="s">
        <v>8</v>
      </c>
      <c r="C1153" s="36" t="s">
        <v>9083</v>
      </c>
      <c r="D1153" s="9" t="s">
        <v>7518</v>
      </c>
      <c r="E1153" s="9" t="s">
        <v>9311</v>
      </c>
      <c r="G1153" s="36" t="s">
        <v>15</v>
      </c>
      <c r="H1153" s="36" t="str">
        <f>IFERROR(VLOOKUP(Table2[[#This Row], [Ticket]],Okey!A:B,2,0),"")</f>
        <v>ok</v>
      </c>
      <c r="I1153" s="36" t="s">
        <v>8546</v>
      </c>
      <c r="J1153" s="36" t="s">
        <v>19</v>
      </c>
      <c r="K1153" s="36"/>
      <c r="L1153" s="36"/>
      <c r="M1153" s="36" t="s">
        <v>9034</v>
      </c>
    </row>
    <row r="1154" spans="1:13" hidden="1">
      <c r="A1154" s="42">
        <f t="shared" si="18"/>
        <v>1153</v>
      </c>
      <c r="B1154" s="36" t="s">
        <v>8</v>
      </c>
      <c r="C1154" s="36" t="s">
        <v>9083</v>
      </c>
      <c r="D1154" s="9" t="s">
        <v>7519</v>
      </c>
      <c r="E1154" s="9" t="s">
        <v>9312</v>
      </c>
      <c r="G1154" s="36" t="s">
        <v>15</v>
      </c>
      <c r="H1154" s="36" t="str">
        <f>IFERROR(VLOOKUP(Table2[[#This Row], [Ticket]],Okey!A:B,2,0),"")</f>
        <v>ok</v>
      </c>
      <c r="I1154" s="36" t="s">
        <v>8546</v>
      </c>
      <c r="J1154" s="36" t="s">
        <v>19</v>
      </c>
      <c r="K1154" s="36"/>
      <c r="L1154" s="36"/>
      <c r="M1154" s="36" t="s">
        <v>9034</v>
      </c>
    </row>
    <row r="1155" spans="1:13" hidden="1">
      <c r="A1155" s="42">
        <f t="shared" si="18"/>
        <v>1154</v>
      </c>
      <c r="B1155" s="36" t="s">
        <v>8</v>
      </c>
      <c r="C1155" s="36" t="s">
        <v>9083</v>
      </c>
      <c r="D1155" s="9" t="s">
        <v>7533</v>
      </c>
      <c r="E1155" s="9" t="s">
        <v>9313</v>
      </c>
      <c r="G1155" s="36" t="s">
        <v>15</v>
      </c>
      <c r="H1155" s="36" t="str">
        <f>IFERROR(VLOOKUP(Table2[[#This Row], [Ticket]],Okey!A:B,2,0),"")</f>
        <v>ok</v>
      </c>
      <c r="I1155" s="36" t="s">
        <v>8546</v>
      </c>
      <c r="J1155" s="36" t="s">
        <v>19</v>
      </c>
      <c r="K1155" s="36"/>
      <c r="L1155" s="36"/>
      <c r="M1155" s="36" t="s">
        <v>9034</v>
      </c>
    </row>
    <row r="1156" spans="1:13" hidden="1">
      <c r="A1156" s="42">
        <f t="shared" si="18"/>
        <v>1155</v>
      </c>
      <c r="B1156" s="36" t="s">
        <v>8</v>
      </c>
      <c r="C1156" s="36" t="s">
        <v>9083</v>
      </c>
      <c r="D1156" s="9" t="s">
        <v>7534</v>
      </c>
      <c r="E1156" s="9" t="s">
        <v>9314</v>
      </c>
      <c r="G1156" s="36" t="s">
        <v>15</v>
      </c>
      <c r="H1156" s="36" t="str">
        <f>IFERROR(VLOOKUP(Table2[[#This Row], [Ticket]],Okey!A:B,2,0),"")</f>
        <v>ok</v>
      </c>
      <c r="I1156" s="36" t="s">
        <v>8546</v>
      </c>
      <c r="J1156" s="36" t="s">
        <v>19</v>
      </c>
      <c r="K1156" s="36"/>
      <c r="L1156" s="36"/>
      <c r="M1156" s="36" t="s">
        <v>9034</v>
      </c>
    </row>
    <row r="1157" spans="1:13" hidden="1">
      <c r="A1157" s="42">
        <f t="shared" si="18"/>
        <v>1156</v>
      </c>
      <c r="B1157" s="36" t="s">
        <v>8</v>
      </c>
      <c r="C1157" s="36" t="s">
        <v>9083</v>
      </c>
      <c r="D1157" s="9" t="s">
        <v>7535</v>
      </c>
      <c r="E1157" s="9" t="s">
        <v>9315</v>
      </c>
      <c r="G1157" s="36" t="s">
        <v>15</v>
      </c>
      <c r="H1157" s="36" t="str">
        <f>IFERROR(VLOOKUP(Table2[[#This Row], [Ticket]],Okey!A:B,2,0),"")</f>
        <v>ok</v>
      </c>
      <c r="I1157" s="36" t="s">
        <v>8546</v>
      </c>
      <c r="J1157" s="36" t="s">
        <v>19</v>
      </c>
      <c r="K1157" s="36"/>
      <c r="L1157" s="36"/>
      <c r="M1157" s="36" t="s">
        <v>9034</v>
      </c>
    </row>
    <row r="1158" spans="1:13" hidden="1">
      <c r="A1158" s="42">
        <f t="shared" si="18"/>
        <v>1157</v>
      </c>
      <c r="B1158" s="36" t="s">
        <v>8</v>
      </c>
      <c r="C1158" s="36" t="s">
        <v>9083</v>
      </c>
      <c r="D1158" s="9" t="s">
        <v>7536</v>
      </c>
      <c r="E1158" s="9" t="s">
        <v>9316</v>
      </c>
      <c r="G1158" s="36" t="s">
        <v>15</v>
      </c>
      <c r="H1158" s="36" t="str">
        <f>IFERROR(VLOOKUP(Table2[[#This Row], [Ticket]],Okey!A:B,2,0),"")</f>
        <v>ok</v>
      </c>
      <c r="I1158" s="36" t="s">
        <v>8546</v>
      </c>
      <c r="J1158" s="36" t="s">
        <v>19</v>
      </c>
      <c r="K1158" s="36"/>
      <c r="L1158" s="36"/>
      <c r="M1158" s="36" t="s">
        <v>9034</v>
      </c>
    </row>
    <row r="1159" spans="1:13" hidden="1">
      <c r="A1159" s="42">
        <f t="shared" si="18"/>
        <v>1158</v>
      </c>
      <c r="B1159" s="36" t="s">
        <v>8</v>
      </c>
      <c r="C1159" s="36" t="s">
        <v>9083</v>
      </c>
      <c r="D1159" s="9" t="s">
        <v>7537</v>
      </c>
      <c r="E1159" s="9" t="s">
        <v>9317</v>
      </c>
      <c r="G1159" s="36" t="s">
        <v>15</v>
      </c>
      <c r="H1159" s="36" t="str">
        <f>IFERROR(VLOOKUP(Table2[[#This Row], [Ticket]],Okey!A:B,2,0),"")</f>
        <v>ok</v>
      </c>
      <c r="I1159" s="36" t="s">
        <v>8546</v>
      </c>
      <c r="J1159" s="36" t="s">
        <v>19</v>
      </c>
      <c r="K1159" s="36"/>
      <c r="L1159" s="36"/>
      <c r="M1159" s="36" t="s">
        <v>9034</v>
      </c>
    </row>
    <row r="1160" spans="1:13" hidden="1">
      <c r="A1160" s="42">
        <f t="shared" si="18"/>
        <v>1159</v>
      </c>
      <c r="B1160" s="36" t="s">
        <v>8</v>
      </c>
      <c r="C1160" s="36" t="s">
        <v>9083</v>
      </c>
      <c r="D1160" s="9" t="s">
        <v>7538</v>
      </c>
      <c r="E1160" s="9" t="s">
        <v>9318</v>
      </c>
      <c r="G1160" s="36" t="s">
        <v>15</v>
      </c>
      <c r="H1160" s="36" t="str">
        <f>IFERROR(VLOOKUP(Table2[[#This Row], [Ticket]],Okey!A:B,2,0),"")</f>
        <v>ok</v>
      </c>
      <c r="I1160" s="36" t="s">
        <v>8546</v>
      </c>
      <c r="J1160" s="36" t="s">
        <v>19</v>
      </c>
      <c r="K1160" s="36"/>
      <c r="L1160" s="36"/>
      <c r="M1160" s="36" t="s">
        <v>9034</v>
      </c>
    </row>
    <row r="1161" spans="1:13" hidden="1">
      <c r="A1161" s="42">
        <f t="shared" si="18"/>
        <v>1160</v>
      </c>
      <c r="B1161" s="36" t="s">
        <v>8</v>
      </c>
      <c r="C1161" s="36" t="s">
        <v>9083</v>
      </c>
      <c r="D1161" s="9" t="s">
        <v>7539</v>
      </c>
      <c r="E1161" s="9" t="s">
        <v>9319</v>
      </c>
      <c r="G1161" s="36" t="s">
        <v>15</v>
      </c>
      <c r="H1161" s="36" t="str">
        <f>IFERROR(VLOOKUP(Table2[[#This Row], [Ticket]],Okey!A:B,2,0),"")</f>
        <v>ok</v>
      </c>
      <c r="I1161" s="36" t="s">
        <v>8546</v>
      </c>
      <c r="J1161" s="36" t="s">
        <v>19</v>
      </c>
      <c r="K1161" s="36"/>
      <c r="L1161" s="36"/>
      <c r="M1161" s="36" t="s">
        <v>9034</v>
      </c>
    </row>
    <row r="1162" spans="1:13" hidden="1">
      <c r="A1162" s="42">
        <f t="shared" si="18"/>
        <v>1161</v>
      </c>
      <c r="B1162" s="36" t="s">
        <v>8</v>
      </c>
      <c r="C1162" s="36" t="s">
        <v>9083</v>
      </c>
      <c r="D1162" s="9" t="s">
        <v>7553</v>
      </c>
      <c r="E1162" s="9" t="s">
        <v>9320</v>
      </c>
      <c r="G1162" s="36" t="s">
        <v>15</v>
      </c>
      <c r="H1162" s="36" t="str">
        <f>IFERROR(VLOOKUP(Table2[[#This Row], [Ticket]],Okey!A:B,2,0),"")</f>
        <v>ok</v>
      </c>
      <c r="I1162" s="36" t="s">
        <v>8546</v>
      </c>
      <c r="J1162" s="36" t="s">
        <v>19</v>
      </c>
      <c r="K1162" s="36"/>
      <c r="L1162" s="36"/>
      <c r="M1162" s="36" t="s">
        <v>9034</v>
      </c>
    </row>
    <row r="1163" spans="1:13" hidden="1">
      <c r="A1163" s="42">
        <f t="shared" si="18"/>
        <v>1162</v>
      </c>
      <c r="B1163" s="36" t="s">
        <v>8</v>
      </c>
      <c r="C1163" s="36" t="s">
        <v>9083</v>
      </c>
      <c r="D1163" s="9" t="s">
        <v>7554</v>
      </c>
      <c r="E1163" s="9" t="s">
        <v>9321</v>
      </c>
      <c r="G1163" s="36" t="s">
        <v>15</v>
      </c>
      <c r="H1163" s="36" t="str">
        <f>IFERROR(VLOOKUP(Table2[[#This Row], [Ticket]],Okey!A:B,2,0),"")</f>
        <v>ok</v>
      </c>
      <c r="I1163" s="36" t="s">
        <v>8546</v>
      </c>
      <c r="J1163" s="36" t="s">
        <v>19</v>
      </c>
      <c r="K1163" s="36"/>
      <c r="L1163" s="36"/>
      <c r="M1163" s="36" t="s">
        <v>9034</v>
      </c>
    </row>
    <row r="1164" spans="1:13" hidden="1">
      <c r="A1164" s="42">
        <f t="shared" si="18"/>
        <v>1163</v>
      </c>
      <c r="B1164" s="36" t="s">
        <v>8</v>
      </c>
      <c r="C1164" s="36" t="s">
        <v>9083</v>
      </c>
      <c r="D1164" s="9" t="s">
        <v>7555</v>
      </c>
      <c r="E1164" s="9" t="s">
        <v>9322</v>
      </c>
      <c r="G1164" s="36" t="s">
        <v>15</v>
      </c>
      <c r="H1164" s="36" t="str">
        <f>IFERROR(VLOOKUP(Table2[[#This Row], [Ticket]],Okey!A:B,2,0),"")</f>
        <v>ok</v>
      </c>
      <c r="I1164" s="36" t="s">
        <v>8546</v>
      </c>
      <c r="J1164" s="36" t="s">
        <v>19</v>
      </c>
      <c r="K1164" s="36"/>
      <c r="L1164" s="36"/>
      <c r="M1164" s="36" t="s">
        <v>9034</v>
      </c>
    </row>
    <row r="1165" spans="1:13" hidden="1">
      <c r="A1165" s="42">
        <f t="shared" si="18"/>
        <v>1164</v>
      </c>
      <c r="B1165" s="36" t="s">
        <v>8</v>
      </c>
      <c r="C1165" s="36" t="s">
        <v>9083</v>
      </c>
      <c r="D1165" s="9" t="s">
        <v>7556</v>
      </c>
      <c r="E1165" s="9" t="s">
        <v>9323</v>
      </c>
      <c r="G1165" s="36" t="s">
        <v>15</v>
      </c>
      <c r="H1165" s="36" t="str">
        <f>IFERROR(VLOOKUP(Table2[[#This Row], [Ticket]],Okey!A:B,2,0),"")</f>
        <v>ok</v>
      </c>
      <c r="I1165" s="36" t="s">
        <v>8546</v>
      </c>
      <c r="J1165" s="36" t="s">
        <v>19</v>
      </c>
      <c r="K1165" s="36"/>
      <c r="L1165" s="36"/>
      <c r="M1165" s="36" t="s">
        <v>9034</v>
      </c>
    </row>
    <row r="1166" spans="1:13" hidden="1">
      <c r="A1166" s="42">
        <f t="shared" si="18"/>
        <v>1165</v>
      </c>
      <c r="B1166" s="36" t="s">
        <v>8</v>
      </c>
      <c r="C1166" s="36" t="s">
        <v>9083</v>
      </c>
      <c r="D1166" s="9" t="s">
        <v>7557</v>
      </c>
      <c r="E1166" s="9" t="s">
        <v>9324</v>
      </c>
      <c r="G1166" s="36" t="s">
        <v>15</v>
      </c>
      <c r="H1166" s="36" t="str">
        <f>IFERROR(VLOOKUP(Table2[[#This Row], [Ticket]],Okey!A:B,2,0),"")</f>
        <v>ok</v>
      </c>
      <c r="I1166" s="36" t="s">
        <v>8546</v>
      </c>
      <c r="J1166" s="36" t="s">
        <v>19</v>
      </c>
      <c r="K1166" s="36"/>
      <c r="L1166" s="36"/>
      <c r="M1166" s="36" t="s">
        <v>9034</v>
      </c>
    </row>
    <row r="1167" spans="1:13" hidden="1">
      <c r="A1167" s="42">
        <f t="shared" si="18"/>
        <v>1166</v>
      </c>
      <c r="B1167" s="36" t="s">
        <v>8</v>
      </c>
      <c r="C1167" s="36" t="s">
        <v>9083</v>
      </c>
      <c r="D1167" s="9" t="s">
        <v>7558</v>
      </c>
      <c r="E1167" s="9" t="s">
        <v>9325</v>
      </c>
      <c r="G1167" s="36" t="s">
        <v>15</v>
      </c>
      <c r="H1167" s="36" t="str">
        <f>IFERROR(VLOOKUP(Table2[[#This Row], [Ticket]],Okey!A:B,2,0),"")</f>
        <v>ok</v>
      </c>
      <c r="I1167" s="36" t="s">
        <v>8546</v>
      </c>
      <c r="J1167" s="36" t="s">
        <v>19</v>
      </c>
      <c r="K1167" s="36"/>
      <c r="L1167" s="36"/>
      <c r="M1167" s="36" t="s">
        <v>9034</v>
      </c>
    </row>
    <row r="1168" spans="1:13" hidden="1">
      <c r="A1168" s="42">
        <f t="shared" si="18"/>
        <v>1167</v>
      </c>
      <c r="B1168" s="36" t="s">
        <v>8</v>
      </c>
      <c r="C1168" s="36" t="s">
        <v>9083</v>
      </c>
      <c r="D1168" s="9" t="s">
        <v>7559</v>
      </c>
      <c r="E1168" s="9" t="s">
        <v>9326</v>
      </c>
      <c r="G1168" s="36" t="s">
        <v>15</v>
      </c>
      <c r="H1168" s="36" t="str">
        <f>IFERROR(VLOOKUP(Table2[[#This Row], [Ticket]],Okey!A:B,2,0),"")</f>
        <v>ok</v>
      </c>
      <c r="I1168" s="36" t="s">
        <v>8546</v>
      </c>
      <c r="J1168" s="36" t="s">
        <v>19</v>
      </c>
      <c r="K1168" s="36"/>
      <c r="L1168" s="36"/>
      <c r="M1168" s="36" t="s">
        <v>9034</v>
      </c>
    </row>
    <row r="1169" spans="1:13" hidden="1">
      <c r="A1169" s="42">
        <f t="shared" si="18"/>
        <v>1168</v>
      </c>
      <c r="B1169" s="36" t="s">
        <v>8</v>
      </c>
      <c r="C1169" s="36" t="s">
        <v>9083</v>
      </c>
      <c r="D1169" s="9" t="s">
        <v>7573</v>
      </c>
      <c r="E1169" s="9" t="s">
        <v>9327</v>
      </c>
      <c r="G1169" s="36" t="s">
        <v>15</v>
      </c>
      <c r="H1169" s="36" t="str">
        <f>IFERROR(VLOOKUP(Table2[[#This Row], [Ticket]],Okey!A:B,2,0),"")</f>
        <v>ok</v>
      </c>
      <c r="I1169" s="36" t="s">
        <v>8546</v>
      </c>
      <c r="J1169" s="36" t="s">
        <v>19</v>
      </c>
      <c r="K1169" s="36"/>
      <c r="L1169" s="36"/>
      <c r="M1169" s="36" t="s">
        <v>9034</v>
      </c>
    </row>
    <row r="1170" spans="1:13" hidden="1">
      <c r="A1170" s="42">
        <f t="shared" si="18"/>
        <v>1169</v>
      </c>
      <c r="B1170" s="36" t="s">
        <v>8</v>
      </c>
      <c r="C1170" s="36" t="s">
        <v>9083</v>
      </c>
      <c r="D1170" s="9" t="s">
        <v>7574</v>
      </c>
      <c r="E1170" s="9" t="s">
        <v>9328</v>
      </c>
      <c r="G1170" s="36" t="s">
        <v>15</v>
      </c>
      <c r="H1170" s="36" t="str">
        <f>IFERROR(VLOOKUP(Table2[[#This Row], [Ticket]],Okey!A:B,2,0),"")</f>
        <v>ok</v>
      </c>
      <c r="I1170" s="36" t="s">
        <v>8546</v>
      </c>
      <c r="J1170" s="36" t="s">
        <v>19</v>
      </c>
      <c r="K1170" s="36"/>
      <c r="L1170" s="36"/>
      <c r="M1170" s="36" t="s">
        <v>9034</v>
      </c>
    </row>
    <row r="1171" spans="1:13" hidden="1">
      <c r="A1171" s="42">
        <f t="shared" si="18"/>
        <v>1170</v>
      </c>
      <c r="B1171" s="36" t="s">
        <v>8</v>
      </c>
      <c r="C1171" s="36" t="s">
        <v>9083</v>
      </c>
      <c r="D1171" s="9" t="s">
        <v>7575</v>
      </c>
      <c r="E1171" s="9" t="s">
        <v>9329</v>
      </c>
      <c r="G1171" s="36" t="s">
        <v>15</v>
      </c>
      <c r="H1171" s="36" t="str">
        <f>IFERROR(VLOOKUP(Table2[[#This Row], [Ticket]],Okey!A:B,2,0),"")</f>
        <v>ok</v>
      </c>
      <c r="I1171" s="36" t="s">
        <v>8546</v>
      </c>
      <c r="J1171" s="36" t="s">
        <v>19</v>
      </c>
      <c r="K1171" s="36"/>
      <c r="L1171" s="36"/>
      <c r="M1171" s="36" t="s">
        <v>9034</v>
      </c>
    </row>
    <row r="1172" spans="1:13" hidden="1">
      <c r="A1172" s="42">
        <f t="shared" ref="A1172:A1235" si="19">1+A1171</f>
        <v>1171</v>
      </c>
      <c r="B1172" s="36" t="s">
        <v>8</v>
      </c>
      <c r="C1172" s="36" t="s">
        <v>9083</v>
      </c>
      <c r="D1172" s="9" t="s">
        <v>7576</v>
      </c>
      <c r="E1172" s="9" t="s">
        <v>9330</v>
      </c>
      <c r="G1172" s="36" t="s">
        <v>15</v>
      </c>
      <c r="H1172" s="36" t="str">
        <f>IFERROR(VLOOKUP(Table2[[#This Row], [Ticket]],Okey!A:B,2,0),"")</f>
        <v>ok</v>
      </c>
      <c r="I1172" s="36" t="s">
        <v>8546</v>
      </c>
      <c r="J1172" s="36" t="s">
        <v>19</v>
      </c>
      <c r="K1172" s="36"/>
      <c r="L1172" s="36"/>
      <c r="M1172" s="36" t="s">
        <v>9034</v>
      </c>
    </row>
    <row r="1173" spans="1:13" hidden="1">
      <c r="A1173" s="42">
        <f t="shared" si="19"/>
        <v>1172</v>
      </c>
      <c r="B1173" s="36" t="s">
        <v>8</v>
      </c>
      <c r="C1173" s="36" t="s">
        <v>9083</v>
      </c>
      <c r="D1173" s="9" t="s">
        <v>7577</v>
      </c>
      <c r="E1173" s="9" t="s">
        <v>9331</v>
      </c>
      <c r="G1173" s="36" t="s">
        <v>15</v>
      </c>
      <c r="H1173" s="36" t="str">
        <f>IFERROR(VLOOKUP(Table2[[#This Row], [Ticket]],Okey!A:B,2,0),"")</f>
        <v>ok</v>
      </c>
      <c r="I1173" s="36" t="s">
        <v>8546</v>
      </c>
      <c r="J1173" s="36" t="s">
        <v>19</v>
      </c>
      <c r="K1173" s="36"/>
      <c r="L1173" s="36"/>
      <c r="M1173" s="36" t="s">
        <v>9034</v>
      </c>
    </row>
    <row r="1174" spans="1:13" hidden="1">
      <c r="A1174" s="42">
        <f t="shared" si="19"/>
        <v>1173</v>
      </c>
      <c r="B1174" s="36" t="s">
        <v>8</v>
      </c>
      <c r="C1174" s="36" t="s">
        <v>9083</v>
      </c>
      <c r="D1174" s="9" t="s">
        <v>7578</v>
      </c>
      <c r="E1174" s="9" t="s">
        <v>9332</v>
      </c>
      <c r="G1174" s="36" t="s">
        <v>15</v>
      </c>
      <c r="H1174" s="36" t="str">
        <f>IFERROR(VLOOKUP(Table2[[#This Row], [Ticket]],Okey!A:B,2,0),"")</f>
        <v>ok</v>
      </c>
      <c r="I1174" s="36" t="s">
        <v>8546</v>
      </c>
      <c r="J1174" s="36" t="s">
        <v>19</v>
      </c>
      <c r="K1174" s="36"/>
      <c r="L1174" s="36"/>
      <c r="M1174" s="36" t="s">
        <v>9034</v>
      </c>
    </row>
    <row r="1175" spans="1:13" hidden="1">
      <c r="A1175" s="42">
        <f t="shared" si="19"/>
        <v>1174</v>
      </c>
      <c r="B1175" s="36" t="s">
        <v>8</v>
      </c>
      <c r="C1175" s="36" t="s">
        <v>9083</v>
      </c>
      <c r="D1175" s="9" t="s">
        <v>7579</v>
      </c>
      <c r="E1175" s="9" t="s">
        <v>9333</v>
      </c>
      <c r="G1175" s="36" t="s">
        <v>15</v>
      </c>
      <c r="H1175" s="36" t="str">
        <f>IFERROR(VLOOKUP(Table2[[#This Row], [Ticket]],Okey!A:B,2,0),"")</f>
        <v>ok</v>
      </c>
      <c r="I1175" s="36" t="s">
        <v>8546</v>
      </c>
      <c r="J1175" s="36" t="s">
        <v>19</v>
      </c>
      <c r="K1175" s="36"/>
      <c r="L1175" s="36"/>
      <c r="M1175" s="36" t="s">
        <v>9034</v>
      </c>
    </row>
    <row r="1176" spans="1:13" hidden="1">
      <c r="A1176" s="42">
        <f t="shared" si="19"/>
        <v>1175</v>
      </c>
      <c r="B1176" s="36" t="s">
        <v>8</v>
      </c>
      <c r="C1176" s="36" t="s">
        <v>9083</v>
      </c>
      <c r="D1176" s="9" t="s">
        <v>6684</v>
      </c>
      <c r="E1176" s="9" t="s">
        <v>9334</v>
      </c>
      <c r="F1176" s="36" t="s">
        <v>9378</v>
      </c>
      <c r="G1176" s="9" t="s">
        <v>16</v>
      </c>
      <c r="H1176" s="36" t="str">
        <f>IFERROR(VLOOKUP(Table2[[#This Row], [Ticket]],Okey!A:B,2,0),"")</f>
        <v>ok</v>
      </c>
      <c r="I1176" s="36" t="s">
        <v>8546</v>
      </c>
      <c r="J1176" s="36" t="s">
        <v>19</v>
      </c>
      <c r="K1176" s="36"/>
      <c r="L1176" s="36"/>
      <c r="M1176" s="36" t="s">
        <v>9034</v>
      </c>
    </row>
    <row r="1177" spans="1:13" hidden="1">
      <c r="A1177" s="42">
        <f t="shared" si="19"/>
        <v>1176</v>
      </c>
      <c r="B1177" s="36" t="s">
        <v>8</v>
      </c>
      <c r="C1177" s="36" t="s">
        <v>9083</v>
      </c>
      <c r="D1177" s="9" t="s">
        <v>7160</v>
      </c>
      <c r="E1177" s="9" t="s">
        <v>9335</v>
      </c>
      <c r="F1177" s="36" t="s">
        <v>9379</v>
      </c>
      <c r="G1177" s="36" t="s">
        <v>16</v>
      </c>
      <c r="H1177" s="36" t="str">
        <f>IFERROR(VLOOKUP(Table2[[#This Row], [Ticket]],Okey!A:B,2,0),"")</f>
        <v>ok</v>
      </c>
      <c r="I1177" s="36" t="s">
        <v>8546</v>
      </c>
      <c r="J1177" s="36" t="s">
        <v>19</v>
      </c>
      <c r="K1177" s="36"/>
      <c r="L1177" s="36"/>
      <c r="M1177" s="36" t="s">
        <v>9034</v>
      </c>
    </row>
    <row r="1178" spans="1:13" hidden="1">
      <c r="A1178" s="42">
        <f t="shared" si="19"/>
        <v>1177</v>
      </c>
      <c r="B1178" s="36" t="s">
        <v>8</v>
      </c>
      <c r="C1178" s="36" t="s">
        <v>9083</v>
      </c>
      <c r="D1178" s="9" t="s">
        <v>7180</v>
      </c>
      <c r="E1178" s="9" t="s">
        <v>9336</v>
      </c>
      <c r="F1178" s="36" t="s">
        <v>8122</v>
      </c>
      <c r="G1178" s="36" t="s">
        <v>16</v>
      </c>
      <c r="H1178" s="36" t="str">
        <f>IFERROR(VLOOKUP(Table2[[#This Row], [Ticket]],Okey!A:B,2,0),"")</f>
        <v>ok</v>
      </c>
      <c r="I1178" s="36" t="s">
        <v>8546</v>
      </c>
      <c r="J1178" s="36" t="s">
        <v>19</v>
      </c>
      <c r="K1178" s="36"/>
      <c r="L1178" s="36"/>
      <c r="M1178" s="36" t="s">
        <v>9034</v>
      </c>
    </row>
    <row r="1179" spans="1:13" hidden="1">
      <c r="A1179" s="42">
        <f t="shared" si="19"/>
        <v>1178</v>
      </c>
      <c r="B1179" s="36" t="s">
        <v>8</v>
      </c>
      <c r="C1179" s="36" t="s">
        <v>9083</v>
      </c>
      <c r="D1179" s="9" t="s">
        <v>7200</v>
      </c>
      <c r="E1179" s="9" t="s">
        <v>9337</v>
      </c>
      <c r="F1179" s="36" t="s">
        <v>9380</v>
      </c>
      <c r="G1179" s="36" t="s">
        <v>16</v>
      </c>
      <c r="H1179" s="36" t="str">
        <f>IFERROR(VLOOKUP(Table2[[#This Row], [Ticket]],Okey!A:B,2,0),"")</f>
        <v>ok</v>
      </c>
      <c r="I1179" s="36" t="s">
        <v>8546</v>
      </c>
      <c r="J1179" s="36" t="s">
        <v>19</v>
      </c>
      <c r="K1179" s="36"/>
      <c r="L1179" s="36"/>
      <c r="M1179" s="36" t="s">
        <v>9034</v>
      </c>
    </row>
    <row r="1180" spans="1:13" hidden="1">
      <c r="A1180" s="42">
        <f t="shared" si="19"/>
        <v>1179</v>
      </c>
      <c r="B1180" s="36" t="s">
        <v>8</v>
      </c>
      <c r="C1180" s="36" t="s">
        <v>9083</v>
      </c>
      <c r="D1180" s="9" t="s">
        <v>7220</v>
      </c>
      <c r="E1180" s="9" t="s">
        <v>9338</v>
      </c>
      <c r="F1180" s="36" t="s">
        <v>9381</v>
      </c>
      <c r="G1180" s="36" t="s">
        <v>16</v>
      </c>
      <c r="H1180" s="36" t="str">
        <f>IFERROR(VLOOKUP(Table2[[#This Row], [Ticket]],Okey!A:B,2,0),"")</f>
        <v>ok</v>
      </c>
      <c r="I1180" s="36" t="s">
        <v>8546</v>
      </c>
      <c r="J1180" s="36" t="s">
        <v>19</v>
      </c>
      <c r="K1180" s="36"/>
      <c r="L1180" s="36"/>
      <c r="M1180" s="36" t="s">
        <v>9034</v>
      </c>
    </row>
    <row r="1181" spans="1:13" hidden="1">
      <c r="A1181" s="42">
        <f t="shared" si="19"/>
        <v>1180</v>
      </c>
      <c r="B1181" s="36" t="s">
        <v>8</v>
      </c>
      <c r="C1181" s="36" t="s">
        <v>9083</v>
      </c>
      <c r="D1181" s="9" t="s">
        <v>7240</v>
      </c>
      <c r="E1181" s="9" t="s">
        <v>9339</v>
      </c>
      <c r="F1181" s="36" t="s">
        <v>9382</v>
      </c>
      <c r="G1181" s="36" t="s">
        <v>16</v>
      </c>
      <c r="H1181" s="36" t="str">
        <f>IFERROR(VLOOKUP(Table2[[#This Row], [Ticket]],Okey!A:B,2,0),"")</f>
        <v>ok</v>
      </c>
      <c r="I1181" s="36" t="s">
        <v>8546</v>
      </c>
      <c r="J1181" s="36" t="s">
        <v>19</v>
      </c>
      <c r="K1181" s="36"/>
      <c r="L1181" s="36"/>
      <c r="M1181" s="36" t="s">
        <v>9034</v>
      </c>
    </row>
    <row r="1182" spans="1:13" hidden="1">
      <c r="A1182" s="42">
        <f t="shared" si="19"/>
        <v>1181</v>
      </c>
      <c r="B1182" s="36" t="s">
        <v>8</v>
      </c>
      <c r="C1182" s="36" t="s">
        <v>9083</v>
      </c>
      <c r="D1182" s="9" t="s">
        <v>7260</v>
      </c>
      <c r="E1182" s="9" t="s">
        <v>9340</v>
      </c>
      <c r="F1182" s="36" t="s">
        <v>9383</v>
      </c>
      <c r="G1182" s="36" t="s">
        <v>16</v>
      </c>
      <c r="H1182" s="36" t="str">
        <f>IFERROR(VLOOKUP(Table2[[#This Row], [Ticket]],Okey!A:B,2,0),"")</f>
        <v>ok</v>
      </c>
      <c r="I1182" s="36" t="s">
        <v>8546</v>
      </c>
      <c r="J1182" s="36" t="s">
        <v>19</v>
      </c>
      <c r="K1182" s="36"/>
      <c r="L1182" s="36"/>
      <c r="M1182" s="36" t="s">
        <v>9034</v>
      </c>
    </row>
    <row r="1183" spans="1:13" hidden="1">
      <c r="A1183" s="42">
        <f t="shared" si="19"/>
        <v>1182</v>
      </c>
      <c r="B1183" s="36" t="s">
        <v>8</v>
      </c>
      <c r="C1183" s="36" t="s">
        <v>9083</v>
      </c>
      <c r="D1183" s="9" t="s">
        <v>7280</v>
      </c>
      <c r="E1183" s="9" t="s">
        <v>9341</v>
      </c>
      <c r="F1183" s="36" t="s">
        <v>9384</v>
      </c>
      <c r="G1183" s="36" t="s">
        <v>16</v>
      </c>
      <c r="H1183" s="36" t="str">
        <f>IFERROR(VLOOKUP(Table2[[#This Row], [Ticket]],Okey!A:B,2,0),"")</f>
        <v>ok</v>
      </c>
      <c r="I1183" s="36" t="s">
        <v>8546</v>
      </c>
      <c r="J1183" s="36" t="s">
        <v>19</v>
      </c>
      <c r="K1183" s="36"/>
      <c r="L1183" s="36"/>
      <c r="M1183" s="36" t="s">
        <v>9034</v>
      </c>
    </row>
    <row r="1184" spans="1:13" hidden="1">
      <c r="A1184" s="42">
        <f t="shared" si="19"/>
        <v>1183</v>
      </c>
      <c r="B1184" s="36" t="s">
        <v>8</v>
      </c>
      <c r="C1184" s="36" t="s">
        <v>9083</v>
      </c>
      <c r="D1184" s="9" t="s">
        <v>7300</v>
      </c>
      <c r="E1184" s="9" t="s">
        <v>9342</v>
      </c>
      <c r="F1184" s="36" t="s">
        <v>9385</v>
      </c>
      <c r="G1184" s="36" t="s">
        <v>16</v>
      </c>
      <c r="H1184" s="36" t="str">
        <f>IFERROR(VLOOKUP(Table2[[#This Row], [Ticket]],Okey!A:B,2,0),"")</f>
        <v>ok</v>
      </c>
      <c r="I1184" s="36" t="s">
        <v>8546</v>
      </c>
      <c r="J1184" s="36" t="s">
        <v>19</v>
      </c>
      <c r="K1184" s="36"/>
      <c r="L1184" s="36"/>
      <c r="M1184" s="36" t="s">
        <v>9034</v>
      </c>
    </row>
    <row r="1185" spans="1:13" hidden="1">
      <c r="A1185" s="42">
        <f t="shared" si="19"/>
        <v>1184</v>
      </c>
      <c r="B1185" s="36" t="s">
        <v>8</v>
      </c>
      <c r="C1185" s="36" t="s">
        <v>9083</v>
      </c>
      <c r="D1185" s="9" t="s">
        <v>7320</v>
      </c>
      <c r="E1185" s="9" t="s">
        <v>9343</v>
      </c>
      <c r="F1185" s="36" t="s">
        <v>9026</v>
      </c>
      <c r="G1185" s="36" t="s">
        <v>16</v>
      </c>
      <c r="H1185" s="36" t="str">
        <f>IFERROR(VLOOKUP(Table2[[#This Row], [Ticket]],Okey!A:B,2,0),"")</f>
        <v>ok</v>
      </c>
      <c r="I1185" s="36" t="s">
        <v>8546</v>
      </c>
      <c r="J1185" s="36" t="s">
        <v>19</v>
      </c>
      <c r="K1185" s="36"/>
      <c r="L1185" s="36"/>
      <c r="M1185" s="36" t="s">
        <v>9034</v>
      </c>
    </row>
    <row r="1186" spans="1:13" hidden="1">
      <c r="A1186" s="42">
        <f t="shared" si="19"/>
        <v>1185</v>
      </c>
      <c r="B1186" s="36" t="s">
        <v>8</v>
      </c>
      <c r="C1186" s="36" t="s">
        <v>9083</v>
      </c>
      <c r="D1186" s="9" t="s">
        <v>7340</v>
      </c>
      <c r="E1186" s="9" t="s">
        <v>9344</v>
      </c>
      <c r="F1186" s="36" t="s">
        <v>9386</v>
      </c>
      <c r="G1186" s="36" t="s">
        <v>16</v>
      </c>
      <c r="H1186" s="36" t="str">
        <f>IFERROR(VLOOKUP(Table2[[#This Row], [Ticket]],Okey!A:B,2,0),"")</f>
        <v>ok</v>
      </c>
      <c r="I1186" s="36" t="s">
        <v>8546</v>
      </c>
      <c r="J1186" s="36" t="s">
        <v>19</v>
      </c>
      <c r="K1186" s="36"/>
      <c r="L1186" s="36"/>
      <c r="M1186" s="36" t="s">
        <v>9034</v>
      </c>
    </row>
    <row r="1187" spans="1:13" hidden="1">
      <c r="A1187" s="42">
        <f t="shared" si="19"/>
        <v>1186</v>
      </c>
      <c r="B1187" s="36" t="s">
        <v>8</v>
      </c>
      <c r="C1187" s="36" t="s">
        <v>9083</v>
      </c>
      <c r="D1187" s="9" t="s">
        <v>7360</v>
      </c>
      <c r="E1187" s="9" t="s">
        <v>9345</v>
      </c>
      <c r="F1187" s="36" t="s">
        <v>9387</v>
      </c>
      <c r="G1187" s="36" t="s">
        <v>16</v>
      </c>
      <c r="H1187" s="36" t="str">
        <f>IFERROR(VLOOKUP(Table2[[#This Row], [Ticket]],Okey!A:B,2,0),"")</f>
        <v>ok</v>
      </c>
      <c r="I1187" s="36" t="s">
        <v>8546</v>
      </c>
      <c r="J1187" s="36" t="s">
        <v>19</v>
      </c>
      <c r="K1187" s="36"/>
      <c r="L1187" s="36"/>
      <c r="M1187" s="36" t="s">
        <v>9034</v>
      </c>
    </row>
    <row r="1188" spans="1:13" hidden="1">
      <c r="A1188" s="42">
        <f t="shared" si="19"/>
        <v>1187</v>
      </c>
      <c r="B1188" s="36" t="s">
        <v>8</v>
      </c>
      <c r="C1188" s="36" t="s">
        <v>9083</v>
      </c>
      <c r="D1188" s="9" t="s">
        <v>7380</v>
      </c>
      <c r="E1188" s="9" t="s">
        <v>9346</v>
      </c>
      <c r="F1188" s="36" t="s">
        <v>9388</v>
      </c>
      <c r="G1188" s="36" t="s">
        <v>16</v>
      </c>
      <c r="H1188" s="36" t="str">
        <f>IFERROR(VLOOKUP(Table2[[#This Row], [Ticket]],Okey!A:B,2,0),"")</f>
        <v>ok</v>
      </c>
      <c r="I1188" s="36" t="s">
        <v>8546</v>
      </c>
      <c r="J1188" s="36" t="s">
        <v>19</v>
      </c>
      <c r="K1188" s="36"/>
      <c r="L1188" s="36"/>
      <c r="M1188" s="36" t="s">
        <v>9034</v>
      </c>
    </row>
    <row r="1189" spans="1:13" hidden="1">
      <c r="A1189" s="42">
        <f t="shared" si="19"/>
        <v>1188</v>
      </c>
      <c r="B1189" s="36" t="s">
        <v>8</v>
      </c>
      <c r="C1189" s="36" t="s">
        <v>9083</v>
      </c>
      <c r="D1189" s="9" t="s">
        <v>7400</v>
      </c>
      <c r="E1189" s="9" t="s">
        <v>9347</v>
      </c>
      <c r="F1189" s="36" t="s">
        <v>9389</v>
      </c>
      <c r="G1189" s="36" t="s">
        <v>16</v>
      </c>
      <c r="H1189" s="36" t="str">
        <f>IFERROR(VLOOKUP(Table2[[#This Row], [Ticket]],Okey!A:B,2,0),"")</f>
        <v>ok</v>
      </c>
      <c r="I1189" s="36" t="s">
        <v>8546</v>
      </c>
      <c r="J1189" s="36" t="s">
        <v>19</v>
      </c>
      <c r="K1189" s="36"/>
      <c r="L1189" s="36"/>
      <c r="M1189" s="36" t="s">
        <v>9034</v>
      </c>
    </row>
    <row r="1190" spans="1:13" hidden="1">
      <c r="A1190" s="42">
        <f t="shared" si="19"/>
        <v>1189</v>
      </c>
      <c r="B1190" s="36" t="s">
        <v>8</v>
      </c>
      <c r="C1190" s="36" t="s">
        <v>9083</v>
      </c>
      <c r="D1190" s="9" t="s">
        <v>7420</v>
      </c>
      <c r="E1190" s="9" t="s">
        <v>9348</v>
      </c>
      <c r="F1190" s="36" t="s">
        <v>9390</v>
      </c>
      <c r="G1190" s="36" t="s">
        <v>16</v>
      </c>
      <c r="H1190" s="36" t="str">
        <f>IFERROR(VLOOKUP(Table2[[#This Row], [Ticket]],Okey!A:B,2,0),"")</f>
        <v>ok</v>
      </c>
      <c r="I1190" s="36" t="s">
        <v>8546</v>
      </c>
      <c r="J1190" s="36" t="s">
        <v>19</v>
      </c>
      <c r="K1190" s="36"/>
      <c r="L1190" s="36"/>
      <c r="M1190" s="36" t="s">
        <v>9034</v>
      </c>
    </row>
    <row r="1191" spans="1:13" hidden="1">
      <c r="A1191" s="42">
        <f t="shared" si="19"/>
        <v>1190</v>
      </c>
      <c r="B1191" s="36" t="s">
        <v>8</v>
      </c>
      <c r="C1191" s="36" t="s">
        <v>9083</v>
      </c>
      <c r="D1191" s="9" t="s">
        <v>7440</v>
      </c>
      <c r="E1191" s="9" t="s">
        <v>9349</v>
      </c>
      <c r="F1191" s="36" t="s">
        <v>9391</v>
      </c>
      <c r="G1191" s="36" t="s">
        <v>16</v>
      </c>
      <c r="H1191" s="36" t="str">
        <f>IFERROR(VLOOKUP(Table2[[#This Row], [Ticket]],Okey!A:B,2,0),"")</f>
        <v>ok</v>
      </c>
      <c r="I1191" s="36" t="s">
        <v>8546</v>
      </c>
      <c r="J1191" s="36" t="s">
        <v>19</v>
      </c>
      <c r="K1191" s="36"/>
      <c r="L1191" s="36"/>
      <c r="M1191" s="36" t="s">
        <v>9034</v>
      </c>
    </row>
    <row r="1192" spans="1:13" hidden="1">
      <c r="A1192" s="42">
        <f t="shared" si="19"/>
        <v>1191</v>
      </c>
      <c r="B1192" s="36" t="s">
        <v>8</v>
      </c>
      <c r="C1192" s="36" t="s">
        <v>9083</v>
      </c>
      <c r="D1192" s="9" t="s">
        <v>7460</v>
      </c>
      <c r="E1192" s="9" t="s">
        <v>9350</v>
      </c>
      <c r="F1192" s="36" t="s">
        <v>9392</v>
      </c>
      <c r="G1192" s="36" t="s">
        <v>16</v>
      </c>
      <c r="H1192" s="36" t="str">
        <f>IFERROR(VLOOKUP(Table2[[#This Row], [Ticket]],Okey!A:B,2,0),"")</f>
        <v>ok</v>
      </c>
      <c r="I1192" s="36" t="s">
        <v>8546</v>
      </c>
      <c r="J1192" s="36" t="s">
        <v>19</v>
      </c>
      <c r="K1192" s="36"/>
      <c r="L1192" s="36"/>
      <c r="M1192" s="36" t="s">
        <v>9034</v>
      </c>
    </row>
    <row r="1193" spans="1:13" hidden="1">
      <c r="A1193" s="42">
        <f t="shared" si="19"/>
        <v>1192</v>
      </c>
      <c r="B1193" s="36" t="s">
        <v>8</v>
      </c>
      <c r="C1193" s="36" t="s">
        <v>9083</v>
      </c>
      <c r="D1193" s="9" t="s">
        <v>7480</v>
      </c>
      <c r="E1193" s="9" t="s">
        <v>9351</v>
      </c>
      <c r="F1193" s="36" t="s">
        <v>9393</v>
      </c>
      <c r="G1193" s="36" t="s">
        <v>16</v>
      </c>
      <c r="H1193" s="36" t="str">
        <f>IFERROR(VLOOKUP(Table2[[#This Row], [Ticket]],Okey!A:B,2,0),"")</f>
        <v>ok</v>
      </c>
      <c r="I1193" s="36" t="s">
        <v>8546</v>
      </c>
      <c r="J1193" s="36" t="s">
        <v>19</v>
      </c>
      <c r="K1193" s="36"/>
      <c r="L1193" s="36"/>
      <c r="M1193" s="36" t="s">
        <v>9034</v>
      </c>
    </row>
    <row r="1194" spans="1:13" hidden="1">
      <c r="A1194" s="42">
        <f t="shared" si="19"/>
        <v>1193</v>
      </c>
      <c r="B1194" s="36" t="s">
        <v>8</v>
      </c>
      <c r="C1194" s="36" t="s">
        <v>9083</v>
      </c>
      <c r="D1194" s="9" t="s">
        <v>7500</v>
      </c>
      <c r="E1194" s="9" t="s">
        <v>9352</v>
      </c>
      <c r="F1194" s="36" t="s">
        <v>9394</v>
      </c>
      <c r="G1194" s="36" t="s">
        <v>16</v>
      </c>
      <c r="H1194" s="36" t="str">
        <f>IFERROR(VLOOKUP(Table2[[#This Row], [Ticket]],Okey!A:B,2,0),"")</f>
        <v>ok</v>
      </c>
      <c r="I1194" s="36" t="s">
        <v>8546</v>
      </c>
      <c r="J1194" s="36" t="s">
        <v>19</v>
      </c>
      <c r="K1194" s="36"/>
      <c r="L1194" s="36"/>
      <c r="M1194" s="36" t="s">
        <v>9034</v>
      </c>
    </row>
    <row r="1195" spans="1:13" hidden="1">
      <c r="A1195" s="42">
        <f t="shared" si="19"/>
        <v>1194</v>
      </c>
      <c r="B1195" s="36" t="s">
        <v>8</v>
      </c>
      <c r="C1195" s="36" t="s">
        <v>9083</v>
      </c>
      <c r="D1195" s="9" t="s">
        <v>7520</v>
      </c>
      <c r="E1195" s="9" t="s">
        <v>9353</v>
      </c>
      <c r="F1195" s="36" t="s">
        <v>9395</v>
      </c>
      <c r="G1195" s="36" t="s">
        <v>16</v>
      </c>
      <c r="H1195" s="36" t="str">
        <f>IFERROR(VLOOKUP(Table2[[#This Row], [Ticket]],Okey!A:B,2,0),"")</f>
        <v>ok</v>
      </c>
      <c r="I1195" s="36" t="s">
        <v>8546</v>
      </c>
      <c r="J1195" s="36" t="s">
        <v>19</v>
      </c>
      <c r="K1195" s="36"/>
      <c r="L1195" s="36"/>
      <c r="M1195" s="36" t="s">
        <v>9034</v>
      </c>
    </row>
    <row r="1196" spans="1:13" hidden="1">
      <c r="A1196" s="42">
        <f t="shared" si="19"/>
        <v>1195</v>
      </c>
      <c r="B1196" s="36" t="s">
        <v>8</v>
      </c>
      <c r="C1196" s="36" t="s">
        <v>9083</v>
      </c>
      <c r="D1196" s="9" t="s">
        <v>7540</v>
      </c>
      <c r="E1196" s="9" t="s">
        <v>9354</v>
      </c>
      <c r="F1196" s="36" t="s">
        <v>9396</v>
      </c>
      <c r="G1196" s="36" t="s">
        <v>16</v>
      </c>
      <c r="H1196" s="36" t="str">
        <f>IFERROR(VLOOKUP(Table2[[#This Row], [Ticket]],Okey!A:B,2,0),"")</f>
        <v>ok</v>
      </c>
      <c r="I1196" s="36" t="s">
        <v>8546</v>
      </c>
      <c r="J1196" s="36" t="s">
        <v>19</v>
      </c>
      <c r="K1196" s="36"/>
      <c r="L1196" s="36"/>
      <c r="M1196" s="36" t="s">
        <v>9034</v>
      </c>
    </row>
    <row r="1197" spans="1:13" hidden="1">
      <c r="A1197" s="42">
        <f t="shared" si="19"/>
        <v>1196</v>
      </c>
      <c r="B1197" s="36" t="s">
        <v>8</v>
      </c>
      <c r="C1197" s="36" t="s">
        <v>9083</v>
      </c>
      <c r="D1197" s="9" t="s">
        <v>7560</v>
      </c>
      <c r="E1197" s="9" t="s">
        <v>9355</v>
      </c>
      <c r="F1197" s="36" t="s">
        <v>9397</v>
      </c>
      <c r="G1197" s="36" t="s">
        <v>16</v>
      </c>
      <c r="H1197" s="36" t="str">
        <f>IFERROR(VLOOKUP(Table2[[#This Row], [Ticket]],Okey!A:B,2,0),"")</f>
        <v>ok</v>
      </c>
      <c r="I1197" s="36" t="s">
        <v>8546</v>
      </c>
      <c r="J1197" s="36" t="s">
        <v>19</v>
      </c>
      <c r="K1197" s="36"/>
      <c r="L1197" s="36"/>
      <c r="M1197" s="36" t="s">
        <v>9034</v>
      </c>
    </row>
    <row r="1198" spans="1:13" hidden="1">
      <c r="A1198" s="42">
        <f t="shared" si="19"/>
        <v>1197</v>
      </c>
      <c r="B1198" s="36" t="s">
        <v>8</v>
      </c>
      <c r="C1198" s="36" t="s">
        <v>9083</v>
      </c>
      <c r="D1198" s="9" t="s">
        <v>6687</v>
      </c>
      <c r="E1198" s="9" t="s">
        <v>9356</v>
      </c>
      <c r="F1198" s="36" t="s">
        <v>9398</v>
      </c>
      <c r="G1198" s="36" t="s">
        <v>16</v>
      </c>
      <c r="H1198" s="36" t="str">
        <f>IFERROR(VLOOKUP(Table2[[#This Row], [Ticket]],Okey!A:B,2,0),"")</f>
        <v>ok</v>
      </c>
      <c r="I1198" s="36" t="s">
        <v>8546</v>
      </c>
      <c r="J1198" s="36" t="s">
        <v>19</v>
      </c>
      <c r="K1198" s="36"/>
      <c r="L1198" s="36"/>
      <c r="M1198" s="36" t="s">
        <v>9034</v>
      </c>
    </row>
    <row r="1199" spans="1:13" hidden="1">
      <c r="A1199" s="42">
        <f t="shared" si="19"/>
        <v>1198</v>
      </c>
      <c r="B1199" s="36" t="s">
        <v>8</v>
      </c>
      <c r="C1199" s="36" t="s">
        <v>9083</v>
      </c>
      <c r="D1199" s="9" t="s">
        <v>7172</v>
      </c>
      <c r="E1199" s="9" t="s">
        <v>9357</v>
      </c>
      <c r="F1199" s="36" t="s">
        <v>9399</v>
      </c>
      <c r="G1199" s="36" t="s">
        <v>16</v>
      </c>
      <c r="H1199" s="36" t="str">
        <f>IFERROR(VLOOKUP(Table2[[#This Row], [Ticket]],Okey!A:B,2,0),"")</f>
        <v>ok</v>
      </c>
      <c r="I1199" s="36" t="s">
        <v>8546</v>
      </c>
      <c r="J1199" s="36" t="s">
        <v>19</v>
      </c>
      <c r="K1199" s="36"/>
      <c r="L1199" s="36"/>
      <c r="M1199" s="36" t="s">
        <v>9034</v>
      </c>
    </row>
    <row r="1200" spans="1:13" hidden="1">
      <c r="A1200" s="42">
        <f t="shared" si="19"/>
        <v>1199</v>
      </c>
      <c r="B1200" s="36" t="s">
        <v>8</v>
      </c>
      <c r="C1200" s="36" t="s">
        <v>9083</v>
      </c>
      <c r="D1200" s="9" t="s">
        <v>7192</v>
      </c>
      <c r="E1200" s="9" t="s">
        <v>9358</v>
      </c>
      <c r="F1200" s="36" t="s">
        <v>879</v>
      </c>
      <c r="G1200" s="36" t="s">
        <v>16</v>
      </c>
      <c r="H1200" s="36" t="str">
        <f>IFERROR(VLOOKUP(Table2[[#This Row], [Ticket]],Okey!A:B,2,0),"")</f>
        <v>ok</v>
      </c>
      <c r="I1200" s="36" t="s">
        <v>8546</v>
      </c>
      <c r="J1200" s="36" t="s">
        <v>19</v>
      </c>
      <c r="K1200" s="36"/>
      <c r="L1200" s="36"/>
      <c r="M1200" s="36" t="s">
        <v>9034</v>
      </c>
    </row>
    <row r="1201" spans="1:13" hidden="1">
      <c r="A1201" s="42">
        <f t="shared" si="19"/>
        <v>1200</v>
      </c>
      <c r="B1201" s="36" t="s">
        <v>8</v>
      </c>
      <c r="C1201" s="36" t="s">
        <v>9083</v>
      </c>
      <c r="D1201" s="9" t="s">
        <v>7212</v>
      </c>
      <c r="E1201" s="9" t="s">
        <v>9359</v>
      </c>
      <c r="F1201" s="36" t="s">
        <v>9400</v>
      </c>
      <c r="G1201" s="36" t="s">
        <v>16</v>
      </c>
      <c r="H1201" s="36" t="str">
        <f>IFERROR(VLOOKUP(Table2[[#This Row], [Ticket]],Okey!A:B,2,0),"")</f>
        <v>ok</v>
      </c>
      <c r="I1201" s="36" t="s">
        <v>8546</v>
      </c>
      <c r="J1201" s="36" t="s">
        <v>19</v>
      </c>
      <c r="K1201" s="36"/>
      <c r="L1201" s="36"/>
      <c r="M1201" s="36" t="s">
        <v>9034</v>
      </c>
    </row>
    <row r="1202" spans="1:13" hidden="1">
      <c r="A1202" s="42">
        <f t="shared" si="19"/>
        <v>1201</v>
      </c>
      <c r="B1202" s="36" t="s">
        <v>8</v>
      </c>
      <c r="C1202" s="36" t="s">
        <v>9083</v>
      </c>
      <c r="D1202" s="9" t="s">
        <v>7232</v>
      </c>
      <c r="E1202" s="9" t="s">
        <v>9360</v>
      </c>
      <c r="F1202" s="36" t="s">
        <v>9401</v>
      </c>
      <c r="G1202" s="36" t="s">
        <v>16</v>
      </c>
      <c r="H1202" s="36" t="str">
        <f>IFERROR(VLOOKUP(Table2[[#This Row], [Ticket]],Okey!A:B,2,0),"")</f>
        <v>ok</v>
      </c>
      <c r="I1202" s="36" t="s">
        <v>8546</v>
      </c>
      <c r="J1202" s="36" t="s">
        <v>19</v>
      </c>
      <c r="K1202" s="36"/>
      <c r="L1202" s="36"/>
      <c r="M1202" s="36" t="s">
        <v>9034</v>
      </c>
    </row>
    <row r="1203" spans="1:13" hidden="1">
      <c r="A1203" s="42">
        <f t="shared" si="19"/>
        <v>1202</v>
      </c>
      <c r="B1203" s="36" t="s">
        <v>8</v>
      </c>
      <c r="C1203" s="36" t="s">
        <v>9083</v>
      </c>
      <c r="D1203" s="9" t="s">
        <v>7252</v>
      </c>
      <c r="E1203" s="9" t="s">
        <v>9361</v>
      </c>
      <c r="F1203" s="36" t="s">
        <v>9402</v>
      </c>
      <c r="G1203" s="36" t="s">
        <v>16</v>
      </c>
      <c r="H1203" s="36" t="str">
        <f>IFERROR(VLOOKUP(Table2[[#This Row], [Ticket]],Okey!A:B,2,0),"")</f>
        <v>ok</v>
      </c>
      <c r="I1203" s="36" t="s">
        <v>8546</v>
      </c>
      <c r="J1203" s="36" t="s">
        <v>19</v>
      </c>
      <c r="K1203" s="36"/>
      <c r="L1203" s="36"/>
      <c r="M1203" s="36" t="s">
        <v>9034</v>
      </c>
    </row>
    <row r="1204" spans="1:13" hidden="1">
      <c r="A1204" s="42">
        <f t="shared" si="19"/>
        <v>1203</v>
      </c>
      <c r="B1204" s="36" t="s">
        <v>8</v>
      </c>
      <c r="C1204" s="36" t="s">
        <v>9083</v>
      </c>
      <c r="D1204" s="9" t="s">
        <v>7272</v>
      </c>
      <c r="E1204" s="9" t="s">
        <v>9362</v>
      </c>
      <c r="F1204" s="36" t="s">
        <v>9403</v>
      </c>
      <c r="G1204" s="36" t="s">
        <v>16</v>
      </c>
      <c r="H1204" s="36" t="str">
        <f>IFERROR(VLOOKUP(Table2[[#This Row], [Ticket]],Okey!A:B,2,0),"")</f>
        <v>ok</v>
      </c>
      <c r="I1204" s="36" t="s">
        <v>8546</v>
      </c>
      <c r="J1204" s="36" t="s">
        <v>19</v>
      </c>
      <c r="K1204" s="36"/>
      <c r="L1204" s="36"/>
      <c r="M1204" s="36" t="s">
        <v>9034</v>
      </c>
    </row>
    <row r="1205" spans="1:13" hidden="1">
      <c r="A1205" s="42">
        <f t="shared" si="19"/>
        <v>1204</v>
      </c>
      <c r="B1205" s="36" t="s">
        <v>8</v>
      </c>
      <c r="C1205" s="36" t="s">
        <v>9083</v>
      </c>
      <c r="D1205" s="9" t="s">
        <v>7292</v>
      </c>
      <c r="E1205" s="9" t="s">
        <v>9363</v>
      </c>
      <c r="F1205" s="36" t="s">
        <v>9404</v>
      </c>
      <c r="G1205" s="36" t="s">
        <v>16</v>
      </c>
      <c r="H1205" s="36" t="str">
        <f>IFERROR(VLOOKUP(Table2[[#This Row], [Ticket]],Okey!A:B,2,0),"")</f>
        <v>ok</v>
      </c>
      <c r="I1205" s="36" t="s">
        <v>8546</v>
      </c>
      <c r="J1205" s="36" t="s">
        <v>19</v>
      </c>
      <c r="K1205" s="36"/>
      <c r="L1205" s="36"/>
      <c r="M1205" s="36" t="s">
        <v>9034</v>
      </c>
    </row>
    <row r="1206" spans="1:13" hidden="1">
      <c r="A1206" s="42">
        <f t="shared" si="19"/>
        <v>1205</v>
      </c>
      <c r="B1206" s="36" t="s">
        <v>8</v>
      </c>
      <c r="C1206" s="36" t="s">
        <v>9083</v>
      </c>
      <c r="D1206" s="9" t="s">
        <v>7312</v>
      </c>
      <c r="E1206" s="9" t="s">
        <v>9364</v>
      </c>
      <c r="F1206" s="36" t="s">
        <v>9405</v>
      </c>
      <c r="G1206" s="36" t="s">
        <v>16</v>
      </c>
      <c r="H1206" s="36" t="str">
        <f>IFERROR(VLOOKUP(Table2[[#This Row], [Ticket]],Okey!A:B,2,0),"")</f>
        <v>ok</v>
      </c>
      <c r="I1206" s="36" t="s">
        <v>8546</v>
      </c>
      <c r="J1206" s="36" t="s">
        <v>19</v>
      </c>
      <c r="K1206" s="36"/>
      <c r="L1206" s="36"/>
      <c r="M1206" s="36" t="s">
        <v>9034</v>
      </c>
    </row>
    <row r="1207" spans="1:13" hidden="1">
      <c r="A1207" s="42">
        <f t="shared" si="19"/>
        <v>1206</v>
      </c>
      <c r="B1207" s="36" t="s">
        <v>8</v>
      </c>
      <c r="C1207" s="36" t="s">
        <v>9083</v>
      </c>
      <c r="D1207" s="9" t="s">
        <v>7332</v>
      </c>
      <c r="E1207" s="9" t="s">
        <v>9365</v>
      </c>
      <c r="F1207" s="36" t="s">
        <v>9406</v>
      </c>
      <c r="G1207" s="36" t="s">
        <v>16</v>
      </c>
      <c r="H1207" s="36" t="str">
        <f>IFERROR(VLOOKUP(Table2[[#This Row], [Ticket]],Okey!A:B,2,0),"")</f>
        <v>ok</v>
      </c>
      <c r="I1207" s="36" t="s">
        <v>8546</v>
      </c>
      <c r="J1207" s="36" t="s">
        <v>19</v>
      </c>
      <c r="K1207" s="36"/>
      <c r="L1207" s="36"/>
      <c r="M1207" s="36" t="s">
        <v>9034</v>
      </c>
    </row>
    <row r="1208" spans="1:13" hidden="1">
      <c r="A1208" s="42">
        <f t="shared" si="19"/>
        <v>1207</v>
      </c>
      <c r="B1208" s="36" t="s">
        <v>8</v>
      </c>
      <c r="C1208" s="36" t="s">
        <v>9083</v>
      </c>
      <c r="D1208" s="9" t="s">
        <v>7352</v>
      </c>
      <c r="E1208" s="9" t="s">
        <v>9366</v>
      </c>
      <c r="F1208" s="36" t="s">
        <v>9407</v>
      </c>
      <c r="G1208" s="36" t="s">
        <v>16</v>
      </c>
      <c r="H1208" s="36" t="str">
        <f>IFERROR(VLOOKUP(Table2[[#This Row], [Ticket]],Okey!A:B,2,0),"")</f>
        <v>ok</v>
      </c>
      <c r="I1208" s="36" t="s">
        <v>8546</v>
      </c>
      <c r="J1208" s="36" t="s">
        <v>19</v>
      </c>
      <c r="K1208" s="36"/>
      <c r="L1208" s="36"/>
      <c r="M1208" s="36" t="s">
        <v>9034</v>
      </c>
    </row>
    <row r="1209" spans="1:13" hidden="1">
      <c r="A1209" s="42">
        <f t="shared" si="19"/>
        <v>1208</v>
      </c>
      <c r="B1209" s="36" t="s">
        <v>8</v>
      </c>
      <c r="C1209" s="36" t="s">
        <v>9083</v>
      </c>
      <c r="D1209" s="9" t="s">
        <v>7372</v>
      </c>
      <c r="E1209" s="9" t="s">
        <v>9367</v>
      </c>
      <c r="F1209" s="36" t="s">
        <v>9408</v>
      </c>
      <c r="G1209" s="36" t="s">
        <v>16</v>
      </c>
      <c r="H1209" s="36" t="str">
        <f>IFERROR(VLOOKUP(Table2[[#This Row], [Ticket]],Okey!A:B,2,0),"")</f>
        <v>ok</v>
      </c>
      <c r="I1209" s="36" t="s">
        <v>8546</v>
      </c>
      <c r="J1209" s="36" t="s">
        <v>19</v>
      </c>
      <c r="K1209" s="36"/>
      <c r="L1209" s="36"/>
      <c r="M1209" s="36" t="s">
        <v>9034</v>
      </c>
    </row>
    <row r="1210" spans="1:13" hidden="1">
      <c r="A1210" s="42">
        <f t="shared" si="19"/>
        <v>1209</v>
      </c>
      <c r="B1210" s="36" t="s">
        <v>8</v>
      </c>
      <c r="C1210" s="36" t="s">
        <v>9083</v>
      </c>
      <c r="D1210" s="9" t="s">
        <v>7392</v>
      </c>
      <c r="E1210" s="9" t="s">
        <v>9368</v>
      </c>
      <c r="F1210" s="36" t="s">
        <v>9409</v>
      </c>
      <c r="G1210" s="36" t="s">
        <v>16</v>
      </c>
      <c r="H1210" s="36" t="str">
        <f>IFERROR(VLOOKUP(Table2[[#This Row], [Ticket]],Okey!A:B,2,0),"")</f>
        <v>ok</v>
      </c>
      <c r="I1210" s="36" t="s">
        <v>8546</v>
      </c>
      <c r="J1210" s="36" t="s">
        <v>19</v>
      </c>
      <c r="K1210" s="36"/>
      <c r="L1210" s="36"/>
      <c r="M1210" s="36" t="s">
        <v>9034</v>
      </c>
    </row>
    <row r="1211" spans="1:13" hidden="1">
      <c r="A1211" s="42">
        <f t="shared" si="19"/>
        <v>1210</v>
      </c>
      <c r="B1211" s="36" t="s">
        <v>8</v>
      </c>
      <c r="C1211" s="36" t="s">
        <v>9083</v>
      </c>
      <c r="D1211" s="9" t="s">
        <v>7412</v>
      </c>
      <c r="E1211" s="9" t="s">
        <v>9369</v>
      </c>
      <c r="F1211" s="36" t="s">
        <v>9410</v>
      </c>
      <c r="G1211" s="36" t="s">
        <v>16</v>
      </c>
      <c r="H1211" s="36" t="str">
        <f>IFERROR(VLOOKUP(Table2[[#This Row], [Ticket]],Okey!A:B,2,0),"")</f>
        <v>ok</v>
      </c>
      <c r="I1211" s="36" t="s">
        <v>8546</v>
      </c>
      <c r="J1211" s="36" t="s">
        <v>19</v>
      </c>
      <c r="K1211" s="36"/>
      <c r="L1211" s="36"/>
      <c r="M1211" s="36" t="s">
        <v>9034</v>
      </c>
    </row>
    <row r="1212" spans="1:13" hidden="1">
      <c r="A1212" s="42">
        <f t="shared" si="19"/>
        <v>1211</v>
      </c>
      <c r="B1212" s="36" t="s">
        <v>8</v>
      </c>
      <c r="C1212" s="36" t="s">
        <v>9083</v>
      </c>
      <c r="D1212" s="9" t="s">
        <v>7432</v>
      </c>
      <c r="E1212" s="9" t="s">
        <v>9370</v>
      </c>
      <c r="F1212" s="36" t="s">
        <v>9411</v>
      </c>
      <c r="G1212" s="36" t="s">
        <v>16</v>
      </c>
      <c r="H1212" s="36" t="str">
        <f>IFERROR(VLOOKUP(Table2[[#This Row], [Ticket]],Okey!A:B,2,0),"")</f>
        <v>ok</v>
      </c>
      <c r="I1212" s="36" t="s">
        <v>8546</v>
      </c>
      <c r="J1212" s="36" t="s">
        <v>19</v>
      </c>
      <c r="K1212" s="36"/>
      <c r="L1212" s="36"/>
      <c r="M1212" s="36" t="s">
        <v>9034</v>
      </c>
    </row>
    <row r="1213" spans="1:13" hidden="1">
      <c r="A1213" s="42">
        <f t="shared" si="19"/>
        <v>1212</v>
      </c>
      <c r="B1213" s="36" t="s">
        <v>8</v>
      </c>
      <c r="C1213" s="36" t="s">
        <v>9083</v>
      </c>
      <c r="D1213" s="9" t="s">
        <v>7452</v>
      </c>
      <c r="E1213" s="9" t="s">
        <v>9371</v>
      </c>
      <c r="F1213" s="36" t="s">
        <v>9412</v>
      </c>
      <c r="G1213" s="36" t="s">
        <v>16</v>
      </c>
      <c r="H1213" s="36" t="str">
        <f>IFERROR(VLOOKUP(Table2[[#This Row], [Ticket]],Okey!A:B,2,0),"")</f>
        <v>ok</v>
      </c>
      <c r="I1213" s="36" t="s">
        <v>8546</v>
      </c>
      <c r="J1213" s="36" t="s">
        <v>19</v>
      </c>
      <c r="K1213" s="36"/>
      <c r="L1213" s="36"/>
      <c r="M1213" s="36" t="s">
        <v>9034</v>
      </c>
    </row>
    <row r="1214" spans="1:13" hidden="1">
      <c r="A1214" s="42">
        <f t="shared" si="19"/>
        <v>1213</v>
      </c>
      <c r="B1214" s="36" t="s">
        <v>8</v>
      </c>
      <c r="C1214" s="36" t="s">
        <v>9083</v>
      </c>
      <c r="D1214" s="9" t="s">
        <v>7472</v>
      </c>
      <c r="E1214" s="9" t="s">
        <v>9372</v>
      </c>
      <c r="F1214" s="36" t="s">
        <v>9413</v>
      </c>
      <c r="G1214" s="36" t="s">
        <v>16</v>
      </c>
      <c r="H1214" s="36" t="str">
        <f>IFERROR(VLOOKUP(Table2[[#This Row], [Ticket]],Okey!A:B,2,0),"")</f>
        <v>ok</v>
      </c>
      <c r="I1214" s="36" t="s">
        <v>8546</v>
      </c>
      <c r="J1214" s="36" t="s">
        <v>19</v>
      </c>
      <c r="K1214" s="36"/>
      <c r="L1214" s="36"/>
      <c r="M1214" s="36" t="s">
        <v>9034</v>
      </c>
    </row>
    <row r="1215" spans="1:13" hidden="1">
      <c r="A1215" s="42">
        <f t="shared" si="19"/>
        <v>1214</v>
      </c>
      <c r="B1215" s="36" t="s">
        <v>8</v>
      </c>
      <c r="C1215" s="36" t="s">
        <v>9083</v>
      </c>
      <c r="D1215" s="9" t="s">
        <v>7492</v>
      </c>
      <c r="E1215" s="9" t="s">
        <v>9373</v>
      </c>
      <c r="F1215" s="36" t="s">
        <v>9414</v>
      </c>
      <c r="G1215" s="36" t="s">
        <v>16</v>
      </c>
      <c r="H1215" s="36" t="str">
        <f>IFERROR(VLOOKUP(Table2[[#This Row], [Ticket]],Okey!A:B,2,0),"")</f>
        <v>ok</v>
      </c>
      <c r="I1215" s="36" t="s">
        <v>8546</v>
      </c>
      <c r="J1215" s="36" t="s">
        <v>19</v>
      </c>
      <c r="K1215" s="36"/>
      <c r="L1215" s="36"/>
      <c r="M1215" s="36" t="s">
        <v>9034</v>
      </c>
    </row>
    <row r="1216" spans="1:13" hidden="1">
      <c r="A1216" s="42">
        <f t="shared" si="19"/>
        <v>1215</v>
      </c>
      <c r="B1216" s="36" t="s">
        <v>8</v>
      </c>
      <c r="C1216" s="36" t="s">
        <v>9083</v>
      </c>
      <c r="D1216" s="9" t="s">
        <v>7512</v>
      </c>
      <c r="E1216" s="9" t="s">
        <v>9374</v>
      </c>
      <c r="F1216" s="36" t="s">
        <v>9415</v>
      </c>
      <c r="G1216" s="36" t="s">
        <v>16</v>
      </c>
      <c r="H1216" s="36" t="str">
        <f>IFERROR(VLOOKUP(Table2[[#This Row], [Ticket]],Okey!A:B,2,0),"")</f>
        <v>ok</v>
      </c>
      <c r="I1216" s="36" t="s">
        <v>8546</v>
      </c>
      <c r="J1216" s="36" t="s">
        <v>19</v>
      </c>
      <c r="K1216" s="36"/>
      <c r="L1216" s="36"/>
      <c r="M1216" s="36" t="s">
        <v>9034</v>
      </c>
    </row>
    <row r="1217" spans="1:13" hidden="1">
      <c r="A1217" s="42">
        <f t="shared" si="19"/>
        <v>1216</v>
      </c>
      <c r="B1217" s="36" t="s">
        <v>8</v>
      </c>
      <c r="C1217" s="36" t="s">
        <v>9083</v>
      </c>
      <c r="D1217" s="9" t="s">
        <v>7532</v>
      </c>
      <c r="E1217" s="9" t="s">
        <v>9375</v>
      </c>
      <c r="F1217" s="36" t="s">
        <v>9416</v>
      </c>
      <c r="G1217" s="36" t="s">
        <v>16</v>
      </c>
      <c r="H1217" s="36" t="str">
        <f>IFERROR(VLOOKUP(Table2[[#This Row], [Ticket]],Okey!A:B,2,0),"")</f>
        <v>ok</v>
      </c>
      <c r="I1217" s="36" t="s">
        <v>8546</v>
      </c>
      <c r="J1217" s="36" t="s">
        <v>19</v>
      </c>
      <c r="K1217" s="36"/>
      <c r="L1217" s="36"/>
      <c r="M1217" s="36" t="s">
        <v>9034</v>
      </c>
    </row>
    <row r="1218" spans="1:13" hidden="1">
      <c r="A1218" s="42">
        <f t="shared" si="19"/>
        <v>1217</v>
      </c>
      <c r="B1218" s="36" t="s">
        <v>8</v>
      </c>
      <c r="C1218" s="36" t="s">
        <v>9083</v>
      </c>
      <c r="D1218" s="9" t="s">
        <v>7552</v>
      </c>
      <c r="E1218" s="9" t="s">
        <v>9376</v>
      </c>
      <c r="F1218" s="36" t="s">
        <v>9417</v>
      </c>
      <c r="G1218" s="36" t="s">
        <v>16</v>
      </c>
      <c r="H1218" s="36" t="str">
        <f>IFERROR(VLOOKUP(Table2[[#This Row], [Ticket]],Okey!A:B,2,0),"")</f>
        <v>ok</v>
      </c>
      <c r="I1218" s="36" t="s">
        <v>8546</v>
      </c>
      <c r="J1218" s="36" t="s">
        <v>19</v>
      </c>
      <c r="K1218" s="36"/>
      <c r="L1218" s="36"/>
      <c r="M1218" s="36" t="s">
        <v>9034</v>
      </c>
    </row>
    <row r="1219" spans="1:13" hidden="1">
      <c r="A1219" s="42">
        <f t="shared" si="19"/>
        <v>1218</v>
      </c>
      <c r="B1219" s="36" t="s">
        <v>8</v>
      </c>
      <c r="C1219" s="36" t="s">
        <v>9083</v>
      </c>
      <c r="D1219" s="9" t="s">
        <v>7572</v>
      </c>
      <c r="E1219" s="9" t="s">
        <v>9377</v>
      </c>
      <c r="F1219" s="36" t="s">
        <v>9418</v>
      </c>
      <c r="G1219" s="36" t="s">
        <v>16</v>
      </c>
      <c r="H1219" s="36" t="str">
        <f>IFERROR(VLOOKUP(Table2[[#This Row], [Ticket]],Okey!A:B,2,0),"")</f>
        <v>ok</v>
      </c>
      <c r="I1219" s="36" t="s">
        <v>8546</v>
      </c>
      <c r="J1219" s="36" t="s">
        <v>19</v>
      </c>
      <c r="K1219" s="36"/>
      <c r="L1219" s="36"/>
      <c r="M1219" s="36" t="s">
        <v>9034</v>
      </c>
    </row>
    <row r="1220" spans="1:13" hidden="1">
      <c r="A1220" s="42">
        <f t="shared" si="19"/>
        <v>1219</v>
      </c>
      <c r="B1220" s="36" t="s">
        <v>8</v>
      </c>
      <c r="C1220" s="36" t="s">
        <v>9083</v>
      </c>
      <c r="D1220" s="9" t="s">
        <v>6682</v>
      </c>
      <c r="F1220" s="36" t="s">
        <v>275</v>
      </c>
      <c r="G1220" s="9" t="s">
        <v>8544</v>
      </c>
      <c r="H1220" s="36" t="str">
        <f>IFERROR(VLOOKUP(Table2[[#This Row], [Ticket]],Okey!A:B,2,0),"")</f>
        <v>ok</v>
      </c>
      <c r="I1220" s="36" t="s">
        <v>8546</v>
      </c>
      <c r="J1220" s="36" t="s">
        <v>19</v>
      </c>
      <c r="K1220" s="36"/>
      <c r="L1220" s="36"/>
      <c r="M1220" s="36" t="s">
        <v>9034</v>
      </c>
    </row>
    <row r="1221" spans="1:13" hidden="1">
      <c r="A1221" s="42">
        <f t="shared" si="19"/>
        <v>1220</v>
      </c>
      <c r="B1221" s="36" t="s">
        <v>8</v>
      </c>
      <c r="C1221" s="36" t="s">
        <v>9083</v>
      </c>
      <c r="D1221" s="9" t="s">
        <v>6690</v>
      </c>
      <c r="F1221" s="36" t="s">
        <v>275</v>
      </c>
      <c r="G1221" s="36" t="s">
        <v>8544</v>
      </c>
      <c r="H1221" s="36" t="str">
        <f>IFERROR(VLOOKUP(Table2[[#This Row], [Ticket]],Okey!A:B,2,0),"")</f>
        <v>ok</v>
      </c>
      <c r="I1221" s="36" t="s">
        <v>8546</v>
      </c>
      <c r="J1221" s="36" t="s">
        <v>19</v>
      </c>
      <c r="K1221" s="36"/>
      <c r="L1221" s="36"/>
      <c r="M1221" s="36" t="s">
        <v>9034</v>
      </c>
    </row>
    <row r="1222" spans="1:13" hidden="1">
      <c r="A1222" s="42">
        <f t="shared" si="19"/>
        <v>1221</v>
      </c>
      <c r="B1222" s="36" t="s">
        <v>8</v>
      </c>
      <c r="C1222" s="36" t="s">
        <v>9083</v>
      </c>
      <c r="D1222" s="9" t="s">
        <v>6686</v>
      </c>
      <c r="F1222" s="36" t="s">
        <v>275</v>
      </c>
      <c r="G1222" s="36" t="s">
        <v>8544</v>
      </c>
      <c r="H1222" s="36" t="str">
        <f>IFERROR(VLOOKUP(Table2[[#This Row], [Ticket]],Okey!A:B,2,0),"")</f>
        <v>ok</v>
      </c>
      <c r="I1222" s="36" t="s">
        <v>8546</v>
      </c>
      <c r="J1222" s="36" t="s">
        <v>19</v>
      </c>
      <c r="K1222" s="36"/>
      <c r="L1222" s="36"/>
      <c r="M1222" s="36" t="s">
        <v>9034</v>
      </c>
    </row>
    <row r="1223" spans="1:13" hidden="1">
      <c r="A1223" s="42">
        <f t="shared" si="19"/>
        <v>1222</v>
      </c>
      <c r="B1223" s="36" t="s">
        <v>8</v>
      </c>
      <c r="C1223" s="36" t="s">
        <v>9083</v>
      </c>
      <c r="D1223" s="9" t="s">
        <v>6696</v>
      </c>
      <c r="F1223" s="36" t="s">
        <v>275</v>
      </c>
      <c r="G1223" s="36" t="s">
        <v>8544</v>
      </c>
      <c r="H1223" s="36" t="str">
        <f>IFERROR(VLOOKUP(Table2[[#This Row], [Ticket]],Okey!A:B,2,0),"")</f>
        <v>ok</v>
      </c>
      <c r="I1223" s="36" t="s">
        <v>8546</v>
      </c>
      <c r="J1223" s="36" t="s">
        <v>19</v>
      </c>
      <c r="K1223" s="36"/>
      <c r="L1223" s="36"/>
      <c r="M1223" s="36" t="s">
        <v>9034</v>
      </c>
    </row>
    <row r="1224" spans="1:13" hidden="1">
      <c r="A1224" s="42">
        <f t="shared" si="19"/>
        <v>1223</v>
      </c>
      <c r="B1224" s="36" t="s">
        <v>8</v>
      </c>
      <c r="C1224" s="36" t="s">
        <v>9083</v>
      </c>
      <c r="D1224" s="9" t="s">
        <v>6697</v>
      </c>
      <c r="F1224" s="36" t="s">
        <v>275</v>
      </c>
      <c r="G1224" s="36" t="s">
        <v>8544</v>
      </c>
      <c r="H1224" s="36" t="str">
        <f>IFERROR(VLOOKUP(Table2[[#This Row], [Ticket]],Okey!A:B,2,0),"")</f>
        <v>ok</v>
      </c>
      <c r="I1224" s="36" t="s">
        <v>8546</v>
      </c>
      <c r="J1224" s="36" t="s">
        <v>19</v>
      </c>
      <c r="K1224" s="36"/>
      <c r="L1224" s="36"/>
      <c r="M1224" s="36" t="s">
        <v>9034</v>
      </c>
    </row>
    <row r="1225" spans="1:13" hidden="1">
      <c r="A1225" s="42">
        <f t="shared" si="19"/>
        <v>1224</v>
      </c>
      <c r="B1225" s="36" t="s">
        <v>8</v>
      </c>
      <c r="C1225" s="36" t="s">
        <v>9083</v>
      </c>
      <c r="D1225" s="9" t="s">
        <v>6698</v>
      </c>
      <c r="F1225" s="36" t="s">
        <v>275</v>
      </c>
      <c r="G1225" s="36" t="s">
        <v>8544</v>
      </c>
      <c r="H1225" s="36" t="str">
        <f>IFERROR(VLOOKUP(Table2[[#This Row], [Ticket]],Okey!A:B,2,0),"")</f>
        <v>ok</v>
      </c>
      <c r="I1225" s="36" t="s">
        <v>8546</v>
      </c>
      <c r="J1225" s="36" t="s">
        <v>19</v>
      </c>
      <c r="K1225" s="36"/>
      <c r="L1225" s="36"/>
      <c r="M1225" s="36" t="s">
        <v>9034</v>
      </c>
    </row>
    <row r="1226" spans="1:13" hidden="1">
      <c r="A1226" s="42">
        <f t="shared" si="19"/>
        <v>1225</v>
      </c>
      <c r="B1226" s="36" t="s">
        <v>8</v>
      </c>
      <c r="C1226" s="36" t="s">
        <v>9083</v>
      </c>
      <c r="D1226" s="9" t="s">
        <v>6699</v>
      </c>
      <c r="F1226" s="36" t="s">
        <v>275</v>
      </c>
      <c r="G1226" s="36" t="s">
        <v>8544</v>
      </c>
      <c r="H1226" s="36" t="str">
        <f>IFERROR(VLOOKUP(Table2[[#This Row], [Ticket]],Okey!A:B,2,0),"")</f>
        <v>ok</v>
      </c>
      <c r="I1226" s="36" t="s">
        <v>8546</v>
      </c>
      <c r="J1226" s="36" t="s">
        <v>19</v>
      </c>
      <c r="K1226" s="36"/>
      <c r="L1226" s="36"/>
      <c r="M1226" s="36" t="s">
        <v>9034</v>
      </c>
    </row>
    <row r="1227" spans="1:13" hidden="1">
      <c r="A1227" s="42">
        <f t="shared" si="19"/>
        <v>1226</v>
      </c>
      <c r="B1227" s="36" t="s">
        <v>8</v>
      </c>
      <c r="C1227" s="36" t="s">
        <v>9083</v>
      </c>
      <c r="D1227" s="9" t="s">
        <v>6700</v>
      </c>
      <c r="F1227" s="36" t="s">
        <v>275</v>
      </c>
      <c r="G1227" s="36" t="s">
        <v>8544</v>
      </c>
      <c r="H1227" s="36" t="str">
        <f>IFERROR(VLOOKUP(Table2[[#This Row], [Ticket]],Okey!A:B,2,0),"")</f>
        <v>ok</v>
      </c>
      <c r="I1227" s="36" t="s">
        <v>8546</v>
      </c>
      <c r="J1227" s="36" t="s">
        <v>19</v>
      </c>
      <c r="K1227" s="36"/>
      <c r="L1227" s="36"/>
      <c r="M1227" s="36" t="s">
        <v>9034</v>
      </c>
    </row>
    <row r="1228" spans="1:13" hidden="1">
      <c r="A1228" s="42">
        <f t="shared" si="19"/>
        <v>1227</v>
      </c>
      <c r="B1228" s="36" t="s">
        <v>8</v>
      </c>
      <c r="C1228" s="36" t="s">
        <v>9083</v>
      </c>
      <c r="D1228" s="9" t="s">
        <v>7166</v>
      </c>
      <c r="F1228" s="36" t="s">
        <v>275</v>
      </c>
      <c r="G1228" s="36" t="s">
        <v>8544</v>
      </c>
      <c r="H1228" s="36" t="str">
        <f>IFERROR(VLOOKUP(Table2[[#This Row], [Ticket]],Okey!A:B,2,0),"")</f>
        <v>ok</v>
      </c>
      <c r="I1228" s="36" t="s">
        <v>8546</v>
      </c>
      <c r="J1228" s="36" t="s">
        <v>19</v>
      </c>
      <c r="K1228" s="36"/>
      <c r="L1228" s="36"/>
      <c r="M1228" s="36" t="s">
        <v>9034</v>
      </c>
    </row>
    <row r="1229" spans="1:13" hidden="1">
      <c r="A1229" s="42">
        <f t="shared" si="19"/>
        <v>1228</v>
      </c>
      <c r="B1229" s="36" t="s">
        <v>8</v>
      </c>
      <c r="C1229" s="36" t="s">
        <v>9083</v>
      </c>
      <c r="D1229" s="9" t="s">
        <v>7167</v>
      </c>
      <c r="F1229" s="36" t="s">
        <v>275</v>
      </c>
      <c r="G1229" s="36" t="s">
        <v>8544</v>
      </c>
      <c r="H1229" s="36" t="str">
        <f>IFERROR(VLOOKUP(Table2[[#This Row], [Ticket]],Okey!A:B,2,0),"")</f>
        <v>ok</v>
      </c>
      <c r="I1229" s="36" t="s">
        <v>8546</v>
      </c>
      <c r="J1229" s="36" t="s">
        <v>19</v>
      </c>
      <c r="K1229" s="36"/>
      <c r="L1229" s="36"/>
      <c r="M1229" s="36" t="s">
        <v>9034</v>
      </c>
    </row>
    <row r="1230" spans="1:13" hidden="1">
      <c r="A1230" s="42">
        <f t="shared" si="19"/>
        <v>1229</v>
      </c>
      <c r="B1230" s="36" t="s">
        <v>8</v>
      </c>
      <c r="C1230" s="36" t="s">
        <v>9083</v>
      </c>
      <c r="D1230" s="9" t="s">
        <v>7168</v>
      </c>
      <c r="F1230" s="36" t="s">
        <v>275</v>
      </c>
      <c r="G1230" s="36" t="s">
        <v>8544</v>
      </c>
      <c r="H1230" s="36" t="str">
        <f>IFERROR(VLOOKUP(Table2[[#This Row], [Ticket]],Okey!A:B,2,0),"")</f>
        <v>ok</v>
      </c>
      <c r="I1230" s="36" t="s">
        <v>8546</v>
      </c>
      <c r="J1230" s="36" t="s">
        <v>19</v>
      </c>
      <c r="K1230" s="36"/>
      <c r="L1230" s="36"/>
      <c r="M1230" s="36" t="s">
        <v>9034</v>
      </c>
    </row>
    <row r="1231" spans="1:13" hidden="1">
      <c r="A1231" s="42">
        <f t="shared" si="19"/>
        <v>1230</v>
      </c>
      <c r="B1231" s="36" t="s">
        <v>8</v>
      </c>
      <c r="C1231" s="36" t="s">
        <v>9083</v>
      </c>
      <c r="D1231" s="9" t="s">
        <v>7169</v>
      </c>
      <c r="F1231" s="36" t="s">
        <v>275</v>
      </c>
      <c r="G1231" s="36" t="s">
        <v>8544</v>
      </c>
      <c r="H1231" s="36" t="str">
        <f>IFERROR(VLOOKUP(Table2[[#This Row], [Ticket]],Okey!A:B,2,0),"")</f>
        <v>ok</v>
      </c>
      <c r="I1231" s="36" t="s">
        <v>8546</v>
      </c>
      <c r="J1231" s="36" t="s">
        <v>19</v>
      </c>
      <c r="K1231" s="36"/>
      <c r="L1231" s="36"/>
      <c r="M1231" s="36" t="s">
        <v>9034</v>
      </c>
    </row>
    <row r="1232" spans="1:13" hidden="1">
      <c r="A1232" s="42">
        <f t="shared" si="19"/>
        <v>1231</v>
      </c>
      <c r="B1232" s="36" t="s">
        <v>8</v>
      </c>
      <c r="C1232" s="36" t="s">
        <v>9083</v>
      </c>
      <c r="D1232" s="9" t="s">
        <v>7170</v>
      </c>
      <c r="F1232" s="36" t="s">
        <v>275</v>
      </c>
      <c r="G1232" s="36" t="s">
        <v>8544</v>
      </c>
      <c r="H1232" s="36" t="str">
        <f>IFERROR(VLOOKUP(Table2[[#This Row], [Ticket]],Okey!A:B,2,0),"")</f>
        <v>ok</v>
      </c>
      <c r="I1232" s="36" t="s">
        <v>8546</v>
      </c>
      <c r="J1232" s="36" t="s">
        <v>19</v>
      </c>
      <c r="K1232" s="36"/>
      <c r="L1232" s="36"/>
      <c r="M1232" s="36" t="s">
        <v>9034</v>
      </c>
    </row>
    <row r="1233" spans="1:13" hidden="1">
      <c r="A1233" s="42">
        <f t="shared" si="19"/>
        <v>1232</v>
      </c>
      <c r="B1233" s="36" t="s">
        <v>8</v>
      </c>
      <c r="C1233" s="36" t="s">
        <v>9083</v>
      </c>
      <c r="D1233" s="9" t="s">
        <v>7171</v>
      </c>
      <c r="F1233" s="36" t="s">
        <v>275</v>
      </c>
      <c r="G1233" s="36" t="s">
        <v>8544</v>
      </c>
      <c r="H1233" s="36" t="str">
        <f>IFERROR(VLOOKUP(Table2[[#This Row], [Ticket]],Okey!A:B,2,0),"")</f>
        <v>ok</v>
      </c>
      <c r="I1233" s="36" t="s">
        <v>8546</v>
      </c>
      <c r="J1233" s="36" t="s">
        <v>19</v>
      </c>
      <c r="K1233" s="36"/>
      <c r="L1233" s="36"/>
      <c r="M1233" s="36" t="s">
        <v>9034</v>
      </c>
    </row>
    <row r="1234" spans="1:13" hidden="1">
      <c r="A1234" s="42">
        <f t="shared" si="19"/>
        <v>1233</v>
      </c>
      <c r="B1234" s="36" t="s">
        <v>8</v>
      </c>
      <c r="C1234" s="36" t="s">
        <v>9083</v>
      </c>
      <c r="D1234" s="9" t="s">
        <v>7186</v>
      </c>
      <c r="F1234" s="36" t="s">
        <v>275</v>
      </c>
      <c r="G1234" s="36" t="s">
        <v>8544</v>
      </c>
      <c r="H1234" s="36" t="str">
        <f>IFERROR(VLOOKUP(Table2[[#This Row], [Ticket]],Okey!A:B,2,0),"")</f>
        <v>ok</v>
      </c>
      <c r="I1234" s="36" t="s">
        <v>8546</v>
      </c>
      <c r="J1234" s="36" t="s">
        <v>19</v>
      </c>
      <c r="K1234" s="36"/>
      <c r="L1234" s="36"/>
      <c r="M1234" s="36" t="s">
        <v>9034</v>
      </c>
    </row>
    <row r="1235" spans="1:13" hidden="1">
      <c r="A1235" s="42">
        <f t="shared" si="19"/>
        <v>1234</v>
      </c>
      <c r="B1235" s="36" t="s">
        <v>8</v>
      </c>
      <c r="C1235" s="36" t="s">
        <v>9083</v>
      </c>
      <c r="D1235" s="9" t="s">
        <v>7187</v>
      </c>
      <c r="F1235" s="36" t="s">
        <v>275</v>
      </c>
      <c r="G1235" s="36" t="s">
        <v>8544</v>
      </c>
      <c r="H1235" s="36" t="str">
        <f>IFERROR(VLOOKUP(Table2[[#This Row], [Ticket]],Okey!A:B,2,0),"")</f>
        <v>ok</v>
      </c>
      <c r="I1235" s="36" t="s">
        <v>8546</v>
      </c>
      <c r="J1235" s="36" t="s">
        <v>19</v>
      </c>
      <c r="K1235" s="36"/>
      <c r="L1235" s="36"/>
      <c r="M1235" s="36" t="s">
        <v>9034</v>
      </c>
    </row>
    <row r="1236" spans="1:13" hidden="1">
      <c r="A1236" s="42">
        <f t="shared" ref="A1236:A1299" si="20">1+A1235</f>
        <v>1235</v>
      </c>
      <c r="B1236" s="36" t="s">
        <v>8</v>
      </c>
      <c r="C1236" s="36" t="s">
        <v>9083</v>
      </c>
      <c r="D1236" s="9" t="s">
        <v>7188</v>
      </c>
      <c r="F1236" s="36" t="s">
        <v>275</v>
      </c>
      <c r="G1236" s="36" t="s">
        <v>8544</v>
      </c>
      <c r="H1236" s="36" t="str">
        <f>IFERROR(VLOOKUP(Table2[[#This Row], [Ticket]],Okey!A:B,2,0),"")</f>
        <v>ok</v>
      </c>
      <c r="I1236" s="36" t="s">
        <v>8546</v>
      </c>
      <c r="J1236" s="36" t="s">
        <v>19</v>
      </c>
      <c r="K1236" s="36"/>
      <c r="L1236" s="36"/>
      <c r="M1236" s="36" t="s">
        <v>9034</v>
      </c>
    </row>
    <row r="1237" spans="1:13" hidden="1">
      <c r="A1237" s="42">
        <f t="shared" si="20"/>
        <v>1236</v>
      </c>
      <c r="B1237" s="36" t="s">
        <v>8</v>
      </c>
      <c r="C1237" s="36" t="s">
        <v>9083</v>
      </c>
      <c r="D1237" s="9" t="s">
        <v>7189</v>
      </c>
      <c r="F1237" s="36" t="s">
        <v>275</v>
      </c>
      <c r="G1237" s="36" t="s">
        <v>8544</v>
      </c>
      <c r="H1237" s="36" t="str">
        <f>IFERROR(VLOOKUP(Table2[[#This Row], [Ticket]],Okey!A:B,2,0),"")</f>
        <v>ok</v>
      </c>
      <c r="I1237" s="36" t="s">
        <v>8546</v>
      </c>
      <c r="J1237" s="36" t="s">
        <v>19</v>
      </c>
      <c r="K1237" s="36"/>
      <c r="L1237" s="36"/>
      <c r="M1237" s="36" t="s">
        <v>9034</v>
      </c>
    </row>
    <row r="1238" spans="1:13" hidden="1">
      <c r="A1238" s="42">
        <f t="shared" si="20"/>
        <v>1237</v>
      </c>
      <c r="B1238" s="36" t="s">
        <v>8</v>
      </c>
      <c r="C1238" s="36" t="s">
        <v>9083</v>
      </c>
      <c r="D1238" s="9" t="s">
        <v>7190</v>
      </c>
      <c r="F1238" s="36" t="s">
        <v>275</v>
      </c>
      <c r="G1238" s="36" t="s">
        <v>8544</v>
      </c>
      <c r="H1238" s="36" t="str">
        <f>IFERROR(VLOOKUP(Table2[[#This Row], [Ticket]],Okey!A:B,2,0),"")</f>
        <v>ok</v>
      </c>
      <c r="I1238" s="36" t="s">
        <v>8546</v>
      </c>
      <c r="J1238" s="36" t="s">
        <v>19</v>
      </c>
      <c r="K1238" s="36"/>
      <c r="L1238" s="36"/>
      <c r="M1238" s="36" t="s">
        <v>9034</v>
      </c>
    </row>
    <row r="1239" spans="1:13" hidden="1">
      <c r="A1239" s="42">
        <f t="shared" si="20"/>
        <v>1238</v>
      </c>
      <c r="B1239" s="36" t="s">
        <v>8</v>
      </c>
      <c r="C1239" s="36" t="s">
        <v>9083</v>
      </c>
      <c r="D1239" s="9" t="s">
        <v>7191</v>
      </c>
      <c r="F1239" s="36" t="s">
        <v>275</v>
      </c>
      <c r="G1239" s="36" t="s">
        <v>8544</v>
      </c>
      <c r="H1239" s="36" t="str">
        <f>IFERROR(VLOOKUP(Table2[[#This Row], [Ticket]],Okey!A:B,2,0),"")</f>
        <v>ok</v>
      </c>
      <c r="I1239" s="36" t="s">
        <v>8546</v>
      </c>
      <c r="J1239" s="36" t="s">
        <v>19</v>
      </c>
      <c r="K1239" s="36"/>
      <c r="L1239" s="36"/>
      <c r="M1239" s="36" t="s">
        <v>9034</v>
      </c>
    </row>
    <row r="1240" spans="1:13" hidden="1">
      <c r="A1240" s="42">
        <f t="shared" si="20"/>
        <v>1239</v>
      </c>
      <c r="B1240" s="36" t="s">
        <v>8</v>
      </c>
      <c r="C1240" s="36" t="s">
        <v>9083</v>
      </c>
      <c r="D1240" s="9" t="s">
        <v>7206</v>
      </c>
      <c r="F1240" s="36" t="s">
        <v>275</v>
      </c>
      <c r="G1240" s="36" t="s">
        <v>8544</v>
      </c>
      <c r="H1240" s="36" t="str">
        <f>IFERROR(VLOOKUP(Table2[[#This Row], [Ticket]],Okey!A:B,2,0),"")</f>
        <v>ok</v>
      </c>
      <c r="I1240" s="36" t="s">
        <v>8546</v>
      </c>
      <c r="J1240" s="36" t="s">
        <v>19</v>
      </c>
      <c r="K1240" s="36"/>
      <c r="L1240" s="36"/>
      <c r="M1240" s="36" t="s">
        <v>9034</v>
      </c>
    </row>
    <row r="1241" spans="1:13" hidden="1">
      <c r="A1241" s="42">
        <f t="shared" si="20"/>
        <v>1240</v>
      </c>
      <c r="B1241" s="36" t="s">
        <v>8</v>
      </c>
      <c r="C1241" s="36" t="s">
        <v>9083</v>
      </c>
      <c r="D1241" s="9" t="s">
        <v>7207</v>
      </c>
      <c r="F1241" s="36" t="s">
        <v>275</v>
      </c>
      <c r="G1241" s="36" t="s">
        <v>8544</v>
      </c>
      <c r="H1241" s="36" t="str">
        <f>IFERROR(VLOOKUP(Table2[[#This Row], [Ticket]],Okey!A:B,2,0),"")</f>
        <v>ok</v>
      </c>
      <c r="I1241" s="36" t="s">
        <v>8546</v>
      </c>
      <c r="J1241" s="36" t="s">
        <v>19</v>
      </c>
      <c r="K1241" s="36"/>
      <c r="L1241" s="36"/>
      <c r="M1241" s="36" t="s">
        <v>9034</v>
      </c>
    </row>
    <row r="1242" spans="1:13" hidden="1">
      <c r="A1242" s="42">
        <f t="shared" si="20"/>
        <v>1241</v>
      </c>
      <c r="B1242" s="36" t="s">
        <v>8</v>
      </c>
      <c r="C1242" s="36" t="s">
        <v>9083</v>
      </c>
      <c r="D1242" s="9" t="s">
        <v>7208</v>
      </c>
      <c r="F1242" s="36" t="s">
        <v>275</v>
      </c>
      <c r="G1242" s="36" t="s">
        <v>8544</v>
      </c>
      <c r="H1242" s="36" t="str">
        <f>IFERROR(VLOOKUP(Table2[[#This Row], [Ticket]],Okey!A:B,2,0),"")</f>
        <v>ok</v>
      </c>
      <c r="I1242" s="36" t="s">
        <v>8546</v>
      </c>
      <c r="J1242" s="36" t="s">
        <v>19</v>
      </c>
      <c r="K1242" s="36"/>
      <c r="L1242" s="36"/>
      <c r="M1242" s="36" t="s">
        <v>9034</v>
      </c>
    </row>
    <row r="1243" spans="1:13" hidden="1">
      <c r="A1243" s="42">
        <f t="shared" si="20"/>
        <v>1242</v>
      </c>
      <c r="B1243" s="36" t="s">
        <v>8</v>
      </c>
      <c r="C1243" s="36" t="s">
        <v>9083</v>
      </c>
      <c r="D1243" s="9" t="s">
        <v>7209</v>
      </c>
      <c r="F1243" s="36" t="s">
        <v>275</v>
      </c>
      <c r="G1243" s="36" t="s">
        <v>8544</v>
      </c>
      <c r="H1243" s="36" t="str">
        <f>IFERROR(VLOOKUP(Table2[[#This Row], [Ticket]],Okey!A:B,2,0),"")</f>
        <v>ok</v>
      </c>
      <c r="I1243" s="36" t="s">
        <v>8546</v>
      </c>
      <c r="J1243" s="36" t="s">
        <v>19</v>
      </c>
      <c r="K1243" s="36"/>
      <c r="L1243" s="36"/>
      <c r="M1243" s="36" t="s">
        <v>9034</v>
      </c>
    </row>
    <row r="1244" spans="1:13" hidden="1">
      <c r="A1244" s="42">
        <f t="shared" si="20"/>
        <v>1243</v>
      </c>
      <c r="B1244" s="36" t="s">
        <v>8</v>
      </c>
      <c r="C1244" s="36" t="s">
        <v>9083</v>
      </c>
      <c r="D1244" s="9" t="s">
        <v>7210</v>
      </c>
      <c r="F1244" s="36" t="s">
        <v>275</v>
      </c>
      <c r="G1244" s="36" t="s">
        <v>8544</v>
      </c>
      <c r="H1244" s="36" t="str">
        <f>IFERROR(VLOOKUP(Table2[[#This Row], [Ticket]],Okey!A:B,2,0),"")</f>
        <v>ok</v>
      </c>
      <c r="I1244" s="36" t="s">
        <v>8546</v>
      </c>
      <c r="J1244" s="36" t="s">
        <v>19</v>
      </c>
      <c r="K1244" s="36"/>
      <c r="L1244" s="36"/>
      <c r="M1244" s="36" t="s">
        <v>9034</v>
      </c>
    </row>
    <row r="1245" spans="1:13" hidden="1">
      <c r="A1245" s="42">
        <f t="shared" si="20"/>
        <v>1244</v>
      </c>
      <c r="B1245" s="36" t="s">
        <v>8</v>
      </c>
      <c r="C1245" s="36" t="s">
        <v>9083</v>
      </c>
      <c r="D1245" s="9" t="s">
        <v>7211</v>
      </c>
      <c r="F1245" s="36" t="s">
        <v>275</v>
      </c>
      <c r="G1245" s="36" t="s">
        <v>8544</v>
      </c>
      <c r="H1245" s="36" t="str">
        <f>IFERROR(VLOOKUP(Table2[[#This Row], [Ticket]],Okey!A:B,2,0),"")</f>
        <v>ok</v>
      </c>
      <c r="I1245" s="36" t="s">
        <v>8546</v>
      </c>
      <c r="J1245" s="36" t="s">
        <v>19</v>
      </c>
      <c r="K1245" s="36"/>
      <c r="L1245" s="36"/>
      <c r="M1245" s="36" t="s">
        <v>9034</v>
      </c>
    </row>
    <row r="1246" spans="1:13" hidden="1">
      <c r="A1246" s="42">
        <f t="shared" si="20"/>
        <v>1245</v>
      </c>
      <c r="B1246" s="36" t="s">
        <v>8</v>
      </c>
      <c r="C1246" s="36" t="s">
        <v>9083</v>
      </c>
      <c r="D1246" s="9" t="s">
        <v>7226</v>
      </c>
      <c r="F1246" s="36" t="s">
        <v>275</v>
      </c>
      <c r="G1246" s="36" t="s">
        <v>8544</v>
      </c>
      <c r="H1246" s="36" t="str">
        <f>IFERROR(VLOOKUP(Table2[[#This Row], [Ticket]],Okey!A:B,2,0),"")</f>
        <v>ok</v>
      </c>
      <c r="I1246" s="36" t="s">
        <v>8546</v>
      </c>
      <c r="J1246" s="36" t="s">
        <v>19</v>
      </c>
      <c r="K1246" s="36"/>
      <c r="L1246" s="36"/>
      <c r="M1246" s="36" t="s">
        <v>9034</v>
      </c>
    </row>
    <row r="1247" spans="1:13" hidden="1">
      <c r="A1247" s="42">
        <f t="shared" si="20"/>
        <v>1246</v>
      </c>
      <c r="B1247" s="36" t="s">
        <v>8</v>
      </c>
      <c r="C1247" s="36" t="s">
        <v>9083</v>
      </c>
      <c r="D1247" s="9" t="s">
        <v>7227</v>
      </c>
      <c r="F1247" s="36" t="s">
        <v>275</v>
      </c>
      <c r="G1247" s="36" t="s">
        <v>8544</v>
      </c>
      <c r="H1247" s="36" t="str">
        <f>IFERROR(VLOOKUP(Table2[[#This Row], [Ticket]],Okey!A:B,2,0),"")</f>
        <v>ok</v>
      </c>
      <c r="I1247" s="36" t="s">
        <v>8546</v>
      </c>
      <c r="J1247" s="36" t="s">
        <v>19</v>
      </c>
      <c r="K1247" s="36"/>
      <c r="L1247" s="36"/>
      <c r="M1247" s="36" t="s">
        <v>9034</v>
      </c>
    </row>
    <row r="1248" spans="1:13" hidden="1">
      <c r="A1248" s="42">
        <f t="shared" si="20"/>
        <v>1247</v>
      </c>
      <c r="B1248" s="36" t="s">
        <v>8</v>
      </c>
      <c r="C1248" s="36" t="s">
        <v>9083</v>
      </c>
      <c r="D1248" s="9" t="s">
        <v>7228</v>
      </c>
      <c r="F1248" s="36" t="s">
        <v>275</v>
      </c>
      <c r="G1248" s="36" t="s">
        <v>8544</v>
      </c>
      <c r="H1248" s="36" t="str">
        <f>IFERROR(VLOOKUP(Table2[[#This Row], [Ticket]],Okey!A:B,2,0),"")</f>
        <v>ok</v>
      </c>
      <c r="I1248" s="36" t="s">
        <v>8546</v>
      </c>
      <c r="J1248" s="36" t="s">
        <v>19</v>
      </c>
      <c r="K1248" s="36"/>
      <c r="L1248" s="36"/>
      <c r="M1248" s="36" t="s">
        <v>9034</v>
      </c>
    </row>
    <row r="1249" spans="1:13" hidden="1">
      <c r="A1249" s="42">
        <f t="shared" si="20"/>
        <v>1248</v>
      </c>
      <c r="B1249" s="36" t="s">
        <v>8</v>
      </c>
      <c r="C1249" s="36" t="s">
        <v>9083</v>
      </c>
      <c r="D1249" s="9" t="s">
        <v>7229</v>
      </c>
      <c r="F1249" s="36" t="s">
        <v>275</v>
      </c>
      <c r="G1249" s="36" t="s">
        <v>8544</v>
      </c>
      <c r="H1249" s="36" t="str">
        <f>IFERROR(VLOOKUP(Table2[[#This Row], [Ticket]],Okey!A:B,2,0),"")</f>
        <v>ok</v>
      </c>
      <c r="I1249" s="36" t="s">
        <v>8546</v>
      </c>
      <c r="J1249" s="36" t="s">
        <v>19</v>
      </c>
      <c r="K1249" s="36"/>
      <c r="L1249" s="36"/>
      <c r="M1249" s="36" t="s">
        <v>9034</v>
      </c>
    </row>
    <row r="1250" spans="1:13" hidden="1">
      <c r="A1250" s="42">
        <f t="shared" si="20"/>
        <v>1249</v>
      </c>
      <c r="B1250" s="36" t="s">
        <v>8</v>
      </c>
      <c r="C1250" s="36" t="s">
        <v>9083</v>
      </c>
      <c r="D1250" s="9" t="s">
        <v>7230</v>
      </c>
      <c r="F1250" s="36" t="s">
        <v>275</v>
      </c>
      <c r="G1250" s="36" t="s">
        <v>8544</v>
      </c>
      <c r="H1250" s="36" t="str">
        <f>IFERROR(VLOOKUP(Table2[[#This Row], [Ticket]],Okey!A:B,2,0),"")</f>
        <v>ok</v>
      </c>
      <c r="I1250" s="36" t="s">
        <v>8546</v>
      </c>
      <c r="J1250" s="36" t="s">
        <v>19</v>
      </c>
      <c r="K1250" s="36"/>
      <c r="L1250" s="36"/>
      <c r="M1250" s="36" t="s">
        <v>9034</v>
      </c>
    </row>
    <row r="1251" spans="1:13" hidden="1">
      <c r="A1251" s="42">
        <f t="shared" si="20"/>
        <v>1250</v>
      </c>
      <c r="B1251" s="36" t="s">
        <v>8</v>
      </c>
      <c r="C1251" s="36" t="s">
        <v>9083</v>
      </c>
      <c r="D1251" s="9" t="s">
        <v>7231</v>
      </c>
      <c r="F1251" s="36" t="s">
        <v>275</v>
      </c>
      <c r="G1251" s="36" t="s">
        <v>8544</v>
      </c>
      <c r="H1251" s="36" t="str">
        <f>IFERROR(VLOOKUP(Table2[[#This Row], [Ticket]],Okey!A:B,2,0),"")</f>
        <v>ok</v>
      </c>
      <c r="I1251" s="36" t="s">
        <v>8546</v>
      </c>
      <c r="J1251" s="36" t="s">
        <v>19</v>
      </c>
      <c r="K1251" s="36"/>
      <c r="L1251" s="36"/>
      <c r="M1251" s="36" t="s">
        <v>9034</v>
      </c>
    </row>
    <row r="1252" spans="1:13" hidden="1">
      <c r="A1252" s="42">
        <f t="shared" si="20"/>
        <v>1251</v>
      </c>
      <c r="B1252" s="36" t="s">
        <v>8</v>
      </c>
      <c r="C1252" s="36" t="s">
        <v>9083</v>
      </c>
      <c r="D1252" s="9" t="s">
        <v>7246</v>
      </c>
      <c r="F1252" s="36" t="s">
        <v>275</v>
      </c>
      <c r="G1252" s="36" t="s">
        <v>8544</v>
      </c>
      <c r="H1252" s="36" t="str">
        <f>IFERROR(VLOOKUP(Table2[[#This Row], [Ticket]],Okey!A:B,2,0),"")</f>
        <v>ok</v>
      </c>
      <c r="I1252" s="36" t="s">
        <v>8546</v>
      </c>
      <c r="J1252" s="36" t="s">
        <v>19</v>
      </c>
      <c r="K1252" s="36"/>
      <c r="L1252" s="36"/>
      <c r="M1252" s="36" t="s">
        <v>9034</v>
      </c>
    </row>
    <row r="1253" spans="1:13" hidden="1">
      <c r="A1253" s="42">
        <f t="shared" si="20"/>
        <v>1252</v>
      </c>
      <c r="B1253" s="36" t="s">
        <v>8</v>
      </c>
      <c r="C1253" s="36" t="s">
        <v>9083</v>
      </c>
      <c r="D1253" s="36" t="s">
        <v>7247</v>
      </c>
      <c r="F1253" s="36" t="s">
        <v>275</v>
      </c>
      <c r="G1253" s="36" t="s">
        <v>8544</v>
      </c>
      <c r="H1253" s="36" t="str">
        <f>IFERROR(VLOOKUP(Table2[[#This Row], [Ticket]],Okey!A:B,2,0),"")</f>
        <v>ok</v>
      </c>
      <c r="I1253" s="36" t="s">
        <v>8546</v>
      </c>
      <c r="J1253" s="36" t="s">
        <v>19</v>
      </c>
      <c r="K1253" s="36"/>
      <c r="L1253" s="36"/>
      <c r="M1253" s="36" t="s">
        <v>9034</v>
      </c>
    </row>
    <row r="1254" spans="1:13" hidden="1">
      <c r="A1254" s="42">
        <f t="shared" si="20"/>
        <v>1253</v>
      </c>
      <c r="B1254" s="36" t="s">
        <v>8</v>
      </c>
      <c r="C1254" s="36" t="s">
        <v>9083</v>
      </c>
      <c r="D1254" s="36" t="s">
        <v>7248</v>
      </c>
      <c r="F1254" s="36" t="s">
        <v>275</v>
      </c>
      <c r="G1254" s="36" t="s">
        <v>8544</v>
      </c>
      <c r="H1254" s="36" t="str">
        <f>IFERROR(VLOOKUP(Table2[[#This Row], [Ticket]],Okey!A:B,2,0),"")</f>
        <v>ok</v>
      </c>
      <c r="I1254" s="36" t="s">
        <v>8546</v>
      </c>
      <c r="J1254" s="36" t="s">
        <v>19</v>
      </c>
      <c r="K1254" s="36"/>
      <c r="L1254" s="36"/>
      <c r="M1254" s="36" t="s">
        <v>9034</v>
      </c>
    </row>
    <row r="1255" spans="1:13" hidden="1">
      <c r="A1255" s="42">
        <f t="shared" si="20"/>
        <v>1254</v>
      </c>
      <c r="B1255" s="36" t="s">
        <v>8</v>
      </c>
      <c r="C1255" s="36" t="s">
        <v>9083</v>
      </c>
      <c r="D1255" s="36" t="s">
        <v>7249</v>
      </c>
      <c r="F1255" s="36" t="s">
        <v>275</v>
      </c>
      <c r="G1255" s="36" t="s">
        <v>8544</v>
      </c>
      <c r="H1255" s="36" t="str">
        <f>IFERROR(VLOOKUP(Table2[[#This Row], [Ticket]],Okey!A:B,2,0),"")</f>
        <v>ok</v>
      </c>
      <c r="I1255" s="36" t="s">
        <v>8546</v>
      </c>
      <c r="J1255" s="36" t="s">
        <v>19</v>
      </c>
      <c r="K1255" s="36"/>
      <c r="L1255" s="36"/>
      <c r="M1255" s="36" t="s">
        <v>9034</v>
      </c>
    </row>
    <row r="1256" spans="1:13" hidden="1">
      <c r="A1256" s="42">
        <f t="shared" si="20"/>
        <v>1255</v>
      </c>
      <c r="B1256" s="36" t="s">
        <v>8</v>
      </c>
      <c r="C1256" s="36" t="s">
        <v>9083</v>
      </c>
      <c r="D1256" s="36" t="s">
        <v>7250</v>
      </c>
      <c r="F1256" s="36" t="s">
        <v>275</v>
      </c>
      <c r="G1256" s="36" t="s">
        <v>8544</v>
      </c>
      <c r="H1256" s="36" t="str">
        <f>IFERROR(VLOOKUP(Table2[[#This Row], [Ticket]],Okey!A:B,2,0),"")</f>
        <v>ok</v>
      </c>
      <c r="I1256" s="36" t="s">
        <v>8546</v>
      </c>
      <c r="J1256" s="36" t="s">
        <v>19</v>
      </c>
      <c r="K1256" s="36"/>
      <c r="L1256" s="36"/>
      <c r="M1256" s="36" t="s">
        <v>9034</v>
      </c>
    </row>
    <row r="1257" spans="1:13" hidden="1">
      <c r="A1257" s="42">
        <f t="shared" si="20"/>
        <v>1256</v>
      </c>
      <c r="B1257" s="36" t="s">
        <v>8</v>
      </c>
      <c r="C1257" s="36" t="s">
        <v>9083</v>
      </c>
      <c r="D1257" s="36" t="s">
        <v>7251</v>
      </c>
      <c r="F1257" s="36" t="s">
        <v>275</v>
      </c>
      <c r="G1257" s="36" t="s">
        <v>8544</v>
      </c>
      <c r="H1257" s="36" t="str">
        <f>IFERROR(VLOOKUP(Table2[[#This Row], [Ticket]],Okey!A:B,2,0),"")</f>
        <v>ok</v>
      </c>
      <c r="I1257" s="36" t="s">
        <v>8546</v>
      </c>
      <c r="J1257" s="36" t="s">
        <v>19</v>
      </c>
      <c r="K1257" s="36"/>
      <c r="L1257" s="36"/>
      <c r="M1257" s="36" t="s">
        <v>9034</v>
      </c>
    </row>
    <row r="1258" spans="1:13" hidden="1">
      <c r="A1258" s="42">
        <f t="shared" si="20"/>
        <v>1257</v>
      </c>
      <c r="B1258" s="36" t="s">
        <v>8</v>
      </c>
      <c r="C1258" s="36" t="s">
        <v>9083</v>
      </c>
      <c r="D1258" s="36" t="s">
        <v>7266</v>
      </c>
      <c r="F1258" s="36" t="s">
        <v>275</v>
      </c>
      <c r="G1258" s="36" t="s">
        <v>8544</v>
      </c>
      <c r="H1258" s="36" t="str">
        <f>IFERROR(VLOOKUP(Table2[[#This Row], [Ticket]],Okey!A:B,2,0),"")</f>
        <v>ok</v>
      </c>
      <c r="I1258" s="36" t="s">
        <v>8546</v>
      </c>
      <c r="J1258" s="36" t="s">
        <v>19</v>
      </c>
      <c r="K1258" s="36"/>
      <c r="L1258" s="36"/>
      <c r="M1258" s="36" t="s">
        <v>9034</v>
      </c>
    </row>
    <row r="1259" spans="1:13" hidden="1">
      <c r="A1259" s="42">
        <f t="shared" si="20"/>
        <v>1258</v>
      </c>
      <c r="B1259" s="36" t="s">
        <v>8</v>
      </c>
      <c r="C1259" s="36" t="s">
        <v>9083</v>
      </c>
      <c r="D1259" s="36" t="s">
        <v>7267</v>
      </c>
      <c r="F1259" s="36" t="s">
        <v>275</v>
      </c>
      <c r="G1259" s="36" t="s">
        <v>8544</v>
      </c>
      <c r="H1259" s="36" t="str">
        <f>IFERROR(VLOOKUP(Table2[[#This Row], [Ticket]],Okey!A:B,2,0),"")</f>
        <v>ok</v>
      </c>
      <c r="I1259" s="36" t="s">
        <v>8546</v>
      </c>
      <c r="J1259" s="36" t="s">
        <v>19</v>
      </c>
      <c r="K1259" s="36"/>
      <c r="L1259" s="36"/>
      <c r="M1259" s="36" t="s">
        <v>9034</v>
      </c>
    </row>
    <row r="1260" spans="1:13" hidden="1">
      <c r="A1260" s="42">
        <f t="shared" si="20"/>
        <v>1259</v>
      </c>
      <c r="B1260" s="36" t="s">
        <v>8</v>
      </c>
      <c r="C1260" s="36" t="s">
        <v>9083</v>
      </c>
      <c r="D1260" s="36" t="s">
        <v>7268</v>
      </c>
      <c r="F1260" s="36" t="s">
        <v>275</v>
      </c>
      <c r="G1260" s="36" t="s">
        <v>8544</v>
      </c>
      <c r="H1260" s="36" t="str">
        <f>IFERROR(VLOOKUP(Table2[[#This Row], [Ticket]],Okey!A:B,2,0),"")</f>
        <v>ok</v>
      </c>
      <c r="I1260" s="36" t="s">
        <v>8546</v>
      </c>
      <c r="J1260" s="36" t="s">
        <v>19</v>
      </c>
      <c r="K1260" s="36"/>
      <c r="L1260" s="36"/>
      <c r="M1260" s="36" t="s">
        <v>9034</v>
      </c>
    </row>
    <row r="1261" spans="1:13" hidden="1">
      <c r="A1261" s="42">
        <f t="shared" si="20"/>
        <v>1260</v>
      </c>
      <c r="B1261" s="36" t="s">
        <v>8</v>
      </c>
      <c r="C1261" s="36" t="s">
        <v>9083</v>
      </c>
      <c r="D1261" s="36" t="s">
        <v>7269</v>
      </c>
      <c r="F1261" s="36" t="s">
        <v>275</v>
      </c>
      <c r="G1261" s="36" t="s">
        <v>8544</v>
      </c>
      <c r="H1261" s="36" t="str">
        <f>IFERROR(VLOOKUP(Table2[[#This Row], [Ticket]],Okey!A:B,2,0),"")</f>
        <v>ok</v>
      </c>
      <c r="I1261" s="36" t="s">
        <v>8546</v>
      </c>
      <c r="J1261" s="36" t="s">
        <v>19</v>
      </c>
      <c r="K1261" s="36"/>
      <c r="L1261" s="36"/>
      <c r="M1261" s="36" t="s">
        <v>9034</v>
      </c>
    </row>
    <row r="1262" spans="1:13" hidden="1">
      <c r="A1262" s="42">
        <f t="shared" si="20"/>
        <v>1261</v>
      </c>
      <c r="B1262" s="36" t="s">
        <v>8</v>
      </c>
      <c r="C1262" s="36" t="s">
        <v>9083</v>
      </c>
      <c r="D1262" s="36" t="s">
        <v>7270</v>
      </c>
      <c r="F1262" s="36" t="s">
        <v>275</v>
      </c>
      <c r="G1262" s="36" t="s">
        <v>8544</v>
      </c>
      <c r="H1262" s="36" t="str">
        <f>IFERROR(VLOOKUP(Table2[[#This Row], [Ticket]],Okey!A:B,2,0),"")</f>
        <v>ok</v>
      </c>
      <c r="I1262" s="36" t="s">
        <v>8546</v>
      </c>
      <c r="J1262" s="36" t="s">
        <v>19</v>
      </c>
      <c r="K1262" s="36"/>
      <c r="L1262" s="36"/>
      <c r="M1262" s="36" t="s">
        <v>9034</v>
      </c>
    </row>
    <row r="1263" spans="1:13" hidden="1">
      <c r="A1263" s="42">
        <f t="shared" si="20"/>
        <v>1262</v>
      </c>
      <c r="B1263" s="36" t="s">
        <v>8</v>
      </c>
      <c r="C1263" s="36" t="s">
        <v>9083</v>
      </c>
      <c r="D1263" s="36" t="s">
        <v>7271</v>
      </c>
      <c r="F1263" s="36" t="s">
        <v>275</v>
      </c>
      <c r="G1263" s="36" t="s">
        <v>8544</v>
      </c>
      <c r="H1263" s="36" t="str">
        <f>IFERROR(VLOOKUP(Table2[[#This Row], [Ticket]],Okey!A:B,2,0),"")</f>
        <v>ok</v>
      </c>
      <c r="I1263" s="36" t="s">
        <v>8546</v>
      </c>
      <c r="J1263" s="36" t="s">
        <v>19</v>
      </c>
      <c r="K1263" s="36"/>
      <c r="L1263" s="36"/>
      <c r="M1263" s="36" t="s">
        <v>9034</v>
      </c>
    </row>
    <row r="1264" spans="1:13" hidden="1">
      <c r="A1264" s="42">
        <f t="shared" si="20"/>
        <v>1263</v>
      </c>
      <c r="B1264" s="36" t="s">
        <v>8</v>
      </c>
      <c r="C1264" s="36" t="s">
        <v>9083</v>
      </c>
      <c r="D1264" s="36" t="s">
        <v>7286</v>
      </c>
      <c r="F1264" s="36" t="s">
        <v>275</v>
      </c>
      <c r="G1264" s="36" t="s">
        <v>8544</v>
      </c>
      <c r="H1264" s="36" t="str">
        <f>IFERROR(VLOOKUP(Table2[[#This Row], [Ticket]],Okey!A:B,2,0),"")</f>
        <v>ok</v>
      </c>
      <c r="I1264" s="36" t="s">
        <v>8546</v>
      </c>
      <c r="J1264" s="36" t="s">
        <v>19</v>
      </c>
      <c r="K1264" s="36"/>
      <c r="L1264" s="36"/>
      <c r="M1264" s="36" t="s">
        <v>9034</v>
      </c>
    </row>
    <row r="1265" spans="1:13" hidden="1">
      <c r="A1265" s="42">
        <f t="shared" si="20"/>
        <v>1264</v>
      </c>
      <c r="B1265" s="36" t="s">
        <v>8</v>
      </c>
      <c r="C1265" s="36" t="s">
        <v>9083</v>
      </c>
      <c r="D1265" s="36" t="s">
        <v>7287</v>
      </c>
      <c r="F1265" s="36" t="s">
        <v>275</v>
      </c>
      <c r="G1265" s="36" t="s">
        <v>8544</v>
      </c>
      <c r="H1265" s="36" t="str">
        <f>IFERROR(VLOOKUP(Table2[[#This Row], [Ticket]],Okey!A:B,2,0),"")</f>
        <v>ok</v>
      </c>
      <c r="I1265" s="36" t="s">
        <v>8546</v>
      </c>
      <c r="J1265" s="36" t="s">
        <v>19</v>
      </c>
      <c r="K1265" s="36"/>
      <c r="L1265" s="36"/>
      <c r="M1265" s="36" t="s">
        <v>9034</v>
      </c>
    </row>
    <row r="1266" spans="1:13" hidden="1">
      <c r="A1266" s="42">
        <f t="shared" si="20"/>
        <v>1265</v>
      </c>
      <c r="B1266" s="36" t="s">
        <v>8</v>
      </c>
      <c r="C1266" s="36" t="s">
        <v>9083</v>
      </c>
      <c r="D1266" s="36" t="s">
        <v>7288</v>
      </c>
      <c r="F1266" s="36" t="s">
        <v>275</v>
      </c>
      <c r="G1266" s="36" t="s">
        <v>8544</v>
      </c>
      <c r="H1266" s="36" t="str">
        <f>IFERROR(VLOOKUP(Table2[[#This Row], [Ticket]],Okey!A:B,2,0),"")</f>
        <v>ok</v>
      </c>
      <c r="I1266" s="36" t="s">
        <v>8546</v>
      </c>
      <c r="J1266" s="36" t="s">
        <v>19</v>
      </c>
      <c r="K1266" s="36"/>
      <c r="L1266" s="36"/>
      <c r="M1266" s="36" t="s">
        <v>9034</v>
      </c>
    </row>
    <row r="1267" spans="1:13" hidden="1">
      <c r="A1267" s="42">
        <f t="shared" si="20"/>
        <v>1266</v>
      </c>
      <c r="B1267" s="36" t="s">
        <v>8</v>
      </c>
      <c r="C1267" s="36" t="s">
        <v>9083</v>
      </c>
      <c r="D1267" s="36" t="s">
        <v>7289</v>
      </c>
      <c r="F1267" s="36" t="s">
        <v>275</v>
      </c>
      <c r="G1267" s="36" t="s">
        <v>8544</v>
      </c>
      <c r="H1267" s="36" t="str">
        <f>IFERROR(VLOOKUP(Table2[[#This Row], [Ticket]],Okey!A:B,2,0),"")</f>
        <v>ok</v>
      </c>
      <c r="I1267" s="36" t="s">
        <v>8546</v>
      </c>
      <c r="J1267" s="36" t="s">
        <v>19</v>
      </c>
      <c r="K1267" s="36"/>
      <c r="L1267" s="36"/>
      <c r="M1267" s="36" t="s">
        <v>9034</v>
      </c>
    </row>
    <row r="1268" spans="1:13" hidden="1">
      <c r="A1268" s="42">
        <f t="shared" si="20"/>
        <v>1267</v>
      </c>
      <c r="B1268" s="36" t="s">
        <v>8</v>
      </c>
      <c r="C1268" s="36" t="s">
        <v>9083</v>
      </c>
      <c r="D1268" s="36" t="s">
        <v>7290</v>
      </c>
      <c r="F1268" s="36" t="s">
        <v>275</v>
      </c>
      <c r="G1268" s="36" t="s">
        <v>8544</v>
      </c>
      <c r="H1268" s="36" t="str">
        <f>IFERROR(VLOOKUP(Table2[[#This Row], [Ticket]],Okey!A:B,2,0),"")</f>
        <v>ok</v>
      </c>
      <c r="I1268" s="36" t="s">
        <v>8546</v>
      </c>
      <c r="J1268" s="36" t="s">
        <v>19</v>
      </c>
      <c r="K1268" s="36"/>
      <c r="L1268" s="36"/>
      <c r="M1268" s="36" t="s">
        <v>9034</v>
      </c>
    </row>
    <row r="1269" spans="1:13" hidden="1">
      <c r="A1269" s="42">
        <f t="shared" si="20"/>
        <v>1268</v>
      </c>
      <c r="B1269" s="36" t="s">
        <v>8</v>
      </c>
      <c r="C1269" s="36" t="s">
        <v>9083</v>
      </c>
      <c r="D1269" s="36" t="s">
        <v>7291</v>
      </c>
      <c r="F1269" s="36" t="s">
        <v>275</v>
      </c>
      <c r="G1269" s="36" t="s">
        <v>8544</v>
      </c>
      <c r="H1269" s="36" t="str">
        <f>IFERROR(VLOOKUP(Table2[[#This Row], [Ticket]],Okey!A:B,2,0),"")</f>
        <v>ok</v>
      </c>
      <c r="I1269" s="36" t="s">
        <v>8546</v>
      </c>
      <c r="J1269" s="36" t="s">
        <v>19</v>
      </c>
      <c r="K1269" s="36"/>
      <c r="L1269" s="36"/>
      <c r="M1269" s="36" t="s">
        <v>9034</v>
      </c>
    </row>
    <row r="1270" spans="1:13" hidden="1">
      <c r="A1270" s="42">
        <f t="shared" si="20"/>
        <v>1269</v>
      </c>
      <c r="B1270" s="36" t="s">
        <v>8</v>
      </c>
      <c r="C1270" s="36" t="s">
        <v>9083</v>
      </c>
      <c r="D1270" s="36" t="s">
        <v>7306</v>
      </c>
      <c r="F1270" s="36" t="s">
        <v>275</v>
      </c>
      <c r="G1270" s="36" t="s">
        <v>8544</v>
      </c>
      <c r="H1270" s="36" t="str">
        <f>IFERROR(VLOOKUP(Table2[[#This Row], [Ticket]],Okey!A:B,2,0),"")</f>
        <v>ok</v>
      </c>
      <c r="I1270" s="36" t="s">
        <v>8546</v>
      </c>
      <c r="J1270" s="36" t="s">
        <v>19</v>
      </c>
      <c r="K1270" s="36"/>
      <c r="L1270" s="36"/>
      <c r="M1270" s="36" t="s">
        <v>9034</v>
      </c>
    </row>
    <row r="1271" spans="1:13" hidden="1">
      <c r="A1271" s="42">
        <f t="shared" si="20"/>
        <v>1270</v>
      </c>
      <c r="B1271" s="36" t="s">
        <v>8</v>
      </c>
      <c r="C1271" s="36" t="s">
        <v>9083</v>
      </c>
      <c r="D1271" s="36" t="s">
        <v>7307</v>
      </c>
      <c r="F1271" s="36" t="s">
        <v>275</v>
      </c>
      <c r="G1271" s="36" t="s">
        <v>8544</v>
      </c>
      <c r="H1271" s="36" t="str">
        <f>IFERROR(VLOOKUP(Table2[[#This Row], [Ticket]],Okey!A:B,2,0),"")</f>
        <v>ok</v>
      </c>
      <c r="I1271" s="36" t="s">
        <v>8546</v>
      </c>
      <c r="J1271" s="36" t="s">
        <v>19</v>
      </c>
      <c r="K1271" s="36"/>
      <c r="L1271" s="36"/>
      <c r="M1271" s="36" t="s">
        <v>9034</v>
      </c>
    </row>
    <row r="1272" spans="1:13" hidden="1">
      <c r="A1272" s="42">
        <f t="shared" si="20"/>
        <v>1271</v>
      </c>
      <c r="B1272" s="36" t="s">
        <v>8</v>
      </c>
      <c r="C1272" s="36" t="s">
        <v>9083</v>
      </c>
      <c r="D1272" s="36" t="s">
        <v>7308</v>
      </c>
      <c r="F1272" s="36" t="s">
        <v>275</v>
      </c>
      <c r="G1272" s="36" t="s">
        <v>8544</v>
      </c>
      <c r="H1272" s="36" t="str">
        <f>IFERROR(VLOOKUP(Table2[[#This Row], [Ticket]],Okey!A:B,2,0),"")</f>
        <v>ok</v>
      </c>
      <c r="I1272" s="36" t="s">
        <v>8546</v>
      </c>
      <c r="J1272" s="36" t="s">
        <v>19</v>
      </c>
      <c r="K1272" s="36"/>
      <c r="L1272" s="36"/>
      <c r="M1272" s="36" t="s">
        <v>9034</v>
      </c>
    </row>
    <row r="1273" spans="1:13" hidden="1">
      <c r="A1273" s="42">
        <f t="shared" si="20"/>
        <v>1272</v>
      </c>
      <c r="B1273" s="36" t="s">
        <v>8</v>
      </c>
      <c r="C1273" s="36" t="s">
        <v>9083</v>
      </c>
      <c r="D1273" s="36" t="s">
        <v>7309</v>
      </c>
      <c r="F1273" s="36" t="s">
        <v>275</v>
      </c>
      <c r="G1273" s="36" t="s">
        <v>8544</v>
      </c>
      <c r="H1273" s="36" t="str">
        <f>IFERROR(VLOOKUP(Table2[[#This Row], [Ticket]],Okey!A:B,2,0),"")</f>
        <v>ok</v>
      </c>
      <c r="I1273" s="36" t="s">
        <v>8546</v>
      </c>
      <c r="J1273" s="36" t="s">
        <v>19</v>
      </c>
      <c r="K1273" s="36"/>
      <c r="L1273" s="36"/>
      <c r="M1273" s="36" t="s">
        <v>9034</v>
      </c>
    </row>
    <row r="1274" spans="1:13" hidden="1">
      <c r="A1274" s="42">
        <f t="shared" si="20"/>
        <v>1273</v>
      </c>
      <c r="B1274" s="36" t="s">
        <v>8</v>
      </c>
      <c r="C1274" s="36" t="s">
        <v>9083</v>
      </c>
      <c r="D1274" s="36" t="s">
        <v>7310</v>
      </c>
      <c r="F1274" s="36" t="s">
        <v>275</v>
      </c>
      <c r="G1274" s="36" t="s">
        <v>8544</v>
      </c>
      <c r="H1274" s="36" t="str">
        <f>IFERROR(VLOOKUP(Table2[[#This Row], [Ticket]],Okey!A:B,2,0),"")</f>
        <v>ok</v>
      </c>
      <c r="I1274" s="36" t="s">
        <v>8546</v>
      </c>
      <c r="J1274" s="36" t="s">
        <v>19</v>
      </c>
      <c r="K1274" s="36"/>
      <c r="L1274" s="36"/>
      <c r="M1274" s="36" t="s">
        <v>9034</v>
      </c>
    </row>
    <row r="1275" spans="1:13" hidden="1">
      <c r="A1275" s="42">
        <f t="shared" si="20"/>
        <v>1274</v>
      </c>
      <c r="B1275" s="36" t="s">
        <v>8</v>
      </c>
      <c r="C1275" s="36" t="s">
        <v>9083</v>
      </c>
      <c r="D1275" s="36" t="s">
        <v>7311</v>
      </c>
      <c r="F1275" s="36" t="s">
        <v>275</v>
      </c>
      <c r="G1275" s="36" t="s">
        <v>8544</v>
      </c>
      <c r="H1275" s="36" t="str">
        <f>IFERROR(VLOOKUP(Table2[[#This Row], [Ticket]],Okey!A:B,2,0),"")</f>
        <v>ok</v>
      </c>
      <c r="I1275" s="36" t="s">
        <v>8546</v>
      </c>
      <c r="J1275" s="36" t="s">
        <v>19</v>
      </c>
      <c r="K1275" s="36"/>
      <c r="L1275" s="36"/>
      <c r="M1275" s="36" t="s">
        <v>9034</v>
      </c>
    </row>
    <row r="1276" spans="1:13" hidden="1">
      <c r="A1276" s="42">
        <f t="shared" si="20"/>
        <v>1275</v>
      </c>
      <c r="B1276" s="36" t="s">
        <v>8</v>
      </c>
      <c r="C1276" s="36" t="s">
        <v>9083</v>
      </c>
      <c r="D1276" s="36" t="s">
        <v>7326</v>
      </c>
      <c r="F1276" s="36" t="s">
        <v>275</v>
      </c>
      <c r="G1276" s="36" t="s">
        <v>8544</v>
      </c>
      <c r="H1276" s="36" t="str">
        <f>IFERROR(VLOOKUP(Table2[[#This Row], [Ticket]],Okey!A:B,2,0),"")</f>
        <v>ok</v>
      </c>
      <c r="I1276" s="36" t="s">
        <v>8546</v>
      </c>
      <c r="J1276" s="36" t="s">
        <v>19</v>
      </c>
      <c r="K1276" s="36"/>
      <c r="L1276" s="36"/>
      <c r="M1276" s="36" t="s">
        <v>9034</v>
      </c>
    </row>
    <row r="1277" spans="1:13" hidden="1">
      <c r="A1277" s="42">
        <f t="shared" si="20"/>
        <v>1276</v>
      </c>
      <c r="B1277" s="36" t="s">
        <v>8</v>
      </c>
      <c r="C1277" s="36" t="s">
        <v>9083</v>
      </c>
      <c r="D1277" s="36" t="s">
        <v>7327</v>
      </c>
      <c r="F1277" s="36" t="s">
        <v>275</v>
      </c>
      <c r="G1277" s="36" t="s">
        <v>8544</v>
      </c>
      <c r="H1277" s="36" t="str">
        <f>IFERROR(VLOOKUP(Table2[[#This Row], [Ticket]],Okey!A:B,2,0),"")</f>
        <v>ok</v>
      </c>
      <c r="I1277" s="36" t="s">
        <v>8546</v>
      </c>
      <c r="J1277" s="36" t="s">
        <v>19</v>
      </c>
      <c r="K1277" s="36"/>
      <c r="L1277" s="36"/>
      <c r="M1277" s="36" t="s">
        <v>9034</v>
      </c>
    </row>
    <row r="1278" spans="1:13" hidden="1">
      <c r="A1278" s="42">
        <f t="shared" si="20"/>
        <v>1277</v>
      </c>
      <c r="B1278" s="36" t="s">
        <v>8</v>
      </c>
      <c r="C1278" s="36" t="s">
        <v>9083</v>
      </c>
      <c r="D1278" s="36" t="s">
        <v>7328</v>
      </c>
      <c r="F1278" s="36" t="s">
        <v>275</v>
      </c>
      <c r="G1278" s="36" t="s">
        <v>8544</v>
      </c>
      <c r="H1278" s="36" t="str">
        <f>IFERROR(VLOOKUP(Table2[[#This Row], [Ticket]],Okey!A:B,2,0),"")</f>
        <v>ok</v>
      </c>
      <c r="I1278" s="36" t="s">
        <v>8546</v>
      </c>
      <c r="J1278" s="36" t="s">
        <v>19</v>
      </c>
      <c r="K1278" s="36"/>
      <c r="L1278" s="36"/>
      <c r="M1278" s="36" t="s">
        <v>9034</v>
      </c>
    </row>
    <row r="1279" spans="1:13" hidden="1">
      <c r="A1279" s="42">
        <f t="shared" si="20"/>
        <v>1278</v>
      </c>
      <c r="B1279" s="36" t="s">
        <v>8</v>
      </c>
      <c r="C1279" s="36" t="s">
        <v>9083</v>
      </c>
      <c r="D1279" s="36" t="s">
        <v>7329</v>
      </c>
      <c r="F1279" s="36" t="s">
        <v>275</v>
      </c>
      <c r="G1279" s="36" t="s">
        <v>8544</v>
      </c>
      <c r="H1279" s="36" t="str">
        <f>IFERROR(VLOOKUP(Table2[[#This Row], [Ticket]],Okey!A:B,2,0),"")</f>
        <v>ok</v>
      </c>
      <c r="I1279" s="36" t="s">
        <v>8546</v>
      </c>
      <c r="J1279" s="36" t="s">
        <v>19</v>
      </c>
      <c r="K1279" s="36"/>
      <c r="L1279" s="36"/>
      <c r="M1279" s="36" t="s">
        <v>9034</v>
      </c>
    </row>
    <row r="1280" spans="1:13" hidden="1">
      <c r="A1280" s="42">
        <f t="shared" si="20"/>
        <v>1279</v>
      </c>
      <c r="B1280" s="36" t="s">
        <v>8</v>
      </c>
      <c r="C1280" s="36" t="s">
        <v>9083</v>
      </c>
      <c r="D1280" s="36" t="s">
        <v>7330</v>
      </c>
      <c r="F1280" s="36" t="s">
        <v>275</v>
      </c>
      <c r="G1280" s="36" t="s">
        <v>8544</v>
      </c>
      <c r="H1280" s="36" t="str">
        <f>IFERROR(VLOOKUP(Table2[[#This Row], [Ticket]],Okey!A:B,2,0),"")</f>
        <v>ok</v>
      </c>
      <c r="I1280" s="36" t="s">
        <v>8546</v>
      </c>
      <c r="J1280" s="36" t="s">
        <v>19</v>
      </c>
      <c r="K1280" s="36"/>
      <c r="L1280" s="36"/>
      <c r="M1280" s="36" t="s">
        <v>9034</v>
      </c>
    </row>
    <row r="1281" spans="1:13" hidden="1">
      <c r="A1281" s="42">
        <f t="shared" si="20"/>
        <v>1280</v>
      </c>
      <c r="B1281" s="36" t="s">
        <v>8</v>
      </c>
      <c r="C1281" s="36" t="s">
        <v>9083</v>
      </c>
      <c r="D1281" s="36" t="s">
        <v>7331</v>
      </c>
      <c r="F1281" s="36" t="s">
        <v>275</v>
      </c>
      <c r="G1281" s="36" t="s">
        <v>8544</v>
      </c>
      <c r="H1281" s="36" t="str">
        <f>IFERROR(VLOOKUP(Table2[[#This Row], [Ticket]],Okey!A:B,2,0),"")</f>
        <v>ok</v>
      </c>
      <c r="I1281" s="36" t="s">
        <v>8546</v>
      </c>
      <c r="J1281" s="36" t="s">
        <v>19</v>
      </c>
      <c r="K1281" s="36"/>
      <c r="L1281" s="36"/>
      <c r="M1281" s="36" t="s">
        <v>9034</v>
      </c>
    </row>
    <row r="1282" spans="1:13" hidden="1">
      <c r="A1282" s="42">
        <f t="shared" si="20"/>
        <v>1281</v>
      </c>
      <c r="B1282" s="36" t="s">
        <v>8</v>
      </c>
      <c r="C1282" s="36" t="s">
        <v>9083</v>
      </c>
      <c r="D1282" s="36" t="s">
        <v>7346</v>
      </c>
      <c r="F1282" s="36" t="s">
        <v>275</v>
      </c>
      <c r="G1282" s="36" t="s">
        <v>8544</v>
      </c>
      <c r="H1282" s="36" t="str">
        <f>IFERROR(VLOOKUP(Table2[[#This Row], [Ticket]],Okey!A:B,2,0),"")</f>
        <v>ok</v>
      </c>
      <c r="I1282" s="36" t="s">
        <v>8546</v>
      </c>
      <c r="J1282" s="36" t="s">
        <v>19</v>
      </c>
      <c r="K1282" s="36"/>
      <c r="L1282" s="36"/>
      <c r="M1282" s="36" t="s">
        <v>9034</v>
      </c>
    </row>
    <row r="1283" spans="1:13" hidden="1">
      <c r="A1283" s="42">
        <f t="shared" si="20"/>
        <v>1282</v>
      </c>
      <c r="B1283" s="36" t="s">
        <v>8</v>
      </c>
      <c r="C1283" s="36" t="s">
        <v>9083</v>
      </c>
      <c r="D1283" s="36" t="s">
        <v>7347</v>
      </c>
      <c r="F1283" s="36" t="s">
        <v>275</v>
      </c>
      <c r="G1283" s="36" t="s">
        <v>8544</v>
      </c>
      <c r="H1283" s="36" t="str">
        <f>IFERROR(VLOOKUP(Table2[[#This Row], [Ticket]],Okey!A:B,2,0),"")</f>
        <v>ok</v>
      </c>
      <c r="I1283" s="36" t="s">
        <v>8546</v>
      </c>
      <c r="J1283" s="36" t="s">
        <v>19</v>
      </c>
      <c r="K1283" s="36"/>
      <c r="L1283" s="36"/>
      <c r="M1283" s="36" t="s">
        <v>9034</v>
      </c>
    </row>
    <row r="1284" spans="1:13" hidden="1">
      <c r="A1284" s="42">
        <f t="shared" si="20"/>
        <v>1283</v>
      </c>
      <c r="B1284" s="36" t="s">
        <v>8</v>
      </c>
      <c r="C1284" s="36" t="s">
        <v>9083</v>
      </c>
      <c r="D1284" s="36" t="s">
        <v>7348</v>
      </c>
      <c r="F1284" s="36" t="s">
        <v>275</v>
      </c>
      <c r="G1284" s="36" t="s">
        <v>8544</v>
      </c>
      <c r="H1284" s="36" t="str">
        <f>IFERROR(VLOOKUP(Table2[[#This Row], [Ticket]],Okey!A:B,2,0),"")</f>
        <v>ok</v>
      </c>
      <c r="I1284" s="36" t="s">
        <v>8546</v>
      </c>
      <c r="J1284" s="36" t="s">
        <v>19</v>
      </c>
      <c r="K1284" s="36"/>
      <c r="L1284" s="36"/>
      <c r="M1284" s="36" t="s">
        <v>9034</v>
      </c>
    </row>
    <row r="1285" spans="1:13" hidden="1">
      <c r="A1285" s="42">
        <f t="shared" si="20"/>
        <v>1284</v>
      </c>
      <c r="B1285" s="36" t="s">
        <v>8</v>
      </c>
      <c r="C1285" s="36" t="s">
        <v>9083</v>
      </c>
      <c r="D1285" s="36" t="s">
        <v>7349</v>
      </c>
      <c r="F1285" s="36" t="s">
        <v>275</v>
      </c>
      <c r="G1285" s="36" t="s">
        <v>8544</v>
      </c>
      <c r="H1285" s="36" t="str">
        <f>IFERROR(VLOOKUP(Table2[[#This Row], [Ticket]],Okey!A:B,2,0),"")</f>
        <v>ok</v>
      </c>
      <c r="I1285" s="36" t="s">
        <v>8546</v>
      </c>
      <c r="J1285" s="36" t="s">
        <v>19</v>
      </c>
      <c r="K1285" s="36"/>
      <c r="L1285" s="36"/>
      <c r="M1285" s="36" t="s">
        <v>9034</v>
      </c>
    </row>
    <row r="1286" spans="1:13" hidden="1">
      <c r="A1286" s="42">
        <f t="shared" si="20"/>
        <v>1285</v>
      </c>
      <c r="B1286" s="36" t="s">
        <v>8</v>
      </c>
      <c r="C1286" s="36" t="s">
        <v>9083</v>
      </c>
      <c r="D1286" s="36" t="s">
        <v>7350</v>
      </c>
      <c r="F1286" s="36" t="s">
        <v>275</v>
      </c>
      <c r="G1286" s="36" t="s">
        <v>8544</v>
      </c>
      <c r="H1286" s="36" t="str">
        <f>IFERROR(VLOOKUP(Table2[[#This Row], [Ticket]],Okey!A:B,2,0),"")</f>
        <v>ok</v>
      </c>
      <c r="I1286" s="36" t="s">
        <v>8546</v>
      </c>
      <c r="J1286" s="36" t="s">
        <v>19</v>
      </c>
      <c r="K1286" s="36"/>
      <c r="L1286" s="36"/>
      <c r="M1286" s="36" t="s">
        <v>9034</v>
      </c>
    </row>
    <row r="1287" spans="1:13" hidden="1">
      <c r="A1287" s="42">
        <f t="shared" si="20"/>
        <v>1286</v>
      </c>
      <c r="B1287" s="36" t="s">
        <v>8</v>
      </c>
      <c r="C1287" s="36" t="s">
        <v>9083</v>
      </c>
      <c r="D1287" s="36" t="s">
        <v>7351</v>
      </c>
      <c r="F1287" s="36" t="s">
        <v>275</v>
      </c>
      <c r="G1287" s="36" t="s">
        <v>8544</v>
      </c>
      <c r="H1287" s="36" t="str">
        <f>IFERROR(VLOOKUP(Table2[[#This Row], [Ticket]],Okey!A:B,2,0),"")</f>
        <v>ok</v>
      </c>
      <c r="I1287" s="36" t="s">
        <v>8546</v>
      </c>
      <c r="J1287" s="36" t="s">
        <v>19</v>
      </c>
      <c r="K1287" s="36"/>
      <c r="L1287" s="36"/>
      <c r="M1287" s="36" t="s">
        <v>9034</v>
      </c>
    </row>
    <row r="1288" spans="1:13" hidden="1">
      <c r="A1288" s="42">
        <f t="shared" si="20"/>
        <v>1287</v>
      </c>
      <c r="B1288" s="36" t="s">
        <v>8</v>
      </c>
      <c r="C1288" s="36" t="s">
        <v>9083</v>
      </c>
      <c r="D1288" s="36" t="s">
        <v>7366</v>
      </c>
      <c r="F1288" s="36" t="s">
        <v>275</v>
      </c>
      <c r="G1288" s="36" t="s">
        <v>8544</v>
      </c>
      <c r="H1288" s="36" t="str">
        <f>IFERROR(VLOOKUP(Table2[[#This Row], [Ticket]],Okey!A:B,2,0),"")</f>
        <v>ok</v>
      </c>
      <c r="I1288" s="36" t="s">
        <v>8546</v>
      </c>
      <c r="J1288" s="36" t="s">
        <v>19</v>
      </c>
      <c r="K1288" s="36"/>
      <c r="L1288" s="36"/>
      <c r="M1288" s="36" t="s">
        <v>9034</v>
      </c>
    </row>
    <row r="1289" spans="1:13" hidden="1">
      <c r="A1289" s="42">
        <f t="shared" si="20"/>
        <v>1288</v>
      </c>
      <c r="B1289" s="36" t="s">
        <v>8</v>
      </c>
      <c r="C1289" s="36" t="s">
        <v>9083</v>
      </c>
      <c r="D1289" s="36" t="s">
        <v>7367</v>
      </c>
      <c r="F1289" s="36" t="s">
        <v>275</v>
      </c>
      <c r="G1289" s="36" t="s">
        <v>8544</v>
      </c>
      <c r="H1289" s="36" t="str">
        <f>IFERROR(VLOOKUP(Table2[[#This Row], [Ticket]],Okey!A:B,2,0),"")</f>
        <v>ok</v>
      </c>
      <c r="I1289" s="36" t="s">
        <v>8546</v>
      </c>
      <c r="J1289" s="36" t="s">
        <v>19</v>
      </c>
      <c r="K1289" s="36"/>
      <c r="L1289" s="36"/>
      <c r="M1289" s="36" t="s">
        <v>9034</v>
      </c>
    </row>
    <row r="1290" spans="1:13" hidden="1">
      <c r="A1290" s="42">
        <f t="shared" si="20"/>
        <v>1289</v>
      </c>
      <c r="B1290" s="36" t="s">
        <v>8</v>
      </c>
      <c r="C1290" s="36" t="s">
        <v>9083</v>
      </c>
      <c r="D1290" s="36" t="s">
        <v>7368</v>
      </c>
      <c r="F1290" s="36" t="s">
        <v>275</v>
      </c>
      <c r="G1290" s="36" t="s">
        <v>8544</v>
      </c>
      <c r="H1290" s="36" t="str">
        <f>IFERROR(VLOOKUP(Table2[[#This Row], [Ticket]],Okey!A:B,2,0),"")</f>
        <v>ok</v>
      </c>
      <c r="I1290" s="36" t="s">
        <v>8546</v>
      </c>
      <c r="J1290" s="36" t="s">
        <v>19</v>
      </c>
      <c r="K1290" s="36"/>
      <c r="L1290" s="36"/>
      <c r="M1290" s="36" t="s">
        <v>9034</v>
      </c>
    </row>
    <row r="1291" spans="1:13" hidden="1">
      <c r="A1291" s="42">
        <f t="shared" si="20"/>
        <v>1290</v>
      </c>
      <c r="B1291" s="36" t="s">
        <v>8</v>
      </c>
      <c r="C1291" s="36" t="s">
        <v>9083</v>
      </c>
      <c r="D1291" s="36" t="s">
        <v>7369</v>
      </c>
      <c r="F1291" s="36" t="s">
        <v>275</v>
      </c>
      <c r="G1291" s="36" t="s">
        <v>8544</v>
      </c>
      <c r="H1291" s="36" t="str">
        <f>IFERROR(VLOOKUP(Table2[[#This Row], [Ticket]],Okey!A:B,2,0),"")</f>
        <v>ok</v>
      </c>
      <c r="I1291" s="36" t="s">
        <v>8546</v>
      </c>
      <c r="J1291" s="36" t="s">
        <v>19</v>
      </c>
      <c r="K1291" s="36"/>
      <c r="L1291" s="36"/>
      <c r="M1291" s="36" t="s">
        <v>9034</v>
      </c>
    </row>
    <row r="1292" spans="1:13" hidden="1">
      <c r="A1292" s="42">
        <f t="shared" si="20"/>
        <v>1291</v>
      </c>
      <c r="B1292" s="36" t="s">
        <v>8</v>
      </c>
      <c r="C1292" s="36" t="s">
        <v>9083</v>
      </c>
      <c r="D1292" s="36" t="s">
        <v>7370</v>
      </c>
      <c r="F1292" s="36" t="s">
        <v>275</v>
      </c>
      <c r="G1292" s="36" t="s">
        <v>8544</v>
      </c>
      <c r="H1292" s="36" t="str">
        <f>IFERROR(VLOOKUP(Table2[[#This Row], [Ticket]],Okey!A:B,2,0),"")</f>
        <v>ok</v>
      </c>
      <c r="I1292" s="36" t="s">
        <v>8546</v>
      </c>
      <c r="J1292" s="36" t="s">
        <v>19</v>
      </c>
      <c r="K1292" s="36"/>
      <c r="L1292" s="36"/>
      <c r="M1292" s="36" t="s">
        <v>9034</v>
      </c>
    </row>
    <row r="1293" spans="1:13" hidden="1">
      <c r="A1293" s="42">
        <f t="shared" si="20"/>
        <v>1292</v>
      </c>
      <c r="B1293" s="36" t="s">
        <v>8</v>
      </c>
      <c r="C1293" s="36" t="s">
        <v>9083</v>
      </c>
      <c r="D1293" s="36" t="s">
        <v>7371</v>
      </c>
      <c r="F1293" s="36" t="s">
        <v>275</v>
      </c>
      <c r="G1293" s="36" t="s">
        <v>8544</v>
      </c>
      <c r="H1293" s="36" t="str">
        <f>IFERROR(VLOOKUP(Table2[[#This Row], [Ticket]],Okey!A:B,2,0),"")</f>
        <v>ok</v>
      </c>
      <c r="I1293" s="36" t="s">
        <v>8546</v>
      </c>
      <c r="J1293" s="36" t="s">
        <v>19</v>
      </c>
      <c r="K1293" s="36"/>
      <c r="L1293" s="36"/>
      <c r="M1293" s="36" t="s">
        <v>9034</v>
      </c>
    </row>
    <row r="1294" spans="1:13" hidden="1">
      <c r="A1294" s="42">
        <f t="shared" si="20"/>
        <v>1293</v>
      </c>
      <c r="B1294" s="36" t="s">
        <v>8</v>
      </c>
      <c r="C1294" s="36" t="s">
        <v>9083</v>
      </c>
      <c r="D1294" s="36" t="s">
        <v>7386</v>
      </c>
      <c r="F1294" s="36" t="s">
        <v>275</v>
      </c>
      <c r="G1294" s="36" t="s">
        <v>8544</v>
      </c>
      <c r="H1294" s="36" t="str">
        <f>IFERROR(VLOOKUP(Table2[[#This Row], [Ticket]],Okey!A:B,2,0),"")</f>
        <v>ok</v>
      </c>
      <c r="I1294" s="36" t="s">
        <v>8546</v>
      </c>
      <c r="J1294" s="36" t="s">
        <v>19</v>
      </c>
      <c r="K1294" s="36"/>
      <c r="L1294" s="36"/>
      <c r="M1294" s="36" t="s">
        <v>9034</v>
      </c>
    </row>
    <row r="1295" spans="1:13" hidden="1">
      <c r="A1295" s="42">
        <f t="shared" si="20"/>
        <v>1294</v>
      </c>
      <c r="B1295" s="36" t="s">
        <v>8</v>
      </c>
      <c r="C1295" s="36" t="s">
        <v>9083</v>
      </c>
      <c r="D1295" s="36" t="s">
        <v>7387</v>
      </c>
      <c r="F1295" s="36" t="s">
        <v>275</v>
      </c>
      <c r="G1295" s="36" t="s">
        <v>8544</v>
      </c>
      <c r="H1295" s="36" t="str">
        <f>IFERROR(VLOOKUP(Table2[[#This Row], [Ticket]],Okey!A:B,2,0),"")</f>
        <v>ok</v>
      </c>
      <c r="I1295" s="36" t="s">
        <v>8546</v>
      </c>
      <c r="J1295" s="36" t="s">
        <v>19</v>
      </c>
      <c r="K1295" s="36"/>
      <c r="L1295" s="36"/>
      <c r="M1295" s="36" t="s">
        <v>9034</v>
      </c>
    </row>
    <row r="1296" spans="1:13" hidden="1">
      <c r="A1296" s="42">
        <f t="shared" si="20"/>
        <v>1295</v>
      </c>
      <c r="B1296" s="36" t="s">
        <v>8</v>
      </c>
      <c r="C1296" s="36" t="s">
        <v>9083</v>
      </c>
      <c r="D1296" s="36" t="s">
        <v>7388</v>
      </c>
      <c r="F1296" s="36" t="s">
        <v>275</v>
      </c>
      <c r="G1296" s="36" t="s">
        <v>8544</v>
      </c>
      <c r="H1296" s="36" t="str">
        <f>IFERROR(VLOOKUP(Table2[[#This Row], [Ticket]],Okey!A:B,2,0),"")</f>
        <v>ok</v>
      </c>
      <c r="I1296" s="36" t="s">
        <v>8546</v>
      </c>
      <c r="J1296" s="36" t="s">
        <v>19</v>
      </c>
      <c r="K1296" s="36"/>
      <c r="L1296" s="36"/>
      <c r="M1296" s="36" t="s">
        <v>9034</v>
      </c>
    </row>
    <row r="1297" spans="1:13" hidden="1">
      <c r="A1297" s="42">
        <f t="shared" si="20"/>
        <v>1296</v>
      </c>
      <c r="B1297" s="36" t="s">
        <v>8</v>
      </c>
      <c r="C1297" s="36" t="s">
        <v>9083</v>
      </c>
      <c r="D1297" s="36" t="s">
        <v>7389</v>
      </c>
      <c r="F1297" s="36" t="s">
        <v>275</v>
      </c>
      <c r="G1297" s="36" t="s">
        <v>8544</v>
      </c>
      <c r="H1297" s="36" t="str">
        <f>IFERROR(VLOOKUP(Table2[[#This Row], [Ticket]],Okey!A:B,2,0),"")</f>
        <v>ok</v>
      </c>
      <c r="I1297" s="36" t="s">
        <v>8546</v>
      </c>
      <c r="J1297" s="36" t="s">
        <v>19</v>
      </c>
      <c r="K1297" s="36"/>
      <c r="L1297" s="36"/>
      <c r="M1297" s="36" t="s">
        <v>9034</v>
      </c>
    </row>
    <row r="1298" spans="1:13" hidden="1">
      <c r="A1298" s="42">
        <f t="shared" si="20"/>
        <v>1297</v>
      </c>
      <c r="B1298" s="36" t="s">
        <v>8</v>
      </c>
      <c r="C1298" s="36" t="s">
        <v>9083</v>
      </c>
      <c r="D1298" s="36" t="s">
        <v>7390</v>
      </c>
      <c r="F1298" s="36" t="s">
        <v>275</v>
      </c>
      <c r="G1298" s="36" t="s">
        <v>8544</v>
      </c>
      <c r="H1298" s="36" t="str">
        <f>IFERROR(VLOOKUP(Table2[[#This Row], [Ticket]],Okey!A:B,2,0),"")</f>
        <v>ok</v>
      </c>
      <c r="I1298" s="36" t="s">
        <v>8546</v>
      </c>
      <c r="J1298" s="36" t="s">
        <v>19</v>
      </c>
      <c r="K1298" s="36"/>
      <c r="L1298" s="36"/>
      <c r="M1298" s="36" t="s">
        <v>9034</v>
      </c>
    </row>
    <row r="1299" spans="1:13" hidden="1">
      <c r="A1299" s="42">
        <f t="shared" si="20"/>
        <v>1298</v>
      </c>
      <c r="B1299" s="36" t="s">
        <v>8</v>
      </c>
      <c r="C1299" s="36" t="s">
        <v>9083</v>
      </c>
      <c r="D1299" s="36" t="s">
        <v>7391</v>
      </c>
      <c r="F1299" s="36" t="s">
        <v>275</v>
      </c>
      <c r="G1299" s="36" t="s">
        <v>8544</v>
      </c>
      <c r="H1299" s="36" t="str">
        <f>IFERROR(VLOOKUP(Table2[[#This Row], [Ticket]],Okey!A:B,2,0),"")</f>
        <v>ok</v>
      </c>
      <c r="I1299" s="36" t="s">
        <v>8546</v>
      </c>
      <c r="J1299" s="36" t="s">
        <v>19</v>
      </c>
      <c r="K1299" s="36"/>
      <c r="L1299" s="36"/>
      <c r="M1299" s="36" t="s">
        <v>9034</v>
      </c>
    </row>
    <row r="1300" spans="1:13" hidden="1">
      <c r="A1300" s="42">
        <f t="shared" ref="A1300:A1363" si="21">1+A1299</f>
        <v>1299</v>
      </c>
      <c r="B1300" s="36" t="s">
        <v>8</v>
      </c>
      <c r="C1300" s="36" t="s">
        <v>9083</v>
      </c>
      <c r="D1300" s="36" t="s">
        <v>7406</v>
      </c>
      <c r="F1300" s="36" t="s">
        <v>275</v>
      </c>
      <c r="G1300" s="36" t="s">
        <v>8544</v>
      </c>
      <c r="H1300" s="36" t="str">
        <f>IFERROR(VLOOKUP(Table2[[#This Row], [Ticket]],Okey!A:B,2,0),"")</f>
        <v>ok</v>
      </c>
      <c r="I1300" s="36" t="s">
        <v>8546</v>
      </c>
      <c r="J1300" s="36" t="s">
        <v>19</v>
      </c>
      <c r="K1300" s="36"/>
      <c r="L1300" s="36"/>
      <c r="M1300" s="36" t="s">
        <v>9034</v>
      </c>
    </row>
    <row r="1301" spans="1:13" hidden="1">
      <c r="A1301" s="42">
        <f t="shared" si="21"/>
        <v>1300</v>
      </c>
      <c r="B1301" s="36" t="s">
        <v>8</v>
      </c>
      <c r="C1301" s="36" t="s">
        <v>9083</v>
      </c>
      <c r="D1301" s="36" t="s">
        <v>7407</v>
      </c>
      <c r="F1301" s="36" t="s">
        <v>275</v>
      </c>
      <c r="G1301" s="36" t="s">
        <v>8544</v>
      </c>
      <c r="H1301" s="36" t="str">
        <f>IFERROR(VLOOKUP(Table2[[#This Row], [Ticket]],Okey!A:B,2,0),"")</f>
        <v>ok</v>
      </c>
      <c r="I1301" s="36" t="s">
        <v>8546</v>
      </c>
      <c r="J1301" s="36" t="s">
        <v>19</v>
      </c>
      <c r="K1301" s="36"/>
      <c r="L1301" s="36"/>
      <c r="M1301" s="36" t="s">
        <v>9034</v>
      </c>
    </row>
    <row r="1302" spans="1:13" hidden="1">
      <c r="A1302" s="42">
        <f t="shared" si="21"/>
        <v>1301</v>
      </c>
      <c r="B1302" s="36" t="s">
        <v>8</v>
      </c>
      <c r="C1302" s="36" t="s">
        <v>9083</v>
      </c>
      <c r="D1302" s="36" t="s">
        <v>7408</v>
      </c>
      <c r="F1302" s="36" t="s">
        <v>275</v>
      </c>
      <c r="G1302" s="36" t="s">
        <v>8544</v>
      </c>
      <c r="H1302" s="36" t="str">
        <f>IFERROR(VLOOKUP(Table2[[#This Row], [Ticket]],Okey!A:B,2,0),"")</f>
        <v>ok</v>
      </c>
      <c r="I1302" s="36" t="s">
        <v>8546</v>
      </c>
      <c r="J1302" s="36" t="s">
        <v>19</v>
      </c>
      <c r="K1302" s="36"/>
      <c r="L1302" s="36"/>
      <c r="M1302" s="36" t="s">
        <v>9034</v>
      </c>
    </row>
    <row r="1303" spans="1:13" hidden="1">
      <c r="A1303" s="42">
        <f t="shared" si="21"/>
        <v>1302</v>
      </c>
      <c r="B1303" s="36" t="s">
        <v>8</v>
      </c>
      <c r="C1303" s="36" t="s">
        <v>9083</v>
      </c>
      <c r="D1303" s="36" t="s">
        <v>7409</v>
      </c>
      <c r="F1303" s="36" t="s">
        <v>275</v>
      </c>
      <c r="G1303" s="36" t="s">
        <v>8544</v>
      </c>
      <c r="H1303" s="36" t="str">
        <f>IFERROR(VLOOKUP(Table2[[#This Row], [Ticket]],Okey!A:B,2,0),"")</f>
        <v>ok</v>
      </c>
      <c r="I1303" s="36" t="s">
        <v>8546</v>
      </c>
      <c r="J1303" s="36" t="s">
        <v>19</v>
      </c>
      <c r="K1303" s="36"/>
      <c r="L1303" s="36"/>
      <c r="M1303" s="36" t="s">
        <v>9034</v>
      </c>
    </row>
    <row r="1304" spans="1:13" hidden="1">
      <c r="A1304" s="42">
        <f t="shared" si="21"/>
        <v>1303</v>
      </c>
      <c r="B1304" s="36" t="s">
        <v>8</v>
      </c>
      <c r="C1304" s="36" t="s">
        <v>9083</v>
      </c>
      <c r="D1304" s="36" t="s">
        <v>7410</v>
      </c>
      <c r="F1304" s="36" t="s">
        <v>275</v>
      </c>
      <c r="G1304" s="36" t="s">
        <v>8544</v>
      </c>
      <c r="H1304" s="36" t="str">
        <f>IFERROR(VLOOKUP(Table2[[#This Row], [Ticket]],Okey!A:B,2,0),"")</f>
        <v>ok</v>
      </c>
      <c r="I1304" s="36" t="s">
        <v>8546</v>
      </c>
      <c r="J1304" s="36" t="s">
        <v>19</v>
      </c>
      <c r="K1304" s="36"/>
      <c r="L1304" s="36"/>
      <c r="M1304" s="36" t="s">
        <v>9034</v>
      </c>
    </row>
    <row r="1305" spans="1:13" hidden="1">
      <c r="A1305" s="42">
        <f t="shared" si="21"/>
        <v>1304</v>
      </c>
      <c r="B1305" s="36" t="s">
        <v>8</v>
      </c>
      <c r="C1305" s="36" t="s">
        <v>9083</v>
      </c>
      <c r="D1305" s="36" t="s">
        <v>7411</v>
      </c>
      <c r="F1305" s="36" t="s">
        <v>275</v>
      </c>
      <c r="G1305" s="36" t="s">
        <v>8544</v>
      </c>
      <c r="H1305" s="36" t="str">
        <f>IFERROR(VLOOKUP(Table2[[#This Row], [Ticket]],Okey!A:B,2,0),"")</f>
        <v>ok</v>
      </c>
      <c r="I1305" s="36" t="s">
        <v>8546</v>
      </c>
      <c r="J1305" s="36" t="s">
        <v>19</v>
      </c>
      <c r="K1305" s="36"/>
      <c r="L1305" s="36"/>
      <c r="M1305" s="36" t="s">
        <v>9034</v>
      </c>
    </row>
    <row r="1306" spans="1:13" hidden="1">
      <c r="A1306" s="42">
        <f t="shared" si="21"/>
        <v>1305</v>
      </c>
      <c r="B1306" s="36" t="s">
        <v>8</v>
      </c>
      <c r="C1306" s="36" t="s">
        <v>9083</v>
      </c>
      <c r="D1306" s="36" t="s">
        <v>7426</v>
      </c>
      <c r="F1306" s="36" t="s">
        <v>275</v>
      </c>
      <c r="G1306" s="36" t="s">
        <v>8544</v>
      </c>
      <c r="H1306" s="36" t="str">
        <f>IFERROR(VLOOKUP(Table2[[#This Row], [Ticket]],Okey!A:B,2,0),"")</f>
        <v>ok</v>
      </c>
      <c r="I1306" s="36" t="s">
        <v>8546</v>
      </c>
      <c r="J1306" s="36" t="s">
        <v>19</v>
      </c>
      <c r="K1306" s="36"/>
      <c r="L1306" s="36"/>
      <c r="M1306" s="36" t="s">
        <v>9034</v>
      </c>
    </row>
    <row r="1307" spans="1:13" hidden="1">
      <c r="A1307" s="42">
        <f t="shared" si="21"/>
        <v>1306</v>
      </c>
      <c r="B1307" s="36" t="s">
        <v>8</v>
      </c>
      <c r="C1307" s="36" t="s">
        <v>9083</v>
      </c>
      <c r="D1307" s="36" t="s">
        <v>7427</v>
      </c>
      <c r="F1307" s="36" t="s">
        <v>275</v>
      </c>
      <c r="G1307" s="36" t="s">
        <v>8544</v>
      </c>
      <c r="H1307" s="36" t="str">
        <f>IFERROR(VLOOKUP(Table2[[#This Row], [Ticket]],Okey!A:B,2,0),"")</f>
        <v>ok</v>
      </c>
      <c r="I1307" s="36" t="s">
        <v>8546</v>
      </c>
      <c r="J1307" s="36" t="s">
        <v>19</v>
      </c>
      <c r="K1307" s="36"/>
      <c r="L1307" s="36"/>
      <c r="M1307" s="36" t="s">
        <v>9034</v>
      </c>
    </row>
    <row r="1308" spans="1:13" hidden="1">
      <c r="A1308" s="42">
        <f t="shared" si="21"/>
        <v>1307</v>
      </c>
      <c r="B1308" s="36" t="s">
        <v>8</v>
      </c>
      <c r="C1308" s="36" t="s">
        <v>9083</v>
      </c>
      <c r="D1308" s="36" t="s">
        <v>7428</v>
      </c>
      <c r="F1308" s="36" t="s">
        <v>275</v>
      </c>
      <c r="G1308" s="36" t="s">
        <v>8544</v>
      </c>
      <c r="H1308" s="36" t="str">
        <f>IFERROR(VLOOKUP(Table2[[#This Row], [Ticket]],Okey!A:B,2,0),"")</f>
        <v>ok</v>
      </c>
      <c r="I1308" s="36" t="s">
        <v>8546</v>
      </c>
      <c r="J1308" s="36" t="s">
        <v>19</v>
      </c>
      <c r="K1308" s="36"/>
      <c r="L1308" s="36"/>
      <c r="M1308" s="36" t="s">
        <v>9034</v>
      </c>
    </row>
    <row r="1309" spans="1:13" hidden="1">
      <c r="A1309" s="42">
        <f t="shared" si="21"/>
        <v>1308</v>
      </c>
      <c r="B1309" s="36" t="s">
        <v>8</v>
      </c>
      <c r="C1309" s="36" t="s">
        <v>9083</v>
      </c>
      <c r="D1309" s="36" t="s">
        <v>7429</v>
      </c>
      <c r="F1309" s="36" t="s">
        <v>275</v>
      </c>
      <c r="G1309" s="36" t="s">
        <v>8544</v>
      </c>
      <c r="H1309" s="36" t="str">
        <f>IFERROR(VLOOKUP(Table2[[#This Row], [Ticket]],Okey!A:B,2,0),"")</f>
        <v>ok</v>
      </c>
      <c r="I1309" s="36" t="s">
        <v>8546</v>
      </c>
      <c r="J1309" s="36" t="s">
        <v>19</v>
      </c>
      <c r="K1309" s="36"/>
      <c r="L1309" s="36"/>
      <c r="M1309" s="36" t="s">
        <v>9034</v>
      </c>
    </row>
    <row r="1310" spans="1:13" hidden="1">
      <c r="A1310" s="42">
        <f t="shared" si="21"/>
        <v>1309</v>
      </c>
      <c r="B1310" s="36" t="s">
        <v>8</v>
      </c>
      <c r="C1310" s="36" t="s">
        <v>9083</v>
      </c>
      <c r="D1310" s="36" t="s">
        <v>7430</v>
      </c>
      <c r="F1310" s="36" t="s">
        <v>275</v>
      </c>
      <c r="G1310" s="36" t="s">
        <v>8544</v>
      </c>
      <c r="H1310" s="36" t="str">
        <f>IFERROR(VLOOKUP(Table2[[#This Row], [Ticket]],Okey!A:B,2,0),"")</f>
        <v>ok</v>
      </c>
      <c r="I1310" s="36" t="s">
        <v>8546</v>
      </c>
      <c r="J1310" s="36" t="s">
        <v>19</v>
      </c>
      <c r="K1310" s="36"/>
      <c r="L1310" s="36"/>
      <c r="M1310" s="36" t="s">
        <v>9034</v>
      </c>
    </row>
    <row r="1311" spans="1:13" hidden="1">
      <c r="A1311" s="42">
        <f t="shared" si="21"/>
        <v>1310</v>
      </c>
      <c r="B1311" s="36" t="s">
        <v>8</v>
      </c>
      <c r="C1311" s="36" t="s">
        <v>9083</v>
      </c>
      <c r="D1311" s="36" t="s">
        <v>7431</v>
      </c>
      <c r="F1311" s="36" t="s">
        <v>275</v>
      </c>
      <c r="G1311" s="36" t="s">
        <v>8544</v>
      </c>
      <c r="H1311" s="36" t="str">
        <f>IFERROR(VLOOKUP(Table2[[#This Row], [Ticket]],Okey!A:B,2,0),"")</f>
        <v>ok</v>
      </c>
      <c r="I1311" s="36" t="s">
        <v>8546</v>
      </c>
      <c r="J1311" s="36" t="s">
        <v>19</v>
      </c>
      <c r="K1311" s="36"/>
      <c r="L1311" s="36"/>
      <c r="M1311" s="36" t="s">
        <v>9034</v>
      </c>
    </row>
    <row r="1312" spans="1:13" hidden="1">
      <c r="A1312" s="42">
        <f t="shared" si="21"/>
        <v>1311</v>
      </c>
      <c r="B1312" s="36" t="s">
        <v>8</v>
      </c>
      <c r="C1312" s="36" t="s">
        <v>9083</v>
      </c>
      <c r="D1312" s="36" t="s">
        <v>7446</v>
      </c>
      <c r="F1312" s="36" t="s">
        <v>275</v>
      </c>
      <c r="G1312" s="36" t="s">
        <v>8544</v>
      </c>
      <c r="H1312" s="36" t="str">
        <f>IFERROR(VLOOKUP(Table2[[#This Row], [Ticket]],Okey!A:B,2,0),"")</f>
        <v>ok</v>
      </c>
      <c r="I1312" s="36" t="s">
        <v>8546</v>
      </c>
      <c r="J1312" s="36" t="s">
        <v>19</v>
      </c>
      <c r="K1312" s="36"/>
      <c r="L1312" s="36"/>
      <c r="M1312" s="36" t="s">
        <v>9034</v>
      </c>
    </row>
    <row r="1313" spans="1:13" hidden="1">
      <c r="A1313" s="42">
        <f t="shared" si="21"/>
        <v>1312</v>
      </c>
      <c r="B1313" s="36" t="s">
        <v>8</v>
      </c>
      <c r="C1313" s="36" t="s">
        <v>9083</v>
      </c>
      <c r="D1313" s="36" t="s">
        <v>7447</v>
      </c>
      <c r="F1313" s="36" t="s">
        <v>275</v>
      </c>
      <c r="G1313" s="36" t="s">
        <v>8544</v>
      </c>
      <c r="H1313" s="36" t="str">
        <f>IFERROR(VLOOKUP(Table2[[#This Row], [Ticket]],Okey!A:B,2,0),"")</f>
        <v>ok</v>
      </c>
      <c r="I1313" s="36" t="s">
        <v>8546</v>
      </c>
      <c r="J1313" s="36" t="s">
        <v>19</v>
      </c>
      <c r="K1313" s="36"/>
      <c r="L1313" s="36"/>
      <c r="M1313" s="36" t="s">
        <v>9034</v>
      </c>
    </row>
    <row r="1314" spans="1:13" hidden="1">
      <c r="A1314" s="42">
        <f t="shared" si="21"/>
        <v>1313</v>
      </c>
      <c r="B1314" s="36" t="s">
        <v>8</v>
      </c>
      <c r="C1314" s="36" t="s">
        <v>9083</v>
      </c>
      <c r="D1314" s="36" t="s">
        <v>7448</v>
      </c>
      <c r="F1314" s="36" t="s">
        <v>275</v>
      </c>
      <c r="G1314" s="36" t="s">
        <v>8544</v>
      </c>
      <c r="H1314" s="36" t="str">
        <f>IFERROR(VLOOKUP(Table2[[#This Row], [Ticket]],Okey!A:B,2,0),"")</f>
        <v>ok</v>
      </c>
      <c r="I1314" s="36" t="s">
        <v>8546</v>
      </c>
      <c r="J1314" s="36" t="s">
        <v>19</v>
      </c>
      <c r="K1314" s="36"/>
      <c r="L1314" s="36"/>
      <c r="M1314" s="36" t="s">
        <v>9034</v>
      </c>
    </row>
    <row r="1315" spans="1:13" hidden="1">
      <c r="A1315" s="42">
        <f t="shared" si="21"/>
        <v>1314</v>
      </c>
      <c r="B1315" s="36" t="s">
        <v>8</v>
      </c>
      <c r="C1315" s="36" t="s">
        <v>9083</v>
      </c>
      <c r="D1315" s="36" t="s">
        <v>7449</v>
      </c>
      <c r="F1315" s="36" t="s">
        <v>275</v>
      </c>
      <c r="G1315" s="36" t="s">
        <v>8544</v>
      </c>
      <c r="H1315" s="36" t="str">
        <f>IFERROR(VLOOKUP(Table2[[#This Row], [Ticket]],Okey!A:B,2,0),"")</f>
        <v>ok</v>
      </c>
      <c r="I1315" s="36" t="s">
        <v>8546</v>
      </c>
      <c r="J1315" s="36" t="s">
        <v>19</v>
      </c>
      <c r="K1315" s="36"/>
      <c r="L1315" s="36"/>
      <c r="M1315" s="36" t="s">
        <v>9034</v>
      </c>
    </row>
    <row r="1316" spans="1:13" hidden="1">
      <c r="A1316" s="42">
        <f t="shared" si="21"/>
        <v>1315</v>
      </c>
      <c r="B1316" s="36" t="s">
        <v>8</v>
      </c>
      <c r="C1316" s="36" t="s">
        <v>9083</v>
      </c>
      <c r="D1316" s="36" t="s">
        <v>7450</v>
      </c>
      <c r="F1316" s="36" t="s">
        <v>275</v>
      </c>
      <c r="G1316" s="36" t="s">
        <v>8544</v>
      </c>
      <c r="H1316" s="36" t="str">
        <f>IFERROR(VLOOKUP(Table2[[#This Row], [Ticket]],Okey!A:B,2,0),"")</f>
        <v>ok</v>
      </c>
      <c r="I1316" s="36" t="s">
        <v>8546</v>
      </c>
      <c r="J1316" s="36" t="s">
        <v>19</v>
      </c>
      <c r="K1316" s="36"/>
      <c r="L1316" s="36"/>
      <c r="M1316" s="36" t="s">
        <v>9034</v>
      </c>
    </row>
    <row r="1317" spans="1:13" hidden="1">
      <c r="A1317" s="42">
        <f t="shared" si="21"/>
        <v>1316</v>
      </c>
      <c r="B1317" s="36" t="s">
        <v>8</v>
      </c>
      <c r="C1317" s="36" t="s">
        <v>9083</v>
      </c>
      <c r="D1317" s="36" t="s">
        <v>7451</v>
      </c>
      <c r="F1317" s="36" t="s">
        <v>275</v>
      </c>
      <c r="G1317" s="36" t="s">
        <v>8544</v>
      </c>
      <c r="H1317" s="36" t="str">
        <f>IFERROR(VLOOKUP(Table2[[#This Row], [Ticket]],Okey!A:B,2,0),"")</f>
        <v>ok</v>
      </c>
      <c r="I1317" s="36" t="s">
        <v>8546</v>
      </c>
      <c r="J1317" s="36" t="s">
        <v>19</v>
      </c>
      <c r="K1317" s="36"/>
      <c r="L1317" s="36"/>
      <c r="M1317" s="36" t="s">
        <v>9034</v>
      </c>
    </row>
    <row r="1318" spans="1:13" hidden="1">
      <c r="A1318" s="42">
        <f t="shared" si="21"/>
        <v>1317</v>
      </c>
      <c r="B1318" s="36" t="s">
        <v>8</v>
      </c>
      <c r="C1318" s="36" t="s">
        <v>9083</v>
      </c>
      <c r="D1318" s="36" t="s">
        <v>7466</v>
      </c>
      <c r="F1318" s="36" t="s">
        <v>275</v>
      </c>
      <c r="G1318" s="36" t="s">
        <v>8544</v>
      </c>
      <c r="H1318" s="36" t="str">
        <f>IFERROR(VLOOKUP(Table2[[#This Row], [Ticket]],Okey!A:B,2,0),"")</f>
        <v>ok</v>
      </c>
      <c r="I1318" s="36" t="s">
        <v>8546</v>
      </c>
      <c r="J1318" s="36" t="s">
        <v>19</v>
      </c>
      <c r="K1318" s="36"/>
      <c r="L1318" s="36"/>
      <c r="M1318" s="36" t="s">
        <v>9034</v>
      </c>
    </row>
    <row r="1319" spans="1:13" hidden="1">
      <c r="A1319" s="42">
        <f t="shared" si="21"/>
        <v>1318</v>
      </c>
      <c r="B1319" s="36" t="s">
        <v>8</v>
      </c>
      <c r="C1319" s="36" t="s">
        <v>9083</v>
      </c>
      <c r="D1319" s="36" t="s">
        <v>7467</v>
      </c>
      <c r="F1319" s="36" t="s">
        <v>275</v>
      </c>
      <c r="G1319" s="36" t="s">
        <v>8544</v>
      </c>
      <c r="H1319" s="36" t="str">
        <f>IFERROR(VLOOKUP(Table2[[#This Row], [Ticket]],Okey!A:B,2,0),"")</f>
        <v>ok</v>
      </c>
      <c r="I1319" s="36" t="s">
        <v>8546</v>
      </c>
      <c r="J1319" s="36" t="s">
        <v>19</v>
      </c>
      <c r="K1319" s="36"/>
      <c r="L1319" s="36"/>
      <c r="M1319" s="36" t="s">
        <v>9034</v>
      </c>
    </row>
    <row r="1320" spans="1:13" hidden="1">
      <c r="A1320" s="42">
        <f t="shared" si="21"/>
        <v>1319</v>
      </c>
      <c r="B1320" s="36" t="s">
        <v>8</v>
      </c>
      <c r="C1320" s="36" t="s">
        <v>9083</v>
      </c>
      <c r="D1320" s="36" t="s">
        <v>7468</v>
      </c>
      <c r="F1320" s="36" t="s">
        <v>275</v>
      </c>
      <c r="G1320" s="36" t="s">
        <v>8544</v>
      </c>
      <c r="H1320" s="36" t="str">
        <f>IFERROR(VLOOKUP(Table2[[#This Row], [Ticket]],Okey!A:B,2,0),"")</f>
        <v>ok</v>
      </c>
      <c r="I1320" s="36" t="s">
        <v>8546</v>
      </c>
      <c r="J1320" s="36" t="s">
        <v>19</v>
      </c>
      <c r="K1320" s="36"/>
      <c r="L1320" s="36"/>
      <c r="M1320" s="36" t="s">
        <v>9034</v>
      </c>
    </row>
    <row r="1321" spans="1:13" hidden="1">
      <c r="A1321" s="42">
        <f t="shared" si="21"/>
        <v>1320</v>
      </c>
      <c r="B1321" s="36" t="s">
        <v>8</v>
      </c>
      <c r="C1321" s="36" t="s">
        <v>9083</v>
      </c>
      <c r="D1321" s="36" t="s">
        <v>7469</v>
      </c>
      <c r="F1321" s="36" t="s">
        <v>275</v>
      </c>
      <c r="G1321" s="36" t="s">
        <v>8544</v>
      </c>
      <c r="H1321" s="36" t="str">
        <f>IFERROR(VLOOKUP(Table2[[#This Row], [Ticket]],Okey!A:B,2,0),"")</f>
        <v>ok</v>
      </c>
      <c r="I1321" s="36" t="s">
        <v>8546</v>
      </c>
      <c r="J1321" s="36" t="s">
        <v>19</v>
      </c>
      <c r="K1321" s="36"/>
      <c r="L1321" s="36"/>
      <c r="M1321" s="36" t="s">
        <v>9034</v>
      </c>
    </row>
    <row r="1322" spans="1:13" hidden="1">
      <c r="A1322" s="42">
        <f t="shared" si="21"/>
        <v>1321</v>
      </c>
      <c r="B1322" s="36" t="s">
        <v>8</v>
      </c>
      <c r="C1322" s="36" t="s">
        <v>9083</v>
      </c>
      <c r="D1322" s="36" t="s">
        <v>7470</v>
      </c>
      <c r="F1322" s="36" t="s">
        <v>275</v>
      </c>
      <c r="G1322" s="36" t="s">
        <v>8544</v>
      </c>
      <c r="H1322" s="36" t="str">
        <f>IFERROR(VLOOKUP(Table2[[#This Row], [Ticket]],Okey!A:B,2,0),"")</f>
        <v>ok</v>
      </c>
      <c r="I1322" s="36" t="s">
        <v>8546</v>
      </c>
      <c r="J1322" s="36" t="s">
        <v>19</v>
      </c>
      <c r="K1322" s="36"/>
      <c r="L1322" s="36"/>
      <c r="M1322" s="36" t="s">
        <v>9034</v>
      </c>
    </row>
    <row r="1323" spans="1:13" hidden="1">
      <c r="A1323" s="42">
        <f t="shared" si="21"/>
        <v>1322</v>
      </c>
      <c r="B1323" s="36" t="s">
        <v>8</v>
      </c>
      <c r="C1323" s="36" t="s">
        <v>9083</v>
      </c>
      <c r="D1323" s="36" t="s">
        <v>7471</v>
      </c>
      <c r="F1323" s="36" t="s">
        <v>275</v>
      </c>
      <c r="G1323" s="36" t="s">
        <v>8544</v>
      </c>
      <c r="H1323" s="36" t="str">
        <f>IFERROR(VLOOKUP(Table2[[#This Row], [Ticket]],Okey!A:B,2,0),"")</f>
        <v>ok</v>
      </c>
      <c r="I1323" s="36" t="s">
        <v>8546</v>
      </c>
      <c r="J1323" s="36" t="s">
        <v>19</v>
      </c>
      <c r="K1323" s="36"/>
      <c r="L1323" s="36"/>
      <c r="M1323" s="36" t="s">
        <v>9034</v>
      </c>
    </row>
    <row r="1324" spans="1:13" hidden="1">
      <c r="A1324" s="42">
        <f t="shared" si="21"/>
        <v>1323</v>
      </c>
      <c r="B1324" s="36" t="s">
        <v>8</v>
      </c>
      <c r="C1324" s="36" t="s">
        <v>9083</v>
      </c>
      <c r="D1324" s="36" t="s">
        <v>7486</v>
      </c>
      <c r="F1324" s="36" t="s">
        <v>275</v>
      </c>
      <c r="G1324" s="36" t="s">
        <v>8544</v>
      </c>
      <c r="H1324" s="36" t="str">
        <f>IFERROR(VLOOKUP(Table2[[#This Row], [Ticket]],Okey!A:B,2,0),"")</f>
        <v>ok</v>
      </c>
      <c r="I1324" s="36" t="s">
        <v>8546</v>
      </c>
      <c r="J1324" s="36" t="s">
        <v>19</v>
      </c>
      <c r="K1324" s="36"/>
      <c r="L1324" s="36"/>
      <c r="M1324" s="36" t="s">
        <v>9034</v>
      </c>
    </row>
    <row r="1325" spans="1:13" hidden="1">
      <c r="A1325" s="42">
        <f t="shared" si="21"/>
        <v>1324</v>
      </c>
      <c r="B1325" s="36" t="s">
        <v>8</v>
      </c>
      <c r="C1325" s="36" t="s">
        <v>9083</v>
      </c>
      <c r="D1325" s="36" t="s">
        <v>7487</v>
      </c>
      <c r="F1325" s="36" t="s">
        <v>275</v>
      </c>
      <c r="G1325" s="36" t="s">
        <v>8544</v>
      </c>
      <c r="H1325" s="36" t="str">
        <f>IFERROR(VLOOKUP(Table2[[#This Row], [Ticket]],Okey!A:B,2,0),"")</f>
        <v>ok</v>
      </c>
      <c r="I1325" s="36" t="s">
        <v>8546</v>
      </c>
      <c r="J1325" s="36" t="s">
        <v>19</v>
      </c>
      <c r="K1325" s="36"/>
      <c r="L1325" s="36"/>
      <c r="M1325" s="36" t="s">
        <v>9034</v>
      </c>
    </row>
    <row r="1326" spans="1:13" hidden="1">
      <c r="A1326" s="42">
        <f t="shared" si="21"/>
        <v>1325</v>
      </c>
      <c r="B1326" s="36" t="s">
        <v>8</v>
      </c>
      <c r="C1326" s="36" t="s">
        <v>9083</v>
      </c>
      <c r="D1326" s="36" t="s">
        <v>7488</v>
      </c>
      <c r="F1326" s="36" t="s">
        <v>275</v>
      </c>
      <c r="G1326" s="36" t="s">
        <v>8544</v>
      </c>
      <c r="H1326" s="36" t="str">
        <f>IFERROR(VLOOKUP(Table2[[#This Row], [Ticket]],Okey!A:B,2,0),"")</f>
        <v>ok</v>
      </c>
      <c r="I1326" s="36" t="s">
        <v>8546</v>
      </c>
      <c r="J1326" s="36" t="s">
        <v>19</v>
      </c>
      <c r="K1326" s="36"/>
      <c r="L1326" s="36"/>
      <c r="M1326" s="36" t="s">
        <v>9034</v>
      </c>
    </row>
    <row r="1327" spans="1:13" hidden="1">
      <c r="A1327" s="42">
        <f t="shared" si="21"/>
        <v>1326</v>
      </c>
      <c r="B1327" s="36" t="s">
        <v>8</v>
      </c>
      <c r="C1327" s="36" t="s">
        <v>9083</v>
      </c>
      <c r="D1327" s="36" t="s">
        <v>7489</v>
      </c>
      <c r="F1327" s="36" t="s">
        <v>275</v>
      </c>
      <c r="G1327" s="36" t="s">
        <v>8544</v>
      </c>
      <c r="H1327" s="36" t="str">
        <f>IFERROR(VLOOKUP(Table2[[#This Row], [Ticket]],Okey!A:B,2,0),"")</f>
        <v>ok</v>
      </c>
      <c r="I1327" s="36" t="s">
        <v>8546</v>
      </c>
      <c r="J1327" s="36" t="s">
        <v>19</v>
      </c>
      <c r="K1327" s="36"/>
      <c r="L1327" s="36"/>
      <c r="M1327" s="36" t="s">
        <v>9034</v>
      </c>
    </row>
    <row r="1328" spans="1:13" hidden="1">
      <c r="A1328" s="42">
        <f t="shared" si="21"/>
        <v>1327</v>
      </c>
      <c r="B1328" s="36" t="s">
        <v>8</v>
      </c>
      <c r="C1328" s="36" t="s">
        <v>9083</v>
      </c>
      <c r="D1328" s="36" t="s">
        <v>7490</v>
      </c>
      <c r="F1328" s="36" t="s">
        <v>275</v>
      </c>
      <c r="G1328" s="36" t="s">
        <v>8544</v>
      </c>
      <c r="H1328" s="36" t="str">
        <f>IFERROR(VLOOKUP(Table2[[#This Row], [Ticket]],Okey!A:B,2,0),"")</f>
        <v>ok</v>
      </c>
      <c r="I1328" s="36" t="s">
        <v>8546</v>
      </c>
      <c r="J1328" s="36" t="s">
        <v>19</v>
      </c>
      <c r="K1328" s="36"/>
      <c r="L1328" s="36"/>
      <c r="M1328" s="36" t="s">
        <v>9034</v>
      </c>
    </row>
    <row r="1329" spans="1:13" hidden="1">
      <c r="A1329" s="42">
        <f t="shared" si="21"/>
        <v>1328</v>
      </c>
      <c r="B1329" s="36" t="s">
        <v>8</v>
      </c>
      <c r="C1329" s="36" t="s">
        <v>9083</v>
      </c>
      <c r="D1329" s="36" t="s">
        <v>7491</v>
      </c>
      <c r="F1329" s="36" t="s">
        <v>275</v>
      </c>
      <c r="G1329" s="36" t="s">
        <v>8544</v>
      </c>
      <c r="H1329" s="36" t="str">
        <f>IFERROR(VLOOKUP(Table2[[#This Row], [Ticket]],Okey!A:B,2,0),"")</f>
        <v>ok</v>
      </c>
      <c r="I1329" s="36" t="s">
        <v>8546</v>
      </c>
      <c r="J1329" s="36" t="s">
        <v>19</v>
      </c>
      <c r="K1329" s="36"/>
      <c r="L1329" s="36"/>
      <c r="M1329" s="36" t="s">
        <v>9034</v>
      </c>
    </row>
    <row r="1330" spans="1:13" hidden="1">
      <c r="A1330" s="42">
        <f t="shared" si="21"/>
        <v>1329</v>
      </c>
      <c r="B1330" s="36" t="s">
        <v>8</v>
      </c>
      <c r="C1330" s="36" t="s">
        <v>9083</v>
      </c>
      <c r="D1330" s="36" t="s">
        <v>7506</v>
      </c>
      <c r="F1330" s="36" t="s">
        <v>275</v>
      </c>
      <c r="G1330" s="36" t="s">
        <v>8544</v>
      </c>
      <c r="H1330" s="36" t="str">
        <f>IFERROR(VLOOKUP(Table2[[#This Row], [Ticket]],Okey!A:B,2,0),"")</f>
        <v>ok</v>
      </c>
      <c r="I1330" s="36" t="s">
        <v>8546</v>
      </c>
      <c r="J1330" s="36" t="s">
        <v>19</v>
      </c>
      <c r="K1330" s="36"/>
      <c r="L1330" s="36"/>
      <c r="M1330" s="36" t="s">
        <v>9034</v>
      </c>
    </row>
    <row r="1331" spans="1:13" hidden="1">
      <c r="A1331" s="42">
        <f t="shared" si="21"/>
        <v>1330</v>
      </c>
      <c r="B1331" s="36" t="s">
        <v>8</v>
      </c>
      <c r="C1331" s="36" t="s">
        <v>9083</v>
      </c>
      <c r="D1331" s="36" t="s">
        <v>7507</v>
      </c>
      <c r="F1331" s="36" t="s">
        <v>275</v>
      </c>
      <c r="G1331" s="36" t="s">
        <v>8544</v>
      </c>
      <c r="H1331" s="36" t="str">
        <f>IFERROR(VLOOKUP(Table2[[#This Row], [Ticket]],Okey!A:B,2,0),"")</f>
        <v>ok</v>
      </c>
      <c r="I1331" s="36" t="s">
        <v>8546</v>
      </c>
      <c r="J1331" s="36" t="s">
        <v>19</v>
      </c>
      <c r="K1331" s="36"/>
      <c r="L1331" s="36"/>
      <c r="M1331" s="36" t="s">
        <v>9034</v>
      </c>
    </row>
    <row r="1332" spans="1:13" hidden="1">
      <c r="A1332" s="42">
        <f t="shared" si="21"/>
        <v>1331</v>
      </c>
      <c r="B1332" s="36" t="s">
        <v>8</v>
      </c>
      <c r="C1332" s="36" t="s">
        <v>9083</v>
      </c>
      <c r="D1332" s="36" t="s">
        <v>7508</v>
      </c>
      <c r="F1332" s="36" t="s">
        <v>275</v>
      </c>
      <c r="G1332" s="36" t="s">
        <v>8544</v>
      </c>
      <c r="H1332" s="36" t="str">
        <f>IFERROR(VLOOKUP(Table2[[#This Row], [Ticket]],Okey!A:B,2,0),"")</f>
        <v>ok</v>
      </c>
      <c r="I1332" s="36" t="s">
        <v>8546</v>
      </c>
      <c r="J1332" s="36" t="s">
        <v>19</v>
      </c>
      <c r="K1332" s="36"/>
      <c r="L1332" s="36"/>
      <c r="M1332" s="36" t="s">
        <v>9034</v>
      </c>
    </row>
    <row r="1333" spans="1:13" hidden="1">
      <c r="A1333" s="42">
        <f t="shared" si="21"/>
        <v>1332</v>
      </c>
      <c r="B1333" s="36" t="s">
        <v>8</v>
      </c>
      <c r="C1333" s="36" t="s">
        <v>9083</v>
      </c>
      <c r="D1333" s="36" t="s">
        <v>7509</v>
      </c>
      <c r="F1333" s="36" t="s">
        <v>275</v>
      </c>
      <c r="G1333" s="36" t="s">
        <v>8544</v>
      </c>
      <c r="H1333" s="36" t="str">
        <f>IFERROR(VLOOKUP(Table2[[#This Row], [Ticket]],Okey!A:B,2,0),"")</f>
        <v>ok</v>
      </c>
      <c r="I1333" s="36" t="s">
        <v>8546</v>
      </c>
      <c r="J1333" s="36" t="s">
        <v>19</v>
      </c>
      <c r="K1333" s="36"/>
      <c r="L1333" s="36"/>
      <c r="M1333" s="36" t="s">
        <v>9034</v>
      </c>
    </row>
    <row r="1334" spans="1:13" hidden="1">
      <c r="A1334" s="42">
        <f t="shared" si="21"/>
        <v>1333</v>
      </c>
      <c r="B1334" s="36" t="s">
        <v>8</v>
      </c>
      <c r="C1334" s="36" t="s">
        <v>9083</v>
      </c>
      <c r="D1334" s="36" t="s">
        <v>7510</v>
      </c>
      <c r="F1334" s="36" t="s">
        <v>275</v>
      </c>
      <c r="G1334" s="36" t="s">
        <v>8544</v>
      </c>
      <c r="H1334" s="36" t="str">
        <f>IFERROR(VLOOKUP(Table2[[#This Row], [Ticket]],Okey!A:B,2,0),"")</f>
        <v>ok</v>
      </c>
      <c r="I1334" s="36" t="s">
        <v>8546</v>
      </c>
      <c r="J1334" s="36" t="s">
        <v>19</v>
      </c>
      <c r="K1334" s="36"/>
      <c r="L1334" s="36"/>
      <c r="M1334" s="36" t="s">
        <v>9034</v>
      </c>
    </row>
    <row r="1335" spans="1:13" hidden="1">
      <c r="A1335" s="42">
        <f t="shared" si="21"/>
        <v>1334</v>
      </c>
      <c r="B1335" s="36" t="s">
        <v>8</v>
      </c>
      <c r="C1335" s="36" t="s">
        <v>9083</v>
      </c>
      <c r="D1335" s="36" t="s">
        <v>7511</v>
      </c>
      <c r="F1335" s="36" t="s">
        <v>275</v>
      </c>
      <c r="G1335" s="36" t="s">
        <v>8544</v>
      </c>
      <c r="H1335" s="36" t="str">
        <f>IFERROR(VLOOKUP(Table2[[#This Row], [Ticket]],Okey!A:B,2,0),"")</f>
        <v>ok</v>
      </c>
      <c r="I1335" s="36" t="s">
        <v>8546</v>
      </c>
      <c r="J1335" s="36" t="s">
        <v>19</v>
      </c>
      <c r="K1335" s="36"/>
      <c r="L1335" s="36"/>
      <c r="M1335" s="36" t="s">
        <v>9034</v>
      </c>
    </row>
    <row r="1336" spans="1:13" hidden="1">
      <c r="A1336" s="42">
        <f t="shared" si="21"/>
        <v>1335</v>
      </c>
      <c r="B1336" s="36" t="s">
        <v>8</v>
      </c>
      <c r="C1336" s="36" t="s">
        <v>9083</v>
      </c>
      <c r="D1336" s="36" t="s">
        <v>7526</v>
      </c>
      <c r="F1336" s="36" t="s">
        <v>275</v>
      </c>
      <c r="G1336" s="36" t="s">
        <v>8544</v>
      </c>
      <c r="H1336" s="36" t="str">
        <f>IFERROR(VLOOKUP(Table2[[#This Row], [Ticket]],Okey!A:B,2,0),"")</f>
        <v>ok</v>
      </c>
      <c r="I1336" s="36" t="s">
        <v>8546</v>
      </c>
      <c r="J1336" s="36" t="s">
        <v>19</v>
      </c>
      <c r="K1336" s="36"/>
      <c r="L1336" s="36"/>
      <c r="M1336" s="36" t="s">
        <v>9034</v>
      </c>
    </row>
    <row r="1337" spans="1:13" hidden="1">
      <c r="A1337" s="42">
        <f t="shared" si="21"/>
        <v>1336</v>
      </c>
      <c r="B1337" s="36" t="s">
        <v>8</v>
      </c>
      <c r="C1337" s="36" t="s">
        <v>9083</v>
      </c>
      <c r="D1337" s="36" t="s">
        <v>7527</v>
      </c>
      <c r="F1337" s="36" t="s">
        <v>275</v>
      </c>
      <c r="G1337" s="36" t="s">
        <v>8544</v>
      </c>
      <c r="H1337" s="36" t="str">
        <f>IFERROR(VLOOKUP(Table2[[#This Row], [Ticket]],Okey!A:B,2,0),"")</f>
        <v>ok</v>
      </c>
      <c r="I1337" s="36" t="s">
        <v>8546</v>
      </c>
      <c r="J1337" s="36" t="s">
        <v>19</v>
      </c>
      <c r="K1337" s="36"/>
      <c r="L1337" s="36"/>
      <c r="M1337" s="36" t="s">
        <v>9034</v>
      </c>
    </row>
    <row r="1338" spans="1:13" hidden="1">
      <c r="A1338" s="42">
        <f t="shared" si="21"/>
        <v>1337</v>
      </c>
      <c r="B1338" s="36" t="s">
        <v>8</v>
      </c>
      <c r="C1338" s="36" t="s">
        <v>9083</v>
      </c>
      <c r="D1338" s="36" t="s">
        <v>7528</v>
      </c>
      <c r="F1338" s="36" t="s">
        <v>275</v>
      </c>
      <c r="G1338" s="36" t="s">
        <v>8544</v>
      </c>
      <c r="H1338" s="36" t="str">
        <f>IFERROR(VLOOKUP(Table2[[#This Row], [Ticket]],Okey!A:B,2,0),"")</f>
        <v>ok</v>
      </c>
      <c r="I1338" s="36" t="s">
        <v>8546</v>
      </c>
      <c r="J1338" s="36" t="s">
        <v>19</v>
      </c>
      <c r="K1338" s="36"/>
      <c r="L1338" s="36"/>
      <c r="M1338" s="36" t="s">
        <v>9034</v>
      </c>
    </row>
    <row r="1339" spans="1:13" hidden="1">
      <c r="A1339" s="42">
        <f t="shared" si="21"/>
        <v>1338</v>
      </c>
      <c r="B1339" s="36" t="s">
        <v>8</v>
      </c>
      <c r="C1339" s="36" t="s">
        <v>9083</v>
      </c>
      <c r="D1339" s="36" t="s">
        <v>7529</v>
      </c>
      <c r="F1339" s="36" t="s">
        <v>275</v>
      </c>
      <c r="G1339" s="36" t="s">
        <v>8544</v>
      </c>
      <c r="H1339" s="36" t="str">
        <f>IFERROR(VLOOKUP(Table2[[#This Row], [Ticket]],Okey!A:B,2,0),"")</f>
        <v>ok</v>
      </c>
      <c r="I1339" s="36" t="s">
        <v>8546</v>
      </c>
      <c r="J1339" s="36" t="s">
        <v>19</v>
      </c>
      <c r="K1339" s="36"/>
      <c r="L1339" s="36"/>
      <c r="M1339" s="36" t="s">
        <v>9034</v>
      </c>
    </row>
    <row r="1340" spans="1:13" hidden="1">
      <c r="A1340" s="42">
        <f t="shared" si="21"/>
        <v>1339</v>
      </c>
      <c r="B1340" s="36" t="s">
        <v>8</v>
      </c>
      <c r="C1340" s="36" t="s">
        <v>9083</v>
      </c>
      <c r="D1340" s="36" t="s">
        <v>7530</v>
      </c>
      <c r="F1340" s="36" t="s">
        <v>275</v>
      </c>
      <c r="G1340" s="36" t="s">
        <v>8544</v>
      </c>
      <c r="H1340" s="36" t="str">
        <f>IFERROR(VLOOKUP(Table2[[#This Row], [Ticket]],Okey!A:B,2,0),"")</f>
        <v>ok</v>
      </c>
      <c r="I1340" s="36" t="s">
        <v>8546</v>
      </c>
      <c r="J1340" s="36" t="s">
        <v>19</v>
      </c>
      <c r="K1340" s="36"/>
      <c r="L1340" s="36"/>
      <c r="M1340" s="36" t="s">
        <v>9034</v>
      </c>
    </row>
    <row r="1341" spans="1:13" hidden="1">
      <c r="A1341" s="42">
        <f t="shared" si="21"/>
        <v>1340</v>
      </c>
      <c r="B1341" s="36" t="s">
        <v>8</v>
      </c>
      <c r="C1341" s="36" t="s">
        <v>9083</v>
      </c>
      <c r="D1341" s="36" t="s">
        <v>7531</v>
      </c>
      <c r="F1341" s="36" t="s">
        <v>275</v>
      </c>
      <c r="G1341" s="36" t="s">
        <v>8544</v>
      </c>
      <c r="H1341" s="36" t="str">
        <f>IFERROR(VLOOKUP(Table2[[#This Row], [Ticket]],Okey!A:B,2,0),"")</f>
        <v>ok</v>
      </c>
      <c r="I1341" s="36" t="s">
        <v>8546</v>
      </c>
      <c r="J1341" s="36" t="s">
        <v>19</v>
      </c>
      <c r="K1341" s="36"/>
      <c r="L1341" s="36"/>
      <c r="M1341" s="36" t="s">
        <v>9034</v>
      </c>
    </row>
    <row r="1342" spans="1:13" hidden="1">
      <c r="A1342" s="42">
        <f t="shared" si="21"/>
        <v>1341</v>
      </c>
      <c r="B1342" s="36" t="s">
        <v>8</v>
      </c>
      <c r="C1342" s="36" t="s">
        <v>9083</v>
      </c>
      <c r="D1342" s="36" t="s">
        <v>7546</v>
      </c>
      <c r="F1342" s="36" t="s">
        <v>275</v>
      </c>
      <c r="G1342" s="36" t="s">
        <v>8544</v>
      </c>
      <c r="H1342" s="36" t="str">
        <f>IFERROR(VLOOKUP(Table2[[#This Row], [Ticket]],Okey!A:B,2,0),"")</f>
        <v>ok</v>
      </c>
      <c r="I1342" s="36" t="s">
        <v>8546</v>
      </c>
      <c r="J1342" s="36" t="s">
        <v>19</v>
      </c>
      <c r="K1342" s="36"/>
      <c r="L1342" s="36"/>
      <c r="M1342" s="36" t="s">
        <v>9034</v>
      </c>
    </row>
    <row r="1343" spans="1:13" hidden="1">
      <c r="A1343" s="42">
        <f t="shared" si="21"/>
        <v>1342</v>
      </c>
      <c r="B1343" s="36" t="s">
        <v>8</v>
      </c>
      <c r="C1343" s="36" t="s">
        <v>9083</v>
      </c>
      <c r="D1343" s="36" t="s">
        <v>7547</v>
      </c>
      <c r="F1343" s="36" t="s">
        <v>275</v>
      </c>
      <c r="G1343" s="36" t="s">
        <v>8544</v>
      </c>
      <c r="H1343" s="36" t="str">
        <f>IFERROR(VLOOKUP(Table2[[#This Row], [Ticket]],Okey!A:B,2,0),"")</f>
        <v>ok</v>
      </c>
      <c r="I1343" s="36" t="s">
        <v>8546</v>
      </c>
      <c r="J1343" s="36" t="s">
        <v>19</v>
      </c>
      <c r="K1343" s="36"/>
      <c r="L1343" s="36"/>
      <c r="M1343" s="36" t="s">
        <v>9034</v>
      </c>
    </row>
    <row r="1344" spans="1:13" hidden="1">
      <c r="A1344" s="42">
        <f t="shared" si="21"/>
        <v>1343</v>
      </c>
      <c r="B1344" s="36" t="s">
        <v>8</v>
      </c>
      <c r="C1344" s="36" t="s">
        <v>9083</v>
      </c>
      <c r="D1344" s="36" t="s">
        <v>7548</v>
      </c>
      <c r="F1344" s="36" t="s">
        <v>275</v>
      </c>
      <c r="G1344" s="36" t="s">
        <v>8544</v>
      </c>
      <c r="H1344" s="36" t="str">
        <f>IFERROR(VLOOKUP(Table2[[#This Row], [Ticket]],Okey!A:B,2,0),"")</f>
        <v>ok</v>
      </c>
      <c r="I1344" s="36" t="s">
        <v>8546</v>
      </c>
      <c r="J1344" s="36" t="s">
        <v>19</v>
      </c>
      <c r="K1344" s="36"/>
      <c r="L1344" s="36"/>
      <c r="M1344" s="36" t="s">
        <v>9034</v>
      </c>
    </row>
    <row r="1345" spans="1:13" hidden="1">
      <c r="A1345" s="42">
        <f t="shared" si="21"/>
        <v>1344</v>
      </c>
      <c r="B1345" s="36" t="s">
        <v>8</v>
      </c>
      <c r="C1345" s="36" t="s">
        <v>9083</v>
      </c>
      <c r="D1345" s="36" t="s">
        <v>7549</v>
      </c>
      <c r="F1345" s="36" t="s">
        <v>275</v>
      </c>
      <c r="G1345" s="36" t="s">
        <v>8544</v>
      </c>
      <c r="H1345" s="36" t="str">
        <f>IFERROR(VLOOKUP(Table2[[#This Row], [Ticket]],Okey!A:B,2,0),"")</f>
        <v>ok</v>
      </c>
      <c r="I1345" s="36" t="s">
        <v>8546</v>
      </c>
      <c r="J1345" s="36" t="s">
        <v>19</v>
      </c>
      <c r="K1345" s="36"/>
      <c r="L1345" s="36"/>
      <c r="M1345" s="36" t="s">
        <v>9034</v>
      </c>
    </row>
    <row r="1346" spans="1:13" hidden="1">
      <c r="A1346" s="42">
        <f t="shared" si="21"/>
        <v>1345</v>
      </c>
      <c r="B1346" s="36" t="s">
        <v>8</v>
      </c>
      <c r="C1346" s="36" t="s">
        <v>9083</v>
      </c>
      <c r="D1346" s="36" t="s">
        <v>7550</v>
      </c>
      <c r="F1346" s="36" t="s">
        <v>275</v>
      </c>
      <c r="G1346" s="36" t="s">
        <v>8544</v>
      </c>
      <c r="H1346" s="36" t="str">
        <f>IFERROR(VLOOKUP(Table2[[#This Row], [Ticket]],Okey!A:B,2,0),"")</f>
        <v>ok</v>
      </c>
      <c r="I1346" s="36" t="s">
        <v>8546</v>
      </c>
      <c r="J1346" s="36" t="s">
        <v>19</v>
      </c>
      <c r="K1346" s="36"/>
      <c r="L1346" s="36"/>
      <c r="M1346" s="36" t="s">
        <v>9034</v>
      </c>
    </row>
    <row r="1347" spans="1:13" hidden="1">
      <c r="A1347" s="42">
        <f t="shared" si="21"/>
        <v>1346</v>
      </c>
      <c r="B1347" s="36" t="s">
        <v>8</v>
      </c>
      <c r="C1347" s="36" t="s">
        <v>9083</v>
      </c>
      <c r="D1347" s="36" t="s">
        <v>7551</v>
      </c>
      <c r="F1347" s="36" t="s">
        <v>275</v>
      </c>
      <c r="G1347" s="36" t="s">
        <v>8544</v>
      </c>
      <c r="H1347" s="36" t="str">
        <f>IFERROR(VLOOKUP(Table2[[#This Row], [Ticket]],Okey!A:B,2,0),"")</f>
        <v>ok</v>
      </c>
      <c r="I1347" s="36" t="s">
        <v>8546</v>
      </c>
      <c r="J1347" s="36" t="s">
        <v>19</v>
      </c>
      <c r="K1347" s="36"/>
      <c r="L1347" s="36"/>
      <c r="M1347" s="36" t="s">
        <v>9034</v>
      </c>
    </row>
    <row r="1348" spans="1:13" hidden="1">
      <c r="A1348" s="42">
        <f t="shared" si="21"/>
        <v>1347</v>
      </c>
      <c r="B1348" s="36" t="s">
        <v>8</v>
      </c>
      <c r="C1348" s="36" t="s">
        <v>9083</v>
      </c>
      <c r="D1348" s="36" t="s">
        <v>7566</v>
      </c>
      <c r="F1348" s="36" t="s">
        <v>275</v>
      </c>
      <c r="G1348" s="36" t="s">
        <v>8544</v>
      </c>
      <c r="H1348" s="36" t="str">
        <f>IFERROR(VLOOKUP(Table2[[#This Row], [Ticket]],Okey!A:B,2,0),"")</f>
        <v>ok</v>
      </c>
      <c r="I1348" s="36" t="s">
        <v>8546</v>
      </c>
      <c r="J1348" s="36" t="s">
        <v>19</v>
      </c>
      <c r="K1348" s="36"/>
      <c r="L1348" s="36"/>
      <c r="M1348" s="36" t="s">
        <v>9034</v>
      </c>
    </row>
    <row r="1349" spans="1:13" hidden="1">
      <c r="A1349" s="42">
        <f t="shared" si="21"/>
        <v>1348</v>
      </c>
      <c r="B1349" s="36" t="s">
        <v>8</v>
      </c>
      <c r="C1349" s="36" t="s">
        <v>9083</v>
      </c>
      <c r="D1349" s="36" t="s">
        <v>7567</v>
      </c>
      <c r="F1349" s="36" t="s">
        <v>275</v>
      </c>
      <c r="G1349" s="36" t="s">
        <v>8544</v>
      </c>
      <c r="H1349" s="36" t="str">
        <f>IFERROR(VLOOKUP(Table2[[#This Row], [Ticket]],Okey!A:B,2,0),"")</f>
        <v>ok</v>
      </c>
      <c r="I1349" s="36" t="s">
        <v>8546</v>
      </c>
      <c r="J1349" s="36" t="s">
        <v>19</v>
      </c>
      <c r="K1349" s="36"/>
      <c r="L1349" s="36"/>
      <c r="M1349" s="36" t="s">
        <v>9034</v>
      </c>
    </row>
    <row r="1350" spans="1:13" hidden="1">
      <c r="A1350" s="42">
        <f t="shared" si="21"/>
        <v>1349</v>
      </c>
      <c r="B1350" s="36" t="s">
        <v>8</v>
      </c>
      <c r="C1350" s="36" t="s">
        <v>9083</v>
      </c>
      <c r="D1350" s="36" t="s">
        <v>7568</v>
      </c>
      <c r="F1350" s="36" t="s">
        <v>275</v>
      </c>
      <c r="G1350" s="36" t="s">
        <v>8544</v>
      </c>
      <c r="H1350" s="36" t="str">
        <f>IFERROR(VLOOKUP(Table2[[#This Row], [Ticket]],Okey!A:B,2,0),"")</f>
        <v>ok</v>
      </c>
      <c r="I1350" s="36" t="s">
        <v>8546</v>
      </c>
      <c r="J1350" s="36" t="s">
        <v>19</v>
      </c>
      <c r="K1350" s="36"/>
      <c r="L1350" s="36"/>
      <c r="M1350" s="36" t="s">
        <v>9034</v>
      </c>
    </row>
    <row r="1351" spans="1:13" hidden="1">
      <c r="A1351" s="42">
        <f t="shared" si="21"/>
        <v>1350</v>
      </c>
      <c r="B1351" s="36" t="s">
        <v>8</v>
      </c>
      <c r="C1351" s="36" t="s">
        <v>9083</v>
      </c>
      <c r="D1351" s="36" t="s">
        <v>7569</v>
      </c>
      <c r="F1351" s="36" t="s">
        <v>275</v>
      </c>
      <c r="G1351" s="36" t="s">
        <v>8544</v>
      </c>
      <c r="H1351" s="36" t="str">
        <f>IFERROR(VLOOKUP(Table2[[#This Row], [Ticket]],Okey!A:B,2,0),"")</f>
        <v>ok</v>
      </c>
      <c r="I1351" s="36" t="s">
        <v>8546</v>
      </c>
      <c r="J1351" s="36" t="s">
        <v>19</v>
      </c>
      <c r="K1351" s="36"/>
      <c r="L1351" s="36"/>
      <c r="M1351" s="36" t="s">
        <v>9034</v>
      </c>
    </row>
    <row r="1352" spans="1:13" hidden="1">
      <c r="A1352" s="42">
        <f t="shared" si="21"/>
        <v>1351</v>
      </c>
      <c r="B1352" s="36" t="s">
        <v>8</v>
      </c>
      <c r="C1352" s="36" t="s">
        <v>9083</v>
      </c>
      <c r="D1352" s="36" t="s">
        <v>7570</v>
      </c>
      <c r="F1352" s="36" t="s">
        <v>275</v>
      </c>
      <c r="G1352" s="36" t="s">
        <v>8544</v>
      </c>
      <c r="H1352" s="36" t="str">
        <f>IFERROR(VLOOKUP(Table2[[#This Row], [Ticket]],Okey!A:B,2,0),"")</f>
        <v>ok</v>
      </c>
      <c r="I1352" s="36" t="s">
        <v>8546</v>
      </c>
      <c r="J1352" s="36" t="s">
        <v>19</v>
      </c>
      <c r="K1352" s="36"/>
      <c r="L1352" s="36"/>
      <c r="M1352" s="36" t="s">
        <v>9034</v>
      </c>
    </row>
    <row r="1353" spans="1:13" hidden="1">
      <c r="A1353" s="42">
        <f t="shared" si="21"/>
        <v>1352</v>
      </c>
      <c r="B1353" s="36" t="s">
        <v>8</v>
      </c>
      <c r="C1353" s="36" t="s">
        <v>9083</v>
      </c>
      <c r="D1353" s="36" t="s">
        <v>7571</v>
      </c>
      <c r="F1353" s="36" t="s">
        <v>275</v>
      </c>
      <c r="G1353" s="36" t="s">
        <v>8544</v>
      </c>
      <c r="H1353" s="36" t="str">
        <f>IFERROR(VLOOKUP(Table2[[#This Row], [Ticket]],Okey!A:B,2,0),"")</f>
        <v>ok</v>
      </c>
      <c r="I1353" s="36" t="s">
        <v>8546</v>
      </c>
      <c r="J1353" s="36" t="s">
        <v>19</v>
      </c>
      <c r="K1353" s="36"/>
      <c r="L1353" s="36"/>
      <c r="M1353" s="36" t="s">
        <v>9034</v>
      </c>
    </row>
    <row r="1354" spans="1:13" hidden="1">
      <c r="A1354" s="42">
        <f t="shared" si="21"/>
        <v>1353</v>
      </c>
      <c r="B1354" s="36" t="s">
        <v>8</v>
      </c>
      <c r="C1354" s="36" t="s">
        <v>9083</v>
      </c>
      <c r="D1354" s="9" t="s">
        <v>6683</v>
      </c>
      <c r="F1354" s="36" t="s">
        <v>275</v>
      </c>
      <c r="G1354" s="36" t="s">
        <v>8544</v>
      </c>
      <c r="H1354" s="36" t="str">
        <f>IFERROR(VLOOKUP(Table2[[#This Row], [Ticket]],Okey!A:B,2,0),"")</f>
        <v>ok</v>
      </c>
      <c r="I1354" s="36" t="s">
        <v>8546</v>
      </c>
      <c r="J1354" s="36" t="s">
        <v>19</v>
      </c>
      <c r="K1354" s="36"/>
      <c r="L1354" s="36"/>
      <c r="M1354" s="36" t="s">
        <v>9034</v>
      </c>
    </row>
    <row r="1355" spans="1:13" hidden="1">
      <c r="A1355" s="42">
        <f t="shared" si="21"/>
        <v>1354</v>
      </c>
      <c r="B1355" s="36" t="s">
        <v>8</v>
      </c>
      <c r="C1355" s="36" t="s">
        <v>9083</v>
      </c>
      <c r="D1355" s="9" t="s">
        <v>6691</v>
      </c>
      <c r="F1355" s="36" t="s">
        <v>275</v>
      </c>
      <c r="G1355" s="36" t="s">
        <v>8544</v>
      </c>
      <c r="H1355" s="36" t="str">
        <f>IFERROR(VLOOKUP(Table2[[#This Row], [Ticket]],Okey!A:B,2,0),"")</f>
        <v>ok</v>
      </c>
      <c r="I1355" s="36" t="s">
        <v>8546</v>
      </c>
      <c r="J1355" s="36" t="s">
        <v>19</v>
      </c>
      <c r="K1355" s="36"/>
      <c r="L1355" s="36"/>
      <c r="M1355" s="36" t="s">
        <v>9034</v>
      </c>
    </row>
    <row r="1356" spans="1:13" hidden="1">
      <c r="A1356" s="42">
        <f t="shared" si="21"/>
        <v>1355</v>
      </c>
      <c r="B1356" s="36" t="s">
        <v>8</v>
      </c>
      <c r="C1356" s="9" t="s">
        <v>9432</v>
      </c>
      <c r="D1356" s="36" t="s">
        <v>9421</v>
      </c>
      <c r="E1356" s="86" t="s">
        <v>9419</v>
      </c>
      <c r="F1356" s="36" t="s">
        <v>6118</v>
      </c>
      <c r="G1356" s="9" t="s">
        <v>14</v>
      </c>
      <c r="H1356" s="36" t="str">
        <f>IFERROR(VLOOKUP(Table2[[#This Row], [Ticket]],Okey!A:B,2,0),"")</f>
        <v>ok</v>
      </c>
      <c r="I1356" s="36" t="s">
        <v>8546</v>
      </c>
      <c r="J1356" s="36" t="s">
        <v>19</v>
      </c>
      <c r="L1356" s="36"/>
      <c r="M1356" s="36" t="s">
        <v>9034</v>
      </c>
    </row>
    <row r="1357" spans="1:13" hidden="1">
      <c r="A1357" s="42">
        <f t="shared" si="21"/>
        <v>1356</v>
      </c>
      <c r="B1357" s="36" t="s">
        <v>8</v>
      </c>
      <c r="C1357" s="36" t="s">
        <v>9432</v>
      </c>
      <c r="D1357" s="87" t="s">
        <v>6112</v>
      </c>
      <c r="E1357" s="88" t="s">
        <v>9420</v>
      </c>
      <c r="F1357" s="36" t="s">
        <v>6118</v>
      </c>
      <c r="G1357" s="36" t="s">
        <v>16</v>
      </c>
      <c r="H1357" s="36" t="str">
        <f>IFERROR(VLOOKUP(Table2[[#This Row], [Ticket]],Okey!A:B,2,0),"")</f>
        <v>ok</v>
      </c>
      <c r="I1357" s="36" t="s">
        <v>8546</v>
      </c>
      <c r="J1357" s="36" t="s">
        <v>19</v>
      </c>
      <c r="L1357" s="36"/>
      <c r="M1357" s="36" t="s">
        <v>9034</v>
      </c>
    </row>
    <row r="1358" spans="1:13" hidden="1">
      <c r="A1358" s="42">
        <f t="shared" si="21"/>
        <v>1357</v>
      </c>
      <c r="B1358" s="36" t="s">
        <v>8</v>
      </c>
      <c r="C1358" s="36" t="s">
        <v>9432</v>
      </c>
      <c r="D1358" s="9" t="s">
        <v>9422</v>
      </c>
      <c r="F1358" s="36" t="s">
        <v>9421</v>
      </c>
      <c r="G1358" s="9" t="s">
        <v>13</v>
      </c>
      <c r="H1358" s="36" t="str">
        <f>IFERROR(VLOOKUP(Table2[[#This Row], [Ticket]],Okey!A:B,2,0),"")</f>
        <v>ok</v>
      </c>
      <c r="I1358" s="36" t="s">
        <v>8546</v>
      </c>
      <c r="J1358" s="36" t="s">
        <v>19</v>
      </c>
      <c r="L1358" s="36"/>
      <c r="M1358" s="36" t="s">
        <v>9034</v>
      </c>
    </row>
    <row r="1359" spans="1:13" hidden="1">
      <c r="A1359" s="42">
        <f t="shared" si="21"/>
        <v>1358</v>
      </c>
      <c r="B1359" s="36" t="s">
        <v>8</v>
      </c>
      <c r="C1359" s="36" t="s">
        <v>9432</v>
      </c>
      <c r="D1359" s="9" t="s">
        <v>9423</v>
      </c>
      <c r="F1359" s="36" t="s">
        <v>9421</v>
      </c>
      <c r="G1359" s="36" t="s">
        <v>13</v>
      </c>
      <c r="H1359" s="36" t="str">
        <f>IFERROR(VLOOKUP(Table2[[#This Row], [Ticket]],Okey!A:B,2,0),"")</f>
        <v>ok</v>
      </c>
      <c r="I1359" s="36" t="s">
        <v>8546</v>
      </c>
      <c r="J1359" s="36" t="s">
        <v>19</v>
      </c>
      <c r="L1359" s="36"/>
      <c r="M1359" s="36" t="s">
        <v>9034</v>
      </c>
    </row>
    <row r="1360" spans="1:13" hidden="1">
      <c r="A1360" s="42">
        <f t="shared" si="21"/>
        <v>1359</v>
      </c>
      <c r="B1360" s="36" t="s">
        <v>8</v>
      </c>
      <c r="C1360" s="36" t="s">
        <v>9432</v>
      </c>
      <c r="D1360" s="9" t="s">
        <v>4742</v>
      </c>
      <c r="F1360" s="36" t="s">
        <v>9421</v>
      </c>
      <c r="G1360" s="36" t="s">
        <v>13</v>
      </c>
      <c r="H1360" s="36" t="str">
        <f>IFERROR(VLOOKUP(Table2[[#This Row], [Ticket]],Okey!A:B,2,0),"")</f>
        <v>ok</v>
      </c>
      <c r="I1360" s="36" t="s">
        <v>8546</v>
      </c>
      <c r="J1360" s="36" t="s">
        <v>19</v>
      </c>
      <c r="L1360" s="36"/>
      <c r="M1360" s="36" t="s">
        <v>9034</v>
      </c>
    </row>
    <row r="1361" spans="1:13" hidden="1">
      <c r="A1361" s="42">
        <f t="shared" si="21"/>
        <v>1360</v>
      </c>
      <c r="B1361" s="36" t="s">
        <v>8</v>
      </c>
      <c r="C1361" s="36" t="s">
        <v>9432</v>
      </c>
      <c r="D1361" s="9" t="s">
        <v>9424</v>
      </c>
      <c r="F1361" s="36" t="s">
        <v>9421</v>
      </c>
      <c r="G1361" s="36" t="s">
        <v>13</v>
      </c>
      <c r="H1361" s="36" t="str">
        <f>IFERROR(VLOOKUP(Table2[[#This Row], [Ticket]],Okey!A:B,2,0),"")</f>
        <v>ok</v>
      </c>
      <c r="I1361" s="36" t="s">
        <v>8546</v>
      </c>
      <c r="J1361" s="36" t="s">
        <v>19</v>
      </c>
      <c r="L1361" s="36"/>
      <c r="M1361" s="36" t="s">
        <v>9034</v>
      </c>
    </row>
    <row r="1362" spans="1:13" hidden="1">
      <c r="A1362" s="42">
        <f t="shared" si="21"/>
        <v>1361</v>
      </c>
      <c r="B1362" s="36" t="s">
        <v>8</v>
      </c>
      <c r="C1362" s="36" t="s">
        <v>9432</v>
      </c>
      <c r="D1362" s="9" t="s">
        <v>6098</v>
      </c>
      <c r="F1362" s="36" t="s">
        <v>9421</v>
      </c>
      <c r="G1362" s="36" t="s">
        <v>13</v>
      </c>
      <c r="H1362" s="36" t="str">
        <f>IFERROR(VLOOKUP(Table2[[#This Row], [Ticket]],Okey!A:B,2,0),"")</f>
        <v>ok</v>
      </c>
      <c r="I1362" s="36" t="s">
        <v>8546</v>
      </c>
      <c r="J1362" s="36" t="s">
        <v>19</v>
      </c>
      <c r="L1362" s="36"/>
      <c r="M1362" s="36" t="s">
        <v>9034</v>
      </c>
    </row>
    <row r="1363" spans="1:13" hidden="1">
      <c r="A1363" s="42">
        <f t="shared" si="21"/>
        <v>1362</v>
      </c>
      <c r="B1363" s="36" t="s">
        <v>8</v>
      </c>
      <c r="C1363" s="36" t="s">
        <v>9432</v>
      </c>
      <c r="D1363" s="9" t="s">
        <v>9425</v>
      </c>
      <c r="F1363" s="36" t="s">
        <v>9421</v>
      </c>
      <c r="G1363" s="36" t="s">
        <v>13</v>
      </c>
      <c r="H1363" s="36" t="str">
        <f>IFERROR(VLOOKUP(Table2[[#This Row], [Ticket]],Okey!A:B,2,0),"")</f>
        <v>ok</v>
      </c>
      <c r="I1363" s="36" t="s">
        <v>8546</v>
      </c>
      <c r="J1363" s="36" t="s">
        <v>19</v>
      </c>
      <c r="L1363" s="36"/>
      <c r="M1363" s="36" t="s">
        <v>9034</v>
      </c>
    </row>
    <row r="1364" spans="1:13" hidden="1">
      <c r="A1364" s="42">
        <f t="shared" ref="A1364:A1429" si="22">1+A1363</f>
        <v>1363</v>
      </c>
      <c r="B1364" s="36" t="s">
        <v>8</v>
      </c>
      <c r="C1364" s="36" t="s">
        <v>9432</v>
      </c>
      <c r="D1364" s="9" t="s">
        <v>9426</v>
      </c>
      <c r="F1364" s="36" t="s">
        <v>9421</v>
      </c>
      <c r="G1364" s="36" t="s">
        <v>13</v>
      </c>
      <c r="H1364" s="36" t="str">
        <f>IFERROR(VLOOKUP(Table2[[#This Row], [Ticket]],Okey!A:B,2,0),"")</f>
        <v>ok</v>
      </c>
      <c r="I1364" s="36" t="s">
        <v>8546</v>
      </c>
      <c r="J1364" s="36" t="s">
        <v>19</v>
      </c>
      <c r="L1364" s="36"/>
      <c r="M1364" s="36" t="s">
        <v>9034</v>
      </c>
    </row>
    <row r="1365" spans="1:13" hidden="1">
      <c r="A1365" s="42">
        <f t="shared" si="22"/>
        <v>1364</v>
      </c>
      <c r="B1365" s="36" t="s">
        <v>8</v>
      </c>
      <c r="C1365" s="36" t="s">
        <v>9432</v>
      </c>
      <c r="D1365" s="9" t="s">
        <v>9427</v>
      </c>
      <c r="F1365" s="36" t="s">
        <v>9421</v>
      </c>
      <c r="G1365" s="36" t="s">
        <v>13</v>
      </c>
      <c r="H1365" s="36" t="str">
        <f>IFERROR(VLOOKUP(Table2[[#This Row], [Ticket]],Okey!A:B,2,0),"")</f>
        <v>ok</v>
      </c>
      <c r="I1365" s="36" t="s">
        <v>8546</v>
      </c>
      <c r="J1365" s="36" t="s">
        <v>19</v>
      </c>
      <c r="L1365" s="36"/>
      <c r="M1365" s="36" t="s">
        <v>9034</v>
      </c>
    </row>
    <row r="1366" spans="1:13" hidden="1">
      <c r="A1366" s="42">
        <f t="shared" si="22"/>
        <v>1365</v>
      </c>
      <c r="B1366" s="36" t="s">
        <v>8</v>
      </c>
      <c r="C1366" s="36" t="s">
        <v>9432</v>
      </c>
      <c r="D1366" s="9" t="s">
        <v>9428</v>
      </c>
      <c r="F1366" s="36" t="s">
        <v>9421</v>
      </c>
      <c r="G1366" s="36" t="s">
        <v>13</v>
      </c>
      <c r="H1366" s="36" t="str">
        <f>IFERROR(VLOOKUP(Table2[[#This Row], [Ticket]],Okey!A:B,2,0),"")</f>
        <v>ok</v>
      </c>
      <c r="I1366" s="36" t="s">
        <v>8546</v>
      </c>
      <c r="J1366" s="36" t="s">
        <v>19</v>
      </c>
      <c r="L1366" s="36"/>
      <c r="M1366" s="36" t="s">
        <v>9034</v>
      </c>
    </row>
    <row r="1367" spans="1:13" hidden="1">
      <c r="A1367" s="42">
        <f t="shared" si="22"/>
        <v>1366</v>
      </c>
      <c r="B1367" s="36" t="s">
        <v>8</v>
      </c>
      <c r="C1367" s="36" t="s">
        <v>9432</v>
      </c>
      <c r="D1367" s="9" t="s">
        <v>6652</v>
      </c>
      <c r="F1367" s="36" t="s">
        <v>9421</v>
      </c>
      <c r="G1367" s="36" t="s">
        <v>13</v>
      </c>
      <c r="H1367" s="36" t="str">
        <f>IFERROR(VLOOKUP(Table2[[#This Row], [Ticket]],Okey!A:B,2,0),"")</f>
        <v>ok</v>
      </c>
      <c r="I1367" s="36" t="s">
        <v>8546</v>
      </c>
      <c r="J1367" s="36" t="s">
        <v>19</v>
      </c>
      <c r="L1367" s="36"/>
      <c r="M1367" s="36" t="s">
        <v>9034</v>
      </c>
    </row>
    <row r="1368" spans="1:13" hidden="1">
      <c r="A1368" s="42">
        <f t="shared" si="22"/>
        <v>1367</v>
      </c>
      <c r="B1368" s="36" t="s">
        <v>8</v>
      </c>
      <c r="C1368" s="36" t="s">
        <v>9432</v>
      </c>
      <c r="D1368" s="89" t="s">
        <v>9429</v>
      </c>
      <c r="F1368" s="36" t="s">
        <v>275</v>
      </c>
      <c r="G1368" s="9" t="s">
        <v>8544</v>
      </c>
      <c r="H1368" s="36" t="str">
        <f>IFERROR(VLOOKUP(Table2[[#This Row], [Ticket]],Okey!A:B,2,0),"")</f>
        <v>ok</v>
      </c>
      <c r="I1368" s="36" t="s">
        <v>8546</v>
      </c>
      <c r="J1368" s="36" t="s">
        <v>19</v>
      </c>
      <c r="L1368" s="36"/>
      <c r="M1368" s="36" t="s">
        <v>9034</v>
      </c>
    </row>
    <row r="1369" spans="1:13" hidden="1">
      <c r="A1369" s="42">
        <f t="shared" si="22"/>
        <v>1368</v>
      </c>
      <c r="B1369" s="36" t="s">
        <v>8</v>
      </c>
      <c r="C1369" s="36" t="s">
        <v>9432</v>
      </c>
      <c r="D1369" s="89" t="s">
        <v>6682</v>
      </c>
      <c r="F1369" s="36" t="s">
        <v>275</v>
      </c>
      <c r="G1369" s="36" t="s">
        <v>8544</v>
      </c>
      <c r="H1369" s="36" t="str">
        <f>IFERROR(VLOOKUP(Table2[[#This Row], [Ticket]],Okey!A:B,2,0),"")</f>
        <v>ok</v>
      </c>
      <c r="I1369" s="36" t="s">
        <v>8546</v>
      </c>
      <c r="J1369" s="36" t="s">
        <v>19</v>
      </c>
      <c r="L1369" s="36"/>
      <c r="M1369" s="36" t="s">
        <v>9034</v>
      </c>
    </row>
    <row r="1370" spans="1:13" hidden="1">
      <c r="A1370" s="42">
        <f t="shared" si="22"/>
        <v>1369</v>
      </c>
      <c r="B1370" s="36" t="s">
        <v>8</v>
      </c>
      <c r="C1370" s="36" t="s">
        <v>9432</v>
      </c>
      <c r="D1370" s="89" t="s">
        <v>6683</v>
      </c>
      <c r="F1370" s="36" t="s">
        <v>275</v>
      </c>
      <c r="G1370" s="36" t="s">
        <v>8544</v>
      </c>
      <c r="H1370" s="36" t="str">
        <f>IFERROR(VLOOKUP(Table2[[#This Row], [Ticket]],Okey!A:B,2,0),"")</f>
        <v>ok</v>
      </c>
      <c r="I1370" s="36" t="s">
        <v>8546</v>
      </c>
      <c r="J1370" s="36" t="s">
        <v>19</v>
      </c>
      <c r="L1370" s="36"/>
      <c r="M1370" s="36" t="s">
        <v>9034</v>
      </c>
    </row>
    <row r="1371" spans="1:13" hidden="1">
      <c r="A1371" s="42">
        <f t="shared" si="22"/>
        <v>1370</v>
      </c>
      <c r="B1371" s="36" t="s">
        <v>8</v>
      </c>
      <c r="C1371" s="36" t="s">
        <v>9432</v>
      </c>
      <c r="D1371" s="89" t="s">
        <v>9430</v>
      </c>
      <c r="F1371" s="36" t="s">
        <v>275</v>
      </c>
      <c r="G1371" s="36" t="s">
        <v>8544</v>
      </c>
      <c r="H1371" s="36" t="str">
        <f>IFERROR(VLOOKUP(Table2[[#This Row], [Ticket]],Okey!A:B,2,0),"")</f>
        <v>ok</v>
      </c>
      <c r="I1371" s="36" t="s">
        <v>8546</v>
      </c>
      <c r="J1371" s="36" t="s">
        <v>19</v>
      </c>
      <c r="L1371" s="36"/>
      <c r="M1371" s="36" t="s">
        <v>9034</v>
      </c>
    </row>
    <row r="1372" spans="1:13" hidden="1">
      <c r="A1372" s="42">
        <f t="shared" si="22"/>
        <v>1371</v>
      </c>
      <c r="B1372" s="36" t="s">
        <v>8</v>
      </c>
      <c r="C1372" s="36" t="s">
        <v>9432</v>
      </c>
      <c r="D1372" s="89" t="s">
        <v>9431</v>
      </c>
      <c r="F1372" s="36" t="s">
        <v>275</v>
      </c>
      <c r="G1372" s="36" t="s">
        <v>8544</v>
      </c>
      <c r="H1372" s="36" t="str">
        <f>IFERROR(VLOOKUP(Table2[[#This Row], [Ticket]],Okey!A:B,2,0),"")</f>
        <v>ok</v>
      </c>
      <c r="I1372" s="36" t="s">
        <v>8546</v>
      </c>
      <c r="J1372" s="36" t="s">
        <v>19</v>
      </c>
      <c r="L1372" s="36"/>
      <c r="M1372" s="36" t="s">
        <v>9034</v>
      </c>
    </row>
    <row r="1373" spans="1:13" hidden="1">
      <c r="A1373" s="42">
        <f t="shared" si="22"/>
        <v>1372</v>
      </c>
      <c r="B1373" s="36" t="s">
        <v>8</v>
      </c>
      <c r="C1373" s="9" t="s">
        <v>9433</v>
      </c>
      <c r="D1373" s="9" t="s">
        <v>7816</v>
      </c>
      <c r="F1373" s="36" t="s">
        <v>7817</v>
      </c>
      <c r="G1373" s="9" t="s">
        <v>13</v>
      </c>
      <c r="H1373" s="36" t="str">
        <f>IFERROR(VLOOKUP(Table2[[#This Row], [Ticket]],Okey!A:B,2,0),"")</f>
        <v>ok</v>
      </c>
      <c r="I1373" s="36" t="s">
        <v>8546</v>
      </c>
      <c r="J1373" s="9" t="s">
        <v>20</v>
      </c>
      <c r="L1373" s="36"/>
      <c r="M1373" s="9" t="s">
        <v>8013</v>
      </c>
    </row>
    <row r="1374" spans="1:13" hidden="1">
      <c r="A1374" s="42">
        <f t="shared" si="22"/>
        <v>1373</v>
      </c>
      <c r="B1374" s="36" t="s">
        <v>8</v>
      </c>
      <c r="C1374" s="36" t="s">
        <v>9433</v>
      </c>
      <c r="D1374" s="9" t="s">
        <v>9434</v>
      </c>
      <c r="F1374" s="36" t="s">
        <v>7814</v>
      </c>
      <c r="G1374" s="36" t="s">
        <v>13</v>
      </c>
      <c r="H1374" s="36" t="str">
        <f>IFERROR(VLOOKUP(Table2[[#This Row], [Ticket]],Okey!A:B,2,0),"")</f>
        <v>ok</v>
      </c>
      <c r="I1374" s="36" t="s">
        <v>8546</v>
      </c>
      <c r="J1374" s="36" t="s">
        <v>20</v>
      </c>
      <c r="L1374" s="36"/>
      <c r="M1374" s="36" t="s">
        <v>8013</v>
      </c>
    </row>
    <row r="1375" spans="1:13" hidden="1">
      <c r="A1375" s="42">
        <f t="shared" si="22"/>
        <v>1374</v>
      </c>
      <c r="B1375" s="36" t="s">
        <v>8</v>
      </c>
      <c r="C1375" s="9" t="s">
        <v>9435</v>
      </c>
      <c r="D1375" s="9" t="s">
        <v>9436</v>
      </c>
      <c r="F1375" s="36" t="s">
        <v>7815</v>
      </c>
      <c r="G1375" s="9" t="s">
        <v>13</v>
      </c>
      <c r="H1375" s="36" t="str">
        <f>IFERROR(VLOOKUP(Table2[[#This Row], [Ticket]],Okey!A:B,2,0),"")</f>
        <v>ok</v>
      </c>
      <c r="I1375" s="36" t="s">
        <v>8546</v>
      </c>
      <c r="J1375" s="36" t="s">
        <v>20</v>
      </c>
      <c r="L1375" s="36"/>
      <c r="M1375" s="36" t="s">
        <v>8013</v>
      </c>
    </row>
    <row r="1376" spans="1:13" hidden="1">
      <c r="A1376" s="42">
        <f t="shared" si="22"/>
        <v>1375</v>
      </c>
      <c r="B1376" s="36" t="s">
        <v>8</v>
      </c>
      <c r="C1376" s="36" t="s">
        <v>9435</v>
      </c>
      <c r="D1376" s="9" t="s">
        <v>9437</v>
      </c>
      <c r="F1376" s="36" t="s">
        <v>7814</v>
      </c>
      <c r="G1376" s="36" t="s">
        <v>13</v>
      </c>
      <c r="H1376" s="36" t="str">
        <f>IFERROR(VLOOKUP(Table2[[#This Row], [Ticket]],Okey!A:B,2,0),"")</f>
        <v>ok</v>
      </c>
      <c r="I1376" s="36" t="s">
        <v>8546</v>
      </c>
      <c r="J1376" s="36" t="s">
        <v>20</v>
      </c>
      <c r="L1376" s="36"/>
      <c r="M1376" s="36" t="s">
        <v>8013</v>
      </c>
    </row>
    <row r="1377" spans="1:13" hidden="1">
      <c r="A1377" s="42">
        <f t="shared" si="22"/>
        <v>1376</v>
      </c>
      <c r="B1377" s="36" t="s">
        <v>8</v>
      </c>
      <c r="C1377" s="9" t="s">
        <v>9476</v>
      </c>
      <c r="D1377" s="9" t="s">
        <v>9477</v>
      </c>
      <c r="E1377" s="9" t="s">
        <v>9438</v>
      </c>
      <c r="F1377" s="36" t="s">
        <v>1139</v>
      </c>
      <c r="G1377" s="9" t="s">
        <v>14</v>
      </c>
      <c r="H1377" s="36" t="str">
        <f>IFERROR(VLOOKUP(Table2[[#This Row], [Ticket]],Okey!A:B,2,0),"")</f>
        <v>ok</v>
      </c>
      <c r="I1377" s="36" t="s">
        <v>8546</v>
      </c>
      <c r="J1377" s="36" t="s">
        <v>19</v>
      </c>
      <c r="L1377" s="36"/>
      <c r="M1377" s="9" t="s">
        <v>9515</v>
      </c>
    </row>
    <row r="1378" spans="1:13" hidden="1">
      <c r="A1378" s="42">
        <f t="shared" si="22"/>
        <v>1377</v>
      </c>
      <c r="B1378" s="36" t="s">
        <v>8</v>
      </c>
      <c r="C1378" s="36" t="s">
        <v>9476</v>
      </c>
      <c r="D1378" s="9" t="s">
        <v>9478</v>
      </c>
      <c r="E1378" s="9" t="s">
        <v>9439</v>
      </c>
      <c r="F1378" s="36" t="s">
        <v>9477</v>
      </c>
      <c r="G1378" s="36" t="s">
        <v>14</v>
      </c>
      <c r="H1378" s="36" t="str">
        <f>IFERROR(VLOOKUP(Table2[[#This Row], [Ticket]],Okey!A:B,2,0),"")</f>
        <v>ok</v>
      </c>
      <c r="I1378" s="36" t="s">
        <v>8546</v>
      </c>
      <c r="J1378" s="36" t="s">
        <v>19</v>
      </c>
      <c r="L1378" s="36"/>
      <c r="M1378" s="36" t="s">
        <v>9515</v>
      </c>
    </row>
    <row r="1379" spans="1:13" hidden="1">
      <c r="A1379" s="42">
        <f t="shared" si="22"/>
        <v>1378</v>
      </c>
      <c r="B1379" s="36" t="s">
        <v>8</v>
      </c>
      <c r="C1379" s="36" t="s">
        <v>9476</v>
      </c>
      <c r="D1379" s="9" t="s">
        <v>9479</v>
      </c>
      <c r="E1379" s="9" t="s">
        <v>9440</v>
      </c>
      <c r="F1379" s="36" t="s">
        <v>9478</v>
      </c>
      <c r="G1379" s="36" t="s">
        <v>14</v>
      </c>
      <c r="H1379" s="36" t="str">
        <f>IFERROR(VLOOKUP(Table2[[#This Row], [Ticket]],Okey!A:B,2,0),"")</f>
        <v>ok</v>
      </c>
      <c r="I1379" s="36" t="s">
        <v>8546</v>
      </c>
      <c r="J1379" s="36" t="s">
        <v>19</v>
      </c>
      <c r="L1379" s="36"/>
      <c r="M1379" s="36" t="s">
        <v>9515</v>
      </c>
    </row>
    <row r="1380" spans="1:13" hidden="1">
      <c r="A1380" s="42">
        <f t="shared" si="22"/>
        <v>1379</v>
      </c>
      <c r="B1380" s="36" t="s">
        <v>8</v>
      </c>
      <c r="C1380" s="36" t="s">
        <v>9476</v>
      </c>
      <c r="D1380" s="9" t="s">
        <v>9480</v>
      </c>
      <c r="E1380" s="9" t="s">
        <v>9441</v>
      </c>
      <c r="F1380" s="36" t="s">
        <v>9479</v>
      </c>
      <c r="G1380" s="36" t="s">
        <v>14</v>
      </c>
      <c r="H1380" s="36" t="str">
        <f>IFERROR(VLOOKUP(Table2[[#This Row], [Ticket]],Okey!A:B,2,0),"")</f>
        <v>ok</v>
      </c>
      <c r="I1380" s="36" t="s">
        <v>8546</v>
      </c>
      <c r="J1380" s="36" t="s">
        <v>19</v>
      </c>
      <c r="L1380" s="36"/>
      <c r="M1380" s="36" t="s">
        <v>9515</v>
      </c>
    </row>
    <row r="1381" spans="1:13" hidden="1">
      <c r="A1381" s="42">
        <f t="shared" si="22"/>
        <v>1380</v>
      </c>
      <c r="B1381" s="36" t="s">
        <v>8</v>
      </c>
      <c r="C1381" s="36" t="s">
        <v>9476</v>
      </c>
      <c r="D1381" s="9" t="s">
        <v>9481</v>
      </c>
      <c r="E1381" s="9" t="s">
        <v>9442</v>
      </c>
      <c r="F1381" s="36" t="s">
        <v>9480</v>
      </c>
      <c r="G1381" s="36" t="s">
        <v>14</v>
      </c>
      <c r="H1381" s="36" t="str">
        <f>IFERROR(VLOOKUP(Table2[[#This Row], [Ticket]],Okey!A:B,2,0),"")</f>
        <v>ok</v>
      </c>
      <c r="I1381" s="36" t="s">
        <v>8546</v>
      </c>
      <c r="J1381" s="36" t="s">
        <v>19</v>
      </c>
      <c r="L1381" s="36"/>
      <c r="M1381" s="36" t="s">
        <v>9515</v>
      </c>
    </row>
    <row r="1382" spans="1:13" hidden="1">
      <c r="A1382" s="42">
        <f t="shared" si="22"/>
        <v>1381</v>
      </c>
      <c r="B1382" s="36" t="s">
        <v>8</v>
      </c>
      <c r="C1382" s="36" t="s">
        <v>9476</v>
      </c>
      <c r="D1382" s="9" t="s">
        <v>9482</v>
      </c>
      <c r="E1382" s="9" t="s">
        <v>9443</v>
      </c>
      <c r="F1382" s="36" t="s">
        <v>9480</v>
      </c>
      <c r="G1382" s="36" t="s">
        <v>14</v>
      </c>
      <c r="H1382" s="36" t="str">
        <f>IFERROR(VLOOKUP(Table2[[#This Row], [Ticket]],Okey!A:B,2,0),"")</f>
        <v>ok</v>
      </c>
      <c r="I1382" s="36" t="s">
        <v>8546</v>
      </c>
      <c r="J1382" s="36" t="s">
        <v>19</v>
      </c>
      <c r="L1382" s="36"/>
      <c r="M1382" s="36" t="s">
        <v>9515</v>
      </c>
    </row>
    <row r="1383" spans="1:13" hidden="1">
      <c r="A1383" s="42">
        <f t="shared" si="22"/>
        <v>1382</v>
      </c>
      <c r="B1383" s="36" t="s">
        <v>8</v>
      </c>
      <c r="C1383" s="36" t="s">
        <v>9476</v>
      </c>
      <c r="D1383" s="9" t="s">
        <v>9483</v>
      </c>
      <c r="E1383" s="9" t="s">
        <v>9444</v>
      </c>
      <c r="F1383" s="36" t="s">
        <v>9480</v>
      </c>
      <c r="G1383" s="36" t="s">
        <v>14</v>
      </c>
      <c r="H1383" s="36" t="str">
        <f>IFERROR(VLOOKUP(Table2[[#This Row], [Ticket]],Okey!A:B,2,0),"")</f>
        <v>ok</v>
      </c>
      <c r="I1383" s="36" t="s">
        <v>8546</v>
      </c>
      <c r="J1383" s="36" t="s">
        <v>19</v>
      </c>
      <c r="L1383" s="36"/>
      <c r="M1383" s="36" t="s">
        <v>9515</v>
      </c>
    </row>
    <row r="1384" spans="1:13" hidden="1">
      <c r="A1384" s="42">
        <f t="shared" si="22"/>
        <v>1383</v>
      </c>
      <c r="B1384" s="36" t="s">
        <v>8</v>
      </c>
      <c r="C1384" s="36" t="s">
        <v>9476</v>
      </c>
      <c r="D1384" s="9" t="s">
        <v>9484</v>
      </c>
      <c r="E1384" s="9" t="s">
        <v>9445</v>
      </c>
      <c r="F1384" s="36" t="s">
        <v>9480</v>
      </c>
      <c r="G1384" s="36" t="s">
        <v>14</v>
      </c>
      <c r="H1384" s="36" t="str">
        <f>IFERROR(VLOOKUP(Table2[[#This Row], [Ticket]],Okey!A:B,2,0),"")</f>
        <v>ok</v>
      </c>
      <c r="I1384" s="36" t="s">
        <v>8546</v>
      </c>
      <c r="J1384" s="36" t="s">
        <v>19</v>
      </c>
      <c r="L1384" s="36"/>
      <c r="M1384" s="36" t="s">
        <v>9515</v>
      </c>
    </row>
    <row r="1385" spans="1:13" hidden="1">
      <c r="A1385" s="42">
        <f t="shared" si="22"/>
        <v>1384</v>
      </c>
      <c r="B1385" s="36" t="s">
        <v>8</v>
      </c>
      <c r="C1385" s="36" t="s">
        <v>9476</v>
      </c>
      <c r="D1385" s="9" t="s">
        <v>9485</v>
      </c>
      <c r="E1385" s="9" t="s">
        <v>9446</v>
      </c>
      <c r="F1385" s="36" t="s">
        <v>9477</v>
      </c>
      <c r="G1385" s="36" t="s">
        <v>14</v>
      </c>
      <c r="H1385" s="36" t="str">
        <f>IFERROR(VLOOKUP(Table2[[#This Row], [Ticket]],Okey!A:B,2,0),"")</f>
        <v>ok</v>
      </c>
      <c r="I1385" s="36" t="s">
        <v>8546</v>
      </c>
      <c r="J1385" s="36" t="s">
        <v>19</v>
      </c>
      <c r="L1385" s="36"/>
      <c r="M1385" s="36" t="s">
        <v>9515</v>
      </c>
    </row>
    <row r="1386" spans="1:13" hidden="1">
      <c r="A1386" s="42">
        <f t="shared" si="22"/>
        <v>1385</v>
      </c>
      <c r="B1386" s="36" t="s">
        <v>8</v>
      </c>
      <c r="C1386" s="36" t="s">
        <v>9476</v>
      </c>
      <c r="D1386" s="9" t="s">
        <v>9486</v>
      </c>
      <c r="E1386" s="9" t="s">
        <v>9447</v>
      </c>
      <c r="F1386" s="36" t="s">
        <v>9485</v>
      </c>
      <c r="G1386" s="36" t="s">
        <v>14</v>
      </c>
      <c r="H1386" s="36" t="str">
        <f>IFERROR(VLOOKUP(Table2[[#This Row], [Ticket]],Okey!A:B,2,0),"")</f>
        <v>ok</v>
      </c>
      <c r="I1386" s="36" t="s">
        <v>8546</v>
      </c>
      <c r="J1386" s="36" t="s">
        <v>19</v>
      </c>
      <c r="L1386" s="36"/>
      <c r="M1386" s="36" t="s">
        <v>9515</v>
      </c>
    </row>
    <row r="1387" spans="1:13" hidden="1">
      <c r="A1387" s="42">
        <f t="shared" si="22"/>
        <v>1386</v>
      </c>
      <c r="B1387" s="36" t="s">
        <v>8</v>
      </c>
      <c r="C1387" s="36" t="s">
        <v>9476</v>
      </c>
      <c r="D1387" s="9" t="s">
        <v>9487</v>
      </c>
      <c r="E1387" s="9" t="s">
        <v>9448</v>
      </c>
      <c r="F1387" s="36" t="s">
        <v>9485</v>
      </c>
      <c r="G1387" s="36" t="s">
        <v>14</v>
      </c>
      <c r="H1387" s="36" t="str">
        <f>IFERROR(VLOOKUP(Table2[[#This Row], [Ticket]],Okey!A:B,2,0),"")</f>
        <v>ok</v>
      </c>
      <c r="I1387" s="36" t="s">
        <v>8546</v>
      </c>
      <c r="J1387" s="36" t="s">
        <v>19</v>
      </c>
      <c r="L1387" s="36"/>
      <c r="M1387" s="36" t="s">
        <v>9515</v>
      </c>
    </row>
    <row r="1388" spans="1:13" hidden="1">
      <c r="A1388" s="42">
        <f t="shared" si="22"/>
        <v>1387</v>
      </c>
      <c r="B1388" s="36" t="s">
        <v>8</v>
      </c>
      <c r="C1388" s="36" t="s">
        <v>9476</v>
      </c>
      <c r="D1388" s="9" t="s">
        <v>9488</v>
      </c>
      <c r="E1388" s="9" t="s">
        <v>9449</v>
      </c>
      <c r="F1388" s="36" t="s">
        <v>9485</v>
      </c>
      <c r="G1388" s="36" t="s">
        <v>14</v>
      </c>
      <c r="H1388" s="36" t="str">
        <f>IFERROR(VLOOKUP(Table2[[#This Row], [Ticket]],Okey!A:B,2,0),"")</f>
        <v>ok</v>
      </c>
      <c r="I1388" s="36" t="s">
        <v>8546</v>
      </c>
      <c r="J1388" s="36" t="s">
        <v>19</v>
      </c>
      <c r="L1388" s="36"/>
      <c r="M1388" s="36" t="s">
        <v>9515</v>
      </c>
    </row>
    <row r="1389" spans="1:13" hidden="1">
      <c r="A1389" s="42">
        <f t="shared" si="22"/>
        <v>1388</v>
      </c>
      <c r="B1389" s="36" t="s">
        <v>8</v>
      </c>
      <c r="C1389" s="36" t="s">
        <v>9476</v>
      </c>
      <c r="D1389" s="9" t="s">
        <v>9489</v>
      </c>
      <c r="E1389" s="9" t="s">
        <v>9450</v>
      </c>
      <c r="F1389" s="36" t="s">
        <v>9477</v>
      </c>
      <c r="G1389" s="36" t="s">
        <v>14</v>
      </c>
      <c r="H1389" s="36" t="str">
        <f>IFERROR(VLOOKUP(Table2[[#This Row], [Ticket]],Okey!A:B,2,0),"")</f>
        <v>ok</v>
      </c>
      <c r="I1389" s="36" t="s">
        <v>8546</v>
      </c>
      <c r="J1389" s="36" t="s">
        <v>19</v>
      </c>
      <c r="L1389" s="36"/>
      <c r="M1389" s="36" t="s">
        <v>9515</v>
      </c>
    </row>
    <row r="1390" spans="1:13" hidden="1">
      <c r="A1390" s="42">
        <f t="shared" si="22"/>
        <v>1389</v>
      </c>
      <c r="B1390" s="36" t="s">
        <v>8</v>
      </c>
      <c r="C1390" s="36" t="s">
        <v>9476</v>
      </c>
      <c r="D1390" s="9" t="s">
        <v>9490</v>
      </c>
      <c r="E1390" s="9" t="s">
        <v>9451</v>
      </c>
      <c r="F1390" s="36" t="s">
        <v>9489</v>
      </c>
      <c r="G1390" s="36" t="s">
        <v>14</v>
      </c>
      <c r="H1390" s="36" t="str">
        <f>IFERROR(VLOOKUP(Table2[[#This Row], [Ticket]],Okey!A:B,2,0),"")</f>
        <v>ok</v>
      </c>
      <c r="I1390" s="36" t="s">
        <v>8546</v>
      </c>
      <c r="J1390" s="36" t="s">
        <v>19</v>
      </c>
      <c r="L1390" s="36"/>
      <c r="M1390" s="36" t="s">
        <v>9515</v>
      </c>
    </row>
    <row r="1391" spans="1:13" hidden="1">
      <c r="A1391" s="42">
        <f t="shared" si="22"/>
        <v>1390</v>
      </c>
      <c r="B1391" s="36" t="s">
        <v>8</v>
      </c>
      <c r="C1391" s="36" t="s">
        <v>9476</v>
      </c>
      <c r="D1391" s="9" t="s">
        <v>9491</v>
      </c>
      <c r="E1391" s="9" t="s">
        <v>9452</v>
      </c>
      <c r="F1391" s="36" t="s">
        <v>9477</v>
      </c>
      <c r="G1391" s="36" t="s">
        <v>14</v>
      </c>
      <c r="H1391" s="36" t="str">
        <f>IFERROR(VLOOKUP(Table2[[#This Row], [Ticket]],Okey!A:B,2,0),"")</f>
        <v>ok</v>
      </c>
      <c r="I1391" s="36" t="s">
        <v>8546</v>
      </c>
      <c r="J1391" s="36" t="s">
        <v>19</v>
      </c>
      <c r="L1391" s="36"/>
      <c r="M1391" s="36" t="s">
        <v>9515</v>
      </c>
    </row>
    <row r="1392" spans="1:13" hidden="1">
      <c r="A1392" s="42">
        <f t="shared" si="22"/>
        <v>1391</v>
      </c>
      <c r="B1392" s="36" t="s">
        <v>8</v>
      </c>
      <c r="C1392" s="36" t="s">
        <v>9476</v>
      </c>
      <c r="D1392" s="9" t="s">
        <v>9492</v>
      </c>
      <c r="E1392" s="9" t="s">
        <v>9453</v>
      </c>
      <c r="F1392" s="36" t="s">
        <v>9477</v>
      </c>
      <c r="G1392" s="36" t="s">
        <v>14</v>
      </c>
      <c r="H1392" s="36" t="str">
        <f>IFERROR(VLOOKUP(Table2[[#This Row], [Ticket]],Okey!A:B,2,0),"")</f>
        <v>ok</v>
      </c>
      <c r="I1392" s="36" t="s">
        <v>8546</v>
      </c>
      <c r="J1392" s="36" t="s">
        <v>19</v>
      </c>
      <c r="L1392" s="36"/>
      <c r="M1392" s="36" t="s">
        <v>9515</v>
      </c>
    </row>
    <row r="1393" spans="1:13" hidden="1">
      <c r="A1393" s="42">
        <f t="shared" si="22"/>
        <v>1392</v>
      </c>
      <c r="B1393" s="36" t="s">
        <v>8</v>
      </c>
      <c r="C1393" s="36" t="s">
        <v>9476</v>
      </c>
      <c r="D1393" s="9" t="s">
        <v>9493</v>
      </c>
      <c r="E1393" s="9" t="s">
        <v>9454</v>
      </c>
      <c r="F1393" s="36" t="s">
        <v>9492</v>
      </c>
      <c r="G1393" s="36" t="s">
        <v>14</v>
      </c>
      <c r="H1393" s="36" t="str">
        <f>IFERROR(VLOOKUP(Table2[[#This Row], [Ticket]],Okey!A:B,2,0),"")</f>
        <v>ok</v>
      </c>
      <c r="I1393" s="36" t="s">
        <v>8546</v>
      </c>
      <c r="J1393" s="36" t="s">
        <v>19</v>
      </c>
      <c r="L1393" s="36"/>
      <c r="M1393" s="36" t="s">
        <v>9515</v>
      </c>
    </row>
    <row r="1394" spans="1:13" hidden="1">
      <c r="A1394" s="42">
        <f t="shared" si="22"/>
        <v>1393</v>
      </c>
      <c r="B1394" s="36" t="s">
        <v>8</v>
      </c>
      <c r="C1394" s="36" t="s">
        <v>9476</v>
      </c>
      <c r="D1394" s="9" t="s">
        <v>9494</v>
      </c>
      <c r="E1394" s="9" t="s">
        <v>9455</v>
      </c>
      <c r="F1394" s="36" t="s">
        <v>9492</v>
      </c>
      <c r="G1394" s="36" t="s">
        <v>14</v>
      </c>
      <c r="H1394" s="36" t="str">
        <f>IFERROR(VLOOKUP(Table2[[#This Row], [Ticket]],Okey!A:B,2,0),"")</f>
        <v>ok</v>
      </c>
      <c r="I1394" s="36" t="s">
        <v>8546</v>
      </c>
      <c r="J1394" s="36" t="s">
        <v>19</v>
      </c>
      <c r="L1394" s="36"/>
      <c r="M1394" s="36" t="s">
        <v>9515</v>
      </c>
    </row>
    <row r="1395" spans="1:13" hidden="1">
      <c r="A1395" s="42">
        <f t="shared" si="22"/>
        <v>1394</v>
      </c>
      <c r="B1395" s="36" t="s">
        <v>8</v>
      </c>
      <c r="C1395" s="36" t="s">
        <v>9476</v>
      </c>
      <c r="D1395" s="9" t="s">
        <v>9495</v>
      </c>
      <c r="E1395" s="9" t="s">
        <v>9456</v>
      </c>
      <c r="F1395" s="36" t="s">
        <v>9492</v>
      </c>
      <c r="G1395" s="36" t="s">
        <v>14</v>
      </c>
      <c r="H1395" s="36" t="str">
        <f>IFERROR(VLOOKUP(Table2[[#This Row], [Ticket]],Okey!A:B,2,0),"")</f>
        <v>ok</v>
      </c>
      <c r="I1395" s="36" t="s">
        <v>8546</v>
      </c>
      <c r="J1395" s="36" t="s">
        <v>19</v>
      </c>
      <c r="L1395" s="36"/>
      <c r="M1395" s="36" t="s">
        <v>9515</v>
      </c>
    </row>
    <row r="1396" spans="1:13" hidden="1">
      <c r="A1396" s="42">
        <f t="shared" si="22"/>
        <v>1395</v>
      </c>
      <c r="B1396" s="36" t="s">
        <v>8</v>
      </c>
      <c r="C1396" s="36" t="s">
        <v>9476</v>
      </c>
      <c r="D1396" s="9" t="s">
        <v>9496</v>
      </c>
      <c r="E1396" s="9" t="s">
        <v>9457</v>
      </c>
      <c r="F1396" s="36" t="s">
        <v>1141</v>
      </c>
      <c r="G1396" s="36" t="s">
        <v>14</v>
      </c>
      <c r="H1396" s="36" t="str">
        <f>IFERROR(VLOOKUP(Table2[[#This Row], [Ticket]],Okey!A:B,2,0),"")</f>
        <v>ok</v>
      </c>
      <c r="I1396" s="36" t="s">
        <v>8546</v>
      </c>
      <c r="J1396" s="36" t="s">
        <v>19</v>
      </c>
      <c r="L1396" s="36"/>
      <c r="M1396" s="36" t="s">
        <v>9515</v>
      </c>
    </row>
    <row r="1397" spans="1:13" hidden="1">
      <c r="A1397" s="42">
        <f t="shared" si="22"/>
        <v>1396</v>
      </c>
      <c r="B1397" s="36" t="s">
        <v>8</v>
      </c>
      <c r="C1397" s="36" t="s">
        <v>9476</v>
      </c>
      <c r="D1397" s="9" t="s">
        <v>9497</v>
      </c>
      <c r="E1397" s="9" t="s">
        <v>9458</v>
      </c>
      <c r="F1397" s="36" t="s">
        <v>9496</v>
      </c>
      <c r="G1397" s="36" t="s">
        <v>14</v>
      </c>
      <c r="H1397" s="36" t="str">
        <f>IFERROR(VLOOKUP(Table2[[#This Row], [Ticket]],Okey!A:B,2,0),"")</f>
        <v>ok</v>
      </c>
      <c r="I1397" s="36" t="s">
        <v>8546</v>
      </c>
      <c r="J1397" s="36" t="s">
        <v>19</v>
      </c>
      <c r="L1397" s="36"/>
      <c r="M1397" s="36" t="s">
        <v>9515</v>
      </c>
    </row>
    <row r="1398" spans="1:13" hidden="1">
      <c r="A1398" s="42">
        <f t="shared" si="22"/>
        <v>1397</v>
      </c>
      <c r="B1398" s="36" t="s">
        <v>8</v>
      </c>
      <c r="C1398" s="36" t="s">
        <v>9476</v>
      </c>
      <c r="D1398" s="9" t="s">
        <v>9498</v>
      </c>
      <c r="E1398" s="9" t="s">
        <v>9459</v>
      </c>
      <c r="F1398" s="36" t="s">
        <v>9497</v>
      </c>
      <c r="G1398" s="36" t="s">
        <v>14</v>
      </c>
      <c r="H1398" s="36" t="str">
        <f>IFERROR(VLOOKUP(Table2[[#This Row], [Ticket]],Okey!A:B,2,0),"")</f>
        <v>ok</v>
      </c>
      <c r="I1398" s="36" t="s">
        <v>8546</v>
      </c>
      <c r="J1398" s="36" t="s">
        <v>19</v>
      </c>
      <c r="L1398" s="36"/>
      <c r="M1398" s="36" t="s">
        <v>9515</v>
      </c>
    </row>
    <row r="1399" spans="1:13" hidden="1">
      <c r="A1399" s="42">
        <f t="shared" si="22"/>
        <v>1398</v>
      </c>
      <c r="B1399" s="36" t="s">
        <v>8</v>
      </c>
      <c r="C1399" s="36" t="s">
        <v>9476</v>
      </c>
      <c r="D1399" s="9" t="s">
        <v>9499</v>
      </c>
      <c r="E1399" s="9" t="s">
        <v>9460</v>
      </c>
      <c r="F1399" s="36" t="s">
        <v>9498</v>
      </c>
      <c r="G1399" s="36" t="s">
        <v>14</v>
      </c>
      <c r="H1399" s="36" t="str">
        <f>IFERROR(VLOOKUP(Table2[[#This Row], [Ticket]],Okey!A:B,2,0),"")</f>
        <v>ok</v>
      </c>
      <c r="I1399" s="36" t="s">
        <v>8546</v>
      </c>
      <c r="J1399" s="36" t="s">
        <v>19</v>
      </c>
      <c r="L1399" s="36"/>
      <c r="M1399" s="36" t="s">
        <v>9515</v>
      </c>
    </row>
    <row r="1400" spans="1:13" hidden="1">
      <c r="A1400" s="42">
        <f t="shared" si="22"/>
        <v>1399</v>
      </c>
      <c r="B1400" s="36" t="s">
        <v>8</v>
      </c>
      <c r="C1400" s="36" t="s">
        <v>9476</v>
      </c>
      <c r="D1400" s="9" t="s">
        <v>9500</v>
      </c>
      <c r="E1400" s="9" t="s">
        <v>9461</v>
      </c>
      <c r="F1400" s="36" t="s">
        <v>9499</v>
      </c>
      <c r="G1400" s="36" t="s">
        <v>14</v>
      </c>
      <c r="H1400" s="36" t="str">
        <f>IFERROR(VLOOKUP(Table2[[#This Row], [Ticket]],Okey!A:B,2,0),"")</f>
        <v>ok</v>
      </c>
      <c r="I1400" s="36" t="s">
        <v>8546</v>
      </c>
      <c r="J1400" s="36" t="s">
        <v>19</v>
      </c>
      <c r="L1400" s="36"/>
      <c r="M1400" s="36" t="s">
        <v>9515</v>
      </c>
    </row>
    <row r="1401" spans="1:13" hidden="1">
      <c r="A1401" s="42">
        <f t="shared" si="22"/>
        <v>1400</v>
      </c>
      <c r="B1401" s="36" t="s">
        <v>8</v>
      </c>
      <c r="C1401" s="36" t="s">
        <v>9476</v>
      </c>
      <c r="D1401" s="9" t="s">
        <v>9501</v>
      </c>
      <c r="E1401" s="9" t="s">
        <v>9462</v>
      </c>
      <c r="F1401" s="36" t="s">
        <v>9499</v>
      </c>
      <c r="G1401" s="36" t="s">
        <v>14</v>
      </c>
      <c r="H1401" s="36" t="str">
        <f>IFERROR(VLOOKUP(Table2[[#This Row], [Ticket]],Okey!A:B,2,0),"")</f>
        <v>ok</v>
      </c>
      <c r="I1401" s="36" t="s">
        <v>8546</v>
      </c>
      <c r="J1401" s="36" t="s">
        <v>19</v>
      </c>
      <c r="L1401" s="36"/>
      <c r="M1401" s="36" t="s">
        <v>9515</v>
      </c>
    </row>
    <row r="1402" spans="1:13" hidden="1">
      <c r="A1402" s="42">
        <f t="shared" si="22"/>
        <v>1401</v>
      </c>
      <c r="B1402" s="36" t="s">
        <v>8</v>
      </c>
      <c r="C1402" s="36" t="s">
        <v>9476</v>
      </c>
      <c r="D1402" s="9" t="s">
        <v>9502</v>
      </c>
      <c r="E1402" s="9" t="s">
        <v>9463</v>
      </c>
      <c r="F1402" s="36" t="s">
        <v>9499</v>
      </c>
      <c r="G1402" s="36" t="s">
        <v>14</v>
      </c>
      <c r="H1402" s="36" t="str">
        <f>IFERROR(VLOOKUP(Table2[[#This Row], [Ticket]],Okey!A:B,2,0),"")</f>
        <v>ok</v>
      </c>
      <c r="I1402" s="36" t="s">
        <v>8546</v>
      </c>
      <c r="J1402" s="36" t="s">
        <v>19</v>
      </c>
      <c r="L1402" s="36"/>
      <c r="M1402" s="36" t="s">
        <v>9515</v>
      </c>
    </row>
    <row r="1403" spans="1:13" hidden="1">
      <c r="A1403" s="42">
        <f t="shared" si="22"/>
        <v>1402</v>
      </c>
      <c r="B1403" s="36" t="s">
        <v>8</v>
      </c>
      <c r="C1403" s="36" t="s">
        <v>9476</v>
      </c>
      <c r="D1403" s="9" t="s">
        <v>9503</v>
      </c>
      <c r="E1403" s="9" t="s">
        <v>9464</v>
      </c>
      <c r="F1403" s="36" t="s">
        <v>9499</v>
      </c>
      <c r="G1403" s="36" t="s">
        <v>14</v>
      </c>
      <c r="H1403" s="36" t="str">
        <f>IFERROR(VLOOKUP(Table2[[#This Row], [Ticket]],Okey!A:B,2,0),"")</f>
        <v>ok</v>
      </c>
      <c r="I1403" s="36" t="s">
        <v>8546</v>
      </c>
      <c r="J1403" s="36" t="s">
        <v>19</v>
      </c>
      <c r="L1403" s="36"/>
      <c r="M1403" s="36" t="s">
        <v>9515</v>
      </c>
    </row>
    <row r="1404" spans="1:13" hidden="1">
      <c r="A1404" s="42">
        <f t="shared" si="22"/>
        <v>1403</v>
      </c>
      <c r="B1404" s="36" t="s">
        <v>8</v>
      </c>
      <c r="C1404" s="36" t="s">
        <v>9476</v>
      </c>
      <c r="D1404" s="9" t="s">
        <v>9504</v>
      </c>
      <c r="E1404" s="9" t="s">
        <v>9465</v>
      </c>
      <c r="F1404" s="36" t="s">
        <v>9496</v>
      </c>
      <c r="G1404" s="36" t="s">
        <v>14</v>
      </c>
      <c r="H1404" s="36" t="str">
        <f>IFERROR(VLOOKUP(Table2[[#This Row], [Ticket]],Okey!A:B,2,0),"")</f>
        <v>ok</v>
      </c>
      <c r="I1404" s="36" t="s">
        <v>8546</v>
      </c>
      <c r="J1404" s="36" t="s">
        <v>19</v>
      </c>
      <c r="L1404" s="36"/>
      <c r="M1404" s="36" t="s">
        <v>9515</v>
      </c>
    </row>
    <row r="1405" spans="1:13" hidden="1">
      <c r="A1405" s="42">
        <f t="shared" si="22"/>
        <v>1404</v>
      </c>
      <c r="B1405" s="36" t="s">
        <v>8</v>
      </c>
      <c r="C1405" s="36" t="s">
        <v>9476</v>
      </c>
      <c r="D1405" s="9" t="s">
        <v>9505</v>
      </c>
      <c r="E1405" s="9" t="s">
        <v>9466</v>
      </c>
      <c r="F1405" s="36" t="s">
        <v>9504</v>
      </c>
      <c r="G1405" s="36" t="s">
        <v>14</v>
      </c>
      <c r="H1405" s="36" t="str">
        <f>IFERROR(VLOOKUP(Table2[[#This Row], [Ticket]],Okey!A:B,2,0),"")</f>
        <v>ok</v>
      </c>
      <c r="I1405" s="36" t="s">
        <v>8546</v>
      </c>
      <c r="J1405" s="36" t="s">
        <v>19</v>
      </c>
      <c r="L1405" s="36"/>
      <c r="M1405" s="36" t="s">
        <v>9515</v>
      </c>
    </row>
    <row r="1406" spans="1:13" hidden="1">
      <c r="A1406" s="42">
        <f t="shared" si="22"/>
        <v>1405</v>
      </c>
      <c r="B1406" s="36" t="s">
        <v>8</v>
      </c>
      <c r="C1406" s="36" t="s">
        <v>9476</v>
      </c>
      <c r="D1406" s="9" t="s">
        <v>9506</v>
      </c>
      <c r="E1406" s="9" t="s">
        <v>9467</v>
      </c>
      <c r="F1406" s="36" t="s">
        <v>9504</v>
      </c>
      <c r="G1406" s="36" t="s">
        <v>14</v>
      </c>
      <c r="H1406" s="36" t="str">
        <f>IFERROR(VLOOKUP(Table2[[#This Row], [Ticket]],Okey!A:B,2,0),"")</f>
        <v>ok</v>
      </c>
      <c r="I1406" s="36" t="s">
        <v>8546</v>
      </c>
      <c r="J1406" s="36" t="s">
        <v>19</v>
      </c>
      <c r="L1406" s="36"/>
      <c r="M1406" s="36" t="s">
        <v>9515</v>
      </c>
    </row>
    <row r="1407" spans="1:13" hidden="1">
      <c r="A1407" s="42">
        <f t="shared" si="22"/>
        <v>1406</v>
      </c>
      <c r="B1407" s="36" t="s">
        <v>8</v>
      </c>
      <c r="C1407" s="36" t="s">
        <v>9476</v>
      </c>
      <c r="D1407" s="9" t="s">
        <v>9507</v>
      </c>
      <c r="E1407" s="9" t="s">
        <v>9468</v>
      </c>
      <c r="F1407" s="36" t="s">
        <v>9504</v>
      </c>
      <c r="G1407" s="36" t="s">
        <v>14</v>
      </c>
      <c r="H1407" s="36" t="str">
        <f>IFERROR(VLOOKUP(Table2[[#This Row], [Ticket]],Okey!A:B,2,0),"")</f>
        <v>ok</v>
      </c>
      <c r="I1407" s="36" t="s">
        <v>8546</v>
      </c>
      <c r="J1407" s="36" t="s">
        <v>19</v>
      </c>
      <c r="L1407" s="36"/>
      <c r="M1407" s="36" t="s">
        <v>9515</v>
      </c>
    </row>
    <row r="1408" spans="1:13" hidden="1">
      <c r="A1408" s="42">
        <f t="shared" si="22"/>
        <v>1407</v>
      </c>
      <c r="B1408" s="36" t="s">
        <v>8</v>
      </c>
      <c r="C1408" s="36" t="s">
        <v>9476</v>
      </c>
      <c r="D1408" s="9" t="s">
        <v>9508</v>
      </c>
      <c r="E1408" s="9" t="s">
        <v>9469</v>
      </c>
      <c r="F1408" s="36" t="s">
        <v>9496</v>
      </c>
      <c r="G1408" s="36" t="s">
        <v>14</v>
      </c>
      <c r="H1408" s="36" t="str">
        <f>IFERROR(VLOOKUP(Table2[[#This Row], [Ticket]],Okey!A:B,2,0),"")</f>
        <v>ok</v>
      </c>
      <c r="I1408" s="36" t="s">
        <v>8546</v>
      </c>
      <c r="J1408" s="36" t="s">
        <v>19</v>
      </c>
      <c r="L1408" s="36"/>
      <c r="M1408" s="36" t="s">
        <v>9515</v>
      </c>
    </row>
    <row r="1409" spans="1:13" hidden="1">
      <c r="A1409" s="42">
        <f t="shared" si="22"/>
        <v>1408</v>
      </c>
      <c r="B1409" s="36" t="s">
        <v>8</v>
      </c>
      <c r="C1409" s="36" t="s">
        <v>9476</v>
      </c>
      <c r="D1409" s="9" t="s">
        <v>9509</v>
      </c>
      <c r="E1409" s="9" t="s">
        <v>9470</v>
      </c>
      <c r="F1409" s="36" t="s">
        <v>9508</v>
      </c>
      <c r="G1409" s="36" t="s">
        <v>14</v>
      </c>
      <c r="H1409" s="36" t="str">
        <f>IFERROR(VLOOKUP(Table2[[#This Row], [Ticket]],Okey!A:B,2,0),"")</f>
        <v>ok</v>
      </c>
      <c r="I1409" s="36" t="s">
        <v>8546</v>
      </c>
      <c r="J1409" s="36" t="s">
        <v>19</v>
      </c>
      <c r="L1409" s="36"/>
      <c r="M1409" s="36" t="s">
        <v>9515</v>
      </c>
    </row>
    <row r="1410" spans="1:13" hidden="1">
      <c r="A1410" s="42">
        <f t="shared" si="22"/>
        <v>1409</v>
      </c>
      <c r="B1410" s="36" t="s">
        <v>8</v>
      </c>
      <c r="C1410" s="36" t="s">
        <v>9476</v>
      </c>
      <c r="D1410" s="9" t="s">
        <v>9510</v>
      </c>
      <c r="E1410" s="9" t="s">
        <v>9471</v>
      </c>
      <c r="F1410" s="36" t="s">
        <v>9496</v>
      </c>
      <c r="G1410" s="36" t="s">
        <v>14</v>
      </c>
      <c r="H1410" s="36" t="str">
        <f>IFERROR(VLOOKUP(Table2[[#This Row], [Ticket]],Okey!A:B,2,0),"")</f>
        <v>ok</v>
      </c>
      <c r="I1410" s="36" t="s">
        <v>8546</v>
      </c>
      <c r="J1410" s="36" t="s">
        <v>19</v>
      </c>
      <c r="L1410" s="36"/>
      <c r="M1410" s="36" t="s">
        <v>9515</v>
      </c>
    </row>
    <row r="1411" spans="1:13" hidden="1">
      <c r="A1411" s="42">
        <f t="shared" si="22"/>
        <v>1410</v>
      </c>
      <c r="B1411" s="36" t="s">
        <v>8</v>
      </c>
      <c r="C1411" s="36" t="s">
        <v>9476</v>
      </c>
      <c r="D1411" s="9" t="s">
        <v>9511</v>
      </c>
      <c r="E1411" s="9" t="s">
        <v>9472</v>
      </c>
      <c r="F1411" s="36" t="s">
        <v>9496</v>
      </c>
      <c r="G1411" s="36" t="s">
        <v>14</v>
      </c>
      <c r="H1411" s="36" t="str">
        <f>IFERROR(VLOOKUP(Table2[[#This Row], [Ticket]],Okey!A:B,2,0),"")</f>
        <v>ok</v>
      </c>
      <c r="I1411" s="36" t="s">
        <v>8546</v>
      </c>
      <c r="J1411" s="36" t="s">
        <v>19</v>
      </c>
      <c r="L1411" s="36"/>
      <c r="M1411" s="36" t="s">
        <v>9515</v>
      </c>
    </row>
    <row r="1412" spans="1:13" hidden="1">
      <c r="A1412" s="42">
        <f t="shared" si="22"/>
        <v>1411</v>
      </c>
      <c r="B1412" s="36" t="s">
        <v>8</v>
      </c>
      <c r="C1412" s="36" t="s">
        <v>9476</v>
      </c>
      <c r="D1412" s="9" t="s">
        <v>9512</v>
      </c>
      <c r="E1412" s="9" t="s">
        <v>9473</v>
      </c>
      <c r="F1412" s="36" t="s">
        <v>9492</v>
      </c>
      <c r="G1412" s="36" t="s">
        <v>14</v>
      </c>
      <c r="H1412" s="36" t="str">
        <f>IFERROR(VLOOKUP(Table2[[#This Row], [Ticket]],Okey!A:B,2,0),"")</f>
        <v>ok</v>
      </c>
      <c r="I1412" s="36" t="s">
        <v>8546</v>
      </c>
      <c r="J1412" s="36" t="s">
        <v>19</v>
      </c>
      <c r="L1412" s="36"/>
      <c r="M1412" s="36" t="s">
        <v>9515</v>
      </c>
    </row>
    <row r="1413" spans="1:13" hidden="1">
      <c r="A1413" s="42">
        <f t="shared" si="22"/>
        <v>1412</v>
      </c>
      <c r="B1413" s="36" t="s">
        <v>8</v>
      </c>
      <c r="C1413" s="36" t="s">
        <v>9476</v>
      </c>
      <c r="D1413" s="9" t="s">
        <v>9513</v>
      </c>
      <c r="E1413" s="9" t="s">
        <v>9474</v>
      </c>
      <c r="F1413" s="36" t="s">
        <v>9492</v>
      </c>
      <c r="G1413" s="36" t="s">
        <v>14</v>
      </c>
      <c r="H1413" s="36" t="str">
        <f>IFERROR(VLOOKUP(Table2[[#This Row], [Ticket]],Okey!A:B,2,0),"")</f>
        <v>ok</v>
      </c>
      <c r="I1413" s="36" t="s">
        <v>8546</v>
      </c>
      <c r="J1413" s="36" t="s">
        <v>19</v>
      </c>
      <c r="L1413" s="36"/>
      <c r="M1413" s="36" t="s">
        <v>9515</v>
      </c>
    </row>
    <row r="1414" spans="1:13" hidden="1">
      <c r="A1414" s="42">
        <f t="shared" si="22"/>
        <v>1413</v>
      </c>
      <c r="B1414" s="36" t="s">
        <v>8</v>
      </c>
      <c r="C1414" s="36" t="s">
        <v>9476</v>
      </c>
      <c r="D1414" s="9" t="s">
        <v>9514</v>
      </c>
      <c r="E1414" s="9" t="s">
        <v>9475</v>
      </c>
      <c r="F1414" s="36" t="s">
        <v>9492</v>
      </c>
      <c r="G1414" s="36" t="s">
        <v>14</v>
      </c>
      <c r="H1414" s="36" t="str">
        <f>IFERROR(VLOOKUP(Table2[[#This Row], [Ticket]],Okey!A:B,2,0),"")</f>
        <v>ok</v>
      </c>
      <c r="I1414" s="36" t="s">
        <v>8546</v>
      </c>
      <c r="J1414" s="36" t="s">
        <v>19</v>
      </c>
      <c r="L1414" s="36"/>
      <c r="M1414" s="36" t="s">
        <v>9515</v>
      </c>
    </row>
    <row r="1415" spans="1:13" hidden="1">
      <c r="A1415" s="42">
        <f t="shared" si="22"/>
        <v>1414</v>
      </c>
      <c r="B1415" s="36" t="s">
        <v>8</v>
      </c>
      <c r="C1415" s="9" t="s">
        <v>9517</v>
      </c>
      <c r="D1415" s="90" t="s">
        <v>9516</v>
      </c>
      <c r="F1415" s="91" t="s">
        <v>5725</v>
      </c>
      <c r="G1415" s="36" t="s">
        <v>13</v>
      </c>
      <c r="H1415" s="36" t="str">
        <f>IFERROR(VLOOKUP(Table2[[#This Row], [Ticket]],Okey!A:B,2,0),"")</f>
        <v>ok</v>
      </c>
      <c r="I1415" s="36" t="s">
        <v>8546</v>
      </c>
      <c r="J1415" s="9" t="s">
        <v>17</v>
      </c>
      <c r="L1415" s="36"/>
      <c r="M1415" s="9" t="s">
        <v>3767</v>
      </c>
    </row>
    <row r="1416" spans="1:13" hidden="1">
      <c r="A1416" s="42">
        <f t="shared" si="22"/>
        <v>1415</v>
      </c>
      <c r="B1416" s="36" t="s">
        <v>8</v>
      </c>
      <c r="C1416" s="9" t="s">
        <v>9518</v>
      </c>
      <c r="D1416" s="36" t="s">
        <v>9520</v>
      </c>
      <c r="E1416" t="s">
        <v>9519</v>
      </c>
      <c r="F1416" t="s">
        <v>1668</v>
      </c>
      <c r="G1416" s="9" t="s">
        <v>14</v>
      </c>
      <c r="H1416" s="36" t="str">
        <f>IFERROR(VLOOKUP(Table2[[#This Row], [Ticket]],Okey!A:B,2,0),"")</f>
        <v>ok</v>
      </c>
      <c r="I1416" s="36" t="s">
        <v>8546</v>
      </c>
      <c r="J1416" s="36" t="s">
        <v>19</v>
      </c>
      <c r="L1416" s="36"/>
      <c r="M1416" s="9" t="s">
        <v>4786</v>
      </c>
    </row>
    <row r="1417" spans="1:13" hidden="1">
      <c r="A1417" s="42">
        <f t="shared" si="22"/>
        <v>1416</v>
      </c>
      <c r="B1417" s="36" t="s">
        <v>8</v>
      </c>
      <c r="C1417" s="36" t="s">
        <v>9518</v>
      </c>
      <c r="D1417" s="36" t="s">
        <v>9532</v>
      </c>
      <c r="E1417" s="9" t="s">
        <v>9523</v>
      </c>
      <c r="F1417" s="9" t="s">
        <v>9521</v>
      </c>
      <c r="G1417" s="9" t="s">
        <v>14</v>
      </c>
      <c r="H1417" s="36" t="str">
        <f>IFERROR(VLOOKUP(Table2[[#This Row], [Ticket]],Okey!A:B,2,0),"")</f>
        <v>ok</v>
      </c>
      <c r="I1417" s="36" t="s">
        <v>8546</v>
      </c>
      <c r="J1417" s="9" t="s">
        <v>19</v>
      </c>
      <c r="L1417" s="36"/>
      <c r="M1417" s="36" t="s">
        <v>9515</v>
      </c>
    </row>
    <row r="1418" spans="1:13" hidden="1">
      <c r="A1418" s="42">
        <f t="shared" si="22"/>
        <v>1417</v>
      </c>
      <c r="B1418" s="36" t="s">
        <v>8</v>
      </c>
      <c r="C1418" s="36" t="s">
        <v>9518</v>
      </c>
      <c r="D1418" s="36" t="s">
        <v>9533</v>
      </c>
      <c r="E1418" s="9" t="s">
        <v>9524</v>
      </c>
      <c r="F1418" s="9" t="s">
        <v>9521</v>
      </c>
      <c r="G1418" s="36" t="s">
        <v>14</v>
      </c>
      <c r="H1418" s="36" t="str">
        <f>IFERROR(VLOOKUP(Table2[[#This Row], [Ticket]],Okey!A:B,2,0),"")</f>
        <v>ok</v>
      </c>
      <c r="I1418" s="36" t="s">
        <v>8546</v>
      </c>
      <c r="J1418" s="36" t="s">
        <v>19</v>
      </c>
      <c r="L1418" s="36"/>
      <c r="M1418" s="36" t="s">
        <v>9515</v>
      </c>
    </row>
    <row r="1419" spans="1:13" hidden="1">
      <c r="A1419" s="42">
        <f t="shared" si="22"/>
        <v>1418</v>
      </c>
      <c r="B1419" s="36" t="s">
        <v>8</v>
      </c>
      <c r="C1419" s="36" t="s">
        <v>9518</v>
      </c>
      <c r="D1419" s="36" t="s">
        <v>9534</v>
      </c>
      <c r="E1419" s="9" t="s">
        <v>9525</v>
      </c>
      <c r="F1419" s="9" t="s">
        <v>9521</v>
      </c>
      <c r="G1419" s="36" t="s">
        <v>14</v>
      </c>
      <c r="H1419" s="36" t="str">
        <f>IFERROR(VLOOKUP(Table2[[#This Row], [Ticket]],Okey!A:B,2,0),"")</f>
        <v>ok</v>
      </c>
      <c r="I1419" s="36" t="s">
        <v>8546</v>
      </c>
      <c r="J1419" s="36" t="s">
        <v>19</v>
      </c>
      <c r="L1419" s="36"/>
      <c r="M1419" s="36" t="s">
        <v>9515</v>
      </c>
    </row>
    <row r="1420" spans="1:13" hidden="1">
      <c r="A1420" s="42">
        <f t="shared" si="22"/>
        <v>1419</v>
      </c>
      <c r="B1420" s="36" t="s">
        <v>8</v>
      </c>
      <c r="C1420" s="36" t="s">
        <v>9518</v>
      </c>
      <c r="D1420" s="36" t="s">
        <v>9535</v>
      </c>
      <c r="E1420" s="9" t="s">
        <v>9526</v>
      </c>
      <c r="F1420" s="9" t="s">
        <v>9521</v>
      </c>
      <c r="G1420" s="36" t="s">
        <v>14</v>
      </c>
      <c r="H1420" s="36" t="str">
        <f>IFERROR(VLOOKUP(Table2[[#This Row], [Ticket]],Okey!A:B,2,0),"")</f>
        <v>ok</v>
      </c>
      <c r="I1420" s="36" t="s">
        <v>8546</v>
      </c>
      <c r="J1420" s="36" t="s">
        <v>19</v>
      </c>
      <c r="L1420" s="36"/>
      <c r="M1420" s="36" t="s">
        <v>9515</v>
      </c>
    </row>
    <row r="1421" spans="1:13" hidden="1">
      <c r="A1421" s="42">
        <f t="shared" si="22"/>
        <v>1420</v>
      </c>
      <c r="B1421" s="36" t="s">
        <v>8</v>
      </c>
      <c r="C1421" s="36" t="s">
        <v>9518</v>
      </c>
      <c r="D1421" s="36" t="s">
        <v>9536</v>
      </c>
      <c r="E1421" s="9" t="s">
        <v>9527</v>
      </c>
      <c r="F1421" s="9" t="s">
        <v>9521</v>
      </c>
      <c r="G1421" s="36" t="s">
        <v>14</v>
      </c>
      <c r="H1421" s="36" t="str">
        <f>IFERROR(VLOOKUP(Table2[[#This Row], [Ticket]],Okey!A:B,2,0),"")</f>
        <v>ok</v>
      </c>
      <c r="I1421" s="36" t="s">
        <v>8546</v>
      </c>
      <c r="J1421" s="36" t="s">
        <v>19</v>
      </c>
      <c r="L1421" s="36"/>
      <c r="M1421" s="36" t="s">
        <v>9515</v>
      </c>
    </row>
    <row r="1422" spans="1:13" hidden="1">
      <c r="A1422" s="42">
        <f t="shared" si="22"/>
        <v>1421</v>
      </c>
      <c r="B1422" s="36" t="s">
        <v>8</v>
      </c>
      <c r="C1422" s="36" t="s">
        <v>9518</v>
      </c>
      <c r="D1422" s="36" t="s">
        <v>9537</v>
      </c>
      <c r="E1422" s="9" t="s">
        <v>9528</v>
      </c>
      <c r="F1422" s="9" t="s">
        <v>9521</v>
      </c>
      <c r="G1422" s="36" t="s">
        <v>14</v>
      </c>
      <c r="H1422" s="36" t="str">
        <f>IFERROR(VLOOKUP(Table2[[#This Row], [Ticket]],Okey!A:B,2,0),"")</f>
        <v>ok</v>
      </c>
      <c r="I1422" s="36" t="s">
        <v>8546</v>
      </c>
      <c r="J1422" s="36" t="s">
        <v>19</v>
      </c>
      <c r="L1422" s="36"/>
      <c r="M1422" s="36" t="s">
        <v>9515</v>
      </c>
    </row>
    <row r="1423" spans="1:13" hidden="1">
      <c r="A1423" s="42">
        <f t="shared" si="22"/>
        <v>1422</v>
      </c>
      <c r="B1423" s="36" t="s">
        <v>8</v>
      </c>
      <c r="C1423" s="36" t="s">
        <v>9518</v>
      </c>
      <c r="D1423" s="36" t="s">
        <v>9538</v>
      </c>
      <c r="E1423" s="9" t="s">
        <v>9529</v>
      </c>
      <c r="F1423" s="9" t="s">
        <v>9521</v>
      </c>
      <c r="G1423" s="36" t="s">
        <v>14</v>
      </c>
      <c r="H1423" s="36" t="str">
        <f>IFERROR(VLOOKUP(Table2[[#This Row], [Ticket]],Okey!A:B,2,0),"")</f>
        <v>ok</v>
      </c>
      <c r="I1423" s="36" t="s">
        <v>8546</v>
      </c>
      <c r="J1423" s="36" t="s">
        <v>19</v>
      </c>
      <c r="L1423" s="36"/>
      <c r="M1423" s="36" t="s">
        <v>9515</v>
      </c>
    </row>
    <row r="1424" spans="1:13" hidden="1">
      <c r="A1424" s="42">
        <f t="shared" si="22"/>
        <v>1423</v>
      </c>
      <c r="B1424" s="36" t="s">
        <v>8</v>
      </c>
      <c r="C1424" s="36" t="s">
        <v>9518</v>
      </c>
      <c r="D1424" s="36" t="s">
        <v>9539</v>
      </c>
      <c r="E1424" s="9" t="s">
        <v>9530</v>
      </c>
      <c r="F1424" s="9" t="s">
        <v>9522</v>
      </c>
      <c r="G1424" s="36" t="s">
        <v>14</v>
      </c>
      <c r="H1424" s="36" t="str">
        <f>IFERROR(VLOOKUP(Table2[[#This Row], [Ticket]],Okey!A:B,2,0),"")</f>
        <v>ok</v>
      </c>
      <c r="I1424" s="36" t="s">
        <v>8546</v>
      </c>
      <c r="J1424" s="36" t="s">
        <v>19</v>
      </c>
      <c r="L1424" s="36"/>
      <c r="M1424" s="36" t="s">
        <v>9515</v>
      </c>
    </row>
    <row r="1425" spans="1:13" hidden="1">
      <c r="A1425" s="42">
        <f t="shared" si="22"/>
        <v>1424</v>
      </c>
      <c r="B1425" s="36" t="s">
        <v>8</v>
      </c>
      <c r="C1425" s="36" t="s">
        <v>9518</v>
      </c>
      <c r="D1425" s="36" t="s">
        <v>9540</v>
      </c>
      <c r="E1425" s="9" t="s">
        <v>9531</v>
      </c>
      <c r="F1425" s="9" t="s">
        <v>9522</v>
      </c>
      <c r="G1425" s="36" t="s">
        <v>14</v>
      </c>
      <c r="H1425" s="36" t="str">
        <f>IFERROR(VLOOKUP(Table2[[#This Row], [Ticket]],Okey!A:B,2,0),"")</f>
        <v>ok</v>
      </c>
      <c r="I1425" s="36" t="s">
        <v>8546</v>
      </c>
      <c r="J1425" s="36" t="s">
        <v>19</v>
      </c>
      <c r="L1425" s="36"/>
      <c r="M1425" s="36" t="s">
        <v>9515</v>
      </c>
    </row>
    <row r="1426" spans="1:13" hidden="1">
      <c r="A1426" s="42">
        <f t="shared" si="22"/>
        <v>1425</v>
      </c>
      <c r="B1426" s="36" t="s">
        <v>8</v>
      </c>
      <c r="C1426" s="9" t="s">
        <v>9541</v>
      </c>
      <c r="D1426" s="92" t="s">
        <v>7862</v>
      </c>
      <c r="E1426" s="93" t="s">
        <v>9542</v>
      </c>
      <c r="G1426" s="9" t="s">
        <v>15</v>
      </c>
      <c r="H1426" s="36" t="str">
        <f>IFERROR(VLOOKUP(Table2[[#This Row], [Ticket]],Okey!A:B,2,0),"")</f>
        <v>ok</v>
      </c>
      <c r="I1426" s="36" t="s">
        <v>8546</v>
      </c>
      <c r="J1426" s="9" t="s">
        <v>17</v>
      </c>
      <c r="L1426" s="36"/>
      <c r="M1426" s="9" t="s">
        <v>9543</v>
      </c>
    </row>
    <row r="1427" spans="1:13" hidden="1">
      <c r="A1427" s="42">
        <f t="shared" si="22"/>
        <v>1426</v>
      </c>
      <c r="B1427" s="36" t="s">
        <v>8</v>
      </c>
      <c r="C1427" s="9" t="s">
        <v>9544</v>
      </c>
      <c r="D1427" s="94" t="s">
        <v>2010</v>
      </c>
      <c r="F1427" s="95" t="s">
        <v>9040</v>
      </c>
      <c r="G1427" s="9" t="s">
        <v>13</v>
      </c>
      <c r="H1427" s="36" t="str">
        <f>IFERROR(VLOOKUP(Table2[[#This Row], [Ticket]],Okey!A:B,2,0),"")</f>
        <v>ok</v>
      </c>
      <c r="I1427" s="36" t="s">
        <v>8546</v>
      </c>
      <c r="J1427" s="36" t="s">
        <v>19</v>
      </c>
      <c r="L1427" s="36"/>
      <c r="M1427" s="9" t="s">
        <v>9034</v>
      </c>
    </row>
    <row r="1428" spans="1:13" hidden="1">
      <c r="A1428" s="42">
        <f t="shared" si="22"/>
        <v>1427</v>
      </c>
      <c r="B1428" s="36" t="s">
        <v>8</v>
      </c>
      <c r="C1428" s="9" t="s">
        <v>9546</v>
      </c>
      <c r="D1428" s="96" t="s">
        <v>8857</v>
      </c>
      <c r="E1428" s="97" t="s">
        <v>9545</v>
      </c>
      <c r="G1428" s="36" t="s">
        <v>15</v>
      </c>
      <c r="H1428" s="36" t="str">
        <f>IFERROR(VLOOKUP(Table2[[#This Row], [Ticket]],Okey!A:B,2,0),"")</f>
        <v>ok</v>
      </c>
      <c r="I1428" s="36" t="s">
        <v>8546</v>
      </c>
      <c r="J1428" s="36" t="s">
        <v>17</v>
      </c>
      <c r="L1428" s="36"/>
      <c r="M1428" s="9" t="s">
        <v>4778</v>
      </c>
    </row>
    <row r="1429" spans="1:13" hidden="1">
      <c r="A1429" s="42">
        <f t="shared" si="22"/>
        <v>1428</v>
      </c>
      <c r="B1429" s="36" t="s">
        <v>8</v>
      </c>
      <c r="C1429" s="9" t="s">
        <v>9554</v>
      </c>
      <c r="D1429" s="9" t="s">
        <v>9547</v>
      </c>
      <c r="E1429" s="9" t="s">
        <v>9550</v>
      </c>
      <c r="G1429" s="36" t="s">
        <v>15</v>
      </c>
      <c r="H1429" s="36" t="str">
        <f>IFERROR(VLOOKUP(Table2[[#This Row], [Ticket]],Okey!A:B,2,0),"")</f>
        <v>ok</v>
      </c>
      <c r="I1429" s="36" t="s">
        <v>8546</v>
      </c>
      <c r="J1429" s="36" t="s">
        <v>19</v>
      </c>
      <c r="L1429" s="36"/>
      <c r="M1429" s="9" t="s">
        <v>9555</v>
      </c>
    </row>
    <row r="1430" spans="1:13" hidden="1">
      <c r="A1430" s="42">
        <f t="shared" ref="A1430:A1492" si="23">1+A1429</f>
        <v>1429</v>
      </c>
      <c r="B1430" s="36" t="s">
        <v>8</v>
      </c>
      <c r="C1430" s="36" t="s">
        <v>9554</v>
      </c>
      <c r="D1430" s="9" t="s">
        <v>9548</v>
      </c>
      <c r="E1430" s="9" t="s">
        <v>9550</v>
      </c>
      <c r="G1430" s="36" t="s">
        <v>15</v>
      </c>
      <c r="H1430" s="36" t="str">
        <f>IFERROR(VLOOKUP(Table2[[#This Row], [Ticket]],Okey!A:B,2,0),"")</f>
        <v>ok</v>
      </c>
      <c r="I1430" s="36" t="s">
        <v>8546</v>
      </c>
      <c r="J1430" s="36" t="s">
        <v>19</v>
      </c>
      <c r="L1430" s="36"/>
      <c r="M1430" s="36" t="s">
        <v>9555</v>
      </c>
    </row>
    <row r="1431" spans="1:13" hidden="1">
      <c r="A1431" s="42">
        <f t="shared" si="23"/>
        <v>1430</v>
      </c>
      <c r="B1431" s="36" t="s">
        <v>8</v>
      </c>
      <c r="C1431" s="36" t="s">
        <v>9554</v>
      </c>
      <c r="D1431" s="9" t="s">
        <v>9549</v>
      </c>
      <c r="E1431" s="9" t="s">
        <v>9551</v>
      </c>
      <c r="G1431" s="36" t="s">
        <v>15</v>
      </c>
      <c r="H1431" s="36" t="str">
        <f>IFERROR(VLOOKUP(Table2[[#This Row], [Ticket]],Okey!A:B,2,0),"")</f>
        <v>ok</v>
      </c>
      <c r="I1431" s="36" t="s">
        <v>8546</v>
      </c>
      <c r="J1431" s="36" t="s">
        <v>19</v>
      </c>
      <c r="L1431" s="36"/>
      <c r="M1431" s="36" t="s">
        <v>9555</v>
      </c>
    </row>
    <row r="1432" spans="1:13" hidden="1">
      <c r="A1432" s="42">
        <f t="shared" si="23"/>
        <v>1431</v>
      </c>
      <c r="B1432" s="36" t="s">
        <v>8</v>
      </c>
      <c r="C1432" s="36" t="s">
        <v>9554</v>
      </c>
      <c r="D1432" s="9" t="s">
        <v>9549</v>
      </c>
      <c r="E1432" s="9" t="s">
        <v>9551</v>
      </c>
      <c r="G1432" s="36" t="s">
        <v>15</v>
      </c>
      <c r="H1432" s="36" t="str">
        <f>IFERROR(VLOOKUP(Table2[[#This Row], [Ticket]],Okey!A:B,2,0),"")</f>
        <v>ok</v>
      </c>
      <c r="I1432" s="36" t="s">
        <v>8546</v>
      </c>
      <c r="J1432" s="36" t="s">
        <v>19</v>
      </c>
      <c r="L1432" s="36"/>
      <c r="M1432" s="36" t="s">
        <v>9555</v>
      </c>
    </row>
    <row r="1433" spans="1:13" hidden="1">
      <c r="A1433" s="42">
        <f t="shared" si="23"/>
        <v>1432</v>
      </c>
      <c r="B1433" s="36" t="s">
        <v>8</v>
      </c>
      <c r="C1433" s="36" t="s">
        <v>9554</v>
      </c>
      <c r="D1433" s="9" t="s">
        <v>9552</v>
      </c>
      <c r="F1433" s="9" t="s">
        <v>9547</v>
      </c>
      <c r="G1433" s="36" t="s">
        <v>13</v>
      </c>
      <c r="H1433" s="36" t="str">
        <f>IFERROR(VLOOKUP(Table2[[#This Row], [Ticket]],Okey!A:B,2,0),"")</f>
        <v>ok</v>
      </c>
      <c r="I1433" s="36" t="s">
        <v>8546</v>
      </c>
      <c r="J1433" s="36" t="s">
        <v>19</v>
      </c>
      <c r="L1433" s="36"/>
      <c r="M1433" s="36" t="s">
        <v>9555</v>
      </c>
    </row>
    <row r="1434" spans="1:13" hidden="1">
      <c r="A1434" s="42">
        <f t="shared" si="23"/>
        <v>1433</v>
      </c>
      <c r="B1434" s="36" t="s">
        <v>8</v>
      </c>
      <c r="C1434" s="36" t="s">
        <v>9554</v>
      </c>
      <c r="D1434" s="9" t="s">
        <v>9553</v>
      </c>
      <c r="F1434" s="9" t="s">
        <v>9549</v>
      </c>
      <c r="G1434" s="36" t="s">
        <v>13</v>
      </c>
      <c r="H1434" s="36" t="str">
        <f>IFERROR(VLOOKUP(Table2[[#This Row], [Ticket]],Okey!A:B,2,0),"")</f>
        <v>ok</v>
      </c>
      <c r="I1434" s="36" t="s">
        <v>8546</v>
      </c>
      <c r="J1434" s="36" t="s">
        <v>19</v>
      </c>
      <c r="L1434" s="36"/>
      <c r="M1434" s="36" t="s">
        <v>9555</v>
      </c>
    </row>
    <row r="1435" spans="1:13" hidden="1">
      <c r="A1435" s="42">
        <f t="shared" si="23"/>
        <v>1434</v>
      </c>
      <c r="B1435" s="36" t="s">
        <v>8</v>
      </c>
      <c r="C1435" s="9" t="s">
        <v>9556</v>
      </c>
      <c r="D1435" s="36" t="s">
        <v>9578</v>
      </c>
      <c r="E1435" s="36" t="s">
        <v>9557</v>
      </c>
      <c r="F1435" s="36" t="s">
        <v>1139</v>
      </c>
      <c r="G1435" s="9" t="s">
        <v>14</v>
      </c>
      <c r="H1435" s="36" t="str">
        <f>IFERROR(VLOOKUP(Table2[[#This Row], [Ticket]],Okey!A:B,2,0),"")</f>
        <v>ok</v>
      </c>
      <c r="I1435" s="36" t="s">
        <v>8546</v>
      </c>
      <c r="J1435" s="36" t="s">
        <v>19</v>
      </c>
      <c r="L1435" s="36"/>
      <c r="M1435" s="36" t="s">
        <v>9515</v>
      </c>
    </row>
    <row r="1436" spans="1:13" hidden="1">
      <c r="A1436" s="42">
        <f t="shared" si="23"/>
        <v>1435</v>
      </c>
      <c r="B1436" s="36" t="s">
        <v>8</v>
      </c>
      <c r="C1436" s="36" t="s">
        <v>9556</v>
      </c>
      <c r="D1436" s="36" t="s">
        <v>9579</v>
      </c>
      <c r="E1436" s="36" t="s">
        <v>9558</v>
      </c>
      <c r="F1436" s="36" t="s">
        <v>1141</v>
      </c>
      <c r="G1436" s="36" t="s">
        <v>14</v>
      </c>
      <c r="H1436" s="36" t="str">
        <f>IFERROR(VLOOKUP(Table2[[#This Row], [Ticket]],Okey!A:B,2,0),"")</f>
        <v>ok</v>
      </c>
      <c r="I1436" s="36" t="s">
        <v>8546</v>
      </c>
      <c r="J1436" s="36" t="s">
        <v>19</v>
      </c>
      <c r="L1436" s="36"/>
      <c r="M1436" s="36" t="s">
        <v>9515</v>
      </c>
    </row>
    <row r="1437" spans="1:13" hidden="1">
      <c r="A1437" s="42">
        <f t="shared" si="23"/>
        <v>1436</v>
      </c>
      <c r="B1437" s="36" t="s">
        <v>8</v>
      </c>
      <c r="C1437" s="36" t="s">
        <v>9556</v>
      </c>
      <c r="D1437" s="9" t="s">
        <v>9559</v>
      </c>
      <c r="F1437" s="9" t="s">
        <v>9578</v>
      </c>
      <c r="G1437" s="9" t="s">
        <v>13</v>
      </c>
      <c r="H1437" s="36" t="str">
        <f>IFERROR(VLOOKUP(Table2[[#This Row], [Ticket]],Okey!A:B,2,0),"")</f>
        <v>ok</v>
      </c>
      <c r="I1437" s="36" t="s">
        <v>8546</v>
      </c>
      <c r="J1437" s="36" t="s">
        <v>19</v>
      </c>
      <c r="L1437" s="36"/>
      <c r="M1437" s="36" t="s">
        <v>9515</v>
      </c>
    </row>
    <row r="1438" spans="1:13" hidden="1">
      <c r="A1438" s="42">
        <f t="shared" si="23"/>
        <v>1437</v>
      </c>
      <c r="B1438" s="36" t="s">
        <v>8</v>
      </c>
      <c r="C1438" s="36" t="s">
        <v>9556</v>
      </c>
      <c r="D1438" s="9" t="s">
        <v>9560</v>
      </c>
      <c r="F1438" s="36" t="s">
        <v>9578</v>
      </c>
      <c r="G1438" s="36" t="s">
        <v>13</v>
      </c>
      <c r="H1438" s="36" t="str">
        <f>IFERROR(VLOOKUP(Table2[[#This Row], [Ticket]],Okey!A:B,2,0),"")</f>
        <v>ok</v>
      </c>
      <c r="I1438" s="36" t="s">
        <v>8546</v>
      </c>
      <c r="J1438" s="36" t="s">
        <v>19</v>
      </c>
      <c r="L1438" s="36"/>
      <c r="M1438" s="36" t="s">
        <v>9515</v>
      </c>
    </row>
    <row r="1439" spans="1:13" hidden="1">
      <c r="A1439" s="42">
        <f t="shared" si="23"/>
        <v>1438</v>
      </c>
      <c r="B1439" s="36" t="s">
        <v>8</v>
      </c>
      <c r="C1439" s="36" t="s">
        <v>9556</v>
      </c>
      <c r="D1439" s="9" t="s">
        <v>9561</v>
      </c>
      <c r="F1439" s="36" t="s">
        <v>9578</v>
      </c>
      <c r="G1439" s="36" t="s">
        <v>13</v>
      </c>
      <c r="H1439" s="36" t="str">
        <f>IFERROR(VLOOKUP(Table2[[#This Row], [Ticket]],Okey!A:B,2,0),"")</f>
        <v>ok</v>
      </c>
      <c r="I1439" s="36" t="s">
        <v>8546</v>
      </c>
      <c r="J1439" s="36" t="s">
        <v>19</v>
      </c>
      <c r="L1439" s="36"/>
      <c r="M1439" s="36" t="s">
        <v>9515</v>
      </c>
    </row>
    <row r="1440" spans="1:13" hidden="1">
      <c r="A1440" s="42">
        <f t="shared" si="23"/>
        <v>1439</v>
      </c>
      <c r="B1440" s="36" t="s">
        <v>8</v>
      </c>
      <c r="C1440" s="36" t="s">
        <v>9556</v>
      </c>
      <c r="D1440" s="9" t="s">
        <v>9562</v>
      </c>
      <c r="F1440" s="36" t="s">
        <v>9578</v>
      </c>
      <c r="G1440" s="36" t="s">
        <v>13</v>
      </c>
      <c r="H1440" s="36" t="str">
        <f>IFERROR(VLOOKUP(Table2[[#This Row], [Ticket]],Okey!A:B,2,0),"")</f>
        <v>ok</v>
      </c>
      <c r="I1440" s="36" t="s">
        <v>8546</v>
      </c>
      <c r="J1440" s="36" t="s">
        <v>19</v>
      </c>
      <c r="L1440" s="36"/>
      <c r="M1440" s="36" t="s">
        <v>9515</v>
      </c>
    </row>
    <row r="1441" spans="1:13" hidden="1">
      <c r="A1441" s="42">
        <f t="shared" si="23"/>
        <v>1440</v>
      </c>
      <c r="B1441" s="36" t="s">
        <v>8</v>
      </c>
      <c r="C1441" s="36" t="s">
        <v>9556</v>
      </c>
      <c r="D1441" s="9" t="s">
        <v>9563</v>
      </c>
      <c r="F1441" s="36" t="s">
        <v>9578</v>
      </c>
      <c r="G1441" s="36" t="s">
        <v>13</v>
      </c>
      <c r="H1441" s="36" t="str">
        <f>IFERROR(VLOOKUP(Table2[[#This Row], [Ticket]],Okey!A:B,2,0),"")</f>
        <v>ok</v>
      </c>
      <c r="I1441" s="36" t="s">
        <v>8546</v>
      </c>
      <c r="J1441" s="36" t="s">
        <v>19</v>
      </c>
      <c r="L1441" s="36"/>
      <c r="M1441" s="36" t="s">
        <v>9515</v>
      </c>
    </row>
    <row r="1442" spans="1:13" hidden="1">
      <c r="A1442" s="42">
        <f t="shared" si="23"/>
        <v>1441</v>
      </c>
      <c r="B1442" s="36" t="s">
        <v>8</v>
      </c>
      <c r="C1442" s="36" t="s">
        <v>9556</v>
      </c>
      <c r="D1442" s="9" t="s">
        <v>9564</v>
      </c>
      <c r="F1442" s="36" t="s">
        <v>9578</v>
      </c>
      <c r="G1442" s="36" t="s">
        <v>13</v>
      </c>
      <c r="H1442" s="36" t="str">
        <f>IFERROR(VLOOKUP(Table2[[#This Row], [Ticket]],Okey!A:B,2,0),"")</f>
        <v>ok</v>
      </c>
      <c r="I1442" s="36" t="s">
        <v>8546</v>
      </c>
      <c r="J1442" s="36" t="s">
        <v>19</v>
      </c>
      <c r="L1442" s="36"/>
      <c r="M1442" s="36" t="s">
        <v>9515</v>
      </c>
    </row>
    <row r="1443" spans="1:13" hidden="1">
      <c r="A1443" s="42">
        <f t="shared" si="23"/>
        <v>1442</v>
      </c>
      <c r="B1443" s="36" t="s">
        <v>8</v>
      </c>
      <c r="C1443" s="36" t="s">
        <v>9556</v>
      </c>
      <c r="D1443" s="9" t="s">
        <v>9565</v>
      </c>
      <c r="F1443" s="36" t="s">
        <v>9578</v>
      </c>
      <c r="G1443" s="36" t="s">
        <v>13</v>
      </c>
      <c r="H1443" s="36" t="str">
        <f>IFERROR(VLOOKUP(Table2[[#This Row], [Ticket]],Okey!A:B,2,0),"")</f>
        <v>ok</v>
      </c>
      <c r="I1443" s="36" t="s">
        <v>8546</v>
      </c>
      <c r="J1443" s="36" t="s">
        <v>19</v>
      </c>
      <c r="L1443" s="36"/>
      <c r="M1443" s="36" t="s">
        <v>9515</v>
      </c>
    </row>
    <row r="1444" spans="1:13" hidden="1">
      <c r="A1444" s="42">
        <f t="shared" si="23"/>
        <v>1443</v>
      </c>
      <c r="B1444" s="36" t="s">
        <v>8</v>
      </c>
      <c r="C1444" s="36" t="s">
        <v>9556</v>
      </c>
      <c r="D1444" s="9" t="s">
        <v>9566</v>
      </c>
      <c r="F1444" s="36" t="s">
        <v>9578</v>
      </c>
      <c r="G1444" s="36" t="s">
        <v>13</v>
      </c>
      <c r="H1444" s="36" t="str">
        <f>IFERROR(VLOOKUP(Table2[[#This Row], [Ticket]],Okey!A:B,2,0),"")</f>
        <v>ok</v>
      </c>
      <c r="I1444" s="36" t="s">
        <v>8546</v>
      </c>
      <c r="J1444" s="36" t="s">
        <v>19</v>
      </c>
      <c r="L1444" s="36"/>
      <c r="M1444" s="36" t="s">
        <v>9515</v>
      </c>
    </row>
    <row r="1445" spans="1:13" hidden="1">
      <c r="A1445" s="42">
        <f t="shared" si="23"/>
        <v>1444</v>
      </c>
      <c r="B1445" s="36" t="s">
        <v>8</v>
      </c>
      <c r="C1445" s="36" t="s">
        <v>9556</v>
      </c>
      <c r="D1445" s="9" t="s">
        <v>1138</v>
      </c>
      <c r="F1445" s="36" t="s">
        <v>9578</v>
      </c>
      <c r="G1445" s="36" t="s">
        <v>13</v>
      </c>
      <c r="H1445" s="36" t="str">
        <f>IFERROR(VLOOKUP(Table2[[#This Row], [Ticket]],Okey!A:B,2,0),"")</f>
        <v>ok</v>
      </c>
      <c r="I1445" s="36" t="s">
        <v>8546</v>
      </c>
      <c r="J1445" s="36" t="s">
        <v>19</v>
      </c>
      <c r="L1445" s="36"/>
      <c r="M1445" s="36" t="s">
        <v>9515</v>
      </c>
    </row>
    <row r="1446" spans="1:13" hidden="1">
      <c r="A1446" s="42">
        <f t="shared" si="23"/>
        <v>1445</v>
      </c>
      <c r="B1446" s="36" t="s">
        <v>8</v>
      </c>
      <c r="C1446" s="36" t="s">
        <v>9556</v>
      </c>
      <c r="D1446" s="9" t="s">
        <v>9567</v>
      </c>
      <c r="F1446" s="36" t="s">
        <v>9578</v>
      </c>
      <c r="G1446" s="36" t="s">
        <v>13</v>
      </c>
      <c r="H1446" s="36" t="str">
        <f>IFERROR(VLOOKUP(Table2[[#This Row], [Ticket]],Okey!A:B,2,0),"")</f>
        <v>ok</v>
      </c>
      <c r="I1446" s="36" t="s">
        <v>8546</v>
      </c>
      <c r="J1446" s="36" t="s">
        <v>19</v>
      </c>
      <c r="L1446" s="36"/>
      <c r="M1446" s="36" t="s">
        <v>9515</v>
      </c>
    </row>
    <row r="1447" spans="1:13" hidden="1">
      <c r="A1447" s="42">
        <f t="shared" si="23"/>
        <v>1446</v>
      </c>
      <c r="B1447" s="36" t="s">
        <v>8</v>
      </c>
      <c r="C1447" s="36" t="s">
        <v>9556</v>
      </c>
      <c r="D1447" s="9" t="s">
        <v>9568</v>
      </c>
      <c r="F1447" s="9" t="s">
        <v>9579</v>
      </c>
      <c r="G1447" s="36" t="s">
        <v>13</v>
      </c>
      <c r="H1447" s="36" t="str">
        <f>IFERROR(VLOOKUP(Table2[[#This Row], [Ticket]],Okey!A:B,2,0),"")</f>
        <v>ok</v>
      </c>
      <c r="I1447" s="36" t="s">
        <v>8546</v>
      </c>
      <c r="J1447" s="36" t="s">
        <v>19</v>
      </c>
      <c r="L1447" s="36"/>
      <c r="M1447" s="36" t="s">
        <v>9515</v>
      </c>
    </row>
    <row r="1448" spans="1:13" hidden="1">
      <c r="A1448" s="42">
        <f t="shared" si="23"/>
        <v>1447</v>
      </c>
      <c r="B1448" s="36" t="s">
        <v>8</v>
      </c>
      <c r="C1448" s="36" t="s">
        <v>9556</v>
      </c>
      <c r="D1448" s="9" t="s">
        <v>9569</v>
      </c>
      <c r="F1448" s="36" t="s">
        <v>9579</v>
      </c>
      <c r="G1448" s="36" t="s">
        <v>13</v>
      </c>
      <c r="H1448" s="36" t="str">
        <f>IFERROR(VLOOKUP(Table2[[#This Row], [Ticket]],Okey!A:B,2,0),"")</f>
        <v>ok</v>
      </c>
      <c r="I1448" s="36" t="s">
        <v>8546</v>
      </c>
      <c r="J1448" s="36" t="s">
        <v>19</v>
      </c>
      <c r="L1448" s="36"/>
      <c r="M1448" s="36" t="s">
        <v>9515</v>
      </c>
    </row>
    <row r="1449" spans="1:13" hidden="1">
      <c r="A1449" s="42">
        <f t="shared" si="23"/>
        <v>1448</v>
      </c>
      <c r="B1449" s="36" t="s">
        <v>8</v>
      </c>
      <c r="C1449" s="36" t="s">
        <v>9556</v>
      </c>
      <c r="D1449" s="9" t="s">
        <v>9570</v>
      </c>
      <c r="F1449" s="36" t="s">
        <v>9579</v>
      </c>
      <c r="G1449" s="36" t="s">
        <v>13</v>
      </c>
      <c r="H1449" s="36" t="str">
        <f>IFERROR(VLOOKUP(Table2[[#This Row], [Ticket]],Okey!A:B,2,0),"")</f>
        <v>ok</v>
      </c>
      <c r="I1449" s="36" t="s">
        <v>8546</v>
      </c>
      <c r="J1449" s="36" t="s">
        <v>19</v>
      </c>
      <c r="L1449" s="36"/>
      <c r="M1449" s="36" t="s">
        <v>9515</v>
      </c>
    </row>
    <row r="1450" spans="1:13" hidden="1">
      <c r="A1450" s="42">
        <f t="shared" si="23"/>
        <v>1449</v>
      </c>
      <c r="B1450" s="36" t="s">
        <v>8</v>
      </c>
      <c r="C1450" s="36" t="s">
        <v>9556</v>
      </c>
      <c r="D1450" s="9" t="s">
        <v>9571</v>
      </c>
      <c r="F1450" s="36" t="s">
        <v>9579</v>
      </c>
      <c r="G1450" s="36" t="s">
        <v>13</v>
      </c>
      <c r="H1450" s="36" t="str">
        <f>IFERROR(VLOOKUP(Table2[[#This Row], [Ticket]],Okey!A:B,2,0),"")</f>
        <v>ok</v>
      </c>
      <c r="I1450" s="36" t="s">
        <v>8546</v>
      </c>
      <c r="J1450" s="36" t="s">
        <v>19</v>
      </c>
      <c r="L1450" s="36"/>
      <c r="M1450" s="36" t="s">
        <v>9515</v>
      </c>
    </row>
    <row r="1451" spans="1:13" hidden="1">
      <c r="A1451" s="42">
        <f t="shared" si="23"/>
        <v>1450</v>
      </c>
      <c r="B1451" s="36" t="s">
        <v>8</v>
      </c>
      <c r="C1451" s="36" t="s">
        <v>9556</v>
      </c>
      <c r="D1451" s="9" t="s">
        <v>9572</v>
      </c>
      <c r="F1451" s="36" t="s">
        <v>9579</v>
      </c>
      <c r="G1451" s="36" t="s">
        <v>13</v>
      </c>
      <c r="H1451" s="36" t="str">
        <f>IFERROR(VLOOKUP(Table2[[#This Row], [Ticket]],Okey!A:B,2,0),"")</f>
        <v>ok</v>
      </c>
      <c r="I1451" s="36" t="s">
        <v>8546</v>
      </c>
      <c r="J1451" s="36" t="s">
        <v>19</v>
      </c>
      <c r="L1451" s="36"/>
      <c r="M1451" s="36" t="s">
        <v>9515</v>
      </c>
    </row>
    <row r="1452" spans="1:13" hidden="1">
      <c r="A1452" s="42">
        <f t="shared" si="23"/>
        <v>1451</v>
      </c>
      <c r="B1452" s="36" t="s">
        <v>8</v>
      </c>
      <c r="C1452" s="36" t="s">
        <v>9556</v>
      </c>
      <c r="D1452" s="9" t="s">
        <v>9573</v>
      </c>
      <c r="F1452" s="36" t="s">
        <v>9579</v>
      </c>
      <c r="G1452" s="36" t="s">
        <v>13</v>
      </c>
      <c r="H1452" s="36" t="str">
        <f>IFERROR(VLOOKUP(Table2[[#This Row], [Ticket]],Okey!A:B,2,0),"")</f>
        <v>ok</v>
      </c>
      <c r="I1452" s="36" t="s">
        <v>8546</v>
      </c>
      <c r="J1452" s="36" t="s">
        <v>19</v>
      </c>
      <c r="L1452" s="36"/>
      <c r="M1452" s="36" t="s">
        <v>9515</v>
      </c>
    </row>
    <row r="1453" spans="1:13" hidden="1">
      <c r="A1453" s="42">
        <f t="shared" si="23"/>
        <v>1452</v>
      </c>
      <c r="B1453" s="36" t="s">
        <v>8</v>
      </c>
      <c r="C1453" s="36" t="s">
        <v>9556</v>
      </c>
      <c r="D1453" s="9" t="s">
        <v>9574</v>
      </c>
      <c r="F1453" s="36" t="s">
        <v>9579</v>
      </c>
      <c r="G1453" s="36" t="s">
        <v>13</v>
      </c>
      <c r="H1453" s="36" t="str">
        <f>IFERROR(VLOOKUP(Table2[[#This Row], [Ticket]],Okey!A:B,2,0),"")</f>
        <v>ok</v>
      </c>
      <c r="I1453" s="36" t="s">
        <v>8546</v>
      </c>
      <c r="J1453" s="36" t="s">
        <v>19</v>
      </c>
      <c r="L1453" s="36"/>
      <c r="M1453" s="36" t="s">
        <v>9515</v>
      </c>
    </row>
    <row r="1454" spans="1:13" hidden="1">
      <c r="A1454" s="42">
        <f t="shared" si="23"/>
        <v>1453</v>
      </c>
      <c r="B1454" s="36" t="s">
        <v>8</v>
      </c>
      <c r="C1454" s="36" t="s">
        <v>9556</v>
      </c>
      <c r="D1454" s="9" t="s">
        <v>9575</v>
      </c>
      <c r="F1454" s="36" t="s">
        <v>9579</v>
      </c>
      <c r="G1454" s="36" t="s">
        <v>13</v>
      </c>
      <c r="H1454" s="36" t="str">
        <f>IFERROR(VLOOKUP(Table2[[#This Row], [Ticket]],Okey!A:B,2,0),"")</f>
        <v>ok</v>
      </c>
      <c r="I1454" s="36" t="s">
        <v>8546</v>
      </c>
      <c r="J1454" s="36" t="s">
        <v>19</v>
      </c>
      <c r="L1454" s="36"/>
      <c r="M1454" s="36" t="s">
        <v>9515</v>
      </c>
    </row>
    <row r="1455" spans="1:13" hidden="1">
      <c r="A1455" s="42">
        <f t="shared" si="23"/>
        <v>1454</v>
      </c>
      <c r="B1455" s="36" t="s">
        <v>8</v>
      </c>
      <c r="C1455" s="36" t="s">
        <v>9556</v>
      </c>
      <c r="D1455" s="9" t="s">
        <v>1140</v>
      </c>
      <c r="F1455" s="36" t="s">
        <v>9579</v>
      </c>
      <c r="G1455" s="36" t="s">
        <v>13</v>
      </c>
      <c r="H1455" s="36" t="str">
        <f>IFERROR(VLOOKUP(Table2[[#This Row], [Ticket]],Okey!A:B,2,0),"")</f>
        <v>ok</v>
      </c>
      <c r="I1455" s="36" t="s">
        <v>8546</v>
      </c>
      <c r="J1455" s="36" t="s">
        <v>19</v>
      </c>
      <c r="L1455" s="36"/>
      <c r="M1455" s="36" t="s">
        <v>9515</v>
      </c>
    </row>
    <row r="1456" spans="1:13" hidden="1">
      <c r="A1456" s="42">
        <f t="shared" si="23"/>
        <v>1455</v>
      </c>
      <c r="B1456" s="36" t="s">
        <v>8</v>
      </c>
      <c r="C1456" s="36" t="s">
        <v>9556</v>
      </c>
      <c r="D1456" s="9" t="s">
        <v>9576</v>
      </c>
      <c r="F1456" s="36" t="s">
        <v>9579</v>
      </c>
      <c r="G1456" s="36" t="s">
        <v>13</v>
      </c>
      <c r="H1456" s="36" t="str">
        <f>IFERROR(VLOOKUP(Table2[[#This Row], [Ticket]],Okey!A:B,2,0),"")</f>
        <v>ok</v>
      </c>
      <c r="I1456" s="36" t="s">
        <v>8546</v>
      </c>
      <c r="J1456" s="36" t="s">
        <v>19</v>
      </c>
      <c r="L1456" s="36"/>
      <c r="M1456" s="36" t="s">
        <v>9515</v>
      </c>
    </row>
    <row r="1457" spans="1:13" hidden="1">
      <c r="A1457" s="42">
        <f t="shared" si="23"/>
        <v>1456</v>
      </c>
      <c r="B1457" s="36" t="s">
        <v>8</v>
      </c>
      <c r="C1457" s="9" t="s">
        <v>9577</v>
      </c>
      <c r="D1457" s="98" t="s">
        <v>3864</v>
      </c>
      <c r="F1457" s="9" t="s">
        <v>5725</v>
      </c>
      <c r="G1457" s="36" t="s">
        <v>13</v>
      </c>
      <c r="H1457" s="36" t="str">
        <f>IFERROR(VLOOKUP(Table2[[#This Row], [Ticket]],Okey!A:B,2,0),"")</f>
        <v>ok</v>
      </c>
      <c r="I1457" s="36" t="s">
        <v>8546</v>
      </c>
      <c r="J1457" s="9" t="s">
        <v>17</v>
      </c>
      <c r="L1457" s="36"/>
      <c r="M1457" s="9" t="s">
        <v>9011</v>
      </c>
    </row>
    <row r="1458" spans="1:13" hidden="1">
      <c r="A1458" s="42">
        <f t="shared" si="23"/>
        <v>1457</v>
      </c>
      <c r="B1458" s="36" t="s">
        <v>8</v>
      </c>
      <c r="C1458" s="9" t="s">
        <v>9580</v>
      </c>
      <c r="D1458" s="36" t="s">
        <v>9652</v>
      </c>
      <c r="E1458" s="9" t="s">
        <v>9581</v>
      </c>
      <c r="F1458" s="9" t="s">
        <v>9674</v>
      </c>
      <c r="G1458" s="36" t="s">
        <v>14</v>
      </c>
      <c r="H1458" s="36" t="str">
        <f>IFERROR(VLOOKUP(Table2[[#This Row], [Ticket]],Okey!A:B,2,0),"")</f>
        <v>ok</v>
      </c>
      <c r="I1458" s="36" t="s">
        <v>8546</v>
      </c>
      <c r="J1458" s="36" t="s">
        <v>17</v>
      </c>
      <c r="L1458" s="36"/>
      <c r="M1458" s="9" t="s">
        <v>9034</v>
      </c>
    </row>
    <row r="1459" spans="1:13" hidden="1">
      <c r="A1459" s="42">
        <f t="shared" si="23"/>
        <v>1458</v>
      </c>
      <c r="B1459" s="36" t="s">
        <v>8</v>
      </c>
      <c r="C1459" s="36" t="s">
        <v>9580</v>
      </c>
      <c r="D1459" s="36" t="s">
        <v>9653</v>
      </c>
      <c r="E1459" s="9" t="s">
        <v>9582</v>
      </c>
      <c r="F1459" s="36" t="s">
        <v>9652</v>
      </c>
      <c r="G1459" s="36" t="s">
        <v>14</v>
      </c>
      <c r="H1459" s="36" t="str">
        <f>IFERROR(VLOOKUP(Table2[[#This Row], [Ticket]],Okey!A:B,2,0),"")</f>
        <v>ok</v>
      </c>
      <c r="I1459" s="36" t="s">
        <v>8546</v>
      </c>
      <c r="J1459" s="36" t="s">
        <v>17</v>
      </c>
      <c r="L1459" s="36"/>
      <c r="M1459" s="36" t="s">
        <v>9034</v>
      </c>
    </row>
    <row r="1460" spans="1:13" hidden="1">
      <c r="A1460" s="42">
        <f t="shared" si="23"/>
        <v>1459</v>
      </c>
      <c r="B1460" s="36" t="s">
        <v>8</v>
      </c>
      <c r="C1460" s="36" t="s">
        <v>9580</v>
      </c>
      <c r="D1460" s="36" t="s">
        <v>9654</v>
      </c>
      <c r="E1460" s="9" t="s">
        <v>9583</v>
      </c>
      <c r="F1460" s="36" t="s">
        <v>9652</v>
      </c>
      <c r="G1460" s="36" t="s">
        <v>14</v>
      </c>
      <c r="H1460" s="36" t="str">
        <f>IFERROR(VLOOKUP(Table2[[#This Row], [Ticket]],Okey!A:B,2,0),"")</f>
        <v>ok</v>
      </c>
      <c r="I1460" s="36" t="s">
        <v>8546</v>
      </c>
      <c r="J1460" s="36" t="s">
        <v>17</v>
      </c>
      <c r="L1460" s="36"/>
      <c r="M1460" s="36" t="s">
        <v>9034</v>
      </c>
    </row>
    <row r="1461" spans="1:13" hidden="1">
      <c r="A1461" s="42">
        <f t="shared" si="23"/>
        <v>1460</v>
      </c>
      <c r="B1461" s="36" t="s">
        <v>8</v>
      </c>
      <c r="C1461" s="36" t="s">
        <v>9580</v>
      </c>
      <c r="D1461" s="36" t="s">
        <v>9655</v>
      </c>
      <c r="E1461" s="9" t="s">
        <v>9584</v>
      </c>
      <c r="F1461" s="36" t="s">
        <v>9652</v>
      </c>
      <c r="G1461" s="36" t="s">
        <v>14</v>
      </c>
      <c r="H1461" s="36" t="str">
        <f>IFERROR(VLOOKUP(Table2[[#This Row], [Ticket]],Okey!A:B,2,0),"")</f>
        <v>ok</v>
      </c>
      <c r="I1461" s="36" t="s">
        <v>8546</v>
      </c>
      <c r="J1461" s="36" t="s">
        <v>17</v>
      </c>
      <c r="L1461" s="36"/>
      <c r="M1461" s="36" t="s">
        <v>9034</v>
      </c>
    </row>
    <row r="1462" spans="1:13" hidden="1">
      <c r="A1462" s="42">
        <f t="shared" si="23"/>
        <v>1461</v>
      </c>
      <c r="B1462" s="36" t="s">
        <v>8</v>
      </c>
      <c r="C1462" s="36" t="s">
        <v>9580</v>
      </c>
      <c r="D1462" s="36" t="s">
        <v>9656</v>
      </c>
      <c r="E1462" s="9" t="s">
        <v>9585</v>
      </c>
      <c r="F1462" s="9" t="s">
        <v>9673</v>
      </c>
      <c r="G1462" s="36" t="s">
        <v>14</v>
      </c>
      <c r="H1462" s="36" t="str">
        <f>IFERROR(VLOOKUP(Table2[[#This Row], [Ticket]],Okey!A:B,2,0),"")</f>
        <v>ok</v>
      </c>
      <c r="I1462" s="36" t="s">
        <v>8546</v>
      </c>
      <c r="J1462" s="36" t="s">
        <v>17</v>
      </c>
      <c r="L1462" s="36"/>
      <c r="M1462" s="36" t="s">
        <v>9034</v>
      </c>
    </row>
    <row r="1463" spans="1:13" hidden="1">
      <c r="A1463" s="42">
        <f t="shared" si="23"/>
        <v>1462</v>
      </c>
      <c r="B1463" s="36" t="s">
        <v>8</v>
      </c>
      <c r="C1463" s="36" t="s">
        <v>9580</v>
      </c>
      <c r="D1463" s="36" t="s">
        <v>9657</v>
      </c>
      <c r="E1463" s="9" t="s">
        <v>9586</v>
      </c>
      <c r="F1463" s="36" t="s">
        <v>9656</v>
      </c>
      <c r="G1463" s="36" t="s">
        <v>14</v>
      </c>
      <c r="H1463" s="36" t="str">
        <f>IFERROR(VLOOKUP(Table2[[#This Row], [Ticket]],Okey!A:B,2,0),"")</f>
        <v>ok</v>
      </c>
      <c r="I1463" s="36" t="s">
        <v>8546</v>
      </c>
      <c r="J1463" s="36" t="s">
        <v>17</v>
      </c>
      <c r="L1463" s="36"/>
      <c r="M1463" s="36" t="s">
        <v>9034</v>
      </c>
    </row>
    <row r="1464" spans="1:13" hidden="1">
      <c r="A1464" s="42">
        <f t="shared" si="23"/>
        <v>1463</v>
      </c>
      <c r="B1464" s="36" t="s">
        <v>8</v>
      </c>
      <c r="C1464" s="36" t="s">
        <v>9580</v>
      </c>
      <c r="D1464" s="36" t="s">
        <v>9658</v>
      </c>
      <c r="E1464" s="9" t="s">
        <v>9587</v>
      </c>
      <c r="F1464" s="36" t="s">
        <v>9656</v>
      </c>
      <c r="G1464" s="9" t="s">
        <v>14</v>
      </c>
      <c r="H1464" s="36" t="str">
        <f>IFERROR(VLOOKUP(Table2[[#This Row], [Ticket]],Okey!A:B,2,0),"")</f>
        <v>ok</v>
      </c>
      <c r="I1464" s="36" t="s">
        <v>8546</v>
      </c>
      <c r="J1464" s="36" t="s">
        <v>17</v>
      </c>
      <c r="L1464" s="36"/>
      <c r="M1464" s="36" t="s">
        <v>9034</v>
      </c>
    </row>
    <row r="1465" spans="1:13" hidden="1">
      <c r="A1465" s="42">
        <f t="shared" si="23"/>
        <v>1464</v>
      </c>
      <c r="B1465" s="36" t="s">
        <v>8</v>
      </c>
      <c r="C1465" s="9" t="s">
        <v>9592</v>
      </c>
      <c r="D1465" s="36" t="s">
        <v>9659</v>
      </c>
      <c r="E1465" s="9" t="s">
        <v>9588</v>
      </c>
      <c r="F1465" s="9" t="s">
        <v>9589</v>
      </c>
      <c r="G1465" s="36" t="s">
        <v>14</v>
      </c>
      <c r="H1465" s="36" t="str">
        <f>IFERROR(VLOOKUP(Table2[[#This Row], [Ticket]],Okey!A:B,2,0),"")</f>
        <v>ok</v>
      </c>
      <c r="I1465" s="36" t="s">
        <v>8546</v>
      </c>
      <c r="J1465" s="36" t="s">
        <v>17</v>
      </c>
      <c r="L1465" s="36"/>
      <c r="M1465" s="36" t="s">
        <v>4782</v>
      </c>
    </row>
    <row r="1466" spans="1:13" hidden="1">
      <c r="A1466" s="42">
        <f t="shared" si="23"/>
        <v>1465</v>
      </c>
      <c r="B1466" s="36" t="s">
        <v>8</v>
      </c>
      <c r="C1466" s="36" t="s">
        <v>9592</v>
      </c>
      <c r="D1466" s="36" t="s">
        <v>9660</v>
      </c>
      <c r="E1466" s="9" t="s">
        <v>9590</v>
      </c>
      <c r="F1466" s="9" t="s">
        <v>9591</v>
      </c>
      <c r="G1466" s="36" t="s">
        <v>14</v>
      </c>
      <c r="H1466" s="36" t="str">
        <f>IFERROR(VLOOKUP(Table2[[#This Row], [Ticket]],Okey!A:B,2,0),"")</f>
        <v>ok</v>
      </c>
      <c r="I1466" s="36" t="s">
        <v>8546</v>
      </c>
      <c r="J1466" s="36" t="s">
        <v>17</v>
      </c>
      <c r="L1466" s="36"/>
      <c r="M1466" s="36" t="s">
        <v>4782</v>
      </c>
    </row>
    <row r="1467" spans="1:13" hidden="1">
      <c r="A1467" s="42">
        <f t="shared" si="23"/>
        <v>1466</v>
      </c>
      <c r="B1467" s="36" t="s">
        <v>8</v>
      </c>
      <c r="C1467" s="36" t="s">
        <v>9592</v>
      </c>
      <c r="D1467" s="9" t="s">
        <v>8108</v>
      </c>
      <c r="F1467" s="36" t="s">
        <v>275</v>
      </c>
      <c r="G1467" s="9" t="s">
        <v>8544</v>
      </c>
      <c r="H1467" s="36" t="str">
        <f>IFERROR(VLOOKUP(Table2[[#This Row], [Ticket]],Okey!A:B,2,0),"")</f>
        <v>ok</v>
      </c>
      <c r="I1467" s="36" t="s">
        <v>8546</v>
      </c>
      <c r="J1467" s="36" t="s">
        <v>17</v>
      </c>
      <c r="L1467" s="36"/>
      <c r="M1467" s="36" t="s">
        <v>4782</v>
      </c>
    </row>
    <row r="1468" spans="1:13" hidden="1">
      <c r="A1468" s="42">
        <f t="shared" si="23"/>
        <v>1467</v>
      </c>
      <c r="B1468" s="36" t="s">
        <v>8</v>
      </c>
      <c r="C1468" s="9" t="s">
        <v>9604</v>
      </c>
      <c r="D1468" s="36" t="s">
        <v>9662</v>
      </c>
      <c r="E1468" s="9" t="s">
        <v>9593</v>
      </c>
      <c r="F1468" s="9" t="s">
        <v>8967</v>
      </c>
      <c r="G1468" s="9" t="s">
        <v>14</v>
      </c>
      <c r="H1468" s="36" t="str">
        <f>IFERROR(VLOOKUP(Table2[[#This Row], [Ticket]],Okey!A:B,2,0),"")</f>
        <v>ok</v>
      </c>
      <c r="I1468" s="36" t="s">
        <v>8546</v>
      </c>
      <c r="J1468" s="36" t="s">
        <v>19</v>
      </c>
      <c r="L1468" s="36"/>
      <c r="M1468" s="9" t="s">
        <v>9605</v>
      </c>
    </row>
    <row r="1469" spans="1:13" hidden="1">
      <c r="A1469" s="42">
        <f t="shared" si="23"/>
        <v>1468</v>
      </c>
      <c r="B1469" s="36" t="s">
        <v>8</v>
      </c>
      <c r="C1469" s="36" t="s">
        <v>9604</v>
      </c>
      <c r="D1469" s="36" t="s">
        <v>9663</v>
      </c>
      <c r="E1469" s="9" t="s">
        <v>9594</v>
      </c>
      <c r="F1469" s="9" t="s">
        <v>8956</v>
      </c>
      <c r="G1469" s="36" t="s">
        <v>14</v>
      </c>
      <c r="H1469" s="36" t="str">
        <f>IFERROR(VLOOKUP(Table2[[#This Row], [Ticket]],Okey!A:B,2,0),"")</f>
        <v>ok</v>
      </c>
      <c r="I1469" s="36" t="s">
        <v>8546</v>
      </c>
      <c r="J1469" s="36" t="s">
        <v>19</v>
      </c>
      <c r="L1469" s="36"/>
      <c r="M1469" s="36" t="s">
        <v>9605</v>
      </c>
    </row>
    <row r="1470" spans="1:13" hidden="1">
      <c r="A1470" s="42">
        <f t="shared" si="23"/>
        <v>1469</v>
      </c>
      <c r="B1470" s="36" t="s">
        <v>8</v>
      </c>
      <c r="C1470" s="36" t="s">
        <v>9604</v>
      </c>
      <c r="D1470" s="36" t="s">
        <v>9664</v>
      </c>
      <c r="E1470" s="9" t="s">
        <v>9595</v>
      </c>
      <c r="F1470" s="9" t="s">
        <v>8957</v>
      </c>
      <c r="G1470" s="36" t="s">
        <v>14</v>
      </c>
      <c r="H1470" s="36" t="str">
        <f>IFERROR(VLOOKUP(Table2[[#This Row], [Ticket]],Okey!A:B,2,0),"")</f>
        <v>ok</v>
      </c>
      <c r="I1470" s="36" t="s">
        <v>8546</v>
      </c>
      <c r="J1470" s="36" t="s">
        <v>19</v>
      </c>
      <c r="L1470" s="36"/>
      <c r="M1470" s="36" t="s">
        <v>9605</v>
      </c>
    </row>
    <row r="1471" spans="1:13" hidden="1">
      <c r="A1471" s="42">
        <f t="shared" si="23"/>
        <v>1470</v>
      </c>
      <c r="B1471" s="36" t="s">
        <v>8</v>
      </c>
      <c r="C1471" s="36" t="s">
        <v>9604</v>
      </c>
      <c r="D1471" s="36" t="s">
        <v>9661</v>
      </c>
      <c r="E1471" s="9" t="s">
        <v>9596</v>
      </c>
      <c r="F1471" s="9" t="s">
        <v>8957</v>
      </c>
      <c r="G1471" s="36" t="s">
        <v>14</v>
      </c>
      <c r="H1471" s="36" t="str">
        <f>IFERROR(VLOOKUP(Table2[[#This Row], [Ticket]],Okey!A:B,2,0),"")</f>
        <v>ok</v>
      </c>
      <c r="I1471" s="36" t="s">
        <v>8546</v>
      </c>
      <c r="J1471" s="36" t="s">
        <v>19</v>
      </c>
      <c r="L1471" s="36"/>
      <c r="M1471" s="36" t="s">
        <v>9605</v>
      </c>
    </row>
    <row r="1472" spans="1:13" hidden="1">
      <c r="A1472" s="42">
        <f t="shared" si="23"/>
        <v>1471</v>
      </c>
      <c r="B1472" s="36" t="s">
        <v>8</v>
      </c>
      <c r="C1472" s="36" t="s">
        <v>9604</v>
      </c>
      <c r="D1472" s="36" t="s">
        <v>9665</v>
      </c>
      <c r="E1472" s="9" t="s">
        <v>9597</v>
      </c>
      <c r="F1472" s="9" t="s">
        <v>8953</v>
      </c>
      <c r="G1472" s="36" t="s">
        <v>14</v>
      </c>
      <c r="H1472" s="36" t="str">
        <f>IFERROR(VLOOKUP(Table2[[#This Row], [Ticket]],Okey!A:B,2,0),"")</f>
        <v>ok</v>
      </c>
      <c r="I1472" s="36" t="s">
        <v>8546</v>
      </c>
      <c r="J1472" s="36" t="s">
        <v>19</v>
      </c>
      <c r="L1472" s="36"/>
      <c r="M1472" s="36" t="s">
        <v>9605</v>
      </c>
    </row>
    <row r="1473" spans="1:13" hidden="1">
      <c r="A1473" s="42">
        <f t="shared" si="23"/>
        <v>1472</v>
      </c>
      <c r="B1473" s="36" t="s">
        <v>8</v>
      </c>
      <c r="C1473" s="36" t="s">
        <v>9604</v>
      </c>
      <c r="D1473" s="36" t="s">
        <v>9666</v>
      </c>
      <c r="E1473" s="9" t="s">
        <v>9598</v>
      </c>
      <c r="F1473" s="36" t="s">
        <v>9665</v>
      </c>
      <c r="G1473" s="36" t="s">
        <v>14</v>
      </c>
      <c r="H1473" s="36" t="str">
        <f>IFERROR(VLOOKUP(Table2[[#This Row], [Ticket]],Okey!A:B,2,0),"")</f>
        <v>ok</v>
      </c>
      <c r="I1473" s="36" t="s">
        <v>8546</v>
      </c>
      <c r="J1473" s="36" t="s">
        <v>19</v>
      </c>
      <c r="L1473" s="36"/>
      <c r="M1473" s="36" t="s">
        <v>9605</v>
      </c>
    </row>
    <row r="1474" spans="1:13" hidden="1">
      <c r="A1474" s="42">
        <f t="shared" si="23"/>
        <v>1473</v>
      </c>
      <c r="B1474" s="36" t="s">
        <v>8</v>
      </c>
      <c r="C1474" s="36" t="s">
        <v>9604</v>
      </c>
      <c r="D1474" s="36" t="s">
        <v>9667</v>
      </c>
      <c r="E1474" s="9" t="s">
        <v>9599</v>
      </c>
      <c r="F1474" s="9" t="s">
        <v>8953</v>
      </c>
      <c r="G1474" s="36" t="s">
        <v>14</v>
      </c>
      <c r="H1474" s="36" t="str">
        <f>IFERROR(VLOOKUP(Table2[[#This Row], [Ticket]],Okey!A:B,2,0),"")</f>
        <v>ok</v>
      </c>
      <c r="I1474" s="36" t="s">
        <v>8546</v>
      </c>
      <c r="J1474" s="36" t="s">
        <v>19</v>
      </c>
      <c r="L1474" s="36"/>
      <c r="M1474" s="36" t="s">
        <v>9605</v>
      </c>
    </row>
    <row r="1475" spans="1:13" hidden="1">
      <c r="A1475" s="42">
        <f t="shared" si="23"/>
        <v>1474</v>
      </c>
      <c r="B1475" s="36" t="s">
        <v>8</v>
      </c>
      <c r="C1475" s="36" t="s">
        <v>9604</v>
      </c>
      <c r="D1475" s="36" t="s">
        <v>9668</v>
      </c>
      <c r="E1475" s="9" t="s">
        <v>9600</v>
      </c>
      <c r="F1475" s="9" t="s">
        <v>8953</v>
      </c>
      <c r="G1475" s="36" t="s">
        <v>14</v>
      </c>
      <c r="H1475" s="36" t="str">
        <f>IFERROR(VLOOKUP(Table2[[#This Row], [Ticket]],Okey!A:B,2,0),"")</f>
        <v>ok</v>
      </c>
      <c r="I1475" s="36" t="s">
        <v>8546</v>
      </c>
      <c r="J1475" s="36" t="s">
        <v>19</v>
      </c>
      <c r="L1475" s="36"/>
      <c r="M1475" s="36" t="s">
        <v>9605</v>
      </c>
    </row>
    <row r="1476" spans="1:13" hidden="1">
      <c r="A1476" s="42">
        <f t="shared" si="23"/>
        <v>1475</v>
      </c>
      <c r="B1476" s="36" t="s">
        <v>8</v>
      </c>
      <c r="C1476" s="36" t="s">
        <v>9604</v>
      </c>
      <c r="D1476" s="36" t="s">
        <v>9669</v>
      </c>
      <c r="E1476" s="9" t="s">
        <v>9601</v>
      </c>
      <c r="F1476" s="9" t="s">
        <v>8953</v>
      </c>
      <c r="G1476" s="36" t="s">
        <v>14</v>
      </c>
      <c r="H1476" s="36" t="str">
        <f>IFERROR(VLOOKUP(Table2[[#This Row], [Ticket]],Okey!A:B,2,0),"")</f>
        <v>ok</v>
      </c>
      <c r="I1476" s="36" t="s">
        <v>8546</v>
      </c>
      <c r="J1476" s="36" t="s">
        <v>19</v>
      </c>
      <c r="L1476" s="36"/>
      <c r="M1476" s="36" t="s">
        <v>9605</v>
      </c>
    </row>
    <row r="1477" spans="1:13" hidden="1">
      <c r="A1477" s="42">
        <f t="shared" si="23"/>
        <v>1476</v>
      </c>
      <c r="B1477" s="36" t="s">
        <v>8</v>
      </c>
      <c r="C1477" s="36" t="s">
        <v>9604</v>
      </c>
      <c r="D1477" s="36" t="s">
        <v>9670</v>
      </c>
      <c r="E1477" s="9" t="s">
        <v>9672</v>
      </c>
      <c r="F1477" s="9" t="s">
        <v>8953</v>
      </c>
      <c r="G1477" s="36" t="s">
        <v>14</v>
      </c>
      <c r="H1477" s="36" t="str">
        <f>IFERROR(VLOOKUP(Table2[[#This Row], [Ticket]],Okey!A:B,2,0),"")</f>
        <v>ok</v>
      </c>
      <c r="I1477" s="36" t="s">
        <v>8546</v>
      </c>
      <c r="J1477" s="36" t="s">
        <v>19</v>
      </c>
      <c r="L1477" s="36"/>
      <c r="M1477" s="36" t="s">
        <v>9605</v>
      </c>
    </row>
    <row r="1478" spans="1:13" hidden="1">
      <c r="A1478" s="42">
        <f t="shared" si="23"/>
        <v>1477</v>
      </c>
      <c r="B1478" s="36" t="s">
        <v>8</v>
      </c>
      <c r="C1478" s="36" t="s">
        <v>9604</v>
      </c>
      <c r="D1478" s="36" t="s">
        <v>9671</v>
      </c>
      <c r="E1478" s="9" t="s">
        <v>9602</v>
      </c>
      <c r="F1478" s="9" t="s">
        <v>9603</v>
      </c>
      <c r="G1478" s="36" t="s">
        <v>14</v>
      </c>
      <c r="H1478" s="36" t="str">
        <f>IFERROR(VLOOKUP(Table2[[#This Row], [Ticket]],Okey!A:B,2,0),"")</f>
        <v>ok</v>
      </c>
      <c r="I1478" s="36" t="s">
        <v>8546</v>
      </c>
      <c r="J1478" s="36" t="s">
        <v>19</v>
      </c>
      <c r="L1478" s="36"/>
      <c r="M1478" s="36" t="s">
        <v>9605</v>
      </c>
    </row>
    <row r="1479" spans="1:13" hidden="1">
      <c r="A1479" s="42">
        <f t="shared" si="23"/>
        <v>1478</v>
      </c>
      <c r="B1479" s="36" t="s">
        <v>8</v>
      </c>
      <c r="C1479" s="9" t="s">
        <v>9606</v>
      </c>
      <c r="D1479" s="99" t="s">
        <v>6112</v>
      </c>
      <c r="F1479" s="100" t="s">
        <v>9421</v>
      </c>
      <c r="G1479" s="9" t="s">
        <v>13</v>
      </c>
      <c r="H1479" s="36" t="str">
        <f>IFERROR(VLOOKUP(Table2[[#This Row], [Ticket]],Okey!A:B,2,0),"")</f>
        <v>ok</v>
      </c>
      <c r="I1479" s="36" t="s">
        <v>8546</v>
      </c>
      <c r="L1479" s="36"/>
      <c r="M1479" s="36" t="s">
        <v>9034</v>
      </c>
    </row>
    <row r="1480" spans="1:13" hidden="1">
      <c r="A1480" s="42">
        <f t="shared" si="23"/>
        <v>1479</v>
      </c>
      <c r="B1480" s="36" t="s">
        <v>8</v>
      </c>
      <c r="C1480" s="9" t="s">
        <v>9607</v>
      </c>
      <c r="D1480" s="36" t="s">
        <v>9675</v>
      </c>
      <c r="E1480" s="9" t="s">
        <v>9608</v>
      </c>
      <c r="F1480" s="9" t="s">
        <v>6118</v>
      </c>
      <c r="G1480" s="36" t="s">
        <v>14</v>
      </c>
      <c r="H1480" s="36" t="str">
        <f>IFERROR(VLOOKUP(Table2[[#This Row], [Ticket]],Okey!A:B,2,0),"")</f>
        <v>ok</v>
      </c>
      <c r="I1480" s="36" t="s">
        <v>8546</v>
      </c>
      <c r="J1480" s="36" t="s">
        <v>19</v>
      </c>
      <c r="L1480" s="36"/>
    </row>
    <row r="1481" spans="1:13" hidden="1">
      <c r="A1481" s="42">
        <f t="shared" si="23"/>
        <v>1480</v>
      </c>
      <c r="B1481" s="36" t="s">
        <v>8</v>
      </c>
      <c r="C1481" s="36" t="s">
        <v>9607</v>
      </c>
      <c r="D1481" s="36" t="s">
        <v>9676</v>
      </c>
      <c r="E1481" s="9" t="s">
        <v>9609</v>
      </c>
      <c r="F1481" s="36" t="s">
        <v>9675</v>
      </c>
      <c r="G1481" s="36" t="s">
        <v>14</v>
      </c>
      <c r="H1481" s="36" t="str">
        <f>IFERROR(VLOOKUP(Table2[[#This Row], [Ticket]],Okey!A:B,2,0),"")</f>
        <v>ok</v>
      </c>
      <c r="I1481" s="36" t="s">
        <v>8546</v>
      </c>
      <c r="J1481" s="36" t="s">
        <v>19</v>
      </c>
      <c r="L1481" s="36"/>
    </row>
    <row r="1482" spans="1:13" hidden="1">
      <c r="A1482" s="42">
        <f t="shared" si="23"/>
        <v>1481</v>
      </c>
      <c r="B1482" s="36" t="s">
        <v>8</v>
      </c>
      <c r="C1482" s="36" t="s">
        <v>9607</v>
      </c>
      <c r="D1482" s="36" t="s">
        <v>9677</v>
      </c>
      <c r="E1482" s="9" t="s">
        <v>9610</v>
      </c>
      <c r="F1482" s="36" t="s">
        <v>9675</v>
      </c>
      <c r="G1482" s="36" t="s">
        <v>14</v>
      </c>
      <c r="H1482" s="36" t="str">
        <f>IFERROR(VLOOKUP(Table2[[#This Row], [Ticket]],Okey!A:B,2,0),"")</f>
        <v>ok</v>
      </c>
      <c r="I1482" s="36" t="s">
        <v>8546</v>
      </c>
      <c r="J1482" s="36" t="s">
        <v>19</v>
      </c>
      <c r="L1482" s="36"/>
    </row>
    <row r="1483" spans="1:13" hidden="1">
      <c r="A1483" s="42">
        <f t="shared" si="23"/>
        <v>1482</v>
      </c>
      <c r="B1483" s="36" t="s">
        <v>8</v>
      </c>
      <c r="C1483" s="36" t="s">
        <v>9607</v>
      </c>
      <c r="D1483" s="36" t="s">
        <v>9678</v>
      </c>
      <c r="E1483" s="9" t="s">
        <v>9611</v>
      </c>
      <c r="F1483" s="36" t="s">
        <v>9676</v>
      </c>
      <c r="G1483" s="36" t="s">
        <v>14</v>
      </c>
      <c r="H1483" s="36" t="str">
        <f>IFERROR(VLOOKUP(Table2[[#This Row], [Ticket]],Okey!A:B,2,0),"")</f>
        <v>ok</v>
      </c>
      <c r="I1483" s="36" t="s">
        <v>8546</v>
      </c>
      <c r="J1483" s="36" t="s">
        <v>19</v>
      </c>
      <c r="L1483" s="36"/>
    </row>
    <row r="1484" spans="1:13" hidden="1">
      <c r="A1484" s="42">
        <f t="shared" si="23"/>
        <v>1483</v>
      </c>
      <c r="B1484" s="36" t="s">
        <v>8</v>
      </c>
      <c r="C1484" s="36" t="s">
        <v>9607</v>
      </c>
      <c r="D1484" s="36" t="s">
        <v>9679</v>
      </c>
      <c r="E1484" s="9" t="s">
        <v>9612</v>
      </c>
      <c r="F1484" s="36" t="s">
        <v>9676</v>
      </c>
      <c r="G1484" s="36" t="s">
        <v>14</v>
      </c>
      <c r="H1484" s="36" t="str">
        <f>IFERROR(VLOOKUP(Table2[[#This Row], [Ticket]],Okey!A:B,2,0),"")</f>
        <v>ok</v>
      </c>
      <c r="I1484" s="36" t="s">
        <v>8546</v>
      </c>
      <c r="J1484" s="36" t="s">
        <v>19</v>
      </c>
      <c r="L1484" s="36"/>
    </row>
    <row r="1485" spans="1:13" hidden="1">
      <c r="A1485" s="42">
        <f t="shared" si="23"/>
        <v>1484</v>
      </c>
      <c r="B1485" s="36" t="s">
        <v>8</v>
      </c>
      <c r="C1485" s="36" t="s">
        <v>9607</v>
      </c>
      <c r="D1485" s="36" t="s">
        <v>9680</v>
      </c>
      <c r="E1485" s="9" t="s">
        <v>9613</v>
      </c>
      <c r="F1485" s="36" t="s">
        <v>9676</v>
      </c>
      <c r="G1485" s="36" t="s">
        <v>14</v>
      </c>
      <c r="H1485" s="36" t="str">
        <f>IFERROR(VLOOKUP(Table2[[#This Row], [Ticket]],Okey!A:B,2,0),"")</f>
        <v>ok</v>
      </c>
      <c r="I1485" s="36" t="s">
        <v>8546</v>
      </c>
      <c r="J1485" s="36" t="s">
        <v>19</v>
      </c>
      <c r="L1485" s="36"/>
    </row>
    <row r="1486" spans="1:13" hidden="1">
      <c r="A1486" s="42">
        <f t="shared" si="23"/>
        <v>1485</v>
      </c>
      <c r="B1486" s="36" t="s">
        <v>8</v>
      </c>
      <c r="C1486" s="36" t="s">
        <v>9607</v>
      </c>
      <c r="D1486" s="9" t="s">
        <v>9614</v>
      </c>
      <c r="E1486" s="9" t="s">
        <v>9615</v>
      </c>
      <c r="G1486" s="9" t="s">
        <v>15</v>
      </c>
      <c r="H1486" s="36" t="str">
        <f>IFERROR(VLOOKUP(Table2[[#This Row], [Ticket]],Okey!A:B,2,0),"")</f>
        <v>ok</v>
      </c>
      <c r="I1486" s="36" t="s">
        <v>8546</v>
      </c>
      <c r="L1486" s="36"/>
    </row>
    <row r="1487" spans="1:13" hidden="1">
      <c r="A1487" s="42">
        <f t="shared" si="23"/>
        <v>1486</v>
      </c>
      <c r="B1487" s="36" t="s">
        <v>8</v>
      </c>
      <c r="C1487" s="36" t="s">
        <v>9607</v>
      </c>
      <c r="D1487" s="9" t="s">
        <v>8952</v>
      </c>
      <c r="E1487" s="9" t="s">
        <v>9616</v>
      </c>
      <c r="G1487" s="36" t="s">
        <v>15</v>
      </c>
      <c r="H1487" s="36" t="str">
        <f>IFERROR(VLOOKUP(Table2[[#This Row], [Ticket]],Okey!A:B,2,0),"")</f>
        <v>ok</v>
      </c>
      <c r="I1487" s="36" t="s">
        <v>8546</v>
      </c>
      <c r="L1487" s="36"/>
    </row>
    <row r="1488" spans="1:13" hidden="1">
      <c r="A1488" s="42">
        <f t="shared" si="23"/>
        <v>1487</v>
      </c>
      <c r="B1488" s="36" t="s">
        <v>8</v>
      </c>
      <c r="C1488" s="36" t="s">
        <v>9607</v>
      </c>
      <c r="D1488" s="9" t="s">
        <v>9603</v>
      </c>
      <c r="E1488" s="9" t="s">
        <v>9617</v>
      </c>
      <c r="G1488" s="36" t="s">
        <v>15</v>
      </c>
      <c r="H1488" s="36" t="str">
        <f>IFERROR(VLOOKUP(Table2[[#This Row], [Ticket]],Okey!A:B,2,0),"")</f>
        <v>ok</v>
      </c>
      <c r="I1488" s="36" t="s">
        <v>8546</v>
      </c>
      <c r="L1488" s="36"/>
    </row>
    <row r="1489" spans="1:12" hidden="1">
      <c r="A1489" s="42">
        <f t="shared" si="23"/>
        <v>1488</v>
      </c>
      <c r="B1489" s="36" t="s">
        <v>8</v>
      </c>
      <c r="C1489" s="36" t="s">
        <v>9607</v>
      </c>
      <c r="D1489" s="9" t="s">
        <v>9618</v>
      </c>
      <c r="E1489" s="9" t="s">
        <v>9619</v>
      </c>
      <c r="G1489" s="36" t="s">
        <v>15</v>
      </c>
      <c r="H1489" s="36" t="str">
        <f>IFERROR(VLOOKUP(Table2[[#This Row], [Ticket]],Okey!A:B,2,0),"")</f>
        <v>ok</v>
      </c>
      <c r="I1489" s="36" t="s">
        <v>8546</v>
      </c>
      <c r="L1489" s="36"/>
    </row>
    <row r="1490" spans="1:12" hidden="1">
      <c r="A1490" s="42">
        <f t="shared" si="23"/>
        <v>1489</v>
      </c>
      <c r="B1490" s="36" t="s">
        <v>8</v>
      </c>
      <c r="C1490" s="36" t="s">
        <v>9620</v>
      </c>
      <c r="D1490" s="9" t="s">
        <v>9681</v>
      </c>
      <c r="E1490" s="9" t="s">
        <v>9621</v>
      </c>
      <c r="F1490" s="9" t="s">
        <v>9714</v>
      </c>
      <c r="G1490" s="36" t="s">
        <v>14</v>
      </c>
      <c r="H1490" s="36" t="str">
        <f>IFERROR(VLOOKUP(Table2[[#This Row], [Ticket]],Okey!A:B,2,0),"")</f>
        <v>ok</v>
      </c>
      <c r="I1490" s="36" t="s">
        <v>8546</v>
      </c>
      <c r="J1490" s="36" t="s">
        <v>19</v>
      </c>
      <c r="L1490" s="36"/>
    </row>
    <row r="1491" spans="1:12" hidden="1">
      <c r="A1491" s="42">
        <f t="shared" si="23"/>
        <v>1490</v>
      </c>
      <c r="B1491" s="36" t="s">
        <v>8</v>
      </c>
      <c r="C1491" s="36" t="s">
        <v>9620</v>
      </c>
      <c r="D1491" s="9" t="s">
        <v>9682</v>
      </c>
      <c r="E1491" s="9" t="s">
        <v>9622</v>
      </c>
      <c r="F1491" s="36" t="s">
        <v>9681</v>
      </c>
      <c r="G1491" s="36" t="s">
        <v>14</v>
      </c>
      <c r="H1491" s="36" t="str">
        <f>IFERROR(VLOOKUP(Table2[[#This Row], [Ticket]],Okey!A:B,2,0),"")</f>
        <v>ok</v>
      </c>
      <c r="I1491" s="36" t="s">
        <v>8546</v>
      </c>
      <c r="J1491" s="36" t="s">
        <v>19</v>
      </c>
      <c r="L1491" s="36"/>
    </row>
    <row r="1492" spans="1:12" hidden="1">
      <c r="A1492" s="42">
        <f t="shared" si="23"/>
        <v>1491</v>
      </c>
      <c r="B1492" s="36" t="s">
        <v>8</v>
      </c>
      <c r="C1492" s="36" t="s">
        <v>9620</v>
      </c>
      <c r="D1492" s="9" t="s">
        <v>9683</v>
      </c>
      <c r="E1492" s="9" t="s">
        <v>9623</v>
      </c>
      <c r="F1492" s="36" t="s">
        <v>9682</v>
      </c>
      <c r="G1492" s="36" t="s">
        <v>14</v>
      </c>
      <c r="H1492" s="36" t="str">
        <f>IFERROR(VLOOKUP(Table2[[#This Row], [Ticket]],Okey!A:B,2,0),"")</f>
        <v>ok</v>
      </c>
      <c r="I1492" s="36" t="s">
        <v>8546</v>
      </c>
      <c r="J1492" s="36" t="s">
        <v>19</v>
      </c>
      <c r="L1492" s="36"/>
    </row>
    <row r="1493" spans="1:12" hidden="1">
      <c r="A1493" s="42">
        <f t="shared" ref="A1493:A1556" si="24">1+A1492</f>
        <v>1492</v>
      </c>
      <c r="B1493" s="36" t="s">
        <v>8</v>
      </c>
      <c r="C1493" s="36" t="s">
        <v>9620</v>
      </c>
      <c r="D1493" s="9" t="s">
        <v>9684</v>
      </c>
      <c r="E1493" s="9" t="s">
        <v>9624</v>
      </c>
      <c r="F1493" s="36" t="s">
        <v>9682</v>
      </c>
      <c r="G1493" s="36" t="s">
        <v>14</v>
      </c>
      <c r="H1493" s="36" t="str">
        <f>IFERROR(VLOOKUP(Table2[[#This Row], [Ticket]],Okey!A:B,2,0),"")</f>
        <v>ok</v>
      </c>
      <c r="I1493" s="36" t="s">
        <v>8546</v>
      </c>
      <c r="J1493" s="36" t="s">
        <v>19</v>
      </c>
      <c r="L1493" s="36"/>
    </row>
    <row r="1494" spans="1:12" hidden="1">
      <c r="A1494" s="42">
        <f t="shared" si="24"/>
        <v>1493</v>
      </c>
      <c r="B1494" s="36" t="s">
        <v>8</v>
      </c>
      <c r="C1494" s="36" t="s">
        <v>9620</v>
      </c>
      <c r="D1494" s="9" t="s">
        <v>9685</v>
      </c>
      <c r="E1494" s="9" t="s">
        <v>9625</v>
      </c>
      <c r="F1494" s="36" t="s">
        <v>9681</v>
      </c>
      <c r="G1494" s="36" t="s">
        <v>14</v>
      </c>
      <c r="H1494" s="36" t="str">
        <f>IFERROR(VLOOKUP(Table2[[#This Row], [Ticket]],Okey!A:B,2,0),"")</f>
        <v>ok</v>
      </c>
      <c r="I1494" s="36" t="s">
        <v>8546</v>
      </c>
      <c r="J1494" s="36" t="s">
        <v>19</v>
      </c>
      <c r="L1494" s="36"/>
    </row>
    <row r="1495" spans="1:12" hidden="1">
      <c r="A1495" s="42">
        <f t="shared" si="24"/>
        <v>1494</v>
      </c>
      <c r="B1495" s="36" t="s">
        <v>8</v>
      </c>
      <c r="C1495" s="36" t="s">
        <v>9620</v>
      </c>
      <c r="D1495" s="9" t="s">
        <v>9686</v>
      </c>
      <c r="E1495" s="9" t="s">
        <v>9626</v>
      </c>
      <c r="F1495" s="9" t="s">
        <v>9715</v>
      </c>
      <c r="G1495" s="36" t="s">
        <v>14</v>
      </c>
      <c r="H1495" s="36" t="str">
        <f>IFERROR(VLOOKUP(Table2[[#This Row], [Ticket]],Okey!A:B,2,0),"")</f>
        <v>ok</v>
      </c>
      <c r="I1495" s="36" t="s">
        <v>8546</v>
      </c>
      <c r="J1495" s="36" t="s">
        <v>19</v>
      </c>
      <c r="L1495" s="36"/>
    </row>
    <row r="1496" spans="1:12" hidden="1">
      <c r="A1496" s="42">
        <f t="shared" si="24"/>
        <v>1495</v>
      </c>
      <c r="B1496" s="36" t="s">
        <v>8</v>
      </c>
      <c r="C1496" s="36" t="s">
        <v>9620</v>
      </c>
      <c r="D1496" s="9" t="s">
        <v>9687</v>
      </c>
      <c r="E1496" s="9" t="s">
        <v>9627</v>
      </c>
      <c r="F1496" s="36" t="s">
        <v>9686</v>
      </c>
      <c r="G1496" s="36" t="s">
        <v>14</v>
      </c>
      <c r="H1496" s="36" t="str">
        <f>IFERROR(VLOOKUP(Table2[[#This Row], [Ticket]],Okey!A:B,2,0),"")</f>
        <v>ok</v>
      </c>
      <c r="I1496" s="36" t="s">
        <v>8546</v>
      </c>
      <c r="J1496" s="36" t="s">
        <v>19</v>
      </c>
      <c r="L1496" s="36"/>
    </row>
    <row r="1497" spans="1:12" hidden="1">
      <c r="A1497" s="42">
        <f t="shared" si="24"/>
        <v>1496</v>
      </c>
      <c r="B1497" s="36" t="s">
        <v>8</v>
      </c>
      <c r="C1497" s="36" t="s">
        <v>9620</v>
      </c>
      <c r="D1497" s="9" t="s">
        <v>9688</v>
      </c>
      <c r="E1497" s="9" t="s">
        <v>9628</v>
      </c>
      <c r="F1497" s="36" t="s">
        <v>9687</v>
      </c>
      <c r="G1497" s="36" t="s">
        <v>14</v>
      </c>
      <c r="H1497" s="36" t="str">
        <f>IFERROR(VLOOKUP(Table2[[#This Row], [Ticket]],Okey!A:B,2,0),"")</f>
        <v>ok</v>
      </c>
      <c r="I1497" s="36" t="s">
        <v>8546</v>
      </c>
      <c r="J1497" s="36" t="s">
        <v>19</v>
      </c>
      <c r="L1497" s="36"/>
    </row>
    <row r="1498" spans="1:12" hidden="1">
      <c r="A1498" s="42">
        <f t="shared" si="24"/>
        <v>1497</v>
      </c>
      <c r="B1498" s="36" t="s">
        <v>8</v>
      </c>
      <c r="C1498" s="36" t="s">
        <v>9620</v>
      </c>
      <c r="D1498" s="9" t="s">
        <v>9689</v>
      </c>
      <c r="E1498" s="9" t="s">
        <v>9629</v>
      </c>
      <c r="F1498" s="36" t="s">
        <v>9687</v>
      </c>
      <c r="G1498" s="36" t="s">
        <v>14</v>
      </c>
      <c r="H1498" s="36" t="str">
        <f>IFERROR(VLOOKUP(Table2[[#This Row], [Ticket]],Okey!A:B,2,0),"")</f>
        <v>ok</v>
      </c>
      <c r="I1498" s="36" t="s">
        <v>8546</v>
      </c>
      <c r="J1498" s="36" t="s">
        <v>19</v>
      </c>
      <c r="L1498" s="36"/>
    </row>
    <row r="1499" spans="1:12" hidden="1">
      <c r="A1499" s="42">
        <f t="shared" si="24"/>
        <v>1498</v>
      </c>
      <c r="B1499" s="36" t="s">
        <v>8</v>
      </c>
      <c r="C1499" s="36" t="s">
        <v>9620</v>
      </c>
      <c r="D1499" s="9" t="s">
        <v>9690</v>
      </c>
      <c r="E1499" s="9" t="s">
        <v>9630</v>
      </c>
      <c r="F1499" s="36" t="s">
        <v>9686</v>
      </c>
      <c r="G1499" s="36" t="s">
        <v>14</v>
      </c>
      <c r="H1499" s="36" t="str">
        <f>IFERROR(VLOOKUP(Table2[[#This Row], [Ticket]],Okey!A:B,2,0),"")</f>
        <v>ok</v>
      </c>
      <c r="I1499" s="36" t="s">
        <v>8546</v>
      </c>
      <c r="J1499" s="36" t="s">
        <v>19</v>
      </c>
      <c r="L1499" s="36"/>
    </row>
    <row r="1500" spans="1:12" hidden="1">
      <c r="A1500" s="42">
        <f t="shared" si="24"/>
        <v>1499</v>
      </c>
      <c r="B1500" s="36" t="s">
        <v>8</v>
      </c>
      <c r="C1500" s="9" t="s">
        <v>9631</v>
      </c>
      <c r="D1500" s="9" t="s">
        <v>9691</v>
      </c>
      <c r="E1500" s="9" t="s">
        <v>9632</v>
      </c>
      <c r="F1500" s="9" t="s">
        <v>9716</v>
      </c>
      <c r="G1500" s="36" t="s">
        <v>14</v>
      </c>
      <c r="H1500" s="36" t="str">
        <f>IFERROR(VLOOKUP(Table2[[#This Row], [Ticket]],Okey!A:B,2,0),"")</f>
        <v>ok</v>
      </c>
      <c r="I1500" s="36" t="s">
        <v>8546</v>
      </c>
      <c r="J1500" s="36" t="s">
        <v>19</v>
      </c>
      <c r="L1500" s="36"/>
    </row>
    <row r="1501" spans="1:12" hidden="1">
      <c r="A1501" s="42">
        <f t="shared" si="24"/>
        <v>1500</v>
      </c>
      <c r="B1501" s="36" t="s">
        <v>8</v>
      </c>
      <c r="C1501" s="36" t="s">
        <v>9631</v>
      </c>
      <c r="D1501" s="9" t="s">
        <v>9692</v>
      </c>
      <c r="E1501" s="9" t="s">
        <v>9633</v>
      </c>
      <c r="F1501" s="36" t="s">
        <v>9691</v>
      </c>
      <c r="G1501" s="36" t="s">
        <v>14</v>
      </c>
      <c r="H1501" s="36" t="str">
        <f>IFERROR(VLOOKUP(Table2[[#This Row], [Ticket]],Okey!A:B,2,0),"")</f>
        <v>ok</v>
      </c>
      <c r="I1501" s="36" t="s">
        <v>8546</v>
      </c>
      <c r="J1501" s="36" t="s">
        <v>19</v>
      </c>
      <c r="L1501" s="36"/>
    </row>
    <row r="1502" spans="1:12" hidden="1">
      <c r="A1502" s="42">
        <f t="shared" si="24"/>
        <v>1501</v>
      </c>
      <c r="B1502" s="36" t="s">
        <v>8</v>
      </c>
      <c r="C1502" s="36" t="s">
        <v>9631</v>
      </c>
      <c r="D1502" s="9" t="s">
        <v>9693</v>
      </c>
      <c r="E1502" s="9" t="s">
        <v>9634</v>
      </c>
      <c r="F1502" s="36" t="s">
        <v>9692</v>
      </c>
      <c r="G1502" s="36" t="s">
        <v>14</v>
      </c>
      <c r="H1502" s="36" t="str">
        <f>IFERROR(VLOOKUP(Table2[[#This Row], [Ticket]],Okey!A:B,2,0),"")</f>
        <v>ok</v>
      </c>
      <c r="I1502" s="36" t="s">
        <v>8546</v>
      </c>
      <c r="J1502" s="36" t="s">
        <v>19</v>
      </c>
      <c r="L1502" s="36"/>
    </row>
    <row r="1503" spans="1:12" hidden="1">
      <c r="A1503" s="42">
        <f t="shared" si="24"/>
        <v>1502</v>
      </c>
      <c r="B1503" s="36" t="s">
        <v>8</v>
      </c>
      <c r="C1503" s="36" t="s">
        <v>9631</v>
      </c>
      <c r="D1503" s="9" t="s">
        <v>9694</v>
      </c>
      <c r="E1503" s="9" t="s">
        <v>9635</v>
      </c>
      <c r="F1503" s="36" t="s">
        <v>9692</v>
      </c>
      <c r="G1503" s="36" t="s">
        <v>14</v>
      </c>
      <c r="H1503" s="36" t="str">
        <f>IFERROR(VLOOKUP(Table2[[#This Row], [Ticket]],Okey!A:B,2,0),"")</f>
        <v>ok</v>
      </c>
      <c r="I1503" s="36" t="s">
        <v>8546</v>
      </c>
      <c r="J1503" s="36" t="s">
        <v>19</v>
      </c>
      <c r="L1503" s="36"/>
    </row>
    <row r="1504" spans="1:12" hidden="1">
      <c r="A1504" s="42">
        <f t="shared" si="24"/>
        <v>1503</v>
      </c>
      <c r="B1504" s="36" t="s">
        <v>8</v>
      </c>
      <c r="C1504" s="36" t="s">
        <v>9631</v>
      </c>
      <c r="D1504" s="9" t="s">
        <v>9695</v>
      </c>
      <c r="E1504" s="9" t="s">
        <v>9636</v>
      </c>
      <c r="F1504" s="36" t="s">
        <v>9692</v>
      </c>
      <c r="G1504" s="36" t="s">
        <v>14</v>
      </c>
      <c r="H1504" s="36" t="str">
        <f>IFERROR(VLOOKUP(Table2[[#This Row], [Ticket]],Okey!A:B,2,0),"")</f>
        <v>ok</v>
      </c>
      <c r="I1504" s="36" t="s">
        <v>8546</v>
      </c>
      <c r="J1504" s="36" t="s">
        <v>19</v>
      </c>
      <c r="L1504" s="36"/>
    </row>
    <row r="1505" spans="1:12" hidden="1">
      <c r="A1505" s="42">
        <f t="shared" si="24"/>
        <v>1504</v>
      </c>
      <c r="B1505" s="36" t="s">
        <v>8</v>
      </c>
      <c r="C1505" s="36" t="s">
        <v>9631</v>
      </c>
      <c r="D1505" s="9" t="s">
        <v>9696</v>
      </c>
      <c r="E1505" s="9" t="s">
        <v>9637</v>
      </c>
      <c r="F1505" s="36" t="s">
        <v>9691</v>
      </c>
      <c r="G1505" s="36" t="s">
        <v>14</v>
      </c>
      <c r="H1505" s="36" t="str">
        <f>IFERROR(VLOOKUP(Table2[[#This Row], [Ticket]],Okey!A:B,2,0),"")</f>
        <v>ok</v>
      </c>
      <c r="I1505" s="36" t="s">
        <v>8546</v>
      </c>
      <c r="J1505" s="36" t="s">
        <v>19</v>
      </c>
      <c r="L1505" s="36"/>
    </row>
    <row r="1506" spans="1:12" hidden="1">
      <c r="A1506" s="42">
        <f t="shared" si="24"/>
        <v>1505</v>
      </c>
      <c r="B1506" s="36" t="s">
        <v>8</v>
      </c>
      <c r="C1506" s="36" t="s">
        <v>9631</v>
      </c>
      <c r="D1506" s="9" t="s">
        <v>9697</v>
      </c>
      <c r="E1506" s="9" t="s">
        <v>9638</v>
      </c>
      <c r="F1506" s="36" t="s">
        <v>9696</v>
      </c>
      <c r="G1506" s="36" t="s">
        <v>14</v>
      </c>
      <c r="H1506" s="36" t="str">
        <f>IFERROR(VLOOKUP(Table2[[#This Row], [Ticket]],Okey!A:B,2,0),"")</f>
        <v>ok</v>
      </c>
      <c r="I1506" s="36" t="s">
        <v>8546</v>
      </c>
      <c r="J1506" s="36" t="s">
        <v>19</v>
      </c>
      <c r="L1506" s="36"/>
    </row>
    <row r="1507" spans="1:12" hidden="1">
      <c r="A1507" s="42">
        <f t="shared" si="24"/>
        <v>1506</v>
      </c>
      <c r="B1507" s="36" t="s">
        <v>8</v>
      </c>
      <c r="C1507" s="36" t="s">
        <v>9631</v>
      </c>
      <c r="D1507" s="9" t="s">
        <v>9698</v>
      </c>
      <c r="E1507" s="9" t="s">
        <v>9639</v>
      </c>
      <c r="F1507" s="36" t="s">
        <v>9696</v>
      </c>
      <c r="G1507" s="36" t="s">
        <v>14</v>
      </c>
      <c r="H1507" s="36" t="str">
        <f>IFERROR(VLOOKUP(Table2[[#This Row], [Ticket]],Okey!A:B,2,0),"")</f>
        <v>ok</v>
      </c>
      <c r="I1507" s="36" t="s">
        <v>8546</v>
      </c>
      <c r="J1507" s="36" t="s">
        <v>19</v>
      </c>
      <c r="L1507" s="36"/>
    </row>
    <row r="1508" spans="1:12" hidden="1">
      <c r="A1508" s="42">
        <f t="shared" si="24"/>
        <v>1507</v>
      </c>
      <c r="B1508" s="36" t="s">
        <v>8</v>
      </c>
      <c r="C1508" s="36" t="s">
        <v>9631</v>
      </c>
      <c r="D1508" s="9" t="s">
        <v>9699</v>
      </c>
      <c r="E1508" s="9" t="s">
        <v>9640</v>
      </c>
      <c r="F1508" s="36" t="s">
        <v>9696</v>
      </c>
      <c r="G1508" s="36" t="s">
        <v>14</v>
      </c>
      <c r="H1508" s="36" t="str">
        <f>IFERROR(VLOOKUP(Table2[[#This Row], [Ticket]],Okey!A:B,2,0),"")</f>
        <v>ok</v>
      </c>
      <c r="I1508" s="36" t="s">
        <v>8546</v>
      </c>
      <c r="J1508" s="36" t="s">
        <v>19</v>
      </c>
      <c r="L1508" s="36"/>
    </row>
    <row r="1509" spans="1:12" hidden="1">
      <c r="A1509" s="42">
        <f t="shared" si="24"/>
        <v>1508</v>
      </c>
      <c r="B1509" s="36" t="s">
        <v>8</v>
      </c>
      <c r="C1509" s="36" t="s">
        <v>9631</v>
      </c>
      <c r="D1509" s="9" t="s">
        <v>9700</v>
      </c>
      <c r="E1509" s="9" t="s">
        <v>9641</v>
      </c>
      <c r="F1509" s="36" t="s">
        <v>9696</v>
      </c>
      <c r="G1509" s="36" t="s">
        <v>14</v>
      </c>
      <c r="H1509" s="36" t="str">
        <f>IFERROR(VLOOKUP(Table2[[#This Row], [Ticket]],Okey!A:B,2,0),"")</f>
        <v>ok</v>
      </c>
      <c r="I1509" s="36" t="s">
        <v>8546</v>
      </c>
      <c r="J1509" s="36" t="s">
        <v>19</v>
      </c>
      <c r="L1509" s="36"/>
    </row>
    <row r="1510" spans="1:12" hidden="1">
      <c r="A1510" s="42">
        <f t="shared" si="24"/>
        <v>1509</v>
      </c>
      <c r="B1510" s="36" t="s">
        <v>8</v>
      </c>
      <c r="C1510" s="36" t="s">
        <v>9631</v>
      </c>
      <c r="D1510" s="9" t="s">
        <v>9701</v>
      </c>
      <c r="E1510" s="9" t="s">
        <v>9642</v>
      </c>
      <c r="F1510" s="36" t="s">
        <v>9696</v>
      </c>
      <c r="G1510" s="36" t="s">
        <v>14</v>
      </c>
      <c r="H1510" s="36" t="str">
        <f>IFERROR(VLOOKUP(Table2[[#This Row], [Ticket]],Okey!A:B,2,0),"")</f>
        <v>ok</v>
      </c>
      <c r="I1510" s="36" t="s">
        <v>8546</v>
      </c>
      <c r="J1510" s="36" t="s">
        <v>19</v>
      </c>
      <c r="L1510" s="36"/>
    </row>
    <row r="1511" spans="1:12" hidden="1">
      <c r="A1511" s="42">
        <f t="shared" si="24"/>
        <v>1510</v>
      </c>
      <c r="B1511" s="36" t="s">
        <v>8</v>
      </c>
      <c r="C1511" s="36" t="s">
        <v>9631</v>
      </c>
      <c r="D1511" s="9" t="s">
        <v>9702</v>
      </c>
      <c r="E1511" s="9" t="s">
        <v>9643</v>
      </c>
      <c r="F1511" s="36" t="s">
        <v>9696</v>
      </c>
      <c r="G1511" s="36" t="s">
        <v>14</v>
      </c>
      <c r="H1511" s="36" t="str">
        <f>IFERROR(VLOOKUP(Table2[[#This Row], [Ticket]],Okey!A:B,2,0),"")</f>
        <v>ok</v>
      </c>
      <c r="I1511" s="36" t="s">
        <v>8546</v>
      </c>
      <c r="J1511" s="36" t="s">
        <v>19</v>
      </c>
      <c r="L1511" s="36"/>
    </row>
    <row r="1512" spans="1:12" hidden="1">
      <c r="A1512" s="42">
        <f t="shared" si="24"/>
        <v>1511</v>
      </c>
      <c r="B1512" s="36" t="s">
        <v>8</v>
      </c>
      <c r="C1512" s="36" t="s">
        <v>9631</v>
      </c>
      <c r="D1512" s="9" t="s">
        <v>9703</v>
      </c>
      <c r="E1512" s="9" t="s">
        <v>9644</v>
      </c>
      <c r="F1512" s="36" t="s">
        <v>9696</v>
      </c>
      <c r="G1512" s="36" t="s">
        <v>14</v>
      </c>
      <c r="H1512" s="36" t="str">
        <f>IFERROR(VLOOKUP(Table2[[#This Row], [Ticket]],Okey!A:B,2,0),"")</f>
        <v>ok</v>
      </c>
      <c r="I1512" s="36" t="s">
        <v>8546</v>
      </c>
      <c r="J1512" s="36" t="s">
        <v>19</v>
      </c>
      <c r="L1512" s="36"/>
    </row>
    <row r="1513" spans="1:12" hidden="1">
      <c r="A1513" s="42">
        <f t="shared" si="24"/>
        <v>1512</v>
      </c>
      <c r="B1513" s="36" t="s">
        <v>8</v>
      </c>
      <c r="C1513" s="36" t="s">
        <v>9631</v>
      </c>
      <c r="D1513" s="9" t="s">
        <v>9704</v>
      </c>
      <c r="E1513" s="9" t="s">
        <v>9632</v>
      </c>
      <c r="F1513" s="9" t="s">
        <v>9717</v>
      </c>
      <c r="G1513" s="36" t="s">
        <v>14</v>
      </c>
      <c r="H1513" s="36" t="str">
        <f>IFERROR(VLOOKUP(Table2[[#This Row], [Ticket]],Okey!A:B,2,0),"")</f>
        <v>ok</v>
      </c>
      <c r="I1513" s="36" t="s">
        <v>8546</v>
      </c>
      <c r="J1513" s="36" t="s">
        <v>19</v>
      </c>
      <c r="L1513" s="36"/>
    </row>
    <row r="1514" spans="1:12" hidden="1">
      <c r="A1514" s="42">
        <f t="shared" si="24"/>
        <v>1513</v>
      </c>
      <c r="B1514" s="36" t="s">
        <v>8</v>
      </c>
      <c r="C1514" s="36" t="s">
        <v>9631</v>
      </c>
      <c r="D1514" s="9" t="s">
        <v>9705</v>
      </c>
      <c r="E1514" s="9" t="s">
        <v>9633</v>
      </c>
      <c r="F1514" s="36" t="s">
        <v>9704</v>
      </c>
      <c r="G1514" s="36" t="s">
        <v>14</v>
      </c>
      <c r="H1514" s="36" t="str">
        <f>IFERROR(VLOOKUP(Table2[[#This Row], [Ticket]],Okey!A:B,2,0),"")</f>
        <v>ok</v>
      </c>
      <c r="I1514" s="36" t="s">
        <v>8546</v>
      </c>
      <c r="J1514" s="36" t="s">
        <v>19</v>
      </c>
      <c r="L1514" s="36"/>
    </row>
    <row r="1515" spans="1:12" hidden="1">
      <c r="A1515" s="42">
        <f t="shared" si="24"/>
        <v>1514</v>
      </c>
      <c r="B1515" s="36" t="s">
        <v>8</v>
      </c>
      <c r="C1515" s="36" t="s">
        <v>9631</v>
      </c>
      <c r="D1515" s="9" t="s">
        <v>9706</v>
      </c>
      <c r="E1515" s="9" t="s">
        <v>9645</v>
      </c>
      <c r="F1515" s="36" t="s">
        <v>9705</v>
      </c>
      <c r="G1515" s="36" t="s">
        <v>14</v>
      </c>
      <c r="H1515" s="36" t="str">
        <f>IFERROR(VLOOKUP(Table2[[#This Row], [Ticket]],Okey!A:B,2,0),"")</f>
        <v>ok</v>
      </c>
      <c r="I1515" s="36" t="s">
        <v>8546</v>
      </c>
      <c r="J1515" s="36" t="s">
        <v>19</v>
      </c>
      <c r="L1515" s="36"/>
    </row>
    <row r="1516" spans="1:12" hidden="1">
      <c r="A1516" s="42">
        <f t="shared" si="24"/>
        <v>1515</v>
      </c>
      <c r="B1516" s="36" t="s">
        <v>8</v>
      </c>
      <c r="C1516" s="36" t="s">
        <v>9631</v>
      </c>
      <c r="D1516" s="9" t="s">
        <v>9707</v>
      </c>
      <c r="E1516" s="9" t="s">
        <v>9637</v>
      </c>
      <c r="F1516" s="36" t="s">
        <v>9704</v>
      </c>
      <c r="G1516" s="36" t="s">
        <v>14</v>
      </c>
      <c r="H1516" s="36" t="str">
        <f>IFERROR(VLOOKUP(Table2[[#This Row], [Ticket]],Okey!A:B,2,0),"")</f>
        <v>ok</v>
      </c>
      <c r="I1516" s="36" t="s">
        <v>8546</v>
      </c>
      <c r="J1516" s="36" t="s">
        <v>19</v>
      </c>
      <c r="L1516" s="36"/>
    </row>
    <row r="1517" spans="1:12" hidden="1">
      <c r="A1517" s="42">
        <f t="shared" si="24"/>
        <v>1516</v>
      </c>
      <c r="B1517" s="36" t="s">
        <v>8</v>
      </c>
      <c r="C1517" s="36" t="s">
        <v>9631</v>
      </c>
      <c r="D1517" s="9" t="s">
        <v>9708</v>
      </c>
      <c r="E1517" s="9" t="s">
        <v>9646</v>
      </c>
      <c r="F1517" s="36" t="s">
        <v>9707</v>
      </c>
      <c r="G1517" s="36" t="s">
        <v>14</v>
      </c>
      <c r="H1517" s="36" t="str">
        <f>IFERROR(VLOOKUP(Table2[[#This Row], [Ticket]],Okey!A:B,2,0),"")</f>
        <v>ok</v>
      </c>
      <c r="I1517" s="36" t="s">
        <v>8546</v>
      </c>
      <c r="J1517" s="36" t="s">
        <v>19</v>
      </c>
      <c r="L1517" s="36"/>
    </row>
    <row r="1518" spans="1:12" hidden="1">
      <c r="A1518" s="42">
        <f t="shared" si="24"/>
        <v>1517</v>
      </c>
      <c r="B1518" s="36" t="s">
        <v>8</v>
      </c>
      <c r="C1518" s="36" t="s">
        <v>9631</v>
      </c>
      <c r="D1518" s="9" t="s">
        <v>9709</v>
      </c>
      <c r="E1518" s="9" t="s">
        <v>9647</v>
      </c>
      <c r="F1518" s="9" t="s">
        <v>9707</v>
      </c>
      <c r="G1518" s="36" t="s">
        <v>14</v>
      </c>
      <c r="H1518" s="36" t="str">
        <f>IFERROR(VLOOKUP(Table2[[#This Row], [Ticket]],Okey!A:B,2,0),"")</f>
        <v>ok</v>
      </c>
      <c r="I1518" s="36" t="s">
        <v>8546</v>
      </c>
      <c r="J1518" s="36" t="s">
        <v>19</v>
      </c>
      <c r="L1518" s="36"/>
    </row>
    <row r="1519" spans="1:12" hidden="1">
      <c r="A1519" s="42">
        <f t="shared" si="24"/>
        <v>1518</v>
      </c>
      <c r="B1519" s="36" t="s">
        <v>8</v>
      </c>
      <c r="C1519" s="36" t="s">
        <v>9631</v>
      </c>
      <c r="D1519" s="9" t="s">
        <v>9710</v>
      </c>
      <c r="E1519" s="9" t="s">
        <v>9648</v>
      </c>
      <c r="F1519" s="36" t="s">
        <v>9707</v>
      </c>
      <c r="G1519" s="36" t="s">
        <v>14</v>
      </c>
      <c r="H1519" s="36" t="str">
        <f>IFERROR(VLOOKUP(Table2[[#This Row], [Ticket]],Okey!A:B,2,0),"")</f>
        <v>ok</v>
      </c>
      <c r="I1519" s="36" t="s">
        <v>8546</v>
      </c>
      <c r="J1519" s="36" t="s">
        <v>19</v>
      </c>
      <c r="L1519" s="36"/>
    </row>
    <row r="1520" spans="1:12" hidden="1">
      <c r="A1520" s="42">
        <f t="shared" si="24"/>
        <v>1519</v>
      </c>
      <c r="B1520" s="36" t="s">
        <v>8</v>
      </c>
      <c r="C1520" s="36" t="s">
        <v>9631</v>
      </c>
      <c r="D1520" s="9" t="s">
        <v>9711</v>
      </c>
      <c r="E1520" s="9" t="s">
        <v>9649</v>
      </c>
      <c r="F1520" s="36" t="s">
        <v>9707</v>
      </c>
      <c r="G1520" s="36" t="s">
        <v>14</v>
      </c>
      <c r="H1520" s="36" t="str">
        <f>IFERROR(VLOOKUP(Table2[[#This Row], [Ticket]],Okey!A:B,2,0),"")</f>
        <v>ok</v>
      </c>
      <c r="I1520" s="36" t="s">
        <v>8546</v>
      </c>
      <c r="J1520" s="36" t="s">
        <v>19</v>
      </c>
      <c r="L1520" s="36"/>
    </row>
    <row r="1521" spans="1:13" hidden="1">
      <c r="A1521" s="42">
        <f t="shared" si="24"/>
        <v>1520</v>
      </c>
      <c r="B1521" s="36" t="s">
        <v>8</v>
      </c>
      <c r="C1521" s="36" t="s">
        <v>9631</v>
      </c>
      <c r="D1521" s="9" t="s">
        <v>9712</v>
      </c>
      <c r="E1521" s="9" t="s">
        <v>9650</v>
      </c>
      <c r="F1521" s="36" t="s">
        <v>9707</v>
      </c>
      <c r="G1521" s="36" t="s">
        <v>14</v>
      </c>
      <c r="H1521" s="36" t="str">
        <f>IFERROR(VLOOKUP(Table2[[#This Row], [Ticket]],Okey!A:B,2,0),"")</f>
        <v>ok</v>
      </c>
      <c r="I1521" s="36" t="s">
        <v>8546</v>
      </c>
      <c r="J1521" s="36" t="s">
        <v>19</v>
      </c>
      <c r="L1521" s="36"/>
    </row>
    <row r="1522" spans="1:13" hidden="1">
      <c r="A1522" s="42">
        <f t="shared" si="24"/>
        <v>1521</v>
      </c>
      <c r="B1522" s="36" t="s">
        <v>8</v>
      </c>
      <c r="C1522" s="36" t="s">
        <v>9631</v>
      </c>
      <c r="D1522" s="9" t="s">
        <v>9713</v>
      </c>
      <c r="E1522" s="9" t="s">
        <v>9651</v>
      </c>
      <c r="F1522" s="36" t="s">
        <v>9707</v>
      </c>
      <c r="G1522" s="36" t="s">
        <v>14</v>
      </c>
      <c r="H1522" s="36" t="str">
        <f>IFERROR(VLOOKUP(Table2[[#This Row], [Ticket]],Okey!A:B,2,0),"")</f>
        <v>ok</v>
      </c>
      <c r="I1522" s="36" t="s">
        <v>8546</v>
      </c>
      <c r="J1522" s="36" t="s">
        <v>19</v>
      </c>
      <c r="L1522" s="36"/>
    </row>
    <row r="1523" spans="1:13" hidden="1">
      <c r="A1523" s="42">
        <f t="shared" si="24"/>
        <v>1522</v>
      </c>
      <c r="B1523" s="36" t="s">
        <v>8</v>
      </c>
      <c r="C1523" s="9" t="s">
        <v>9718</v>
      </c>
      <c r="D1523" s="9" t="s">
        <v>6112</v>
      </c>
      <c r="E1523" s="38" t="s">
        <v>9719</v>
      </c>
      <c r="G1523" s="9" t="s">
        <v>15</v>
      </c>
      <c r="H1523" s="36" t="str">
        <f>IFERROR(VLOOKUP(Table2[[#This Row], [Ticket]],Okey!A:B,2,0),"")</f>
        <v>ok</v>
      </c>
      <c r="I1523" s="36" t="s">
        <v>8546</v>
      </c>
      <c r="J1523" s="36" t="s">
        <v>19</v>
      </c>
      <c r="L1523" s="36"/>
      <c r="M1523" s="9" t="s">
        <v>9034</v>
      </c>
    </row>
    <row r="1524" spans="1:13" hidden="1">
      <c r="A1524" s="42">
        <f t="shared" si="24"/>
        <v>1523</v>
      </c>
      <c r="B1524" s="36" t="s">
        <v>8</v>
      </c>
      <c r="C1524" s="9" t="s">
        <v>9720</v>
      </c>
      <c r="D1524" s="9" t="s">
        <v>9512</v>
      </c>
      <c r="F1524" s="9" t="s">
        <v>9511</v>
      </c>
      <c r="G1524" s="9" t="s">
        <v>13</v>
      </c>
      <c r="H1524" s="36" t="str">
        <f>IFERROR(VLOOKUP(Table2[[#This Row], [Ticket]],Okey!A:B,2,0),"")</f>
        <v>ok</v>
      </c>
      <c r="I1524" s="36" t="s">
        <v>8546</v>
      </c>
      <c r="J1524" s="36" t="s">
        <v>19</v>
      </c>
      <c r="L1524" s="36"/>
      <c r="M1524" s="9" t="s">
        <v>9515</v>
      </c>
    </row>
    <row r="1525" spans="1:13" hidden="1">
      <c r="A1525" s="42">
        <f t="shared" si="24"/>
        <v>1524</v>
      </c>
      <c r="B1525" s="36" t="s">
        <v>8</v>
      </c>
      <c r="C1525" s="36" t="s">
        <v>9720</v>
      </c>
      <c r="D1525" s="9" t="s">
        <v>9513</v>
      </c>
      <c r="F1525" s="9" t="s">
        <v>9511</v>
      </c>
      <c r="G1525" s="36" t="s">
        <v>13</v>
      </c>
      <c r="H1525" s="36" t="str">
        <f>IFERROR(VLOOKUP(Table2[[#This Row], [Ticket]],Okey!A:B,2,0),"")</f>
        <v>ok</v>
      </c>
      <c r="I1525" s="36" t="s">
        <v>8546</v>
      </c>
      <c r="J1525" s="36" t="s">
        <v>19</v>
      </c>
      <c r="K1525" s="36"/>
      <c r="L1525" s="36"/>
      <c r="M1525" s="36" t="s">
        <v>9515</v>
      </c>
    </row>
    <row r="1526" spans="1:13" hidden="1">
      <c r="A1526" s="42">
        <f t="shared" si="24"/>
        <v>1525</v>
      </c>
      <c r="B1526" s="36" t="s">
        <v>8</v>
      </c>
      <c r="C1526" s="36" t="s">
        <v>9720</v>
      </c>
      <c r="D1526" s="9" t="s">
        <v>9514</v>
      </c>
      <c r="F1526" s="9" t="s">
        <v>9511</v>
      </c>
      <c r="G1526" s="36" t="s">
        <v>13</v>
      </c>
      <c r="H1526" s="36" t="str">
        <f>IFERROR(VLOOKUP(Table2[[#This Row], [Ticket]],Okey!A:B,2,0),"")</f>
        <v>ok</v>
      </c>
      <c r="I1526" s="36" t="s">
        <v>8546</v>
      </c>
      <c r="J1526" s="36" t="s">
        <v>19</v>
      </c>
      <c r="K1526" s="36"/>
      <c r="L1526" s="36"/>
      <c r="M1526" s="36" t="s">
        <v>9515</v>
      </c>
    </row>
    <row r="1527" spans="1:13" hidden="1">
      <c r="A1527" s="42">
        <f t="shared" si="24"/>
        <v>1526</v>
      </c>
      <c r="B1527" s="36" t="s">
        <v>8</v>
      </c>
      <c r="C1527" s="9" t="s">
        <v>9721</v>
      </c>
      <c r="D1527" s="9" t="s">
        <v>9750</v>
      </c>
      <c r="E1527" s="9" t="s">
        <v>9722</v>
      </c>
      <c r="F1527" s="9" t="s">
        <v>9696</v>
      </c>
      <c r="G1527" s="36" t="s">
        <v>14</v>
      </c>
      <c r="H1527" s="36" t="str">
        <f>IFERROR(VLOOKUP(Table2[[#This Row], [Ticket]],Okey!A:B,2,0),"")</f>
        <v>ok</v>
      </c>
      <c r="I1527" s="36" t="s">
        <v>8546</v>
      </c>
      <c r="J1527" s="36" t="s">
        <v>19</v>
      </c>
      <c r="K1527" s="36"/>
      <c r="L1527" s="36"/>
      <c r="M1527" s="9" t="s">
        <v>9744</v>
      </c>
    </row>
    <row r="1528" spans="1:13" hidden="1">
      <c r="A1528" s="42">
        <f t="shared" si="24"/>
        <v>1527</v>
      </c>
      <c r="B1528" s="36" t="s">
        <v>8</v>
      </c>
      <c r="C1528" s="36" t="s">
        <v>9721</v>
      </c>
      <c r="D1528" s="9" t="s">
        <v>9751</v>
      </c>
      <c r="E1528" s="9" t="s">
        <v>9723</v>
      </c>
      <c r="F1528" s="9" t="s">
        <v>9696</v>
      </c>
      <c r="G1528" s="36" t="s">
        <v>14</v>
      </c>
      <c r="H1528" s="36" t="str">
        <f>IFERROR(VLOOKUP(Table2[[#This Row], [Ticket]],Okey!A:B,2,0),"")</f>
        <v>ok</v>
      </c>
      <c r="I1528" s="36" t="s">
        <v>8546</v>
      </c>
      <c r="J1528" s="36" t="s">
        <v>19</v>
      </c>
      <c r="K1528" s="36"/>
      <c r="L1528" s="36"/>
      <c r="M1528" s="36" t="s">
        <v>9744</v>
      </c>
    </row>
    <row r="1529" spans="1:13" hidden="1">
      <c r="A1529" s="42">
        <f t="shared" si="24"/>
        <v>1528</v>
      </c>
      <c r="B1529" s="36" t="s">
        <v>8</v>
      </c>
      <c r="C1529" s="36" t="s">
        <v>9721</v>
      </c>
      <c r="D1529" s="9" t="s">
        <v>9752</v>
      </c>
      <c r="E1529" s="9" t="s">
        <v>9724</v>
      </c>
      <c r="F1529" s="9" t="s">
        <v>9696</v>
      </c>
      <c r="G1529" s="36" t="s">
        <v>14</v>
      </c>
      <c r="H1529" s="36" t="str">
        <f>IFERROR(VLOOKUP(Table2[[#This Row], [Ticket]],Okey!A:B,2,0),"")</f>
        <v>ok</v>
      </c>
      <c r="I1529" s="36" t="s">
        <v>8546</v>
      </c>
      <c r="J1529" s="36" t="s">
        <v>19</v>
      </c>
      <c r="K1529" s="36"/>
      <c r="L1529" s="36"/>
      <c r="M1529" s="36" t="s">
        <v>9744</v>
      </c>
    </row>
    <row r="1530" spans="1:13" hidden="1">
      <c r="A1530" s="42">
        <f t="shared" si="24"/>
        <v>1529</v>
      </c>
      <c r="B1530" s="36" t="s">
        <v>8</v>
      </c>
      <c r="C1530" s="36" t="s">
        <v>9721</v>
      </c>
      <c r="D1530" s="9" t="s">
        <v>9753</v>
      </c>
      <c r="E1530" s="9" t="s">
        <v>9725</v>
      </c>
      <c r="F1530" s="9" t="s">
        <v>9696</v>
      </c>
      <c r="G1530" s="36" t="s">
        <v>14</v>
      </c>
      <c r="H1530" s="36" t="str">
        <f>IFERROR(VLOOKUP(Table2[[#This Row], [Ticket]],Okey!A:B,2,0),"")</f>
        <v>ok</v>
      </c>
      <c r="I1530" s="36" t="s">
        <v>8546</v>
      </c>
      <c r="J1530" s="36" t="s">
        <v>19</v>
      </c>
      <c r="K1530" s="36"/>
      <c r="L1530" s="36"/>
      <c r="M1530" s="36" t="s">
        <v>9744</v>
      </c>
    </row>
    <row r="1531" spans="1:13" hidden="1">
      <c r="A1531" s="42">
        <f t="shared" si="24"/>
        <v>1530</v>
      </c>
      <c r="B1531" s="36" t="s">
        <v>8</v>
      </c>
      <c r="C1531" s="36" t="s">
        <v>9721</v>
      </c>
      <c r="D1531" s="9" t="s">
        <v>9754</v>
      </c>
      <c r="E1531" s="9" t="s">
        <v>9726</v>
      </c>
      <c r="F1531" s="9" t="s">
        <v>9696</v>
      </c>
      <c r="G1531" s="36" t="s">
        <v>14</v>
      </c>
      <c r="H1531" s="36" t="str">
        <f>IFERROR(VLOOKUP(Table2[[#This Row], [Ticket]],Okey!A:B,2,0),"")</f>
        <v>ok</v>
      </c>
      <c r="I1531" s="36" t="s">
        <v>8546</v>
      </c>
      <c r="J1531" s="36" t="s">
        <v>19</v>
      </c>
      <c r="K1531" s="36"/>
      <c r="L1531" s="36"/>
      <c r="M1531" s="36" t="s">
        <v>9744</v>
      </c>
    </row>
    <row r="1532" spans="1:13" hidden="1">
      <c r="A1532" s="42">
        <f t="shared" si="24"/>
        <v>1531</v>
      </c>
      <c r="B1532" s="36" t="s">
        <v>8</v>
      </c>
      <c r="C1532" s="36" t="s">
        <v>9721</v>
      </c>
      <c r="D1532" s="9" t="s">
        <v>9755</v>
      </c>
      <c r="E1532" s="9" t="s">
        <v>9727</v>
      </c>
      <c r="F1532" s="9" t="s">
        <v>9696</v>
      </c>
      <c r="G1532" s="36" t="s">
        <v>14</v>
      </c>
      <c r="H1532" s="36" t="str">
        <f>IFERROR(VLOOKUP(Table2[[#This Row], [Ticket]],Okey!A:B,2,0),"")</f>
        <v>ok</v>
      </c>
      <c r="I1532" s="36" t="s">
        <v>8546</v>
      </c>
      <c r="J1532" s="36" t="s">
        <v>19</v>
      </c>
      <c r="K1532" s="36"/>
      <c r="L1532" s="36"/>
      <c r="M1532" s="36" t="s">
        <v>9744</v>
      </c>
    </row>
    <row r="1533" spans="1:13" hidden="1">
      <c r="A1533" s="42">
        <f t="shared" si="24"/>
        <v>1532</v>
      </c>
      <c r="B1533" s="36" t="s">
        <v>8</v>
      </c>
      <c r="C1533" s="36" t="s">
        <v>9721</v>
      </c>
      <c r="D1533" s="9" t="s">
        <v>9756</v>
      </c>
      <c r="E1533" s="9" t="s">
        <v>9728</v>
      </c>
      <c r="F1533" s="9" t="s">
        <v>9696</v>
      </c>
      <c r="G1533" s="36" t="s">
        <v>14</v>
      </c>
      <c r="H1533" s="36" t="str">
        <f>IFERROR(VLOOKUP(Table2[[#This Row], [Ticket]],Okey!A:B,2,0),"")</f>
        <v>ok</v>
      </c>
      <c r="I1533" s="36" t="s">
        <v>8546</v>
      </c>
      <c r="J1533" s="36" t="s">
        <v>19</v>
      </c>
      <c r="K1533" s="36"/>
      <c r="L1533" s="36"/>
      <c r="M1533" s="36" t="s">
        <v>9744</v>
      </c>
    </row>
    <row r="1534" spans="1:13" hidden="1">
      <c r="A1534" s="42">
        <f t="shared" si="24"/>
        <v>1533</v>
      </c>
      <c r="B1534" s="36" t="s">
        <v>8</v>
      </c>
      <c r="C1534" s="36" t="s">
        <v>9721</v>
      </c>
      <c r="D1534" s="9" t="s">
        <v>9757</v>
      </c>
      <c r="E1534" s="9" t="s">
        <v>9729</v>
      </c>
      <c r="F1534" s="9" t="s">
        <v>9696</v>
      </c>
      <c r="G1534" s="36" t="s">
        <v>14</v>
      </c>
      <c r="H1534" s="36" t="str">
        <f>IFERROR(VLOOKUP(Table2[[#This Row], [Ticket]],Okey!A:B,2,0),"")</f>
        <v>ok</v>
      </c>
      <c r="I1534" s="36" t="s">
        <v>8546</v>
      </c>
      <c r="J1534" s="36" t="s">
        <v>19</v>
      </c>
      <c r="K1534" s="36"/>
      <c r="L1534" s="36"/>
      <c r="M1534" s="36" t="s">
        <v>9744</v>
      </c>
    </row>
    <row r="1535" spans="1:13" hidden="1">
      <c r="A1535" s="42">
        <f t="shared" si="24"/>
        <v>1534</v>
      </c>
      <c r="B1535" s="36" t="s">
        <v>8</v>
      </c>
      <c r="C1535" s="36" t="s">
        <v>9721</v>
      </c>
      <c r="D1535" s="9" t="s">
        <v>9758</v>
      </c>
      <c r="E1535" s="9" t="s">
        <v>9730</v>
      </c>
      <c r="F1535" s="9" t="s">
        <v>9696</v>
      </c>
      <c r="G1535" s="36" t="s">
        <v>14</v>
      </c>
      <c r="H1535" s="36" t="str">
        <f>IFERROR(VLOOKUP(Table2[[#This Row], [Ticket]],Okey!A:B,2,0),"")</f>
        <v>ok</v>
      </c>
      <c r="I1535" s="36" t="s">
        <v>8546</v>
      </c>
      <c r="J1535" s="36" t="s">
        <v>19</v>
      </c>
      <c r="K1535" s="36"/>
      <c r="L1535" s="36"/>
      <c r="M1535" s="36" t="s">
        <v>9744</v>
      </c>
    </row>
    <row r="1536" spans="1:13" hidden="1">
      <c r="A1536" s="42">
        <f t="shared" si="24"/>
        <v>1535</v>
      </c>
      <c r="B1536" s="36" t="s">
        <v>8</v>
      </c>
      <c r="C1536" s="36" t="s">
        <v>9721</v>
      </c>
      <c r="D1536" s="9" t="s">
        <v>9759</v>
      </c>
      <c r="E1536" s="9" t="s">
        <v>9731</v>
      </c>
      <c r="F1536" s="9" t="s">
        <v>9696</v>
      </c>
      <c r="G1536" s="36" t="s">
        <v>14</v>
      </c>
      <c r="H1536" s="36" t="str">
        <f>IFERROR(VLOOKUP(Table2[[#This Row], [Ticket]],Okey!A:B,2,0),"")</f>
        <v>ok</v>
      </c>
      <c r="I1536" s="36" t="s">
        <v>8546</v>
      </c>
      <c r="J1536" s="36" t="s">
        <v>19</v>
      </c>
      <c r="K1536" s="36"/>
      <c r="L1536" s="36"/>
      <c r="M1536" s="36" t="s">
        <v>9744</v>
      </c>
    </row>
    <row r="1537" spans="1:13" hidden="1">
      <c r="A1537" s="42">
        <f t="shared" si="24"/>
        <v>1536</v>
      </c>
      <c r="B1537" s="36" t="s">
        <v>8</v>
      </c>
      <c r="C1537" s="36" t="s">
        <v>9721</v>
      </c>
      <c r="D1537" s="9" t="s">
        <v>9760</v>
      </c>
      <c r="E1537" s="9" t="s">
        <v>9732</v>
      </c>
      <c r="F1537" s="9" t="s">
        <v>9696</v>
      </c>
      <c r="G1537" s="36" t="s">
        <v>14</v>
      </c>
      <c r="H1537" s="36" t="str">
        <f>IFERROR(VLOOKUP(Table2[[#This Row], [Ticket]],Okey!A:B,2,0),"")</f>
        <v>ok</v>
      </c>
      <c r="I1537" s="36" t="s">
        <v>8546</v>
      </c>
      <c r="J1537" s="36" t="s">
        <v>19</v>
      </c>
      <c r="K1537" s="36"/>
      <c r="L1537" s="36"/>
      <c r="M1537" s="36" t="s">
        <v>9744</v>
      </c>
    </row>
    <row r="1538" spans="1:13" hidden="1">
      <c r="A1538" s="42">
        <f t="shared" si="24"/>
        <v>1537</v>
      </c>
      <c r="B1538" s="36" t="s">
        <v>8</v>
      </c>
      <c r="C1538" s="36" t="s">
        <v>9721</v>
      </c>
      <c r="D1538" s="9" t="s">
        <v>9761</v>
      </c>
      <c r="E1538" s="9" t="s">
        <v>9733</v>
      </c>
      <c r="F1538" s="9" t="s">
        <v>9696</v>
      </c>
      <c r="G1538" s="36" t="s">
        <v>14</v>
      </c>
      <c r="H1538" s="36" t="str">
        <f>IFERROR(VLOOKUP(Table2[[#This Row], [Ticket]],Okey!A:B,2,0),"")</f>
        <v>ok</v>
      </c>
      <c r="I1538" s="36" t="s">
        <v>8546</v>
      </c>
      <c r="J1538" s="36" t="s">
        <v>19</v>
      </c>
      <c r="K1538" s="36"/>
      <c r="L1538" s="36"/>
      <c r="M1538" s="36" t="s">
        <v>9744</v>
      </c>
    </row>
    <row r="1539" spans="1:13" hidden="1">
      <c r="A1539" s="42">
        <f t="shared" si="24"/>
        <v>1538</v>
      </c>
      <c r="B1539" s="36" t="s">
        <v>8</v>
      </c>
      <c r="C1539" s="36" t="s">
        <v>9721</v>
      </c>
      <c r="D1539" s="9" t="s">
        <v>9762</v>
      </c>
      <c r="E1539" s="9" t="s">
        <v>9734</v>
      </c>
      <c r="F1539" s="9" t="s">
        <v>9707</v>
      </c>
      <c r="G1539" s="36" t="s">
        <v>14</v>
      </c>
      <c r="H1539" s="36" t="str">
        <f>IFERROR(VLOOKUP(Table2[[#This Row], [Ticket]],Okey!A:B,2,0),"")</f>
        <v>ok</v>
      </c>
      <c r="I1539" s="36" t="s">
        <v>8546</v>
      </c>
      <c r="J1539" s="36" t="s">
        <v>19</v>
      </c>
      <c r="K1539" s="36"/>
      <c r="L1539" s="36"/>
      <c r="M1539" s="36" t="s">
        <v>9744</v>
      </c>
    </row>
    <row r="1540" spans="1:13" hidden="1">
      <c r="A1540" s="42">
        <f t="shared" si="24"/>
        <v>1539</v>
      </c>
      <c r="B1540" s="36" t="s">
        <v>8</v>
      </c>
      <c r="C1540" s="36" t="s">
        <v>9721</v>
      </c>
      <c r="D1540" s="9" t="s">
        <v>9763</v>
      </c>
      <c r="E1540" s="9" t="s">
        <v>9735</v>
      </c>
      <c r="F1540" s="9" t="s">
        <v>9707</v>
      </c>
      <c r="G1540" s="36" t="s">
        <v>14</v>
      </c>
      <c r="H1540" s="36" t="str">
        <f>IFERROR(VLOOKUP(Table2[[#This Row], [Ticket]],Okey!A:B,2,0),"")</f>
        <v>ok</v>
      </c>
      <c r="I1540" s="36" t="s">
        <v>8546</v>
      </c>
      <c r="J1540" s="36" t="s">
        <v>19</v>
      </c>
      <c r="K1540" s="36"/>
      <c r="L1540" s="36"/>
      <c r="M1540" s="36" t="s">
        <v>9744</v>
      </c>
    </row>
    <row r="1541" spans="1:13" hidden="1">
      <c r="A1541" s="42">
        <f t="shared" si="24"/>
        <v>1540</v>
      </c>
      <c r="B1541" s="36" t="s">
        <v>8</v>
      </c>
      <c r="C1541" s="36" t="s">
        <v>9721</v>
      </c>
      <c r="D1541" s="9" t="s">
        <v>9764</v>
      </c>
      <c r="E1541" s="9" t="s">
        <v>9736</v>
      </c>
      <c r="F1541" s="9" t="s">
        <v>9707</v>
      </c>
      <c r="G1541" s="36" t="s">
        <v>14</v>
      </c>
      <c r="H1541" s="36" t="str">
        <f>IFERROR(VLOOKUP(Table2[[#This Row], [Ticket]],Okey!A:B,2,0),"")</f>
        <v>ok</v>
      </c>
      <c r="I1541" s="36" t="s">
        <v>8546</v>
      </c>
      <c r="J1541" s="36" t="s">
        <v>19</v>
      </c>
      <c r="K1541" s="36"/>
      <c r="L1541" s="36"/>
      <c r="M1541" s="36" t="s">
        <v>9744</v>
      </c>
    </row>
    <row r="1542" spans="1:13" hidden="1">
      <c r="A1542" s="42">
        <f t="shared" si="24"/>
        <v>1541</v>
      </c>
      <c r="B1542" s="36" t="s">
        <v>8</v>
      </c>
      <c r="C1542" s="36" t="s">
        <v>9721</v>
      </c>
      <c r="D1542" s="9" t="s">
        <v>9765</v>
      </c>
      <c r="E1542" s="9" t="s">
        <v>9737</v>
      </c>
      <c r="F1542" s="9" t="s">
        <v>9707</v>
      </c>
      <c r="G1542" s="36" t="s">
        <v>14</v>
      </c>
      <c r="H1542" s="36" t="str">
        <f>IFERROR(VLOOKUP(Table2[[#This Row], [Ticket]],Okey!A:B,2,0),"")</f>
        <v>ok</v>
      </c>
      <c r="I1542" s="36" t="s">
        <v>8546</v>
      </c>
      <c r="J1542" s="36" t="s">
        <v>19</v>
      </c>
      <c r="K1542" s="36"/>
      <c r="L1542" s="36"/>
      <c r="M1542" s="36" t="s">
        <v>9744</v>
      </c>
    </row>
    <row r="1543" spans="1:13" hidden="1">
      <c r="A1543" s="42">
        <f t="shared" si="24"/>
        <v>1542</v>
      </c>
      <c r="B1543" s="36" t="s">
        <v>8</v>
      </c>
      <c r="C1543" s="36" t="s">
        <v>9721</v>
      </c>
      <c r="D1543" s="9" t="s">
        <v>9766</v>
      </c>
      <c r="E1543" s="9" t="s">
        <v>9738</v>
      </c>
      <c r="F1543" s="9" t="s">
        <v>9707</v>
      </c>
      <c r="G1543" s="36" t="s">
        <v>14</v>
      </c>
      <c r="H1543" s="36" t="str">
        <f>IFERROR(VLOOKUP(Table2[[#This Row], [Ticket]],Okey!A:B,2,0),"")</f>
        <v>ok</v>
      </c>
      <c r="I1543" s="36" t="s">
        <v>8546</v>
      </c>
      <c r="J1543" s="36" t="s">
        <v>19</v>
      </c>
      <c r="K1543" s="36"/>
      <c r="L1543" s="36"/>
      <c r="M1543" s="36" t="s">
        <v>9744</v>
      </c>
    </row>
    <row r="1544" spans="1:13" hidden="1">
      <c r="A1544" s="42">
        <f t="shared" si="24"/>
        <v>1543</v>
      </c>
      <c r="B1544" s="36" t="s">
        <v>8</v>
      </c>
      <c r="C1544" s="36" t="s">
        <v>9721</v>
      </c>
      <c r="D1544" s="9" t="s">
        <v>9767</v>
      </c>
      <c r="E1544" s="9" t="s">
        <v>9739</v>
      </c>
      <c r="F1544" s="9" t="s">
        <v>9707</v>
      </c>
      <c r="G1544" s="36" t="s">
        <v>14</v>
      </c>
      <c r="H1544" s="36" t="str">
        <f>IFERROR(VLOOKUP(Table2[[#This Row], [Ticket]],Okey!A:B,2,0),"")</f>
        <v>ok</v>
      </c>
      <c r="I1544" s="36" t="s">
        <v>8546</v>
      </c>
      <c r="J1544" s="36" t="s">
        <v>19</v>
      </c>
      <c r="K1544" s="36"/>
      <c r="L1544" s="36"/>
      <c r="M1544" s="36" t="s">
        <v>9744</v>
      </c>
    </row>
    <row r="1545" spans="1:13" hidden="1">
      <c r="A1545" s="42">
        <f t="shared" si="24"/>
        <v>1544</v>
      </c>
      <c r="B1545" s="36" t="s">
        <v>8</v>
      </c>
      <c r="C1545" s="36" t="s">
        <v>9721</v>
      </c>
      <c r="D1545" s="9" t="s">
        <v>9768</v>
      </c>
      <c r="E1545" s="9" t="s">
        <v>9740</v>
      </c>
      <c r="F1545" s="9" t="s">
        <v>9707</v>
      </c>
      <c r="G1545" s="36" t="s">
        <v>14</v>
      </c>
      <c r="H1545" s="36" t="str">
        <f>IFERROR(VLOOKUP(Table2[[#This Row], [Ticket]],Okey!A:B,2,0),"")</f>
        <v>ok</v>
      </c>
      <c r="I1545" s="36" t="s">
        <v>8546</v>
      </c>
      <c r="J1545" s="36" t="s">
        <v>19</v>
      </c>
      <c r="K1545" s="36"/>
      <c r="L1545" s="36"/>
      <c r="M1545" s="36" t="s">
        <v>9744</v>
      </c>
    </row>
    <row r="1546" spans="1:13" hidden="1">
      <c r="A1546" s="42">
        <f t="shared" si="24"/>
        <v>1545</v>
      </c>
      <c r="B1546" s="36" t="s">
        <v>8</v>
      </c>
      <c r="C1546" s="36" t="s">
        <v>9721</v>
      </c>
      <c r="D1546" s="9" t="s">
        <v>9769</v>
      </c>
      <c r="E1546" s="9" t="s">
        <v>9741</v>
      </c>
      <c r="F1546" s="9" t="s">
        <v>9707</v>
      </c>
      <c r="G1546" s="36" t="s">
        <v>14</v>
      </c>
      <c r="H1546" s="36" t="str">
        <f>IFERROR(VLOOKUP(Table2[[#This Row], [Ticket]],Okey!A:B,2,0),"")</f>
        <v>ok</v>
      </c>
      <c r="I1546" s="36" t="s">
        <v>8546</v>
      </c>
      <c r="J1546" s="36" t="s">
        <v>19</v>
      </c>
      <c r="K1546" s="36"/>
      <c r="L1546" s="36"/>
      <c r="M1546" s="36" t="s">
        <v>9744</v>
      </c>
    </row>
    <row r="1547" spans="1:13" hidden="1">
      <c r="A1547" s="42">
        <f t="shared" si="24"/>
        <v>1546</v>
      </c>
      <c r="B1547" s="36" t="s">
        <v>8</v>
      </c>
      <c r="C1547" s="36" t="s">
        <v>9721</v>
      </c>
      <c r="D1547" s="9" t="s">
        <v>9770</v>
      </c>
      <c r="E1547" s="9" t="s">
        <v>9742</v>
      </c>
      <c r="F1547" s="9" t="s">
        <v>9707</v>
      </c>
      <c r="G1547" s="36" t="s">
        <v>14</v>
      </c>
      <c r="H1547" s="36" t="str">
        <f>IFERROR(VLOOKUP(Table2[[#This Row], [Ticket]],Okey!A:B,2,0),"")</f>
        <v>ok</v>
      </c>
      <c r="I1547" s="36" t="s">
        <v>8546</v>
      </c>
      <c r="J1547" s="36" t="s">
        <v>19</v>
      </c>
      <c r="K1547" s="36"/>
      <c r="L1547" s="36"/>
      <c r="M1547" s="36" t="s">
        <v>9744</v>
      </c>
    </row>
    <row r="1548" spans="1:13" hidden="1">
      <c r="A1548" s="42">
        <f t="shared" si="24"/>
        <v>1547</v>
      </c>
      <c r="B1548" s="36" t="s">
        <v>8</v>
      </c>
      <c r="C1548" s="36" t="s">
        <v>9721</v>
      </c>
      <c r="D1548" s="9" t="s">
        <v>9771</v>
      </c>
      <c r="E1548" s="9" t="s">
        <v>9743</v>
      </c>
      <c r="F1548" s="9" t="s">
        <v>9707</v>
      </c>
      <c r="G1548" s="9" t="s">
        <v>14</v>
      </c>
      <c r="H1548" s="36" t="str">
        <f>IFERROR(VLOOKUP(Table2[[#This Row], [Ticket]],Okey!A:B,2,0),"")</f>
        <v>ok</v>
      </c>
      <c r="I1548" s="36" t="s">
        <v>8546</v>
      </c>
      <c r="J1548" s="36" t="s">
        <v>19</v>
      </c>
      <c r="K1548" s="36"/>
      <c r="L1548" s="36"/>
      <c r="M1548" s="36" t="s">
        <v>9744</v>
      </c>
    </row>
    <row r="1549" spans="1:13" hidden="1">
      <c r="A1549" s="42">
        <f t="shared" si="24"/>
        <v>1548</v>
      </c>
      <c r="B1549" s="36" t="s">
        <v>8</v>
      </c>
      <c r="C1549" s="36" t="s">
        <v>9721</v>
      </c>
      <c r="D1549" s="9" t="s">
        <v>9703</v>
      </c>
      <c r="E1549" s="9" t="s">
        <v>9745</v>
      </c>
      <c r="G1549" s="9" t="s">
        <v>15</v>
      </c>
      <c r="H1549" s="36" t="str">
        <f>IFERROR(VLOOKUP(Table2[[#This Row], [Ticket]],Okey!A:B,2,0),"")</f>
        <v>ok</v>
      </c>
      <c r="I1549" s="36" t="s">
        <v>8546</v>
      </c>
      <c r="J1549" s="36" t="s">
        <v>19</v>
      </c>
      <c r="K1549" s="36"/>
      <c r="L1549" s="36"/>
      <c r="M1549" s="36" t="s">
        <v>9744</v>
      </c>
    </row>
    <row r="1550" spans="1:13" hidden="1">
      <c r="A1550" s="42">
        <f t="shared" si="24"/>
        <v>1549</v>
      </c>
      <c r="B1550" s="36" t="s">
        <v>8</v>
      </c>
      <c r="C1550" s="9" t="s">
        <v>9748</v>
      </c>
      <c r="D1550" s="9" t="s">
        <v>9746</v>
      </c>
      <c r="E1550" s="9" t="s">
        <v>9747</v>
      </c>
      <c r="G1550" s="36" t="s">
        <v>15</v>
      </c>
      <c r="H1550" s="36" t="str">
        <f>IFERROR(VLOOKUP(Table2[[#This Row], [Ticket]],Okey!A:B,2,0),"")</f>
        <v>ok</v>
      </c>
      <c r="I1550" s="36" t="s">
        <v>8546</v>
      </c>
      <c r="J1550" s="9" t="s">
        <v>18</v>
      </c>
      <c r="K1550" s="36"/>
      <c r="L1550" s="36"/>
      <c r="M1550" s="9" t="s">
        <v>6593</v>
      </c>
    </row>
    <row r="1551" spans="1:13">
      <c r="A1551" s="42">
        <f t="shared" si="24"/>
        <v>1550</v>
      </c>
      <c r="B1551" s="36" t="s">
        <v>8</v>
      </c>
      <c r="C1551" s="9" t="s">
        <v>9777</v>
      </c>
      <c r="D1551" s="9" t="s">
        <v>9772</v>
      </c>
      <c r="E1551" s="9" t="s">
        <v>9773</v>
      </c>
      <c r="F1551" s="9" t="s">
        <v>5286</v>
      </c>
      <c r="G1551" s="36" t="s">
        <v>14</v>
      </c>
      <c r="H1551" s="36" t="str">
        <f>IFERROR(VLOOKUP(Table2[[#This Row], [Ticket]],Okey!A:B,2,0),"")</f>
        <v>ok</v>
      </c>
      <c r="I1551" s="36" t="s">
        <v>8546</v>
      </c>
      <c r="J1551" s="36" t="s">
        <v>19</v>
      </c>
      <c r="K1551" s="36"/>
      <c r="L1551" s="36"/>
      <c r="M1551" s="9" t="s">
        <v>4782</v>
      </c>
    </row>
    <row r="1552" spans="1:13">
      <c r="A1552" s="42">
        <f t="shared" si="24"/>
        <v>1551</v>
      </c>
      <c r="B1552" s="36" t="s">
        <v>8</v>
      </c>
      <c r="C1552" s="36" t="s">
        <v>9777</v>
      </c>
      <c r="D1552" s="36" t="s">
        <v>9782</v>
      </c>
      <c r="E1552" s="9" t="s">
        <v>9774</v>
      </c>
      <c r="F1552" s="9" t="s">
        <v>9775</v>
      </c>
      <c r="G1552" s="36" t="s">
        <v>14</v>
      </c>
      <c r="H1552" s="36" t="str">
        <f>IFERROR(VLOOKUP(Table2[[#This Row], [Ticket]],Okey!A:B,2,0),"")</f>
        <v>ok</v>
      </c>
      <c r="I1552" s="36" t="s">
        <v>8546</v>
      </c>
      <c r="J1552" s="36" t="s">
        <v>19</v>
      </c>
      <c r="K1552" s="36"/>
      <c r="L1552" s="36"/>
      <c r="M1552" s="36" t="s">
        <v>4782</v>
      </c>
    </row>
    <row r="1553" spans="1:13">
      <c r="A1553" s="42">
        <f t="shared" si="24"/>
        <v>1552</v>
      </c>
      <c r="B1553" s="36" t="s">
        <v>8</v>
      </c>
      <c r="C1553" s="36" t="s">
        <v>9777</v>
      </c>
      <c r="D1553" s="36" t="s">
        <v>9783</v>
      </c>
      <c r="E1553" s="9" t="s">
        <v>9776</v>
      </c>
      <c r="F1553" s="9" t="s">
        <v>9775</v>
      </c>
      <c r="G1553" s="36" t="s">
        <v>14</v>
      </c>
      <c r="H1553" s="36" t="str">
        <f>IFERROR(VLOOKUP(Table2[[#This Row], [Ticket]],Okey!A:B,2,0),"")</f>
        <v>ok</v>
      </c>
      <c r="I1553" s="36" t="s">
        <v>8546</v>
      </c>
      <c r="J1553" s="36" t="s">
        <v>19</v>
      </c>
      <c r="K1553" s="36"/>
      <c r="L1553" s="36"/>
      <c r="M1553" s="36" t="s">
        <v>4782</v>
      </c>
    </row>
    <row r="1554" spans="1:13">
      <c r="A1554" s="42">
        <f t="shared" si="24"/>
        <v>1553</v>
      </c>
      <c r="B1554" s="36" t="s">
        <v>8</v>
      </c>
      <c r="C1554" s="9" t="s">
        <v>9778</v>
      </c>
      <c r="D1554" s="9" t="s">
        <v>365</v>
      </c>
      <c r="F1554" s="36" t="s">
        <v>5725</v>
      </c>
      <c r="G1554" s="9" t="s">
        <v>13</v>
      </c>
      <c r="H1554" s="36" t="str">
        <f>IFERROR(VLOOKUP(Table2[[#This Row], [Ticket]],Okey!A:B,2,0),"")</f>
        <v>ok</v>
      </c>
      <c r="I1554" s="36" t="s">
        <v>8546</v>
      </c>
      <c r="J1554" s="9" t="s">
        <v>17</v>
      </c>
      <c r="L1554" s="36"/>
      <c r="M1554" s="9" t="s">
        <v>9011</v>
      </c>
    </row>
    <row r="1555" spans="1:13">
      <c r="A1555" s="42">
        <f t="shared" si="24"/>
        <v>1554</v>
      </c>
      <c r="B1555" s="36" t="s">
        <v>8</v>
      </c>
      <c r="C1555" s="36" t="s">
        <v>9778</v>
      </c>
      <c r="D1555" s="9" t="s">
        <v>702</v>
      </c>
      <c r="F1555" s="36" t="s">
        <v>5725</v>
      </c>
      <c r="G1555" s="36" t="s">
        <v>13</v>
      </c>
      <c r="H1555" s="36" t="str">
        <f>IFERROR(VLOOKUP(Table2[[#This Row], [Ticket]],Okey!A:B,2,0),"")</f>
        <v>ok</v>
      </c>
      <c r="I1555" s="36" t="s">
        <v>8546</v>
      </c>
      <c r="J1555" s="36" t="s">
        <v>17</v>
      </c>
      <c r="L1555" s="36"/>
      <c r="M1555" s="36" t="s">
        <v>9011</v>
      </c>
    </row>
    <row r="1556" spans="1:13">
      <c r="A1556" s="42">
        <f t="shared" si="24"/>
        <v>1555</v>
      </c>
      <c r="B1556" s="36" t="s">
        <v>8</v>
      </c>
      <c r="C1556" s="9" t="s">
        <v>9781</v>
      </c>
      <c r="D1556" s="9" t="s">
        <v>9779</v>
      </c>
      <c r="E1556" s="9" t="s">
        <v>9593</v>
      </c>
      <c r="F1556" s="9" t="s">
        <v>8955</v>
      </c>
      <c r="G1556" s="36" t="s">
        <v>13</v>
      </c>
      <c r="H1556" s="36" t="str">
        <f>IFERROR(VLOOKUP(Table2[[#This Row], [Ticket]],Okey!A:B,2,0),"")</f>
        <v>ok</v>
      </c>
      <c r="I1556" s="36" t="s">
        <v>8546</v>
      </c>
      <c r="J1556" s="36" t="s">
        <v>19</v>
      </c>
      <c r="L1556" s="36"/>
      <c r="M1556" s="9" t="s">
        <v>9605</v>
      </c>
    </row>
    <row r="1557" spans="1:13">
      <c r="A1557" s="42">
        <f t="shared" ref="A1557:A1618" si="25">1+A1556</f>
        <v>1556</v>
      </c>
      <c r="B1557" s="36" t="s">
        <v>8</v>
      </c>
      <c r="C1557" s="36" t="s">
        <v>9781</v>
      </c>
      <c r="D1557" s="9" t="s">
        <v>9664</v>
      </c>
      <c r="E1557" s="9" t="s">
        <v>9780</v>
      </c>
      <c r="G1557" s="9" t="s">
        <v>15</v>
      </c>
      <c r="H1557" s="36" t="str">
        <f>IFERROR(VLOOKUP(Table2[[#This Row], [Ticket]],Okey!A:B,2,0),"")</f>
        <v>ok</v>
      </c>
      <c r="I1557" s="36" t="s">
        <v>8546</v>
      </c>
      <c r="J1557" s="36" t="s">
        <v>19</v>
      </c>
      <c r="L1557" s="36"/>
      <c r="M1557" s="36" t="s">
        <v>9605</v>
      </c>
    </row>
    <row r="1558" spans="1:13">
      <c r="A1558" s="42">
        <f t="shared" si="25"/>
        <v>1557</v>
      </c>
      <c r="B1558" s="36" t="s">
        <v>8</v>
      </c>
      <c r="C1558" s="36" t="s">
        <v>9781</v>
      </c>
      <c r="D1558" s="9" t="s">
        <v>9666</v>
      </c>
      <c r="E1558" s="9" t="s">
        <v>9598</v>
      </c>
      <c r="G1558" s="36" t="s">
        <v>15</v>
      </c>
      <c r="H1558" s="36" t="str">
        <f>IFERROR(VLOOKUP(Table2[[#This Row], [Ticket]],Okey!A:B,2,0),"")</f>
        <v>ok</v>
      </c>
      <c r="I1558" s="36" t="s">
        <v>8546</v>
      </c>
      <c r="J1558" s="36" t="s">
        <v>19</v>
      </c>
      <c r="L1558" s="36"/>
      <c r="M1558" s="36" t="s">
        <v>9605</v>
      </c>
    </row>
    <row r="1559" spans="1:13">
      <c r="A1559" s="42">
        <f t="shared" si="25"/>
        <v>1558</v>
      </c>
      <c r="B1559" s="36" t="s">
        <v>8</v>
      </c>
      <c r="C1559" s="9" t="s">
        <v>9837</v>
      </c>
      <c r="D1559" s="9" t="s">
        <v>9785</v>
      </c>
      <c r="E1559" s="9" t="s">
        <v>9787</v>
      </c>
      <c r="F1559" s="9" t="s">
        <v>9819</v>
      </c>
      <c r="G1559" s="36" t="s">
        <v>14</v>
      </c>
      <c r="H1559" s="36" t="str">
        <f>IFERROR(VLOOKUP(Table2[[#This Row], [Ticket]],Okey!A:B,2,0),"")</f>
        <v/>
      </c>
      <c r="I1559" s="36"/>
      <c r="J1559" s="9" t="s">
        <v>17</v>
      </c>
      <c r="L1559" s="36"/>
      <c r="M1559" s="9" t="s">
        <v>4778</v>
      </c>
    </row>
    <row r="1560" spans="1:13">
      <c r="A1560" s="42">
        <f t="shared" si="25"/>
        <v>1559</v>
      </c>
      <c r="B1560" s="36" t="s">
        <v>8</v>
      </c>
      <c r="C1560" s="36" t="s">
        <v>9837</v>
      </c>
      <c r="D1560" s="9" t="s">
        <v>9785</v>
      </c>
      <c r="E1560" s="9" t="s">
        <v>9788</v>
      </c>
      <c r="F1560" s="9" t="s">
        <v>9820</v>
      </c>
      <c r="G1560" s="36" t="s">
        <v>14</v>
      </c>
      <c r="H1560" s="36" t="str">
        <f>IFERROR(VLOOKUP(Table2[[#This Row], [Ticket]],Okey!A:B,2,0),"")</f>
        <v/>
      </c>
      <c r="I1560" s="36"/>
      <c r="J1560" s="36" t="s">
        <v>17</v>
      </c>
      <c r="L1560" s="36"/>
      <c r="M1560" s="36" t="s">
        <v>4778</v>
      </c>
    </row>
    <row r="1561" spans="1:13">
      <c r="A1561" s="42">
        <f t="shared" si="25"/>
        <v>1560</v>
      </c>
      <c r="B1561" s="36" t="s">
        <v>8</v>
      </c>
      <c r="C1561" s="36" t="s">
        <v>9837</v>
      </c>
      <c r="D1561" s="9" t="s">
        <v>9785</v>
      </c>
      <c r="E1561" s="9" t="s">
        <v>9789</v>
      </c>
      <c r="F1561" s="9" t="s">
        <v>9821</v>
      </c>
      <c r="G1561" s="36" t="s">
        <v>14</v>
      </c>
      <c r="H1561" s="36" t="str">
        <f>IFERROR(VLOOKUP(Table2[[#This Row], [Ticket]],Okey!A:B,2,0),"")</f>
        <v/>
      </c>
      <c r="I1561" s="36"/>
      <c r="J1561" s="36" t="s">
        <v>17</v>
      </c>
      <c r="L1561" s="36"/>
      <c r="M1561" s="36" t="s">
        <v>4778</v>
      </c>
    </row>
    <row r="1562" spans="1:13">
      <c r="A1562" s="42">
        <f t="shared" si="25"/>
        <v>1561</v>
      </c>
      <c r="B1562" s="36" t="s">
        <v>8</v>
      </c>
      <c r="C1562" s="36" t="s">
        <v>9837</v>
      </c>
      <c r="D1562" s="9" t="s">
        <v>9785</v>
      </c>
      <c r="E1562" s="9" t="s">
        <v>9790</v>
      </c>
      <c r="F1562" s="9" t="s">
        <v>9821</v>
      </c>
      <c r="G1562" s="36" t="s">
        <v>14</v>
      </c>
      <c r="H1562" s="36" t="str">
        <f>IFERROR(VLOOKUP(Table2[[#This Row], [Ticket]],Okey!A:B,2,0),"")</f>
        <v/>
      </c>
      <c r="I1562" s="36"/>
      <c r="J1562" s="36" t="s">
        <v>17</v>
      </c>
      <c r="L1562" s="36"/>
      <c r="M1562" s="36" t="s">
        <v>4778</v>
      </c>
    </row>
    <row r="1563" spans="1:13">
      <c r="A1563" s="42">
        <f t="shared" si="25"/>
        <v>1562</v>
      </c>
      <c r="B1563" s="36" t="s">
        <v>8</v>
      </c>
      <c r="C1563" s="36" t="s">
        <v>9837</v>
      </c>
      <c r="D1563" s="9" t="s">
        <v>9785</v>
      </c>
      <c r="E1563" s="9" t="s">
        <v>9791</v>
      </c>
      <c r="F1563" s="9" t="s">
        <v>9822</v>
      </c>
      <c r="G1563" s="36" t="s">
        <v>14</v>
      </c>
      <c r="H1563" s="36" t="str">
        <f>IFERROR(VLOOKUP(Table2[[#This Row], [Ticket]],Okey!A:B,2,0),"")</f>
        <v/>
      </c>
      <c r="I1563" s="36"/>
      <c r="J1563" s="36" t="s">
        <v>17</v>
      </c>
      <c r="L1563" s="36"/>
      <c r="M1563" s="36" t="s">
        <v>4778</v>
      </c>
    </row>
    <row r="1564" spans="1:13">
      <c r="A1564" s="42">
        <f t="shared" si="25"/>
        <v>1563</v>
      </c>
      <c r="B1564" s="36" t="s">
        <v>8</v>
      </c>
      <c r="C1564" s="36" t="s">
        <v>9837</v>
      </c>
      <c r="D1564" s="9" t="s">
        <v>9785</v>
      </c>
      <c r="E1564" s="9" t="s">
        <v>9792</v>
      </c>
      <c r="F1564" s="9" t="s">
        <v>9823</v>
      </c>
      <c r="G1564" s="36" t="s">
        <v>14</v>
      </c>
      <c r="H1564" s="36" t="str">
        <f>IFERROR(VLOOKUP(Table2[[#This Row], [Ticket]],Okey!A:B,2,0),"")</f>
        <v/>
      </c>
      <c r="I1564" s="36"/>
      <c r="J1564" s="36" t="s">
        <v>17</v>
      </c>
      <c r="L1564" s="36"/>
      <c r="M1564" s="36" t="s">
        <v>4778</v>
      </c>
    </row>
    <row r="1565" spans="1:13">
      <c r="A1565" s="42">
        <f t="shared" si="25"/>
        <v>1564</v>
      </c>
      <c r="B1565" s="36" t="s">
        <v>8</v>
      </c>
      <c r="C1565" s="36" t="s">
        <v>9837</v>
      </c>
      <c r="D1565" s="9" t="s">
        <v>9785</v>
      </c>
      <c r="E1565" s="9" t="s">
        <v>9793</v>
      </c>
      <c r="F1565" s="9" t="s">
        <v>9823</v>
      </c>
      <c r="G1565" s="36" t="s">
        <v>14</v>
      </c>
      <c r="H1565" s="36" t="str">
        <f>IFERROR(VLOOKUP(Table2[[#This Row], [Ticket]],Okey!A:B,2,0),"")</f>
        <v/>
      </c>
      <c r="I1565" s="36"/>
      <c r="J1565" s="36" t="s">
        <v>17</v>
      </c>
      <c r="L1565" s="36"/>
      <c r="M1565" s="36" t="s">
        <v>4778</v>
      </c>
    </row>
    <row r="1566" spans="1:13">
      <c r="A1566" s="42">
        <f t="shared" si="25"/>
        <v>1565</v>
      </c>
      <c r="B1566" s="36" t="s">
        <v>8</v>
      </c>
      <c r="C1566" s="36" t="s">
        <v>9837</v>
      </c>
      <c r="D1566" s="9" t="s">
        <v>9786</v>
      </c>
      <c r="E1566" s="9" t="s">
        <v>9794</v>
      </c>
      <c r="F1566" s="9" t="s">
        <v>9820</v>
      </c>
      <c r="G1566" s="36" t="s">
        <v>14</v>
      </c>
      <c r="H1566" s="36" t="str">
        <f>IFERROR(VLOOKUP(Table2[[#This Row], [Ticket]],Okey!A:B,2,0),"")</f>
        <v/>
      </c>
      <c r="I1566" s="36"/>
      <c r="J1566" s="36" t="s">
        <v>17</v>
      </c>
      <c r="L1566" s="36"/>
      <c r="M1566" s="36" t="s">
        <v>4778</v>
      </c>
    </row>
    <row r="1567" spans="1:13">
      <c r="A1567" s="42">
        <f t="shared" si="25"/>
        <v>1566</v>
      </c>
      <c r="B1567" s="36" t="s">
        <v>8</v>
      </c>
      <c r="C1567" s="36" t="s">
        <v>9837</v>
      </c>
      <c r="D1567" s="9" t="s">
        <v>9785</v>
      </c>
      <c r="E1567" s="9" t="s">
        <v>9795</v>
      </c>
      <c r="F1567" s="9" t="s">
        <v>9824</v>
      </c>
      <c r="G1567" s="36" t="s">
        <v>14</v>
      </c>
      <c r="H1567" s="36" t="str">
        <f>IFERROR(VLOOKUP(Table2[[#This Row], [Ticket]],Okey!A:B,2,0),"")</f>
        <v/>
      </c>
      <c r="I1567" s="36"/>
      <c r="J1567" s="36" t="s">
        <v>17</v>
      </c>
      <c r="L1567" s="36"/>
      <c r="M1567" s="36" t="s">
        <v>4778</v>
      </c>
    </row>
    <row r="1568" spans="1:13">
      <c r="A1568" s="42">
        <f t="shared" si="25"/>
        <v>1567</v>
      </c>
      <c r="B1568" s="36" t="s">
        <v>8</v>
      </c>
      <c r="C1568" s="36" t="s">
        <v>9837</v>
      </c>
      <c r="D1568" s="9" t="s">
        <v>9785</v>
      </c>
      <c r="E1568" s="9" t="s">
        <v>9796</v>
      </c>
      <c r="F1568" s="9" t="s">
        <v>9825</v>
      </c>
      <c r="G1568" s="36" t="s">
        <v>14</v>
      </c>
      <c r="H1568" s="36" t="str">
        <f>IFERROR(VLOOKUP(Table2[[#This Row], [Ticket]],Okey!A:B,2,0),"")</f>
        <v/>
      </c>
      <c r="I1568" s="36"/>
      <c r="J1568" s="36" t="s">
        <v>17</v>
      </c>
      <c r="L1568" s="36"/>
      <c r="M1568" s="36" t="s">
        <v>4778</v>
      </c>
    </row>
    <row r="1569" spans="1:13">
      <c r="A1569" s="42">
        <f t="shared" si="25"/>
        <v>1568</v>
      </c>
      <c r="B1569" s="36" t="s">
        <v>8</v>
      </c>
      <c r="C1569" s="36" t="s">
        <v>9837</v>
      </c>
      <c r="D1569" s="9" t="s">
        <v>9785</v>
      </c>
      <c r="E1569" s="9" t="s">
        <v>9797</v>
      </c>
      <c r="F1569" s="9" t="s">
        <v>9825</v>
      </c>
      <c r="G1569" s="36" t="s">
        <v>14</v>
      </c>
      <c r="H1569" s="36" t="str">
        <f>IFERROR(VLOOKUP(Table2[[#This Row], [Ticket]],Okey!A:B,2,0),"")</f>
        <v/>
      </c>
      <c r="I1569" s="36"/>
      <c r="J1569" s="36" t="s">
        <v>17</v>
      </c>
      <c r="L1569" s="36"/>
      <c r="M1569" s="36" t="s">
        <v>4778</v>
      </c>
    </row>
    <row r="1570" spans="1:13">
      <c r="A1570" s="42">
        <f t="shared" si="25"/>
        <v>1569</v>
      </c>
      <c r="B1570" s="36" t="s">
        <v>8</v>
      </c>
      <c r="C1570" s="36" t="s">
        <v>9837</v>
      </c>
      <c r="D1570" s="9" t="s">
        <v>9785</v>
      </c>
      <c r="E1570" s="9" t="s">
        <v>9798</v>
      </c>
      <c r="F1570" s="9" t="s">
        <v>9826</v>
      </c>
      <c r="G1570" s="36" t="s">
        <v>14</v>
      </c>
      <c r="H1570" s="36" t="str">
        <f>IFERROR(VLOOKUP(Table2[[#This Row], [Ticket]],Okey!A:B,2,0),"")</f>
        <v/>
      </c>
      <c r="I1570" s="36"/>
      <c r="J1570" s="36" t="s">
        <v>17</v>
      </c>
      <c r="L1570" s="36"/>
      <c r="M1570" s="36" t="s">
        <v>4778</v>
      </c>
    </row>
    <row r="1571" spans="1:13">
      <c r="A1571" s="42">
        <f t="shared" si="25"/>
        <v>1570</v>
      </c>
      <c r="B1571" s="36" t="s">
        <v>8</v>
      </c>
      <c r="C1571" s="36" t="s">
        <v>9837</v>
      </c>
      <c r="D1571" s="9" t="s">
        <v>9785</v>
      </c>
      <c r="E1571" s="9" t="s">
        <v>9799</v>
      </c>
      <c r="F1571" s="9" t="s">
        <v>9827</v>
      </c>
      <c r="G1571" s="36" t="s">
        <v>14</v>
      </c>
      <c r="H1571" s="36" t="str">
        <f>IFERROR(VLOOKUP(Table2[[#This Row], [Ticket]],Okey!A:B,2,0),"")</f>
        <v/>
      </c>
      <c r="I1571" s="36"/>
      <c r="J1571" s="36" t="s">
        <v>17</v>
      </c>
      <c r="L1571" s="36"/>
      <c r="M1571" s="36" t="s">
        <v>4778</v>
      </c>
    </row>
    <row r="1572" spans="1:13">
      <c r="A1572" s="42">
        <f t="shared" si="25"/>
        <v>1571</v>
      </c>
      <c r="B1572" s="36" t="s">
        <v>8</v>
      </c>
      <c r="C1572" s="36" t="s">
        <v>9837</v>
      </c>
      <c r="D1572" s="9" t="s">
        <v>9785</v>
      </c>
      <c r="E1572" s="9" t="s">
        <v>9800</v>
      </c>
      <c r="F1572" s="9" t="s">
        <v>9827</v>
      </c>
      <c r="G1572" s="36" t="s">
        <v>14</v>
      </c>
      <c r="H1572" s="36" t="str">
        <f>IFERROR(VLOOKUP(Table2[[#This Row], [Ticket]],Okey!A:B,2,0),"")</f>
        <v/>
      </c>
      <c r="I1572" s="36"/>
      <c r="J1572" s="36" t="s">
        <v>17</v>
      </c>
      <c r="L1572" s="36"/>
      <c r="M1572" s="36" t="s">
        <v>4778</v>
      </c>
    </row>
    <row r="1573" spans="1:13">
      <c r="A1573" s="42">
        <f t="shared" si="25"/>
        <v>1572</v>
      </c>
      <c r="B1573" s="36" t="s">
        <v>8</v>
      </c>
      <c r="C1573" s="36" t="s">
        <v>9837</v>
      </c>
      <c r="D1573" s="9" t="s">
        <v>9785</v>
      </c>
      <c r="E1573" s="9" t="s">
        <v>9801</v>
      </c>
      <c r="F1573" s="9" t="s">
        <v>9824</v>
      </c>
      <c r="G1573" s="36" t="s">
        <v>14</v>
      </c>
      <c r="H1573" s="36" t="str">
        <f>IFERROR(VLOOKUP(Table2[[#This Row], [Ticket]],Okey!A:B,2,0),"")</f>
        <v/>
      </c>
      <c r="I1573" s="36"/>
      <c r="J1573" s="36" t="s">
        <v>17</v>
      </c>
      <c r="L1573" s="36"/>
      <c r="M1573" s="36" t="s">
        <v>4778</v>
      </c>
    </row>
    <row r="1574" spans="1:13">
      <c r="A1574" s="42">
        <f t="shared" si="25"/>
        <v>1573</v>
      </c>
      <c r="B1574" s="36" t="s">
        <v>8</v>
      </c>
      <c r="C1574" s="36" t="s">
        <v>9837</v>
      </c>
      <c r="D1574" s="9" t="s">
        <v>9785</v>
      </c>
      <c r="E1574" s="9" t="s">
        <v>9802</v>
      </c>
      <c r="F1574" s="9" t="s">
        <v>9828</v>
      </c>
      <c r="G1574" s="36" t="s">
        <v>14</v>
      </c>
      <c r="H1574" s="36" t="str">
        <f>IFERROR(VLOOKUP(Table2[[#This Row], [Ticket]],Okey!A:B,2,0),"")</f>
        <v/>
      </c>
      <c r="I1574" s="36"/>
      <c r="J1574" s="36" t="s">
        <v>17</v>
      </c>
      <c r="L1574" s="36"/>
      <c r="M1574" s="36" t="s">
        <v>4778</v>
      </c>
    </row>
    <row r="1575" spans="1:13">
      <c r="A1575" s="42">
        <f t="shared" si="25"/>
        <v>1574</v>
      </c>
      <c r="B1575" s="36" t="s">
        <v>8</v>
      </c>
      <c r="C1575" s="36" t="s">
        <v>9837</v>
      </c>
      <c r="D1575" s="9" t="s">
        <v>9785</v>
      </c>
      <c r="E1575" s="9" t="s">
        <v>9803</v>
      </c>
      <c r="F1575" s="9" t="s">
        <v>9828</v>
      </c>
      <c r="G1575" s="36" t="s">
        <v>14</v>
      </c>
      <c r="H1575" s="36" t="str">
        <f>IFERROR(VLOOKUP(Table2[[#This Row], [Ticket]],Okey!A:B,2,0),"")</f>
        <v/>
      </c>
      <c r="I1575" s="36"/>
      <c r="J1575" s="36" t="s">
        <v>17</v>
      </c>
      <c r="L1575" s="36"/>
      <c r="M1575" s="36" t="s">
        <v>4778</v>
      </c>
    </row>
    <row r="1576" spans="1:13">
      <c r="A1576" s="42">
        <f t="shared" si="25"/>
        <v>1575</v>
      </c>
      <c r="B1576" s="36" t="s">
        <v>8</v>
      </c>
      <c r="C1576" s="36" t="s">
        <v>9837</v>
      </c>
      <c r="D1576" s="9" t="s">
        <v>9785</v>
      </c>
      <c r="E1576" s="9" t="s">
        <v>9804</v>
      </c>
      <c r="F1576" s="9" t="s">
        <v>9829</v>
      </c>
      <c r="G1576" s="36" t="s">
        <v>14</v>
      </c>
      <c r="H1576" s="36" t="str">
        <f>IFERROR(VLOOKUP(Table2[[#This Row], [Ticket]],Okey!A:B,2,0),"")</f>
        <v/>
      </c>
      <c r="I1576" s="36"/>
      <c r="J1576" s="36" t="s">
        <v>17</v>
      </c>
      <c r="L1576" s="36"/>
      <c r="M1576" s="36" t="s">
        <v>4778</v>
      </c>
    </row>
    <row r="1577" spans="1:13">
      <c r="A1577" s="42">
        <f t="shared" si="25"/>
        <v>1576</v>
      </c>
      <c r="B1577" s="36" t="s">
        <v>8</v>
      </c>
      <c r="C1577" s="36" t="s">
        <v>9837</v>
      </c>
      <c r="D1577" s="9" t="s">
        <v>9785</v>
      </c>
      <c r="E1577" s="9" t="s">
        <v>9805</v>
      </c>
      <c r="F1577" s="9" t="s">
        <v>9830</v>
      </c>
      <c r="G1577" s="36" t="s">
        <v>14</v>
      </c>
      <c r="H1577" s="36" t="str">
        <f>IFERROR(VLOOKUP(Table2[[#This Row], [Ticket]],Okey!A:B,2,0),"")</f>
        <v/>
      </c>
      <c r="I1577" s="36"/>
      <c r="J1577" s="36" t="s">
        <v>17</v>
      </c>
      <c r="L1577" s="36"/>
      <c r="M1577" s="36" t="s">
        <v>4778</v>
      </c>
    </row>
    <row r="1578" spans="1:13">
      <c r="A1578" s="42">
        <f t="shared" si="25"/>
        <v>1577</v>
      </c>
      <c r="B1578" s="36" t="s">
        <v>8</v>
      </c>
      <c r="C1578" s="36" t="s">
        <v>9837</v>
      </c>
      <c r="D1578" s="9" t="s">
        <v>9785</v>
      </c>
      <c r="E1578" s="9" t="s">
        <v>9806</v>
      </c>
      <c r="F1578" s="9" t="s">
        <v>9830</v>
      </c>
      <c r="G1578" s="36" t="s">
        <v>14</v>
      </c>
      <c r="H1578" s="36" t="str">
        <f>IFERROR(VLOOKUP(Table2[[#This Row], [Ticket]],Okey!A:B,2,0),"")</f>
        <v/>
      </c>
      <c r="I1578" s="36"/>
      <c r="J1578" s="36" t="s">
        <v>17</v>
      </c>
      <c r="L1578" s="36"/>
      <c r="M1578" s="36" t="s">
        <v>4778</v>
      </c>
    </row>
    <row r="1579" spans="1:13">
      <c r="A1579" s="42">
        <f t="shared" si="25"/>
        <v>1578</v>
      </c>
      <c r="B1579" s="36" t="s">
        <v>8</v>
      </c>
      <c r="C1579" s="36" t="s">
        <v>9837</v>
      </c>
      <c r="D1579" s="9" t="s">
        <v>9785</v>
      </c>
      <c r="E1579" s="9" t="s">
        <v>9807</v>
      </c>
      <c r="F1579" s="9" t="s">
        <v>9824</v>
      </c>
      <c r="G1579" s="36" t="s">
        <v>14</v>
      </c>
      <c r="H1579" s="36" t="str">
        <f>IFERROR(VLOOKUP(Table2[[#This Row], [Ticket]],Okey!A:B,2,0),"")</f>
        <v/>
      </c>
      <c r="I1579" s="36"/>
      <c r="J1579" s="36" t="s">
        <v>17</v>
      </c>
      <c r="L1579" s="36"/>
      <c r="M1579" s="36" t="s">
        <v>4778</v>
      </c>
    </row>
    <row r="1580" spans="1:13">
      <c r="A1580" s="42">
        <f t="shared" si="25"/>
        <v>1579</v>
      </c>
      <c r="B1580" s="36" t="s">
        <v>8</v>
      </c>
      <c r="C1580" s="36" t="s">
        <v>9837</v>
      </c>
      <c r="D1580" s="9" t="s">
        <v>9785</v>
      </c>
      <c r="E1580" s="9" t="s">
        <v>9808</v>
      </c>
      <c r="F1580" s="9" t="s">
        <v>9831</v>
      </c>
      <c r="G1580" s="36" t="s">
        <v>14</v>
      </c>
      <c r="H1580" s="36" t="str">
        <f>IFERROR(VLOOKUP(Table2[[#This Row], [Ticket]],Okey!A:B,2,0),"")</f>
        <v/>
      </c>
      <c r="I1580" s="36"/>
      <c r="J1580" s="36" t="s">
        <v>17</v>
      </c>
      <c r="L1580" s="36"/>
      <c r="M1580" s="36" t="s">
        <v>4778</v>
      </c>
    </row>
    <row r="1581" spans="1:13">
      <c r="A1581" s="42">
        <f t="shared" si="25"/>
        <v>1580</v>
      </c>
      <c r="B1581" s="36" t="s">
        <v>8</v>
      </c>
      <c r="C1581" s="36" t="s">
        <v>9837</v>
      </c>
      <c r="D1581" s="9" t="s">
        <v>9785</v>
      </c>
      <c r="E1581" s="9" t="s">
        <v>9809</v>
      </c>
      <c r="F1581" s="9" t="s">
        <v>9831</v>
      </c>
      <c r="G1581" s="36" t="s">
        <v>14</v>
      </c>
      <c r="H1581" s="36" t="str">
        <f>IFERROR(VLOOKUP(Table2[[#This Row], [Ticket]],Okey!A:B,2,0),"")</f>
        <v/>
      </c>
      <c r="I1581" s="36"/>
      <c r="J1581" s="36" t="s">
        <v>17</v>
      </c>
      <c r="L1581" s="36"/>
      <c r="M1581" s="36" t="s">
        <v>4778</v>
      </c>
    </row>
    <row r="1582" spans="1:13">
      <c r="A1582" s="42">
        <f t="shared" si="25"/>
        <v>1581</v>
      </c>
      <c r="B1582" s="36" t="s">
        <v>8</v>
      </c>
      <c r="C1582" s="36" t="s">
        <v>9837</v>
      </c>
      <c r="D1582" s="9" t="s">
        <v>9785</v>
      </c>
      <c r="E1582" s="9" t="s">
        <v>9810</v>
      </c>
      <c r="F1582" s="9" t="s">
        <v>9832</v>
      </c>
      <c r="G1582" s="36" t="s">
        <v>14</v>
      </c>
      <c r="H1582" s="36" t="str">
        <f>IFERROR(VLOOKUP(Table2[[#This Row], [Ticket]],Okey!A:B,2,0),"")</f>
        <v/>
      </c>
      <c r="I1582" s="36"/>
      <c r="J1582" s="36" t="s">
        <v>17</v>
      </c>
      <c r="L1582" s="36"/>
      <c r="M1582" s="36" t="s">
        <v>4778</v>
      </c>
    </row>
    <row r="1583" spans="1:13">
      <c r="A1583" s="42">
        <f t="shared" si="25"/>
        <v>1582</v>
      </c>
      <c r="B1583" s="36" t="s">
        <v>8</v>
      </c>
      <c r="C1583" s="36" t="s">
        <v>9837</v>
      </c>
      <c r="D1583" s="9" t="s">
        <v>9785</v>
      </c>
      <c r="E1583" s="9" t="s">
        <v>9811</v>
      </c>
      <c r="F1583" s="9" t="s">
        <v>9833</v>
      </c>
      <c r="G1583" s="36" t="s">
        <v>14</v>
      </c>
      <c r="H1583" s="36" t="str">
        <f>IFERROR(VLOOKUP(Table2[[#This Row], [Ticket]],Okey!A:B,2,0),"")</f>
        <v/>
      </c>
      <c r="I1583" s="36"/>
      <c r="J1583" s="36" t="s">
        <v>17</v>
      </c>
      <c r="L1583" s="36"/>
      <c r="M1583" s="36" t="s">
        <v>4778</v>
      </c>
    </row>
    <row r="1584" spans="1:13">
      <c r="A1584" s="42">
        <f t="shared" si="25"/>
        <v>1583</v>
      </c>
      <c r="B1584" s="36" t="s">
        <v>8</v>
      </c>
      <c r="C1584" s="36" t="s">
        <v>9837</v>
      </c>
      <c r="D1584" s="9" t="s">
        <v>9785</v>
      </c>
      <c r="E1584" s="9" t="s">
        <v>9812</v>
      </c>
      <c r="F1584" s="9" t="s">
        <v>9833</v>
      </c>
      <c r="G1584" s="36" t="s">
        <v>14</v>
      </c>
      <c r="H1584" s="36" t="str">
        <f>IFERROR(VLOOKUP(Table2[[#This Row], [Ticket]],Okey!A:B,2,0),"")</f>
        <v/>
      </c>
      <c r="I1584" s="36"/>
      <c r="J1584" s="36" t="s">
        <v>17</v>
      </c>
      <c r="L1584" s="36"/>
      <c r="M1584" s="36" t="s">
        <v>4778</v>
      </c>
    </row>
    <row r="1585" spans="1:13">
      <c r="A1585" s="42">
        <f t="shared" si="25"/>
        <v>1584</v>
      </c>
      <c r="B1585" s="36" t="s">
        <v>8</v>
      </c>
      <c r="C1585" s="36" t="s">
        <v>9837</v>
      </c>
      <c r="D1585" s="9" t="s">
        <v>9785</v>
      </c>
      <c r="E1585" s="9" t="s">
        <v>9813</v>
      </c>
      <c r="F1585" s="9" t="s">
        <v>9824</v>
      </c>
      <c r="G1585" s="36" t="s">
        <v>14</v>
      </c>
      <c r="H1585" s="36" t="str">
        <f>IFERROR(VLOOKUP(Table2[[#This Row], [Ticket]],Okey!A:B,2,0),"")</f>
        <v/>
      </c>
      <c r="I1585" s="36"/>
      <c r="J1585" s="36" t="s">
        <v>17</v>
      </c>
      <c r="L1585" s="36"/>
      <c r="M1585" s="36" t="s">
        <v>4778</v>
      </c>
    </row>
    <row r="1586" spans="1:13">
      <c r="A1586" s="42">
        <f t="shared" si="25"/>
        <v>1585</v>
      </c>
      <c r="B1586" s="36" t="s">
        <v>8</v>
      </c>
      <c r="C1586" s="36" t="s">
        <v>9837</v>
      </c>
      <c r="D1586" s="9" t="s">
        <v>9785</v>
      </c>
      <c r="E1586" s="9" t="s">
        <v>9814</v>
      </c>
      <c r="F1586" s="9" t="s">
        <v>9834</v>
      </c>
      <c r="G1586" s="36" t="s">
        <v>14</v>
      </c>
      <c r="H1586" s="36" t="str">
        <f>IFERROR(VLOOKUP(Table2[[#This Row], [Ticket]],Okey!A:B,2,0),"")</f>
        <v/>
      </c>
      <c r="I1586" s="36"/>
      <c r="J1586" s="36" t="s">
        <v>17</v>
      </c>
      <c r="L1586" s="36"/>
      <c r="M1586" s="36" t="s">
        <v>4778</v>
      </c>
    </row>
    <row r="1587" spans="1:13">
      <c r="A1587" s="42">
        <f t="shared" si="25"/>
        <v>1586</v>
      </c>
      <c r="B1587" s="36" t="s">
        <v>8</v>
      </c>
      <c r="C1587" s="36" t="s">
        <v>9837</v>
      </c>
      <c r="D1587" s="9" t="s">
        <v>9785</v>
      </c>
      <c r="E1587" s="9" t="s">
        <v>9815</v>
      </c>
      <c r="F1587" s="9" t="s">
        <v>9834</v>
      </c>
      <c r="G1587" s="36" t="s">
        <v>14</v>
      </c>
      <c r="H1587" s="36" t="str">
        <f>IFERROR(VLOOKUP(Table2[[#This Row], [Ticket]],Okey!A:B,2,0),"")</f>
        <v/>
      </c>
      <c r="I1587" s="36"/>
      <c r="J1587" s="36" t="s">
        <v>17</v>
      </c>
      <c r="L1587" s="36"/>
      <c r="M1587" s="36" t="s">
        <v>4778</v>
      </c>
    </row>
    <row r="1588" spans="1:13">
      <c r="A1588" s="42">
        <f t="shared" si="25"/>
        <v>1587</v>
      </c>
      <c r="B1588" s="36" t="s">
        <v>8</v>
      </c>
      <c r="C1588" s="36" t="s">
        <v>9837</v>
      </c>
      <c r="D1588" s="9" t="s">
        <v>9785</v>
      </c>
      <c r="E1588" s="9" t="s">
        <v>9816</v>
      </c>
      <c r="F1588" s="9" t="s">
        <v>9835</v>
      </c>
      <c r="G1588" s="36" t="s">
        <v>14</v>
      </c>
      <c r="H1588" s="36" t="str">
        <f>IFERROR(VLOOKUP(Table2[[#This Row], [Ticket]],Okey!A:B,2,0),"")</f>
        <v/>
      </c>
      <c r="I1588" s="36"/>
      <c r="J1588" s="36" t="s">
        <v>17</v>
      </c>
      <c r="L1588" s="36"/>
      <c r="M1588" s="36" t="s">
        <v>4778</v>
      </c>
    </row>
    <row r="1589" spans="1:13">
      <c r="A1589" s="42">
        <f t="shared" si="25"/>
        <v>1588</v>
      </c>
      <c r="B1589" s="36" t="s">
        <v>8</v>
      </c>
      <c r="C1589" s="36" t="s">
        <v>9837</v>
      </c>
      <c r="D1589" s="9" t="s">
        <v>9785</v>
      </c>
      <c r="E1589" s="9" t="s">
        <v>9817</v>
      </c>
      <c r="F1589" s="9" t="s">
        <v>9836</v>
      </c>
      <c r="G1589" s="36" t="s">
        <v>14</v>
      </c>
      <c r="H1589" s="36" t="str">
        <f>IFERROR(VLOOKUP(Table2[[#This Row], [Ticket]],Okey!A:B,2,0),"")</f>
        <v/>
      </c>
      <c r="I1589" s="36"/>
      <c r="J1589" s="36" t="s">
        <v>17</v>
      </c>
      <c r="L1589" s="36"/>
      <c r="M1589" s="36" t="s">
        <v>4778</v>
      </c>
    </row>
    <row r="1590" spans="1:13">
      <c r="A1590" s="42">
        <f t="shared" si="25"/>
        <v>1589</v>
      </c>
      <c r="B1590" s="36" t="s">
        <v>8</v>
      </c>
      <c r="C1590" s="36" t="s">
        <v>9837</v>
      </c>
      <c r="D1590" s="9" t="s">
        <v>9785</v>
      </c>
      <c r="E1590" s="9" t="s">
        <v>9818</v>
      </c>
      <c r="F1590" s="9" t="s">
        <v>9836</v>
      </c>
      <c r="G1590" s="36" t="s">
        <v>14</v>
      </c>
      <c r="H1590" s="36" t="str">
        <f>IFERROR(VLOOKUP(Table2[[#This Row], [Ticket]],Okey!A:B,2,0),"")</f>
        <v/>
      </c>
      <c r="I1590" s="36"/>
      <c r="J1590" s="36" t="s">
        <v>17</v>
      </c>
      <c r="L1590" s="36"/>
      <c r="M1590" s="36" t="s">
        <v>4778</v>
      </c>
    </row>
    <row r="1591" spans="1:13">
      <c r="A1591" s="42">
        <f t="shared" si="25"/>
        <v>1590</v>
      </c>
      <c r="B1591" s="36" t="s">
        <v>8</v>
      </c>
      <c r="C1591" s="36" t="s">
        <v>9837</v>
      </c>
      <c r="D1591" s="9" t="s">
        <v>9838</v>
      </c>
      <c r="E1591" s="9" t="s">
        <v>9839</v>
      </c>
      <c r="G1591" s="9" t="s">
        <v>15</v>
      </c>
      <c r="H1591" s="36" t="str">
        <f>IFERROR(VLOOKUP(Table2[[#This Row], [Ticket]],Okey!A:B,2,0),"")</f>
        <v/>
      </c>
      <c r="I1591" s="36"/>
      <c r="J1591" s="36" t="s">
        <v>17</v>
      </c>
      <c r="L1591" s="36"/>
      <c r="M1591" s="36" t="s">
        <v>4778</v>
      </c>
    </row>
    <row r="1592" spans="1:13">
      <c r="A1592" s="42">
        <f t="shared" si="25"/>
        <v>1591</v>
      </c>
      <c r="B1592" s="36" t="s">
        <v>8</v>
      </c>
      <c r="C1592" s="36" t="s">
        <v>9837</v>
      </c>
      <c r="D1592" s="9" t="s">
        <v>9840</v>
      </c>
      <c r="E1592" s="9" t="s">
        <v>9841</v>
      </c>
      <c r="G1592" s="36" t="s">
        <v>15</v>
      </c>
      <c r="H1592" s="36" t="str">
        <f>IFERROR(VLOOKUP(Table2[[#This Row], [Ticket]],Okey!A:B,2,0),"")</f>
        <v/>
      </c>
      <c r="I1592" s="36"/>
      <c r="J1592" s="36" t="s">
        <v>17</v>
      </c>
      <c r="L1592" s="36"/>
      <c r="M1592" s="36" t="s">
        <v>4778</v>
      </c>
    </row>
    <row r="1593" spans="1:13">
      <c r="A1593" s="42">
        <f t="shared" si="25"/>
        <v>1592</v>
      </c>
      <c r="B1593" s="36" t="s">
        <v>8</v>
      </c>
      <c r="C1593" s="36" t="s">
        <v>9837</v>
      </c>
      <c r="D1593" s="9" t="s">
        <v>9842</v>
      </c>
      <c r="E1593" s="9" t="s">
        <v>9843</v>
      </c>
      <c r="G1593" s="36" t="s">
        <v>15</v>
      </c>
      <c r="H1593" s="36" t="str">
        <f>IFERROR(VLOOKUP(Table2[[#This Row], [Ticket]],Okey!A:B,2,0),"")</f>
        <v/>
      </c>
      <c r="I1593" s="36"/>
      <c r="J1593" s="36" t="s">
        <v>17</v>
      </c>
      <c r="L1593" s="36"/>
      <c r="M1593" s="36" t="s">
        <v>4778</v>
      </c>
    </row>
    <row r="1594" spans="1:13">
      <c r="A1594" s="42">
        <f t="shared" si="25"/>
        <v>1593</v>
      </c>
      <c r="B1594" s="36" t="s">
        <v>8</v>
      </c>
      <c r="C1594" s="36" t="s">
        <v>9837</v>
      </c>
      <c r="D1594" s="9" t="s">
        <v>9844</v>
      </c>
      <c r="E1594" s="9" t="s">
        <v>9845</v>
      </c>
      <c r="G1594" s="36" t="s">
        <v>15</v>
      </c>
      <c r="H1594" s="36" t="str">
        <f>IFERROR(VLOOKUP(Table2[[#This Row], [Ticket]],Okey!A:B,2,0),"")</f>
        <v/>
      </c>
      <c r="I1594" s="36"/>
      <c r="J1594" s="36" t="s">
        <v>17</v>
      </c>
      <c r="L1594" s="36"/>
      <c r="M1594" s="36" t="s">
        <v>4778</v>
      </c>
    </row>
    <row r="1595" spans="1:13">
      <c r="A1595" s="42">
        <f t="shared" si="25"/>
        <v>1594</v>
      </c>
      <c r="B1595" s="36" t="s">
        <v>8</v>
      </c>
      <c r="C1595" s="36" t="s">
        <v>9837</v>
      </c>
      <c r="D1595" s="9" t="s">
        <v>9846</v>
      </c>
      <c r="E1595" s="9" t="s">
        <v>9847</v>
      </c>
      <c r="G1595" s="36" t="s">
        <v>15</v>
      </c>
      <c r="H1595" s="36" t="str">
        <f>IFERROR(VLOOKUP(Table2[[#This Row], [Ticket]],Okey!A:B,2,0),"")</f>
        <v/>
      </c>
      <c r="I1595" s="36"/>
      <c r="J1595" s="36" t="s">
        <v>17</v>
      </c>
      <c r="L1595" s="36"/>
      <c r="M1595" s="36" t="s">
        <v>4778</v>
      </c>
    </row>
    <row r="1596" spans="1:13">
      <c r="A1596" s="42">
        <f t="shared" si="25"/>
        <v>1595</v>
      </c>
      <c r="B1596" s="36" t="s">
        <v>8</v>
      </c>
      <c r="C1596" s="36" t="s">
        <v>9837</v>
      </c>
      <c r="D1596" s="9" t="s">
        <v>4807</v>
      </c>
      <c r="E1596" s="9" t="s">
        <v>9848</v>
      </c>
      <c r="G1596" s="36" t="s">
        <v>15</v>
      </c>
      <c r="H1596" s="36" t="str">
        <f>IFERROR(VLOOKUP(Table2[[#This Row], [Ticket]],Okey!A:B,2,0),"")</f>
        <v/>
      </c>
      <c r="I1596" s="36"/>
      <c r="J1596" s="36" t="s">
        <v>17</v>
      </c>
      <c r="L1596" s="36"/>
      <c r="M1596" s="36" t="s">
        <v>4778</v>
      </c>
    </row>
    <row r="1597" spans="1:13">
      <c r="A1597" s="42">
        <f t="shared" si="25"/>
        <v>1596</v>
      </c>
      <c r="B1597" s="36" t="s">
        <v>8</v>
      </c>
      <c r="C1597" s="36" t="s">
        <v>9837</v>
      </c>
      <c r="D1597" s="9" t="s">
        <v>7635</v>
      </c>
      <c r="E1597" s="9" t="s">
        <v>9849</v>
      </c>
      <c r="F1597" s="9" t="s">
        <v>9850</v>
      </c>
      <c r="G1597" s="9" t="s">
        <v>16</v>
      </c>
      <c r="H1597" s="36" t="str">
        <f>IFERROR(VLOOKUP(Table2[[#This Row], [Ticket]],Okey!A:B,2,0),"")</f>
        <v/>
      </c>
      <c r="I1597" s="36"/>
      <c r="J1597" s="36" t="s">
        <v>17</v>
      </c>
      <c r="L1597" s="36"/>
      <c r="M1597" s="36" t="s">
        <v>4778</v>
      </c>
    </row>
    <row r="1598" spans="1:13">
      <c r="A1598" s="42">
        <f t="shared" si="25"/>
        <v>1597</v>
      </c>
      <c r="B1598" s="36" t="s">
        <v>8</v>
      </c>
      <c r="C1598" s="36" t="s">
        <v>9837</v>
      </c>
      <c r="D1598" s="9" t="s">
        <v>9851</v>
      </c>
      <c r="F1598" s="9" t="s">
        <v>9852</v>
      </c>
      <c r="G1598" s="9" t="s">
        <v>8544</v>
      </c>
      <c r="H1598" s="36" t="str">
        <f>IFERROR(VLOOKUP(Table2[[#This Row], [Ticket]],Okey!A:B,2,0),"")</f>
        <v/>
      </c>
      <c r="I1598" s="36"/>
      <c r="J1598" s="36" t="s">
        <v>17</v>
      </c>
      <c r="L1598" s="36"/>
      <c r="M1598" s="36" t="s">
        <v>4778</v>
      </c>
    </row>
    <row r="1599" spans="1:13">
      <c r="A1599" s="42">
        <f t="shared" si="25"/>
        <v>1598</v>
      </c>
      <c r="B1599" s="36" t="s">
        <v>8</v>
      </c>
      <c r="C1599" s="36" t="s">
        <v>9837</v>
      </c>
      <c r="D1599" s="9" t="s">
        <v>9853</v>
      </c>
      <c r="F1599" s="9" t="s">
        <v>9852</v>
      </c>
      <c r="G1599" s="36" t="s">
        <v>8544</v>
      </c>
      <c r="H1599" s="36" t="str">
        <f>IFERROR(VLOOKUP(Table2[[#This Row], [Ticket]],Okey!A:B,2,0),"")</f>
        <v/>
      </c>
      <c r="I1599" s="36"/>
      <c r="J1599" s="36" t="s">
        <v>17</v>
      </c>
      <c r="L1599" s="36"/>
      <c r="M1599" s="36" t="s">
        <v>4778</v>
      </c>
    </row>
    <row r="1600" spans="1:13">
      <c r="A1600" s="42">
        <f t="shared" si="25"/>
        <v>1599</v>
      </c>
      <c r="B1600" s="36" t="s">
        <v>8</v>
      </c>
      <c r="C1600" s="9" t="s">
        <v>9854</v>
      </c>
      <c r="D1600" s="9" t="s">
        <v>9855</v>
      </c>
      <c r="E1600" s="9" t="s">
        <v>9856</v>
      </c>
      <c r="F1600" s="9" t="s">
        <v>9857</v>
      </c>
      <c r="G1600" s="9" t="s">
        <v>14</v>
      </c>
      <c r="H1600" s="36" t="str">
        <f>IFERROR(VLOOKUP(Table2[[#This Row], [Ticket]],Okey!A:B,2,0),"")</f>
        <v/>
      </c>
      <c r="I1600" s="36"/>
      <c r="J1600" s="9" t="s">
        <v>19</v>
      </c>
      <c r="L1600" s="36"/>
      <c r="M1600" s="9" t="s">
        <v>4787</v>
      </c>
    </row>
    <row r="1601" spans="1:13">
      <c r="A1601" s="42">
        <f t="shared" si="25"/>
        <v>1600</v>
      </c>
      <c r="B1601" s="36" t="s">
        <v>8</v>
      </c>
      <c r="C1601" s="36" t="s">
        <v>9854</v>
      </c>
      <c r="D1601" s="9" t="s">
        <v>9858</v>
      </c>
      <c r="E1601" s="9" t="s">
        <v>9859</v>
      </c>
      <c r="F1601" s="9" t="s">
        <v>9856</v>
      </c>
      <c r="G1601" s="36" t="s">
        <v>14</v>
      </c>
      <c r="H1601" s="36" t="str">
        <f>IFERROR(VLOOKUP(Table2[[#This Row], [Ticket]],Okey!A:B,2,0),"")</f>
        <v/>
      </c>
      <c r="I1601" s="36"/>
      <c r="J1601" s="36" t="s">
        <v>19</v>
      </c>
      <c r="L1601" s="36"/>
      <c r="M1601" s="36" t="s">
        <v>4787</v>
      </c>
    </row>
    <row r="1602" spans="1:13">
      <c r="A1602" s="42">
        <f t="shared" si="25"/>
        <v>1601</v>
      </c>
      <c r="B1602" s="36" t="s">
        <v>8</v>
      </c>
      <c r="C1602" s="36" t="s">
        <v>9854</v>
      </c>
      <c r="D1602" s="9" t="s">
        <v>9860</v>
      </c>
      <c r="E1602" s="9" t="s">
        <v>9861</v>
      </c>
      <c r="F1602" s="9" t="s">
        <v>9856</v>
      </c>
      <c r="G1602" s="36" t="s">
        <v>14</v>
      </c>
      <c r="H1602" s="36" t="str">
        <f>IFERROR(VLOOKUP(Table2[[#This Row], [Ticket]],Okey!A:B,2,0),"")</f>
        <v/>
      </c>
      <c r="I1602" s="36"/>
      <c r="J1602" s="36" t="s">
        <v>19</v>
      </c>
      <c r="L1602" s="36"/>
      <c r="M1602" s="36" t="s">
        <v>4787</v>
      </c>
    </row>
    <row r="1603" spans="1:13">
      <c r="A1603" s="42">
        <f t="shared" si="25"/>
        <v>1602</v>
      </c>
      <c r="B1603" s="36" t="s">
        <v>8</v>
      </c>
      <c r="C1603" s="36" t="s">
        <v>9854</v>
      </c>
      <c r="D1603" s="9" t="s">
        <v>9862</v>
      </c>
      <c r="E1603" s="9" t="s">
        <v>9863</v>
      </c>
      <c r="F1603" s="9" t="s">
        <v>9856</v>
      </c>
      <c r="G1603" s="36" t="s">
        <v>14</v>
      </c>
      <c r="H1603" s="36" t="str">
        <f>IFERROR(VLOOKUP(Table2[[#This Row], [Ticket]],Okey!A:B,2,0),"")</f>
        <v/>
      </c>
      <c r="I1603" s="36"/>
      <c r="J1603" s="36" t="s">
        <v>19</v>
      </c>
      <c r="L1603" s="36"/>
      <c r="M1603" s="36" t="s">
        <v>4787</v>
      </c>
    </row>
    <row r="1604" spans="1:13">
      <c r="A1604" s="42">
        <f t="shared" si="25"/>
        <v>1603</v>
      </c>
      <c r="B1604" s="36" t="s">
        <v>8</v>
      </c>
      <c r="C1604" s="36" t="s">
        <v>9854</v>
      </c>
      <c r="D1604" s="9" t="s">
        <v>9864</v>
      </c>
      <c r="E1604" s="9" t="s">
        <v>9865</v>
      </c>
      <c r="F1604" s="9" t="s">
        <v>9861</v>
      </c>
      <c r="G1604" s="36" t="s">
        <v>14</v>
      </c>
      <c r="H1604" s="36" t="str">
        <f>IFERROR(VLOOKUP(Table2[[#This Row], [Ticket]],Okey!A:B,2,0),"")</f>
        <v/>
      </c>
      <c r="I1604" s="36"/>
      <c r="J1604" s="36" t="s">
        <v>19</v>
      </c>
      <c r="L1604" s="36"/>
      <c r="M1604" s="36" t="s">
        <v>4787</v>
      </c>
    </row>
    <row r="1605" spans="1:13">
      <c r="A1605" s="42">
        <f t="shared" si="25"/>
        <v>1604</v>
      </c>
      <c r="B1605" s="36" t="s">
        <v>8</v>
      </c>
      <c r="C1605" s="36" t="s">
        <v>9854</v>
      </c>
      <c r="D1605" s="9" t="s">
        <v>9866</v>
      </c>
      <c r="E1605" s="9" t="s">
        <v>9867</v>
      </c>
      <c r="F1605" s="9" t="s">
        <v>9861</v>
      </c>
      <c r="G1605" s="36" t="s">
        <v>14</v>
      </c>
      <c r="H1605" s="36" t="str">
        <f>IFERROR(VLOOKUP(Table2[[#This Row], [Ticket]],Okey!A:B,2,0),"")</f>
        <v/>
      </c>
      <c r="I1605" s="36"/>
      <c r="J1605" s="36" t="s">
        <v>19</v>
      </c>
      <c r="L1605" s="36"/>
      <c r="M1605" s="36" t="s">
        <v>4787</v>
      </c>
    </row>
    <row r="1606" spans="1:13">
      <c r="A1606" s="42">
        <f t="shared" si="25"/>
        <v>1605</v>
      </c>
      <c r="B1606" s="36" t="s">
        <v>8</v>
      </c>
      <c r="C1606" s="36" t="s">
        <v>9854</v>
      </c>
      <c r="D1606" s="9" t="s">
        <v>9868</v>
      </c>
      <c r="E1606" s="9" t="s">
        <v>9869</v>
      </c>
      <c r="F1606" s="9" t="s">
        <v>9861</v>
      </c>
      <c r="G1606" s="36" t="s">
        <v>14</v>
      </c>
      <c r="H1606" s="36" t="str">
        <f>IFERROR(VLOOKUP(Table2[[#This Row], [Ticket]],Okey!A:B,2,0),"")</f>
        <v/>
      </c>
      <c r="I1606" s="36"/>
      <c r="J1606" s="36" t="s">
        <v>19</v>
      </c>
      <c r="L1606" s="36"/>
      <c r="M1606" s="36" t="s">
        <v>4787</v>
      </c>
    </row>
    <row r="1607" spans="1:13">
      <c r="A1607" s="42">
        <f t="shared" si="25"/>
        <v>1606</v>
      </c>
      <c r="B1607" s="36" t="s">
        <v>8</v>
      </c>
      <c r="C1607" s="36" t="s">
        <v>9854</v>
      </c>
      <c r="D1607" s="9" t="s">
        <v>9870</v>
      </c>
      <c r="E1607" s="9" t="s">
        <v>9871</v>
      </c>
      <c r="F1607" s="9" t="s">
        <v>9861</v>
      </c>
      <c r="G1607" s="36" t="s">
        <v>14</v>
      </c>
      <c r="H1607" s="36" t="str">
        <f>IFERROR(VLOOKUP(Table2[[#This Row], [Ticket]],Okey!A:B,2,0),"")</f>
        <v/>
      </c>
      <c r="I1607" s="36"/>
      <c r="J1607" s="36" t="s">
        <v>19</v>
      </c>
      <c r="L1607" s="36"/>
      <c r="M1607" s="36" t="s">
        <v>4787</v>
      </c>
    </row>
    <row r="1608" spans="1:13">
      <c r="A1608" s="42">
        <f t="shared" si="25"/>
        <v>1607</v>
      </c>
      <c r="B1608" s="36" t="s">
        <v>8</v>
      </c>
      <c r="C1608" s="36" t="s">
        <v>9854</v>
      </c>
      <c r="D1608" s="9" t="s">
        <v>9872</v>
      </c>
      <c r="E1608" s="9" t="s">
        <v>9873</v>
      </c>
      <c r="F1608" s="9" t="s">
        <v>9859</v>
      </c>
      <c r="G1608" s="36" t="s">
        <v>14</v>
      </c>
      <c r="H1608" s="36" t="str">
        <f>IFERROR(VLOOKUP(Table2[[#This Row], [Ticket]],Okey!A:B,2,0),"")</f>
        <v/>
      </c>
      <c r="I1608" s="36"/>
      <c r="J1608" s="36" t="s">
        <v>19</v>
      </c>
      <c r="L1608" s="36"/>
      <c r="M1608" s="36" t="s">
        <v>4787</v>
      </c>
    </row>
    <row r="1609" spans="1:13">
      <c r="A1609" s="42">
        <f t="shared" si="25"/>
        <v>1608</v>
      </c>
      <c r="B1609" s="36" t="s">
        <v>8</v>
      </c>
      <c r="C1609" s="36" t="s">
        <v>9854</v>
      </c>
      <c r="D1609" s="9" t="s">
        <v>9874</v>
      </c>
      <c r="E1609" s="9" t="s">
        <v>9875</v>
      </c>
      <c r="F1609" s="9" t="s">
        <v>9863</v>
      </c>
      <c r="G1609" s="36" t="s">
        <v>14</v>
      </c>
      <c r="H1609" s="36" t="str">
        <f>IFERROR(VLOOKUP(Table2[[#This Row], [Ticket]],Okey!A:B,2,0),"")</f>
        <v/>
      </c>
      <c r="I1609" s="36"/>
      <c r="J1609" s="36" t="s">
        <v>19</v>
      </c>
      <c r="L1609" s="36"/>
      <c r="M1609" s="36" t="s">
        <v>4787</v>
      </c>
    </row>
    <row r="1610" spans="1:13">
      <c r="A1610" s="42">
        <f t="shared" si="25"/>
        <v>1609</v>
      </c>
      <c r="B1610" s="36" t="s">
        <v>8</v>
      </c>
      <c r="C1610" s="36" t="s">
        <v>9854</v>
      </c>
      <c r="D1610" s="9" t="s">
        <v>9876</v>
      </c>
      <c r="E1610" s="9" t="s">
        <v>9877</v>
      </c>
      <c r="F1610" s="9" t="s">
        <v>9869</v>
      </c>
      <c r="G1610" s="36" t="s">
        <v>14</v>
      </c>
      <c r="H1610" s="36" t="str">
        <f>IFERROR(VLOOKUP(Table2[[#This Row], [Ticket]],Okey!A:B,2,0),"")</f>
        <v/>
      </c>
      <c r="I1610" s="36"/>
      <c r="J1610" s="36" t="s">
        <v>19</v>
      </c>
      <c r="L1610" s="36"/>
      <c r="M1610" s="36" t="s">
        <v>4787</v>
      </c>
    </row>
    <row r="1611" spans="1:13">
      <c r="A1611" s="42">
        <f t="shared" si="25"/>
        <v>1610</v>
      </c>
      <c r="B1611" s="36" t="s">
        <v>8</v>
      </c>
      <c r="C1611" s="36" t="s">
        <v>9854</v>
      </c>
      <c r="D1611" s="9" t="s">
        <v>9878</v>
      </c>
      <c r="E1611" s="9" t="s">
        <v>9879</v>
      </c>
      <c r="F1611" s="9" t="s">
        <v>9859</v>
      </c>
      <c r="G1611" s="36" t="s">
        <v>14</v>
      </c>
      <c r="H1611" s="36" t="str">
        <f>IFERROR(VLOOKUP(Table2[[#This Row], [Ticket]],Okey!A:B,2,0),"")</f>
        <v/>
      </c>
      <c r="I1611" s="36"/>
      <c r="J1611" s="36" t="s">
        <v>19</v>
      </c>
      <c r="L1611" s="36"/>
      <c r="M1611" s="36" t="s">
        <v>4787</v>
      </c>
    </row>
    <row r="1612" spans="1:13">
      <c r="A1612" s="42">
        <f t="shared" si="25"/>
        <v>1611</v>
      </c>
      <c r="B1612" s="36" t="s">
        <v>8</v>
      </c>
      <c r="C1612" s="36" t="s">
        <v>9854</v>
      </c>
      <c r="D1612" s="9" t="s">
        <v>9880</v>
      </c>
      <c r="E1612" s="9" t="s">
        <v>9881</v>
      </c>
      <c r="F1612" s="9" t="s">
        <v>9863</v>
      </c>
      <c r="G1612" s="36" t="s">
        <v>14</v>
      </c>
      <c r="H1612" s="36" t="str">
        <f>IFERROR(VLOOKUP(Table2[[#This Row], [Ticket]],Okey!A:B,2,0),"")</f>
        <v/>
      </c>
      <c r="I1612" s="36"/>
      <c r="J1612" s="36" t="s">
        <v>19</v>
      </c>
      <c r="L1612" s="36"/>
      <c r="M1612" s="36" t="s">
        <v>4787</v>
      </c>
    </row>
    <row r="1613" spans="1:13">
      <c r="A1613" s="42">
        <f t="shared" si="25"/>
        <v>1612</v>
      </c>
      <c r="B1613" s="36" t="s">
        <v>8</v>
      </c>
      <c r="C1613" s="36" t="s">
        <v>9854</v>
      </c>
      <c r="D1613" s="9" t="s">
        <v>9882</v>
      </c>
      <c r="E1613" s="9" t="s">
        <v>9883</v>
      </c>
      <c r="F1613" s="9" t="s">
        <v>9869</v>
      </c>
      <c r="G1613" s="36" t="s">
        <v>14</v>
      </c>
      <c r="H1613" s="36" t="str">
        <f>IFERROR(VLOOKUP(Table2[[#This Row], [Ticket]],Okey!A:B,2,0),"")</f>
        <v/>
      </c>
      <c r="I1613" s="36"/>
      <c r="J1613" s="36" t="s">
        <v>19</v>
      </c>
      <c r="L1613" s="36"/>
      <c r="M1613" s="36" t="s">
        <v>4787</v>
      </c>
    </row>
    <row r="1614" spans="1:13">
      <c r="A1614" s="42">
        <f t="shared" si="25"/>
        <v>1613</v>
      </c>
      <c r="B1614" s="36" t="s">
        <v>8</v>
      </c>
      <c r="C1614" s="36" t="s">
        <v>9854</v>
      </c>
      <c r="D1614" s="9" t="s">
        <v>9884</v>
      </c>
      <c r="E1614" s="9" t="s">
        <v>9885</v>
      </c>
      <c r="F1614" s="9" t="s">
        <v>9859</v>
      </c>
      <c r="G1614" s="36" t="s">
        <v>14</v>
      </c>
      <c r="H1614" s="36" t="str">
        <f>IFERROR(VLOOKUP(Table2[[#This Row], [Ticket]],Okey!A:B,2,0),"")</f>
        <v/>
      </c>
      <c r="I1614" s="36"/>
      <c r="J1614" s="36" t="s">
        <v>19</v>
      </c>
      <c r="L1614" s="36"/>
      <c r="M1614" s="36" t="s">
        <v>4787</v>
      </c>
    </row>
    <row r="1615" spans="1:13">
      <c r="A1615" s="42">
        <f t="shared" si="25"/>
        <v>1614</v>
      </c>
      <c r="B1615" s="36" t="s">
        <v>8</v>
      </c>
      <c r="C1615" s="36" t="s">
        <v>9854</v>
      </c>
      <c r="D1615" s="9" t="s">
        <v>9886</v>
      </c>
      <c r="E1615" s="9" t="s">
        <v>9887</v>
      </c>
      <c r="F1615" s="9" t="s">
        <v>9863</v>
      </c>
      <c r="G1615" s="36" t="s">
        <v>14</v>
      </c>
      <c r="H1615" s="36" t="str">
        <f>IFERROR(VLOOKUP(Table2[[#This Row], [Ticket]],Okey!A:B,2,0),"")</f>
        <v/>
      </c>
      <c r="I1615" s="36"/>
      <c r="J1615" s="36" t="s">
        <v>19</v>
      </c>
      <c r="L1615" s="36"/>
      <c r="M1615" s="36" t="s">
        <v>4787</v>
      </c>
    </row>
    <row r="1616" spans="1:13">
      <c r="A1616" s="42">
        <f t="shared" si="25"/>
        <v>1615</v>
      </c>
      <c r="B1616" s="36" t="s">
        <v>8</v>
      </c>
      <c r="C1616" s="36" t="s">
        <v>9854</v>
      </c>
      <c r="D1616" s="9" t="s">
        <v>9888</v>
      </c>
      <c r="E1616" s="9" t="s">
        <v>9889</v>
      </c>
      <c r="F1616" s="9" t="s">
        <v>9869</v>
      </c>
      <c r="G1616" s="36" t="s">
        <v>14</v>
      </c>
      <c r="H1616" s="36" t="str">
        <f>IFERROR(VLOOKUP(Table2[[#This Row], [Ticket]],Okey!A:B,2,0),"")</f>
        <v/>
      </c>
      <c r="I1616" s="36"/>
      <c r="J1616" s="36" t="s">
        <v>19</v>
      </c>
      <c r="L1616" s="36"/>
      <c r="M1616" s="36" t="s">
        <v>4787</v>
      </c>
    </row>
    <row r="1617" spans="1:13">
      <c r="A1617" s="42">
        <f t="shared" si="25"/>
        <v>1616</v>
      </c>
      <c r="B1617" s="36" t="s">
        <v>8</v>
      </c>
      <c r="C1617" s="36" t="s">
        <v>9854</v>
      </c>
      <c r="D1617" s="9" t="s">
        <v>9890</v>
      </c>
      <c r="E1617" s="9" t="s">
        <v>9877</v>
      </c>
      <c r="F1617" s="9" t="s">
        <v>9869</v>
      </c>
      <c r="G1617" s="36" t="s">
        <v>14</v>
      </c>
      <c r="H1617" s="36" t="str">
        <f>IFERROR(VLOOKUP(Table2[[#This Row], [Ticket]],Okey!A:B,2,0),"")</f>
        <v/>
      </c>
      <c r="I1617" s="36"/>
      <c r="J1617" s="36" t="s">
        <v>19</v>
      </c>
      <c r="L1617" s="36"/>
      <c r="M1617" s="36" t="s">
        <v>4787</v>
      </c>
    </row>
    <row r="1618" spans="1:13">
      <c r="A1618" s="42">
        <f t="shared" si="25"/>
        <v>1617</v>
      </c>
      <c r="B1618" s="36" t="s">
        <v>8</v>
      </c>
      <c r="C1618" s="36" t="s">
        <v>9854</v>
      </c>
      <c r="D1618" s="9" t="s">
        <v>9891</v>
      </c>
      <c r="E1618" s="9" t="s">
        <v>9875</v>
      </c>
      <c r="F1618" s="9" t="s">
        <v>9863</v>
      </c>
      <c r="G1618" s="36" t="s">
        <v>14</v>
      </c>
      <c r="H1618" s="36" t="str">
        <f>IFERROR(VLOOKUP(Table2[[#This Row], [Ticket]],Okey!A:B,2,0),"")</f>
        <v/>
      </c>
      <c r="I1618" s="36"/>
      <c r="J1618" s="36" t="s">
        <v>19</v>
      </c>
      <c r="L1618" s="36"/>
      <c r="M1618" s="36" t="s">
        <v>4787</v>
      </c>
    </row>
  </sheetData>
  <phoneticPr fontId="23" type="noConversion"/>
  <conditionalFormatting sqref="D2:D866 D869:D872">
    <cfRule type="duplicateValues" dxfId="50" priority="44"/>
  </conditionalFormatting>
  <conditionalFormatting sqref="K866:K868">
    <cfRule type="duplicateValues" dxfId="49" priority="43"/>
  </conditionalFormatting>
  <conditionalFormatting sqref="K867">
    <cfRule type="duplicateValues" dxfId="48" priority="42"/>
  </conditionalFormatting>
  <conditionalFormatting sqref="K868">
    <cfRule type="duplicateValues" dxfId="47" priority="41"/>
  </conditionalFormatting>
  <conditionalFormatting sqref="F867">
    <cfRule type="duplicateValues" dxfId="46" priority="40"/>
  </conditionalFormatting>
  <conditionalFormatting sqref="F868">
    <cfRule type="duplicateValues" dxfId="45" priority="39"/>
  </conditionalFormatting>
  <conditionalFormatting sqref="F872">
    <cfRule type="duplicateValues" dxfId="44" priority="38"/>
  </conditionalFormatting>
  <conditionalFormatting sqref="D867">
    <cfRule type="duplicateValues" dxfId="43" priority="37"/>
  </conditionalFormatting>
  <conditionalFormatting sqref="D868">
    <cfRule type="duplicateValues" dxfId="42" priority="36"/>
  </conditionalFormatting>
  <conditionalFormatting sqref="D873">
    <cfRule type="duplicateValues" dxfId="41" priority="35"/>
  </conditionalFormatting>
  <conditionalFormatting sqref="D889">
    <cfRule type="duplicateValues" dxfId="40" priority="34"/>
  </conditionalFormatting>
  <conditionalFormatting sqref="K889 K873">
    <cfRule type="duplicateValues" dxfId="39" priority="33"/>
  </conditionalFormatting>
  <conditionalFormatting sqref="D1356">
    <cfRule type="duplicateValues" dxfId="38" priority="32"/>
  </conditionalFormatting>
  <conditionalFormatting sqref="F1459">
    <cfRule type="duplicateValues" dxfId="37" priority="30"/>
  </conditionalFormatting>
  <conditionalFormatting sqref="F1460">
    <cfRule type="duplicateValues" dxfId="36" priority="29"/>
  </conditionalFormatting>
  <conditionalFormatting sqref="F1461">
    <cfRule type="duplicateValues" dxfId="35" priority="28"/>
  </conditionalFormatting>
  <conditionalFormatting sqref="F1463">
    <cfRule type="duplicateValues" dxfId="34" priority="27"/>
  </conditionalFormatting>
  <conditionalFormatting sqref="F1464">
    <cfRule type="duplicateValues" dxfId="33" priority="26"/>
  </conditionalFormatting>
  <conditionalFormatting sqref="F1473">
    <cfRule type="duplicateValues" dxfId="32" priority="25"/>
  </conditionalFormatting>
  <conditionalFormatting sqref="F1491">
    <cfRule type="duplicateValues" dxfId="31" priority="24"/>
  </conditionalFormatting>
  <conditionalFormatting sqref="F1492">
    <cfRule type="duplicateValues" dxfId="30" priority="23"/>
  </conditionalFormatting>
  <conditionalFormatting sqref="F1493">
    <cfRule type="duplicateValues" dxfId="29" priority="22"/>
  </conditionalFormatting>
  <conditionalFormatting sqref="F1494">
    <cfRule type="duplicateValues" dxfId="28" priority="21"/>
  </conditionalFormatting>
  <conditionalFormatting sqref="F1496">
    <cfRule type="duplicateValues" dxfId="27" priority="20"/>
  </conditionalFormatting>
  <conditionalFormatting sqref="F1497">
    <cfRule type="duplicateValues" dxfId="26" priority="19"/>
  </conditionalFormatting>
  <conditionalFormatting sqref="F1498">
    <cfRule type="duplicateValues" dxfId="25" priority="18"/>
  </conditionalFormatting>
  <conditionalFormatting sqref="F1499">
    <cfRule type="duplicateValues" dxfId="24" priority="17"/>
  </conditionalFormatting>
  <conditionalFormatting sqref="F1501">
    <cfRule type="duplicateValues" dxfId="23" priority="16"/>
  </conditionalFormatting>
  <conditionalFormatting sqref="F1502">
    <cfRule type="duplicateValues" dxfId="22" priority="15"/>
  </conditionalFormatting>
  <conditionalFormatting sqref="F1503">
    <cfRule type="duplicateValues" dxfId="21" priority="14"/>
  </conditionalFormatting>
  <conditionalFormatting sqref="F1504">
    <cfRule type="duplicateValues" dxfId="20" priority="13"/>
  </conditionalFormatting>
  <conditionalFormatting sqref="F1505">
    <cfRule type="duplicateValues" dxfId="19" priority="12"/>
  </conditionalFormatting>
  <conditionalFormatting sqref="F1506">
    <cfRule type="duplicateValues" dxfId="18" priority="11"/>
  </conditionalFormatting>
  <conditionalFormatting sqref="F1507">
    <cfRule type="duplicateValues" dxfId="17" priority="10"/>
  </conditionalFormatting>
  <conditionalFormatting sqref="F1508">
    <cfRule type="duplicateValues" dxfId="16" priority="9"/>
  </conditionalFormatting>
  <conditionalFormatting sqref="F1509">
    <cfRule type="duplicateValues" dxfId="15" priority="8"/>
  </conditionalFormatting>
  <conditionalFormatting sqref="F1510">
    <cfRule type="duplicateValues" dxfId="14" priority="7"/>
  </conditionalFormatting>
  <conditionalFormatting sqref="F1511">
    <cfRule type="duplicateValues" dxfId="13" priority="6"/>
  </conditionalFormatting>
  <conditionalFormatting sqref="F1512">
    <cfRule type="duplicateValues" dxfId="12" priority="5"/>
  </conditionalFormatting>
  <conditionalFormatting sqref="F1514">
    <cfRule type="duplicateValues" dxfId="11" priority="4"/>
  </conditionalFormatting>
  <conditionalFormatting sqref="F1515">
    <cfRule type="duplicateValues" dxfId="10" priority="3"/>
  </conditionalFormatting>
  <conditionalFormatting sqref="F1516">
    <cfRule type="duplicateValues" dxfId="9" priority="2"/>
  </conditionalFormatting>
  <conditionalFormatting sqref="F1517">
    <cfRule type="duplicateValues" dxfId="8" priority="1"/>
  </conditionalFormatting>
  <conditionalFormatting sqref="D2:D1618">
    <cfRule type="duplicateValues" dxfId="7" priority="47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156E-8C5E-493D-A6C9-CEECFA4E9C06}">
  <dimension ref="A1:G16"/>
  <sheetViews>
    <sheetView workbookViewId="0">
      <selection activeCell="B11" sqref="B11:B16"/>
    </sheetView>
  </sheetViews>
  <sheetFormatPr defaultRowHeight="15"/>
  <sheetData>
    <row r="1" spans="1:7">
      <c r="A1">
        <v>1000</v>
      </c>
    </row>
    <row r="2" spans="1:7">
      <c r="A2" t="s">
        <v>9772</v>
      </c>
      <c r="B2" t="s">
        <v>9773</v>
      </c>
      <c r="C2" t="s">
        <v>4938</v>
      </c>
      <c r="D2" t="s">
        <v>4938</v>
      </c>
      <c r="E2" t="s">
        <v>4938</v>
      </c>
      <c r="F2" t="s">
        <v>4938</v>
      </c>
      <c r="G2" t="s">
        <v>4938</v>
      </c>
    </row>
    <row r="3" spans="1:7">
      <c r="A3" t="s">
        <v>9782</v>
      </c>
      <c r="B3" t="s">
        <v>9774</v>
      </c>
      <c r="C3" t="s">
        <v>4938</v>
      </c>
      <c r="D3" t="s">
        <v>4938</v>
      </c>
      <c r="E3" t="s">
        <v>4938</v>
      </c>
      <c r="F3" t="s">
        <v>4938</v>
      </c>
      <c r="G3" t="s">
        <v>4938</v>
      </c>
    </row>
    <row r="4" spans="1:7">
      <c r="A4" t="s">
        <v>9783</v>
      </c>
      <c r="B4" t="s">
        <v>9776</v>
      </c>
      <c r="C4" t="s">
        <v>4938</v>
      </c>
      <c r="D4" t="s">
        <v>4938</v>
      </c>
      <c r="E4" t="s">
        <v>4938</v>
      </c>
      <c r="F4" t="s">
        <v>4938</v>
      </c>
      <c r="G4" t="s">
        <v>4938</v>
      </c>
    </row>
    <row r="5" spans="1:7">
      <c r="A5" t="s">
        <v>9664</v>
      </c>
      <c r="B5" t="s">
        <v>9780</v>
      </c>
      <c r="C5" t="s">
        <v>4938</v>
      </c>
      <c r="D5" t="s">
        <v>4938</v>
      </c>
      <c r="E5" t="s">
        <v>4938</v>
      </c>
      <c r="F5" t="s">
        <v>4938</v>
      </c>
      <c r="G5" t="s">
        <v>4938</v>
      </c>
    </row>
    <row r="6" spans="1:7">
      <c r="A6" t="s">
        <v>9666</v>
      </c>
      <c r="B6" t="s">
        <v>9598</v>
      </c>
      <c r="C6" t="s">
        <v>4938</v>
      </c>
      <c r="D6" t="s">
        <v>4938</v>
      </c>
      <c r="E6" t="s">
        <v>4938</v>
      </c>
      <c r="F6" t="s">
        <v>4938</v>
      </c>
      <c r="G6" t="s">
        <v>4938</v>
      </c>
    </row>
    <row r="10" spans="1:7">
      <c r="A10">
        <v>1000</v>
      </c>
      <c r="B10" t="s">
        <v>9784</v>
      </c>
    </row>
    <row r="11" spans="1:7">
      <c r="A11" t="s">
        <v>5286</v>
      </c>
      <c r="B11" t="s">
        <v>9772</v>
      </c>
    </row>
    <row r="12" spans="1:7">
      <c r="A12" t="s">
        <v>9775</v>
      </c>
      <c r="B12" t="s">
        <v>9782</v>
      </c>
    </row>
    <row r="13" spans="1:7">
      <c r="A13" t="s">
        <v>9775</v>
      </c>
      <c r="B13" t="s">
        <v>9783</v>
      </c>
    </row>
    <row r="14" spans="1:7">
      <c r="A14" t="s">
        <v>5725</v>
      </c>
      <c r="B14" t="s">
        <v>365</v>
      </c>
    </row>
    <row r="15" spans="1:7">
      <c r="A15" t="s">
        <v>5725</v>
      </c>
      <c r="B15" t="s">
        <v>702</v>
      </c>
    </row>
    <row r="16" spans="1:7">
      <c r="A16" t="s">
        <v>8955</v>
      </c>
      <c r="B16" t="s">
        <v>9779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5985-0260-42CF-8DFF-9FAC7BC971A8}">
  <dimension ref="A1:B28"/>
  <sheetViews>
    <sheetView workbookViewId="0">
      <selection activeCell="B1" sqref="B1"/>
    </sheetView>
  </sheetViews>
  <sheetFormatPr defaultRowHeight="15"/>
  <sheetData>
    <row r="1" spans="1:2">
      <c r="A1" t="s">
        <v>9512</v>
      </c>
      <c r="B1" t="s">
        <v>9511</v>
      </c>
    </row>
    <row r="2" spans="1:2">
      <c r="A2" t="s">
        <v>9513</v>
      </c>
      <c r="B2" t="s">
        <v>9511</v>
      </c>
    </row>
    <row r="3" spans="1:2">
      <c r="A3" t="s">
        <v>9514</v>
      </c>
      <c r="B3" t="s">
        <v>9511</v>
      </c>
    </row>
    <row r="4" spans="1:2">
      <c r="A4" t="s">
        <v>9750</v>
      </c>
      <c r="B4" t="s">
        <v>9696</v>
      </c>
    </row>
    <row r="5" spans="1:2">
      <c r="A5" t="s">
        <v>9751</v>
      </c>
      <c r="B5" t="s">
        <v>9696</v>
      </c>
    </row>
    <row r="6" spans="1:2">
      <c r="A6" t="s">
        <v>9752</v>
      </c>
      <c r="B6" t="s">
        <v>9696</v>
      </c>
    </row>
    <row r="7" spans="1:2">
      <c r="A7" t="s">
        <v>9753</v>
      </c>
      <c r="B7" t="s">
        <v>9696</v>
      </c>
    </row>
    <row r="8" spans="1:2">
      <c r="A8" t="s">
        <v>9754</v>
      </c>
      <c r="B8" t="s">
        <v>9696</v>
      </c>
    </row>
    <row r="9" spans="1:2">
      <c r="A9" t="s">
        <v>9755</v>
      </c>
      <c r="B9" t="s">
        <v>9696</v>
      </c>
    </row>
    <row r="10" spans="1:2">
      <c r="A10" t="s">
        <v>9756</v>
      </c>
      <c r="B10" t="s">
        <v>9696</v>
      </c>
    </row>
    <row r="11" spans="1:2">
      <c r="A11" t="s">
        <v>9757</v>
      </c>
      <c r="B11" t="s">
        <v>9696</v>
      </c>
    </row>
    <row r="12" spans="1:2">
      <c r="A12" t="s">
        <v>9758</v>
      </c>
      <c r="B12" t="s">
        <v>9696</v>
      </c>
    </row>
    <row r="13" spans="1:2">
      <c r="A13" t="s">
        <v>9759</v>
      </c>
      <c r="B13" t="s">
        <v>9696</v>
      </c>
    </row>
    <row r="14" spans="1:2">
      <c r="A14" t="s">
        <v>9760</v>
      </c>
      <c r="B14" t="s">
        <v>9696</v>
      </c>
    </row>
    <row r="15" spans="1:2">
      <c r="A15" t="s">
        <v>9761</v>
      </c>
      <c r="B15" t="s">
        <v>9696</v>
      </c>
    </row>
    <row r="16" spans="1:2">
      <c r="A16" t="s">
        <v>9762</v>
      </c>
      <c r="B16" t="s">
        <v>9707</v>
      </c>
    </row>
    <row r="17" spans="1:2">
      <c r="A17" t="s">
        <v>9763</v>
      </c>
      <c r="B17" t="s">
        <v>9707</v>
      </c>
    </row>
    <row r="18" spans="1:2">
      <c r="A18" t="s">
        <v>9764</v>
      </c>
      <c r="B18" t="s">
        <v>9707</v>
      </c>
    </row>
    <row r="19" spans="1:2">
      <c r="A19" t="s">
        <v>9765</v>
      </c>
      <c r="B19" t="s">
        <v>9707</v>
      </c>
    </row>
    <row r="20" spans="1:2">
      <c r="A20" t="s">
        <v>9766</v>
      </c>
      <c r="B20" t="s">
        <v>9707</v>
      </c>
    </row>
    <row r="21" spans="1:2">
      <c r="A21" t="s">
        <v>9767</v>
      </c>
      <c r="B21" t="s">
        <v>9707</v>
      </c>
    </row>
    <row r="22" spans="1:2">
      <c r="A22" t="s">
        <v>9768</v>
      </c>
      <c r="B22" t="s">
        <v>9707</v>
      </c>
    </row>
    <row r="23" spans="1:2">
      <c r="A23" t="s">
        <v>9769</v>
      </c>
      <c r="B23" t="s">
        <v>9707</v>
      </c>
    </row>
    <row r="24" spans="1:2">
      <c r="A24" t="s">
        <v>9770</v>
      </c>
      <c r="B24" t="s">
        <v>9707</v>
      </c>
    </row>
    <row r="25" spans="1:2">
      <c r="A25" t="s">
        <v>9771</v>
      </c>
      <c r="B25" t="s">
        <v>9707</v>
      </c>
    </row>
    <row r="26" spans="1:2">
      <c r="A26" t="s">
        <v>9703</v>
      </c>
      <c r="B26" t="s">
        <v>9696</v>
      </c>
    </row>
    <row r="27" spans="1:2">
      <c r="A27" t="s">
        <v>9746</v>
      </c>
      <c r="B27" t="s">
        <v>6568</v>
      </c>
    </row>
    <row r="28" spans="1:2">
      <c r="A28" t="s">
        <v>9772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0751-D299-4724-BD77-C0DF7C7501AA}">
  <dimension ref="A1:W25"/>
  <sheetViews>
    <sheetView workbookViewId="0">
      <selection activeCell="K39" sqref="K39"/>
    </sheetView>
  </sheetViews>
  <sheetFormatPr defaultRowHeight="15"/>
  <cols>
    <col min="1" max="1" width="5.28515625" bestFit="1" customWidth="1"/>
    <col min="2" max="2" width="37.42578125" bestFit="1" customWidth="1"/>
    <col min="13" max="13" width="11.28515625" bestFit="1" customWidth="1"/>
    <col min="14" max="14" width="37.42578125" bestFit="1" customWidth="1"/>
    <col min="22" max="23" width="11.28515625" bestFit="1" customWidth="1"/>
  </cols>
  <sheetData>
    <row r="1" spans="1:23">
      <c r="A1" t="s">
        <v>9750</v>
      </c>
      <c r="B1" t="s">
        <v>9722</v>
      </c>
      <c r="C1" s="47" t="s">
        <v>9749</v>
      </c>
      <c r="D1">
        <v>5066</v>
      </c>
      <c r="E1" t="str">
        <f>+C1&amp;D1</f>
        <v>H000005066</v>
      </c>
      <c r="M1">
        <v>1000</v>
      </c>
      <c r="V1">
        <v>1000</v>
      </c>
    </row>
    <row r="2" spans="1:23">
      <c r="A2" t="s">
        <v>9751</v>
      </c>
      <c r="B2" t="s">
        <v>9723</v>
      </c>
      <c r="C2" s="47" t="s">
        <v>9749</v>
      </c>
      <c r="D2">
        <f>+D1+1</f>
        <v>5067</v>
      </c>
      <c r="E2" t="str">
        <f t="shared" ref="E2:E22" si="0">+C2&amp;D2</f>
        <v>H000005067</v>
      </c>
      <c r="M2" t="s">
        <v>9750</v>
      </c>
      <c r="N2" t="s">
        <v>9722</v>
      </c>
      <c r="O2" t="s">
        <v>4938</v>
      </c>
      <c r="P2" t="s">
        <v>4938</v>
      </c>
      <c r="Q2" t="s">
        <v>4938</v>
      </c>
      <c r="R2" t="s">
        <v>4938</v>
      </c>
      <c r="S2" t="s">
        <v>4938</v>
      </c>
      <c r="V2" t="s">
        <v>9696</v>
      </c>
      <c r="W2" t="s">
        <v>9750</v>
      </c>
    </row>
    <row r="3" spans="1:23">
      <c r="A3" t="s">
        <v>9752</v>
      </c>
      <c r="B3" t="s">
        <v>9724</v>
      </c>
      <c r="C3" s="47" t="s">
        <v>9749</v>
      </c>
      <c r="D3">
        <f t="shared" ref="D3:D22" si="1">+D2+1</f>
        <v>5068</v>
      </c>
      <c r="E3" t="str">
        <f t="shared" si="0"/>
        <v>H000005068</v>
      </c>
      <c r="M3" t="s">
        <v>9751</v>
      </c>
      <c r="N3" t="s">
        <v>9723</v>
      </c>
      <c r="O3" t="s">
        <v>4938</v>
      </c>
      <c r="P3" t="s">
        <v>4938</v>
      </c>
      <c r="Q3" t="s">
        <v>4938</v>
      </c>
      <c r="R3" t="s">
        <v>4938</v>
      </c>
      <c r="S3" t="s">
        <v>4938</v>
      </c>
      <c r="V3" t="s">
        <v>9696</v>
      </c>
      <c r="W3" t="s">
        <v>9751</v>
      </c>
    </row>
    <row r="4" spans="1:23">
      <c r="A4" t="s">
        <v>9753</v>
      </c>
      <c r="B4" t="s">
        <v>9725</v>
      </c>
      <c r="C4" s="47" t="s">
        <v>9749</v>
      </c>
      <c r="D4">
        <f t="shared" si="1"/>
        <v>5069</v>
      </c>
      <c r="E4" t="str">
        <f t="shared" si="0"/>
        <v>H000005069</v>
      </c>
      <c r="M4" t="s">
        <v>9752</v>
      </c>
      <c r="N4" t="s">
        <v>9724</v>
      </c>
      <c r="O4" t="s">
        <v>4938</v>
      </c>
      <c r="P4" t="s">
        <v>4938</v>
      </c>
      <c r="Q4" t="s">
        <v>4938</v>
      </c>
      <c r="R4" t="s">
        <v>4938</v>
      </c>
      <c r="S4" t="s">
        <v>4938</v>
      </c>
      <c r="V4" t="s">
        <v>9696</v>
      </c>
      <c r="W4" t="s">
        <v>9752</v>
      </c>
    </row>
    <row r="5" spans="1:23">
      <c r="A5" t="s">
        <v>9754</v>
      </c>
      <c r="B5" t="s">
        <v>9726</v>
      </c>
      <c r="C5" s="47" t="s">
        <v>9749</v>
      </c>
      <c r="D5">
        <f t="shared" si="1"/>
        <v>5070</v>
      </c>
      <c r="E5" t="str">
        <f t="shared" si="0"/>
        <v>H000005070</v>
      </c>
      <c r="M5" t="s">
        <v>9753</v>
      </c>
      <c r="N5" t="s">
        <v>9725</v>
      </c>
      <c r="O5" t="s">
        <v>4938</v>
      </c>
      <c r="P5" t="s">
        <v>4938</v>
      </c>
      <c r="Q5" t="s">
        <v>4938</v>
      </c>
      <c r="R5" t="s">
        <v>4938</v>
      </c>
      <c r="S5" t="s">
        <v>4938</v>
      </c>
      <c r="V5" t="s">
        <v>9696</v>
      </c>
      <c r="W5" t="s">
        <v>9753</v>
      </c>
    </row>
    <row r="6" spans="1:23">
      <c r="A6" t="s">
        <v>9755</v>
      </c>
      <c r="B6" t="s">
        <v>9727</v>
      </c>
      <c r="C6" s="47" t="s">
        <v>9749</v>
      </c>
      <c r="D6">
        <f t="shared" si="1"/>
        <v>5071</v>
      </c>
      <c r="E6" t="str">
        <f t="shared" si="0"/>
        <v>H000005071</v>
      </c>
      <c r="M6" t="s">
        <v>9754</v>
      </c>
      <c r="N6" t="s">
        <v>9726</v>
      </c>
      <c r="O6" t="s">
        <v>4938</v>
      </c>
      <c r="P6" t="s">
        <v>4938</v>
      </c>
      <c r="Q6" t="s">
        <v>4938</v>
      </c>
      <c r="R6" t="s">
        <v>4938</v>
      </c>
      <c r="S6" t="s">
        <v>4938</v>
      </c>
      <c r="V6" t="s">
        <v>9696</v>
      </c>
      <c r="W6" t="s">
        <v>9754</v>
      </c>
    </row>
    <row r="7" spans="1:23">
      <c r="A7" t="s">
        <v>9756</v>
      </c>
      <c r="B7" t="s">
        <v>9728</v>
      </c>
      <c r="C7" s="47" t="s">
        <v>9749</v>
      </c>
      <c r="D7">
        <f t="shared" si="1"/>
        <v>5072</v>
      </c>
      <c r="E7" t="str">
        <f t="shared" si="0"/>
        <v>H000005072</v>
      </c>
      <c r="M7" t="s">
        <v>9755</v>
      </c>
      <c r="N7" t="s">
        <v>9727</v>
      </c>
      <c r="O7" t="s">
        <v>4938</v>
      </c>
      <c r="P7" t="s">
        <v>4938</v>
      </c>
      <c r="Q7" t="s">
        <v>4938</v>
      </c>
      <c r="R7" t="s">
        <v>4938</v>
      </c>
      <c r="S7" t="s">
        <v>4938</v>
      </c>
      <c r="V7" t="s">
        <v>9696</v>
      </c>
      <c r="W7" t="s">
        <v>9755</v>
      </c>
    </row>
    <row r="8" spans="1:23">
      <c r="A8" t="s">
        <v>9757</v>
      </c>
      <c r="B8" t="s">
        <v>9729</v>
      </c>
      <c r="C8" s="47" t="s">
        <v>9749</v>
      </c>
      <c r="D8">
        <f t="shared" si="1"/>
        <v>5073</v>
      </c>
      <c r="E8" t="str">
        <f t="shared" si="0"/>
        <v>H000005073</v>
      </c>
      <c r="M8" t="s">
        <v>9756</v>
      </c>
      <c r="N8" t="s">
        <v>9728</v>
      </c>
      <c r="O8" t="s">
        <v>4938</v>
      </c>
      <c r="P8" t="s">
        <v>4938</v>
      </c>
      <c r="Q8" t="s">
        <v>4938</v>
      </c>
      <c r="R8" t="s">
        <v>4938</v>
      </c>
      <c r="S8" t="s">
        <v>4938</v>
      </c>
      <c r="V8" t="s">
        <v>9696</v>
      </c>
      <c r="W8" t="s">
        <v>9756</v>
      </c>
    </row>
    <row r="9" spans="1:23">
      <c r="A9" t="s">
        <v>9758</v>
      </c>
      <c r="B9" t="s">
        <v>9730</v>
      </c>
      <c r="C9" s="47" t="s">
        <v>9749</v>
      </c>
      <c r="D9">
        <f t="shared" si="1"/>
        <v>5074</v>
      </c>
      <c r="E9" t="str">
        <f t="shared" si="0"/>
        <v>H000005074</v>
      </c>
      <c r="M9" t="s">
        <v>9757</v>
      </c>
      <c r="N9" t="s">
        <v>9729</v>
      </c>
      <c r="O9" t="s">
        <v>4938</v>
      </c>
      <c r="P9" t="s">
        <v>4938</v>
      </c>
      <c r="Q9" t="s">
        <v>4938</v>
      </c>
      <c r="R9" t="s">
        <v>4938</v>
      </c>
      <c r="S9" t="s">
        <v>4938</v>
      </c>
      <c r="V9" t="s">
        <v>9696</v>
      </c>
      <c r="W9" t="s">
        <v>9757</v>
      </c>
    </row>
    <row r="10" spans="1:23">
      <c r="A10" t="s">
        <v>9759</v>
      </c>
      <c r="B10" t="s">
        <v>9731</v>
      </c>
      <c r="C10" s="47" t="s">
        <v>9749</v>
      </c>
      <c r="D10">
        <f t="shared" si="1"/>
        <v>5075</v>
      </c>
      <c r="E10" t="str">
        <f t="shared" si="0"/>
        <v>H000005075</v>
      </c>
      <c r="M10" t="s">
        <v>9758</v>
      </c>
      <c r="N10" t="s">
        <v>9730</v>
      </c>
      <c r="O10" t="s">
        <v>4938</v>
      </c>
      <c r="P10" t="s">
        <v>4938</v>
      </c>
      <c r="Q10" t="s">
        <v>4938</v>
      </c>
      <c r="R10" t="s">
        <v>4938</v>
      </c>
      <c r="S10" t="s">
        <v>4938</v>
      </c>
      <c r="V10" t="s">
        <v>9696</v>
      </c>
      <c r="W10" t="s">
        <v>9758</v>
      </c>
    </row>
    <row r="11" spans="1:23">
      <c r="A11" t="s">
        <v>9760</v>
      </c>
      <c r="B11" t="s">
        <v>9732</v>
      </c>
      <c r="C11" s="47" t="s">
        <v>9749</v>
      </c>
      <c r="D11">
        <f t="shared" si="1"/>
        <v>5076</v>
      </c>
      <c r="E11" t="str">
        <f t="shared" si="0"/>
        <v>H000005076</v>
      </c>
      <c r="M11" t="s">
        <v>9759</v>
      </c>
      <c r="N11" t="s">
        <v>9731</v>
      </c>
      <c r="O11" t="s">
        <v>4938</v>
      </c>
      <c r="P11" t="s">
        <v>4938</v>
      </c>
      <c r="Q11" t="s">
        <v>4938</v>
      </c>
      <c r="R11" t="s">
        <v>4938</v>
      </c>
      <c r="S11" t="s">
        <v>4938</v>
      </c>
      <c r="V11" t="s">
        <v>9696</v>
      </c>
      <c r="W11" t="s">
        <v>9759</v>
      </c>
    </row>
    <row r="12" spans="1:23">
      <c r="A12" t="s">
        <v>9761</v>
      </c>
      <c r="B12" t="s">
        <v>9733</v>
      </c>
      <c r="C12" s="47" t="s">
        <v>9749</v>
      </c>
      <c r="D12">
        <f t="shared" si="1"/>
        <v>5077</v>
      </c>
      <c r="E12" t="str">
        <f t="shared" si="0"/>
        <v>H000005077</v>
      </c>
      <c r="M12" t="s">
        <v>9760</v>
      </c>
      <c r="N12" t="s">
        <v>9732</v>
      </c>
      <c r="O12" t="s">
        <v>4938</v>
      </c>
      <c r="P12" t="s">
        <v>4938</v>
      </c>
      <c r="Q12" t="s">
        <v>4938</v>
      </c>
      <c r="R12" t="s">
        <v>4938</v>
      </c>
      <c r="S12" t="s">
        <v>4938</v>
      </c>
      <c r="V12" t="s">
        <v>9696</v>
      </c>
      <c r="W12" t="s">
        <v>9760</v>
      </c>
    </row>
    <row r="13" spans="1:23">
      <c r="A13" t="s">
        <v>9762</v>
      </c>
      <c r="B13" t="s">
        <v>9734</v>
      </c>
      <c r="C13" s="47" t="s">
        <v>9749</v>
      </c>
      <c r="D13">
        <f t="shared" si="1"/>
        <v>5078</v>
      </c>
      <c r="E13" t="str">
        <f t="shared" si="0"/>
        <v>H000005078</v>
      </c>
      <c r="M13" t="s">
        <v>9761</v>
      </c>
      <c r="N13" t="s">
        <v>9733</v>
      </c>
      <c r="O13" t="s">
        <v>4938</v>
      </c>
      <c r="P13" t="s">
        <v>4938</v>
      </c>
      <c r="Q13" t="s">
        <v>4938</v>
      </c>
      <c r="R13" t="s">
        <v>4938</v>
      </c>
      <c r="S13" t="s">
        <v>4938</v>
      </c>
      <c r="V13" t="s">
        <v>9696</v>
      </c>
      <c r="W13" t="s">
        <v>9761</v>
      </c>
    </row>
    <row r="14" spans="1:23">
      <c r="A14" t="s">
        <v>9763</v>
      </c>
      <c r="B14" t="s">
        <v>9735</v>
      </c>
      <c r="C14" s="47" t="s">
        <v>9749</v>
      </c>
      <c r="D14">
        <f t="shared" si="1"/>
        <v>5079</v>
      </c>
      <c r="E14" t="str">
        <f t="shared" si="0"/>
        <v>H000005079</v>
      </c>
      <c r="M14" t="s">
        <v>9762</v>
      </c>
      <c r="N14" t="s">
        <v>9734</v>
      </c>
      <c r="O14" t="s">
        <v>4938</v>
      </c>
      <c r="P14" t="s">
        <v>4938</v>
      </c>
      <c r="Q14" t="s">
        <v>4938</v>
      </c>
      <c r="R14" t="s">
        <v>4938</v>
      </c>
      <c r="S14" t="s">
        <v>4938</v>
      </c>
      <c r="V14" t="s">
        <v>9707</v>
      </c>
      <c r="W14" t="s">
        <v>9762</v>
      </c>
    </row>
    <row r="15" spans="1:23">
      <c r="A15" t="s">
        <v>9764</v>
      </c>
      <c r="B15" t="s">
        <v>9736</v>
      </c>
      <c r="C15" s="47" t="s">
        <v>9749</v>
      </c>
      <c r="D15">
        <f t="shared" si="1"/>
        <v>5080</v>
      </c>
      <c r="E15" t="str">
        <f t="shared" si="0"/>
        <v>H000005080</v>
      </c>
      <c r="M15" t="s">
        <v>9763</v>
      </c>
      <c r="N15" t="s">
        <v>9735</v>
      </c>
      <c r="O15" t="s">
        <v>4938</v>
      </c>
      <c r="P15" t="s">
        <v>4938</v>
      </c>
      <c r="Q15" t="s">
        <v>4938</v>
      </c>
      <c r="R15" t="s">
        <v>4938</v>
      </c>
      <c r="S15" t="s">
        <v>4938</v>
      </c>
      <c r="V15" t="s">
        <v>9707</v>
      </c>
      <c r="W15" t="s">
        <v>9763</v>
      </c>
    </row>
    <row r="16" spans="1:23">
      <c r="A16" t="s">
        <v>9765</v>
      </c>
      <c r="B16" t="s">
        <v>9737</v>
      </c>
      <c r="C16" s="47" t="s">
        <v>9749</v>
      </c>
      <c r="D16">
        <f t="shared" si="1"/>
        <v>5081</v>
      </c>
      <c r="E16" t="str">
        <f t="shared" si="0"/>
        <v>H000005081</v>
      </c>
      <c r="M16" t="s">
        <v>9764</v>
      </c>
      <c r="N16" t="s">
        <v>9736</v>
      </c>
      <c r="O16" t="s">
        <v>4938</v>
      </c>
      <c r="P16" t="s">
        <v>4938</v>
      </c>
      <c r="Q16" t="s">
        <v>4938</v>
      </c>
      <c r="R16" t="s">
        <v>4938</v>
      </c>
      <c r="S16" t="s">
        <v>4938</v>
      </c>
      <c r="V16" t="s">
        <v>9707</v>
      </c>
      <c r="W16" t="s">
        <v>9764</v>
      </c>
    </row>
    <row r="17" spans="1:23">
      <c r="A17" t="s">
        <v>9766</v>
      </c>
      <c r="B17" t="s">
        <v>9738</v>
      </c>
      <c r="C17" s="47" t="s">
        <v>9749</v>
      </c>
      <c r="D17">
        <f t="shared" si="1"/>
        <v>5082</v>
      </c>
      <c r="E17" t="str">
        <f t="shared" si="0"/>
        <v>H000005082</v>
      </c>
      <c r="M17" t="s">
        <v>9765</v>
      </c>
      <c r="N17" t="s">
        <v>9737</v>
      </c>
      <c r="O17" t="s">
        <v>4938</v>
      </c>
      <c r="P17" t="s">
        <v>4938</v>
      </c>
      <c r="Q17" t="s">
        <v>4938</v>
      </c>
      <c r="R17" t="s">
        <v>4938</v>
      </c>
      <c r="S17" t="s">
        <v>4938</v>
      </c>
      <c r="V17" t="s">
        <v>9707</v>
      </c>
      <c r="W17" t="s">
        <v>9765</v>
      </c>
    </row>
    <row r="18" spans="1:23">
      <c r="A18" t="s">
        <v>9767</v>
      </c>
      <c r="B18" t="s">
        <v>9739</v>
      </c>
      <c r="C18" s="47" t="s">
        <v>9749</v>
      </c>
      <c r="D18">
        <f t="shared" si="1"/>
        <v>5083</v>
      </c>
      <c r="E18" t="str">
        <f t="shared" si="0"/>
        <v>H000005083</v>
      </c>
      <c r="M18" t="s">
        <v>9766</v>
      </c>
      <c r="N18" t="s">
        <v>9738</v>
      </c>
      <c r="O18" t="s">
        <v>4938</v>
      </c>
      <c r="P18" t="s">
        <v>4938</v>
      </c>
      <c r="Q18" t="s">
        <v>4938</v>
      </c>
      <c r="R18" t="s">
        <v>4938</v>
      </c>
      <c r="S18" t="s">
        <v>4938</v>
      </c>
      <c r="V18" t="s">
        <v>9707</v>
      </c>
      <c r="W18" t="s">
        <v>9766</v>
      </c>
    </row>
    <row r="19" spans="1:23">
      <c r="A19" t="s">
        <v>9768</v>
      </c>
      <c r="B19" t="s">
        <v>9740</v>
      </c>
      <c r="C19" s="47" t="s">
        <v>9749</v>
      </c>
      <c r="D19">
        <f t="shared" si="1"/>
        <v>5084</v>
      </c>
      <c r="E19" t="str">
        <f t="shared" si="0"/>
        <v>H000005084</v>
      </c>
      <c r="M19" t="s">
        <v>9767</v>
      </c>
      <c r="N19" t="s">
        <v>9739</v>
      </c>
      <c r="O19" t="s">
        <v>4938</v>
      </c>
      <c r="P19" t="s">
        <v>4938</v>
      </c>
      <c r="Q19" t="s">
        <v>4938</v>
      </c>
      <c r="R19" t="s">
        <v>4938</v>
      </c>
      <c r="S19" t="s">
        <v>4938</v>
      </c>
      <c r="V19" t="s">
        <v>9707</v>
      </c>
      <c r="W19" t="s">
        <v>9767</v>
      </c>
    </row>
    <row r="20" spans="1:23">
      <c r="A20" t="s">
        <v>9769</v>
      </c>
      <c r="B20" t="s">
        <v>9741</v>
      </c>
      <c r="C20" s="47" t="s">
        <v>9749</v>
      </c>
      <c r="D20">
        <f t="shared" si="1"/>
        <v>5085</v>
      </c>
      <c r="E20" t="str">
        <f t="shared" si="0"/>
        <v>H000005085</v>
      </c>
      <c r="M20" t="s">
        <v>9768</v>
      </c>
      <c r="N20" t="s">
        <v>9740</v>
      </c>
      <c r="O20" t="s">
        <v>4938</v>
      </c>
      <c r="P20" t="s">
        <v>4938</v>
      </c>
      <c r="Q20" t="s">
        <v>4938</v>
      </c>
      <c r="R20" t="s">
        <v>4938</v>
      </c>
      <c r="S20" t="s">
        <v>4938</v>
      </c>
      <c r="V20" t="s">
        <v>9707</v>
      </c>
      <c r="W20" t="s">
        <v>9768</v>
      </c>
    </row>
    <row r="21" spans="1:23">
      <c r="A21" t="s">
        <v>9770</v>
      </c>
      <c r="B21" t="s">
        <v>9742</v>
      </c>
      <c r="C21" s="47" t="s">
        <v>9749</v>
      </c>
      <c r="D21">
        <f t="shared" si="1"/>
        <v>5086</v>
      </c>
      <c r="E21" t="str">
        <f t="shared" si="0"/>
        <v>H000005086</v>
      </c>
      <c r="M21" t="s">
        <v>9769</v>
      </c>
      <c r="N21" t="s">
        <v>9741</v>
      </c>
      <c r="O21" t="s">
        <v>4938</v>
      </c>
      <c r="P21" t="s">
        <v>4938</v>
      </c>
      <c r="Q21" t="s">
        <v>4938</v>
      </c>
      <c r="R21" t="s">
        <v>4938</v>
      </c>
      <c r="S21" t="s">
        <v>4938</v>
      </c>
      <c r="V21" t="s">
        <v>9707</v>
      </c>
      <c r="W21" t="s">
        <v>9769</v>
      </c>
    </row>
    <row r="22" spans="1:23">
      <c r="A22" t="s">
        <v>9771</v>
      </c>
      <c r="B22" t="s">
        <v>9743</v>
      </c>
      <c r="C22" s="47" t="s">
        <v>9749</v>
      </c>
      <c r="D22">
        <f t="shared" si="1"/>
        <v>5087</v>
      </c>
      <c r="E22" t="str">
        <f t="shared" si="0"/>
        <v>H000005087</v>
      </c>
      <c r="M22" t="s">
        <v>9770</v>
      </c>
      <c r="N22" t="s">
        <v>9742</v>
      </c>
      <c r="O22" t="s">
        <v>4938</v>
      </c>
      <c r="P22" t="s">
        <v>4938</v>
      </c>
      <c r="Q22" t="s">
        <v>4938</v>
      </c>
      <c r="R22" t="s">
        <v>4938</v>
      </c>
      <c r="S22" t="s">
        <v>4938</v>
      </c>
      <c r="V22" t="s">
        <v>9707</v>
      </c>
      <c r="W22" t="s">
        <v>9770</v>
      </c>
    </row>
    <row r="23" spans="1:23">
      <c r="M23" t="s">
        <v>9771</v>
      </c>
      <c r="N23" t="s">
        <v>9743</v>
      </c>
      <c r="O23" t="s">
        <v>4938</v>
      </c>
      <c r="P23" t="s">
        <v>4938</v>
      </c>
      <c r="Q23" t="s">
        <v>4938</v>
      </c>
      <c r="R23" t="s">
        <v>4938</v>
      </c>
      <c r="S23" t="s">
        <v>4938</v>
      </c>
      <c r="V23" t="s">
        <v>9707</v>
      </c>
      <c r="W23" t="s">
        <v>9771</v>
      </c>
    </row>
    <row r="24" spans="1:23">
      <c r="M24" t="s">
        <v>9703</v>
      </c>
      <c r="N24" t="s">
        <v>9745</v>
      </c>
      <c r="O24" t="s">
        <v>4938</v>
      </c>
      <c r="P24" t="s">
        <v>4938</v>
      </c>
      <c r="Q24" t="s">
        <v>4938</v>
      </c>
      <c r="R24" t="s">
        <v>4938</v>
      </c>
      <c r="S24" t="s">
        <v>4938</v>
      </c>
    </row>
    <row r="25" spans="1:23">
      <c r="M25" t="s">
        <v>9746</v>
      </c>
      <c r="N25" t="s">
        <v>9747</v>
      </c>
      <c r="O25" t="s">
        <v>4938</v>
      </c>
      <c r="P25" t="s">
        <v>4938</v>
      </c>
      <c r="Q25" t="s">
        <v>4938</v>
      </c>
      <c r="R25" t="s">
        <v>4938</v>
      </c>
      <c r="S25" t="s">
        <v>4938</v>
      </c>
    </row>
  </sheetData>
  <conditionalFormatting sqref="C1:C2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outlinePr summaryBelow="0"/>
  </sheetPr>
  <dimension ref="A1:G388"/>
  <sheetViews>
    <sheetView workbookViewId="0">
      <selection activeCell="G22" sqref="G22"/>
    </sheetView>
  </sheetViews>
  <sheetFormatPr defaultRowHeight="15"/>
  <cols>
    <col min="1" max="1" width="11.7109375" style="10" bestFit="1" customWidth="1"/>
    <col min="2" max="2" width="43.28515625" style="9" bestFit="1" customWidth="1"/>
    <col min="3" max="7" width="14.140625" style="9" bestFit="1" customWidth="1"/>
  </cols>
  <sheetData>
    <row r="1" spans="1:7" ht="19.5" customHeight="1">
      <c r="A1" s="4">
        <v>1000</v>
      </c>
      <c r="B1" s="7"/>
      <c r="C1" s="7"/>
      <c r="D1" s="7"/>
      <c r="E1" s="7"/>
      <c r="F1" s="7"/>
      <c r="G1" s="7"/>
    </row>
    <row r="2" spans="1:7" ht="19.5" customHeight="1">
      <c r="A2" s="8" t="s">
        <v>3864</v>
      </c>
      <c r="B2" s="7" t="s">
        <v>4937</v>
      </c>
      <c r="C2" s="7" t="s">
        <v>4938</v>
      </c>
      <c r="D2" s="7" t="s">
        <v>4938</v>
      </c>
      <c r="E2" s="7" t="s">
        <v>4938</v>
      </c>
      <c r="F2" s="7" t="s">
        <v>4938</v>
      </c>
      <c r="G2" s="7" t="s">
        <v>4938</v>
      </c>
    </row>
    <row r="3" spans="1:7" ht="19.5" customHeight="1">
      <c r="A3" s="8" t="s">
        <v>4939</v>
      </c>
      <c r="B3" s="7" t="s">
        <v>4940</v>
      </c>
      <c r="C3" s="7" t="s">
        <v>4938</v>
      </c>
      <c r="D3" s="7" t="s">
        <v>4938</v>
      </c>
      <c r="E3" s="7" t="s">
        <v>4938</v>
      </c>
      <c r="F3" s="7" t="s">
        <v>4938</v>
      </c>
      <c r="G3" s="7" t="s">
        <v>4938</v>
      </c>
    </row>
    <row r="4" spans="1:7" ht="19.5" customHeight="1">
      <c r="A4" s="8" t="s">
        <v>4941</v>
      </c>
      <c r="B4" s="7" t="s">
        <v>4942</v>
      </c>
      <c r="C4" s="7" t="s">
        <v>4938</v>
      </c>
      <c r="D4" s="7" t="s">
        <v>4938</v>
      </c>
      <c r="E4" s="7" t="s">
        <v>4938</v>
      </c>
      <c r="F4" s="7" t="s">
        <v>4938</v>
      </c>
      <c r="G4" s="7" t="s">
        <v>4938</v>
      </c>
    </row>
    <row r="5" spans="1:7" ht="19.5" customHeight="1">
      <c r="A5" s="8" t="s">
        <v>4943</v>
      </c>
      <c r="B5" s="7" t="s">
        <v>4944</v>
      </c>
      <c r="C5" s="7" t="s">
        <v>4938</v>
      </c>
      <c r="D5" s="7" t="s">
        <v>4938</v>
      </c>
      <c r="E5" s="7" t="s">
        <v>4938</v>
      </c>
      <c r="F5" s="7" t="s">
        <v>4938</v>
      </c>
      <c r="G5" s="7" t="s">
        <v>4938</v>
      </c>
    </row>
    <row r="6" spans="1:7" ht="19.5" customHeight="1">
      <c r="A6" s="8" t="s">
        <v>4945</v>
      </c>
      <c r="B6" s="7" t="s">
        <v>4946</v>
      </c>
      <c r="C6" s="7" t="s">
        <v>4938</v>
      </c>
      <c r="D6" s="7" t="s">
        <v>4938</v>
      </c>
      <c r="E6" s="7" t="s">
        <v>4938</v>
      </c>
      <c r="F6" s="7" t="s">
        <v>4938</v>
      </c>
      <c r="G6" s="7" t="s">
        <v>4938</v>
      </c>
    </row>
    <row r="7" spans="1:7" ht="19.5" customHeight="1">
      <c r="A7" s="8" t="s">
        <v>4947</v>
      </c>
      <c r="B7" s="7" t="s">
        <v>4948</v>
      </c>
      <c r="C7" s="7" t="s">
        <v>4938</v>
      </c>
      <c r="D7" s="7" t="s">
        <v>4938</v>
      </c>
      <c r="E7" s="7" t="s">
        <v>4938</v>
      </c>
      <c r="F7" s="7" t="s">
        <v>4938</v>
      </c>
      <c r="G7" s="7" t="s">
        <v>4938</v>
      </c>
    </row>
    <row r="8" spans="1:7" ht="19.5" customHeight="1">
      <c r="A8" s="8" t="s">
        <v>4802</v>
      </c>
      <c r="B8" s="7" t="s">
        <v>4949</v>
      </c>
      <c r="C8" s="7" t="s">
        <v>4938</v>
      </c>
      <c r="D8" s="7" t="s">
        <v>4938</v>
      </c>
      <c r="E8" s="7" t="s">
        <v>4938</v>
      </c>
      <c r="F8" s="7" t="s">
        <v>4938</v>
      </c>
      <c r="G8" s="7" t="s">
        <v>4938</v>
      </c>
    </row>
    <row r="9" spans="1:7" ht="19.5" customHeight="1">
      <c r="A9" s="8" t="s">
        <v>4805</v>
      </c>
      <c r="B9" s="7" t="s">
        <v>4950</v>
      </c>
      <c r="C9" s="7" t="s">
        <v>4938</v>
      </c>
      <c r="D9" s="7" t="s">
        <v>4938</v>
      </c>
      <c r="E9" s="7" t="s">
        <v>4938</v>
      </c>
      <c r="F9" s="7" t="s">
        <v>4938</v>
      </c>
      <c r="G9" s="7" t="s">
        <v>4938</v>
      </c>
    </row>
    <row r="10" spans="1:7" ht="19.5" customHeight="1">
      <c r="A10" s="8" t="s">
        <v>4808</v>
      </c>
      <c r="B10" s="7" t="s">
        <v>4951</v>
      </c>
      <c r="C10" s="7" t="s">
        <v>4938</v>
      </c>
      <c r="D10" s="7" t="s">
        <v>4938</v>
      </c>
      <c r="E10" s="7" t="s">
        <v>4938</v>
      </c>
      <c r="F10" s="7" t="s">
        <v>4938</v>
      </c>
      <c r="G10" s="7" t="s">
        <v>4938</v>
      </c>
    </row>
    <row r="11" spans="1:7" ht="19.5" customHeight="1">
      <c r="A11" s="8" t="s">
        <v>4810</v>
      </c>
      <c r="B11" s="7" t="s">
        <v>4952</v>
      </c>
      <c r="C11" s="7" t="s">
        <v>4938</v>
      </c>
      <c r="D11" s="7" t="s">
        <v>4938</v>
      </c>
      <c r="E11" s="7" t="s">
        <v>4938</v>
      </c>
      <c r="F11" s="7" t="s">
        <v>4938</v>
      </c>
      <c r="G11" s="7" t="s">
        <v>4938</v>
      </c>
    </row>
    <row r="12" spans="1:7" ht="19.5" customHeight="1">
      <c r="A12" s="8" t="s">
        <v>4812</v>
      </c>
      <c r="B12" s="7" t="s">
        <v>4953</v>
      </c>
      <c r="C12" s="7" t="s">
        <v>4938</v>
      </c>
      <c r="D12" s="7" t="s">
        <v>4938</v>
      </c>
      <c r="E12" s="7" t="s">
        <v>4938</v>
      </c>
      <c r="F12" s="7" t="s">
        <v>4938</v>
      </c>
      <c r="G12" s="7" t="s">
        <v>4938</v>
      </c>
    </row>
    <row r="13" spans="1:7" ht="19.5" customHeight="1">
      <c r="A13" s="8" t="s">
        <v>4815</v>
      </c>
      <c r="B13" s="7" t="s">
        <v>4954</v>
      </c>
      <c r="C13" s="7" t="s">
        <v>4938</v>
      </c>
      <c r="D13" s="7" t="s">
        <v>4938</v>
      </c>
      <c r="E13" s="7" t="s">
        <v>4938</v>
      </c>
      <c r="F13" s="7" t="s">
        <v>4938</v>
      </c>
      <c r="G13" s="7" t="s">
        <v>4938</v>
      </c>
    </row>
    <row r="14" spans="1:7" ht="19.5" customHeight="1">
      <c r="A14" s="8" t="s">
        <v>4817</v>
      </c>
      <c r="B14" s="7" t="s">
        <v>4955</v>
      </c>
      <c r="C14" s="7" t="s">
        <v>4938</v>
      </c>
      <c r="D14" s="7" t="s">
        <v>4938</v>
      </c>
      <c r="E14" s="7" t="s">
        <v>4938</v>
      </c>
      <c r="F14" s="7" t="s">
        <v>4938</v>
      </c>
      <c r="G14" s="7" t="s">
        <v>4938</v>
      </c>
    </row>
    <row r="15" spans="1:7" ht="19.5" customHeight="1">
      <c r="A15" s="8" t="s">
        <v>4819</v>
      </c>
      <c r="B15" s="7" t="s">
        <v>4956</v>
      </c>
      <c r="C15" s="7" t="s">
        <v>4938</v>
      </c>
      <c r="D15" s="7" t="s">
        <v>4938</v>
      </c>
      <c r="E15" s="7" t="s">
        <v>4938</v>
      </c>
      <c r="F15" s="7" t="s">
        <v>4938</v>
      </c>
      <c r="G15" s="7" t="s">
        <v>4938</v>
      </c>
    </row>
    <row r="16" spans="1:7" ht="19.5" customHeight="1">
      <c r="A16" s="8" t="s">
        <v>4821</v>
      </c>
      <c r="B16" s="7" t="s">
        <v>4957</v>
      </c>
      <c r="C16" s="7" t="s">
        <v>4938</v>
      </c>
      <c r="D16" s="7" t="s">
        <v>4938</v>
      </c>
      <c r="E16" s="7" t="s">
        <v>4938</v>
      </c>
      <c r="F16" s="7" t="s">
        <v>4938</v>
      </c>
      <c r="G16" s="7" t="s">
        <v>4938</v>
      </c>
    </row>
    <row r="17" spans="1:7" ht="19.5" customHeight="1">
      <c r="A17" s="8" t="s">
        <v>4823</v>
      </c>
      <c r="B17" s="7" t="s">
        <v>4958</v>
      </c>
      <c r="C17" s="7" t="s">
        <v>4938</v>
      </c>
      <c r="D17" s="7" t="s">
        <v>4938</v>
      </c>
      <c r="E17" s="7" t="s">
        <v>4938</v>
      </c>
      <c r="F17" s="7" t="s">
        <v>4938</v>
      </c>
      <c r="G17" s="7" t="s">
        <v>4938</v>
      </c>
    </row>
    <row r="18" spans="1:7" ht="19.5" customHeight="1">
      <c r="A18" s="8" t="s">
        <v>4826</v>
      </c>
      <c r="B18" s="7" t="s">
        <v>4959</v>
      </c>
      <c r="C18" s="7" t="s">
        <v>4938</v>
      </c>
      <c r="D18" s="7" t="s">
        <v>4938</v>
      </c>
      <c r="E18" s="7" t="s">
        <v>4938</v>
      </c>
      <c r="F18" s="7" t="s">
        <v>4938</v>
      </c>
      <c r="G18" s="7" t="s">
        <v>4938</v>
      </c>
    </row>
    <row r="19" spans="1:7" ht="19.5" customHeight="1">
      <c r="A19" s="8" t="s">
        <v>4829</v>
      </c>
      <c r="B19" s="7" t="s">
        <v>4960</v>
      </c>
      <c r="C19" s="7" t="s">
        <v>4938</v>
      </c>
      <c r="D19" s="7" t="s">
        <v>4938</v>
      </c>
      <c r="E19" s="7" t="s">
        <v>4938</v>
      </c>
      <c r="F19" s="7" t="s">
        <v>4938</v>
      </c>
      <c r="G19" s="7" t="s">
        <v>4938</v>
      </c>
    </row>
    <row r="20" spans="1:7" ht="19.5" customHeight="1">
      <c r="A20" s="8" t="s">
        <v>4832</v>
      </c>
      <c r="B20" s="7" t="s">
        <v>4961</v>
      </c>
      <c r="C20" s="7" t="s">
        <v>4938</v>
      </c>
      <c r="D20" s="7" t="s">
        <v>4938</v>
      </c>
      <c r="E20" s="7" t="s">
        <v>4938</v>
      </c>
      <c r="F20" s="7" t="s">
        <v>4938</v>
      </c>
      <c r="G20" s="7" t="s">
        <v>4938</v>
      </c>
    </row>
    <row r="21" spans="1:7" ht="19.5" customHeight="1">
      <c r="A21" s="8" t="s">
        <v>4834</v>
      </c>
      <c r="B21" s="7" t="s">
        <v>4962</v>
      </c>
      <c r="C21" s="7" t="s">
        <v>4938</v>
      </c>
      <c r="D21" s="7" t="s">
        <v>4938</v>
      </c>
      <c r="E21" s="7" t="s">
        <v>4938</v>
      </c>
      <c r="F21" s="7" t="s">
        <v>4938</v>
      </c>
      <c r="G21" s="7" t="s">
        <v>4938</v>
      </c>
    </row>
    <row r="22" spans="1:7" ht="19.5" customHeight="1">
      <c r="A22" s="8" t="s">
        <v>4836</v>
      </c>
      <c r="B22" s="7" t="s">
        <v>4963</v>
      </c>
      <c r="C22" s="7" t="s">
        <v>4938</v>
      </c>
      <c r="D22" s="7" t="s">
        <v>4938</v>
      </c>
      <c r="E22" s="7" t="s">
        <v>4938</v>
      </c>
      <c r="F22" s="7" t="s">
        <v>4938</v>
      </c>
      <c r="G22" s="7" t="s">
        <v>4938</v>
      </c>
    </row>
    <row r="23" spans="1:7" ht="19.5" customHeight="1">
      <c r="A23" s="8" t="s">
        <v>4839</v>
      </c>
      <c r="B23" s="7" t="s">
        <v>4964</v>
      </c>
      <c r="C23" s="7" t="s">
        <v>4938</v>
      </c>
      <c r="D23" s="7" t="s">
        <v>4938</v>
      </c>
      <c r="E23" s="7" t="s">
        <v>4938</v>
      </c>
      <c r="F23" s="7" t="s">
        <v>4938</v>
      </c>
      <c r="G23" s="7" t="s">
        <v>4938</v>
      </c>
    </row>
    <row r="24" spans="1:7" ht="19.5" customHeight="1">
      <c r="A24" s="8" t="s">
        <v>4842</v>
      </c>
      <c r="B24" s="7" t="s">
        <v>4965</v>
      </c>
      <c r="C24" s="7" t="s">
        <v>4938</v>
      </c>
      <c r="D24" s="7" t="s">
        <v>4938</v>
      </c>
      <c r="E24" s="7" t="s">
        <v>4938</v>
      </c>
      <c r="F24" s="7" t="s">
        <v>4938</v>
      </c>
      <c r="G24" s="7" t="s">
        <v>4938</v>
      </c>
    </row>
    <row r="25" spans="1:7" ht="19.5" customHeight="1">
      <c r="A25" s="8" t="s">
        <v>4845</v>
      </c>
      <c r="B25" s="7" t="s">
        <v>4966</v>
      </c>
      <c r="C25" s="7" t="s">
        <v>4938</v>
      </c>
      <c r="D25" s="7" t="s">
        <v>4938</v>
      </c>
      <c r="E25" s="7" t="s">
        <v>4938</v>
      </c>
      <c r="F25" s="7" t="s">
        <v>4938</v>
      </c>
      <c r="G25" s="7" t="s">
        <v>4938</v>
      </c>
    </row>
    <row r="26" spans="1:7" ht="19.5" customHeight="1">
      <c r="A26" s="8" t="s">
        <v>4847</v>
      </c>
      <c r="B26" s="7" t="s">
        <v>4967</v>
      </c>
      <c r="C26" s="7" t="s">
        <v>4938</v>
      </c>
      <c r="D26" s="7" t="s">
        <v>4938</v>
      </c>
      <c r="E26" s="7" t="s">
        <v>4938</v>
      </c>
      <c r="F26" s="7" t="s">
        <v>4938</v>
      </c>
      <c r="G26" s="7" t="s">
        <v>4938</v>
      </c>
    </row>
    <row r="27" spans="1:7" ht="19.5" customHeight="1">
      <c r="A27" s="8" t="s">
        <v>4849</v>
      </c>
      <c r="B27" s="7" t="s">
        <v>4968</v>
      </c>
      <c r="C27" s="7" t="s">
        <v>4938</v>
      </c>
      <c r="D27" s="7" t="s">
        <v>4938</v>
      </c>
      <c r="E27" s="7" t="s">
        <v>4938</v>
      </c>
      <c r="F27" s="7" t="s">
        <v>4938</v>
      </c>
      <c r="G27" s="7" t="s">
        <v>4938</v>
      </c>
    </row>
    <row r="28" spans="1:7" ht="19.5" customHeight="1">
      <c r="A28" s="8" t="s">
        <v>4852</v>
      </c>
      <c r="B28" s="7" t="s">
        <v>4969</v>
      </c>
      <c r="C28" s="7" t="s">
        <v>4938</v>
      </c>
      <c r="D28" s="7" t="s">
        <v>4938</v>
      </c>
      <c r="E28" s="7" t="s">
        <v>4938</v>
      </c>
      <c r="F28" s="7" t="s">
        <v>4938</v>
      </c>
      <c r="G28" s="7" t="s">
        <v>4938</v>
      </c>
    </row>
    <row r="29" spans="1:7" ht="19.5" customHeight="1">
      <c r="A29" s="8" t="s">
        <v>4854</v>
      </c>
      <c r="B29" s="7" t="s">
        <v>4970</v>
      </c>
      <c r="C29" s="7" t="s">
        <v>4938</v>
      </c>
      <c r="D29" s="7" t="s">
        <v>4938</v>
      </c>
      <c r="E29" s="7" t="s">
        <v>4938</v>
      </c>
      <c r="F29" s="7" t="s">
        <v>4938</v>
      </c>
      <c r="G29" s="7" t="s">
        <v>4938</v>
      </c>
    </row>
    <row r="30" spans="1:7" ht="19.5" customHeight="1">
      <c r="A30" s="8" t="s">
        <v>4856</v>
      </c>
      <c r="B30" s="7" t="s">
        <v>4971</v>
      </c>
      <c r="C30" s="7" t="s">
        <v>4938</v>
      </c>
      <c r="D30" s="7" t="s">
        <v>4938</v>
      </c>
      <c r="E30" s="7" t="s">
        <v>4938</v>
      </c>
      <c r="F30" s="7" t="s">
        <v>4938</v>
      </c>
      <c r="G30" s="7" t="s">
        <v>4938</v>
      </c>
    </row>
    <row r="31" spans="1:7" ht="19.5" customHeight="1">
      <c r="A31" s="8" t="s">
        <v>4858</v>
      </c>
      <c r="B31" s="7" t="s">
        <v>4972</v>
      </c>
      <c r="C31" s="7" t="s">
        <v>4938</v>
      </c>
      <c r="D31" s="7" t="s">
        <v>4938</v>
      </c>
      <c r="E31" s="7" t="s">
        <v>4938</v>
      </c>
      <c r="F31" s="7" t="s">
        <v>4938</v>
      </c>
      <c r="G31" s="7" t="s">
        <v>4938</v>
      </c>
    </row>
    <row r="32" spans="1:7" ht="19.5" customHeight="1">
      <c r="A32" s="8" t="s">
        <v>4860</v>
      </c>
      <c r="B32" s="7" t="s">
        <v>4973</v>
      </c>
      <c r="C32" s="7" t="s">
        <v>4938</v>
      </c>
      <c r="D32" s="7" t="s">
        <v>4938</v>
      </c>
      <c r="E32" s="7" t="s">
        <v>4938</v>
      </c>
      <c r="F32" s="7" t="s">
        <v>4938</v>
      </c>
      <c r="G32" s="7" t="s">
        <v>4938</v>
      </c>
    </row>
    <row r="33" spans="1:7" ht="19.5" customHeight="1">
      <c r="A33" s="8" t="s">
        <v>4862</v>
      </c>
      <c r="B33" s="7" t="s">
        <v>4974</v>
      </c>
      <c r="C33" s="7" t="s">
        <v>4938</v>
      </c>
      <c r="D33" s="7" t="s">
        <v>4938</v>
      </c>
      <c r="E33" s="7" t="s">
        <v>4938</v>
      </c>
      <c r="F33" s="7" t="s">
        <v>4938</v>
      </c>
      <c r="G33" s="7" t="s">
        <v>4938</v>
      </c>
    </row>
    <row r="34" spans="1:7" ht="19.5" customHeight="1">
      <c r="A34" s="8" t="s">
        <v>4864</v>
      </c>
      <c r="B34" s="7" t="s">
        <v>4975</v>
      </c>
      <c r="C34" s="7" t="s">
        <v>4938</v>
      </c>
      <c r="D34" s="7" t="s">
        <v>4938</v>
      </c>
      <c r="E34" s="7" t="s">
        <v>4938</v>
      </c>
      <c r="F34" s="7" t="s">
        <v>4938</v>
      </c>
      <c r="G34" s="7" t="s">
        <v>4938</v>
      </c>
    </row>
    <row r="35" spans="1:7" ht="19.5" customHeight="1">
      <c r="A35" s="8" t="s">
        <v>4866</v>
      </c>
      <c r="B35" s="7" t="s">
        <v>4976</v>
      </c>
      <c r="C35" s="7" t="s">
        <v>4938</v>
      </c>
      <c r="D35" s="7" t="s">
        <v>4938</v>
      </c>
      <c r="E35" s="7" t="s">
        <v>4938</v>
      </c>
      <c r="F35" s="7" t="s">
        <v>4938</v>
      </c>
      <c r="G35" s="7" t="s">
        <v>4938</v>
      </c>
    </row>
    <row r="36" spans="1:7" ht="19.5" customHeight="1">
      <c r="A36" s="8" t="s">
        <v>4828</v>
      </c>
      <c r="B36" s="7" t="s">
        <v>4977</v>
      </c>
      <c r="C36" s="7" t="s">
        <v>4938</v>
      </c>
      <c r="D36" s="7" t="s">
        <v>4938</v>
      </c>
      <c r="E36" s="7" t="s">
        <v>4938</v>
      </c>
      <c r="F36" s="7" t="s">
        <v>4938</v>
      </c>
      <c r="G36" s="7" t="s">
        <v>4938</v>
      </c>
    </row>
    <row r="37" spans="1:7" ht="19.5" customHeight="1">
      <c r="A37" s="8" t="s">
        <v>4869</v>
      </c>
      <c r="B37" s="7" t="s">
        <v>4978</v>
      </c>
      <c r="C37" s="7" t="s">
        <v>4938</v>
      </c>
      <c r="D37" s="7" t="s">
        <v>4938</v>
      </c>
      <c r="E37" s="7" t="s">
        <v>4938</v>
      </c>
      <c r="F37" s="7" t="s">
        <v>4938</v>
      </c>
      <c r="G37" s="7" t="s">
        <v>4938</v>
      </c>
    </row>
    <row r="38" spans="1:7" ht="19.5" customHeight="1">
      <c r="A38" s="8" t="s">
        <v>4831</v>
      </c>
      <c r="B38" s="7" t="s">
        <v>4979</v>
      </c>
      <c r="C38" s="7" t="s">
        <v>4938</v>
      </c>
      <c r="D38" s="7" t="s">
        <v>4938</v>
      </c>
      <c r="E38" s="7" t="s">
        <v>4938</v>
      </c>
      <c r="F38" s="7" t="s">
        <v>4938</v>
      </c>
      <c r="G38" s="7" t="s">
        <v>4938</v>
      </c>
    </row>
    <row r="39" spans="1:7" ht="19.5" customHeight="1">
      <c r="A39" s="8" t="s">
        <v>4872</v>
      </c>
      <c r="B39" s="7" t="s">
        <v>4980</v>
      </c>
      <c r="C39" s="7" t="s">
        <v>4938</v>
      </c>
      <c r="D39" s="7" t="s">
        <v>4938</v>
      </c>
      <c r="E39" s="7" t="s">
        <v>4938</v>
      </c>
      <c r="F39" s="7" t="s">
        <v>4938</v>
      </c>
      <c r="G39" s="7" t="s">
        <v>4938</v>
      </c>
    </row>
    <row r="40" spans="1:7" ht="19.5" customHeight="1">
      <c r="A40" s="8" t="s">
        <v>4874</v>
      </c>
      <c r="B40" s="7" t="s">
        <v>4981</v>
      </c>
      <c r="C40" s="7" t="s">
        <v>4938</v>
      </c>
      <c r="D40" s="7" t="s">
        <v>4938</v>
      </c>
      <c r="E40" s="7" t="s">
        <v>4938</v>
      </c>
      <c r="F40" s="7" t="s">
        <v>4938</v>
      </c>
      <c r="G40" s="7" t="s">
        <v>4938</v>
      </c>
    </row>
    <row r="41" spans="1:7" ht="19.5" customHeight="1">
      <c r="A41" s="8" t="s">
        <v>4876</v>
      </c>
      <c r="B41" s="7" t="s">
        <v>4982</v>
      </c>
      <c r="C41" s="7" t="s">
        <v>4938</v>
      </c>
      <c r="D41" s="7" t="s">
        <v>4938</v>
      </c>
      <c r="E41" s="7" t="s">
        <v>4938</v>
      </c>
      <c r="F41" s="7" t="s">
        <v>4938</v>
      </c>
      <c r="G41" s="7" t="s">
        <v>4938</v>
      </c>
    </row>
    <row r="42" spans="1:7" ht="19.5" customHeight="1">
      <c r="A42" s="8" t="s">
        <v>4878</v>
      </c>
      <c r="B42" s="7" t="s">
        <v>4983</v>
      </c>
      <c r="C42" s="7" t="s">
        <v>4938</v>
      </c>
      <c r="D42" s="7" t="s">
        <v>4938</v>
      </c>
      <c r="E42" s="7" t="s">
        <v>4938</v>
      </c>
      <c r="F42" s="7" t="s">
        <v>4938</v>
      </c>
      <c r="G42" s="7" t="s">
        <v>4938</v>
      </c>
    </row>
    <row r="43" spans="1:7" ht="19.5" customHeight="1">
      <c r="A43" s="8" t="s">
        <v>4881</v>
      </c>
      <c r="B43" s="7" t="s">
        <v>4984</v>
      </c>
      <c r="C43" s="7" t="s">
        <v>4938</v>
      </c>
      <c r="D43" s="7" t="s">
        <v>4938</v>
      </c>
      <c r="E43" s="7" t="s">
        <v>4938</v>
      </c>
      <c r="F43" s="7" t="s">
        <v>4938</v>
      </c>
      <c r="G43" s="7" t="s">
        <v>4938</v>
      </c>
    </row>
    <row r="44" spans="1:7" ht="19.5" customHeight="1">
      <c r="A44" s="8" t="s">
        <v>4883</v>
      </c>
      <c r="B44" s="7" t="s">
        <v>4985</v>
      </c>
      <c r="C44" s="7" t="s">
        <v>4938</v>
      </c>
      <c r="D44" s="7" t="s">
        <v>4938</v>
      </c>
      <c r="E44" s="7" t="s">
        <v>4938</v>
      </c>
      <c r="F44" s="7" t="s">
        <v>4938</v>
      </c>
      <c r="G44" s="7" t="s">
        <v>4938</v>
      </c>
    </row>
    <row r="45" spans="1:7" ht="19.5" customHeight="1">
      <c r="A45" s="8" t="s">
        <v>4886</v>
      </c>
      <c r="B45" s="7" t="s">
        <v>4986</v>
      </c>
      <c r="C45" s="7" t="s">
        <v>4938</v>
      </c>
      <c r="D45" s="7" t="s">
        <v>4938</v>
      </c>
      <c r="E45" s="7" t="s">
        <v>4938</v>
      </c>
      <c r="F45" s="7" t="s">
        <v>4938</v>
      </c>
      <c r="G45" s="7" t="s">
        <v>4938</v>
      </c>
    </row>
    <row r="46" spans="1:7" ht="19.5" customHeight="1">
      <c r="A46" s="8" t="s">
        <v>4888</v>
      </c>
      <c r="B46" s="7" t="s">
        <v>4987</v>
      </c>
      <c r="C46" s="7" t="s">
        <v>4938</v>
      </c>
      <c r="D46" s="7" t="s">
        <v>4938</v>
      </c>
      <c r="E46" s="7" t="s">
        <v>4938</v>
      </c>
      <c r="F46" s="7" t="s">
        <v>4938</v>
      </c>
      <c r="G46" s="7" t="s">
        <v>4938</v>
      </c>
    </row>
    <row r="47" spans="1:7" ht="19.5" customHeight="1">
      <c r="A47" s="8" t="s">
        <v>4890</v>
      </c>
      <c r="B47" s="7" t="s">
        <v>4988</v>
      </c>
      <c r="C47" s="7" t="s">
        <v>4938</v>
      </c>
      <c r="D47" s="7" t="s">
        <v>4938</v>
      </c>
      <c r="E47" s="7" t="s">
        <v>4938</v>
      </c>
      <c r="F47" s="7" t="s">
        <v>4938</v>
      </c>
      <c r="G47" s="7" t="s">
        <v>4938</v>
      </c>
    </row>
    <row r="48" spans="1:7" ht="19.5" customHeight="1">
      <c r="A48" s="8" t="s">
        <v>4892</v>
      </c>
      <c r="B48" s="7" t="s">
        <v>4989</v>
      </c>
      <c r="C48" s="7" t="s">
        <v>4938</v>
      </c>
      <c r="D48" s="7" t="s">
        <v>4938</v>
      </c>
      <c r="E48" s="7" t="s">
        <v>4938</v>
      </c>
      <c r="F48" s="7" t="s">
        <v>4938</v>
      </c>
      <c r="G48" s="7" t="s">
        <v>4938</v>
      </c>
    </row>
    <row r="49" spans="1:7" ht="19.5" customHeight="1">
      <c r="A49" s="8" t="s">
        <v>4894</v>
      </c>
      <c r="B49" s="7" t="s">
        <v>4990</v>
      </c>
      <c r="C49" s="7" t="s">
        <v>4938</v>
      </c>
      <c r="D49" s="7" t="s">
        <v>4938</v>
      </c>
      <c r="E49" s="7" t="s">
        <v>4938</v>
      </c>
      <c r="F49" s="7" t="s">
        <v>4938</v>
      </c>
      <c r="G49" s="7" t="s">
        <v>4938</v>
      </c>
    </row>
    <row r="50" spans="1:7" ht="19.5" customHeight="1">
      <c r="A50" s="8" t="s">
        <v>4896</v>
      </c>
      <c r="B50" s="7" t="s">
        <v>4991</v>
      </c>
      <c r="C50" s="7" t="s">
        <v>4938</v>
      </c>
      <c r="D50" s="7" t="s">
        <v>4938</v>
      </c>
      <c r="E50" s="7" t="s">
        <v>4938</v>
      </c>
      <c r="F50" s="7" t="s">
        <v>4938</v>
      </c>
      <c r="G50" s="7" t="s">
        <v>4938</v>
      </c>
    </row>
    <row r="51" spans="1:7" ht="19.5" customHeight="1">
      <c r="A51" s="8" t="s">
        <v>4898</v>
      </c>
      <c r="B51" s="7" t="s">
        <v>4992</v>
      </c>
      <c r="C51" s="7" t="s">
        <v>4938</v>
      </c>
      <c r="D51" s="7" t="s">
        <v>4938</v>
      </c>
      <c r="E51" s="7" t="s">
        <v>4938</v>
      </c>
      <c r="F51" s="7" t="s">
        <v>4938</v>
      </c>
      <c r="G51" s="7" t="s">
        <v>4938</v>
      </c>
    </row>
    <row r="52" spans="1:7" ht="19.5" customHeight="1">
      <c r="A52" s="8" t="s">
        <v>4900</v>
      </c>
      <c r="B52" s="7" t="s">
        <v>4993</v>
      </c>
      <c r="C52" s="7" t="s">
        <v>4938</v>
      </c>
      <c r="D52" s="7" t="s">
        <v>4938</v>
      </c>
      <c r="E52" s="7" t="s">
        <v>4938</v>
      </c>
      <c r="F52" s="7" t="s">
        <v>4938</v>
      </c>
      <c r="G52" s="7" t="s">
        <v>4938</v>
      </c>
    </row>
    <row r="53" spans="1:7" ht="19.5" customHeight="1">
      <c r="A53" s="8" t="s">
        <v>4902</v>
      </c>
      <c r="B53" s="7" t="s">
        <v>4994</v>
      </c>
      <c r="C53" s="7" t="s">
        <v>4938</v>
      </c>
      <c r="D53" s="7" t="s">
        <v>4938</v>
      </c>
      <c r="E53" s="7" t="s">
        <v>4938</v>
      </c>
      <c r="F53" s="7" t="s">
        <v>4938</v>
      </c>
      <c r="G53" s="7" t="s">
        <v>4938</v>
      </c>
    </row>
    <row r="54" spans="1:7" ht="19.5" customHeight="1">
      <c r="A54" s="8" t="s">
        <v>4904</v>
      </c>
      <c r="B54" s="7" t="s">
        <v>4995</v>
      </c>
      <c r="C54" s="7" t="s">
        <v>4938</v>
      </c>
      <c r="D54" s="7" t="s">
        <v>4938</v>
      </c>
      <c r="E54" s="7" t="s">
        <v>4938</v>
      </c>
      <c r="F54" s="7" t="s">
        <v>4938</v>
      </c>
      <c r="G54" s="7" t="s">
        <v>4938</v>
      </c>
    </row>
    <row r="55" spans="1:7" ht="19.5" customHeight="1">
      <c r="A55" s="8" t="s">
        <v>4906</v>
      </c>
      <c r="B55" s="7" t="s">
        <v>4996</v>
      </c>
      <c r="C55" s="7" t="s">
        <v>4938</v>
      </c>
      <c r="D55" s="7" t="s">
        <v>4938</v>
      </c>
      <c r="E55" s="7" t="s">
        <v>4938</v>
      </c>
      <c r="F55" s="7" t="s">
        <v>4938</v>
      </c>
      <c r="G55" s="7" t="s">
        <v>4938</v>
      </c>
    </row>
    <row r="56" spans="1:7" ht="19.5" customHeight="1">
      <c r="A56" s="8" t="s">
        <v>4908</v>
      </c>
      <c r="B56" s="7" t="s">
        <v>4997</v>
      </c>
      <c r="C56" s="7" t="s">
        <v>4938</v>
      </c>
      <c r="D56" s="7" t="s">
        <v>4938</v>
      </c>
      <c r="E56" s="7" t="s">
        <v>4938</v>
      </c>
      <c r="F56" s="7" t="s">
        <v>4938</v>
      </c>
      <c r="G56" s="7" t="s">
        <v>4938</v>
      </c>
    </row>
    <row r="57" spans="1:7" ht="19.5" customHeight="1">
      <c r="A57" s="8" t="s">
        <v>4998</v>
      </c>
      <c r="B57" s="7" t="s">
        <v>4999</v>
      </c>
      <c r="C57" s="7" t="s">
        <v>4938</v>
      </c>
      <c r="D57" s="7" t="s">
        <v>4938</v>
      </c>
      <c r="E57" s="7" t="s">
        <v>4938</v>
      </c>
      <c r="F57" s="7" t="s">
        <v>4938</v>
      </c>
      <c r="G57" s="7" t="s">
        <v>4938</v>
      </c>
    </row>
    <row r="58" spans="1:7" ht="19.5" customHeight="1">
      <c r="A58" s="8" t="s">
        <v>5000</v>
      </c>
      <c r="B58" s="7" t="s">
        <v>5001</v>
      </c>
      <c r="C58" s="7" t="s">
        <v>4938</v>
      </c>
      <c r="D58" s="7" t="s">
        <v>4938</v>
      </c>
      <c r="E58" s="7" t="s">
        <v>4938</v>
      </c>
      <c r="F58" s="7" t="s">
        <v>4938</v>
      </c>
      <c r="G58" s="7" t="s">
        <v>4938</v>
      </c>
    </row>
    <row r="59" spans="1:7" ht="19.5" customHeight="1">
      <c r="A59" s="8" t="s">
        <v>3488</v>
      </c>
      <c r="B59" s="7" t="s">
        <v>5002</v>
      </c>
      <c r="C59" s="7" t="s">
        <v>4938</v>
      </c>
      <c r="D59" s="7" t="s">
        <v>4938</v>
      </c>
      <c r="E59" s="7" t="s">
        <v>4938</v>
      </c>
      <c r="F59" s="7" t="s">
        <v>4938</v>
      </c>
      <c r="G59" s="7" t="s">
        <v>4938</v>
      </c>
    </row>
    <row r="60" spans="1:7" ht="19.5" customHeight="1">
      <c r="A60" s="8" t="s">
        <v>3528</v>
      </c>
      <c r="B60" s="7" t="s">
        <v>5003</v>
      </c>
      <c r="C60" s="7" t="s">
        <v>4938</v>
      </c>
      <c r="D60" s="7" t="s">
        <v>4938</v>
      </c>
      <c r="E60" s="7" t="s">
        <v>4938</v>
      </c>
      <c r="F60" s="7" t="s">
        <v>4938</v>
      </c>
      <c r="G60" s="7" t="s">
        <v>4938</v>
      </c>
    </row>
    <row r="61" spans="1:7" ht="19.5" customHeight="1">
      <c r="A61" s="8" t="s">
        <v>3529</v>
      </c>
      <c r="B61" s="7" t="s">
        <v>5004</v>
      </c>
      <c r="C61" s="7" t="s">
        <v>4938</v>
      </c>
      <c r="D61" s="7" t="s">
        <v>4938</v>
      </c>
      <c r="E61" s="7" t="s">
        <v>4938</v>
      </c>
      <c r="F61" s="7" t="s">
        <v>4938</v>
      </c>
      <c r="G61" s="7" t="s">
        <v>4938</v>
      </c>
    </row>
    <row r="62" spans="1:7" ht="19.5" customHeight="1">
      <c r="A62" s="8" t="s">
        <v>3539</v>
      </c>
      <c r="B62" s="7" t="s">
        <v>5005</v>
      </c>
      <c r="C62" s="7" t="s">
        <v>4938</v>
      </c>
      <c r="D62" s="7" t="s">
        <v>4938</v>
      </c>
      <c r="E62" s="7" t="s">
        <v>4938</v>
      </c>
      <c r="F62" s="7" t="s">
        <v>4938</v>
      </c>
      <c r="G62" s="7" t="s">
        <v>4938</v>
      </c>
    </row>
    <row r="63" spans="1:7" ht="19.5" customHeight="1">
      <c r="A63" s="8" t="s">
        <v>4076</v>
      </c>
      <c r="B63" s="7" t="s">
        <v>5006</v>
      </c>
      <c r="C63" s="7" t="s">
        <v>4938</v>
      </c>
      <c r="D63" s="7" t="s">
        <v>4938</v>
      </c>
      <c r="E63" s="7" t="s">
        <v>4938</v>
      </c>
      <c r="F63" s="7" t="s">
        <v>4938</v>
      </c>
      <c r="G63" s="7" t="s">
        <v>4938</v>
      </c>
    </row>
    <row r="64" spans="1:7" ht="19.5" customHeight="1">
      <c r="A64" s="8" t="s">
        <v>3508</v>
      </c>
      <c r="B64" s="7" t="s">
        <v>5007</v>
      </c>
      <c r="C64" s="7" t="s">
        <v>4938</v>
      </c>
      <c r="D64" s="7" t="s">
        <v>4938</v>
      </c>
      <c r="E64" s="7" t="s">
        <v>4938</v>
      </c>
      <c r="F64" s="7" t="s">
        <v>4938</v>
      </c>
      <c r="G64" s="7" t="s">
        <v>4938</v>
      </c>
    </row>
    <row r="65" spans="1:7" ht="19.5" customHeight="1">
      <c r="A65" s="8" t="s">
        <v>3499</v>
      </c>
      <c r="B65" s="7" t="s">
        <v>5008</v>
      </c>
      <c r="C65" s="7" t="s">
        <v>4938</v>
      </c>
      <c r="D65" s="7" t="s">
        <v>4938</v>
      </c>
      <c r="E65" s="7" t="s">
        <v>4938</v>
      </c>
      <c r="F65" s="7" t="s">
        <v>4938</v>
      </c>
      <c r="G65" s="7" t="s">
        <v>4938</v>
      </c>
    </row>
    <row r="66" spans="1:7" ht="19.5" customHeight="1">
      <c r="A66" s="8" t="s">
        <v>4059</v>
      </c>
      <c r="B66" s="7" t="s">
        <v>5009</v>
      </c>
      <c r="C66" s="7" t="s">
        <v>4938</v>
      </c>
      <c r="D66" s="7" t="s">
        <v>4938</v>
      </c>
      <c r="E66" s="7" t="s">
        <v>4938</v>
      </c>
      <c r="F66" s="7" t="s">
        <v>4938</v>
      </c>
      <c r="G66" s="7" t="s">
        <v>4938</v>
      </c>
    </row>
    <row r="67" spans="1:7" ht="19.5" customHeight="1">
      <c r="A67" s="8" t="s">
        <v>3957</v>
      </c>
      <c r="B67" s="7" t="s">
        <v>5010</v>
      </c>
      <c r="C67" s="7" t="s">
        <v>4938</v>
      </c>
      <c r="D67" s="7" t="s">
        <v>4938</v>
      </c>
      <c r="E67" s="7" t="s">
        <v>4938</v>
      </c>
      <c r="F67" s="7" t="s">
        <v>4938</v>
      </c>
      <c r="G67" s="7" t="s">
        <v>4938</v>
      </c>
    </row>
    <row r="68" spans="1:7" ht="19.5" customHeight="1">
      <c r="A68" s="8" t="s">
        <v>5011</v>
      </c>
      <c r="B68" s="7" t="s">
        <v>5012</v>
      </c>
      <c r="C68" s="7" t="s">
        <v>4938</v>
      </c>
      <c r="D68" s="7" t="s">
        <v>4938</v>
      </c>
      <c r="E68" s="7" t="s">
        <v>4938</v>
      </c>
      <c r="F68" s="7" t="s">
        <v>4938</v>
      </c>
      <c r="G68" s="7" t="s">
        <v>4938</v>
      </c>
    </row>
    <row r="69" spans="1:7" ht="19.5" customHeight="1">
      <c r="A69" s="8" t="s">
        <v>5013</v>
      </c>
      <c r="B69" s="7" t="s">
        <v>5014</v>
      </c>
      <c r="C69" s="7" t="s">
        <v>4938</v>
      </c>
      <c r="D69" s="7" t="s">
        <v>4938</v>
      </c>
      <c r="E69" s="7" t="s">
        <v>4938</v>
      </c>
      <c r="F69" s="7" t="s">
        <v>4938</v>
      </c>
      <c r="G69" s="7" t="s">
        <v>4938</v>
      </c>
    </row>
    <row r="70" spans="1:7" ht="19.5" customHeight="1">
      <c r="A70" s="8" t="s">
        <v>5015</v>
      </c>
      <c r="B70" s="7" t="s">
        <v>5016</v>
      </c>
      <c r="C70" s="7" t="s">
        <v>4938</v>
      </c>
      <c r="D70" s="7" t="s">
        <v>4938</v>
      </c>
      <c r="E70" s="7" t="s">
        <v>4938</v>
      </c>
      <c r="F70" s="7" t="s">
        <v>4938</v>
      </c>
      <c r="G70" s="7" t="s">
        <v>4938</v>
      </c>
    </row>
    <row r="71" spans="1:7" ht="19.5" customHeight="1">
      <c r="A71" s="8" t="s">
        <v>5017</v>
      </c>
      <c r="B71" s="7" t="s">
        <v>5018</v>
      </c>
      <c r="C71" s="7" t="s">
        <v>4938</v>
      </c>
      <c r="D71" s="7" t="s">
        <v>4938</v>
      </c>
      <c r="E71" s="7" t="s">
        <v>4938</v>
      </c>
      <c r="F71" s="7" t="s">
        <v>4938</v>
      </c>
      <c r="G71" s="7" t="s">
        <v>4938</v>
      </c>
    </row>
    <row r="72" spans="1:7" ht="19.5" customHeight="1">
      <c r="A72" s="8" t="s">
        <v>5019</v>
      </c>
      <c r="B72" s="7" t="s">
        <v>5020</v>
      </c>
      <c r="C72" s="7" t="s">
        <v>4938</v>
      </c>
      <c r="D72" s="7" t="s">
        <v>4938</v>
      </c>
      <c r="E72" s="7" t="s">
        <v>4938</v>
      </c>
      <c r="F72" s="7" t="s">
        <v>4938</v>
      </c>
      <c r="G72" s="7" t="s">
        <v>4938</v>
      </c>
    </row>
    <row r="73" spans="1:7" ht="19.5" customHeight="1">
      <c r="A73" s="8" t="s">
        <v>5021</v>
      </c>
      <c r="B73" s="7" t="s">
        <v>5022</v>
      </c>
      <c r="C73" s="7" t="s">
        <v>4938</v>
      </c>
      <c r="D73" s="7" t="s">
        <v>4938</v>
      </c>
      <c r="E73" s="7" t="s">
        <v>4938</v>
      </c>
      <c r="F73" s="7" t="s">
        <v>4938</v>
      </c>
      <c r="G73" s="7" t="s">
        <v>4938</v>
      </c>
    </row>
    <row r="74" spans="1:7" ht="19.5" customHeight="1">
      <c r="A74" s="8" t="s">
        <v>4112</v>
      </c>
      <c r="B74" s="7" t="s">
        <v>5023</v>
      </c>
      <c r="C74" s="7" t="s">
        <v>4938</v>
      </c>
      <c r="D74" s="7" t="s">
        <v>4938</v>
      </c>
      <c r="E74" s="7" t="s">
        <v>4938</v>
      </c>
      <c r="F74" s="7" t="s">
        <v>4938</v>
      </c>
      <c r="G74" s="7" t="s">
        <v>4938</v>
      </c>
    </row>
    <row r="75" spans="1:7" ht="19.5" customHeight="1">
      <c r="A75" s="8" t="s">
        <v>4088</v>
      </c>
      <c r="B75" s="7" t="s">
        <v>5024</v>
      </c>
      <c r="C75" s="7" t="s">
        <v>4938</v>
      </c>
      <c r="D75" s="7" t="s">
        <v>4938</v>
      </c>
      <c r="E75" s="7" t="s">
        <v>4938</v>
      </c>
      <c r="F75" s="7" t="s">
        <v>4938</v>
      </c>
      <c r="G75" s="7" t="s">
        <v>4938</v>
      </c>
    </row>
    <row r="76" spans="1:7" ht="19.5" customHeight="1">
      <c r="A76" s="8" t="s">
        <v>3513</v>
      </c>
      <c r="B76" s="7" t="s">
        <v>5025</v>
      </c>
      <c r="C76" s="7" t="s">
        <v>4938</v>
      </c>
      <c r="D76" s="7" t="s">
        <v>4938</v>
      </c>
      <c r="E76" s="7" t="s">
        <v>4938</v>
      </c>
      <c r="F76" s="7" t="s">
        <v>4938</v>
      </c>
      <c r="G76" s="7" t="s">
        <v>4938</v>
      </c>
    </row>
    <row r="77" spans="1:7" ht="19.5" customHeight="1">
      <c r="A77" s="8" t="s">
        <v>3558</v>
      </c>
      <c r="B77" s="7" t="s">
        <v>5026</v>
      </c>
      <c r="C77" s="7" t="s">
        <v>4938</v>
      </c>
      <c r="D77" s="7" t="s">
        <v>4938</v>
      </c>
      <c r="E77" s="7" t="s">
        <v>4938</v>
      </c>
      <c r="F77" s="7" t="s">
        <v>4938</v>
      </c>
      <c r="G77" s="7" t="s">
        <v>4938</v>
      </c>
    </row>
    <row r="78" spans="1:7" ht="19.5" customHeight="1">
      <c r="A78" s="8" t="s">
        <v>3622</v>
      </c>
      <c r="B78" s="7" t="s">
        <v>5027</v>
      </c>
      <c r="C78" s="7" t="s">
        <v>4938</v>
      </c>
      <c r="D78" s="7" t="s">
        <v>4938</v>
      </c>
      <c r="E78" s="7" t="s">
        <v>4938</v>
      </c>
      <c r="F78" s="7" t="s">
        <v>4938</v>
      </c>
      <c r="G78" s="7" t="s">
        <v>4938</v>
      </c>
    </row>
    <row r="79" spans="1:7" ht="19.5" customHeight="1">
      <c r="A79" s="8" t="s">
        <v>3495</v>
      </c>
      <c r="B79" s="7" t="s">
        <v>5028</v>
      </c>
      <c r="C79" s="7" t="s">
        <v>4938</v>
      </c>
      <c r="D79" s="7" t="s">
        <v>4938</v>
      </c>
      <c r="E79" s="7" t="s">
        <v>4938</v>
      </c>
      <c r="F79" s="7" t="s">
        <v>4938</v>
      </c>
      <c r="G79" s="7" t="s">
        <v>4938</v>
      </c>
    </row>
    <row r="80" spans="1:7" ht="19.5" customHeight="1">
      <c r="A80" s="8" t="s">
        <v>3484</v>
      </c>
      <c r="B80" s="7" t="s">
        <v>5029</v>
      </c>
      <c r="C80" s="7" t="s">
        <v>4938</v>
      </c>
      <c r="D80" s="7" t="s">
        <v>4938</v>
      </c>
      <c r="E80" s="7" t="s">
        <v>4938</v>
      </c>
      <c r="F80" s="7" t="s">
        <v>4938</v>
      </c>
      <c r="G80" s="7" t="s">
        <v>4938</v>
      </c>
    </row>
    <row r="81" spans="1:7" ht="19.5" customHeight="1">
      <c r="A81" s="8" t="s">
        <v>3612</v>
      </c>
      <c r="B81" s="7" t="s">
        <v>5030</v>
      </c>
      <c r="C81" s="7" t="s">
        <v>4938</v>
      </c>
      <c r="D81" s="7" t="s">
        <v>4938</v>
      </c>
      <c r="E81" s="7" t="s">
        <v>4938</v>
      </c>
      <c r="F81" s="7" t="s">
        <v>4938</v>
      </c>
      <c r="G81" s="7" t="s">
        <v>4938</v>
      </c>
    </row>
    <row r="82" spans="1:7" ht="19.5" customHeight="1">
      <c r="A82" s="8" t="s">
        <v>4057</v>
      </c>
      <c r="B82" s="7" t="s">
        <v>5031</v>
      </c>
      <c r="C82" s="7" t="s">
        <v>4938</v>
      </c>
      <c r="D82" s="7" t="s">
        <v>4938</v>
      </c>
      <c r="E82" s="7" t="s">
        <v>4938</v>
      </c>
      <c r="F82" s="7" t="s">
        <v>4938</v>
      </c>
      <c r="G82" s="7" t="s">
        <v>4938</v>
      </c>
    </row>
    <row r="83" spans="1:7" ht="19.5" customHeight="1">
      <c r="A83" s="8" t="s">
        <v>3490</v>
      </c>
      <c r="B83" s="7" t="s">
        <v>5032</v>
      </c>
      <c r="C83" s="7" t="s">
        <v>4938</v>
      </c>
      <c r="D83" s="7" t="s">
        <v>4938</v>
      </c>
      <c r="E83" s="7" t="s">
        <v>4938</v>
      </c>
      <c r="F83" s="7" t="s">
        <v>4938</v>
      </c>
      <c r="G83" s="7" t="s">
        <v>4938</v>
      </c>
    </row>
    <row r="84" spans="1:7" ht="19.5" customHeight="1">
      <c r="A84" s="8" t="s">
        <v>3491</v>
      </c>
      <c r="B84" s="7" t="s">
        <v>5033</v>
      </c>
      <c r="C84" s="7" t="s">
        <v>4938</v>
      </c>
      <c r="D84" s="7" t="s">
        <v>4938</v>
      </c>
      <c r="E84" s="7" t="s">
        <v>4938</v>
      </c>
      <c r="F84" s="7" t="s">
        <v>4938</v>
      </c>
      <c r="G84" s="7" t="s">
        <v>4938</v>
      </c>
    </row>
    <row r="85" spans="1:7" ht="19.5" customHeight="1">
      <c r="A85" s="8" t="s">
        <v>5034</v>
      </c>
      <c r="B85" s="7" t="s">
        <v>5035</v>
      </c>
      <c r="C85" s="7" t="s">
        <v>4938</v>
      </c>
      <c r="D85" s="7" t="s">
        <v>4938</v>
      </c>
      <c r="E85" s="7" t="s">
        <v>4938</v>
      </c>
      <c r="F85" s="7" t="s">
        <v>4938</v>
      </c>
      <c r="G85" s="7" t="s">
        <v>4938</v>
      </c>
    </row>
    <row r="86" spans="1:7" ht="19.5" customHeight="1">
      <c r="A86" s="8" t="s">
        <v>3611</v>
      </c>
      <c r="B86" s="7" t="s">
        <v>5036</v>
      </c>
      <c r="C86" s="7" t="s">
        <v>4938</v>
      </c>
      <c r="D86" s="7" t="s">
        <v>4938</v>
      </c>
      <c r="E86" s="7" t="s">
        <v>4938</v>
      </c>
      <c r="F86" s="7" t="s">
        <v>4938</v>
      </c>
      <c r="G86" s="7" t="s">
        <v>4938</v>
      </c>
    </row>
    <row r="87" spans="1:7" ht="19.5" customHeight="1">
      <c r="A87" s="8" t="s">
        <v>3982</v>
      </c>
      <c r="B87" s="7" t="s">
        <v>5037</v>
      </c>
      <c r="C87" s="7" t="s">
        <v>4938</v>
      </c>
      <c r="D87" s="7" t="s">
        <v>4938</v>
      </c>
      <c r="E87" s="7" t="s">
        <v>4938</v>
      </c>
      <c r="F87" s="7" t="s">
        <v>4938</v>
      </c>
      <c r="G87" s="7" t="s">
        <v>4938</v>
      </c>
    </row>
    <row r="88" spans="1:7" ht="19.5" customHeight="1">
      <c r="A88" s="8" t="s">
        <v>3934</v>
      </c>
      <c r="B88" s="7" t="s">
        <v>5038</v>
      </c>
      <c r="C88" s="7" t="s">
        <v>4938</v>
      </c>
      <c r="D88" s="7" t="s">
        <v>4938</v>
      </c>
      <c r="E88" s="7" t="s">
        <v>4938</v>
      </c>
      <c r="F88" s="7" t="s">
        <v>4938</v>
      </c>
      <c r="G88" s="7" t="s">
        <v>4938</v>
      </c>
    </row>
    <row r="89" spans="1:7" ht="19.5" customHeight="1">
      <c r="A89" s="8" t="s">
        <v>5039</v>
      </c>
      <c r="B89" s="7" t="s">
        <v>5040</v>
      </c>
      <c r="C89" s="7" t="s">
        <v>4938</v>
      </c>
      <c r="D89" s="7" t="s">
        <v>4938</v>
      </c>
      <c r="E89" s="7" t="s">
        <v>4938</v>
      </c>
      <c r="F89" s="7" t="s">
        <v>4938</v>
      </c>
      <c r="G89" s="7" t="s">
        <v>4938</v>
      </c>
    </row>
    <row r="90" spans="1:7" ht="19.5" customHeight="1">
      <c r="A90" s="8" t="s">
        <v>5041</v>
      </c>
      <c r="B90" s="7" t="s">
        <v>5042</v>
      </c>
      <c r="C90" s="7" t="s">
        <v>4938</v>
      </c>
      <c r="D90" s="7" t="s">
        <v>4938</v>
      </c>
      <c r="E90" s="7" t="s">
        <v>4938</v>
      </c>
      <c r="F90" s="7" t="s">
        <v>4938</v>
      </c>
      <c r="G90" s="7" t="s">
        <v>4938</v>
      </c>
    </row>
    <row r="91" spans="1:7" ht="19.5" customHeight="1">
      <c r="A91" s="8" t="s">
        <v>5043</v>
      </c>
      <c r="B91" s="7" t="s">
        <v>5044</v>
      </c>
      <c r="C91" s="7" t="s">
        <v>4938</v>
      </c>
      <c r="D91" s="7" t="s">
        <v>4938</v>
      </c>
      <c r="E91" s="7" t="s">
        <v>4938</v>
      </c>
      <c r="F91" s="7" t="s">
        <v>4938</v>
      </c>
      <c r="G91" s="7" t="s">
        <v>4938</v>
      </c>
    </row>
    <row r="92" spans="1:7" ht="19.5" customHeight="1">
      <c r="A92" s="8" t="s">
        <v>5045</v>
      </c>
      <c r="B92" s="7" t="s">
        <v>5046</v>
      </c>
      <c r="C92" s="7" t="s">
        <v>4938</v>
      </c>
      <c r="D92" s="7" t="s">
        <v>4938</v>
      </c>
      <c r="E92" s="7" t="s">
        <v>4938</v>
      </c>
      <c r="F92" s="7" t="s">
        <v>4938</v>
      </c>
      <c r="G92" s="7" t="s">
        <v>4938</v>
      </c>
    </row>
    <row r="93" spans="1:7" ht="19.5" customHeight="1">
      <c r="A93" s="8" t="s">
        <v>5047</v>
      </c>
      <c r="B93" s="7" t="s">
        <v>5048</v>
      </c>
      <c r="C93" s="7" t="s">
        <v>4938</v>
      </c>
      <c r="D93" s="7" t="s">
        <v>4938</v>
      </c>
      <c r="E93" s="7" t="s">
        <v>4938</v>
      </c>
      <c r="F93" s="7" t="s">
        <v>4938</v>
      </c>
      <c r="G93" s="7" t="s">
        <v>4938</v>
      </c>
    </row>
    <row r="94" spans="1:7" ht="19.5" customHeight="1">
      <c r="A94" s="8" t="s">
        <v>5049</v>
      </c>
      <c r="B94" s="7" t="s">
        <v>5050</v>
      </c>
      <c r="C94" s="7" t="s">
        <v>4938</v>
      </c>
      <c r="D94" s="7" t="s">
        <v>4938</v>
      </c>
      <c r="E94" s="7" t="s">
        <v>4938</v>
      </c>
      <c r="F94" s="7" t="s">
        <v>4938</v>
      </c>
      <c r="G94" s="7" t="s">
        <v>4938</v>
      </c>
    </row>
    <row r="95" spans="1:7" ht="19.5" customHeight="1">
      <c r="A95" s="8" t="s">
        <v>5051</v>
      </c>
      <c r="B95" s="7" t="s">
        <v>5052</v>
      </c>
      <c r="C95" s="7" t="s">
        <v>4938</v>
      </c>
      <c r="D95" s="7" t="s">
        <v>4938</v>
      </c>
      <c r="E95" s="7" t="s">
        <v>4938</v>
      </c>
      <c r="F95" s="7" t="s">
        <v>4938</v>
      </c>
      <c r="G95" s="7" t="s">
        <v>4938</v>
      </c>
    </row>
    <row r="96" spans="1:7" ht="19.5" customHeight="1">
      <c r="A96" s="8" t="s">
        <v>5053</v>
      </c>
      <c r="B96" s="7" t="s">
        <v>5054</v>
      </c>
      <c r="C96" s="7" t="s">
        <v>4938</v>
      </c>
      <c r="D96" s="7" t="s">
        <v>4938</v>
      </c>
      <c r="E96" s="7" t="s">
        <v>4938</v>
      </c>
      <c r="F96" s="7" t="s">
        <v>4938</v>
      </c>
      <c r="G96" s="7" t="s">
        <v>4938</v>
      </c>
    </row>
    <row r="97" spans="1:7" ht="19.5" customHeight="1">
      <c r="A97" s="8" t="s">
        <v>5055</v>
      </c>
      <c r="B97" s="7" t="s">
        <v>5056</v>
      </c>
      <c r="C97" s="7" t="s">
        <v>4938</v>
      </c>
      <c r="D97" s="7" t="s">
        <v>4938</v>
      </c>
      <c r="E97" s="7" t="s">
        <v>4938</v>
      </c>
      <c r="F97" s="7" t="s">
        <v>4938</v>
      </c>
      <c r="G97" s="7" t="s">
        <v>4938</v>
      </c>
    </row>
    <row r="98" spans="1:7" ht="19.5" customHeight="1">
      <c r="A98" s="8" t="s">
        <v>5057</v>
      </c>
      <c r="B98" s="7" t="s">
        <v>5058</v>
      </c>
      <c r="C98" s="7" t="s">
        <v>4938</v>
      </c>
      <c r="D98" s="7" t="s">
        <v>4938</v>
      </c>
      <c r="E98" s="7" t="s">
        <v>4938</v>
      </c>
      <c r="F98" s="7" t="s">
        <v>4938</v>
      </c>
      <c r="G98" s="7" t="s">
        <v>4938</v>
      </c>
    </row>
    <row r="99" spans="1:7" ht="19.5" customHeight="1">
      <c r="A99" s="8" t="s">
        <v>5059</v>
      </c>
      <c r="B99" s="7" t="s">
        <v>5060</v>
      </c>
      <c r="C99" s="7" t="s">
        <v>4938</v>
      </c>
      <c r="D99" s="7" t="s">
        <v>4938</v>
      </c>
      <c r="E99" s="7" t="s">
        <v>4938</v>
      </c>
      <c r="F99" s="7" t="s">
        <v>4938</v>
      </c>
      <c r="G99" s="7" t="s">
        <v>4938</v>
      </c>
    </row>
    <row r="100" spans="1:7" ht="19.5" customHeight="1">
      <c r="A100" s="8" t="s">
        <v>5061</v>
      </c>
      <c r="B100" s="7" t="s">
        <v>5062</v>
      </c>
      <c r="C100" s="7" t="s">
        <v>4938</v>
      </c>
      <c r="D100" s="7" t="s">
        <v>4938</v>
      </c>
      <c r="E100" s="7" t="s">
        <v>4938</v>
      </c>
      <c r="F100" s="7" t="s">
        <v>4938</v>
      </c>
      <c r="G100" s="7" t="s">
        <v>4938</v>
      </c>
    </row>
    <row r="101" spans="1:7" ht="19.5" customHeight="1">
      <c r="A101" s="8" t="s">
        <v>5063</v>
      </c>
      <c r="B101" s="7" t="s">
        <v>5064</v>
      </c>
      <c r="C101" s="7" t="s">
        <v>4938</v>
      </c>
      <c r="D101" s="7" t="s">
        <v>4938</v>
      </c>
      <c r="E101" s="7" t="s">
        <v>4938</v>
      </c>
      <c r="F101" s="7" t="s">
        <v>4938</v>
      </c>
      <c r="G101" s="7" t="s">
        <v>4938</v>
      </c>
    </row>
    <row r="102" spans="1:7" ht="19.5" customHeight="1">
      <c r="A102" s="8" t="s">
        <v>5065</v>
      </c>
      <c r="B102" s="7" t="s">
        <v>5066</v>
      </c>
      <c r="C102" s="7" t="s">
        <v>4938</v>
      </c>
      <c r="D102" s="7" t="s">
        <v>4938</v>
      </c>
      <c r="E102" s="7" t="s">
        <v>4938</v>
      </c>
      <c r="F102" s="7" t="s">
        <v>4938</v>
      </c>
      <c r="G102" s="7" t="s">
        <v>4938</v>
      </c>
    </row>
    <row r="103" spans="1:7" ht="19.5" customHeight="1">
      <c r="A103" s="8" t="s">
        <v>5067</v>
      </c>
      <c r="B103" s="7" t="s">
        <v>5068</v>
      </c>
      <c r="C103" s="7" t="s">
        <v>4938</v>
      </c>
      <c r="D103" s="7" t="s">
        <v>4938</v>
      </c>
      <c r="E103" s="7" t="s">
        <v>4938</v>
      </c>
      <c r="F103" s="7" t="s">
        <v>4938</v>
      </c>
      <c r="G103" s="7" t="s">
        <v>4938</v>
      </c>
    </row>
    <row r="104" spans="1:7" ht="19.5" customHeight="1">
      <c r="A104" s="8" t="s">
        <v>5069</v>
      </c>
      <c r="B104" s="7" t="s">
        <v>5070</v>
      </c>
      <c r="C104" s="7" t="s">
        <v>4938</v>
      </c>
      <c r="D104" s="7" t="s">
        <v>4938</v>
      </c>
      <c r="E104" s="7" t="s">
        <v>4938</v>
      </c>
      <c r="F104" s="7" t="s">
        <v>4938</v>
      </c>
      <c r="G104" s="7" t="s">
        <v>4938</v>
      </c>
    </row>
    <row r="105" spans="1:7" ht="19.5" customHeight="1">
      <c r="A105" s="8" t="s">
        <v>5071</v>
      </c>
      <c r="B105" s="7" t="s">
        <v>5072</v>
      </c>
      <c r="C105" s="7" t="s">
        <v>4938</v>
      </c>
      <c r="D105" s="7" t="s">
        <v>4938</v>
      </c>
      <c r="E105" s="7" t="s">
        <v>4938</v>
      </c>
      <c r="F105" s="7" t="s">
        <v>4938</v>
      </c>
      <c r="G105" s="7" t="s">
        <v>4938</v>
      </c>
    </row>
    <row r="106" spans="1:7" ht="19.5" customHeight="1">
      <c r="A106" s="8" t="s">
        <v>5073</v>
      </c>
      <c r="B106" s="7" t="s">
        <v>5074</v>
      </c>
      <c r="C106" s="7" t="s">
        <v>4938</v>
      </c>
      <c r="D106" s="7" t="s">
        <v>4938</v>
      </c>
      <c r="E106" s="7" t="s">
        <v>4938</v>
      </c>
      <c r="F106" s="7" t="s">
        <v>4938</v>
      </c>
      <c r="G106" s="7" t="s">
        <v>4938</v>
      </c>
    </row>
    <row r="107" spans="1:7" ht="19.5" customHeight="1">
      <c r="A107" s="8" t="s">
        <v>5075</v>
      </c>
      <c r="B107" s="7" t="s">
        <v>5076</v>
      </c>
      <c r="C107" s="7" t="s">
        <v>4938</v>
      </c>
      <c r="D107" s="7" t="s">
        <v>4938</v>
      </c>
      <c r="E107" s="7" t="s">
        <v>4938</v>
      </c>
      <c r="F107" s="7" t="s">
        <v>4938</v>
      </c>
      <c r="G107" s="7" t="s">
        <v>4938</v>
      </c>
    </row>
    <row r="108" spans="1:7" ht="19.5" customHeight="1">
      <c r="A108" s="8" t="s">
        <v>5077</v>
      </c>
      <c r="B108" s="7" t="s">
        <v>5078</v>
      </c>
      <c r="C108" s="7" t="s">
        <v>4938</v>
      </c>
      <c r="D108" s="7" t="s">
        <v>4938</v>
      </c>
      <c r="E108" s="7" t="s">
        <v>4938</v>
      </c>
      <c r="F108" s="7" t="s">
        <v>4938</v>
      </c>
      <c r="G108" s="7" t="s">
        <v>4938</v>
      </c>
    </row>
    <row r="109" spans="1:7" ht="19.5" customHeight="1">
      <c r="A109" s="8" t="s">
        <v>5079</v>
      </c>
      <c r="B109" s="7" t="s">
        <v>5080</v>
      </c>
      <c r="C109" s="7" t="s">
        <v>4938</v>
      </c>
      <c r="D109" s="7" t="s">
        <v>4938</v>
      </c>
      <c r="E109" s="7" t="s">
        <v>4938</v>
      </c>
      <c r="F109" s="7" t="s">
        <v>4938</v>
      </c>
      <c r="G109" s="7" t="s">
        <v>4938</v>
      </c>
    </row>
    <row r="110" spans="1:7" ht="19.5" customHeight="1">
      <c r="A110" s="8" t="s">
        <v>5081</v>
      </c>
      <c r="B110" s="7" t="s">
        <v>5082</v>
      </c>
      <c r="C110" s="7" t="s">
        <v>4938</v>
      </c>
      <c r="D110" s="7" t="s">
        <v>4938</v>
      </c>
      <c r="E110" s="7" t="s">
        <v>4938</v>
      </c>
      <c r="F110" s="7" t="s">
        <v>4938</v>
      </c>
      <c r="G110" s="7" t="s">
        <v>4938</v>
      </c>
    </row>
    <row r="111" spans="1:7" ht="19.5" customHeight="1">
      <c r="A111" s="8" t="s">
        <v>5083</v>
      </c>
      <c r="B111" s="7" t="s">
        <v>5084</v>
      </c>
      <c r="C111" s="7" t="s">
        <v>4938</v>
      </c>
      <c r="D111" s="7" t="s">
        <v>4938</v>
      </c>
      <c r="E111" s="7" t="s">
        <v>4938</v>
      </c>
      <c r="F111" s="7" t="s">
        <v>4938</v>
      </c>
      <c r="G111" s="7" t="s">
        <v>4938</v>
      </c>
    </row>
    <row r="112" spans="1:7" ht="19.5" customHeight="1">
      <c r="A112" s="8" t="s">
        <v>5085</v>
      </c>
      <c r="B112" s="7" t="s">
        <v>5086</v>
      </c>
      <c r="C112" s="7" t="s">
        <v>4938</v>
      </c>
      <c r="D112" s="7" t="s">
        <v>4938</v>
      </c>
      <c r="E112" s="7" t="s">
        <v>4938</v>
      </c>
      <c r="F112" s="7" t="s">
        <v>4938</v>
      </c>
      <c r="G112" s="7" t="s">
        <v>4938</v>
      </c>
    </row>
    <row r="113" spans="1:7" ht="19.5" customHeight="1">
      <c r="A113" s="8" t="s">
        <v>5087</v>
      </c>
      <c r="B113" s="7" t="s">
        <v>5088</v>
      </c>
      <c r="C113" s="7" t="s">
        <v>4938</v>
      </c>
      <c r="D113" s="7" t="s">
        <v>4938</v>
      </c>
      <c r="E113" s="7" t="s">
        <v>4938</v>
      </c>
      <c r="F113" s="7" t="s">
        <v>4938</v>
      </c>
      <c r="G113" s="7" t="s">
        <v>4938</v>
      </c>
    </row>
    <row r="114" spans="1:7" ht="19.5" customHeight="1">
      <c r="A114" s="8" t="s">
        <v>5089</v>
      </c>
      <c r="B114" s="7" t="s">
        <v>5090</v>
      </c>
      <c r="C114" s="7" t="s">
        <v>4938</v>
      </c>
      <c r="D114" s="7" t="s">
        <v>4938</v>
      </c>
      <c r="E114" s="7" t="s">
        <v>4938</v>
      </c>
      <c r="F114" s="7" t="s">
        <v>4938</v>
      </c>
      <c r="G114" s="7" t="s">
        <v>4938</v>
      </c>
    </row>
    <row r="115" spans="1:7" ht="19.5" customHeight="1">
      <c r="A115" s="8" t="s">
        <v>5091</v>
      </c>
      <c r="B115" s="7" t="s">
        <v>5092</v>
      </c>
      <c r="C115" s="7" t="s">
        <v>4938</v>
      </c>
      <c r="D115" s="7" t="s">
        <v>4938</v>
      </c>
      <c r="E115" s="7" t="s">
        <v>4938</v>
      </c>
      <c r="F115" s="7" t="s">
        <v>4938</v>
      </c>
      <c r="G115" s="7" t="s">
        <v>4938</v>
      </c>
    </row>
    <row r="116" spans="1:7" ht="19.5" customHeight="1">
      <c r="A116" s="8" t="s">
        <v>5093</v>
      </c>
      <c r="B116" s="7" t="s">
        <v>5094</v>
      </c>
      <c r="C116" s="7" t="s">
        <v>4938</v>
      </c>
      <c r="D116" s="7" t="s">
        <v>4938</v>
      </c>
      <c r="E116" s="7" t="s">
        <v>4938</v>
      </c>
      <c r="F116" s="7" t="s">
        <v>4938</v>
      </c>
      <c r="G116" s="7" t="s">
        <v>4938</v>
      </c>
    </row>
    <row r="117" spans="1:7" ht="19.5" customHeight="1">
      <c r="A117" s="8" t="s">
        <v>5095</v>
      </c>
      <c r="B117" s="7" t="s">
        <v>5096</v>
      </c>
      <c r="C117" s="7" t="s">
        <v>4938</v>
      </c>
      <c r="D117" s="7" t="s">
        <v>4938</v>
      </c>
      <c r="E117" s="7" t="s">
        <v>4938</v>
      </c>
      <c r="F117" s="7" t="s">
        <v>4938</v>
      </c>
      <c r="G117" s="7" t="s">
        <v>4938</v>
      </c>
    </row>
    <row r="118" spans="1:7" ht="19.5" customHeight="1">
      <c r="A118" s="8" t="s">
        <v>5097</v>
      </c>
      <c r="B118" s="7" t="s">
        <v>5098</v>
      </c>
      <c r="C118" s="7" t="s">
        <v>4938</v>
      </c>
      <c r="D118" s="7" t="s">
        <v>4938</v>
      </c>
      <c r="E118" s="7" t="s">
        <v>4938</v>
      </c>
      <c r="F118" s="7" t="s">
        <v>4938</v>
      </c>
      <c r="G118" s="7" t="s">
        <v>4938</v>
      </c>
    </row>
    <row r="119" spans="1:7" ht="19.5" customHeight="1">
      <c r="A119" s="8" t="s">
        <v>5099</v>
      </c>
      <c r="B119" s="7" t="s">
        <v>5100</v>
      </c>
      <c r="C119" s="7" t="s">
        <v>4938</v>
      </c>
      <c r="D119" s="7" t="s">
        <v>4938</v>
      </c>
      <c r="E119" s="7" t="s">
        <v>4938</v>
      </c>
      <c r="F119" s="7" t="s">
        <v>4938</v>
      </c>
      <c r="G119" s="7" t="s">
        <v>4938</v>
      </c>
    </row>
    <row r="120" spans="1:7" ht="19.5" customHeight="1">
      <c r="A120" s="8" t="s">
        <v>5101</v>
      </c>
      <c r="B120" s="7" t="s">
        <v>5102</v>
      </c>
      <c r="C120" s="7" t="s">
        <v>4938</v>
      </c>
      <c r="D120" s="7" t="s">
        <v>4938</v>
      </c>
      <c r="E120" s="7" t="s">
        <v>4938</v>
      </c>
      <c r="F120" s="7" t="s">
        <v>4938</v>
      </c>
      <c r="G120" s="7" t="s">
        <v>4938</v>
      </c>
    </row>
    <row r="121" spans="1:7" ht="19.5" customHeight="1">
      <c r="A121" s="8" t="s">
        <v>5103</v>
      </c>
      <c r="B121" s="7" t="s">
        <v>5104</v>
      </c>
      <c r="C121" s="7" t="s">
        <v>4938</v>
      </c>
      <c r="D121" s="7" t="s">
        <v>4938</v>
      </c>
      <c r="E121" s="7" t="s">
        <v>4938</v>
      </c>
      <c r="F121" s="7" t="s">
        <v>4938</v>
      </c>
      <c r="G121" s="7" t="s">
        <v>4938</v>
      </c>
    </row>
    <row r="122" spans="1:7" ht="19.5" customHeight="1">
      <c r="A122" s="8" t="s">
        <v>5105</v>
      </c>
      <c r="B122" s="7" t="s">
        <v>5106</v>
      </c>
      <c r="C122" s="7" t="s">
        <v>4938</v>
      </c>
      <c r="D122" s="7" t="s">
        <v>4938</v>
      </c>
      <c r="E122" s="7" t="s">
        <v>4938</v>
      </c>
      <c r="F122" s="7" t="s">
        <v>4938</v>
      </c>
      <c r="G122" s="7" t="s">
        <v>4938</v>
      </c>
    </row>
    <row r="123" spans="1:7" ht="19.5" customHeight="1">
      <c r="A123" s="8" t="s">
        <v>5107</v>
      </c>
      <c r="B123" s="7" t="s">
        <v>5108</v>
      </c>
      <c r="C123" s="7" t="s">
        <v>4938</v>
      </c>
      <c r="D123" s="7" t="s">
        <v>4938</v>
      </c>
      <c r="E123" s="7" t="s">
        <v>4938</v>
      </c>
      <c r="F123" s="7" t="s">
        <v>4938</v>
      </c>
      <c r="G123" s="7" t="s">
        <v>4938</v>
      </c>
    </row>
    <row r="124" spans="1:7" ht="19.5" customHeight="1">
      <c r="A124" s="8" t="s">
        <v>5109</v>
      </c>
      <c r="B124" s="7" t="s">
        <v>5110</v>
      </c>
      <c r="C124" s="7" t="s">
        <v>4938</v>
      </c>
      <c r="D124" s="7" t="s">
        <v>4938</v>
      </c>
      <c r="E124" s="7" t="s">
        <v>4938</v>
      </c>
      <c r="F124" s="7" t="s">
        <v>4938</v>
      </c>
      <c r="G124" s="7" t="s">
        <v>4938</v>
      </c>
    </row>
    <row r="125" spans="1:7" ht="19.5" customHeight="1">
      <c r="A125" s="8" t="s">
        <v>5111</v>
      </c>
      <c r="B125" s="7" t="s">
        <v>5112</v>
      </c>
      <c r="C125" s="7" t="s">
        <v>4938</v>
      </c>
      <c r="D125" s="7" t="s">
        <v>4938</v>
      </c>
      <c r="E125" s="7" t="s">
        <v>4938</v>
      </c>
      <c r="F125" s="7" t="s">
        <v>4938</v>
      </c>
      <c r="G125" s="7" t="s">
        <v>4938</v>
      </c>
    </row>
    <row r="126" spans="1:7" ht="19.5" customHeight="1">
      <c r="A126" s="8" t="s">
        <v>5113</v>
      </c>
      <c r="B126" s="7" t="s">
        <v>5114</v>
      </c>
      <c r="C126" s="7" t="s">
        <v>4938</v>
      </c>
      <c r="D126" s="7" t="s">
        <v>4938</v>
      </c>
      <c r="E126" s="7" t="s">
        <v>4938</v>
      </c>
      <c r="F126" s="7" t="s">
        <v>4938</v>
      </c>
      <c r="G126" s="7" t="s">
        <v>4938</v>
      </c>
    </row>
    <row r="127" spans="1:7" ht="19.5" customHeight="1">
      <c r="A127" s="8" t="s">
        <v>5115</v>
      </c>
      <c r="B127" s="7" t="s">
        <v>5116</v>
      </c>
      <c r="C127" s="7" t="s">
        <v>4938</v>
      </c>
      <c r="D127" s="7" t="s">
        <v>4938</v>
      </c>
      <c r="E127" s="7" t="s">
        <v>4938</v>
      </c>
      <c r="F127" s="7" t="s">
        <v>4938</v>
      </c>
      <c r="G127" s="7" t="s">
        <v>4938</v>
      </c>
    </row>
    <row r="128" spans="1:7" ht="19.5" customHeight="1">
      <c r="A128" s="8" t="s">
        <v>5117</v>
      </c>
      <c r="B128" s="7" t="s">
        <v>5118</v>
      </c>
      <c r="C128" s="7" t="s">
        <v>4938</v>
      </c>
      <c r="D128" s="7" t="s">
        <v>4938</v>
      </c>
      <c r="E128" s="7" t="s">
        <v>4938</v>
      </c>
      <c r="F128" s="7" t="s">
        <v>4938</v>
      </c>
      <c r="G128" s="7" t="s">
        <v>4938</v>
      </c>
    </row>
    <row r="129" spans="1:7" ht="19.5" customHeight="1">
      <c r="A129" s="8" t="s">
        <v>5119</v>
      </c>
      <c r="B129" s="7" t="s">
        <v>5120</v>
      </c>
      <c r="C129" s="7" t="s">
        <v>4938</v>
      </c>
      <c r="D129" s="7" t="s">
        <v>4938</v>
      </c>
      <c r="E129" s="7" t="s">
        <v>4938</v>
      </c>
      <c r="F129" s="7" t="s">
        <v>4938</v>
      </c>
      <c r="G129" s="7" t="s">
        <v>4938</v>
      </c>
    </row>
    <row r="130" spans="1:7" ht="19.5" customHeight="1">
      <c r="A130" s="8" t="s">
        <v>5121</v>
      </c>
      <c r="B130" s="7" t="s">
        <v>5122</v>
      </c>
      <c r="C130" s="7" t="s">
        <v>4938</v>
      </c>
      <c r="D130" s="7" t="s">
        <v>4938</v>
      </c>
      <c r="E130" s="7" t="s">
        <v>4938</v>
      </c>
      <c r="F130" s="7" t="s">
        <v>4938</v>
      </c>
      <c r="G130" s="7" t="s">
        <v>4938</v>
      </c>
    </row>
    <row r="131" spans="1:7" ht="19.5" customHeight="1">
      <c r="A131" s="8" t="s">
        <v>5123</v>
      </c>
      <c r="B131" s="7" t="s">
        <v>5124</v>
      </c>
      <c r="C131" s="7" t="s">
        <v>4938</v>
      </c>
      <c r="D131" s="7" t="s">
        <v>4938</v>
      </c>
      <c r="E131" s="7" t="s">
        <v>4938</v>
      </c>
      <c r="F131" s="7" t="s">
        <v>4938</v>
      </c>
      <c r="G131" s="7" t="s">
        <v>4938</v>
      </c>
    </row>
    <row r="132" spans="1:7" ht="19.5" customHeight="1">
      <c r="A132" s="8" t="s">
        <v>5125</v>
      </c>
      <c r="B132" s="7" t="s">
        <v>5126</v>
      </c>
      <c r="C132" s="7" t="s">
        <v>4938</v>
      </c>
      <c r="D132" s="7" t="s">
        <v>4938</v>
      </c>
      <c r="E132" s="7" t="s">
        <v>4938</v>
      </c>
      <c r="F132" s="7" t="s">
        <v>4938</v>
      </c>
      <c r="G132" s="7" t="s">
        <v>4938</v>
      </c>
    </row>
    <row r="133" spans="1:7" ht="19.5" customHeight="1">
      <c r="A133" s="8" t="s">
        <v>5127</v>
      </c>
      <c r="B133" s="7" t="s">
        <v>5128</v>
      </c>
      <c r="C133" s="7" t="s">
        <v>4938</v>
      </c>
      <c r="D133" s="7" t="s">
        <v>4938</v>
      </c>
      <c r="E133" s="7" t="s">
        <v>4938</v>
      </c>
      <c r="F133" s="7" t="s">
        <v>4938</v>
      </c>
      <c r="G133" s="7" t="s">
        <v>4938</v>
      </c>
    </row>
    <row r="134" spans="1:7" ht="19.5" customHeight="1">
      <c r="A134" s="8" t="s">
        <v>5129</v>
      </c>
      <c r="B134" s="7" t="s">
        <v>5130</v>
      </c>
      <c r="C134" s="7" t="s">
        <v>4938</v>
      </c>
      <c r="D134" s="7" t="s">
        <v>4938</v>
      </c>
      <c r="E134" s="7" t="s">
        <v>4938</v>
      </c>
      <c r="F134" s="7" t="s">
        <v>4938</v>
      </c>
      <c r="G134" s="7" t="s">
        <v>4938</v>
      </c>
    </row>
    <row r="135" spans="1:7" ht="19.5" customHeight="1">
      <c r="A135" s="8" t="s">
        <v>5131</v>
      </c>
      <c r="B135" s="7" t="s">
        <v>5132</v>
      </c>
      <c r="C135" s="7" t="s">
        <v>4938</v>
      </c>
      <c r="D135" s="7" t="s">
        <v>4938</v>
      </c>
      <c r="E135" s="7" t="s">
        <v>4938</v>
      </c>
      <c r="F135" s="7" t="s">
        <v>4938</v>
      </c>
      <c r="G135" s="7" t="s">
        <v>4938</v>
      </c>
    </row>
    <row r="136" spans="1:7" ht="19.5" customHeight="1">
      <c r="A136" s="8" t="s">
        <v>5133</v>
      </c>
      <c r="B136" s="7" t="s">
        <v>5134</v>
      </c>
      <c r="C136" s="7" t="s">
        <v>4938</v>
      </c>
      <c r="D136" s="7" t="s">
        <v>4938</v>
      </c>
      <c r="E136" s="7" t="s">
        <v>4938</v>
      </c>
      <c r="F136" s="7" t="s">
        <v>4938</v>
      </c>
      <c r="G136" s="7" t="s">
        <v>4938</v>
      </c>
    </row>
    <row r="137" spans="1:7" ht="19.5" customHeight="1">
      <c r="A137" s="8" t="s">
        <v>5135</v>
      </c>
      <c r="B137" s="7" t="s">
        <v>5136</v>
      </c>
      <c r="C137" s="7" t="s">
        <v>4938</v>
      </c>
      <c r="D137" s="7" t="s">
        <v>4938</v>
      </c>
      <c r="E137" s="7" t="s">
        <v>4938</v>
      </c>
      <c r="F137" s="7" t="s">
        <v>4938</v>
      </c>
      <c r="G137" s="7" t="s">
        <v>4938</v>
      </c>
    </row>
    <row r="138" spans="1:7" ht="19.5" customHeight="1">
      <c r="A138" s="8" t="s">
        <v>5137</v>
      </c>
      <c r="B138" s="7" t="s">
        <v>5138</v>
      </c>
      <c r="C138" s="7" t="s">
        <v>4938</v>
      </c>
      <c r="D138" s="7" t="s">
        <v>4938</v>
      </c>
      <c r="E138" s="7" t="s">
        <v>4938</v>
      </c>
      <c r="F138" s="7" t="s">
        <v>4938</v>
      </c>
      <c r="G138" s="7" t="s">
        <v>4938</v>
      </c>
    </row>
    <row r="139" spans="1:7" ht="19.5" customHeight="1">
      <c r="A139" s="8" t="s">
        <v>5139</v>
      </c>
      <c r="B139" s="7" t="s">
        <v>5140</v>
      </c>
      <c r="C139" s="7" t="s">
        <v>4938</v>
      </c>
      <c r="D139" s="7" t="s">
        <v>4938</v>
      </c>
      <c r="E139" s="7" t="s">
        <v>4938</v>
      </c>
      <c r="F139" s="7" t="s">
        <v>4938</v>
      </c>
      <c r="G139" s="7" t="s">
        <v>4938</v>
      </c>
    </row>
    <row r="140" spans="1:7" ht="19.5" customHeight="1">
      <c r="A140" s="8" t="s">
        <v>5141</v>
      </c>
      <c r="B140" s="7" t="s">
        <v>5142</v>
      </c>
      <c r="C140" s="7" t="s">
        <v>4938</v>
      </c>
      <c r="D140" s="7" t="s">
        <v>4938</v>
      </c>
      <c r="E140" s="7" t="s">
        <v>4938</v>
      </c>
      <c r="F140" s="7" t="s">
        <v>4938</v>
      </c>
      <c r="G140" s="7" t="s">
        <v>4938</v>
      </c>
    </row>
    <row r="141" spans="1:7" ht="19.5" customHeight="1">
      <c r="A141" s="8" t="s">
        <v>5143</v>
      </c>
      <c r="B141" s="7" t="s">
        <v>5144</v>
      </c>
      <c r="C141" s="7" t="s">
        <v>4938</v>
      </c>
      <c r="D141" s="7" t="s">
        <v>4938</v>
      </c>
      <c r="E141" s="7" t="s">
        <v>4938</v>
      </c>
      <c r="F141" s="7" t="s">
        <v>4938</v>
      </c>
      <c r="G141" s="7" t="s">
        <v>4938</v>
      </c>
    </row>
    <row r="142" spans="1:7" ht="19.5" customHeight="1">
      <c r="A142" s="8" t="s">
        <v>5145</v>
      </c>
      <c r="B142" s="7" t="s">
        <v>5146</v>
      </c>
      <c r="C142" s="7" t="s">
        <v>4938</v>
      </c>
      <c r="D142" s="7" t="s">
        <v>4938</v>
      </c>
      <c r="E142" s="7" t="s">
        <v>4938</v>
      </c>
      <c r="F142" s="7" t="s">
        <v>4938</v>
      </c>
      <c r="G142" s="7" t="s">
        <v>4938</v>
      </c>
    </row>
    <row r="143" spans="1:7" ht="19.5" customHeight="1">
      <c r="A143" s="8" t="s">
        <v>5147</v>
      </c>
      <c r="B143" s="7" t="s">
        <v>5148</v>
      </c>
      <c r="C143" s="7" t="s">
        <v>4938</v>
      </c>
      <c r="D143" s="7" t="s">
        <v>4938</v>
      </c>
      <c r="E143" s="7" t="s">
        <v>4938</v>
      </c>
      <c r="F143" s="7" t="s">
        <v>4938</v>
      </c>
      <c r="G143" s="7" t="s">
        <v>4938</v>
      </c>
    </row>
    <row r="144" spans="1:7" ht="19.5" customHeight="1">
      <c r="A144" s="8" t="s">
        <v>4804</v>
      </c>
      <c r="B144" s="7" t="s">
        <v>5149</v>
      </c>
      <c r="C144" s="7" t="s">
        <v>4938</v>
      </c>
      <c r="D144" s="7" t="s">
        <v>4938</v>
      </c>
      <c r="E144" s="7" t="s">
        <v>4938</v>
      </c>
      <c r="F144" s="7" t="s">
        <v>4938</v>
      </c>
      <c r="G144" s="7" t="s">
        <v>4938</v>
      </c>
    </row>
    <row r="145" spans="1:7" ht="19.5" customHeight="1">
      <c r="A145" s="8" t="s">
        <v>4807</v>
      </c>
      <c r="B145" s="7" t="s">
        <v>5150</v>
      </c>
      <c r="C145" s="7" t="s">
        <v>4938</v>
      </c>
      <c r="D145" s="7" t="s">
        <v>4938</v>
      </c>
      <c r="E145" s="7" t="s">
        <v>4938</v>
      </c>
      <c r="F145" s="7" t="s">
        <v>4938</v>
      </c>
      <c r="G145" s="7" t="s">
        <v>4938</v>
      </c>
    </row>
    <row r="146" spans="1:7" ht="19.5" customHeight="1">
      <c r="A146" s="8" t="s">
        <v>4809</v>
      </c>
      <c r="B146" s="7" t="s">
        <v>5151</v>
      </c>
      <c r="C146" s="7" t="s">
        <v>4938</v>
      </c>
      <c r="D146" s="7" t="s">
        <v>4938</v>
      </c>
      <c r="E146" s="7" t="s">
        <v>4938</v>
      </c>
      <c r="F146" s="7" t="s">
        <v>4938</v>
      </c>
      <c r="G146" s="7" t="s">
        <v>4938</v>
      </c>
    </row>
    <row r="147" spans="1:7" ht="19.5" customHeight="1">
      <c r="A147" s="8" t="s">
        <v>4811</v>
      </c>
      <c r="B147" s="7" t="s">
        <v>5152</v>
      </c>
      <c r="C147" s="7" t="s">
        <v>4938</v>
      </c>
      <c r="D147" s="7" t="s">
        <v>4938</v>
      </c>
      <c r="E147" s="7" t="s">
        <v>4938</v>
      </c>
      <c r="F147" s="7" t="s">
        <v>4938</v>
      </c>
      <c r="G147" s="7" t="s">
        <v>4938</v>
      </c>
    </row>
    <row r="148" spans="1:7" ht="19.5" customHeight="1">
      <c r="A148" s="8" t="s">
        <v>4813</v>
      </c>
      <c r="B148" s="7" t="s">
        <v>5153</v>
      </c>
      <c r="C148" s="7" t="s">
        <v>4938</v>
      </c>
      <c r="D148" s="7" t="s">
        <v>4938</v>
      </c>
      <c r="E148" s="7" t="s">
        <v>4938</v>
      </c>
      <c r="F148" s="7" t="s">
        <v>4938</v>
      </c>
      <c r="G148" s="7" t="s">
        <v>4938</v>
      </c>
    </row>
    <row r="149" spans="1:7" ht="19.5" customHeight="1">
      <c r="A149" s="8" t="s">
        <v>4816</v>
      </c>
      <c r="B149" s="7" t="s">
        <v>5154</v>
      </c>
      <c r="C149" s="7" t="s">
        <v>4938</v>
      </c>
      <c r="D149" s="7" t="s">
        <v>4938</v>
      </c>
      <c r="E149" s="7" t="s">
        <v>4938</v>
      </c>
      <c r="F149" s="7" t="s">
        <v>4938</v>
      </c>
      <c r="G149" s="7" t="s">
        <v>4938</v>
      </c>
    </row>
    <row r="150" spans="1:7" ht="19.5" customHeight="1">
      <c r="A150" s="8" t="s">
        <v>4818</v>
      </c>
      <c r="B150" s="7" t="s">
        <v>5155</v>
      </c>
      <c r="C150" s="7" t="s">
        <v>4938</v>
      </c>
      <c r="D150" s="7" t="s">
        <v>4938</v>
      </c>
      <c r="E150" s="7" t="s">
        <v>4938</v>
      </c>
      <c r="F150" s="7" t="s">
        <v>4938</v>
      </c>
      <c r="G150" s="7" t="s">
        <v>4938</v>
      </c>
    </row>
    <row r="151" spans="1:7" ht="19.5" customHeight="1">
      <c r="A151" s="8" t="s">
        <v>4820</v>
      </c>
      <c r="B151" s="7" t="s">
        <v>5156</v>
      </c>
      <c r="C151" s="7" t="s">
        <v>4938</v>
      </c>
      <c r="D151" s="7" t="s">
        <v>4938</v>
      </c>
      <c r="E151" s="7" t="s">
        <v>4938</v>
      </c>
      <c r="F151" s="7" t="s">
        <v>4938</v>
      </c>
      <c r="G151" s="7" t="s">
        <v>4938</v>
      </c>
    </row>
    <row r="152" spans="1:7" ht="19.5" customHeight="1">
      <c r="A152" s="8" t="s">
        <v>4822</v>
      </c>
      <c r="B152" s="7" t="s">
        <v>5157</v>
      </c>
      <c r="C152" s="7" t="s">
        <v>4938</v>
      </c>
      <c r="D152" s="7" t="s">
        <v>4938</v>
      </c>
      <c r="E152" s="7" t="s">
        <v>4938</v>
      </c>
      <c r="F152" s="7" t="s">
        <v>4938</v>
      </c>
      <c r="G152" s="7" t="s">
        <v>4938</v>
      </c>
    </row>
    <row r="153" spans="1:7" ht="19.5" customHeight="1">
      <c r="A153" s="8" t="s">
        <v>4824</v>
      </c>
      <c r="B153" s="7" t="s">
        <v>5158</v>
      </c>
      <c r="C153" s="7" t="s">
        <v>4938</v>
      </c>
      <c r="D153" s="7" t="s">
        <v>4938</v>
      </c>
      <c r="E153" s="7" t="s">
        <v>4938</v>
      </c>
      <c r="F153" s="7" t="s">
        <v>4938</v>
      </c>
      <c r="G153" s="7" t="s">
        <v>4938</v>
      </c>
    </row>
    <row r="154" spans="1:7" ht="19.5" customHeight="1">
      <c r="A154" s="8" t="s">
        <v>4827</v>
      </c>
      <c r="B154" s="7" t="s">
        <v>5159</v>
      </c>
      <c r="C154" s="7" t="s">
        <v>4938</v>
      </c>
      <c r="D154" s="7" t="s">
        <v>4938</v>
      </c>
      <c r="E154" s="7" t="s">
        <v>4938</v>
      </c>
      <c r="F154" s="7" t="s">
        <v>4938</v>
      </c>
      <c r="G154" s="7" t="s">
        <v>4938</v>
      </c>
    </row>
    <row r="155" spans="1:7" ht="19.5" customHeight="1">
      <c r="A155" s="8" t="s">
        <v>4830</v>
      </c>
      <c r="B155" s="7" t="s">
        <v>5160</v>
      </c>
      <c r="C155" s="7" t="s">
        <v>4938</v>
      </c>
      <c r="D155" s="7" t="s">
        <v>4938</v>
      </c>
      <c r="E155" s="7" t="s">
        <v>4938</v>
      </c>
      <c r="F155" s="7" t="s">
        <v>4938</v>
      </c>
      <c r="G155" s="7" t="s">
        <v>4938</v>
      </c>
    </row>
    <row r="156" spans="1:7" ht="19.5" customHeight="1">
      <c r="A156" s="8" t="s">
        <v>4833</v>
      </c>
      <c r="B156" s="7" t="s">
        <v>5161</v>
      </c>
      <c r="C156" s="7" t="s">
        <v>4938</v>
      </c>
      <c r="D156" s="7" t="s">
        <v>4938</v>
      </c>
      <c r="E156" s="7" t="s">
        <v>4938</v>
      </c>
      <c r="F156" s="7" t="s">
        <v>4938</v>
      </c>
      <c r="G156" s="7" t="s">
        <v>4938</v>
      </c>
    </row>
    <row r="157" spans="1:7" ht="19.5" customHeight="1">
      <c r="A157" s="8" t="s">
        <v>4835</v>
      </c>
      <c r="B157" s="7" t="s">
        <v>5162</v>
      </c>
      <c r="C157" s="7" t="s">
        <v>4938</v>
      </c>
      <c r="D157" s="7" t="s">
        <v>4938</v>
      </c>
      <c r="E157" s="7" t="s">
        <v>4938</v>
      </c>
      <c r="F157" s="7" t="s">
        <v>4938</v>
      </c>
      <c r="G157" s="7" t="s">
        <v>4938</v>
      </c>
    </row>
    <row r="158" spans="1:7" ht="19.5" customHeight="1">
      <c r="A158" s="8" t="s">
        <v>4838</v>
      </c>
      <c r="B158" s="7" t="s">
        <v>5163</v>
      </c>
      <c r="C158" s="7" t="s">
        <v>4938</v>
      </c>
      <c r="D158" s="7" t="s">
        <v>4938</v>
      </c>
      <c r="E158" s="7" t="s">
        <v>4938</v>
      </c>
      <c r="F158" s="7" t="s">
        <v>4938</v>
      </c>
      <c r="G158" s="7" t="s">
        <v>4938</v>
      </c>
    </row>
    <row r="159" spans="1:7" ht="19.5" customHeight="1">
      <c r="A159" s="8" t="s">
        <v>4841</v>
      </c>
      <c r="B159" s="7" t="s">
        <v>5164</v>
      </c>
      <c r="C159" s="7" t="s">
        <v>4938</v>
      </c>
      <c r="D159" s="7" t="s">
        <v>4938</v>
      </c>
      <c r="E159" s="7" t="s">
        <v>4938</v>
      </c>
      <c r="F159" s="7" t="s">
        <v>4938</v>
      </c>
      <c r="G159" s="7" t="s">
        <v>4938</v>
      </c>
    </row>
    <row r="160" spans="1:7" ht="19.5" customHeight="1">
      <c r="A160" s="8" t="s">
        <v>4844</v>
      </c>
      <c r="B160" s="7" t="s">
        <v>5165</v>
      </c>
      <c r="C160" s="7" t="s">
        <v>4938</v>
      </c>
      <c r="D160" s="7" t="s">
        <v>4938</v>
      </c>
      <c r="E160" s="7" t="s">
        <v>4938</v>
      </c>
      <c r="F160" s="7" t="s">
        <v>4938</v>
      </c>
      <c r="G160" s="7" t="s">
        <v>4938</v>
      </c>
    </row>
    <row r="161" spans="1:7" ht="19.5" customHeight="1">
      <c r="A161" s="8" t="s">
        <v>4846</v>
      </c>
      <c r="B161" s="7" t="s">
        <v>5166</v>
      </c>
      <c r="C161" s="7" t="s">
        <v>4938</v>
      </c>
      <c r="D161" s="7" t="s">
        <v>4938</v>
      </c>
      <c r="E161" s="7" t="s">
        <v>4938</v>
      </c>
      <c r="F161" s="7" t="s">
        <v>4938</v>
      </c>
      <c r="G161" s="7" t="s">
        <v>4938</v>
      </c>
    </row>
    <row r="162" spans="1:7" ht="19.5" customHeight="1">
      <c r="A162" s="8" t="s">
        <v>4848</v>
      </c>
      <c r="B162" s="7" t="s">
        <v>5167</v>
      </c>
      <c r="C162" s="7" t="s">
        <v>4938</v>
      </c>
      <c r="D162" s="7" t="s">
        <v>4938</v>
      </c>
      <c r="E162" s="7" t="s">
        <v>4938</v>
      </c>
      <c r="F162" s="7" t="s">
        <v>4938</v>
      </c>
      <c r="G162" s="7" t="s">
        <v>4938</v>
      </c>
    </row>
    <row r="163" spans="1:7" ht="19.5" customHeight="1">
      <c r="A163" s="8" t="s">
        <v>4851</v>
      </c>
      <c r="B163" s="7" t="s">
        <v>5168</v>
      </c>
      <c r="C163" s="7" t="s">
        <v>4938</v>
      </c>
      <c r="D163" s="7" t="s">
        <v>4938</v>
      </c>
      <c r="E163" s="7" t="s">
        <v>4938</v>
      </c>
      <c r="F163" s="7" t="s">
        <v>4938</v>
      </c>
      <c r="G163" s="7" t="s">
        <v>4938</v>
      </c>
    </row>
    <row r="164" spans="1:7" ht="19.5" customHeight="1">
      <c r="A164" s="8" t="s">
        <v>4853</v>
      </c>
      <c r="B164" s="7" t="s">
        <v>5169</v>
      </c>
      <c r="C164" s="7" t="s">
        <v>4938</v>
      </c>
      <c r="D164" s="7" t="s">
        <v>4938</v>
      </c>
      <c r="E164" s="7" t="s">
        <v>4938</v>
      </c>
      <c r="F164" s="7" t="s">
        <v>4938</v>
      </c>
      <c r="G164" s="7" t="s">
        <v>4938</v>
      </c>
    </row>
    <row r="165" spans="1:7" ht="19.5" customHeight="1">
      <c r="A165" s="8" t="s">
        <v>4855</v>
      </c>
      <c r="B165" s="7" t="s">
        <v>5170</v>
      </c>
      <c r="C165" s="7" t="s">
        <v>4938</v>
      </c>
      <c r="D165" s="7" t="s">
        <v>4938</v>
      </c>
      <c r="E165" s="7" t="s">
        <v>4938</v>
      </c>
      <c r="F165" s="7" t="s">
        <v>4938</v>
      </c>
      <c r="G165" s="7" t="s">
        <v>4938</v>
      </c>
    </row>
    <row r="166" spans="1:7" ht="19.5" customHeight="1">
      <c r="A166" s="8" t="s">
        <v>4857</v>
      </c>
      <c r="B166" s="7" t="s">
        <v>2691</v>
      </c>
      <c r="C166" s="7" t="s">
        <v>4938</v>
      </c>
      <c r="D166" s="7" t="s">
        <v>4938</v>
      </c>
      <c r="E166" s="7" t="s">
        <v>4938</v>
      </c>
      <c r="F166" s="7" t="s">
        <v>4938</v>
      </c>
      <c r="G166" s="7" t="s">
        <v>4938</v>
      </c>
    </row>
    <row r="167" spans="1:7" ht="19.5" customHeight="1">
      <c r="A167" s="8" t="s">
        <v>4859</v>
      </c>
      <c r="B167" s="7" t="s">
        <v>5171</v>
      </c>
      <c r="C167" s="7" t="s">
        <v>4938</v>
      </c>
      <c r="D167" s="7" t="s">
        <v>4938</v>
      </c>
      <c r="E167" s="7" t="s">
        <v>4938</v>
      </c>
      <c r="F167" s="7" t="s">
        <v>4938</v>
      </c>
      <c r="G167" s="7" t="s">
        <v>4938</v>
      </c>
    </row>
    <row r="168" spans="1:7" ht="19.5" customHeight="1">
      <c r="A168" s="8" t="s">
        <v>4861</v>
      </c>
      <c r="B168" s="7" t="s">
        <v>5172</v>
      </c>
      <c r="C168" s="7" t="s">
        <v>4938</v>
      </c>
      <c r="D168" s="7" t="s">
        <v>4938</v>
      </c>
      <c r="E168" s="7" t="s">
        <v>4938</v>
      </c>
      <c r="F168" s="7" t="s">
        <v>4938</v>
      </c>
      <c r="G168" s="7" t="s">
        <v>4938</v>
      </c>
    </row>
    <row r="169" spans="1:7" ht="19.5" customHeight="1">
      <c r="A169" s="8" t="s">
        <v>4863</v>
      </c>
      <c r="B169" s="7" t="s">
        <v>5173</v>
      </c>
      <c r="C169" s="7" t="s">
        <v>4938</v>
      </c>
      <c r="D169" s="7" t="s">
        <v>4938</v>
      </c>
      <c r="E169" s="7" t="s">
        <v>4938</v>
      </c>
      <c r="F169" s="7" t="s">
        <v>4938</v>
      </c>
      <c r="G169" s="7" t="s">
        <v>4938</v>
      </c>
    </row>
    <row r="170" spans="1:7" ht="19.5" customHeight="1">
      <c r="A170" s="8" t="s">
        <v>4865</v>
      </c>
      <c r="B170" s="7" t="s">
        <v>5174</v>
      </c>
      <c r="C170" s="7" t="s">
        <v>4938</v>
      </c>
      <c r="D170" s="7" t="s">
        <v>4938</v>
      </c>
      <c r="E170" s="7" t="s">
        <v>4938</v>
      </c>
      <c r="F170" s="7" t="s">
        <v>4938</v>
      </c>
      <c r="G170" s="7" t="s">
        <v>4938</v>
      </c>
    </row>
    <row r="171" spans="1:7" ht="19.5" customHeight="1">
      <c r="A171" s="8" t="s">
        <v>4867</v>
      </c>
      <c r="B171" s="7" t="s">
        <v>5175</v>
      </c>
      <c r="C171" s="7" t="s">
        <v>4938</v>
      </c>
      <c r="D171" s="7" t="s">
        <v>4938</v>
      </c>
      <c r="E171" s="7" t="s">
        <v>4938</v>
      </c>
      <c r="F171" s="7" t="s">
        <v>4938</v>
      </c>
      <c r="G171" s="7" t="s">
        <v>4938</v>
      </c>
    </row>
    <row r="172" spans="1:7" ht="19.5" customHeight="1">
      <c r="A172" s="8" t="s">
        <v>4868</v>
      </c>
      <c r="B172" s="7" t="s">
        <v>5176</v>
      </c>
      <c r="C172" s="7" t="s">
        <v>4938</v>
      </c>
      <c r="D172" s="7" t="s">
        <v>4938</v>
      </c>
      <c r="E172" s="7" t="s">
        <v>4938</v>
      </c>
      <c r="F172" s="7" t="s">
        <v>4938</v>
      </c>
      <c r="G172" s="7" t="s">
        <v>4938</v>
      </c>
    </row>
    <row r="173" spans="1:7" ht="19.5" customHeight="1">
      <c r="A173" s="8" t="s">
        <v>4870</v>
      </c>
      <c r="B173" s="7" t="s">
        <v>5177</v>
      </c>
      <c r="C173" s="7" t="s">
        <v>4938</v>
      </c>
      <c r="D173" s="7" t="s">
        <v>4938</v>
      </c>
      <c r="E173" s="7" t="s">
        <v>4938</v>
      </c>
      <c r="F173" s="7" t="s">
        <v>4938</v>
      </c>
      <c r="G173" s="7" t="s">
        <v>4938</v>
      </c>
    </row>
    <row r="174" spans="1:7" ht="19.5" customHeight="1">
      <c r="A174" s="8" t="s">
        <v>4871</v>
      </c>
      <c r="B174" s="7" t="s">
        <v>5178</v>
      </c>
      <c r="C174" s="7" t="s">
        <v>4938</v>
      </c>
      <c r="D174" s="7" t="s">
        <v>4938</v>
      </c>
      <c r="E174" s="7" t="s">
        <v>4938</v>
      </c>
      <c r="F174" s="7" t="s">
        <v>4938</v>
      </c>
      <c r="G174" s="7" t="s">
        <v>4938</v>
      </c>
    </row>
    <row r="175" spans="1:7" ht="19.5" customHeight="1">
      <c r="A175" s="8" t="s">
        <v>4873</v>
      </c>
      <c r="B175" s="7" t="s">
        <v>5179</v>
      </c>
      <c r="C175" s="7" t="s">
        <v>4938</v>
      </c>
      <c r="D175" s="7" t="s">
        <v>4938</v>
      </c>
      <c r="E175" s="7" t="s">
        <v>4938</v>
      </c>
      <c r="F175" s="7" t="s">
        <v>4938</v>
      </c>
      <c r="G175" s="7" t="s">
        <v>4938</v>
      </c>
    </row>
    <row r="176" spans="1:7" ht="19.5" customHeight="1">
      <c r="A176" s="8" t="s">
        <v>4875</v>
      </c>
      <c r="B176" s="7" t="s">
        <v>5180</v>
      </c>
      <c r="C176" s="7" t="s">
        <v>4938</v>
      </c>
      <c r="D176" s="7" t="s">
        <v>4938</v>
      </c>
      <c r="E176" s="7" t="s">
        <v>4938</v>
      </c>
      <c r="F176" s="7" t="s">
        <v>4938</v>
      </c>
      <c r="G176" s="7" t="s">
        <v>4938</v>
      </c>
    </row>
    <row r="177" spans="1:7" ht="19.5" customHeight="1">
      <c r="A177" s="8" t="s">
        <v>4877</v>
      </c>
      <c r="B177" s="7" t="s">
        <v>5181</v>
      </c>
      <c r="C177" s="7" t="s">
        <v>4938</v>
      </c>
      <c r="D177" s="7" t="s">
        <v>4938</v>
      </c>
      <c r="E177" s="7" t="s">
        <v>4938</v>
      </c>
      <c r="F177" s="7" t="s">
        <v>4938</v>
      </c>
      <c r="G177" s="7" t="s">
        <v>4938</v>
      </c>
    </row>
    <row r="178" spans="1:7" ht="19.5" customHeight="1">
      <c r="A178" s="8" t="s">
        <v>4879</v>
      </c>
      <c r="B178" s="7" t="s">
        <v>5182</v>
      </c>
      <c r="C178" s="7" t="s">
        <v>4938</v>
      </c>
      <c r="D178" s="7" t="s">
        <v>4938</v>
      </c>
      <c r="E178" s="7" t="s">
        <v>4938</v>
      </c>
      <c r="F178" s="7" t="s">
        <v>4938</v>
      </c>
      <c r="G178" s="7" t="s">
        <v>4938</v>
      </c>
    </row>
    <row r="179" spans="1:7" ht="19.5" customHeight="1">
      <c r="A179" s="8" t="s">
        <v>4882</v>
      </c>
      <c r="B179" s="7" t="s">
        <v>5183</v>
      </c>
      <c r="C179" s="7" t="s">
        <v>4938</v>
      </c>
      <c r="D179" s="7" t="s">
        <v>4938</v>
      </c>
      <c r="E179" s="7" t="s">
        <v>4938</v>
      </c>
      <c r="F179" s="7" t="s">
        <v>4938</v>
      </c>
      <c r="G179" s="7" t="s">
        <v>4938</v>
      </c>
    </row>
    <row r="180" spans="1:7" ht="19.5" customHeight="1">
      <c r="A180" s="8" t="s">
        <v>4884</v>
      </c>
      <c r="B180" s="7" t="s">
        <v>4732</v>
      </c>
      <c r="C180" s="7" t="s">
        <v>4938</v>
      </c>
      <c r="D180" s="7" t="s">
        <v>4938</v>
      </c>
      <c r="E180" s="7" t="s">
        <v>4938</v>
      </c>
      <c r="F180" s="7" t="s">
        <v>4938</v>
      </c>
      <c r="G180" s="7" t="s">
        <v>4938</v>
      </c>
    </row>
    <row r="181" spans="1:7" ht="19.5" customHeight="1">
      <c r="A181" s="8" t="s">
        <v>4887</v>
      </c>
      <c r="B181" s="7" t="s">
        <v>5184</v>
      </c>
      <c r="C181" s="7" t="s">
        <v>4938</v>
      </c>
      <c r="D181" s="7" t="s">
        <v>4938</v>
      </c>
      <c r="E181" s="7" t="s">
        <v>4938</v>
      </c>
      <c r="F181" s="7" t="s">
        <v>4938</v>
      </c>
      <c r="G181" s="7" t="s">
        <v>4938</v>
      </c>
    </row>
    <row r="182" spans="1:7" ht="19.5" customHeight="1">
      <c r="A182" s="8" t="s">
        <v>4889</v>
      </c>
      <c r="B182" s="7" t="s">
        <v>5185</v>
      </c>
      <c r="C182" s="7" t="s">
        <v>4938</v>
      </c>
      <c r="D182" s="7" t="s">
        <v>4938</v>
      </c>
      <c r="E182" s="7" t="s">
        <v>4938</v>
      </c>
      <c r="F182" s="7" t="s">
        <v>4938</v>
      </c>
      <c r="G182" s="7" t="s">
        <v>4938</v>
      </c>
    </row>
    <row r="183" spans="1:7" ht="19.5" customHeight="1">
      <c r="A183" s="8" t="s">
        <v>4891</v>
      </c>
      <c r="B183" s="7" t="s">
        <v>5186</v>
      </c>
      <c r="C183" s="7" t="s">
        <v>4938</v>
      </c>
      <c r="D183" s="7" t="s">
        <v>4938</v>
      </c>
      <c r="E183" s="7" t="s">
        <v>4938</v>
      </c>
      <c r="F183" s="7" t="s">
        <v>4938</v>
      </c>
      <c r="G183" s="7" t="s">
        <v>4938</v>
      </c>
    </row>
    <row r="184" spans="1:7" ht="19.5" customHeight="1">
      <c r="A184" s="8" t="s">
        <v>4893</v>
      </c>
      <c r="B184" s="7" t="s">
        <v>5187</v>
      </c>
      <c r="C184" s="7" t="s">
        <v>4938</v>
      </c>
      <c r="D184" s="7" t="s">
        <v>4938</v>
      </c>
      <c r="E184" s="7" t="s">
        <v>4938</v>
      </c>
      <c r="F184" s="7" t="s">
        <v>4938</v>
      </c>
      <c r="G184" s="7" t="s">
        <v>4938</v>
      </c>
    </row>
    <row r="185" spans="1:7" ht="19.5" customHeight="1">
      <c r="A185" s="8" t="s">
        <v>4895</v>
      </c>
      <c r="B185" s="7" t="s">
        <v>5188</v>
      </c>
      <c r="C185" s="7" t="s">
        <v>4938</v>
      </c>
      <c r="D185" s="7" t="s">
        <v>4938</v>
      </c>
      <c r="E185" s="7" t="s">
        <v>4938</v>
      </c>
      <c r="F185" s="7" t="s">
        <v>4938</v>
      </c>
      <c r="G185" s="7" t="s">
        <v>4938</v>
      </c>
    </row>
    <row r="186" spans="1:7" ht="19.5" customHeight="1">
      <c r="A186" s="8" t="s">
        <v>4897</v>
      </c>
      <c r="B186" s="7" t="s">
        <v>5189</v>
      </c>
      <c r="C186" s="7" t="s">
        <v>4938</v>
      </c>
      <c r="D186" s="7" t="s">
        <v>4938</v>
      </c>
      <c r="E186" s="7" t="s">
        <v>4938</v>
      </c>
      <c r="F186" s="7" t="s">
        <v>4938</v>
      </c>
      <c r="G186" s="7" t="s">
        <v>4938</v>
      </c>
    </row>
    <row r="187" spans="1:7" ht="19.5" customHeight="1">
      <c r="A187" s="8" t="s">
        <v>4899</v>
      </c>
      <c r="B187" s="7" t="s">
        <v>5190</v>
      </c>
      <c r="C187" s="7" t="s">
        <v>4938</v>
      </c>
      <c r="D187" s="7" t="s">
        <v>4938</v>
      </c>
      <c r="E187" s="7" t="s">
        <v>4938</v>
      </c>
      <c r="F187" s="7" t="s">
        <v>4938</v>
      </c>
      <c r="G187" s="7" t="s">
        <v>4938</v>
      </c>
    </row>
    <row r="188" spans="1:7" ht="19.5" customHeight="1">
      <c r="A188" s="8" t="s">
        <v>4901</v>
      </c>
      <c r="B188" s="7" t="s">
        <v>5191</v>
      </c>
      <c r="C188" s="7" t="s">
        <v>4938</v>
      </c>
      <c r="D188" s="7" t="s">
        <v>4938</v>
      </c>
      <c r="E188" s="7" t="s">
        <v>4938</v>
      </c>
      <c r="F188" s="7" t="s">
        <v>4938</v>
      </c>
      <c r="G188" s="7" t="s">
        <v>4938</v>
      </c>
    </row>
    <row r="189" spans="1:7" ht="19.5" customHeight="1">
      <c r="A189" s="8" t="s">
        <v>4903</v>
      </c>
      <c r="B189" s="7" t="s">
        <v>5192</v>
      </c>
      <c r="C189" s="7" t="s">
        <v>4938</v>
      </c>
      <c r="D189" s="7" t="s">
        <v>4938</v>
      </c>
      <c r="E189" s="7" t="s">
        <v>4938</v>
      </c>
      <c r="F189" s="7" t="s">
        <v>4938</v>
      </c>
      <c r="G189" s="7" t="s">
        <v>4938</v>
      </c>
    </row>
    <row r="190" spans="1:7" ht="19.5" customHeight="1">
      <c r="A190" s="8" t="s">
        <v>4905</v>
      </c>
      <c r="B190" s="7" t="s">
        <v>5193</v>
      </c>
      <c r="C190" s="7" t="s">
        <v>4938</v>
      </c>
      <c r="D190" s="7" t="s">
        <v>4938</v>
      </c>
      <c r="E190" s="7" t="s">
        <v>4938</v>
      </c>
      <c r="F190" s="7" t="s">
        <v>4938</v>
      </c>
      <c r="G190" s="7" t="s">
        <v>4938</v>
      </c>
    </row>
    <row r="191" spans="1:7" ht="19.5" customHeight="1">
      <c r="A191" s="8" t="s">
        <v>4907</v>
      </c>
      <c r="B191" s="7" t="s">
        <v>5194</v>
      </c>
      <c r="C191" s="7" t="s">
        <v>4938</v>
      </c>
      <c r="D191" s="7" t="s">
        <v>4938</v>
      </c>
      <c r="E191" s="7" t="s">
        <v>4938</v>
      </c>
      <c r="F191" s="7" t="s">
        <v>4938</v>
      </c>
      <c r="G191" s="7" t="s">
        <v>4938</v>
      </c>
    </row>
    <row r="192" spans="1:7" ht="19.5" customHeight="1">
      <c r="A192" s="8" t="s">
        <v>4909</v>
      </c>
      <c r="B192" s="7" t="s">
        <v>5195</v>
      </c>
      <c r="C192" s="7" t="s">
        <v>4938</v>
      </c>
      <c r="D192" s="7" t="s">
        <v>4938</v>
      </c>
      <c r="E192" s="7" t="s">
        <v>4938</v>
      </c>
      <c r="F192" s="7" t="s">
        <v>4938</v>
      </c>
      <c r="G192" s="7" t="s">
        <v>4938</v>
      </c>
    </row>
    <row r="193" spans="1:7" ht="19.5" customHeight="1">
      <c r="A193" s="8" t="s">
        <v>4910</v>
      </c>
      <c r="B193" s="7" t="s">
        <v>5196</v>
      </c>
      <c r="C193" s="7" t="s">
        <v>4938</v>
      </c>
      <c r="D193" s="7" t="s">
        <v>4938</v>
      </c>
      <c r="E193" s="7" t="s">
        <v>4938</v>
      </c>
      <c r="F193" s="7" t="s">
        <v>4938</v>
      </c>
      <c r="G193" s="7" t="s">
        <v>4938</v>
      </c>
    </row>
    <row r="194" spans="1:7" ht="19.5" customHeight="1">
      <c r="A194" s="8" t="s">
        <v>4911</v>
      </c>
      <c r="B194" s="7" t="s">
        <v>5197</v>
      </c>
      <c r="C194" s="7" t="s">
        <v>4938</v>
      </c>
      <c r="D194" s="7" t="s">
        <v>4938</v>
      </c>
      <c r="E194" s="7" t="s">
        <v>4938</v>
      </c>
      <c r="F194" s="7" t="s">
        <v>4938</v>
      </c>
      <c r="G194" s="7" t="s">
        <v>4938</v>
      </c>
    </row>
    <row r="195" spans="1:7" ht="19.5" customHeight="1">
      <c r="A195" s="8" t="s">
        <v>4912</v>
      </c>
      <c r="B195" s="7" t="s">
        <v>5198</v>
      </c>
      <c r="C195" s="7" t="s">
        <v>4938</v>
      </c>
      <c r="D195" s="7" t="s">
        <v>4938</v>
      </c>
      <c r="E195" s="7" t="s">
        <v>4938</v>
      </c>
      <c r="F195" s="7" t="s">
        <v>4938</v>
      </c>
      <c r="G195" s="7" t="s">
        <v>4938</v>
      </c>
    </row>
    <row r="196" spans="1:7" ht="19.5" customHeight="1">
      <c r="A196" s="8" t="s">
        <v>4913</v>
      </c>
      <c r="B196" s="7" t="s">
        <v>5199</v>
      </c>
      <c r="C196" s="7" t="s">
        <v>4938</v>
      </c>
      <c r="D196" s="7" t="s">
        <v>4938</v>
      </c>
      <c r="E196" s="7" t="s">
        <v>4938</v>
      </c>
      <c r="F196" s="7" t="s">
        <v>4938</v>
      </c>
      <c r="G196" s="7" t="s">
        <v>4938</v>
      </c>
    </row>
    <row r="197" spans="1:7" ht="19.5" customHeight="1">
      <c r="A197" s="8" t="s">
        <v>4914</v>
      </c>
      <c r="B197" s="7" t="s">
        <v>5200</v>
      </c>
      <c r="C197" s="7" t="s">
        <v>4938</v>
      </c>
      <c r="D197" s="7" t="s">
        <v>4938</v>
      </c>
      <c r="E197" s="7" t="s">
        <v>4938</v>
      </c>
      <c r="F197" s="7" t="s">
        <v>4938</v>
      </c>
      <c r="G197" s="7" t="s">
        <v>4938</v>
      </c>
    </row>
    <row r="198" spans="1:7" ht="19.5" customHeight="1">
      <c r="A198" s="8" t="s">
        <v>4915</v>
      </c>
      <c r="B198" s="7" t="s">
        <v>5201</v>
      </c>
      <c r="C198" s="7" t="s">
        <v>4938</v>
      </c>
      <c r="D198" s="7" t="s">
        <v>4938</v>
      </c>
      <c r="E198" s="7" t="s">
        <v>4938</v>
      </c>
      <c r="F198" s="7" t="s">
        <v>4938</v>
      </c>
      <c r="G198" s="7" t="s">
        <v>4938</v>
      </c>
    </row>
    <row r="199" spans="1:7" ht="19.5" customHeight="1">
      <c r="A199" s="8" t="s">
        <v>4916</v>
      </c>
      <c r="B199" s="7" t="s">
        <v>5202</v>
      </c>
      <c r="C199" s="7" t="s">
        <v>4938</v>
      </c>
      <c r="D199" s="7" t="s">
        <v>4938</v>
      </c>
      <c r="E199" s="7" t="s">
        <v>4938</v>
      </c>
      <c r="F199" s="7" t="s">
        <v>4938</v>
      </c>
      <c r="G199" s="7" t="s">
        <v>4938</v>
      </c>
    </row>
    <row r="200" spans="1:7" ht="19.5" customHeight="1">
      <c r="A200" s="8" t="s">
        <v>4917</v>
      </c>
      <c r="B200" s="7" t="s">
        <v>5203</v>
      </c>
      <c r="C200" s="7" t="s">
        <v>4938</v>
      </c>
      <c r="D200" s="7" t="s">
        <v>4938</v>
      </c>
      <c r="E200" s="7" t="s">
        <v>4938</v>
      </c>
      <c r="F200" s="7" t="s">
        <v>4938</v>
      </c>
      <c r="G200" s="7" t="s">
        <v>4938</v>
      </c>
    </row>
    <row r="201" spans="1:7" ht="19.5" customHeight="1">
      <c r="A201" s="8" t="s">
        <v>4918</v>
      </c>
      <c r="B201" s="7" t="s">
        <v>5204</v>
      </c>
      <c r="C201" s="7" t="s">
        <v>4938</v>
      </c>
      <c r="D201" s="7" t="s">
        <v>4938</v>
      </c>
      <c r="E201" s="7" t="s">
        <v>4938</v>
      </c>
      <c r="F201" s="7" t="s">
        <v>4938</v>
      </c>
      <c r="G201" s="7" t="s">
        <v>4938</v>
      </c>
    </row>
    <row r="202" spans="1:7" ht="19.5" customHeight="1">
      <c r="A202" s="8" t="s">
        <v>4919</v>
      </c>
      <c r="B202" s="7" t="s">
        <v>5205</v>
      </c>
      <c r="C202" s="7" t="s">
        <v>4938</v>
      </c>
      <c r="D202" s="7" t="s">
        <v>4938</v>
      </c>
      <c r="E202" s="7" t="s">
        <v>4938</v>
      </c>
      <c r="F202" s="7" t="s">
        <v>4938</v>
      </c>
      <c r="G202" s="7" t="s">
        <v>4938</v>
      </c>
    </row>
    <row r="203" spans="1:7" ht="19.5" customHeight="1">
      <c r="A203" s="8" t="s">
        <v>4920</v>
      </c>
      <c r="B203" s="7" t="s">
        <v>5206</v>
      </c>
      <c r="C203" s="7" t="s">
        <v>4938</v>
      </c>
      <c r="D203" s="7" t="s">
        <v>4938</v>
      </c>
      <c r="E203" s="7" t="s">
        <v>4938</v>
      </c>
      <c r="F203" s="7" t="s">
        <v>4938</v>
      </c>
      <c r="G203" s="7" t="s">
        <v>4938</v>
      </c>
    </row>
    <row r="204" spans="1:7" ht="19.5" customHeight="1">
      <c r="A204" s="8" t="s">
        <v>4921</v>
      </c>
      <c r="B204" s="7" t="s">
        <v>5207</v>
      </c>
      <c r="C204" s="7" t="s">
        <v>4938</v>
      </c>
      <c r="D204" s="7" t="s">
        <v>4938</v>
      </c>
      <c r="E204" s="7" t="s">
        <v>4938</v>
      </c>
      <c r="F204" s="7" t="s">
        <v>4938</v>
      </c>
      <c r="G204" s="7" t="s">
        <v>4938</v>
      </c>
    </row>
    <row r="205" spans="1:7" ht="19.5" customHeight="1">
      <c r="A205" s="8" t="s">
        <v>4922</v>
      </c>
      <c r="B205" s="7" t="s">
        <v>5208</v>
      </c>
      <c r="C205" s="7" t="s">
        <v>4938</v>
      </c>
      <c r="D205" s="7" t="s">
        <v>4938</v>
      </c>
      <c r="E205" s="7" t="s">
        <v>4938</v>
      </c>
      <c r="F205" s="7" t="s">
        <v>4938</v>
      </c>
      <c r="G205" s="7" t="s">
        <v>4938</v>
      </c>
    </row>
    <row r="206" spans="1:7" ht="19.5" customHeight="1">
      <c r="A206" s="8" t="s">
        <v>4923</v>
      </c>
      <c r="B206" s="7" t="s">
        <v>5209</v>
      </c>
      <c r="C206" s="7" t="s">
        <v>4938</v>
      </c>
      <c r="D206" s="7" t="s">
        <v>4938</v>
      </c>
      <c r="E206" s="7" t="s">
        <v>4938</v>
      </c>
      <c r="F206" s="7" t="s">
        <v>4938</v>
      </c>
      <c r="G206" s="7" t="s">
        <v>4938</v>
      </c>
    </row>
    <row r="207" spans="1:7" ht="19.5" customHeight="1">
      <c r="A207" s="8" t="s">
        <v>4924</v>
      </c>
      <c r="B207" s="7" t="s">
        <v>5210</v>
      </c>
      <c r="C207" s="7" t="s">
        <v>4938</v>
      </c>
      <c r="D207" s="7" t="s">
        <v>4938</v>
      </c>
      <c r="E207" s="7" t="s">
        <v>4938</v>
      </c>
      <c r="F207" s="7" t="s">
        <v>4938</v>
      </c>
      <c r="G207" s="7" t="s">
        <v>4938</v>
      </c>
    </row>
    <row r="208" spans="1:7" ht="19.5" customHeight="1">
      <c r="A208" s="8" t="s">
        <v>4925</v>
      </c>
      <c r="B208" s="7" t="s">
        <v>5211</v>
      </c>
      <c r="C208" s="7" t="s">
        <v>4938</v>
      </c>
      <c r="D208" s="7" t="s">
        <v>4938</v>
      </c>
      <c r="E208" s="7" t="s">
        <v>4938</v>
      </c>
      <c r="F208" s="7" t="s">
        <v>4938</v>
      </c>
      <c r="G208" s="7" t="s">
        <v>4938</v>
      </c>
    </row>
    <row r="209" spans="1:7" ht="19.5" customHeight="1">
      <c r="A209" s="8" t="s">
        <v>4926</v>
      </c>
      <c r="B209" s="7" t="s">
        <v>5212</v>
      </c>
      <c r="C209" s="7" t="s">
        <v>4938</v>
      </c>
      <c r="D209" s="7" t="s">
        <v>4938</v>
      </c>
      <c r="E209" s="7" t="s">
        <v>4938</v>
      </c>
      <c r="F209" s="7" t="s">
        <v>4938</v>
      </c>
      <c r="G209" s="7" t="s">
        <v>4938</v>
      </c>
    </row>
    <row r="210" spans="1:7" ht="19.5" customHeight="1">
      <c r="A210" s="8" t="s">
        <v>4927</v>
      </c>
      <c r="B210" s="7" t="s">
        <v>5213</v>
      </c>
      <c r="C210" s="7" t="s">
        <v>4938</v>
      </c>
      <c r="D210" s="7" t="s">
        <v>4938</v>
      </c>
      <c r="E210" s="7" t="s">
        <v>4938</v>
      </c>
      <c r="F210" s="7" t="s">
        <v>4938</v>
      </c>
      <c r="G210" s="7" t="s">
        <v>4938</v>
      </c>
    </row>
    <row r="211" spans="1:7" ht="19.5" customHeight="1">
      <c r="A211" s="8" t="s">
        <v>4928</v>
      </c>
      <c r="B211" s="7" t="s">
        <v>5214</v>
      </c>
      <c r="C211" s="7" t="s">
        <v>4938</v>
      </c>
      <c r="D211" s="7" t="s">
        <v>4938</v>
      </c>
      <c r="E211" s="7" t="s">
        <v>4938</v>
      </c>
      <c r="F211" s="7" t="s">
        <v>4938</v>
      </c>
      <c r="G211" s="7" t="s">
        <v>4938</v>
      </c>
    </row>
    <row r="212" spans="1:7" ht="19.5" customHeight="1">
      <c r="A212" s="8" t="s">
        <v>4929</v>
      </c>
      <c r="B212" s="7" t="s">
        <v>5215</v>
      </c>
      <c r="C212" s="7" t="s">
        <v>4938</v>
      </c>
      <c r="D212" s="7" t="s">
        <v>4938</v>
      </c>
      <c r="E212" s="7" t="s">
        <v>4938</v>
      </c>
      <c r="F212" s="7" t="s">
        <v>4938</v>
      </c>
      <c r="G212" s="7" t="s">
        <v>4938</v>
      </c>
    </row>
    <row r="213" spans="1:7" ht="19.5" customHeight="1">
      <c r="A213" s="8" t="s">
        <v>4930</v>
      </c>
      <c r="B213" s="7" t="s">
        <v>5216</v>
      </c>
      <c r="C213" s="7" t="s">
        <v>4938</v>
      </c>
      <c r="D213" s="7" t="s">
        <v>4938</v>
      </c>
      <c r="E213" s="7" t="s">
        <v>4938</v>
      </c>
      <c r="F213" s="7" t="s">
        <v>4938</v>
      </c>
      <c r="G213" s="7" t="s">
        <v>4938</v>
      </c>
    </row>
    <row r="214" spans="1:7" ht="19.5" customHeight="1">
      <c r="A214" s="8" t="s">
        <v>4931</v>
      </c>
      <c r="B214" s="7" t="s">
        <v>5217</v>
      </c>
      <c r="C214" s="7" t="s">
        <v>4938</v>
      </c>
      <c r="D214" s="7" t="s">
        <v>4938</v>
      </c>
      <c r="E214" s="7" t="s">
        <v>4938</v>
      </c>
      <c r="F214" s="7" t="s">
        <v>4938</v>
      </c>
      <c r="G214" s="7" t="s">
        <v>4938</v>
      </c>
    </row>
    <row r="215" spans="1:7" ht="19.5" customHeight="1">
      <c r="A215" s="8" t="s">
        <v>4932</v>
      </c>
      <c r="B215" s="7" t="s">
        <v>5218</v>
      </c>
      <c r="C215" s="7" t="s">
        <v>4938</v>
      </c>
      <c r="D215" s="7" t="s">
        <v>4938</v>
      </c>
      <c r="E215" s="7" t="s">
        <v>4938</v>
      </c>
      <c r="F215" s="7" t="s">
        <v>4938</v>
      </c>
      <c r="G215" s="7" t="s">
        <v>4938</v>
      </c>
    </row>
    <row r="216" spans="1:7" ht="19.5" customHeight="1">
      <c r="A216" s="8" t="s">
        <v>4933</v>
      </c>
      <c r="B216" s="7" t="s">
        <v>5219</v>
      </c>
      <c r="C216" s="7" t="s">
        <v>4938</v>
      </c>
      <c r="D216" s="7" t="s">
        <v>4938</v>
      </c>
      <c r="E216" s="7" t="s">
        <v>4938</v>
      </c>
      <c r="F216" s="7" t="s">
        <v>4938</v>
      </c>
      <c r="G216" s="7" t="s">
        <v>4938</v>
      </c>
    </row>
    <row r="217" spans="1:7" ht="19.5" customHeight="1">
      <c r="A217" s="8" t="s">
        <v>5220</v>
      </c>
      <c r="B217" s="7" t="s">
        <v>5221</v>
      </c>
      <c r="C217" s="7" t="s">
        <v>4938</v>
      </c>
      <c r="D217" s="7" t="s">
        <v>4938</v>
      </c>
      <c r="E217" s="7" t="s">
        <v>4938</v>
      </c>
      <c r="F217" s="7" t="s">
        <v>4938</v>
      </c>
      <c r="G217" s="7" t="s">
        <v>4938</v>
      </c>
    </row>
    <row r="218" spans="1:7" ht="19.5" customHeight="1">
      <c r="A218" s="8" t="s">
        <v>5222</v>
      </c>
      <c r="B218" s="7" t="s">
        <v>5223</v>
      </c>
      <c r="C218" s="7" t="s">
        <v>4938</v>
      </c>
      <c r="D218" s="7" t="s">
        <v>4938</v>
      </c>
      <c r="E218" s="7" t="s">
        <v>4938</v>
      </c>
      <c r="F218" s="7" t="s">
        <v>4938</v>
      </c>
      <c r="G218" s="7" t="s">
        <v>4938</v>
      </c>
    </row>
    <row r="219" spans="1:7" ht="19.5" customHeight="1">
      <c r="A219" s="8" t="s">
        <v>3161</v>
      </c>
      <c r="B219" s="7" t="s">
        <v>5224</v>
      </c>
      <c r="C219" s="7" t="s">
        <v>4938</v>
      </c>
      <c r="D219" s="7" t="s">
        <v>4938</v>
      </c>
      <c r="E219" s="7" t="s">
        <v>4938</v>
      </c>
      <c r="F219" s="7" t="s">
        <v>4938</v>
      </c>
      <c r="G219" s="7" t="s">
        <v>4938</v>
      </c>
    </row>
    <row r="220" spans="1:7" ht="19.5" customHeight="1">
      <c r="A220" s="8" t="s">
        <v>3163</v>
      </c>
      <c r="B220" s="7" t="s">
        <v>5225</v>
      </c>
      <c r="C220" s="7" t="s">
        <v>4938</v>
      </c>
      <c r="D220" s="7" t="s">
        <v>4938</v>
      </c>
      <c r="E220" s="7" t="s">
        <v>4938</v>
      </c>
      <c r="F220" s="7" t="s">
        <v>4938</v>
      </c>
      <c r="G220" s="7" t="s">
        <v>4938</v>
      </c>
    </row>
    <row r="221" spans="1:7" ht="19.5" customHeight="1">
      <c r="A221" s="8" t="s">
        <v>2441</v>
      </c>
      <c r="B221" s="7" t="s">
        <v>5226</v>
      </c>
      <c r="C221" s="7" t="s">
        <v>4938</v>
      </c>
      <c r="D221" s="7" t="s">
        <v>4938</v>
      </c>
      <c r="E221" s="7" t="s">
        <v>4938</v>
      </c>
      <c r="F221" s="7" t="s">
        <v>4938</v>
      </c>
      <c r="G221" s="7" t="s">
        <v>4938</v>
      </c>
    </row>
    <row r="222" spans="1:7" ht="19.5" customHeight="1">
      <c r="A222" s="8" t="s">
        <v>3167</v>
      </c>
      <c r="B222" s="7" t="s">
        <v>5227</v>
      </c>
      <c r="C222" s="7" t="s">
        <v>4938</v>
      </c>
      <c r="D222" s="7" t="s">
        <v>4938</v>
      </c>
      <c r="E222" s="7" t="s">
        <v>4938</v>
      </c>
      <c r="F222" s="7" t="s">
        <v>4938</v>
      </c>
      <c r="G222" s="7" t="s">
        <v>4938</v>
      </c>
    </row>
    <row r="223" spans="1:7" ht="19.5" customHeight="1">
      <c r="A223" s="8" t="s">
        <v>5228</v>
      </c>
      <c r="B223" s="7" t="s">
        <v>5229</v>
      </c>
      <c r="C223" s="7" t="s">
        <v>4938</v>
      </c>
      <c r="D223" s="7" t="s">
        <v>4938</v>
      </c>
      <c r="E223" s="7" t="s">
        <v>4938</v>
      </c>
      <c r="F223" s="7" t="s">
        <v>4938</v>
      </c>
      <c r="G223" s="7" t="s">
        <v>4938</v>
      </c>
    </row>
    <row r="224" spans="1:7" ht="19.5" customHeight="1">
      <c r="A224" s="8" t="s">
        <v>5230</v>
      </c>
      <c r="B224" s="7" t="s">
        <v>5231</v>
      </c>
      <c r="C224" s="7" t="s">
        <v>4938</v>
      </c>
      <c r="D224" s="7" t="s">
        <v>4938</v>
      </c>
      <c r="E224" s="7" t="s">
        <v>4938</v>
      </c>
      <c r="F224" s="7" t="s">
        <v>4938</v>
      </c>
      <c r="G224" s="7" t="s">
        <v>4938</v>
      </c>
    </row>
    <row r="225" spans="1:7" ht="19.5" customHeight="1">
      <c r="A225" s="8" t="s">
        <v>2438</v>
      </c>
      <c r="B225" s="7" t="s">
        <v>5232</v>
      </c>
      <c r="C225" s="7" t="s">
        <v>4938</v>
      </c>
      <c r="D225" s="7" t="s">
        <v>4938</v>
      </c>
      <c r="E225" s="7" t="s">
        <v>4938</v>
      </c>
      <c r="F225" s="7" t="s">
        <v>4938</v>
      </c>
      <c r="G225" s="7" t="s">
        <v>4938</v>
      </c>
    </row>
    <row r="226" spans="1:7" ht="19.5" customHeight="1">
      <c r="A226" s="8" t="s">
        <v>3210</v>
      </c>
      <c r="B226" s="7" t="s">
        <v>5233</v>
      </c>
      <c r="C226" s="7" t="s">
        <v>4938</v>
      </c>
      <c r="D226" s="7" t="s">
        <v>4938</v>
      </c>
      <c r="E226" s="7" t="s">
        <v>4938</v>
      </c>
      <c r="F226" s="7" t="s">
        <v>4938</v>
      </c>
      <c r="G226" s="7" t="s">
        <v>4938</v>
      </c>
    </row>
    <row r="227" spans="1:7" ht="19.5" customHeight="1">
      <c r="A227" s="8" t="s">
        <v>3165</v>
      </c>
      <c r="B227" s="7" t="s">
        <v>5234</v>
      </c>
      <c r="C227" s="7" t="s">
        <v>4938</v>
      </c>
      <c r="D227" s="7" t="s">
        <v>4938</v>
      </c>
      <c r="E227" s="7" t="s">
        <v>4938</v>
      </c>
      <c r="F227" s="7" t="s">
        <v>4938</v>
      </c>
      <c r="G227" s="7" t="s">
        <v>4938</v>
      </c>
    </row>
    <row r="228" spans="1:7" ht="19.5" customHeight="1">
      <c r="A228" s="8" t="s">
        <v>2161</v>
      </c>
      <c r="B228" s="7" t="s">
        <v>5235</v>
      </c>
      <c r="C228" s="7" t="s">
        <v>4938</v>
      </c>
      <c r="D228" s="7" t="s">
        <v>4938</v>
      </c>
      <c r="E228" s="7" t="s">
        <v>4938</v>
      </c>
      <c r="F228" s="7" t="s">
        <v>4938</v>
      </c>
      <c r="G228" s="7" t="s">
        <v>4938</v>
      </c>
    </row>
    <row r="229" spans="1:7" ht="19.5" customHeight="1">
      <c r="A229" s="8" t="s">
        <v>2192</v>
      </c>
      <c r="B229" s="7" t="s">
        <v>5236</v>
      </c>
      <c r="C229" s="7" t="s">
        <v>4938</v>
      </c>
      <c r="D229" s="7" t="s">
        <v>4938</v>
      </c>
      <c r="E229" s="7" t="s">
        <v>4938</v>
      </c>
      <c r="F229" s="7" t="s">
        <v>4938</v>
      </c>
      <c r="G229" s="7" t="s">
        <v>4938</v>
      </c>
    </row>
    <row r="230" spans="1:7" ht="19.5" customHeight="1">
      <c r="A230" s="8" t="s">
        <v>2544</v>
      </c>
      <c r="B230" s="7" t="s">
        <v>5237</v>
      </c>
      <c r="C230" s="7" t="s">
        <v>4938</v>
      </c>
      <c r="D230" s="7" t="s">
        <v>4938</v>
      </c>
      <c r="E230" s="7" t="s">
        <v>4938</v>
      </c>
      <c r="F230" s="7" t="s">
        <v>4938</v>
      </c>
      <c r="G230" s="7" t="s">
        <v>4938</v>
      </c>
    </row>
    <row r="231" spans="1:7" ht="19.5" customHeight="1">
      <c r="A231" s="8" t="s">
        <v>5238</v>
      </c>
      <c r="B231" s="7" t="s">
        <v>5239</v>
      </c>
      <c r="C231" s="7" t="s">
        <v>4938</v>
      </c>
      <c r="D231" s="7" t="s">
        <v>4938</v>
      </c>
      <c r="E231" s="7" t="s">
        <v>4938</v>
      </c>
      <c r="F231" s="7" t="s">
        <v>4938</v>
      </c>
      <c r="G231" s="7" t="s">
        <v>4938</v>
      </c>
    </row>
    <row r="232" spans="1:7" ht="19.5" customHeight="1">
      <c r="A232" s="8" t="s">
        <v>2081</v>
      </c>
      <c r="B232" s="7" t="s">
        <v>5240</v>
      </c>
      <c r="C232" s="7" t="s">
        <v>4938</v>
      </c>
      <c r="D232" s="7" t="s">
        <v>4938</v>
      </c>
      <c r="E232" s="7" t="s">
        <v>4938</v>
      </c>
      <c r="F232" s="7" t="s">
        <v>4938</v>
      </c>
      <c r="G232" s="7" t="s">
        <v>4938</v>
      </c>
    </row>
    <row r="233" spans="1:7" ht="19.5" customHeight="1">
      <c r="A233" s="8" t="s">
        <v>2144</v>
      </c>
      <c r="B233" s="7" t="s">
        <v>5241</v>
      </c>
      <c r="C233" s="7" t="s">
        <v>4938</v>
      </c>
      <c r="D233" s="7" t="s">
        <v>4938</v>
      </c>
      <c r="E233" s="7" t="s">
        <v>4938</v>
      </c>
      <c r="F233" s="7" t="s">
        <v>4938</v>
      </c>
      <c r="G233" s="7" t="s">
        <v>4938</v>
      </c>
    </row>
    <row r="234" spans="1:7" ht="19.5" customHeight="1">
      <c r="A234" s="8" t="s">
        <v>4935</v>
      </c>
      <c r="B234" s="7" t="s">
        <v>5242</v>
      </c>
      <c r="C234" s="7" t="s">
        <v>4938</v>
      </c>
      <c r="D234" s="7" t="s">
        <v>4938</v>
      </c>
      <c r="E234" s="7" t="s">
        <v>4938</v>
      </c>
      <c r="F234" s="7" t="s">
        <v>4938</v>
      </c>
      <c r="G234" s="7" t="s">
        <v>4938</v>
      </c>
    </row>
    <row r="235" spans="1:7" ht="19.5" customHeight="1">
      <c r="A235" s="8" t="s">
        <v>4936</v>
      </c>
      <c r="B235" s="7" t="s">
        <v>5243</v>
      </c>
      <c r="C235" s="7" t="s">
        <v>4938</v>
      </c>
      <c r="D235" s="7" t="s">
        <v>4938</v>
      </c>
      <c r="E235" s="7" t="s">
        <v>4938</v>
      </c>
      <c r="F235" s="7" t="s">
        <v>4938</v>
      </c>
      <c r="G235" s="7" t="s">
        <v>4938</v>
      </c>
    </row>
    <row r="236" spans="1:7" ht="19.5" customHeight="1">
      <c r="A236" s="2"/>
      <c r="B236" s="7"/>
      <c r="C236" s="7"/>
      <c r="D236" s="7"/>
      <c r="E236" s="7"/>
      <c r="F236" s="7"/>
      <c r="G236" s="7"/>
    </row>
    <row r="237" spans="1:7" ht="19.5" customHeight="1">
      <c r="A237" s="8" t="s">
        <v>4800</v>
      </c>
      <c r="B237" s="7"/>
      <c r="C237" s="7"/>
      <c r="D237" s="7"/>
      <c r="E237" s="7"/>
      <c r="F237" s="7"/>
      <c r="G237" s="7"/>
    </row>
    <row r="238" spans="1:7" ht="19.5" customHeight="1">
      <c r="A238" s="8" t="s">
        <v>3864</v>
      </c>
      <c r="B238" s="7" t="s">
        <v>4937</v>
      </c>
      <c r="C238" s="7" t="s">
        <v>4938</v>
      </c>
      <c r="D238" s="7"/>
      <c r="E238" s="7"/>
      <c r="F238" s="7"/>
      <c r="G238" s="7"/>
    </row>
    <row r="239" spans="1:7" ht="19.5" customHeight="1">
      <c r="A239" s="8" t="s">
        <v>4939</v>
      </c>
      <c r="B239" s="7" t="s">
        <v>4940</v>
      </c>
      <c r="C239" s="7" t="s">
        <v>4938</v>
      </c>
      <c r="D239" s="7"/>
      <c r="E239" s="7"/>
      <c r="F239" s="7"/>
      <c r="G239" s="7"/>
    </row>
    <row r="240" spans="1:7" ht="19.5" customHeight="1">
      <c r="A240" s="8" t="s">
        <v>4941</v>
      </c>
      <c r="B240" s="7" t="s">
        <v>4942</v>
      </c>
      <c r="C240" s="7" t="s">
        <v>4938</v>
      </c>
      <c r="D240" s="7"/>
      <c r="E240" s="7"/>
      <c r="F240" s="7"/>
      <c r="G240" s="7"/>
    </row>
    <row r="241" spans="1:7" ht="19.5" customHeight="1">
      <c r="A241" s="8" t="s">
        <v>4943</v>
      </c>
      <c r="B241" s="7" t="s">
        <v>4944</v>
      </c>
      <c r="C241" s="7" t="s">
        <v>4938</v>
      </c>
      <c r="D241" s="7"/>
      <c r="E241" s="7"/>
      <c r="F241" s="7"/>
      <c r="G241" s="7"/>
    </row>
    <row r="242" spans="1:7" ht="19.5" customHeight="1">
      <c r="A242" s="8" t="s">
        <v>4945</v>
      </c>
      <c r="B242" s="7" t="s">
        <v>4946</v>
      </c>
      <c r="C242" s="7" t="s">
        <v>4938</v>
      </c>
      <c r="D242" s="7"/>
      <c r="E242" s="7"/>
      <c r="F242" s="7"/>
      <c r="G242" s="7"/>
    </row>
    <row r="243" spans="1:7" ht="19.5" customHeight="1">
      <c r="A243" s="8" t="s">
        <v>4947</v>
      </c>
      <c r="B243" s="7" t="s">
        <v>4948</v>
      </c>
      <c r="C243" s="7" t="s">
        <v>4938</v>
      </c>
      <c r="D243" s="7"/>
      <c r="E243" s="7"/>
      <c r="F243" s="7"/>
      <c r="G243" s="7"/>
    </row>
    <row r="244" spans="1:7" ht="19.5" customHeight="1">
      <c r="A244" s="8" t="s">
        <v>5039</v>
      </c>
      <c r="B244" s="7" t="s">
        <v>5040</v>
      </c>
      <c r="C244" s="7" t="s">
        <v>4938</v>
      </c>
      <c r="D244" s="7"/>
      <c r="E244" s="7"/>
      <c r="F244" s="7"/>
      <c r="G244" s="7"/>
    </row>
    <row r="245" spans="1:7" ht="19.5" customHeight="1">
      <c r="A245" s="8" t="s">
        <v>5041</v>
      </c>
      <c r="B245" s="7" t="s">
        <v>5042</v>
      </c>
      <c r="C245" s="7" t="s">
        <v>4938</v>
      </c>
      <c r="D245" s="7"/>
      <c r="E245" s="7"/>
      <c r="F245" s="7"/>
      <c r="G245" s="7"/>
    </row>
    <row r="246" spans="1:7" ht="19.5" customHeight="1">
      <c r="A246" s="8" t="s">
        <v>5043</v>
      </c>
      <c r="B246" s="7" t="s">
        <v>5044</v>
      </c>
      <c r="C246" s="7" t="s">
        <v>4938</v>
      </c>
      <c r="D246" s="7"/>
      <c r="E246" s="7"/>
      <c r="F246" s="7"/>
      <c r="G246" s="7"/>
    </row>
    <row r="247" spans="1:7" ht="19.5" customHeight="1">
      <c r="A247" s="8" t="s">
        <v>5045</v>
      </c>
      <c r="B247" s="7" t="s">
        <v>5046</v>
      </c>
      <c r="C247" s="7" t="s">
        <v>4938</v>
      </c>
      <c r="D247" s="7"/>
      <c r="E247" s="7"/>
      <c r="F247" s="7"/>
      <c r="G247" s="7"/>
    </row>
    <row r="248" spans="1:7" ht="19.5" customHeight="1">
      <c r="A248" s="8" t="s">
        <v>5047</v>
      </c>
      <c r="B248" s="7" t="s">
        <v>5048</v>
      </c>
      <c r="C248" s="7" t="s">
        <v>4938</v>
      </c>
      <c r="D248" s="7"/>
      <c r="E248" s="7"/>
      <c r="F248" s="7"/>
      <c r="G248" s="7"/>
    </row>
    <row r="249" spans="1:7" ht="19.5" customHeight="1">
      <c r="A249" s="8" t="s">
        <v>5049</v>
      </c>
      <c r="B249" s="7" t="s">
        <v>5050</v>
      </c>
      <c r="C249" s="7" t="s">
        <v>4938</v>
      </c>
      <c r="D249" s="7"/>
      <c r="E249" s="7"/>
      <c r="F249" s="7"/>
      <c r="G249" s="7"/>
    </row>
    <row r="250" spans="1:7" ht="19.5" customHeight="1">
      <c r="A250" s="8" t="s">
        <v>5051</v>
      </c>
      <c r="B250" s="7" t="s">
        <v>5052</v>
      </c>
      <c r="C250" s="7" t="s">
        <v>4938</v>
      </c>
      <c r="D250" s="7"/>
      <c r="E250" s="7"/>
      <c r="F250" s="7"/>
      <c r="G250" s="7"/>
    </row>
    <row r="251" spans="1:7" ht="19.5" customHeight="1">
      <c r="A251" s="8" t="s">
        <v>5053</v>
      </c>
      <c r="B251" s="7" t="s">
        <v>5054</v>
      </c>
      <c r="C251" s="7" t="s">
        <v>4938</v>
      </c>
      <c r="D251" s="7"/>
      <c r="E251" s="7"/>
      <c r="F251" s="7"/>
      <c r="G251" s="7"/>
    </row>
    <row r="252" spans="1:7" ht="19.5" customHeight="1">
      <c r="A252" s="8" t="s">
        <v>5055</v>
      </c>
      <c r="B252" s="7" t="s">
        <v>5056</v>
      </c>
      <c r="C252" s="7" t="s">
        <v>4938</v>
      </c>
      <c r="D252" s="7"/>
      <c r="E252" s="7"/>
      <c r="F252" s="7"/>
      <c r="G252" s="7"/>
    </row>
    <row r="253" spans="1:7" ht="19.5" customHeight="1">
      <c r="A253" s="8" t="s">
        <v>5057</v>
      </c>
      <c r="B253" s="7" t="s">
        <v>5058</v>
      </c>
      <c r="C253" s="7" t="s">
        <v>4938</v>
      </c>
      <c r="D253" s="7"/>
      <c r="E253" s="7"/>
      <c r="F253" s="7"/>
      <c r="G253" s="7"/>
    </row>
    <row r="254" spans="1:7" ht="19.5" customHeight="1">
      <c r="A254" s="8" t="s">
        <v>5059</v>
      </c>
      <c r="B254" s="7" t="s">
        <v>5060</v>
      </c>
      <c r="C254" s="7" t="s">
        <v>4938</v>
      </c>
      <c r="D254" s="7"/>
      <c r="E254" s="7"/>
      <c r="F254" s="7"/>
      <c r="G254" s="7"/>
    </row>
    <row r="255" spans="1:7" ht="19.5" customHeight="1">
      <c r="A255" s="8" t="s">
        <v>5061</v>
      </c>
      <c r="B255" s="7" t="s">
        <v>5062</v>
      </c>
      <c r="C255" s="7" t="s">
        <v>4938</v>
      </c>
      <c r="D255" s="7"/>
      <c r="E255" s="7"/>
      <c r="F255" s="7"/>
      <c r="G255" s="7"/>
    </row>
    <row r="256" spans="1:7" ht="19.5" customHeight="1">
      <c r="A256" s="8" t="s">
        <v>5063</v>
      </c>
      <c r="B256" s="7" t="s">
        <v>5064</v>
      </c>
      <c r="C256" s="7" t="s">
        <v>4938</v>
      </c>
      <c r="D256" s="7"/>
      <c r="E256" s="7"/>
      <c r="F256" s="7"/>
      <c r="G256" s="7"/>
    </row>
    <row r="257" spans="1:7" ht="19.5" customHeight="1">
      <c r="A257" s="8" t="s">
        <v>5065</v>
      </c>
      <c r="B257" s="7" t="s">
        <v>5066</v>
      </c>
      <c r="C257" s="7" t="s">
        <v>4938</v>
      </c>
      <c r="D257" s="7"/>
      <c r="E257" s="7"/>
      <c r="F257" s="7"/>
      <c r="G257" s="7"/>
    </row>
    <row r="258" spans="1:7" ht="19.5" customHeight="1">
      <c r="A258" s="8" t="s">
        <v>5067</v>
      </c>
      <c r="B258" s="7" t="s">
        <v>5068</v>
      </c>
      <c r="C258" s="7" t="s">
        <v>4938</v>
      </c>
      <c r="D258" s="7"/>
      <c r="E258" s="7"/>
      <c r="F258" s="7"/>
      <c r="G258" s="7"/>
    </row>
    <row r="259" spans="1:7" ht="19.5" customHeight="1">
      <c r="A259" s="8" t="s">
        <v>5069</v>
      </c>
      <c r="B259" s="7" t="s">
        <v>5070</v>
      </c>
      <c r="C259" s="7" t="s">
        <v>4938</v>
      </c>
      <c r="D259" s="7"/>
      <c r="E259" s="7"/>
      <c r="F259" s="7"/>
      <c r="G259" s="7"/>
    </row>
    <row r="260" spans="1:7" ht="19.5" customHeight="1">
      <c r="A260" s="8" t="s">
        <v>5071</v>
      </c>
      <c r="B260" s="7" t="s">
        <v>5072</v>
      </c>
      <c r="C260" s="7" t="s">
        <v>4938</v>
      </c>
      <c r="D260" s="7"/>
      <c r="E260" s="7"/>
      <c r="F260" s="7"/>
      <c r="G260" s="7"/>
    </row>
    <row r="261" spans="1:7" ht="19.5" customHeight="1">
      <c r="A261" s="8" t="s">
        <v>5073</v>
      </c>
      <c r="B261" s="7" t="s">
        <v>5074</v>
      </c>
      <c r="C261" s="7" t="s">
        <v>4938</v>
      </c>
      <c r="D261" s="7"/>
      <c r="E261" s="7"/>
      <c r="F261" s="7"/>
      <c r="G261" s="7"/>
    </row>
    <row r="262" spans="1:7" ht="19.5" customHeight="1">
      <c r="A262" s="8" t="s">
        <v>5075</v>
      </c>
      <c r="B262" s="7" t="s">
        <v>5076</v>
      </c>
      <c r="C262" s="7" t="s">
        <v>4938</v>
      </c>
      <c r="D262" s="7"/>
      <c r="E262" s="7"/>
      <c r="F262" s="7"/>
      <c r="G262" s="7"/>
    </row>
    <row r="263" spans="1:7" ht="19.5" customHeight="1">
      <c r="A263" s="8" t="s">
        <v>5077</v>
      </c>
      <c r="B263" s="7" t="s">
        <v>5078</v>
      </c>
      <c r="C263" s="7" t="s">
        <v>4938</v>
      </c>
      <c r="D263" s="7"/>
      <c r="E263" s="7"/>
      <c r="F263" s="7"/>
      <c r="G263" s="7"/>
    </row>
    <row r="264" spans="1:7" ht="19.5" customHeight="1">
      <c r="A264" s="8" t="s">
        <v>5079</v>
      </c>
      <c r="B264" s="7" t="s">
        <v>5080</v>
      </c>
      <c r="C264" s="7" t="s">
        <v>4938</v>
      </c>
      <c r="D264" s="7"/>
      <c r="E264" s="7"/>
      <c r="F264" s="7"/>
      <c r="G264" s="7"/>
    </row>
    <row r="265" spans="1:7" ht="19.5" customHeight="1">
      <c r="A265" s="8" t="s">
        <v>5081</v>
      </c>
      <c r="B265" s="7" t="s">
        <v>5082</v>
      </c>
      <c r="C265" s="7" t="s">
        <v>4938</v>
      </c>
      <c r="D265" s="7"/>
      <c r="E265" s="7"/>
      <c r="F265" s="7"/>
      <c r="G265" s="7"/>
    </row>
    <row r="266" spans="1:7" ht="19.5" customHeight="1">
      <c r="A266" s="8" t="s">
        <v>5083</v>
      </c>
      <c r="B266" s="7" t="s">
        <v>5084</v>
      </c>
      <c r="C266" s="7" t="s">
        <v>4938</v>
      </c>
      <c r="D266" s="7"/>
      <c r="E266" s="7"/>
      <c r="F266" s="7"/>
      <c r="G266" s="7"/>
    </row>
    <row r="267" spans="1:7" ht="19.5" customHeight="1">
      <c r="A267" s="8" t="s">
        <v>5085</v>
      </c>
      <c r="B267" s="7" t="s">
        <v>5086</v>
      </c>
      <c r="C267" s="7" t="s">
        <v>4938</v>
      </c>
      <c r="D267" s="7"/>
      <c r="E267" s="7"/>
      <c r="F267" s="7"/>
      <c r="G267" s="7"/>
    </row>
    <row r="268" spans="1:7" ht="19.5" customHeight="1">
      <c r="A268" s="8" t="s">
        <v>5087</v>
      </c>
      <c r="B268" s="7" t="s">
        <v>5088</v>
      </c>
      <c r="C268" s="7" t="s">
        <v>4938</v>
      </c>
      <c r="D268" s="7"/>
      <c r="E268" s="7"/>
      <c r="F268" s="7"/>
      <c r="G268" s="7"/>
    </row>
    <row r="269" spans="1:7" ht="19.5" customHeight="1">
      <c r="A269" s="8" t="s">
        <v>5089</v>
      </c>
      <c r="B269" s="7" t="s">
        <v>5090</v>
      </c>
      <c r="C269" s="7" t="s">
        <v>4938</v>
      </c>
      <c r="D269" s="7"/>
      <c r="E269" s="7"/>
      <c r="F269" s="7"/>
      <c r="G269" s="7"/>
    </row>
    <row r="270" spans="1:7" ht="19.5" customHeight="1">
      <c r="A270" s="8" t="s">
        <v>5091</v>
      </c>
      <c r="B270" s="7" t="s">
        <v>5092</v>
      </c>
      <c r="C270" s="7" t="s">
        <v>4938</v>
      </c>
      <c r="D270" s="7"/>
      <c r="E270" s="7"/>
      <c r="F270" s="7"/>
      <c r="G270" s="7"/>
    </row>
    <row r="271" spans="1:7" ht="19.5" customHeight="1">
      <c r="A271" s="8" t="s">
        <v>5093</v>
      </c>
      <c r="B271" s="7" t="s">
        <v>5094</v>
      </c>
      <c r="C271" s="7" t="s">
        <v>4938</v>
      </c>
      <c r="D271" s="7"/>
      <c r="E271" s="7"/>
      <c r="F271" s="7"/>
      <c r="G271" s="7"/>
    </row>
    <row r="272" spans="1:7" ht="19.5" customHeight="1">
      <c r="A272" s="8" t="s">
        <v>5095</v>
      </c>
      <c r="B272" s="7" t="s">
        <v>5096</v>
      </c>
      <c r="C272" s="7" t="s">
        <v>4938</v>
      </c>
      <c r="D272" s="7"/>
      <c r="E272" s="7"/>
      <c r="F272" s="7"/>
      <c r="G272" s="7"/>
    </row>
    <row r="273" spans="1:7" ht="19.5" customHeight="1">
      <c r="A273" s="8" t="s">
        <v>5097</v>
      </c>
      <c r="B273" s="7" t="s">
        <v>5098</v>
      </c>
      <c r="C273" s="7" t="s">
        <v>4938</v>
      </c>
      <c r="D273" s="7"/>
      <c r="E273" s="7"/>
      <c r="F273" s="7"/>
      <c r="G273" s="7"/>
    </row>
    <row r="274" spans="1:7" ht="19.5" customHeight="1">
      <c r="A274" s="8" t="s">
        <v>5099</v>
      </c>
      <c r="B274" s="7" t="s">
        <v>5100</v>
      </c>
      <c r="C274" s="7" t="s">
        <v>4938</v>
      </c>
      <c r="D274" s="7"/>
      <c r="E274" s="7"/>
      <c r="F274" s="7"/>
      <c r="G274" s="7"/>
    </row>
    <row r="275" spans="1:7" ht="19.5" customHeight="1">
      <c r="A275" s="8" t="s">
        <v>5101</v>
      </c>
      <c r="B275" s="7" t="s">
        <v>5102</v>
      </c>
      <c r="C275" s="7" t="s">
        <v>4938</v>
      </c>
      <c r="D275" s="7"/>
      <c r="E275" s="7"/>
      <c r="F275" s="7"/>
      <c r="G275" s="7"/>
    </row>
    <row r="276" spans="1:7" ht="19.5" customHeight="1">
      <c r="A276" s="8" t="s">
        <v>5103</v>
      </c>
      <c r="B276" s="7" t="s">
        <v>5104</v>
      </c>
      <c r="C276" s="7" t="s">
        <v>4938</v>
      </c>
      <c r="D276" s="7"/>
      <c r="E276" s="7"/>
      <c r="F276" s="7"/>
      <c r="G276" s="7"/>
    </row>
    <row r="277" spans="1:7" ht="19.5" customHeight="1">
      <c r="A277" s="8" t="s">
        <v>5105</v>
      </c>
      <c r="B277" s="7" t="s">
        <v>5106</v>
      </c>
      <c r="C277" s="7" t="s">
        <v>4938</v>
      </c>
      <c r="D277" s="7"/>
      <c r="E277" s="7"/>
      <c r="F277" s="7"/>
      <c r="G277" s="7"/>
    </row>
    <row r="278" spans="1:7" ht="19.5" customHeight="1">
      <c r="A278" s="8" t="s">
        <v>5107</v>
      </c>
      <c r="B278" s="7" t="s">
        <v>5108</v>
      </c>
      <c r="C278" s="7" t="s">
        <v>4938</v>
      </c>
      <c r="D278" s="7"/>
      <c r="E278" s="7"/>
      <c r="F278" s="7"/>
      <c r="G278" s="7"/>
    </row>
    <row r="279" spans="1:7" ht="19.5" customHeight="1">
      <c r="A279" s="8" t="s">
        <v>5109</v>
      </c>
      <c r="B279" s="7" t="s">
        <v>5110</v>
      </c>
      <c r="C279" s="7" t="s">
        <v>4938</v>
      </c>
      <c r="D279" s="7"/>
      <c r="E279" s="7"/>
      <c r="F279" s="7"/>
      <c r="G279" s="7"/>
    </row>
    <row r="280" spans="1:7" ht="19.5" customHeight="1">
      <c r="A280" s="8" t="s">
        <v>5111</v>
      </c>
      <c r="B280" s="7" t="s">
        <v>5112</v>
      </c>
      <c r="C280" s="7" t="s">
        <v>4938</v>
      </c>
      <c r="D280" s="7"/>
      <c r="E280" s="7"/>
      <c r="F280" s="7"/>
      <c r="G280" s="7"/>
    </row>
    <row r="281" spans="1:7" ht="19.5" customHeight="1">
      <c r="A281" s="8" t="s">
        <v>5113</v>
      </c>
      <c r="B281" s="7" t="s">
        <v>5114</v>
      </c>
      <c r="C281" s="7" t="s">
        <v>4938</v>
      </c>
      <c r="D281" s="7"/>
      <c r="E281" s="7"/>
      <c r="F281" s="7"/>
      <c r="G281" s="7"/>
    </row>
    <row r="282" spans="1:7" ht="19.5" customHeight="1">
      <c r="A282" s="8" t="s">
        <v>5115</v>
      </c>
      <c r="B282" s="7" t="s">
        <v>5116</v>
      </c>
      <c r="C282" s="7" t="s">
        <v>4938</v>
      </c>
      <c r="D282" s="7"/>
      <c r="E282" s="7"/>
      <c r="F282" s="7"/>
      <c r="G282" s="7"/>
    </row>
    <row r="283" spans="1:7" ht="19.5" customHeight="1">
      <c r="A283" s="8" t="s">
        <v>5117</v>
      </c>
      <c r="B283" s="7" t="s">
        <v>5118</v>
      </c>
      <c r="C283" s="7" t="s">
        <v>4938</v>
      </c>
      <c r="D283" s="7"/>
      <c r="E283" s="7"/>
      <c r="F283" s="7"/>
      <c r="G283" s="7"/>
    </row>
    <row r="284" spans="1:7" ht="19.5" customHeight="1">
      <c r="A284" s="8" t="s">
        <v>5119</v>
      </c>
      <c r="B284" s="7" t="s">
        <v>5120</v>
      </c>
      <c r="C284" s="7" t="s">
        <v>4938</v>
      </c>
      <c r="D284" s="7"/>
      <c r="E284" s="7"/>
      <c r="F284" s="7"/>
      <c r="G284" s="7"/>
    </row>
    <row r="285" spans="1:7" ht="19.5" customHeight="1">
      <c r="A285" s="8" t="s">
        <v>5121</v>
      </c>
      <c r="B285" s="7" t="s">
        <v>5122</v>
      </c>
      <c r="C285" s="7" t="s">
        <v>4938</v>
      </c>
      <c r="D285" s="7"/>
      <c r="E285" s="7"/>
      <c r="F285" s="7"/>
      <c r="G285" s="7"/>
    </row>
    <row r="286" spans="1:7" ht="19.5" customHeight="1">
      <c r="A286" s="8" t="s">
        <v>5123</v>
      </c>
      <c r="B286" s="7" t="s">
        <v>5124</v>
      </c>
      <c r="C286" s="7" t="s">
        <v>4938</v>
      </c>
      <c r="D286" s="7"/>
      <c r="E286" s="7"/>
      <c r="F286" s="7"/>
      <c r="G286" s="7"/>
    </row>
    <row r="287" spans="1:7" ht="19.5" customHeight="1">
      <c r="A287" s="8" t="s">
        <v>5125</v>
      </c>
      <c r="B287" s="7" t="s">
        <v>5126</v>
      </c>
      <c r="C287" s="7" t="s">
        <v>4938</v>
      </c>
      <c r="D287" s="7"/>
      <c r="E287" s="7"/>
      <c r="F287" s="7"/>
      <c r="G287" s="7"/>
    </row>
    <row r="288" spans="1:7" ht="19.5" customHeight="1">
      <c r="A288" s="8" t="s">
        <v>5127</v>
      </c>
      <c r="B288" s="7" t="s">
        <v>5128</v>
      </c>
      <c r="C288" s="7" t="s">
        <v>4938</v>
      </c>
      <c r="D288" s="7"/>
      <c r="E288" s="7"/>
      <c r="F288" s="7"/>
      <c r="G288" s="7"/>
    </row>
    <row r="289" spans="1:7" ht="19.5" customHeight="1">
      <c r="A289" s="8" t="s">
        <v>5129</v>
      </c>
      <c r="B289" s="7" t="s">
        <v>5130</v>
      </c>
      <c r="C289" s="7" t="s">
        <v>4938</v>
      </c>
      <c r="D289" s="7"/>
      <c r="E289" s="7"/>
      <c r="F289" s="7"/>
      <c r="G289" s="7"/>
    </row>
    <row r="290" spans="1:7" ht="19.5" customHeight="1">
      <c r="A290" s="8" t="s">
        <v>5131</v>
      </c>
      <c r="B290" s="7" t="s">
        <v>5132</v>
      </c>
      <c r="C290" s="7" t="s">
        <v>4938</v>
      </c>
      <c r="D290" s="7"/>
      <c r="E290" s="7"/>
      <c r="F290" s="7"/>
      <c r="G290" s="7"/>
    </row>
    <row r="291" spans="1:7" ht="19.5" customHeight="1">
      <c r="A291" s="8" t="s">
        <v>5133</v>
      </c>
      <c r="B291" s="7" t="s">
        <v>5134</v>
      </c>
      <c r="C291" s="7" t="s">
        <v>4938</v>
      </c>
      <c r="D291" s="7"/>
      <c r="E291" s="7"/>
      <c r="F291" s="7"/>
      <c r="G291" s="7"/>
    </row>
    <row r="292" spans="1:7" ht="19.5" customHeight="1">
      <c r="A292" s="8" t="s">
        <v>5135</v>
      </c>
      <c r="B292" s="7" t="s">
        <v>5136</v>
      </c>
      <c r="C292" s="7" t="s">
        <v>4938</v>
      </c>
      <c r="D292" s="7"/>
      <c r="E292" s="7"/>
      <c r="F292" s="7"/>
      <c r="G292" s="7"/>
    </row>
    <row r="293" spans="1:7" ht="19.5" customHeight="1">
      <c r="A293" s="8" t="s">
        <v>5137</v>
      </c>
      <c r="B293" s="7" t="s">
        <v>5138</v>
      </c>
      <c r="C293" s="7" t="s">
        <v>4938</v>
      </c>
      <c r="D293" s="7"/>
      <c r="E293" s="7"/>
      <c r="F293" s="7"/>
      <c r="G293" s="7"/>
    </row>
    <row r="294" spans="1:7" ht="19.5" customHeight="1">
      <c r="A294" s="8" t="s">
        <v>5139</v>
      </c>
      <c r="B294" s="7" t="s">
        <v>5140</v>
      </c>
      <c r="C294" s="7" t="s">
        <v>4938</v>
      </c>
      <c r="D294" s="7"/>
      <c r="E294" s="7"/>
      <c r="F294" s="7"/>
      <c r="G294" s="7"/>
    </row>
    <row r="295" spans="1:7" ht="19.5" customHeight="1">
      <c r="A295" s="8" t="s">
        <v>5141</v>
      </c>
      <c r="B295" s="7" t="s">
        <v>5142</v>
      </c>
      <c r="C295" s="7" t="s">
        <v>4938</v>
      </c>
      <c r="D295" s="7"/>
      <c r="E295" s="7"/>
      <c r="F295" s="7"/>
      <c r="G295" s="7"/>
    </row>
    <row r="296" spans="1:7" ht="19.5" customHeight="1">
      <c r="A296" s="8" t="s">
        <v>5143</v>
      </c>
      <c r="B296" s="7" t="s">
        <v>5144</v>
      </c>
      <c r="C296" s="7" t="s">
        <v>4938</v>
      </c>
      <c r="D296" s="7"/>
      <c r="E296" s="7"/>
      <c r="F296" s="7"/>
      <c r="G296" s="7"/>
    </row>
    <row r="297" spans="1:7" ht="19.5" customHeight="1">
      <c r="A297" s="8" t="s">
        <v>5145</v>
      </c>
      <c r="B297" s="7" t="s">
        <v>5146</v>
      </c>
      <c r="C297" s="7" t="s">
        <v>4938</v>
      </c>
      <c r="D297" s="7"/>
      <c r="E297" s="7"/>
      <c r="F297" s="7"/>
      <c r="G297" s="7"/>
    </row>
    <row r="298" spans="1:7" ht="19.5" customHeight="1">
      <c r="A298" s="8" t="s">
        <v>5147</v>
      </c>
      <c r="B298" s="7" t="s">
        <v>5148</v>
      </c>
      <c r="C298" s="7" t="s">
        <v>4938</v>
      </c>
      <c r="D298" s="7"/>
      <c r="E298" s="7"/>
      <c r="F298" s="7"/>
      <c r="G298" s="7"/>
    </row>
    <row r="299" spans="1:7" ht="19.5" customHeight="1">
      <c r="A299" s="8" t="s">
        <v>4804</v>
      </c>
      <c r="B299" s="7" t="s">
        <v>5149</v>
      </c>
      <c r="C299" s="7" t="s">
        <v>4938</v>
      </c>
      <c r="D299" s="7"/>
      <c r="E299" s="7"/>
      <c r="F299" s="7"/>
      <c r="G299" s="7"/>
    </row>
    <row r="300" spans="1:7" ht="19.5" customHeight="1">
      <c r="A300" s="8" t="s">
        <v>4807</v>
      </c>
      <c r="B300" s="7" t="s">
        <v>5150</v>
      </c>
      <c r="C300" s="7" t="s">
        <v>4938</v>
      </c>
      <c r="D300" s="7"/>
      <c r="E300" s="7"/>
      <c r="F300" s="7"/>
      <c r="G300" s="7"/>
    </row>
    <row r="301" spans="1:7" ht="19.5" customHeight="1">
      <c r="A301" s="8" t="s">
        <v>4809</v>
      </c>
      <c r="B301" s="7" t="s">
        <v>5151</v>
      </c>
      <c r="C301" s="7" t="s">
        <v>4938</v>
      </c>
      <c r="D301" s="7"/>
      <c r="E301" s="7"/>
      <c r="F301" s="7"/>
      <c r="G301" s="7"/>
    </row>
    <row r="302" spans="1:7" ht="19.5" customHeight="1">
      <c r="A302" s="8" t="s">
        <v>4811</v>
      </c>
      <c r="B302" s="7" t="s">
        <v>5152</v>
      </c>
      <c r="C302" s="7" t="s">
        <v>4938</v>
      </c>
      <c r="D302" s="7"/>
      <c r="E302" s="7"/>
      <c r="F302" s="7"/>
      <c r="G302" s="7"/>
    </row>
    <row r="303" spans="1:7" ht="19.5" customHeight="1">
      <c r="A303" s="8" t="s">
        <v>4813</v>
      </c>
      <c r="B303" s="7" t="s">
        <v>5153</v>
      </c>
      <c r="C303" s="7" t="s">
        <v>4938</v>
      </c>
      <c r="D303" s="7"/>
      <c r="E303" s="7"/>
      <c r="F303" s="7"/>
      <c r="G303" s="7"/>
    </row>
    <row r="304" spans="1:7" ht="19.5" customHeight="1">
      <c r="A304" s="8" t="s">
        <v>4816</v>
      </c>
      <c r="B304" s="7" t="s">
        <v>5154</v>
      </c>
      <c r="C304" s="7" t="s">
        <v>4938</v>
      </c>
      <c r="D304" s="7"/>
      <c r="E304" s="7"/>
      <c r="F304" s="7"/>
      <c r="G304" s="7"/>
    </row>
    <row r="305" spans="1:7" ht="19.5" customHeight="1">
      <c r="A305" s="8" t="s">
        <v>4818</v>
      </c>
      <c r="B305" s="7" t="s">
        <v>5155</v>
      </c>
      <c r="C305" s="7" t="s">
        <v>4938</v>
      </c>
      <c r="D305" s="7"/>
      <c r="E305" s="7"/>
      <c r="F305" s="7"/>
      <c r="G305" s="7"/>
    </row>
    <row r="306" spans="1:7" ht="19.5" customHeight="1">
      <c r="A306" s="8" t="s">
        <v>4820</v>
      </c>
      <c r="B306" s="7" t="s">
        <v>5156</v>
      </c>
      <c r="C306" s="7" t="s">
        <v>4938</v>
      </c>
      <c r="D306" s="7"/>
      <c r="E306" s="7"/>
      <c r="F306" s="7"/>
      <c r="G306" s="7"/>
    </row>
    <row r="307" spans="1:7" ht="19.5" customHeight="1">
      <c r="A307" s="8" t="s">
        <v>4822</v>
      </c>
      <c r="B307" s="7" t="s">
        <v>5157</v>
      </c>
      <c r="C307" s="7" t="s">
        <v>4938</v>
      </c>
      <c r="D307" s="7"/>
      <c r="E307" s="7"/>
      <c r="F307" s="7"/>
      <c r="G307" s="7"/>
    </row>
    <row r="308" spans="1:7" ht="19.5" customHeight="1">
      <c r="A308" s="8" t="s">
        <v>4824</v>
      </c>
      <c r="B308" s="7" t="s">
        <v>5158</v>
      </c>
      <c r="C308" s="7" t="s">
        <v>4938</v>
      </c>
      <c r="D308" s="7"/>
      <c r="E308" s="7"/>
      <c r="F308" s="7"/>
      <c r="G308" s="7"/>
    </row>
    <row r="309" spans="1:7" ht="19.5" customHeight="1">
      <c r="A309" s="8" t="s">
        <v>4827</v>
      </c>
      <c r="B309" s="7" t="s">
        <v>5159</v>
      </c>
      <c r="C309" s="7" t="s">
        <v>4938</v>
      </c>
      <c r="D309" s="7"/>
      <c r="E309" s="7"/>
      <c r="F309" s="7"/>
      <c r="G309" s="7"/>
    </row>
    <row r="310" spans="1:7" ht="19.5" customHeight="1">
      <c r="A310" s="8" t="s">
        <v>4830</v>
      </c>
      <c r="B310" s="7" t="s">
        <v>5160</v>
      </c>
      <c r="C310" s="7" t="s">
        <v>4938</v>
      </c>
      <c r="D310" s="7"/>
      <c r="E310" s="7"/>
      <c r="F310" s="7"/>
      <c r="G310" s="7"/>
    </row>
    <row r="311" spans="1:7" ht="19.5" customHeight="1">
      <c r="A311" s="8" t="s">
        <v>4833</v>
      </c>
      <c r="B311" s="7" t="s">
        <v>5161</v>
      </c>
      <c r="C311" s="7" t="s">
        <v>4938</v>
      </c>
      <c r="D311" s="7"/>
      <c r="E311" s="7"/>
      <c r="F311" s="7"/>
      <c r="G311" s="7"/>
    </row>
    <row r="312" spans="1:7" ht="19.5" customHeight="1">
      <c r="A312" s="8" t="s">
        <v>4835</v>
      </c>
      <c r="B312" s="7" t="s">
        <v>5162</v>
      </c>
      <c r="C312" s="7" t="s">
        <v>4938</v>
      </c>
      <c r="D312" s="7"/>
      <c r="E312" s="7"/>
      <c r="F312" s="7"/>
      <c r="G312" s="7"/>
    </row>
    <row r="313" spans="1:7" ht="19.5" customHeight="1">
      <c r="A313" s="8" t="s">
        <v>4838</v>
      </c>
      <c r="B313" s="7" t="s">
        <v>5163</v>
      </c>
      <c r="C313" s="7" t="s">
        <v>4938</v>
      </c>
      <c r="D313" s="7"/>
      <c r="E313" s="7"/>
      <c r="F313" s="7"/>
      <c r="G313" s="7"/>
    </row>
    <row r="314" spans="1:7" ht="19.5" customHeight="1">
      <c r="A314" s="8" t="s">
        <v>4841</v>
      </c>
      <c r="B314" s="7" t="s">
        <v>5164</v>
      </c>
      <c r="C314" s="7" t="s">
        <v>4938</v>
      </c>
      <c r="D314" s="7"/>
      <c r="E314" s="7"/>
      <c r="F314" s="7"/>
      <c r="G314" s="7"/>
    </row>
    <row r="315" spans="1:7" ht="19.5" customHeight="1">
      <c r="A315" s="8" t="s">
        <v>4844</v>
      </c>
      <c r="B315" s="7" t="s">
        <v>5165</v>
      </c>
      <c r="C315" s="7" t="s">
        <v>4938</v>
      </c>
      <c r="D315" s="7"/>
      <c r="E315" s="7"/>
      <c r="F315" s="7"/>
      <c r="G315" s="7"/>
    </row>
    <row r="316" spans="1:7" ht="19.5" customHeight="1">
      <c r="A316" s="8" t="s">
        <v>4846</v>
      </c>
      <c r="B316" s="7" t="s">
        <v>5166</v>
      </c>
      <c r="C316" s="7" t="s">
        <v>4938</v>
      </c>
      <c r="D316" s="7"/>
      <c r="E316" s="7"/>
      <c r="F316" s="7"/>
      <c r="G316" s="7"/>
    </row>
    <row r="317" spans="1:7" ht="19.5" customHeight="1">
      <c r="A317" s="8" t="s">
        <v>4848</v>
      </c>
      <c r="B317" s="7" t="s">
        <v>5167</v>
      </c>
      <c r="C317" s="7" t="s">
        <v>4938</v>
      </c>
      <c r="D317" s="7"/>
      <c r="E317" s="7"/>
      <c r="F317" s="7"/>
      <c r="G317" s="7"/>
    </row>
    <row r="318" spans="1:7" ht="19.5" customHeight="1">
      <c r="A318" s="8" t="s">
        <v>4851</v>
      </c>
      <c r="B318" s="7" t="s">
        <v>5168</v>
      </c>
      <c r="C318" s="7" t="s">
        <v>4938</v>
      </c>
      <c r="D318" s="7"/>
      <c r="E318" s="7"/>
      <c r="F318" s="7"/>
      <c r="G318" s="7"/>
    </row>
    <row r="319" spans="1:7" ht="19.5" customHeight="1">
      <c r="A319" s="8" t="s">
        <v>4853</v>
      </c>
      <c r="B319" s="7" t="s">
        <v>5169</v>
      </c>
      <c r="C319" s="7" t="s">
        <v>4938</v>
      </c>
      <c r="D319" s="7"/>
      <c r="E319" s="7"/>
      <c r="F319" s="7"/>
      <c r="G319" s="7"/>
    </row>
    <row r="320" spans="1:7" ht="19.5" customHeight="1">
      <c r="A320" s="8" t="s">
        <v>4855</v>
      </c>
      <c r="B320" s="7" t="s">
        <v>5170</v>
      </c>
      <c r="C320" s="7" t="s">
        <v>4938</v>
      </c>
      <c r="D320" s="7"/>
      <c r="E320" s="7"/>
      <c r="F320" s="7"/>
      <c r="G320" s="7"/>
    </row>
    <row r="321" spans="1:7" ht="19.5" customHeight="1">
      <c r="A321" s="8" t="s">
        <v>4857</v>
      </c>
      <c r="B321" s="7" t="s">
        <v>2691</v>
      </c>
      <c r="C321" s="7" t="s">
        <v>4938</v>
      </c>
      <c r="D321" s="7"/>
      <c r="E321" s="7"/>
      <c r="F321" s="7"/>
      <c r="G321" s="7"/>
    </row>
    <row r="322" spans="1:7" ht="19.5" customHeight="1">
      <c r="A322" s="8" t="s">
        <v>4859</v>
      </c>
      <c r="B322" s="7" t="s">
        <v>5171</v>
      </c>
      <c r="C322" s="7" t="s">
        <v>4938</v>
      </c>
      <c r="D322" s="7"/>
      <c r="E322" s="7"/>
      <c r="F322" s="7"/>
      <c r="G322" s="7"/>
    </row>
    <row r="323" spans="1:7" ht="19.5" customHeight="1">
      <c r="A323" s="8" t="s">
        <v>4861</v>
      </c>
      <c r="B323" s="7" t="s">
        <v>5172</v>
      </c>
      <c r="C323" s="7" t="s">
        <v>4938</v>
      </c>
      <c r="D323" s="7"/>
      <c r="E323" s="7"/>
      <c r="F323" s="7"/>
      <c r="G323" s="7"/>
    </row>
    <row r="324" spans="1:7" ht="19.5" customHeight="1">
      <c r="A324" s="8" t="s">
        <v>4863</v>
      </c>
      <c r="B324" s="7" t="s">
        <v>5173</v>
      </c>
      <c r="C324" s="7" t="s">
        <v>4938</v>
      </c>
      <c r="D324" s="7"/>
      <c r="E324" s="7"/>
      <c r="F324" s="7"/>
      <c r="G324" s="7"/>
    </row>
    <row r="325" spans="1:7" ht="19.5" customHeight="1">
      <c r="A325" s="8" t="s">
        <v>4865</v>
      </c>
      <c r="B325" s="7" t="s">
        <v>5174</v>
      </c>
      <c r="C325" s="7" t="s">
        <v>4938</v>
      </c>
      <c r="D325" s="7"/>
      <c r="E325" s="7"/>
      <c r="F325" s="7"/>
      <c r="G325" s="7"/>
    </row>
    <row r="326" spans="1:7" ht="19.5" customHeight="1">
      <c r="A326" s="8" t="s">
        <v>4867</v>
      </c>
      <c r="B326" s="7" t="s">
        <v>5175</v>
      </c>
      <c r="C326" s="7" t="s">
        <v>4938</v>
      </c>
      <c r="D326" s="7"/>
      <c r="E326" s="7"/>
      <c r="F326" s="7"/>
      <c r="G326" s="7"/>
    </row>
    <row r="327" spans="1:7" ht="19.5" customHeight="1">
      <c r="A327" s="8" t="s">
        <v>4868</v>
      </c>
      <c r="B327" s="7" t="s">
        <v>5176</v>
      </c>
      <c r="C327" s="7" t="s">
        <v>4938</v>
      </c>
      <c r="D327" s="7"/>
      <c r="E327" s="7"/>
      <c r="F327" s="7"/>
      <c r="G327" s="7"/>
    </row>
    <row r="328" spans="1:7" ht="19.5" customHeight="1">
      <c r="A328" s="8" t="s">
        <v>4870</v>
      </c>
      <c r="B328" s="7" t="s">
        <v>5177</v>
      </c>
      <c r="C328" s="7" t="s">
        <v>4938</v>
      </c>
      <c r="D328" s="7"/>
      <c r="E328" s="7"/>
      <c r="F328" s="7"/>
      <c r="G328" s="7"/>
    </row>
    <row r="329" spans="1:7" ht="19.5" customHeight="1">
      <c r="A329" s="8" t="s">
        <v>4871</v>
      </c>
      <c r="B329" s="7" t="s">
        <v>5178</v>
      </c>
      <c r="C329" s="7" t="s">
        <v>4938</v>
      </c>
      <c r="D329" s="7"/>
      <c r="E329" s="7"/>
      <c r="F329" s="7"/>
      <c r="G329" s="7"/>
    </row>
    <row r="330" spans="1:7" ht="19.5" customHeight="1">
      <c r="A330" s="8" t="s">
        <v>4873</v>
      </c>
      <c r="B330" s="7" t="s">
        <v>5179</v>
      </c>
      <c r="C330" s="7" t="s">
        <v>4938</v>
      </c>
      <c r="D330" s="7"/>
      <c r="E330" s="7"/>
      <c r="F330" s="7"/>
      <c r="G330" s="7"/>
    </row>
    <row r="331" spans="1:7" ht="19.5" customHeight="1">
      <c r="A331" s="8" t="s">
        <v>4875</v>
      </c>
      <c r="B331" s="7" t="s">
        <v>5180</v>
      </c>
      <c r="C331" s="7" t="s">
        <v>4938</v>
      </c>
      <c r="D331" s="7"/>
      <c r="E331" s="7"/>
      <c r="F331" s="7"/>
      <c r="G331" s="7"/>
    </row>
    <row r="332" spans="1:7" ht="19.5" customHeight="1">
      <c r="A332" s="8" t="s">
        <v>4877</v>
      </c>
      <c r="B332" s="7" t="s">
        <v>5181</v>
      </c>
      <c r="C332" s="7" t="s">
        <v>4938</v>
      </c>
      <c r="D332" s="7"/>
      <c r="E332" s="7"/>
      <c r="F332" s="7"/>
      <c r="G332" s="7"/>
    </row>
    <row r="333" spans="1:7" ht="19.5" customHeight="1">
      <c r="A333" s="8" t="s">
        <v>4879</v>
      </c>
      <c r="B333" s="7" t="s">
        <v>5182</v>
      </c>
      <c r="C333" s="7" t="s">
        <v>4938</v>
      </c>
      <c r="D333" s="7"/>
      <c r="E333" s="7"/>
      <c r="F333" s="7"/>
      <c r="G333" s="7"/>
    </row>
    <row r="334" spans="1:7" ht="19.5" customHeight="1">
      <c r="A334" s="8" t="s">
        <v>4882</v>
      </c>
      <c r="B334" s="7" t="s">
        <v>5183</v>
      </c>
      <c r="C334" s="7" t="s">
        <v>4938</v>
      </c>
      <c r="D334" s="7"/>
      <c r="E334" s="7"/>
      <c r="F334" s="7"/>
      <c r="G334" s="7"/>
    </row>
    <row r="335" spans="1:7" ht="19.5" customHeight="1">
      <c r="A335" s="8" t="s">
        <v>4884</v>
      </c>
      <c r="B335" s="7" t="s">
        <v>4732</v>
      </c>
      <c r="C335" s="7" t="s">
        <v>4938</v>
      </c>
      <c r="D335" s="7"/>
      <c r="E335" s="7"/>
      <c r="F335" s="7"/>
      <c r="G335" s="7"/>
    </row>
    <row r="336" spans="1:7" ht="19.5" customHeight="1">
      <c r="A336" s="8" t="s">
        <v>4887</v>
      </c>
      <c r="B336" s="7" t="s">
        <v>5184</v>
      </c>
      <c r="C336" s="7" t="s">
        <v>4938</v>
      </c>
      <c r="D336" s="7"/>
      <c r="E336" s="7"/>
      <c r="F336" s="7"/>
      <c r="G336" s="7"/>
    </row>
    <row r="337" spans="1:7" ht="19.5" customHeight="1">
      <c r="A337" s="8" t="s">
        <v>4889</v>
      </c>
      <c r="B337" s="7" t="s">
        <v>5185</v>
      </c>
      <c r="C337" s="7" t="s">
        <v>4938</v>
      </c>
      <c r="D337" s="7"/>
      <c r="E337" s="7"/>
      <c r="F337" s="7"/>
      <c r="G337" s="7"/>
    </row>
    <row r="338" spans="1:7" ht="19.5" customHeight="1">
      <c r="A338" s="8" t="s">
        <v>4891</v>
      </c>
      <c r="B338" s="7" t="s">
        <v>5186</v>
      </c>
      <c r="C338" s="7" t="s">
        <v>4938</v>
      </c>
      <c r="D338" s="7"/>
      <c r="E338" s="7"/>
      <c r="F338" s="7"/>
      <c r="G338" s="7"/>
    </row>
    <row r="339" spans="1:7" ht="19.5" customHeight="1">
      <c r="A339" s="8" t="s">
        <v>4893</v>
      </c>
      <c r="B339" s="7" t="s">
        <v>5187</v>
      </c>
      <c r="C339" s="7" t="s">
        <v>4938</v>
      </c>
      <c r="D339" s="7"/>
      <c r="E339" s="7"/>
      <c r="F339" s="7"/>
      <c r="G339" s="7"/>
    </row>
    <row r="340" spans="1:7" ht="19.5" customHeight="1">
      <c r="A340" s="8" t="s">
        <v>4895</v>
      </c>
      <c r="B340" s="7" t="s">
        <v>5188</v>
      </c>
      <c r="C340" s="7" t="s">
        <v>4938</v>
      </c>
      <c r="D340" s="7"/>
      <c r="E340" s="7"/>
      <c r="F340" s="7"/>
      <c r="G340" s="7"/>
    </row>
    <row r="341" spans="1:7" ht="19.5" customHeight="1">
      <c r="A341" s="8" t="s">
        <v>4897</v>
      </c>
      <c r="B341" s="7" t="s">
        <v>5189</v>
      </c>
      <c r="C341" s="7" t="s">
        <v>4938</v>
      </c>
      <c r="D341" s="7"/>
      <c r="E341" s="7"/>
      <c r="F341" s="7"/>
      <c r="G341" s="7"/>
    </row>
    <row r="342" spans="1:7" ht="19.5" customHeight="1">
      <c r="A342" s="8" t="s">
        <v>4899</v>
      </c>
      <c r="B342" s="7" t="s">
        <v>5190</v>
      </c>
      <c r="C342" s="7" t="s">
        <v>4938</v>
      </c>
      <c r="D342" s="7"/>
      <c r="E342" s="7"/>
      <c r="F342" s="7"/>
      <c r="G342" s="7"/>
    </row>
    <row r="343" spans="1:7" ht="19.5" customHeight="1">
      <c r="A343" s="8" t="s">
        <v>4901</v>
      </c>
      <c r="B343" s="7" t="s">
        <v>5191</v>
      </c>
      <c r="C343" s="7" t="s">
        <v>4938</v>
      </c>
      <c r="D343" s="7"/>
      <c r="E343" s="7"/>
      <c r="F343" s="7"/>
      <c r="G343" s="7"/>
    </row>
    <row r="344" spans="1:7" ht="19.5" customHeight="1">
      <c r="A344" s="8" t="s">
        <v>4903</v>
      </c>
      <c r="B344" s="7" t="s">
        <v>5192</v>
      </c>
      <c r="C344" s="7" t="s">
        <v>4938</v>
      </c>
      <c r="D344" s="7"/>
      <c r="E344" s="7"/>
      <c r="F344" s="7"/>
      <c r="G344" s="7"/>
    </row>
    <row r="345" spans="1:7" ht="19.5" customHeight="1">
      <c r="A345" s="8" t="s">
        <v>4905</v>
      </c>
      <c r="B345" s="7" t="s">
        <v>5193</v>
      </c>
      <c r="C345" s="7" t="s">
        <v>4938</v>
      </c>
      <c r="D345" s="7"/>
      <c r="E345" s="7"/>
      <c r="F345" s="7"/>
      <c r="G345" s="7"/>
    </row>
    <row r="346" spans="1:7" ht="19.5" customHeight="1">
      <c r="A346" s="8" t="s">
        <v>4907</v>
      </c>
      <c r="B346" s="7" t="s">
        <v>5194</v>
      </c>
      <c r="C346" s="7" t="s">
        <v>4938</v>
      </c>
      <c r="D346" s="7"/>
      <c r="E346" s="7"/>
      <c r="F346" s="7"/>
      <c r="G346" s="7"/>
    </row>
    <row r="347" spans="1:7" ht="19.5" customHeight="1">
      <c r="A347" s="8" t="s">
        <v>4909</v>
      </c>
      <c r="B347" s="7" t="s">
        <v>5195</v>
      </c>
      <c r="C347" s="7" t="s">
        <v>4938</v>
      </c>
      <c r="D347" s="7"/>
      <c r="E347" s="7"/>
      <c r="F347" s="7"/>
      <c r="G347" s="7"/>
    </row>
    <row r="348" spans="1:7" ht="19.5" customHeight="1">
      <c r="A348" s="8" t="s">
        <v>4910</v>
      </c>
      <c r="B348" s="7" t="s">
        <v>5196</v>
      </c>
      <c r="C348" s="7" t="s">
        <v>4938</v>
      </c>
      <c r="D348" s="7"/>
      <c r="E348" s="7"/>
      <c r="F348" s="7"/>
      <c r="G348" s="7"/>
    </row>
    <row r="349" spans="1:7" ht="19.5" customHeight="1">
      <c r="A349" s="8" t="s">
        <v>4911</v>
      </c>
      <c r="B349" s="7" t="s">
        <v>5197</v>
      </c>
      <c r="C349" s="7" t="s">
        <v>4938</v>
      </c>
      <c r="D349" s="7"/>
      <c r="E349" s="7"/>
      <c r="F349" s="7"/>
      <c r="G349" s="7"/>
    </row>
    <row r="350" spans="1:7" ht="19.5" customHeight="1">
      <c r="A350" s="8" t="s">
        <v>4912</v>
      </c>
      <c r="B350" s="7" t="s">
        <v>5198</v>
      </c>
      <c r="C350" s="7" t="s">
        <v>4938</v>
      </c>
      <c r="D350" s="7"/>
      <c r="E350" s="7"/>
      <c r="F350" s="7"/>
      <c r="G350" s="7"/>
    </row>
    <row r="351" spans="1:7" ht="19.5" customHeight="1">
      <c r="A351" s="8" t="s">
        <v>4913</v>
      </c>
      <c r="B351" s="7" t="s">
        <v>5199</v>
      </c>
      <c r="C351" s="7" t="s">
        <v>4938</v>
      </c>
      <c r="D351" s="7"/>
      <c r="E351" s="7"/>
      <c r="F351" s="7"/>
      <c r="G351" s="7"/>
    </row>
    <row r="352" spans="1:7" ht="19.5" customHeight="1">
      <c r="A352" s="8" t="s">
        <v>4914</v>
      </c>
      <c r="B352" s="7" t="s">
        <v>5200</v>
      </c>
      <c r="C352" s="7" t="s">
        <v>4938</v>
      </c>
      <c r="D352" s="7"/>
      <c r="E352" s="7"/>
      <c r="F352" s="7"/>
      <c r="G352" s="7"/>
    </row>
    <row r="353" spans="1:7" ht="19.5" customHeight="1">
      <c r="A353" s="8" t="s">
        <v>4915</v>
      </c>
      <c r="B353" s="7" t="s">
        <v>5201</v>
      </c>
      <c r="C353" s="7" t="s">
        <v>4938</v>
      </c>
      <c r="D353" s="7"/>
      <c r="E353" s="7"/>
      <c r="F353" s="7"/>
      <c r="G353" s="7"/>
    </row>
    <row r="354" spans="1:7" ht="19.5" customHeight="1">
      <c r="A354" s="8" t="s">
        <v>4916</v>
      </c>
      <c r="B354" s="7" t="s">
        <v>5202</v>
      </c>
      <c r="C354" s="7" t="s">
        <v>4938</v>
      </c>
      <c r="D354" s="7"/>
      <c r="E354" s="7"/>
      <c r="F354" s="7"/>
      <c r="G354" s="7"/>
    </row>
    <row r="355" spans="1:7" ht="19.5" customHeight="1">
      <c r="A355" s="8" t="s">
        <v>4917</v>
      </c>
      <c r="B355" s="7" t="s">
        <v>5203</v>
      </c>
      <c r="C355" s="7" t="s">
        <v>4938</v>
      </c>
      <c r="D355" s="7"/>
      <c r="E355" s="7"/>
      <c r="F355" s="7"/>
      <c r="G355" s="7"/>
    </row>
    <row r="356" spans="1:7" ht="19.5" customHeight="1">
      <c r="A356" s="8" t="s">
        <v>4918</v>
      </c>
      <c r="B356" s="7" t="s">
        <v>5204</v>
      </c>
      <c r="C356" s="7" t="s">
        <v>4938</v>
      </c>
      <c r="D356" s="7"/>
      <c r="E356" s="7"/>
      <c r="F356" s="7"/>
      <c r="G356" s="7"/>
    </row>
    <row r="357" spans="1:7" ht="19.5" customHeight="1">
      <c r="A357" s="8" t="s">
        <v>4919</v>
      </c>
      <c r="B357" s="7" t="s">
        <v>5205</v>
      </c>
      <c r="C357" s="7" t="s">
        <v>4938</v>
      </c>
      <c r="D357" s="7"/>
      <c r="E357" s="7"/>
      <c r="F357" s="7"/>
      <c r="G357" s="7"/>
    </row>
    <row r="358" spans="1:7" ht="19.5" customHeight="1">
      <c r="A358" s="8" t="s">
        <v>4920</v>
      </c>
      <c r="B358" s="7" t="s">
        <v>5206</v>
      </c>
      <c r="C358" s="7" t="s">
        <v>4938</v>
      </c>
      <c r="D358" s="7"/>
      <c r="E358" s="7"/>
      <c r="F358" s="7"/>
      <c r="G358" s="7"/>
    </row>
    <row r="359" spans="1:7" ht="19.5" customHeight="1">
      <c r="A359" s="8" t="s">
        <v>4921</v>
      </c>
      <c r="B359" s="7" t="s">
        <v>5207</v>
      </c>
      <c r="C359" s="7" t="s">
        <v>4938</v>
      </c>
      <c r="D359" s="7"/>
      <c r="E359" s="7"/>
      <c r="F359" s="7"/>
      <c r="G359" s="7"/>
    </row>
    <row r="360" spans="1:7" ht="19.5" customHeight="1">
      <c r="A360" s="8" t="s">
        <v>4922</v>
      </c>
      <c r="B360" s="7" t="s">
        <v>5208</v>
      </c>
      <c r="C360" s="7" t="s">
        <v>4938</v>
      </c>
      <c r="D360" s="7"/>
      <c r="E360" s="7"/>
      <c r="F360" s="7"/>
      <c r="G360" s="7"/>
    </row>
    <row r="361" spans="1:7" ht="19.5" customHeight="1">
      <c r="A361" s="8" t="s">
        <v>4923</v>
      </c>
      <c r="B361" s="7" t="s">
        <v>5209</v>
      </c>
      <c r="C361" s="7" t="s">
        <v>4938</v>
      </c>
      <c r="D361" s="7"/>
      <c r="E361" s="7"/>
      <c r="F361" s="7"/>
      <c r="G361" s="7"/>
    </row>
    <row r="362" spans="1:7" ht="19.5" customHeight="1">
      <c r="A362" s="8" t="s">
        <v>4924</v>
      </c>
      <c r="B362" s="7" t="s">
        <v>5210</v>
      </c>
      <c r="C362" s="7" t="s">
        <v>4938</v>
      </c>
      <c r="D362" s="7"/>
      <c r="E362" s="7"/>
      <c r="F362" s="7"/>
      <c r="G362" s="7"/>
    </row>
    <row r="363" spans="1:7" ht="19.5" customHeight="1">
      <c r="A363" s="8" t="s">
        <v>4925</v>
      </c>
      <c r="B363" s="7" t="s">
        <v>5211</v>
      </c>
      <c r="C363" s="7" t="s">
        <v>4938</v>
      </c>
      <c r="D363" s="7"/>
      <c r="E363" s="7"/>
      <c r="F363" s="7"/>
      <c r="G363" s="7"/>
    </row>
    <row r="364" spans="1:7" ht="19.5" customHeight="1">
      <c r="A364" s="8" t="s">
        <v>4926</v>
      </c>
      <c r="B364" s="7" t="s">
        <v>5212</v>
      </c>
      <c r="C364" s="7" t="s">
        <v>4938</v>
      </c>
      <c r="D364" s="7"/>
      <c r="E364" s="7"/>
      <c r="F364" s="7"/>
      <c r="G364" s="7"/>
    </row>
    <row r="365" spans="1:7" ht="19.5" customHeight="1">
      <c r="A365" s="8" t="s">
        <v>4927</v>
      </c>
      <c r="B365" s="7" t="s">
        <v>5213</v>
      </c>
      <c r="C365" s="7" t="s">
        <v>4938</v>
      </c>
      <c r="D365" s="7"/>
      <c r="E365" s="7"/>
      <c r="F365" s="7"/>
      <c r="G365" s="7"/>
    </row>
    <row r="366" spans="1:7" ht="19.5" customHeight="1">
      <c r="A366" s="8" t="s">
        <v>4928</v>
      </c>
      <c r="B366" s="7" t="s">
        <v>5214</v>
      </c>
      <c r="C366" s="7" t="s">
        <v>4938</v>
      </c>
      <c r="D366" s="7"/>
      <c r="E366" s="7"/>
      <c r="F366" s="7"/>
      <c r="G366" s="7"/>
    </row>
    <row r="367" spans="1:7" ht="19.5" customHeight="1">
      <c r="A367" s="8" t="s">
        <v>4929</v>
      </c>
      <c r="B367" s="7" t="s">
        <v>5215</v>
      </c>
      <c r="C367" s="7" t="s">
        <v>4938</v>
      </c>
      <c r="D367" s="7"/>
      <c r="E367" s="7"/>
      <c r="F367" s="7"/>
      <c r="G367" s="7"/>
    </row>
    <row r="368" spans="1:7" ht="19.5" customHeight="1">
      <c r="A368" s="8" t="s">
        <v>4930</v>
      </c>
      <c r="B368" s="7" t="s">
        <v>5216</v>
      </c>
      <c r="C368" s="7" t="s">
        <v>4938</v>
      </c>
      <c r="D368" s="7"/>
      <c r="E368" s="7"/>
      <c r="F368" s="7"/>
      <c r="G368" s="7"/>
    </row>
    <row r="369" spans="1:7" ht="19.5" customHeight="1">
      <c r="A369" s="8" t="s">
        <v>4931</v>
      </c>
      <c r="B369" s="7" t="s">
        <v>5217</v>
      </c>
      <c r="C369" s="7" t="s">
        <v>4938</v>
      </c>
      <c r="D369" s="7"/>
      <c r="E369" s="7"/>
      <c r="F369" s="7"/>
      <c r="G369" s="7"/>
    </row>
    <row r="370" spans="1:7" ht="19.5" customHeight="1">
      <c r="A370" s="8" t="s">
        <v>4932</v>
      </c>
      <c r="B370" s="7" t="s">
        <v>5218</v>
      </c>
      <c r="C370" s="7" t="s">
        <v>4938</v>
      </c>
      <c r="D370" s="7"/>
      <c r="E370" s="7"/>
      <c r="F370" s="7"/>
      <c r="G370" s="7"/>
    </row>
    <row r="371" spans="1:7" ht="19.5" customHeight="1">
      <c r="A371" s="8" t="s">
        <v>4933</v>
      </c>
      <c r="B371" s="7" t="s">
        <v>5219</v>
      </c>
      <c r="C371" s="7" t="s">
        <v>4938</v>
      </c>
      <c r="D371" s="7"/>
      <c r="E371" s="7"/>
      <c r="F371" s="7"/>
      <c r="G371" s="7"/>
    </row>
    <row r="372" spans="1:7" ht="19.5" customHeight="1">
      <c r="A372" s="8" t="s">
        <v>5220</v>
      </c>
      <c r="B372" s="7" t="s">
        <v>5221</v>
      </c>
      <c r="C372" s="7" t="s">
        <v>4938</v>
      </c>
      <c r="D372" s="7"/>
      <c r="E372" s="7"/>
      <c r="F372" s="7"/>
      <c r="G372" s="7"/>
    </row>
    <row r="373" spans="1:7" ht="19.5" customHeight="1">
      <c r="A373" s="8" t="s">
        <v>5222</v>
      </c>
      <c r="B373" s="7" t="s">
        <v>5223</v>
      </c>
      <c r="C373" s="7" t="s">
        <v>4938</v>
      </c>
      <c r="D373" s="7"/>
      <c r="E373" s="7"/>
      <c r="F373" s="7"/>
      <c r="G373" s="7"/>
    </row>
    <row r="374" spans="1:7" ht="19.5" customHeight="1">
      <c r="A374" s="8" t="s">
        <v>3161</v>
      </c>
      <c r="B374" s="7" t="s">
        <v>5224</v>
      </c>
      <c r="C374" s="7" t="s">
        <v>4938</v>
      </c>
      <c r="D374" s="7"/>
      <c r="E374" s="7"/>
      <c r="F374" s="7"/>
      <c r="G374" s="7"/>
    </row>
    <row r="375" spans="1:7" ht="19.5" customHeight="1">
      <c r="A375" s="8" t="s">
        <v>3163</v>
      </c>
      <c r="B375" s="7" t="s">
        <v>5225</v>
      </c>
      <c r="C375" s="7" t="s">
        <v>4938</v>
      </c>
      <c r="D375" s="7"/>
      <c r="E375" s="7"/>
      <c r="F375" s="7"/>
      <c r="G375" s="7"/>
    </row>
    <row r="376" spans="1:7" ht="19.5" customHeight="1">
      <c r="A376" s="8" t="s">
        <v>2441</v>
      </c>
      <c r="B376" s="7" t="s">
        <v>5226</v>
      </c>
      <c r="C376" s="7" t="s">
        <v>4938</v>
      </c>
      <c r="D376" s="7"/>
      <c r="E376" s="7"/>
      <c r="F376" s="7"/>
      <c r="G376" s="7"/>
    </row>
    <row r="377" spans="1:7" ht="19.5" customHeight="1">
      <c r="A377" s="8" t="s">
        <v>3167</v>
      </c>
      <c r="B377" s="7" t="s">
        <v>5227</v>
      </c>
      <c r="C377" s="7" t="s">
        <v>4938</v>
      </c>
      <c r="D377" s="7"/>
      <c r="E377" s="7"/>
      <c r="F377" s="7"/>
      <c r="G377" s="7"/>
    </row>
    <row r="378" spans="1:7" ht="19.5" customHeight="1">
      <c r="A378" s="8" t="s">
        <v>5228</v>
      </c>
      <c r="B378" s="7" t="s">
        <v>5229</v>
      </c>
      <c r="C378" s="7" t="s">
        <v>4938</v>
      </c>
      <c r="D378" s="7"/>
      <c r="E378" s="7"/>
      <c r="F378" s="7"/>
      <c r="G378" s="7"/>
    </row>
    <row r="379" spans="1:7" ht="19.5" customHeight="1">
      <c r="A379" s="8" t="s">
        <v>5230</v>
      </c>
      <c r="B379" s="7" t="s">
        <v>5231</v>
      </c>
      <c r="C379" s="7" t="s">
        <v>4938</v>
      </c>
      <c r="D379" s="7"/>
      <c r="E379" s="7"/>
      <c r="F379" s="7"/>
      <c r="G379" s="7"/>
    </row>
    <row r="380" spans="1:7" ht="19.5" customHeight="1">
      <c r="A380" s="8" t="s">
        <v>2438</v>
      </c>
      <c r="B380" s="7" t="s">
        <v>5232</v>
      </c>
      <c r="C380" s="7" t="s">
        <v>4938</v>
      </c>
      <c r="D380" s="7"/>
      <c r="E380" s="7"/>
      <c r="F380" s="7"/>
      <c r="G380" s="7"/>
    </row>
    <row r="381" spans="1:7" ht="19.5" customHeight="1">
      <c r="A381" s="8" t="s">
        <v>3210</v>
      </c>
      <c r="B381" s="7" t="s">
        <v>5233</v>
      </c>
      <c r="C381" s="7" t="s">
        <v>4938</v>
      </c>
      <c r="D381" s="7"/>
      <c r="E381" s="7"/>
      <c r="F381" s="7"/>
      <c r="G381" s="7"/>
    </row>
    <row r="382" spans="1:7" ht="19.5" customHeight="1">
      <c r="A382" s="8" t="s">
        <v>3165</v>
      </c>
      <c r="B382" s="7" t="s">
        <v>5234</v>
      </c>
      <c r="C382" s="7" t="s">
        <v>4938</v>
      </c>
      <c r="D382" s="7"/>
      <c r="E382" s="7"/>
      <c r="F382" s="7"/>
      <c r="G382" s="7"/>
    </row>
    <row r="383" spans="1:7" ht="19.5" customHeight="1">
      <c r="A383" s="8" t="s">
        <v>2161</v>
      </c>
      <c r="B383" s="7" t="s">
        <v>5235</v>
      </c>
      <c r="C383" s="7" t="s">
        <v>4938</v>
      </c>
      <c r="D383" s="7"/>
      <c r="E383" s="7"/>
      <c r="F383" s="7"/>
      <c r="G383" s="7"/>
    </row>
    <row r="384" spans="1:7" ht="19.5" customHeight="1">
      <c r="A384" s="8" t="s">
        <v>2192</v>
      </c>
      <c r="B384" s="7" t="s">
        <v>5236</v>
      </c>
      <c r="C384" s="7" t="s">
        <v>4938</v>
      </c>
      <c r="D384" s="7"/>
      <c r="E384" s="7"/>
      <c r="F384" s="7"/>
      <c r="G384" s="7"/>
    </row>
    <row r="385" spans="1:7" ht="19.5" customHeight="1">
      <c r="A385" s="8" t="s">
        <v>2544</v>
      </c>
      <c r="B385" s="7" t="s">
        <v>5237</v>
      </c>
      <c r="C385" s="7" t="s">
        <v>4938</v>
      </c>
      <c r="D385" s="7"/>
      <c r="E385" s="7"/>
      <c r="F385" s="7"/>
      <c r="G385" s="7"/>
    </row>
    <row r="386" spans="1:7" ht="19.5" customHeight="1">
      <c r="A386" s="8" t="s">
        <v>5238</v>
      </c>
      <c r="B386" s="7" t="s">
        <v>5239</v>
      </c>
      <c r="C386" s="7" t="s">
        <v>4938</v>
      </c>
      <c r="D386" s="7"/>
      <c r="E386" s="7"/>
      <c r="F386" s="7"/>
      <c r="G386" s="7"/>
    </row>
    <row r="387" spans="1:7" ht="19.5" customHeight="1">
      <c r="A387" s="8" t="s">
        <v>2081</v>
      </c>
      <c r="B387" s="7" t="s">
        <v>5240</v>
      </c>
      <c r="C387" s="7" t="s">
        <v>4938</v>
      </c>
      <c r="D387" s="7"/>
      <c r="E387" s="7"/>
      <c r="F387" s="7"/>
      <c r="G387" s="7"/>
    </row>
    <row r="388" spans="1:7" ht="19.5" customHeight="1">
      <c r="A388" s="8" t="s">
        <v>2144</v>
      </c>
      <c r="B388" s="7" t="s">
        <v>5241</v>
      </c>
      <c r="C388" s="7" t="s">
        <v>4938</v>
      </c>
      <c r="D388" s="7"/>
      <c r="E388" s="7"/>
      <c r="F388" s="7"/>
      <c r="G388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outlinePr summaryBelow="0"/>
  </sheetPr>
  <dimension ref="A1:E125"/>
  <sheetViews>
    <sheetView workbookViewId="0">
      <selection activeCell="C16" sqref="C16"/>
    </sheetView>
  </sheetViews>
  <sheetFormatPr defaultRowHeight="15"/>
  <cols>
    <col min="1" max="1" width="11.28515625" style="10" bestFit="1" customWidth="1"/>
    <col min="2" max="2" width="11.28515625" style="9" bestFit="1" customWidth="1"/>
    <col min="3" max="3" width="14.140625" style="9" bestFit="1" customWidth="1"/>
    <col min="4" max="4" width="11.28515625" style="9" bestFit="1" customWidth="1"/>
    <col min="5" max="5" width="14.140625" style="9" bestFit="1" customWidth="1"/>
  </cols>
  <sheetData>
    <row r="1" spans="1:5" ht="19.5" customHeight="1">
      <c r="A1" s="4">
        <v>1000</v>
      </c>
      <c r="B1" s="7"/>
      <c r="C1" s="7"/>
      <c r="D1" s="7" t="s">
        <v>4800</v>
      </c>
      <c r="E1" s="7"/>
    </row>
    <row r="2" spans="1:5" ht="19.5" customHeight="1">
      <c r="A2" s="8" t="s">
        <v>4801</v>
      </c>
      <c r="B2" s="7" t="s">
        <v>4802</v>
      </c>
      <c r="C2" s="7"/>
      <c r="D2" s="11" t="s">
        <v>4803</v>
      </c>
      <c r="E2" s="11" t="s">
        <v>4804</v>
      </c>
    </row>
    <row r="3" spans="1:5" ht="19.5" customHeight="1">
      <c r="A3" s="8" t="s">
        <v>4801</v>
      </c>
      <c r="B3" s="7" t="s">
        <v>4805</v>
      </c>
      <c r="C3" s="7"/>
      <c r="D3" s="13" t="s">
        <v>4806</v>
      </c>
      <c r="E3" s="13" t="s">
        <v>4807</v>
      </c>
    </row>
    <row r="4" spans="1:5" ht="19.5" customHeight="1">
      <c r="A4" s="8" t="s">
        <v>4801</v>
      </c>
      <c r="B4" s="7" t="s">
        <v>4808</v>
      </c>
      <c r="C4" s="7"/>
      <c r="D4" s="11" t="s">
        <v>4806</v>
      </c>
      <c r="E4" s="11" t="s">
        <v>4809</v>
      </c>
    </row>
    <row r="5" spans="1:5" ht="19.5" customHeight="1">
      <c r="A5" s="8" t="s">
        <v>4801</v>
      </c>
      <c r="B5" s="7" t="s">
        <v>4810</v>
      </c>
      <c r="C5" s="7"/>
      <c r="D5" s="13" t="s">
        <v>4806</v>
      </c>
      <c r="E5" s="13" t="s">
        <v>4811</v>
      </c>
    </row>
    <row r="6" spans="1:5" ht="19.5" customHeight="1">
      <c r="A6" s="8" t="s">
        <v>1681</v>
      </c>
      <c r="B6" s="7" t="s">
        <v>4812</v>
      </c>
      <c r="C6" s="7"/>
      <c r="D6" s="11" t="s">
        <v>4806</v>
      </c>
      <c r="E6" s="11" t="s">
        <v>4813</v>
      </c>
    </row>
    <row r="7" spans="1:5" ht="19.5" customHeight="1">
      <c r="A7" s="8" t="s">
        <v>4814</v>
      </c>
      <c r="B7" s="7" t="s">
        <v>4815</v>
      </c>
      <c r="C7" s="7"/>
      <c r="D7" s="13" t="s">
        <v>4806</v>
      </c>
      <c r="E7" s="13" t="s">
        <v>4816</v>
      </c>
    </row>
    <row r="8" spans="1:5" ht="19.5" customHeight="1">
      <c r="A8" s="8" t="s">
        <v>1906</v>
      </c>
      <c r="B8" s="7" t="s">
        <v>4817</v>
      </c>
      <c r="C8" s="7"/>
      <c r="D8" s="11" t="s">
        <v>4806</v>
      </c>
      <c r="E8" s="11" t="s">
        <v>4818</v>
      </c>
    </row>
    <row r="9" spans="1:5" ht="19.5" customHeight="1">
      <c r="A9" s="8" t="s">
        <v>1352</v>
      </c>
      <c r="B9" s="7" t="s">
        <v>4819</v>
      </c>
      <c r="C9" s="7"/>
      <c r="D9" s="13" t="s">
        <v>4806</v>
      </c>
      <c r="E9" s="13" t="s">
        <v>4820</v>
      </c>
    </row>
    <row r="10" spans="1:5" ht="19.5" customHeight="1">
      <c r="A10" s="8" t="s">
        <v>4819</v>
      </c>
      <c r="B10" s="7" t="s">
        <v>4821</v>
      </c>
      <c r="C10" s="7"/>
      <c r="D10" s="11" t="s">
        <v>3694</v>
      </c>
      <c r="E10" s="11" t="s">
        <v>4822</v>
      </c>
    </row>
    <row r="11" spans="1:5" ht="19.5" customHeight="1">
      <c r="A11" s="8" t="s">
        <v>4819</v>
      </c>
      <c r="B11" s="7" t="s">
        <v>4823</v>
      </c>
      <c r="C11" s="7"/>
      <c r="D11" s="13" t="s">
        <v>4822</v>
      </c>
      <c r="E11" s="13" t="s">
        <v>4824</v>
      </c>
    </row>
    <row r="12" spans="1:5" ht="19.5" customHeight="1">
      <c r="A12" s="8" t="s">
        <v>4825</v>
      </c>
      <c r="B12" s="7" t="s">
        <v>4826</v>
      </c>
      <c r="C12" s="7"/>
      <c r="D12" s="11" t="s">
        <v>4822</v>
      </c>
      <c r="E12" s="11" t="s">
        <v>4827</v>
      </c>
    </row>
    <row r="13" spans="1:5" ht="19.5" customHeight="1">
      <c r="A13" s="8" t="s">
        <v>4828</v>
      </c>
      <c r="B13" s="7" t="s">
        <v>4829</v>
      </c>
      <c r="C13" s="7"/>
      <c r="D13" s="13" t="s">
        <v>4824</v>
      </c>
      <c r="E13" s="13" t="s">
        <v>4830</v>
      </c>
    </row>
    <row r="14" spans="1:5" ht="19.5" customHeight="1">
      <c r="A14" s="8" t="s">
        <v>4831</v>
      </c>
      <c r="B14" s="7" t="s">
        <v>4832</v>
      </c>
      <c r="C14" s="7"/>
      <c r="D14" s="11" t="s">
        <v>4827</v>
      </c>
      <c r="E14" s="11" t="s">
        <v>4833</v>
      </c>
    </row>
    <row r="15" spans="1:5" ht="19.5" customHeight="1">
      <c r="A15" s="8" t="s">
        <v>3497</v>
      </c>
      <c r="B15" s="7" t="s">
        <v>4834</v>
      </c>
      <c r="C15" s="7"/>
      <c r="D15" s="13" t="s">
        <v>4827</v>
      </c>
      <c r="E15" s="13" t="s">
        <v>4835</v>
      </c>
    </row>
    <row r="16" spans="1:5" ht="19.5" customHeight="1">
      <c r="A16" s="8" t="s">
        <v>3497</v>
      </c>
      <c r="B16" s="7" t="s">
        <v>4836</v>
      </c>
      <c r="C16" s="7"/>
      <c r="D16" s="11" t="s">
        <v>4837</v>
      </c>
      <c r="E16" s="11" t="s">
        <v>4838</v>
      </c>
    </row>
    <row r="17" spans="1:5" ht="19.5" customHeight="1">
      <c r="A17" s="8" t="s">
        <v>3497</v>
      </c>
      <c r="B17" s="7" t="s">
        <v>4839</v>
      </c>
      <c r="C17" s="7"/>
      <c r="D17" s="13" t="s">
        <v>4840</v>
      </c>
      <c r="E17" s="13" t="s">
        <v>4841</v>
      </c>
    </row>
    <row r="18" spans="1:5" ht="19.5" customHeight="1">
      <c r="A18" s="8" t="s">
        <v>3497</v>
      </c>
      <c r="B18" s="7" t="s">
        <v>4842</v>
      </c>
      <c r="C18" s="7"/>
      <c r="D18" s="11" t="s">
        <v>4843</v>
      </c>
      <c r="E18" s="11" t="s">
        <v>4844</v>
      </c>
    </row>
    <row r="19" spans="1:5" ht="19.5" customHeight="1">
      <c r="A19" s="8" t="s">
        <v>3497</v>
      </c>
      <c r="B19" s="7" t="s">
        <v>4845</v>
      </c>
      <c r="C19" s="7"/>
      <c r="D19" s="13" t="s">
        <v>4843</v>
      </c>
      <c r="E19" s="13" t="s">
        <v>4846</v>
      </c>
    </row>
    <row r="20" spans="1:5" ht="19.5" customHeight="1">
      <c r="A20" s="8" t="s">
        <v>3497</v>
      </c>
      <c r="B20" s="7" t="s">
        <v>4847</v>
      </c>
      <c r="C20" s="7"/>
      <c r="D20" s="11" t="s">
        <v>4843</v>
      </c>
      <c r="E20" s="11" t="s">
        <v>4848</v>
      </c>
    </row>
    <row r="21" spans="1:5" ht="19.5" customHeight="1">
      <c r="A21" s="8" t="s">
        <v>3497</v>
      </c>
      <c r="B21" s="7" t="s">
        <v>4849</v>
      </c>
      <c r="C21" s="7"/>
      <c r="D21" s="13" t="s">
        <v>4850</v>
      </c>
      <c r="E21" s="13" t="s">
        <v>4851</v>
      </c>
    </row>
    <row r="22" spans="1:5" ht="19.5" customHeight="1">
      <c r="A22" s="8" t="s">
        <v>3495</v>
      </c>
      <c r="B22" s="7" t="s">
        <v>4852</v>
      </c>
      <c r="C22" s="7"/>
      <c r="D22" s="11" t="s">
        <v>2993</v>
      </c>
      <c r="E22" s="11" t="s">
        <v>4853</v>
      </c>
    </row>
    <row r="23" spans="1:5" ht="19.5" customHeight="1">
      <c r="A23" s="8" t="s">
        <v>3495</v>
      </c>
      <c r="B23" s="7" t="s">
        <v>4854</v>
      </c>
      <c r="C23" s="7"/>
      <c r="D23" s="13" t="s">
        <v>4850</v>
      </c>
      <c r="E23" s="13" t="s">
        <v>4855</v>
      </c>
    </row>
    <row r="24" spans="1:5" ht="19.5" customHeight="1">
      <c r="A24" s="8" t="s">
        <v>3495</v>
      </c>
      <c r="B24" s="7" t="s">
        <v>4856</v>
      </c>
      <c r="C24" s="7"/>
      <c r="D24" s="11" t="s">
        <v>2688</v>
      </c>
      <c r="E24" s="11" t="s">
        <v>4857</v>
      </c>
    </row>
    <row r="25" spans="1:5" ht="19.5" customHeight="1">
      <c r="A25" s="8" t="s">
        <v>3495</v>
      </c>
      <c r="B25" s="7" t="s">
        <v>4858</v>
      </c>
      <c r="C25" s="7"/>
      <c r="D25" s="13" t="s">
        <v>2688</v>
      </c>
      <c r="E25" s="13" t="s">
        <v>4859</v>
      </c>
    </row>
    <row r="26" spans="1:5" ht="19.5" customHeight="1">
      <c r="A26" s="8" t="s">
        <v>3495</v>
      </c>
      <c r="B26" s="7" t="s">
        <v>4860</v>
      </c>
      <c r="C26" s="7"/>
      <c r="D26" s="11" t="s">
        <v>2688</v>
      </c>
      <c r="E26" s="11" t="s">
        <v>4861</v>
      </c>
    </row>
    <row r="27" spans="1:5" ht="19.5" customHeight="1">
      <c r="A27" s="8" t="s">
        <v>3495</v>
      </c>
      <c r="B27" s="7" t="s">
        <v>4862</v>
      </c>
      <c r="C27" s="7"/>
      <c r="D27" s="13" t="s">
        <v>2688</v>
      </c>
      <c r="E27" s="13" t="s">
        <v>4863</v>
      </c>
    </row>
    <row r="28" spans="1:5" ht="19.5" customHeight="1">
      <c r="A28" s="8" t="s">
        <v>3495</v>
      </c>
      <c r="B28" s="7" t="s">
        <v>4864</v>
      </c>
      <c r="C28" s="7"/>
      <c r="D28" s="11" t="s">
        <v>4859</v>
      </c>
      <c r="E28" s="11" t="s">
        <v>4865</v>
      </c>
    </row>
    <row r="29" spans="1:5" ht="19.5" customHeight="1">
      <c r="A29" s="8" t="s">
        <v>3495</v>
      </c>
      <c r="B29" s="7" t="s">
        <v>4866</v>
      </c>
      <c r="C29" s="7"/>
      <c r="D29" s="13" t="s">
        <v>4859</v>
      </c>
      <c r="E29" s="13" t="s">
        <v>4867</v>
      </c>
    </row>
    <row r="30" spans="1:5" ht="19.5" customHeight="1">
      <c r="A30" s="8" t="s">
        <v>3956</v>
      </c>
      <c r="B30" s="7" t="s">
        <v>4828</v>
      </c>
      <c r="C30" s="7"/>
      <c r="D30" s="11" t="s">
        <v>4859</v>
      </c>
      <c r="E30" s="11" t="s">
        <v>4868</v>
      </c>
    </row>
    <row r="31" spans="1:5" ht="19.5" customHeight="1">
      <c r="A31" s="8" t="s">
        <v>4828</v>
      </c>
      <c r="B31" s="7" t="s">
        <v>4869</v>
      </c>
      <c r="C31" s="7"/>
      <c r="D31" s="13" t="s">
        <v>4859</v>
      </c>
      <c r="E31" s="13" t="s">
        <v>4870</v>
      </c>
    </row>
    <row r="32" spans="1:5" ht="19.5" customHeight="1">
      <c r="A32" s="8" t="s">
        <v>3956</v>
      </c>
      <c r="B32" s="7" t="s">
        <v>4831</v>
      </c>
      <c r="C32" s="7"/>
      <c r="D32" s="11" t="s">
        <v>4859</v>
      </c>
      <c r="E32" s="11" t="s">
        <v>4871</v>
      </c>
    </row>
    <row r="33" spans="1:5" ht="19.5" customHeight="1">
      <c r="A33" s="8" t="s">
        <v>4831</v>
      </c>
      <c r="B33" s="7" t="s">
        <v>4872</v>
      </c>
      <c r="C33" s="7"/>
      <c r="D33" s="13" t="s">
        <v>4861</v>
      </c>
      <c r="E33" s="13" t="s">
        <v>4873</v>
      </c>
    </row>
    <row r="34" spans="1:5" ht="19.5" customHeight="1">
      <c r="A34" s="8" t="s">
        <v>4831</v>
      </c>
      <c r="B34" s="7" t="s">
        <v>4874</v>
      </c>
      <c r="C34" s="7"/>
      <c r="D34" s="11" t="s">
        <v>4861</v>
      </c>
      <c r="E34" s="11" t="s">
        <v>4875</v>
      </c>
    </row>
    <row r="35" spans="1:5" ht="19.5" customHeight="1">
      <c r="A35" s="8" t="s">
        <v>4831</v>
      </c>
      <c r="B35" s="7" t="s">
        <v>4876</v>
      </c>
      <c r="C35" s="7"/>
      <c r="D35" s="13" t="s">
        <v>4861</v>
      </c>
      <c r="E35" s="13" t="s">
        <v>4877</v>
      </c>
    </row>
    <row r="36" spans="1:5" ht="19.5" customHeight="1">
      <c r="A36" s="8" t="s">
        <v>4831</v>
      </c>
      <c r="B36" s="7" t="s">
        <v>4878</v>
      </c>
      <c r="C36" s="7"/>
      <c r="D36" s="11" t="s">
        <v>4861</v>
      </c>
      <c r="E36" s="11" t="s">
        <v>4879</v>
      </c>
    </row>
    <row r="37" spans="1:5" ht="19.5" customHeight="1">
      <c r="A37" s="8" t="s">
        <v>4880</v>
      </c>
      <c r="B37" s="7" t="s">
        <v>4881</v>
      </c>
      <c r="C37" s="7"/>
      <c r="D37" s="13" t="s">
        <v>4861</v>
      </c>
      <c r="E37" s="13" t="s">
        <v>4882</v>
      </c>
    </row>
    <row r="38" spans="1:5" ht="19.5" customHeight="1">
      <c r="A38" s="8" t="s">
        <v>4880</v>
      </c>
      <c r="B38" s="7" t="s">
        <v>4883</v>
      </c>
      <c r="C38" s="7"/>
      <c r="D38" s="11" t="s">
        <v>4863</v>
      </c>
      <c r="E38" s="11" t="s">
        <v>4884</v>
      </c>
    </row>
    <row r="39" spans="1:5" ht="19.5" customHeight="1">
      <c r="A39" s="8" t="s">
        <v>4885</v>
      </c>
      <c r="B39" s="7" t="s">
        <v>4886</v>
      </c>
      <c r="C39" s="7"/>
      <c r="D39" s="13" t="s">
        <v>4865</v>
      </c>
      <c r="E39" s="13" t="s">
        <v>4887</v>
      </c>
    </row>
    <row r="40" spans="1:5" ht="19.5" customHeight="1">
      <c r="A40" s="8" t="s">
        <v>1354</v>
      </c>
      <c r="B40" s="7" t="s">
        <v>4888</v>
      </c>
      <c r="C40" s="7"/>
      <c r="D40" s="11" t="s">
        <v>4865</v>
      </c>
      <c r="E40" s="11" t="s">
        <v>4889</v>
      </c>
    </row>
    <row r="41" spans="1:5" ht="19.5" customHeight="1">
      <c r="A41" s="8" t="s">
        <v>1354</v>
      </c>
      <c r="B41" s="7" t="s">
        <v>4890</v>
      </c>
      <c r="C41" s="7"/>
      <c r="D41" s="13" t="s">
        <v>4865</v>
      </c>
      <c r="E41" s="13" t="s">
        <v>4891</v>
      </c>
    </row>
    <row r="42" spans="1:5" ht="19.5" customHeight="1">
      <c r="A42" s="8" t="s">
        <v>1354</v>
      </c>
      <c r="B42" s="7" t="s">
        <v>4892</v>
      </c>
      <c r="C42" s="7"/>
      <c r="D42" s="11" t="s">
        <v>4865</v>
      </c>
      <c r="E42" s="11" t="s">
        <v>4893</v>
      </c>
    </row>
    <row r="43" spans="1:5" ht="19.5" customHeight="1">
      <c r="A43" s="8" t="s">
        <v>1354</v>
      </c>
      <c r="B43" s="7" t="s">
        <v>4894</v>
      </c>
      <c r="C43" s="7"/>
      <c r="D43" s="13" t="s">
        <v>4865</v>
      </c>
      <c r="E43" s="13" t="s">
        <v>4895</v>
      </c>
    </row>
    <row r="44" spans="1:5" ht="19.5" customHeight="1">
      <c r="A44" s="8" t="s">
        <v>4894</v>
      </c>
      <c r="B44" s="7" t="s">
        <v>4896</v>
      </c>
      <c r="C44" s="7"/>
      <c r="D44" s="11" t="s">
        <v>4867</v>
      </c>
      <c r="E44" s="11" t="s">
        <v>4897</v>
      </c>
    </row>
    <row r="45" spans="1:5" ht="19.5" customHeight="1">
      <c r="A45" s="8" t="s">
        <v>4894</v>
      </c>
      <c r="B45" s="7" t="s">
        <v>4898</v>
      </c>
      <c r="C45" s="7"/>
      <c r="D45" s="13" t="s">
        <v>4867</v>
      </c>
      <c r="E45" s="13" t="s">
        <v>4899</v>
      </c>
    </row>
    <row r="46" spans="1:5" ht="19.5" customHeight="1">
      <c r="A46" s="8" t="s">
        <v>4894</v>
      </c>
      <c r="B46" s="7" t="s">
        <v>4900</v>
      </c>
      <c r="C46" s="7"/>
      <c r="D46" s="11" t="s">
        <v>4867</v>
      </c>
      <c r="E46" s="11" t="s">
        <v>4901</v>
      </c>
    </row>
    <row r="47" spans="1:5" ht="19.5" customHeight="1">
      <c r="A47" s="8" t="s">
        <v>4894</v>
      </c>
      <c r="B47" s="7" t="s">
        <v>4902</v>
      </c>
      <c r="C47" s="7"/>
      <c r="D47" s="13" t="s">
        <v>4868</v>
      </c>
      <c r="E47" s="13" t="s">
        <v>4903</v>
      </c>
    </row>
    <row r="48" spans="1:5" ht="19.5" customHeight="1">
      <c r="A48" s="8" t="s">
        <v>4894</v>
      </c>
      <c r="B48" s="7" t="s">
        <v>4904</v>
      </c>
      <c r="C48" s="7"/>
      <c r="D48" s="11" t="s">
        <v>4868</v>
      </c>
      <c r="E48" s="11" t="s">
        <v>4905</v>
      </c>
    </row>
    <row r="49" spans="1:5" ht="19.5" customHeight="1">
      <c r="A49" s="8" t="s">
        <v>4894</v>
      </c>
      <c r="B49" s="7" t="s">
        <v>4906</v>
      </c>
      <c r="C49" s="7"/>
      <c r="D49" s="13" t="s">
        <v>4868</v>
      </c>
      <c r="E49" s="13" t="s">
        <v>4907</v>
      </c>
    </row>
    <row r="50" spans="1:5" ht="19.5" customHeight="1">
      <c r="A50" s="8" t="s">
        <v>4894</v>
      </c>
      <c r="B50" s="7" t="s">
        <v>4908</v>
      </c>
      <c r="C50" s="7"/>
      <c r="D50" s="11" t="s">
        <v>4870</v>
      </c>
      <c r="E50" s="11" t="s">
        <v>4909</v>
      </c>
    </row>
    <row r="51" spans="1:5" ht="19.5" customHeight="1">
      <c r="A51" s="8" t="s">
        <v>4803</v>
      </c>
      <c r="B51" s="7" t="s">
        <v>4804</v>
      </c>
      <c r="C51" s="7"/>
      <c r="D51" s="13" t="s">
        <v>4870</v>
      </c>
      <c r="E51" s="13" t="s">
        <v>4910</v>
      </c>
    </row>
    <row r="52" spans="1:5" ht="19.5" customHeight="1">
      <c r="A52" s="8" t="s">
        <v>4806</v>
      </c>
      <c r="B52" s="7" t="s">
        <v>4807</v>
      </c>
      <c r="C52" s="7"/>
      <c r="D52" s="11" t="s">
        <v>4870</v>
      </c>
      <c r="E52" s="11" t="s">
        <v>4911</v>
      </c>
    </row>
    <row r="53" spans="1:5" ht="19.5" customHeight="1">
      <c r="A53" s="8" t="s">
        <v>4806</v>
      </c>
      <c r="B53" s="7" t="s">
        <v>4809</v>
      </c>
      <c r="C53" s="7"/>
      <c r="D53" s="13" t="s">
        <v>4873</v>
      </c>
      <c r="E53" s="13" t="s">
        <v>4912</v>
      </c>
    </row>
    <row r="54" spans="1:5" ht="19.5" customHeight="1">
      <c r="A54" s="8" t="s">
        <v>4806</v>
      </c>
      <c r="B54" s="7" t="s">
        <v>4811</v>
      </c>
      <c r="C54" s="7"/>
      <c r="D54" s="11" t="s">
        <v>4873</v>
      </c>
      <c r="E54" s="11" t="s">
        <v>4913</v>
      </c>
    </row>
    <row r="55" spans="1:5" ht="19.5" customHeight="1">
      <c r="A55" s="8" t="s">
        <v>4806</v>
      </c>
      <c r="B55" s="7" t="s">
        <v>4813</v>
      </c>
      <c r="C55" s="7"/>
      <c r="D55" s="13" t="s">
        <v>4873</v>
      </c>
      <c r="E55" s="13" t="s">
        <v>4914</v>
      </c>
    </row>
    <row r="56" spans="1:5" ht="19.5" customHeight="1">
      <c r="A56" s="8" t="s">
        <v>4806</v>
      </c>
      <c r="B56" s="7" t="s">
        <v>4816</v>
      </c>
      <c r="C56" s="7"/>
      <c r="D56" s="11" t="s">
        <v>4875</v>
      </c>
      <c r="E56" s="11" t="s">
        <v>4915</v>
      </c>
    </row>
    <row r="57" spans="1:5" ht="19.5" customHeight="1">
      <c r="A57" s="8" t="s">
        <v>4806</v>
      </c>
      <c r="B57" s="7" t="s">
        <v>4818</v>
      </c>
      <c r="C57" s="7"/>
      <c r="D57" s="13" t="s">
        <v>4875</v>
      </c>
      <c r="E57" s="13" t="s">
        <v>4916</v>
      </c>
    </row>
    <row r="58" spans="1:5" ht="19.5" customHeight="1">
      <c r="A58" s="8" t="s">
        <v>4806</v>
      </c>
      <c r="B58" s="7" t="s">
        <v>4820</v>
      </c>
      <c r="C58" s="7"/>
      <c r="D58" s="11" t="s">
        <v>4875</v>
      </c>
      <c r="E58" s="11" t="s">
        <v>4917</v>
      </c>
    </row>
    <row r="59" spans="1:5" ht="19.5" customHeight="1">
      <c r="A59" s="8" t="s">
        <v>3694</v>
      </c>
      <c r="B59" s="7" t="s">
        <v>4822</v>
      </c>
      <c r="C59" s="7"/>
      <c r="D59" s="13" t="s">
        <v>4877</v>
      </c>
      <c r="E59" s="13" t="s">
        <v>4918</v>
      </c>
    </row>
    <row r="60" spans="1:5" ht="19.5" customHeight="1">
      <c r="A60" s="8" t="s">
        <v>4822</v>
      </c>
      <c r="B60" s="7" t="s">
        <v>4824</v>
      </c>
      <c r="C60" s="7"/>
      <c r="D60" s="11" t="s">
        <v>4877</v>
      </c>
      <c r="E60" s="11" t="s">
        <v>4919</v>
      </c>
    </row>
    <row r="61" spans="1:5" ht="19.5" customHeight="1">
      <c r="A61" s="8" t="s">
        <v>4822</v>
      </c>
      <c r="B61" s="7" t="s">
        <v>4827</v>
      </c>
      <c r="C61" s="7"/>
      <c r="D61" s="13" t="s">
        <v>4877</v>
      </c>
      <c r="E61" s="13" t="s">
        <v>4920</v>
      </c>
    </row>
    <row r="62" spans="1:5" ht="19.5" customHeight="1">
      <c r="A62" s="8" t="s">
        <v>4824</v>
      </c>
      <c r="B62" s="7" t="s">
        <v>4830</v>
      </c>
      <c r="C62" s="7"/>
      <c r="D62" s="11" t="s">
        <v>4879</v>
      </c>
      <c r="E62" s="11" t="s">
        <v>4921</v>
      </c>
    </row>
    <row r="63" spans="1:5" ht="19.5" customHeight="1">
      <c r="A63" s="8" t="s">
        <v>4827</v>
      </c>
      <c r="B63" s="7" t="s">
        <v>4833</v>
      </c>
      <c r="C63" s="7"/>
      <c r="D63" s="13" t="s">
        <v>4879</v>
      </c>
      <c r="E63" s="13" t="s">
        <v>4922</v>
      </c>
    </row>
    <row r="64" spans="1:5" ht="19.5" customHeight="1">
      <c r="A64" s="8" t="s">
        <v>4827</v>
      </c>
      <c r="B64" s="7" t="s">
        <v>4835</v>
      </c>
      <c r="C64" s="7"/>
      <c r="D64" s="11" t="s">
        <v>4879</v>
      </c>
      <c r="E64" s="11" t="s">
        <v>4923</v>
      </c>
    </row>
    <row r="65" spans="1:5" ht="19.5" customHeight="1">
      <c r="A65" s="8" t="s">
        <v>4837</v>
      </c>
      <c r="B65" s="7" t="s">
        <v>4838</v>
      </c>
      <c r="C65" s="7"/>
      <c r="D65" s="13" t="s">
        <v>4882</v>
      </c>
      <c r="E65" s="13" t="s">
        <v>4924</v>
      </c>
    </row>
    <row r="66" spans="1:5" ht="19.5" customHeight="1">
      <c r="A66" s="8" t="s">
        <v>4840</v>
      </c>
      <c r="B66" s="7" t="s">
        <v>4841</v>
      </c>
      <c r="C66" s="7"/>
      <c r="D66" s="11" t="s">
        <v>4882</v>
      </c>
      <c r="E66" s="11" t="s">
        <v>4925</v>
      </c>
    </row>
    <row r="67" spans="1:5" ht="19.5" customHeight="1">
      <c r="A67" s="8" t="s">
        <v>4843</v>
      </c>
      <c r="B67" s="7" t="s">
        <v>4844</v>
      </c>
      <c r="C67" s="7"/>
      <c r="D67" s="13" t="s">
        <v>4882</v>
      </c>
      <c r="E67" s="13" t="s">
        <v>4926</v>
      </c>
    </row>
    <row r="68" spans="1:5" ht="19.5" customHeight="1">
      <c r="A68" s="8" t="s">
        <v>4843</v>
      </c>
      <c r="B68" s="7" t="s">
        <v>4846</v>
      </c>
      <c r="C68" s="7"/>
      <c r="D68" s="11" t="s">
        <v>3172</v>
      </c>
      <c r="E68" s="11" t="s">
        <v>4927</v>
      </c>
    </row>
    <row r="69" spans="1:5" ht="19.5" customHeight="1">
      <c r="A69" s="8" t="s">
        <v>4843</v>
      </c>
      <c r="B69" s="7" t="s">
        <v>4848</v>
      </c>
      <c r="C69" s="7"/>
      <c r="D69" s="13" t="s">
        <v>2742</v>
      </c>
      <c r="E69" s="13" t="s">
        <v>4928</v>
      </c>
    </row>
    <row r="70" spans="1:5" ht="19.5" customHeight="1">
      <c r="A70" s="8" t="s">
        <v>4850</v>
      </c>
      <c r="B70" s="7" t="s">
        <v>4851</v>
      </c>
      <c r="C70" s="7"/>
      <c r="D70" s="11" t="s">
        <v>2742</v>
      </c>
      <c r="E70" s="11" t="s">
        <v>4929</v>
      </c>
    </row>
    <row r="71" spans="1:5" ht="19.5" customHeight="1">
      <c r="A71" s="8" t="s">
        <v>2993</v>
      </c>
      <c r="B71" s="7" t="s">
        <v>4853</v>
      </c>
      <c r="C71" s="7"/>
      <c r="D71" s="13" t="s">
        <v>2742</v>
      </c>
      <c r="E71" s="13" t="s">
        <v>4930</v>
      </c>
    </row>
    <row r="72" spans="1:5" ht="19.5" customHeight="1">
      <c r="A72" s="8" t="s">
        <v>4850</v>
      </c>
      <c r="B72" s="7" t="s">
        <v>4855</v>
      </c>
      <c r="C72" s="7"/>
      <c r="D72" s="11" t="s">
        <v>2742</v>
      </c>
      <c r="E72" s="11" t="s">
        <v>4931</v>
      </c>
    </row>
    <row r="73" spans="1:5" ht="19.5" customHeight="1">
      <c r="A73" s="8" t="s">
        <v>2688</v>
      </c>
      <c r="B73" s="7" t="s">
        <v>4857</v>
      </c>
      <c r="C73" s="7"/>
      <c r="D73" s="13" t="s">
        <v>2742</v>
      </c>
      <c r="E73" s="13" t="s">
        <v>4932</v>
      </c>
    </row>
    <row r="74" spans="1:5" ht="19.5" customHeight="1">
      <c r="A74" s="8" t="s">
        <v>2688</v>
      </c>
      <c r="B74" s="7" t="s">
        <v>4859</v>
      </c>
      <c r="C74" s="7"/>
      <c r="D74" s="11" t="s">
        <v>3172</v>
      </c>
      <c r="E74" s="11" t="s">
        <v>4933</v>
      </c>
    </row>
    <row r="75" spans="1:5" ht="19.5" customHeight="1">
      <c r="A75" s="8" t="s">
        <v>2688</v>
      </c>
      <c r="B75" s="7" t="s">
        <v>4861</v>
      </c>
      <c r="C75" s="7"/>
      <c r="D75" s="7"/>
      <c r="E75" s="7"/>
    </row>
    <row r="76" spans="1:5" ht="19.5" customHeight="1">
      <c r="A76" s="8" t="s">
        <v>2688</v>
      </c>
      <c r="B76" s="7" t="s">
        <v>4863</v>
      </c>
      <c r="C76" s="7"/>
      <c r="D76" s="7"/>
      <c r="E76" s="7"/>
    </row>
    <row r="77" spans="1:5" ht="19.5" customHeight="1">
      <c r="A77" s="8" t="s">
        <v>4859</v>
      </c>
      <c r="B77" s="7" t="s">
        <v>4865</v>
      </c>
      <c r="C77" s="7"/>
      <c r="D77" s="7"/>
      <c r="E77" s="7"/>
    </row>
    <row r="78" spans="1:5" ht="19.5" customHeight="1">
      <c r="A78" s="8" t="s">
        <v>4859</v>
      </c>
      <c r="B78" s="7" t="s">
        <v>4867</v>
      </c>
      <c r="C78" s="7"/>
      <c r="D78" s="7"/>
      <c r="E78" s="7"/>
    </row>
    <row r="79" spans="1:5" ht="19.5" customHeight="1">
      <c r="A79" s="8" t="s">
        <v>4859</v>
      </c>
      <c r="B79" s="7" t="s">
        <v>4868</v>
      </c>
      <c r="C79" s="7"/>
      <c r="D79" s="7"/>
      <c r="E79" s="7"/>
    </row>
    <row r="80" spans="1:5" ht="19.5" customHeight="1">
      <c r="A80" s="8" t="s">
        <v>4859</v>
      </c>
      <c r="B80" s="7" t="s">
        <v>4870</v>
      </c>
      <c r="C80" s="7"/>
      <c r="D80" s="7"/>
      <c r="E80" s="7"/>
    </row>
    <row r="81" spans="1:5" ht="19.5" customHeight="1">
      <c r="A81" s="8" t="s">
        <v>4859</v>
      </c>
      <c r="B81" s="7" t="s">
        <v>4871</v>
      </c>
      <c r="C81" s="7"/>
      <c r="D81" s="7"/>
      <c r="E81" s="7"/>
    </row>
    <row r="82" spans="1:5" ht="19.5" customHeight="1">
      <c r="A82" s="8" t="s">
        <v>4861</v>
      </c>
      <c r="B82" s="7" t="s">
        <v>4873</v>
      </c>
      <c r="C82" s="7"/>
      <c r="D82" s="7"/>
      <c r="E82" s="7"/>
    </row>
    <row r="83" spans="1:5" ht="19.5" customHeight="1">
      <c r="A83" s="8" t="s">
        <v>4861</v>
      </c>
      <c r="B83" s="7" t="s">
        <v>4875</v>
      </c>
      <c r="C83" s="7"/>
      <c r="D83" s="7"/>
      <c r="E83" s="7"/>
    </row>
    <row r="84" spans="1:5" ht="19.5" customHeight="1">
      <c r="A84" s="8" t="s">
        <v>4861</v>
      </c>
      <c r="B84" s="7" t="s">
        <v>4877</v>
      </c>
      <c r="C84" s="7"/>
      <c r="D84" s="7"/>
      <c r="E84" s="7"/>
    </row>
    <row r="85" spans="1:5" ht="19.5" customHeight="1">
      <c r="A85" s="8" t="s">
        <v>4861</v>
      </c>
      <c r="B85" s="7" t="s">
        <v>4879</v>
      </c>
      <c r="C85" s="7"/>
      <c r="D85" s="7"/>
      <c r="E85" s="7"/>
    </row>
    <row r="86" spans="1:5" ht="19.5" customHeight="1">
      <c r="A86" s="8" t="s">
        <v>4861</v>
      </c>
      <c r="B86" s="7" t="s">
        <v>4882</v>
      </c>
      <c r="C86" s="7"/>
      <c r="D86" s="7"/>
      <c r="E86" s="7"/>
    </row>
    <row r="87" spans="1:5" ht="19.5" customHeight="1">
      <c r="A87" s="8" t="s">
        <v>4863</v>
      </c>
      <c r="B87" s="7" t="s">
        <v>4884</v>
      </c>
      <c r="C87" s="7"/>
      <c r="D87" s="7"/>
      <c r="E87" s="7"/>
    </row>
    <row r="88" spans="1:5" ht="19.5" customHeight="1">
      <c r="A88" s="8" t="s">
        <v>4865</v>
      </c>
      <c r="B88" s="7" t="s">
        <v>4887</v>
      </c>
      <c r="C88" s="7"/>
      <c r="D88" s="7"/>
      <c r="E88" s="7"/>
    </row>
    <row r="89" spans="1:5" ht="19.5" customHeight="1">
      <c r="A89" s="8" t="s">
        <v>4865</v>
      </c>
      <c r="B89" s="7" t="s">
        <v>4889</v>
      </c>
      <c r="C89" s="7"/>
      <c r="D89" s="7"/>
      <c r="E89" s="7"/>
    </row>
    <row r="90" spans="1:5" ht="19.5" customHeight="1">
      <c r="A90" s="8" t="s">
        <v>4865</v>
      </c>
      <c r="B90" s="7" t="s">
        <v>4891</v>
      </c>
      <c r="C90" s="7"/>
      <c r="D90" s="7"/>
      <c r="E90" s="7"/>
    </row>
    <row r="91" spans="1:5" ht="19.5" customHeight="1">
      <c r="A91" s="8" t="s">
        <v>4865</v>
      </c>
      <c r="B91" s="7" t="s">
        <v>4893</v>
      </c>
      <c r="C91" s="7"/>
      <c r="D91" s="7"/>
      <c r="E91" s="7"/>
    </row>
    <row r="92" spans="1:5" ht="19.5" customHeight="1">
      <c r="A92" s="8" t="s">
        <v>4865</v>
      </c>
      <c r="B92" s="7" t="s">
        <v>4895</v>
      </c>
      <c r="C92" s="7"/>
      <c r="D92" s="7"/>
      <c r="E92" s="7"/>
    </row>
    <row r="93" spans="1:5" ht="19.5" customHeight="1">
      <c r="A93" s="8" t="s">
        <v>4867</v>
      </c>
      <c r="B93" s="7" t="s">
        <v>4897</v>
      </c>
      <c r="C93" s="7"/>
      <c r="D93" s="7"/>
      <c r="E93" s="7"/>
    </row>
    <row r="94" spans="1:5" ht="19.5" customHeight="1">
      <c r="A94" s="8" t="s">
        <v>4867</v>
      </c>
      <c r="B94" s="7" t="s">
        <v>4899</v>
      </c>
      <c r="C94" s="7"/>
      <c r="D94" s="7"/>
      <c r="E94" s="7"/>
    </row>
    <row r="95" spans="1:5" ht="19.5" customHeight="1">
      <c r="A95" s="8" t="s">
        <v>4867</v>
      </c>
      <c r="B95" s="7" t="s">
        <v>4901</v>
      </c>
      <c r="C95" s="7"/>
      <c r="D95" s="7"/>
      <c r="E95" s="7"/>
    </row>
    <row r="96" spans="1:5" ht="19.5" customHeight="1">
      <c r="A96" s="8" t="s">
        <v>4868</v>
      </c>
      <c r="B96" s="7" t="s">
        <v>4903</v>
      </c>
      <c r="C96" s="7"/>
      <c r="D96" s="7"/>
      <c r="E96" s="7"/>
    </row>
    <row r="97" spans="1:5" ht="19.5" customHeight="1">
      <c r="A97" s="8" t="s">
        <v>4868</v>
      </c>
      <c r="B97" s="7" t="s">
        <v>4905</v>
      </c>
      <c r="C97" s="7"/>
      <c r="D97" s="7"/>
      <c r="E97" s="7"/>
    </row>
    <row r="98" spans="1:5" ht="19.5" customHeight="1">
      <c r="A98" s="8" t="s">
        <v>4868</v>
      </c>
      <c r="B98" s="7" t="s">
        <v>4907</v>
      </c>
      <c r="C98" s="7"/>
      <c r="D98" s="7"/>
      <c r="E98" s="7"/>
    </row>
    <row r="99" spans="1:5" ht="19.5" customHeight="1">
      <c r="A99" s="8" t="s">
        <v>4870</v>
      </c>
      <c r="B99" s="7" t="s">
        <v>4909</v>
      </c>
      <c r="C99" s="7"/>
      <c r="D99" s="7"/>
      <c r="E99" s="7"/>
    </row>
    <row r="100" spans="1:5" ht="19.5" customHeight="1">
      <c r="A100" s="8" t="s">
        <v>4870</v>
      </c>
      <c r="B100" s="7" t="s">
        <v>4910</v>
      </c>
      <c r="C100" s="7"/>
      <c r="D100" s="7"/>
      <c r="E100" s="7"/>
    </row>
    <row r="101" spans="1:5" ht="19.5" customHeight="1">
      <c r="A101" s="8" t="s">
        <v>4870</v>
      </c>
      <c r="B101" s="7" t="s">
        <v>4911</v>
      </c>
      <c r="C101" s="7"/>
      <c r="D101" s="7"/>
      <c r="E101" s="7"/>
    </row>
    <row r="102" spans="1:5" ht="19.5" customHeight="1">
      <c r="A102" s="8" t="s">
        <v>4873</v>
      </c>
      <c r="B102" s="7" t="s">
        <v>4912</v>
      </c>
      <c r="C102" s="7"/>
      <c r="D102" s="7"/>
      <c r="E102" s="7"/>
    </row>
    <row r="103" spans="1:5" ht="19.5" customHeight="1">
      <c r="A103" s="8" t="s">
        <v>4873</v>
      </c>
      <c r="B103" s="7" t="s">
        <v>4913</v>
      </c>
      <c r="C103" s="7"/>
      <c r="D103" s="7"/>
      <c r="E103" s="7"/>
    </row>
    <row r="104" spans="1:5" ht="19.5" customHeight="1">
      <c r="A104" s="8" t="s">
        <v>4873</v>
      </c>
      <c r="B104" s="7" t="s">
        <v>4914</v>
      </c>
      <c r="C104" s="7"/>
      <c r="D104" s="7"/>
      <c r="E104" s="7"/>
    </row>
    <row r="105" spans="1:5" ht="19.5" customHeight="1">
      <c r="A105" s="8" t="s">
        <v>4875</v>
      </c>
      <c r="B105" s="7" t="s">
        <v>4915</v>
      </c>
      <c r="C105" s="7"/>
      <c r="D105" s="7"/>
      <c r="E105" s="7"/>
    </row>
    <row r="106" spans="1:5" ht="19.5" customHeight="1">
      <c r="A106" s="8" t="s">
        <v>4875</v>
      </c>
      <c r="B106" s="7" t="s">
        <v>4916</v>
      </c>
      <c r="C106" s="7"/>
      <c r="D106" s="7"/>
      <c r="E106" s="7"/>
    </row>
    <row r="107" spans="1:5" ht="19.5" customHeight="1">
      <c r="A107" s="8" t="s">
        <v>4875</v>
      </c>
      <c r="B107" s="7" t="s">
        <v>4917</v>
      </c>
      <c r="C107" s="7"/>
      <c r="D107" s="7"/>
      <c r="E107" s="7"/>
    </row>
    <row r="108" spans="1:5" ht="19.5" customHeight="1">
      <c r="A108" s="8" t="s">
        <v>4877</v>
      </c>
      <c r="B108" s="7" t="s">
        <v>4918</v>
      </c>
      <c r="C108" s="7"/>
      <c r="D108" s="7"/>
      <c r="E108" s="7"/>
    </row>
    <row r="109" spans="1:5" ht="19.5" customHeight="1">
      <c r="A109" s="8" t="s">
        <v>4877</v>
      </c>
      <c r="B109" s="7" t="s">
        <v>4919</v>
      </c>
      <c r="C109" s="7"/>
      <c r="D109" s="7"/>
      <c r="E109" s="7"/>
    </row>
    <row r="110" spans="1:5" ht="19.5" customHeight="1">
      <c r="A110" s="8" t="s">
        <v>4877</v>
      </c>
      <c r="B110" s="7" t="s">
        <v>4920</v>
      </c>
      <c r="C110" s="7"/>
      <c r="D110" s="7"/>
      <c r="E110" s="7"/>
    </row>
    <row r="111" spans="1:5" ht="19.5" customHeight="1">
      <c r="A111" s="8" t="s">
        <v>4879</v>
      </c>
      <c r="B111" s="7" t="s">
        <v>4921</v>
      </c>
      <c r="C111" s="7"/>
      <c r="D111" s="7"/>
      <c r="E111" s="7"/>
    </row>
    <row r="112" spans="1:5" ht="19.5" customHeight="1">
      <c r="A112" s="8" t="s">
        <v>4879</v>
      </c>
      <c r="B112" s="7" t="s">
        <v>4922</v>
      </c>
      <c r="C112" s="7"/>
      <c r="D112" s="7"/>
      <c r="E112" s="7"/>
    </row>
    <row r="113" spans="1:5" ht="19.5" customHeight="1">
      <c r="A113" s="8" t="s">
        <v>4879</v>
      </c>
      <c r="B113" s="7" t="s">
        <v>4923</v>
      </c>
      <c r="C113" s="7"/>
      <c r="D113" s="7"/>
      <c r="E113" s="7"/>
    </row>
    <row r="114" spans="1:5" ht="19.5" customHeight="1">
      <c r="A114" s="8" t="s">
        <v>4882</v>
      </c>
      <c r="B114" s="7" t="s">
        <v>4924</v>
      </c>
      <c r="C114" s="7"/>
      <c r="D114" s="7"/>
      <c r="E114" s="7"/>
    </row>
    <row r="115" spans="1:5" ht="19.5" customHeight="1">
      <c r="A115" s="8" t="s">
        <v>4882</v>
      </c>
      <c r="B115" s="7" t="s">
        <v>4925</v>
      </c>
      <c r="C115" s="7"/>
      <c r="D115" s="7"/>
      <c r="E115" s="7"/>
    </row>
    <row r="116" spans="1:5" ht="19.5" customHeight="1">
      <c r="A116" s="8" t="s">
        <v>4882</v>
      </c>
      <c r="B116" s="7" t="s">
        <v>4926</v>
      </c>
      <c r="C116" s="7"/>
      <c r="D116" s="7"/>
      <c r="E116" s="7"/>
    </row>
    <row r="117" spans="1:5" ht="19.5" customHeight="1">
      <c r="A117" s="8" t="s">
        <v>3172</v>
      </c>
      <c r="B117" s="7" t="s">
        <v>4927</v>
      </c>
      <c r="C117" s="7"/>
      <c r="D117" s="7"/>
      <c r="E117" s="7"/>
    </row>
    <row r="118" spans="1:5" ht="19.5" customHeight="1">
      <c r="A118" s="8" t="s">
        <v>2742</v>
      </c>
      <c r="B118" s="7" t="s">
        <v>4928</v>
      </c>
      <c r="C118" s="7"/>
      <c r="D118" s="7"/>
      <c r="E118" s="7"/>
    </row>
    <row r="119" spans="1:5" ht="19.5" customHeight="1">
      <c r="A119" s="8" t="s">
        <v>2742</v>
      </c>
      <c r="B119" s="7" t="s">
        <v>4929</v>
      </c>
      <c r="C119" s="7"/>
      <c r="D119" s="7"/>
      <c r="E119" s="7"/>
    </row>
    <row r="120" spans="1:5" ht="19.5" customHeight="1">
      <c r="A120" s="8" t="s">
        <v>2742</v>
      </c>
      <c r="B120" s="7" t="s">
        <v>4930</v>
      </c>
      <c r="C120" s="7"/>
      <c r="D120" s="7"/>
      <c r="E120" s="7"/>
    </row>
    <row r="121" spans="1:5" ht="19.5" customHeight="1">
      <c r="A121" s="8" t="s">
        <v>2742</v>
      </c>
      <c r="B121" s="7" t="s">
        <v>4931</v>
      </c>
      <c r="C121" s="7"/>
      <c r="D121" s="7"/>
      <c r="E121" s="7"/>
    </row>
    <row r="122" spans="1:5" ht="19.5" customHeight="1">
      <c r="A122" s="8" t="s">
        <v>2742</v>
      </c>
      <c r="B122" s="7" t="s">
        <v>4932</v>
      </c>
      <c r="C122" s="7"/>
      <c r="D122" s="7"/>
      <c r="E122" s="7"/>
    </row>
    <row r="123" spans="1:5" ht="19.5" customHeight="1">
      <c r="A123" s="8" t="s">
        <v>3172</v>
      </c>
      <c r="B123" s="7" t="s">
        <v>4933</v>
      </c>
      <c r="C123" s="7"/>
      <c r="D123" s="7"/>
      <c r="E123" s="7"/>
    </row>
    <row r="124" spans="1:5" ht="19.5" customHeight="1">
      <c r="A124" s="8" t="s">
        <v>4934</v>
      </c>
      <c r="B124" s="7" t="s">
        <v>4935</v>
      </c>
      <c r="C124" s="7"/>
      <c r="D124" s="7"/>
      <c r="E124" s="7"/>
    </row>
    <row r="125" spans="1:5" ht="19.5" customHeight="1">
      <c r="A125" s="8" t="s">
        <v>4934</v>
      </c>
      <c r="B125" s="7" t="s">
        <v>4936</v>
      </c>
      <c r="C125" s="7"/>
      <c r="D125" s="7"/>
      <c r="E12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outlinePr summaryBelow="0"/>
  </sheetPr>
  <dimension ref="A1:B55"/>
  <sheetViews>
    <sheetView topLeftCell="A22" workbookViewId="0">
      <selection activeCell="A32" sqref="A32"/>
    </sheetView>
  </sheetViews>
  <sheetFormatPr defaultRowHeight="15"/>
  <cols>
    <col min="1" max="1" width="51.85546875" style="5" bestFit="1" customWidth="1"/>
    <col min="2" max="2" width="14.140625" style="9" bestFit="1" customWidth="1"/>
  </cols>
  <sheetData>
    <row r="1" spans="1:2" ht="19.5" customHeight="1">
      <c r="A1" s="31" t="s">
        <v>4772</v>
      </c>
      <c r="B1" s="7" t="s">
        <v>270</v>
      </c>
    </row>
    <row r="2" spans="1:2" ht="19.5" customHeight="1">
      <c r="A2" s="32" t="s">
        <v>1230</v>
      </c>
      <c r="B2" s="7" t="s">
        <v>17</v>
      </c>
    </row>
    <row r="3" spans="1:2" ht="19.5" customHeight="1">
      <c r="A3" s="32" t="s">
        <v>4773</v>
      </c>
      <c r="B3" s="7" t="s">
        <v>19</v>
      </c>
    </row>
    <row r="4" spans="1:2" ht="19.5" customHeight="1">
      <c r="A4" s="32" t="s">
        <v>344</v>
      </c>
      <c r="B4" s="7" t="s">
        <v>17</v>
      </c>
    </row>
    <row r="5" spans="1:2" ht="19.5" customHeight="1">
      <c r="A5" s="32" t="s">
        <v>1613</v>
      </c>
      <c r="B5" s="7" t="s">
        <v>19</v>
      </c>
    </row>
    <row r="6" spans="1:2" ht="19.5" customHeight="1">
      <c r="A6" s="32" t="s">
        <v>277</v>
      </c>
      <c r="B6" s="7" t="s">
        <v>18</v>
      </c>
    </row>
    <row r="7" spans="1:2" ht="19.5" customHeight="1">
      <c r="A7" s="32" t="s">
        <v>892</v>
      </c>
      <c r="B7" s="7" t="s">
        <v>19</v>
      </c>
    </row>
    <row r="8" spans="1:2" ht="19.5" customHeight="1">
      <c r="A8" s="32" t="s">
        <v>677</v>
      </c>
      <c r="B8" s="7" t="s">
        <v>17</v>
      </c>
    </row>
    <row r="9" spans="1:2" ht="19.5" customHeight="1">
      <c r="A9" s="32" t="s">
        <v>1689</v>
      </c>
      <c r="B9" s="7" t="s">
        <v>19</v>
      </c>
    </row>
    <row r="10" spans="1:2" ht="19.5" customHeight="1">
      <c r="A10" s="32" t="s">
        <v>3855</v>
      </c>
      <c r="B10" s="7" t="s">
        <v>19</v>
      </c>
    </row>
    <row r="11" spans="1:2" ht="19.5" customHeight="1">
      <c r="A11" s="32" t="s">
        <v>3767</v>
      </c>
      <c r="B11" s="7" t="s">
        <v>17</v>
      </c>
    </row>
    <row r="12" spans="1:2" ht="19.5" customHeight="1">
      <c r="A12" s="32" t="s">
        <v>658</v>
      </c>
      <c r="B12" s="7" t="s">
        <v>17</v>
      </c>
    </row>
    <row r="13" spans="1:2" ht="19.5" customHeight="1">
      <c r="A13" s="32" t="s">
        <v>3325</v>
      </c>
      <c r="B13" s="7" t="s">
        <v>17</v>
      </c>
    </row>
    <row r="14" spans="1:2" ht="19.5" customHeight="1">
      <c r="A14" s="32" t="s">
        <v>661</v>
      </c>
      <c r="B14" s="7" t="s">
        <v>19</v>
      </c>
    </row>
    <row r="15" spans="1:2" ht="19.5" customHeight="1">
      <c r="A15" s="32" t="s">
        <v>2012</v>
      </c>
      <c r="B15" s="7" t="s">
        <v>19</v>
      </c>
    </row>
    <row r="16" spans="1:2" ht="19.5" customHeight="1">
      <c r="A16" s="32" t="s">
        <v>960</v>
      </c>
      <c r="B16" s="7" t="s">
        <v>19</v>
      </c>
    </row>
    <row r="17" spans="1:2" ht="19.5" customHeight="1">
      <c r="A17" s="32" t="s">
        <v>1005</v>
      </c>
      <c r="B17" s="7" t="s">
        <v>19</v>
      </c>
    </row>
    <row r="18" spans="1:2" ht="19.5" customHeight="1">
      <c r="A18" s="32" t="s">
        <v>1706</v>
      </c>
      <c r="B18" s="7" t="s">
        <v>19</v>
      </c>
    </row>
    <row r="19" spans="1:2" ht="19.5" customHeight="1">
      <c r="A19" s="32" t="s">
        <v>876</v>
      </c>
      <c r="B19" s="7" t="s">
        <v>19</v>
      </c>
    </row>
    <row r="20" spans="1:2" ht="19.5" customHeight="1">
      <c r="A20" s="32" t="s">
        <v>999</v>
      </c>
      <c r="B20" s="7" t="s">
        <v>18</v>
      </c>
    </row>
    <row r="21" spans="1:2" ht="19.5" customHeight="1">
      <c r="A21" s="32" t="s">
        <v>973</v>
      </c>
      <c r="B21" s="7" t="s">
        <v>19</v>
      </c>
    </row>
    <row r="22" spans="1:2" ht="19.5" customHeight="1">
      <c r="A22" s="32" t="s">
        <v>326</v>
      </c>
      <c r="B22" s="7" t="s">
        <v>17</v>
      </c>
    </row>
    <row r="23" spans="1:2" ht="19.5" customHeight="1">
      <c r="A23" s="32" t="s">
        <v>283</v>
      </c>
      <c r="B23" s="7" t="s">
        <v>17</v>
      </c>
    </row>
    <row r="24" spans="1:2" ht="19.5" customHeight="1">
      <c r="A24" s="23" t="s">
        <v>4774</v>
      </c>
      <c r="B24" s="7" t="s">
        <v>19</v>
      </c>
    </row>
    <row r="25" spans="1:2" ht="19.5" customHeight="1">
      <c r="A25" s="23" t="s">
        <v>4775</v>
      </c>
      <c r="B25" s="7" t="s">
        <v>19</v>
      </c>
    </row>
    <row r="26" spans="1:2" ht="19.5" customHeight="1">
      <c r="A26" s="32" t="s">
        <v>4776</v>
      </c>
      <c r="B26" s="7" t="s">
        <v>17</v>
      </c>
    </row>
    <row r="27" spans="1:2" ht="19.5" customHeight="1">
      <c r="A27" s="32" t="s">
        <v>4777</v>
      </c>
      <c r="B27" s="7" t="s">
        <v>17</v>
      </c>
    </row>
    <row r="28" spans="1:2" ht="19.5" customHeight="1">
      <c r="A28" s="32" t="s">
        <v>4778</v>
      </c>
      <c r="B28" s="7" t="s">
        <v>17</v>
      </c>
    </row>
    <row r="29" spans="1:2" ht="19.5" customHeight="1">
      <c r="A29" s="23" t="s">
        <v>4779</v>
      </c>
      <c r="B29" s="7" t="s">
        <v>18</v>
      </c>
    </row>
    <row r="30" spans="1:2" ht="19.5" customHeight="1">
      <c r="A30" s="32" t="s">
        <v>4780</v>
      </c>
      <c r="B30" s="7" t="s">
        <v>20</v>
      </c>
    </row>
    <row r="31" spans="1:2" ht="19.5" customHeight="1">
      <c r="A31" s="32" t="s">
        <v>4781</v>
      </c>
      <c r="B31" s="7" t="s">
        <v>20</v>
      </c>
    </row>
    <row r="32" spans="1:2" ht="19.5" customHeight="1">
      <c r="A32" s="20" t="s">
        <v>4782</v>
      </c>
      <c r="B32" s="7" t="s">
        <v>17</v>
      </c>
    </row>
    <row r="33" spans="1:2" ht="19.5" customHeight="1">
      <c r="A33" s="20" t="s">
        <v>4783</v>
      </c>
      <c r="B33" s="7" t="s">
        <v>19</v>
      </c>
    </row>
    <row r="34" spans="1:2" ht="19.5" customHeight="1">
      <c r="A34" s="23" t="s">
        <v>4784</v>
      </c>
      <c r="B34" s="7" t="s">
        <v>17</v>
      </c>
    </row>
    <row r="35" spans="1:2" ht="19.5" customHeight="1">
      <c r="A35" s="20" t="s">
        <v>4785</v>
      </c>
      <c r="B35" s="7" t="s">
        <v>19</v>
      </c>
    </row>
    <row r="36" spans="1:2" ht="19.5" customHeight="1">
      <c r="A36" s="23" t="s">
        <v>4786</v>
      </c>
      <c r="B36" s="7" t="s">
        <v>19</v>
      </c>
    </row>
    <row r="37" spans="1:2" ht="19.5" customHeight="1">
      <c r="A37" s="20" t="s">
        <v>4787</v>
      </c>
      <c r="B37" s="7" t="s">
        <v>19</v>
      </c>
    </row>
    <row r="38" spans="1:2" ht="19.5" customHeight="1">
      <c r="A38" s="20" t="s">
        <v>4788</v>
      </c>
      <c r="B38" s="7" t="s">
        <v>19</v>
      </c>
    </row>
    <row r="39" spans="1:2" ht="19.5" customHeight="1">
      <c r="A39" s="20" t="s">
        <v>4789</v>
      </c>
      <c r="B39" s="7" t="s">
        <v>19</v>
      </c>
    </row>
    <row r="40" spans="1:2" ht="19.5" customHeight="1">
      <c r="A40" s="20" t="s">
        <v>4790</v>
      </c>
      <c r="B40" s="7" t="s">
        <v>18</v>
      </c>
    </row>
    <row r="41" spans="1:2" ht="19.5" customHeight="1">
      <c r="A41" s="20" t="s">
        <v>4791</v>
      </c>
      <c r="B41" s="7" t="s">
        <v>19</v>
      </c>
    </row>
    <row r="42" spans="1:2" ht="19.5" customHeight="1">
      <c r="A42" s="23" t="s">
        <v>4792</v>
      </c>
      <c r="B42" s="7" t="s">
        <v>17</v>
      </c>
    </row>
    <row r="43" spans="1:2" ht="19.5" customHeight="1">
      <c r="A43" s="20" t="s">
        <v>4793</v>
      </c>
      <c r="B43" s="7" t="s">
        <v>20</v>
      </c>
    </row>
    <row r="44" spans="1:2" ht="19.5" customHeight="1">
      <c r="A44" s="23" t="s">
        <v>4794</v>
      </c>
      <c r="B44" s="7" t="s">
        <v>20</v>
      </c>
    </row>
    <row r="45" spans="1:2" ht="19.5" customHeight="1">
      <c r="A45" s="23" t="s">
        <v>4795</v>
      </c>
      <c r="B45" s="7" t="s">
        <v>17</v>
      </c>
    </row>
    <row r="46" spans="1:2" ht="19.5" customHeight="1">
      <c r="A46" s="23" t="s">
        <v>4796</v>
      </c>
      <c r="B46" s="7" t="s">
        <v>17</v>
      </c>
    </row>
    <row r="47" spans="1:2" ht="19.5" customHeight="1">
      <c r="A47" s="23" t="s">
        <v>4797</v>
      </c>
      <c r="B47" s="7" t="s">
        <v>20</v>
      </c>
    </row>
    <row r="48" spans="1:2" ht="19.5" customHeight="1">
      <c r="A48" s="32" t="s">
        <v>4798</v>
      </c>
      <c r="B48" s="7" t="s">
        <v>19</v>
      </c>
    </row>
    <row r="49" spans="1:2" ht="19.5" customHeight="1">
      <c r="A49" s="23" t="s">
        <v>4799</v>
      </c>
      <c r="B49" s="7" t="s">
        <v>18</v>
      </c>
    </row>
    <row r="50" spans="1:2">
      <c r="A50" s="5" t="s">
        <v>6110</v>
      </c>
      <c r="B50" s="36" t="s">
        <v>20</v>
      </c>
    </row>
    <row r="51" spans="1:2">
      <c r="A51" s="5" t="s">
        <v>6116</v>
      </c>
      <c r="B51" s="36" t="s">
        <v>19</v>
      </c>
    </row>
    <row r="52" spans="1:2">
      <c r="A52" s="40" t="s">
        <v>6121</v>
      </c>
      <c r="B52" s="41" t="s">
        <v>17</v>
      </c>
    </row>
    <row r="53" spans="1:2">
      <c r="A53" s="5" t="s">
        <v>6354</v>
      </c>
      <c r="B53" s="36" t="s">
        <v>18</v>
      </c>
    </row>
    <row r="54" spans="1:2">
      <c r="A54" s="43" t="s">
        <v>6593</v>
      </c>
      <c r="B54" s="36" t="s">
        <v>18</v>
      </c>
    </row>
    <row r="55" spans="1:2">
      <c r="A55" s="5" t="s">
        <v>6729</v>
      </c>
      <c r="B55" s="36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outlinePr summaryBelow="0"/>
  </sheetPr>
  <dimension ref="A1:M2782"/>
  <sheetViews>
    <sheetView topLeftCell="A2744" workbookViewId="0">
      <selection activeCell="D2782" sqref="D2782"/>
    </sheetView>
  </sheetViews>
  <sheetFormatPr defaultRowHeight="15"/>
  <cols>
    <col min="1" max="1" width="14.140625" style="6" bestFit="1" customWidth="1"/>
    <col min="2" max="2" width="14.140625" style="5" bestFit="1" customWidth="1"/>
    <col min="3" max="3" width="10.42578125" style="5" bestFit="1" customWidth="1"/>
    <col min="4" max="4" width="50.5703125" style="5" bestFit="1" customWidth="1"/>
    <col min="5" max="5" width="55.140625" style="5" bestFit="1" customWidth="1"/>
    <col min="6" max="6" width="18.7109375" style="5" bestFit="1" customWidth="1"/>
    <col min="7" max="13" width="14.140625" style="5" bestFit="1" customWidth="1"/>
  </cols>
  <sheetData>
    <row r="1" spans="1:13" ht="19.5" customHeight="1">
      <c r="A1" s="15" t="s">
        <v>262</v>
      </c>
      <c r="B1" s="16" t="s">
        <v>263</v>
      </c>
      <c r="C1" s="16" t="s">
        <v>264</v>
      </c>
      <c r="D1" s="16" t="s">
        <v>265</v>
      </c>
      <c r="E1" s="16" t="s">
        <v>266</v>
      </c>
      <c r="F1" s="16" t="s">
        <v>267</v>
      </c>
      <c r="G1" s="16" t="s">
        <v>268</v>
      </c>
      <c r="H1" s="17" t="s">
        <v>0</v>
      </c>
      <c r="I1" s="16" t="s">
        <v>269</v>
      </c>
      <c r="J1" s="16" t="s">
        <v>270</v>
      </c>
      <c r="K1" s="16" t="s">
        <v>271</v>
      </c>
      <c r="L1" s="16" t="s">
        <v>272</v>
      </c>
      <c r="M1" s="17" t="s">
        <v>273</v>
      </c>
    </row>
    <row r="2" spans="1:13" ht="19.5" customHeight="1">
      <c r="A2" s="18">
        <v>1</v>
      </c>
      <c r="B2" s="11" t="s">
        <v>6</v>
      </c>
      <c r="C2" s="11" t="s">
        <v>31</v>
      </c>
      <c r="D2" s="11" t="s">
        <v>274</v>
      </c>
      <c r="E2" s="11"/>
      <c r="F2" s="11" t="s">
        <v>275</v>
      </c>
      <c r="G2" s="11" t="s">
        <v>12</v>
      </c>
      <c r="H2" s="19" t="str">
        <f>IFERROR(VLOOKUP(Table2[[#This Row], [Ticket]],Okey!A:B,2,0),"")</f>
        <v>ok</v>
      </c>
      <c r="I2" s="11" t="s">
        <v>276</v>
      </c>
      <c r="J2" s="19" t="str">
        <f>VLOOKUP(Table2[[#This Row], [Author]],People!A:B,2,0)</f>
        <v>MGF</v>
      </c>
      <c r="K2" s="11"/>
      <c r="L2" s="11"/>
      <c r="M2" s="20" t="s">
        <v>277</v>
      </c>
    </row>
    <row r="3" spans="1:13" ht="19.5" customHeight="1">
      <c r="A3" s="21">
        <f t="shared" ref="A3:A66" si="0">1+A2</f>
        <v>2</v>
      </c>
      <c r="B3" s="13" t="s">
        <v>6</v>
      </c>
      <c r="C3" s="13" t="s">
        <v>31</v>
      </c>
      <c r="D3" s="13" t="s">
        <v>278</v>
      </c>
      <c r="E3" s="13" t="s">
        <v>279</v>
      </c>
      <c r="F3" s="13" t="s">
        <v>280</v>
      </c>
      <c r="G3" s="13" t="s">
        <v>14</v>
      </c>
      <c r="H3" s="22" t="str">
        <f>IFERROR(VLOOKUP(Table2[[#This Row], [Ticket]],Okey!A:B,2,0),"")</f>
        <v>ok</v>
      </c>
      <c r="I3" s="13" t="s">
        <v>276</v>
      </c>
      <c r="J3" s="22" t="str">
        <f>VLOOKUP(Table2[[#This Row], [Author]],People!A:B,2,0)</f>
        <v>MGF</v>
      </c>
      <c r="K3" s="13"/>
      <c r="L3" s="13"/>
      <c r="M3" s="23" t="s">
        <v>277</v>
      </c>
    </row>
    <row r="4" spans="1:13" ht="19.5" customHeight="1">
      <c r="A4" s="18">
        <f t="shared" si="0"/>
        <v>3</v>
      </c>
      <c r="B4" s="11" t="s">
        <v>6</v>
      </c>
      <c r="C4" s="11" t="s">
        <v>32</v>
      </c>
      <c r="D4" s="11" t="s">
        <v>281</v>
      </c>
      <c r="E4" s="11"/>
      <c r="F4" s="11" t="s">
        <v>282</v>
      </c>
      <c r="G4" s="11" t="s">
        <v>13</v>
      </c>
      <c r="H4" s="19" t="str">
        <f>IFERROR(VLOOKUP(Table2[[#This Row], [Ticket]],Okey!A:B,2,0),"")</f>
        <v>ok</v>
      </c>
      <c r="I4" s="11" t="s">
        <v>276</v>
      </c>
      <c r="J4" s="19" t="str">
        <f>VLOOKUP(Table2[[#This Row], [Author]],People!A:B,2,0)</f>
        <v>MGF</v>
      </c>
      <c r="K4" s="11"/>
      <c r="L4" s="11"/>
      <c r="M4" s="20" t="s">
        <v>283</v>
      </c>
    </row>
    <row r="5" spans="1:13" ht="19.5" customHeight="1">
      <c r="A5" s="21">
        <f t="shared" si="0"/>
        <v>4</v>
      </c>
      <c r="B5" s="13" t="s">
        <v>6</v>
      </c>
      <c r="C5" s="13" t="s">
        <v>32</v>
      </c>
      <c r="D5" s="13" t="s">
        <v>284</v>
      </c>
      <c r="E5" s="13"/>
      <c r="F5" s="13" t="s">
        <v>281</v>
      </c>
      <c r="G5" s="13" t="s">
        <v>13</v>
      </c>
      <c r="H5" s="22" t="str">
        <f>IFERROR(VLOOKUP(Table2[[#This Row], [Ticket]],Okey!A:B,2,0),"")</f>
        <v>ok</v>
      </c>
      <c r="I5" s="13" t="s">
        <v>276</v>
      </c>
      <c r="J5" s="22" t="str">
        <f>VLOOKUP(Table2[[#This Row], [Author]],People!A:B,2,0)</f>
        <v>MGF</v>
      </c>
      <c r="K5" s="13"/>
      <c r="L5" s="13"/>
      <c r="M5" s="23" t="s">
        <v>283</v>
      </c>
    </row>
    <row r="6" spans="1:13" ht="19.5" customHeight="1">
      <c r="A6" s="18">
        <f t="shared" si="0"/>
        <v>5</v>
      </c>
      <c r="B6" s="11" t="s">
        <v>6</v>
      </c>
      <c r="C6" s="11" t="s">
        <v>32</v>
      </c>
      <c r="D6" s="11" t="s">
        <v>285</v>
      </c>
      <c r="E6" s="11"/>
      <c r="F6" s="11" t="s">
        <v>281</v>
      </c>
      <c r="G6" s="11" t="s">
        <v>13</v>
      </c>
      <c r="H6" s="19" t="str">
        <f>IFERROR(VLOOKUP(Table2[[#This Row], [Ticket]],Okey!A:B,2,0),"")</f>
        <v>ok</v>
      </c>
      <c r="I6" s="11" t="s">
        <v>276</v>
      </c>
      <c r="J6" s="19" t="str">
        <f>VLOOKUP(Table2[[#This Row], [Author]],People!A:B,2,0)</f>
        <v>MGF</v>
      </c>
      <c r="K6" s="11"/>
      <c r="L6" s="11"/>
      <c r="M6" s="20" t="s">
        <v>283</v>
      </c>
    </row>
    <row r="7" spans="1:13" ht="19.5" customHeight="1">
      <c r="A7" s="21">
        <f t="shared" si="0"/>
        <v>6</v>
      </c>
      <c r="B7" s="13" t="s">
        <v>6</v>
      </c>
      <c r="C7" s="13" t="s">
        <v>32</v>
      </c>
      <c r="D7" s="13" t="s">
        <v>286</v>
      </c>
      <c r="E7" s="13"/>
      <c r="F7" s="13" t="s">
        <v>281</v>
      </c>
      <c r="G7" s="13" t="s">
        <v>13</v>
      </c>
      <c r="H7" s="22" t="str">
        <f>IFERROR(VLOOKUP(Table2[[#This Row], [Ticket]],Okey!A:B,2,0),"")</f>
        <v>ok</v>
      </c>
      <c r="I7" s="13" t="s">
        <v>276</v>
      </c>
      <c r="J7" s="22" t="str">
        <f>VLOOKUP(Table2[[#This Row], [Author]],People!A:B,2,0)</f>
        <v>MGF</v>
      </c>
      <c r="K7" s="13"/>
      <c r="L7" s="13"/>
      <c r="M7" s="23" t="s">
        <v>283</v>
      </c>
    </row>
    <row r="8" spans="1:13" ht="19.5" customHeight="1">
      <c r="A8" s="18">
        <f t="shared" si="0"/>
        <v>7</v>
      </c>
      <c r="B8" s="11" t="s">
        <v>6</v>
      </c>
      <c r="C8" s="11" t="s">
        <v>32</v>
      </c>
      <c r="D8" s="11" t="s">
        <v>287</v>
      </c>
      <c r="E8" s="11"/>
      <c r="F8" s="11" t="s">
        <v>281</v>
      </c>
      <c r="G8" s="11" t="s">
        <v>13</v>
      </c>
      <c r="H8" s="19" t="str">
        <f>IFERROR(VLOOKUP(Table2[[#This Row], [Ticket]],Okey!A:B,2,0),"")</f>
        <v>ok</v>
      </c>
      <c r="I8" s="11" t="s">
        <v>276</v>
      </c>
      <c r="J8" s="19" t="str">
        <f>VLOOKUP(Table2[[#This Row], [Author]],People!A:B,2,0)</f>
        <v>MGF</v>
      </c>
      <c r="K8" s="11"/>
      <c r="L8" s="11"/>
      <c r="M8" s="20" t="s">
        <v>283</v>
      </c>
    </row>
    <row r="9" spans="1:13" ht="19.5" customHeight="1">
      <c r="A9" s="21">
        <f t="shared" si="0"/>
        <v>8</v>
      </c>
      <c r="B9" s="13" t="s">
        <v>6</v>
      </c>
      <c r="C9" s="13" t="s">
        <v>32</v>
      </c>
      <c r="D9" s="13" t="s">
        <v>288</v>
      </c>
      <c r="E9" s="13"/>
      <c r="F9" s="13" t="s">
        <v>281</v>
      </c>
      <c r="G9" s="13" t="s">
        <v>13</v>
      </c>
      <c r="H9" s="22" t="str">
        <f>IFERROR(VLOOKUP(Table2[[#This Row], [Ticket]],Okey!A:B,2,0),"")</f>
        <v>ok</v>
      </c>
      <c r="I9" s="13" t="s">
        <v>276</v>
      </c>
      <c r="J9" s="22" t="str">
        <f>VLOOKUP(Table2[[#This Row], [Author]],People!A:B,2,0)</f>
        <v>MGF</v>
      </c>
      <c r="K9" s="13"/>
      <c r="L9" s="13"/>
      <c r="M9" s="23" t="s">
        <v>283</v>
      </c>
    </row>
    <row r="10" spans="1:13" ht="19.5" customHeight="1">
      <c r="A10" s="18">
        <f t="shared" si="0"/>
        <v>9</v>
      </c>
      <c r="B10" s="11" t="s">
        <v>6</v>
      </c>
      <c r="C10" s="11" t="s">
        <v>32</v>
      </c>
      <c r="D10" s="11" t="s">
        <v>289</v>
      </c>
      <c r="E10" s="11"/>
      <c r="F10" s="11" t="s">
        <v>281</v>
      </c>
      <c r="G10" s="11" t="s">
        <v>13</v>
      </c>
      <c r="H10" s="19" t="str">
        <f>IFERROR(VLOOKUP(Table2[[#This Row], [Ticket]],Okey!A:B,2,0),"")</f>
        <v>ok</v>
      </c>
      <c r="I10" s="11" t="s">
        <v>276</v>
      </c>
      <c r="J10" s="19" t="str">
        <f>VLOOKUP(Table2[[#This Row], [Author]],People!A:B,2,0)</f>
        <v>MGF</v>
      </c>
      <c r="K10" s="11"/>
      <c r="L10" s="11"/>
      <c r="M10" s="20" t="s">
        <v>283</v>
      </c>
    </row>
    <row r="11" spans="1:13" ht="19.5" customHeight="1">
      <c r="A11" s="21">
        <f t="shared" si="0"/>
        <v>10</v>
      </c>
      <c r="B11" s="13" t="s">
        <v>6</v>
      </c>
      <c r="C11" s="13" t="s">
        <v>32</v>
      </c>
      <c r="D11" s="13" t="s">
        <v>290</v>
      </c>
      <c r="E11" s="13"/>
      <c r="F11" s="13" t="s">
        <v>281</v>
      </c>
      <c r="G11" s="13" t="s">
        <v>13</v>
      </c>
      <c r="H11" s="22" t="str">
        <f>IFERROR(VLOOKUP(Table2[[#This Row], [Ticket]],Okey!A:B,2,0),"")</f>
        <v>ok</v>
      </c>
      <c r="I11" s="13" t="s">
        <v>276</v>
      </c>
      <c r="J11" s="22" t="str">
        <f>VLOOKUP(Table2[[#This Row], [Author]],People!A:B,2,0)</f>
        <v>MGF</v>
      </c>
      <c r="K11" s="13"/>
      <c r="L11" s="13"/>
      <c r="M11" s="23" t="s">
        <v>283</v>
      </c>
    </row>
    <row r="12" spans="1:13" ht="19.5" customHeight="1">
      <c r="A12" s="18">
        <f t="shared" si="0"/>
        <v>11</v>
      </c>
      <c r="B12" s="11" t="s">
        <v>6</v>
      </c>
      <c r="C12" s="11" t="s">
        <v>32</v>
      </c>
      <c r="D12" s="11" t="s">
        <v>291</v>
      </c>
      <c r="E12" s="11"/>
      <c r="F12" s="11" t="s">
        <v>282</v>
      </c>
      <c r="G12" s="11" t="s">
        <v>13</v>
      </c>
      <c r="H12" s="19" t="str">
        <f>IFERROR(VLOOKUP(Table2[[#This Row], [Ticket]],Okey!A:B,2,0),"")</f>
        <v>ok</v>
      </c>
      <c r="I12" s="11" t="s">
        <v>276</v>
      </c>
      <c r="J12" s="19" t="str">
        <f>VLOOKUP(Table2[[#This Row], [Author]],People!A:B,2,0)</f>
        <v>MGF</v>
      </c>
      <c r="K12" s="11"/>
      <c r="L12" s="11"/>
      <c r="M12" s="20" t="s">
        <v>283</v>
      </c>
    </row>
    <row r="13" spans="1:13" ht="19.5" customHeight="1">
      <c r="A13" s="21">
        <f t="shared" si="0"/>
        <v>12</v>
      </c>
      <c r="B13" s="13" t="s">
        <v>6</v>
      </c>
      <c r="C13" s="13" t="s">
        <v>32</v>
      </c>
      <c r="D13" s="13" t="s">
        <v>292</v>
      </c>
      <c r="E13" s="13"/>
      <c r="F13" s="13" t="s">
        <v>293</v>
      </c>
      <c r="G13" s="13" t="s">
        <v>13</v>
      </c>
      <c r="H13" s="22" t="str">
        <f>IFERROR(VLOOKUP(Table2[[#This Row], [Ticket]],Okey!A:B,2,0),"")</f>
        <v>ok</v>
      </c>
      <c r="I13" s="13" t="s">
        <v>276</v>
      </c>
      <c r="J13" s="22" t="str">
        <f>VLOOKUP(Table2[[#This Row], [Author]],People!A:B,2,0)</f>
        <v>MGF</v>
      </c>
      <c r="K13" s="13"/>
      <c r="L13" s="13"/>
      <c r="M13" s="23" t="s">
        <v>283</v>
      </c>
    </row>
    <row r="14" spans="1:13" ht="19.5" customHeight="1">
      <c r="A14" s="18">
        <f t="shared" si="0"/>
        <v>13</v>
      </c>
      <c r="B14" s="11" t="s">
        <v>6</v>
      </c>
      <c r="C14" s="11" t="s">
        <v>32</v>
      </c>
      <c r="D14" s="11" t="s">
        <v>294</v>
      </c>
      <c r="E14" s="11"/>
      <c r="F14" s="11" t="s">
        <v>292</v>
      </c>
      <c r="G14" s="11" t="s">
        <v>13</v>
      </c>
      <c r="H14" s="19" t="str">
        <f>IFERROR(VLOOKUP(Table2[[#This Row], [Ticket]],Okey!A:B,2,0),"")</f>
        <v>ok</v>
      </c>
      <c r="I14" s="11" t="s">
        <v>276</v>
      </c>
      <c r="J14" s="19" t="str">
        <f>VLOOKUP(Table2[[#This Row], [Author]],People!A:B,2,0)</f>
        <v>MGF</v>
      </c>
      <c r="K14" s="11"/>
      <c r="L14" s="11"/>
      <c r="M14" s="20" t="s">
        <v>283</v>
      </c>
    </row>
    <row r="15" spans="1:13" ht="19.5" customHeight="1">
      <c r="A15" s="21">
        <f t="shared" si="0"/>
        <v>14</v>
      </c>
      <c r="B15" s="13" t="s">
        <v>6</v>
      </c>
      <c r="C15" s="13" t="s">
        <v>32</v>
      </c>
      <c r="D15" s="13" t="s">
        <v>295</v>
      </c>
      <c r="E15" s="13"/>
      <c r="F15" s="13" t="s">
        <v>292</v>
      </c>
      <c r="G15" s="13" t="s">
        <v>13</v>
      </c>
      <c r="H15" s="22" t="str">
        <f>IFERROR(VLOOKUP(Table2[[#This Row], [Ticket]],Okey!A:B,2,0),"")</f>
        <v>ok</v>
      </c>
      <c r="I15" s="13" t="s">
        <v>276</v>
      </c>
      <c r="J15" s="22" t="str">
        <f>VLOOKUP(Table2[[#This Row], [Author]],People!A:B,2,0)</f>
        <v>MGF</v>
      </c>
      <c r="K15" s="13"/>
      <c r="L15" s="13"/>
      <c r="M15" s="23" t="s">
        <v>283</v>
      </c>
    </row>
    <row r="16" spans="1:13" ht="19.5" customHeight="1">
      <c r="A16" s="18">
        <f t="shared" si="0"/>
        <v>15</v>
      </c>
      <c r="B16" s="11" t="s">
        <v>6</v>
      </c>
      <c r="C16" s="11" t="s">
        <v>32</v>
      </c>
      <c r="D16" s="11" t="s">
        <v>296</v>
      </c>
      <c r="E16" s="11"/>
      <c r="F16" s="11" t="s">
        <v>293</v>
      </c>
      <c r="G16" s="11" t="s">
        <v>13</v>
      </c>
      <c r="H16" s="19" t="str">
        <f>IFERROR(VLOOKUP(Table2[[#This Row], [Ticket]],Okey!A:B,2,0),"")</f>
        <v>ok</v>
      </c>
      <c r="I16" s="11" t="s">
        <v>276</v>
      </c>
      <c r="J16" s="19" t="str">
        <f>VLOOKUP(Table2[[#This Row], [Author]],People!A:B,2,0)</f>
        <v>MGF</v>
      </c>
      <c r="K16" s="11"/>
      <c r="L16" s="11"/>
      <c r="M16" s="20" t="s">
        <v>283</v>
      </c>
    </row>
    <row r="17" spans="1:13" ht="19.5" customHeight="1">
      <c r="A17" s="21">
        <f t="shared" si="0"/>
        <v>16</v>
      </c>
      <c r="B17" s="13" t="s">
        <v>6</v>
      </c>
      <c r="C17" s="13" t="s">
        <v>32</v>
      </c>
      <c r="D17" s="13" t="s">
        <v>297</v>
      </c>
      <c r="E17" s="13"/>
      <c r="F17" s="13" t="s">
        <v>296</v>
      </c>
      <c r="G17" s="13" t="s">
        <v>13</v>
      </c>
      <c r="H17" s="22" t="str">
        <f>IFERROR(VLOOKUP(Table2[[#This Row], [Ticket]],Okey!A:B,2,0),"")</f>
        <v>ok</v>
      </c>
      <c r="I17" s="13" t="s">
        <v>276</v>
      </c>
      <c r="J17" s="22" t="str">
        <f>VLOOKUP(Table2[[#This Row], [Author]],People!A:B,2,0)</f>
        <v>MGF</v>
      </c>
      <c r="K17" s="13"/>
      <c r="L17" s="13"/>
      <c r="M17" s="23" t="s">
        <v>283</v>
      </c>
    </row>
    <row r="18" spans="1:13" ht="19.5" customHeight="1">
      <c r="A18" s="18">
        <f t="shared" si="0"/>
        <v>17</v>
      </c>
      <c r="B18" s="11" t="s">
        <v>6</v>
      </c>
      <c r="C18" s="11" t="s">
        <v>32</v>
      </c>
      <c r="D18" s="11" t="s">
        <v>298</v>
      </c>
      <c r="E18" s="11"/>
      <c r="F18" s="11" t="s">
        <v>296</v>
      </c>
      <c r="G18" s="11" t="s">
        <v>13</v>
      </c>
      <c r="H18" s="19" t="str">
        <f>IFERROR(VLOOKUP(Table2[[#This Row], [Ticket]],Okey!A:B,2,0),"")</f>
        <v>ok</v>
      </c>
      <c r="I18" s="11" t="s">
        <v>276</v>
      </c>
      <c r="J18" s="19" t="str">
        <f>VLOOKUP(Table2[[#This Row], [Author]],People!A:B,2,0)</f>
        <v>MGF</v>
      </c>
      <c r="K18" s="11"/>
      <c r="L18" s="11"/>
      <c r="M18" s="20" t="s">
        <v>283</v>
      </c>
    </row>
    <row r="19" spans="1:13" ht="19.5" customHeight="1">
      <c r="A19" s="21">
        <f t="shared" si="0"/>
        <v>18</v>
      </c>
      <c r="B19" s="13" t="s">
        <v>6</v>
      </c>
      <c r="C19" s="13" t="s">
        <v>32</v>
      </c>
      <c r="D19" s="13" t="s">
        <v>299</v>
      </c>
      <c r="E19" s="13"/>
      <c r="F19" s="13" t="s">
        <v>296</v>
      </c>
      <c r="G19" s="13" t="s">
        <v>13</v>
      </c>
      <c r="H19" s="22" t="str">
        <f>IFERROR(VLOOKUP(Table2[[#This Row], [Ticket]],Okey!A:B,2,0),"")</f>
        <v>ok</v>
      </c>
      <c r="I19" s="13" t="s">
        <v>276</v>
      </c>
      <c r="J19" s="22" t="str">
        <f>VLOOKUP(Table2[[#This Row], [Author]],People!A:B,2,0)</f>
        <v>MGF</v>
      </c>
      <c r="K19" s="13"/>
      <c r="L19" s="13"/>
      <c r="M19" s="23" t="s">
        <v>283</v>
      </c>
    </row>
    <row r="20" spans="1:13" ht="19.5" customHeight="1">
      <c r="A20" s="18">
        <f t="shared" si="0"/>
        <v>19</v>
      </c>
      <c r="B20" s="11" t="s">
        <v>6</v>
      </c>
      <c r="C20" s="11" t="s">
        <v>32</v>
      </c>
      <c r="D20" s="11" t="s">
        <v>300</v>
      </c>
      <c r="E20" s="11"/>
      <c r="F20" s="11" t="s">
        <v>293</v>
      </c>
      <c r="G20" s="11" t="s">
        <v>13</v>
      </c>
      <c r="H20" s="19" t="str">
        <f>IFERROR(VLOOKUP(Table2[[#This Row], [Ticket]],Okey!A:B,2,0),"")</f>
        <v>ok</v>
      </c>
      <c r="I20" s="11" t="s">
        <v>276</v>
      </c>
      <c r="J20" s="19" t="str">
        <f>VLOOKUP(Table2[[#This Row], [Author]],People!A:B,2,0)</f>
        <v>MGF</v>
      </c>
      <c r="K20" s="11"/>
      <c r="L20" s="11"/>
      <c r="M20" s="20" t="s">
        <v>283</v>
      </c>
    </row>
    <row r="21" spans="1:13" ht="19.5" customHeight="1">
      <c r="A21" s="21">
        <f t="shared" si="0"/>
        <v>20</v>
      </c>
      <c r="B21" s="13" t="s">
        <v>6</v>
      </c>
      <c r="C21" s="13" t="s">
        <v>32</v>
      </c>
      <c r="D21" s="13" t="s">
        <v>301</v>
      </c>
      <c r="E21" s="13"/>
      <c r="F21" s="13" t="s">
        <v>300</v>
      </c>
      <c r="G21" s="13" t="s">
        <v>13</v>
      </c>
      <c r="H21" s="22" t="str">
        <f>IFERROR(VLOOKUP(Table2[[#This Row], [Ticket]],Okey!A:B,2,0),"")</f>
        <v>ok</v>
      </c>
      <c r="I21" s="13" t="s">
        <v>276</v>
      </c>
      <c r="J21" s="22" t="str">
        <f>VLOOKUP(Table2[[#This Row], [Author]],People!A:B,2,0)</f>
        <v>MGF</v>
      </c>
      <c r="K21" s="13"/>
      <c r="L21" s="13"/>
      <c r="M21" s="23" t="s">
        <v>283</v>
      </c>
    </row>
    <row r="22" spans="1:13" ht="19.5" customHeight="1">
      <c r="A22" s="18">
        <f t="shared" si="0"/>
        <v>21</v>
      </c>
      <c r="B22" s="11" t="s">
        <v>6</v>
      </c>
      <c r="C22" s="11" t="s">
        <v>32</v>
      </c>
      <c r="D22" s="11" t="s">
        <v>302</v>
      </c>
      <c r="E22" s="11"/>
      <c r="F22" s="11" t="s">
        <v>300</v>
      </c>
      <c r="G22" s="11" t="s">
        <v>13</v>
      </c>
      <c r="H22" s="19" t="str">
        <f>IFERROR(VLOOKUP(Table2[[#This Row], [Ticket]],Okey!A:B,2,0),"")</f>
        <v>ok</v>
      </c>
      <c r="I22" s="11" t="s">
        <v>276</v>
      </c>
      <c r="J22" s="19" t="str">
        <f>VLOOKUP(Table2[[#This Row], [Author]],People!A:B,2,0)</f>
        <v>MGF</v>
      </c>
      <c r="K22" s="11"/>
      <c r="L22" s="11"/>
      <c r="M22" s="20" t="s">
        <v>283</v>
      </c>
    </row>
    <row r="23" spans="1:13" ht="19.5" customHeight="1">
      <c r="A23" s="21">
        <f t="shared" si="0"/>
        <v>22</v>
      </c>
      <c r="B23" s="13" t="s">
        <v>6</v>
      </c>
      <c r="C23" s="13" t="s">
        <v>32</v>
      </c>
      <c r="D23" s="13" t="s">
        <v>303</v>
      </c>
      <c r="E23" s="13"/>
      <c r="F23" s="13" t="s">
        <v>304</v>
      </c>
      <c r="G23" s="13" t="s">
        <v>13</v>
      </c>
      <c r="H23" s="22" t="str">
        <f>IFERROR(VLOOKUP(Table2[[#This Row], [Ticket]],Okey!A:B,2,0),"")</f>
        <v>ok</v>
      </c>
      <c r="I23" s="13" t="s">
        <v>276</v>
      </c>
      <c r="J23" s="22" t="str">
        <f>VLOOKUP(Table2[[#This Row], [Author]],People!A:B,2,0)</f>
        <v>MGF</v>
      </c>
      <c r="K23" s="13"/>
      <c r="L23" s="13"/>
      <c r="M23" s="23" t="s">
        <v>283</v>
      </c>
    </row>
    <row r="24" spans="1:13" ht="19.5" customHeight="1">
      <c r="A24" s="18">
        <f t="shared" si="0"/>
        <v>23</v>
      </c>
      <c r="B24" s="11" t="s">
        <v>6</v>
      </c>
      <c r="C24" s="11" t="s">
        <v>32</v>
      </c>
      <c r="D24" s="11" t="s">
        <v>305</v>
      </c>
      <c r="E24" s="11"/>
      <c r="F24" s="11" t="s">
        <v>303</v>
      </c>
      <c r="G24" s="11" t="s">
        <v>13</v>
      </c>
      <c r="H24" s="19" t="str">
        <f>IFERROR(VLOOKUP(Table2[[#This Row], [Ticket]],Okey!A:B,2,0),"")</f>
        <v>ok</v>
      </c>
      <c r="I24" s="11" t="s">
        <v>276</v>
      </c>
      <c r="J24" s="19" t="str">
        <f>VLOOKUP(Table2[[#This Row], [Author]],People!A:B,2,0)</f>
        <v>MGF</v>
      </c>
      <c r="K24" s="11"/>
      <c r="L24" s="11"/>
      <c r="M24" s="20" t="s">
        <v>283</v>
      </c>
    </row>
    <row r="25" spans="1:13" ht="19.5" customHeight="1">
      <c r="A25" s="21">
        <f t="shared" si="0"/>
        <v>24</v>
      </c>
      <c r="B25" s="13" t="s">
        <v>6</v>
      </c>
      <c r="C25" s="13" t="s">
        <v>32</v>
      </c>
      <c r="D25" s="13" t="s">
        <v>306</v>
      </c>
      <c r="E25" s="13"/>
      <c r="F25" s="13" t="s">
        <v>303</v>
      </c>
      <c r="G25" s="13" t="s">
        <v>13</v>
      </c>
      <c r="H25" s="22" t="str">
        <f>IFERROR(VLOOKUP(Table2[[#This Row], [Ticket]],Okey!A:B,2,0),"")</f>
        <v>ok</v>
      </c>
      <c r="I25" s="13" t="s">
        <v>276</v>
      </c>
      <c r="J25" s="22" t="str">
        <f>VLOOKUP(Table2[[#This Row], [Author]],People!A:B,2,0)</f>
        <v>MGF</v>
      </c>
      <c r="K25" s="13"/>
      <c r="L25" s="13"/>
      <c r="M25" s="23" t="s">
        <v>283</v>
      </c>
    </row>
    <row r="26" spans="1:13" ht="19.5" customHeight="1">
      <c r="A26" s="18">
        <f t="shared" si="0"/>
        <v>25</v>
      </c>
      <c r="B26" s="11" t="s">
        <v>6</v>
      </c>
      <c r="C26" s="11" t="s">
        <v>32</v>
      </c>
      <c r="D26" s="11" t="s">
        <v>307</v>
      </c>
      <c r="E26" s="11"/>
      <c r="F26" s="11" t="s">
        <v>303</v>
      </c>
      <c r="G26" s="11" t="s">
        <v>13</v>
      </c>
      <c r="H26" s="19" t="str">
        <f>IFERROR(VLOOKUP(Table2[[#This Row], [Ticket]],Okey!A:B,2,0),"")</f>
        <v>ok</v>
      </c>
      <c r="I26" s="11" t="s">
        <v>276</v>
      </c>
      <c r="J26" s="19" t="e">
        <f>VLOOKUP(Table2[[#This Row], [Author]],People!A:B,2,0)</f>
        <v>#N/A</v>
      </c>
      <c r="K26" s="11"/>
      <c r="L26" s="11"/>
      <c r="M26" s="20" t="s">
        <v>283</v>
      </c>
    </row>
    <row r="27" spans="1:13" ht="19.5" customHeight="1">
      <c r="A27" s="21">
        <f t="shared" si="0"/>
        <v>26</v>
      </c>
      <c r="B27" s="13" t="s">
        <v>6</v>
      </c>
      <c r="C27" s="13" t="s">
        <v>32</v>
      </c>
      <c r="D27" s="13" t="s">
        <v>308</v>
      </c>
      <c r="E27" s="13"/>
      <c r="F27" s="13" t="s">
        <v>304</v>
      </c>
      <c r="G27" s="13" t="s">
        <v>13</v>
      </c>
      <c r="H27" s="22" t="str">
        <f>IFERROR(VLOOKUP(Table2[[#This Row], [Ticket]],Okey!A:B,2,0),"")</f>
        <v>ok</v>
      </c>
      <c r="I27" s="13" t="s">
        <v>276</v>
      </c>
      <c r="J27" s="22" t="e">
        <f>VLOOKUP(Table2[[#This Row], [Author]],People!A:B,2,0)</f>
        <v>#N/A</v>
      </c>
      <c r="K27" s="13"/>
      <c r="L27" s="13"/>
      <c r="M27" s="23" t="s">
        <v>283</v>
      </c>
    </row>
    <row r="28" spans="1:13" ht="19.5" customHeight="1">
      <c r="A28" s="18">
        <f t="shared" si="0"/>
        <v>27</v>
      </c>
      <c r="B28" s="11" t="s">
        <v>6</v>
      </c>
      <c r="C28" s="11" t="s">
        <v>32</v>
      </c>
      <c r="D28" s="11" t="s">
        <v>309</v>
      </c>
      <c r="E28" s="11"/>
      <c r="F28" s="11" t="s">
        <v>308</v>
      </c>
      <c r="G28" s="11" t="s">
        <v>13</v>
      </c>
      <c r="H28" s="19" t="str">
        <f>IFERROR(VLOOKUP(Table2[[#This Row], [Ticket]],Okey!A:B,2,0),"")</f>
        <v>ok</v>
      </c>
      <c r="I28" s="11" t="s">
        <v>276</v>
      </c>
      <c r="J28" s="19" t="e">
        <f>VLOOKUP(Table2[[#This Row], [Author]],People!A:B,2,0)</f>
        <v>#N/A</v>
      </c>
      <c r="K28" s="11"/>
      <c r="L28" s="11"/>
      <c r="M28" s="20" t="s">
        <v>283</v>
      </c>
    </row>
    <row r="29" spans="1:13" ht="19.5" customHeight="1">
      <c r="A29" s="21">
        <f t="shared" si="0"/>
        <v>28</v>
      </c>
      <c r="B29" s="13" t="s">
        <v>6</v>
      </c>
      <c r="C29" s="13" t="s">
        <v>32</v>
      </c>
      <c r="D29" s="13" t="s">
        <v>310</v>
      </c>
      <c r="E29" s="13"/>
      <c r="F29" s="13" t="s">
        <v>308</v>
      </c>
      <c r="G29" s="13" t="s">
        <v>13</v>
      </c>
      <c r="H29" s="22" t="str">
        <f>IFERROR(VLOOKUP(Table2[[#This Row], [Ticket]],Okey!A:B,2,0),"")</f>
        <v>ok</v>
      </c>
      <c r="I29" s="13" t="s">
        <v>276</v>
      </c>
      <c r="J29" s="22" t="e">
        <f>VLOOKUP(Table2[[#This Row], [Author]],People!A:B,2,0)</f>
        <v>#N/A</v>
      </c>
      <c r="K29" s="13"/>
      <c r="L29" s="13"/>
      <c r="M29" s="23" t="s">
        <v>283</v>
      </c>
    </row>
    <row r="30" spans="1:13" ht="19.5" customHeight="1">
      <c r="A30" s="18">
        <f t="shared" si="0"/>
        <v>29</v>
      </c>
      <c r="B30" s="11" t="s">
        <v>6</v>
      </c>
      <c r="C30" s="11" t="s">
        <v>32</v>
      </c>
      <c r="D30" s="11" t="s">
        <v>311</v>
      </c>
      <c r="E30" s="11"/>
      <c r="F30" s="11" t="s">
        <v>308</v>
      </c>
      <c r="G30" s="11" t="s">
        <v>13</v>
      </c>
      <c r="H30" s="19" t="str">
        <f>IFERROR(VLOOKUP(Table2[[#This Row], [Ticket]],Okey!A:B,2,0),"")</f>
        <v>ok</v>
      </c>
      <c r="I30" s="11" t="s">
        <v>276</v>
      </c>
      <c r="J30" s="19" t="e">
        <f>VLOOKUP(Table2[[#This Row], [Author]],People!A:B,2,0)</f>
        <v>#N/A</v>
      </c>
      <c r="K30" s="11"/>
      <c r="L30" s="11"/>
      <c r="M30" s="20" t="s">
        <v>283</v>
      </c>
    </row>
    <row r="31" spans="1:13" ht="19.5" customHeight="1">
      <c r="A31" s="21">
        <f t="shared" si="0"/>
        <v>30</v>
      </c>
      <c r="B31" s="13" t="s">
        <v>6</v>
      </c>
      <c r="C31" s="13" t="s">
        <v>32</v>
      </c>
      <c r="D31" s="13" t="s">
        <v>312</v>
      </c>
      <c r="E31" s="13"/>
      <c r="F31" s="13" t="s">
        <v>308</v>
      </c>
      <c r="G31" s="13" t="s">
        <v>13</v>
      </c>
      <c r="H31" s="22" t="str">
        <f>IFERROR(VLOOKUP(Table2[[#This Row], [Ticket]],Okey!A:B,2,0),"")</f>
        <v>ok</v>
      </c>
      <c r="I31" s="13" t="s">
        <v>276</v>
      </c>
      <c r="J31" s="22" t="e">
        <f>VLOOKUP(Table2[[#This Row], [Author]],People!A:B,2,0)</f>
        <v>#N/A</v>
      </c>
      <c r="K31" s="13"/>
      <c r="L31" s="13"/>
      <c r="M31" s="23" t="s">
        <v>283</v>
      </c>
    </row>
    <row r="32" spans="1:13" ht="19.5" customHeight="1">
      <c r="A32" s="18">
        <f t="shared" si="0"/>
        <v>31</v>
      </c>
      <c r="B32" s="11" t="s">
        <v>6</v>
      </c>
      <c r="C32" s="11" t="s">
        <v>32</v>
      </c>
      <c r="D32" s="11" t="s">
        <v>313</v>
      </c>
      <c r="E32" s="11"/>
      <c r="F32" s="11" t="s">
        <v>308</v>
      </c>
      <c r="G32" s="11" t="s">
        <v>13</v>
      </c>
      <c r="H32" s="19" t="str">
        <f>IFERROR(VLOOKUP(Table2[[#This Row], [Ticket]],Okey!A:B,2,0),"")</f>
        <v>ok</v>
      </c>
      <c r="I32" s="11" t="s">
        <v>276</v>
      </c>
      <c r="J32" s="19" t="e">
        <f>VLOOKUP(Table2[[#This Row], [Author]],People!A:B,2,0)</f>
        <v>#N/A</v>
      </c>
      <c r="K32" s="11"/>
      <c r="L32" s="11"/>
      <c r="M32" s="20" t="s">
        <v>283</v>
      </c>
    </row>
    <row r="33" spans="1:13" ht="19.5" customHeight="1">
      <c r="A33" s="21">
        <f t="shared" si="0"/>
        <v>32</v>
      </c>
      <c r="B33" s="13" t="s">
        <v>6</v>
      </c>
      <c r="C33" s="13" t="s">
        <v>32</v>
      </c>
      <c r="D33" s="13" t="s">
        <v>314</v>
      </c>
      <c r="E33" s="13"/>
      <c r="F33" s="13" t="s">
        <v>304</v>
      </c>
      <c r="G33" s="13" t="s">
        <v>13</v>
      </c>
      <c r="H33" s="22" t="str">
        <f>IFERROR(VLOOKUP(Table2[[#This Row], [Ticket]],Okey!A:B,2,0),"")</f>
        <v>ok</v>
      </c>
      <c r="I33" s="13" t="s">
        <v>276</v>
      </c>
      <c r="J33" s="22" t="e">
        <f>VLOOKUP(Table2[[#This Row], [Author]],People!A:B,2,0)</f>
        <v>#N/A</v>
      </c>
      <c r="K33" s="13"/>
      <c r="L33" s="13"/>
      <c r="M33" s="23" t="s">
        <v>283</v>
      </c>
    </row>
    <row r="34" spans="1:13" ht="19.5" customHeight="1">
      <c r="A34" s="18">
        <f t="shared" si="0"/>
        <v>33</v>
      </c>
      <c r="B34" s="11" t="s">
        <v>6</v>
      </c>
      <c r="C34" s="11" t="s">
        <v>32</v>
      </c>
      <c r="D34" s="11" t="s">
        <v>315</v>
      </c>
      <c r="E34" s="11"/>
      <c r="F34" s="11" t="s">
        <v>314</v>
      </c>
      <c r="G34" s="11" t="s">
        <v>13</v>
      </c>
      <c r="H34" s="19" t="str">
        <f>IFERROR(VLOOKUP(Table2[[#This Row], [Ticket]],Okey!A:B,2,0),"")</f>
        <v>ok</v>
      </c>
      <c r="I34" s="11" t="s">
        <v>276</v>
      </c>
      <c r="J34" s="19" t="e">
        <f>VLOOKUP(Table2[[#This Row], [Author]],People!A:B,2,0)</f>
        <v>#N/A</v>
      </c>
      <c r="K34" s="11"/>
      <c r="L34" s="11"/>
      <c r="M34" s="20" t="s">
        <v>283</v>
      </c>
    </row>
    <row r="35" spans="1:13" ht="19.5" customHeight="1">
      <c r="A35" s="21">
        <f t="shared" si="0"/>
        <v>34</v>
      </c>
      <c r="B35" s="13" t="s">
        <v>6</v>
      </c>
      <c r="C35" s="13" t="s">
        <v>32</v>
      </c>
      <c r="D35" s="13" t="s">
        <v>316</v>
      </c>
      <c r="E35" s="13"/>
      <c r="F35" s="13" t="s">
        <v>314</v>
      </c>
      <c r="G35" s="13" t="s">
        <v>13</v>
      </c>
      <c r="H35" s="22" t="str">
        <f>IFERROR(VLOOKUP(Table2[[#This Row], [Ticket]],Okey!A:B,2,0),"")</f>
        <v>ok</v>
      </c>
      <c r="I35" s="13" t="s">
        <v>276</v>
      </c>
      <c r="J35" s="22" t="e">
        <f>VLOOKUP(Table2[[#This Row], [Author]],People!A:B,2,0)</f>
        <v>#N/A</v>
      </c>
      <c r="K35" s="13"/>
      <c r="L35" s="13"/>
      <c r="M35" s="23" t="s">
        <v>283</v>
      </c>
    </row>
    <row r="36" spans="1:13" ht="19.5" customHeight="1">
      <c r="A36" s="18">
        <f t="shared" si="0"/>
        <v>35</v>
      </c>
      <c r="B36" s="11" t="s">
        <v>6</v>
      </c>
      <c r="C36" s="11" t="s">
        <v>32</v>
      </c>
      <c r="D36" s="11" t="s">
        <v>317</v>
      </c>
      <c r="E36" s="11"/>
      <c r="F36" s="11" t="s">
        <v>314</v>
      </c>
      <c r="G36" s="11" t="s">
        <v>13</v>
      </c>
      <c r="H36" s="19" t="str">
        <f>IFERROR(VLOOKUP(Table2[[#This Row], [Ticket]],Okey!A:B,2,0),"")</f>
        <v>ok</v>
      </c>
      <c r="I36" s="11" t="s">
        <v>276</v>
      </c>
      <c r="J36" s="19" t="e">
        <f>VLOOKUP(Table2[[#This Row], [Author]],People!A:B,2,0)</f>
        <v>#N/A</v>
      </c>
      <c r="K36" s="11"/>
      <c r="L36" s="11"/>
      <c r="M36" s="20" t="s">
        <v>283</v>
      </c>
    </row>
    <row r="37" spans="1:13" ht="19.5" customHeight="1">
      <c r="A37" s="21">
        <f t="shared" si="0"/>
        <v>36</v>
      </c>
      <c r="B37" s="13" t="s">
        <v>6</v>
      </c>
      <c r="C37" s="13" t="s">
        <v>32</v>
      </c>
      <c r="D37" s="13" t="s">
        <v>318</v>
      </c>
      <c r="E37" s="13"/>
      <c r="F37" s="13" t="s">
        <v>319</v>
      </c>
      <c r="G37" s="13" t="s">
        <v>13</v>
      </c>
      <c r="H37" s="22" t="str">
        <f>IFERROR(VLOOKUP(Table2[[#This Row], [Ticket]],Okey!A:B,2,0),"")</f>
        <v>ok</v>
      </c>
      <c r="I37" s="13" t="s">
        <v>276</v>
      </c>
      <c r="J37" s="22" t="e">
        <f>VLOOKUP(Table2[[#This Row], [Author]],People!A:B,2,0)</f>
        <v>#N/A</v>
      </c>
      <c r="K37" s="13"/>
      <c r="L37" s="13"/>
      <c r="M37" s="23" t="s">
        <v>283</v>
      </c>
    </row>
    <row r="38" spans="1:13" ht="19.5" customHeight="1">
      <c r="A38" s="18">
        <f t="shared" si="0"/>
        <v>37</v>
      </c>
      <c r="B38" s="11" t="s">
        <v>6</v>
      </c>
      <c r="C38" s="11" t="s">
        <v>32</v>
      </c>
      <c r="D38" s="11" t="s">
        <v>320</v>
      </c>
      <c r="E38" s="11"/>
      <c r="F38" s="11" t="s">
        <v>319</v>
      </c>
      <c r="G38" s="11" t="s">
        <v>13</v>
      </c>
      <c r="H38" s="19" t="str">
        <f>IFERROR(VLOOKUP(Table2[[#This Row], [Ticket]],Okey!A:B,2,0),"")</f>
        <v>ok</v>
      </c>
      <c r="I38" s="11" t="s">
        <v>276</v>
      </c>
      <c r="J38" s="19" t="e">
        <f>VLOOKUP(Table2[[#This Row], [Author]],People!A:B,2,0)</f>
        <v>#N/A</v>
      </c>
      <c r="K38" s="11"/>
      <c r="L38" s="11"/>
      <c r="M38" s="20" t="s">
        <v>283</v>
      </c>
    </row>
    <row r="39" spans="1:13" ht="19.5" customHeight="1">
      <c r="A39" s="21">
        <f t="shared" si="0"/>
        <v>38</v>
      </c>
      <c r="B39" s="13" t="s">
        <v>6</v>
      </c>
      <c r="C39" s="13" t="s">
        <v>32</v>
      </c>
      <c r="D39" s="13" t="s">
        <v>321</v>
      </c>
      <c r="E39" s="13"/>
      <c r="F39" s="13" t="s">
        <v>319</v>
      </c>
      <c r="G39" s="13" t="s">
        <v>13</v>
      </c>
      <c r="H39" s="22" t="str">
        <f>IFERROR(VLOOKUP(Table2[[#This Row], [Ticket]],Okey!A:B,2,0),"")</f>
        <v>ok</v>
      </c>
      <c r="I39" s="13" t="s">
        <v>276</v>
      </c>
      <c r="J39" s="22" t="e">
        <f>VLOOKUP(Table2[[#This Row], [Author]],People!A:B,2,0)</f>
        <v>#N/A</v>
      </c>
      <c r="K39" s="13"/>
      <c r="L39" s="13"/>
      <c r="M39" s="23" t="s">
        <v>283</v>
      </c>
    </row>
    <row r="40" spans="1:13" ht="19.5" customHeight="1">
      <c r="A40" s="18">
        <f t="shared" si="0"/>
        <v>39</v>
      </c>
      <c r="B40" s="11" t="s">
        <v>6</v>
      </c>
      <c r="C40" s="11" t="s">
        <v>32</v>
      </c>
      <c r="D40" s="11" t="s">
        <v>322</v>
      </c>
      <c r="E40" s="11"/>
      <c r="F40" s="11" t="s">
        <v>321</v>
      </c>
      <c r="G40" s="11" t="s">
        <v>13</v>
      </c>
      <c r="H40" s="19" t="str">
        <f>IFERROR(VLOOKUP(Table2[[#This Row], [Ticket]],Okey!A:B,2,0),"")</f>
        <v>ok</v>
      </c>
      <c r="I40" s="11" t="s">
        <v>276</v>
      </c>
      <c r="J40" s="19" t="e">
        <f>VLOOKUP(Table2[[#This Row], [Author]],People!A:B,2,0)</f>
        <v>#N/A</v>
      </c>
      <c r="K40" s="11"/>
      <c r="L40" s="11"/>
      <c r="M40" s="20" t="s">
        <v>283</v>
      </c>
    </row>
    <row r="41" spans="1:13" ht="19.5" customHeight="1">
      <c r="A41" s="21">
        <f t="shared" si="0"/>
        <v>40</v>
      </c>
      <c r="B41" s="13" t="s">
        <v>6</v>
      </c>
      <c r="C41" s="13" t="s">
        <v>32</v>
      </c>
      <c r="D41" s="13" t="s">
        <v>323</v>
      </c>
      <c r="E41" s="13"/>
      <c r="F41" s="13" t="s">
        <v>321</v>
      </c>
      <c r="G41" s="13" t="s">
        <v>13</v>
      </c>
      <c r="H41" s="22" t="str">
        <f>IFERROR(VLOOKUP(Table2[[#This Row], [Ticket]],Okey!A:B,2,0),"")</f>
        <v>ok</v>
      </c>
      <c r="I41" s="13" t="s">
        <v>276</v>
      </c>
      <c r="J41" s="22" t="e">
        <f>VLOOKUP(Table2[[#This Row], [Author]],People!A:B,2,0)</f>
        <v>#N/A</v>
      </c>
      <c r="K41" s="13"/>
      <c r="L41" s="13"/>
      <c r="M41" s="23" t="s">
        <v>283</v>
      </c>
    </row>
    <row r="42" spans="1:13" ht="19.5" customHeight="1">
      <c r="A42" s="18">
        <f t="shared" si="0"/>
        <v>41</v>
      </c>
      <c r="B42" s="11" t="s">
        <v>6</v>
      </c>
      <c r="C42" s="11" t="s">
        <v>33</v>
      </c>
      <c r="D42" s="11" t="s">
        <v>324</v>
      </c>
      <c r="E42" s="11" t="s">
        <v>325</v>
      </c>
      <c r="F42" s="11"/>
      <c r="G42" s="11" t="s">
        <v>15</v>
      </c>
      <c r="H42" s="19" t="str">
        <f>IFERROR(VLOOKUP(Table2[[#This Row], [Ticket]],Okey!A:B,2,0),"")</f>
        <v>ok</v>
      </c>
      <c r="I42" s="11" t="s">
        <v>276</v>
      </c>
      <c r="J42" s="19" t="e">
        <f>VLOOKUP(Table2[[#This Row], [Author]],People!A:B,2,0)</f>
        <v>#N/A</v>
      </c>
      <c r="K42" s="11"/>
      <c r="L42" s="11"/>
      <c r="M42" s="20" t="s">
        <v>326</v>
      </c>
    </row>
    <row r="43" spans="1:13" ht="19.5" customHeight="1">
      <c r="A43" s="21">
        <f t="shared" si="0"/>
        <v>42</v>
      </c>
      <c r="B43" s="13" t="s">
        <v>6</v>
      </c>
      <c r="C43" s="13" t="s">
        <v>33</v>
      </c>
      <c r="D43" s="13" t="s">
        <v>327</v>
      </c>
      <c r="E43" s="13" t="s">
        <v>325</v>
      </c>
      <c r="F43" s="13"/>
      <c r="G43" s="13" t="s">
        <v>15</v>
      </c>
      <c r="H43" s="22" t="str">
        <f>IFERROR(VLOOKUP(Table2[[#This Row], [Ticket]],Okey!A:B,2,0),"")</f>
        <v>ok</v>
      </c>
      <c r="I43" s="13" t="s">
        <v>276</v>
      </c>
      <c r="J43" s="22" t="e">
        <f>VLOOKUP(Table2[[#This Row], [Author]],People!A:B,2,0)</f>
        <v>#N/A</v>
      </c>
      <c r="K43" s="13"/>
      <c r="L43" s="13"/>
      <c r="M43" s="23" t="s">
        <v>326</v>
      </c>
    </row>
    <row r="44" spans="1:13" ht="19.5" customHeight="1">
      <c r="A44" s="18">
        <f t="shared" si="0"/>
        <v>43</v>
      </c>
      <c r="B44" s="11" t="s">
        <v>6</v>
      </c>
      <c r="C44" s="11" t="s">
        <v>33</v>
      </c>
      <c r="D44" s="11" t="s">
        <v>328</v>
      </c>
      <c r="E44" s="11" t="s">
        <v>329</v>
      </c>
      <c r="F44" s="11"/>
      <c r="G44" s="11" t="s">
        <v>15</v>
      </c>
      <c r="H44" s="19" t="str">
        <f>IFERROR(VLOOKUP(Table2[[#This Row], [Ticket]],Okey!A:B,2,0),"")</f>
        <v>ok</v>
      </c>
      <c r="I44" s="11" t="s">
        <v>276</v>
      </c>
      <c r="J44" s="19" t="e">
        <f>VLOOKUP(Table2[[#This Row], [Author]],People!A:B,2,0)</f>
        <v>#N/A</v>
      </c>
      <c r="K44" s="11"/>
      <c r="L44" s="11"/>
      <c r="M44" s="20" t="s">
        <v>326</v>
      </c>
    </row>
    <row r="45" spans="1:13" ht="19.5" customHeight="1">
      <c r="A45" s="21">
        <f t="shared" si="0"/>
        <v>44</v>
      </c>
      <c r="B45" s="13" t="s">
        <v>6</v>
      </c>
      <c r="C45" s="13" t="s">
        <v>33</v>
      </c>
      <c r="D45" s="13" t="s">
        <v>330</v>
      </c>
      <c r="E45" s="13" t="s">
        <v>331</v>
      </c>
      <c r="F45" s="13"/>
      <c r="G45" s="13" t="s">
        <v>15</v>
      </c>
      <c r="H45" s="22" t="str">
        <f>IFERROR(VLOOKUP(Table2[[#This Row], [Ticket]],Okey!A:B,2,0),"")</f>
        <v>ok</v>
      </c>
      <c r="I45" s="13" t="s">
        <v>276</v>
      </c>
      <c r="J45" s="22" t="e">
        <f>VLOOKUP(Table2[[#This Row], [Author]],People!A:B,2,0)</f>
        <v>#N/A</v>
      </c>
      <c r="K45" s="13"/>
      <c r="L45" s="13"/>
      <c r="M45" s="23" t="s">
        <v>326</v>
      </c>
    </row>
    <row r="46" spans="1:13" ht="19.5" customHeight="1">
      <c r="A46" s="18">
        <f t="shared" si="0"/>
        <v>45</v>
      </c>
      <c r="B46" s="11" t="s">
        <v>6</v>
      </c>
      <c r="C46" s="11" t="s">
        <v>33</v>
      </c>
      <c r="D46" s="11" t="s">
        <v>332</v>
      </c>
      <c r="E46" s="11" t="s">
        <v>333</v>
      </c>
      <c r="F46" s="11"/>
      <c r="G46" s="11" t="s">
        <v>15</v>
      </c>
      <c r="H46" s="19" t="str">
        <f>IFERROR(VLOOKUP(Table2[[#This Row], [Ticket]],Okey!A:B,2,0),"")</f>
        <v>ok</v>
      </c>
      <c r="I46" s="11" t="s">
        <v>276</v>
      </c>
      <c r="J46" s="19" t="e">
        <f>VLOOKUP(Table2[[#This Row], [Author]],People!A:B,2,0)</f>
        <v>#N/A</v>
      </c>
      <c r="K46" s="11"/>
      <c r="L46" s="11"/>
      <c r="M46" s="20" t="s">
        <v>326</v>
      </c>
    </row>
    <row r="47" spans="1:13" ht="19.5" customHeight="1">
      <c r="A47" s="21">
        <f t="shared" si="0"/>
        <v>46</v>
      </c>
      <c r="B47" s="13" t="s">
        <v>6</v>
      </c>
      <c r="C47" s="13" t="s">
        <v>33</v>
      </c>
      <c r="D47" s="13" t="s">
        <v>334</v>
      </c>
      <c r="E47" s="13" t="s">
        <v>335</v>
      </c>
      <c r="F47" s="13"/>
      <c r="G47" s="13" t="s">
        <v>15</v>
      </c>
      <c r="H47" s="22" t="str">
        <f>IFERROR(VLOOKUP(Table2[[#This Row], [Ticket]],Okey!A:B,2,0),"")</f>
        <v>ok</v>
      </c>
      <c r="I47" s="13" t="s">
        <v>276</v>
      </c>
      <c r="J47" s="22" t="e">
        <f>VLOOKUP(Table2[[#This Row], [Author]],People!A:B,2,0)</f>
        <v>#N/A</v>
      </c>
      <c r="K47" s="13"/>
      <c r="L47" s="13"/>
      <c r="M47" s="23" t="s">
        <v>326</v>
      </c>
    </row>
    <row r="48" spans="1:13" ht="19.5" customHeight="1">
      <c r="A48" s="18">
        <f t="shared" si="0"/>
        <v>47</v>
      </c>
      <c r="B48" s="11" t="s">
        <v>6</v>
      </c>
      <c r="C48" s="11" t="s">
        <v>33</v>
      </c>
      <c r="D48" s="11" t="s">
        <v>336</v>
      </c>
      <c r="E48" s="11" t="s">
        <v>337</v>
      </c>
      <c r="F48" s="11"/>
      <c r="G48" s="11" t="s">
        <v>15</v>
      </c>
      <c r="H48" s="19" t="str">
        <f>IFERROR(VLOOKUP(Table2[[#This Row], [Ticket]],Okey!A:B,2,0),"")</f>
        <v>ok</v>
      </c>
      <c r="I48" s="11" t="s">
        <v>276</v>
      </c>
      <c r="J48" s="19" t="e">
        <f>VLOOKUP(Table2[[#This Row], [Author]],People!A:B,2,0)</f>
        <v>#N/A</v>
      </c>
      <c r="K48" s="11"/>
      <c r="L48" s="11"/>
      <c r="M48" s="20" t="s">
        <v>326</v>
      </c>
    </row>
    <row r="49" spans="1:13" ht="19.5" customHeight="1">
      <c r="A49" s="21">
        <f t="shared" si="0"/>
        <v>48</v>
      </c>
      <c r="B49" s="13" t="s">
        <v>6</v>
      </c>
      <c r="C49" s="13" t="s">
        <v>33</v>
      </c>
      <c r="D49" s="13" t="s">
        <v>338</v>
      </c>
      <c r="E49" s="13" t="s">
        <v>339</v>
      </c>
      <c r="F49" s="13"/>
      <c r="G49" s="13" t="s">
        <v>15</v>
      </c>
      <c r="H49" s="22" t="str">
        <f>IFERROR(VLOOKUP(Table2[[#This Row], [Ticket]],Okey!A:B,2,0),"")</f>
        <v>ok</v>
      </c>
      <c r="I49" s="13" t="s">
        <v>276</v>
      </c>
      <c r="J49" s="22" t="e">
        <f>VLOOKUP(Table2[[#This Row], [Author]],People!A:B,2,0)</f>
        <v>#N/A</v>
      </c>
      <c r="K49" s="13"/>
      <c r="L49" s="13"/>
      <c r="M49" s="23" t="s">
        <v>326</v>
      </c>
    </row>
    <row r="50" spans="1:13" ht="19.5" customHeight="1">
      <c r="A50" s="18">
        <f t="shared" si="0"/>
        <v>49</v>
      </c>
      <c r="B50" s="11" t="s">
        <v>6</v>
      </c>
      <c r="C50" s="11" t="s">
        <v>33</v>
      </c>
      <c r="D50" s="11" t="s">
        <v>340</v>
      </c>
      <c r="E50" s="11" t="s">
        <v>341</v>
      </c>
      <c r="F50" s="11" t="s">
        <v>334</v>
      </c>
      <c r="G50" s="11" t="s">
        <v>16</v>
      </c>
      <c r="H50" s="19" t="str">
        <f>IFERROR(VLOOKUP(Table2[[#This Row], [Ticket]],Okey!A:B,2,0),"")</f>
        <v>ok</v>
      </c>
      <c r="I50" s="11" t="s">
        <v>276</v>
      </c>
      <c r="J50" s="19" t="e">
        <f>VLOOKUP(Table2[[#This Row], [Author]],People!A:B,2,0)</f>
        <v>#N/A</v>
      </c>
      <c r="K50" s="11"/>
      <c r="L50" s="11"/>
      <c r="M50" s="20" t="s">
        <v>326</v>
      </c>
    </row>
    <row r="51" spans="1:13" ht="19.5" customHeight="1">
      <c r="A51" s="21">
        <f t="shared" si="0"/>
        <v>50</v>
      </c>
      <c r="B51" s="13" t="s">
        <v>6</v>
      </c>
      <c r="C51" s="13" t="s">
        <v>34</v>
      </c>
      <c r="D51" s="13" t="s">
        <v>342</v>
      </c>
      <c r="E51" s="13" t="s">
        <v>343</v>
      </c>
      <c r="F51" s="13"/>
      <c r="G51" s="13" t="s">
        <v>15</v>
      </c>
      <c r="H51" s="22" t="str">
        <f>IFERROR(VLOOKUP(Table2[[#This Row], [Ticket]],Okey!A:B,2,0),"")</f>
        <v>ok</v>
      </c>
      <c r="I51" s="13" t="s">
        <v>276</v>
      </c>
      <c r="J51" s="22" t="e">
        <f>VLOOKUP(Table2[[#This Row], [Author]],People!A:B,2,0)</f>
        <v>#N/A</v>
      </c>
      <c r="K51" s="13"/>
      <c r="L51" s="13"/>
      <c r="M51" s="23" t="s">
        <v>344</v>
      </c>
    </row>
    <row r="52" spans="1:13" ht="19.5" customHeight="1">
      <c r="A52" s="18">
        <f t="shared" si="0"/>
        <v>51</v>
      </c>
      <c r="B52" s="11" t="s">
        <v>6</v>
      </c>
      <c r="C52" s="11" t="s">
        <v>34</v>
      </c>
      <c r="D52" s="11" t="s">
        <v>345</v>
      </c>
      <c r="E52" s="11" t="s">
        <v>346</v>
      </c>
      <c r="F52" s="11"/>
      <c r="G52" s="11" t="s">
        <v>15</v>
      </c>
      <c r="H52" s="19" t="str">
        <f>IFERROR(VLOOKUP(Table2[[#This Row], [Ticket]],Okey!A:B,2,0),"")</f>
        <v>ok</v>
      </c>
      <c r="I52" s="11" t="s">
        <v>276</v>
      </c>
      <c r="J52" s="19" t="str">
        <f>VLOOKUP(Table2[[#This Row], [Author]],People!A:B,2,0)</f>
        <v>LS</v>
      </c>
      <c r="K52" s="11"/>
      <c r="L52" s="11"/>
      <c r="M52" s="20" t="s">
        <v>344</v>
      </c>
    </row>
    <row r="53" spans="1:13" ht="19.5" customHeight="1">
      <c r="A53" s="21">
        <f t="shared" si="0"/>
        <v>52</v>
      </c>
      <c r="B53" s="13" t="s">
        <v>6</v>
      </c>
      <c r="C53" s="13" t="s">
        <v>34</v>
      </c>
      <c r="D53" s="13" t="s">
        <v>347</v>
      </c>
      <c r="E53" s="13" t="s">
        <v>348</v>
      </c>
      <c r="F53" s="13"/>
      <c r="G53" s="13" t="s">
        <v>15</v>
      </c>
      <c r="H53" s="22" t="str">
        <f>IFERROR(VLOOKUP(Table2[[#This Row], [Ticket]],Okey!A:B,2,0),"")</f>
        <v>ok</v>
      </c>
      <c r="I53" s="13" t="s">
        <v>276</v>
      </c>
      <c r="J53" s="22" t="str">
        <f>VLOOKUP(Table2[[#This Row], [Author]],People!A:B,2,0)</f>
        <v>LS</v>
      </c>
      <c r="K53" s="13"/>
      <c r="L53" s="13"/>
      <c r="M53" s="23" t="s">
        <v>344</v>
      </c>
    </row>
    <row r="54" spans="1:13" ht="19.5" customHeight="1">
      <c r="A54" s="18">
        <f t="shared" si="0"/>
        <v>53</v>
      </c>
      <c r="B54" s="11" t="s">
        <v>6</v>
      </c>
      <c r="C54" s="11" t="s">
        <v>34</v>
      </c>
      <c r="D54" s="11" t="s">
        <v>349</v>
      </c>
      <c r="E54" s="11" t="s">
        <v>350</v>
      </c>
      <c r="F54" s="11"/>
      <c r="G54" s="11" t="s">
        <v>15</v>
      </c>
      <c r="H54" s="19" t="str">
        <f>IFERROR(VLOOKUP(Table2[[#This Row], [Ticket]],Okey!A:B,2,0),"")</f>
        <v>ok</v>
      </c>
      <c r="I54" s="11" t="s">
        <v>276</v>
      </c>
      <c r="J54" s="19" t="e">
        <f>VLOOKUP(Table2[[#This Row], [Author]],People!A:B,2,0)</f>
        <v>#N/A</v>
      </c>
      <c r="K54" s="11"/>
      <c r="L54" s="11"/>
      <c r="M54" s="20" t="s">
        <v>344</v>
      </c>
    </row>
    <row r="55" spans="1:13" ht="19.5" customHeight="1">
      <c r="A55" s="21">
        <f t="shared" si="0"/>
        <v>54</v>
      </c>
      <c r="B55" s="13" t="s">
        <v>6</v>
      </c>
      <c r="C55" s="13" t="s">
        <v>34</v>
      </c>
      <c r="D55" s="13" t="s">
        <v>351</v>
      </c>
      <c r="E55" s="13" t="s">
        <v>352</v>
      </c>
      <c r="F55" s="13"/>
      <c r="G55" s="13" t="s">
        <v>15</v>
      </c>
      <c r="H55" s="22" t="str">
        <f>IFERROR(VLOOKUP(Table2[[#This Row], [Ticket]],Okey!A:B,2,0),"")</f>
        <v>ok</v>
      </c>
      <c r="I55" s="13" t="s">
        <v>276</v>
      </c>
      <c r="J55" s="22" t="e">
        <f>VLOOKUP(Table2[[#This Row], [Author]],People!A:B,2,0)</f>
        <v>#N/A</v>
      </c>
      <c r="K55" s="13"/>
      <c r="L55" s="13"/>
      <c r="M55" s="23" t="s">
        <v>344</v>
      </c>
    </row>
    <row r="56" spans="1:13" ht="19.5" customHeight="1">
      <c r="A56" s="18">
        <f t="shared" si="0"/>
        <v>55</v>
      </c>
      <c r="B56" s="11" t="s">
        <v>6</v>
      </c>
      <c r="C56" s="11" t="s">
        <v>34</v>
      </c>
      <c r="D56" s="11" t="s">
        <v>353</v>
      </c>
      <c r="E56" s="11" t="s">
        <v>354</v>
      </c>
      <c r="F56" s="11"/>
      <c r="G56" s="11" t="s">
        <v>15</v>
      </c>
      <c r="H56" s="19" t="str">
        <f>IFERROR(VLOOKUP(Table2[[#This Row], [Ticket]],Okey!A:B,2,0),"")</f>
        <v>ok</v>
      </c>
      <c r="I56" s="11" t="s">
        <v>276</v>
      </c>
      <c r="J56" s="19" t="e">
        <f>VLOOKUP(Table2[[#This Row], [Author]],People!A:B,2,0)</f>
        <v>#N/A</v>
      </c>
      <c r="K56" s="11"/>
      <c r="L56" s="11"/>
      <c r="M56" s="20" t="s">
        <v>344</v>
      </c>
    </row>
    <row r="57" spans="1:13" ht="19.5" customHeight="1">
      <c r="A57" s="21">
        <f t="shared" si="0"/>
        <v>56</v>
      </c>
      <c r="B57" s="13" t="s">
        <v>6</v>
      </c>
      <c r="C57" s="13" t="s">
        <v>34</v>
      </c>
      <c r="D57" s="13" t="s">
        <v>355</v>
      </c>
      <c r="E57" s="13" t="s">
        <v>356</v>
      </c>
      <c r="F57" s="13"/>
      <c r="G57" s="13" t="s">
        <v>15</v>
      </c>
      <c r="H57" s="22" t="str">
        <f>IFERROR(VLOOKUP(Table2[[#This Row], [Ticket]],Okey!A:B,2,0),"")</f>
        <v>ok</v>
      </c>
      <c r="I57" s="13" t="s">
        <v>276</v>
      </c>
      <c r="J57" s="22" t="e">
        <f>VLOOKUP(Table2[[#This Row], [Author]],People!A:B,2,0)</f>
        <v>#N/A</v>
      </c>
      <c r="K57" s="13"/>
      <c r="L57" s="13"/>
      <c r="M57" s="23" t="s">
        <v>344</v>
      </c>
    </row>
    <row r="58" spans="1:13" ht="19.5" customHeight="1">
      <c r="A58" s="18">
        <f t="shared" si="0"/>
        <v>57</v>
      </c>
      <c r="B58" s="11" t="s">
        <v>6</v>
      </c>
      <c r="C58" s="11" t="s">
        <v>34</v>
      </c>
      <c r="D58" s="11" t="s">
        <v>357</v>
      </c>
      <c r="E58" s="11" t="s">
        <v>358</v>
      </c>
      <c r="F58" s="11"/>
      <c r="G58" s="11" t="s">
        <v>15</v>
      </c>
      <c r="H58" s="19" t="str">
        <f>IFERROR(VLOOKUP(Table2[[#This Row], [Ticket]],Okey!A:B,2,0),"")</f>
        <v>ok</v>
      </c>
      <c r="I58" s="11" t="s">
        <v>276</v>
      </c>
      <c r="J58" s="19" t="e">
        <f>VLOOKUP(Table2[[#This Row], [Author]],People!A:B,2,0)</f>
        <v>#N/A</v>
      </c>
      <c r="K58" s="11"/>
      <c r="L58" s="11"/>
      <c r="M58" s="20" t="s">
        <v>344</v>
      </c>
    </row>
    <row r="59" spans="1:13" ht="19.5" customHeight="1">
      <c r="A59" s="21">
        <f t="shared" si="0"/>
        <v>58</v>
      </c>
      <c r="B59" s="13" t="s">
        <v>6</v>
      </c>
      <c r="C59" s="13" t="s">
        <v>34</v>
      </c>
      <c r="D59" s="13" t="s">
        <v>359</v>
      </c>
      <c r="E59" s="13" t="s">
        <v>360</v>
      </c>
      <c r="F59" s="13"/>
      <c r="G59" s="13" t="s">
        <v>15</v>
      </c>
      <c r="H59" s="22" t="str">
        <f>IFERROR(VLOOKUP(Table2[[#This Row], [Ticket]],Okey!A:B,2,0),"")</f>
        <v>ok</v>
      </c>
      <c r="I59" s="13" t="s">
        <v>276</v>
      </c>
      <c r="J59" s="22" t="e">
        <f>VLOOKUP(Table2[[#This Row], [Author]],People!A:B,2,0)</f>
        <v>#N/A</v>
      </c>
      <c r="K59" s="13"/>
      <c r="L59" s="13"/>
      <c r="M59" s="23" t="s">
        <v>344</v>
      </c>
    </row>
    <row r="60" spans="1:13" ht="19.5" customHeight="1">
      <c r="A60" s="18">
        <f t="shared" si="0"/>
        <v>59</v>
      </c>
      <c r="B60" s="11" t="s">
        <v>6</v>
      </c>
      <c r="C60" s="11" t="s">
        <v>34</v>
      </c>
      <c r="D60" s="11" t="s">
        <v>361</v>
      </c>
      <c r="E60" s="11" t="s">
        <v>362</v>
      </c>
      <c r="F60" s="11"/>
      <c r="G60" s="11" t="s">
        <v>15</v>
      </c>
      <c r="H60" s="19" t="str">
        <f>IFERROR(VLOOKUP(Table2[[#This Row], [Ticket]],Okey!A:B,2,0),"")</f>
        <v>ok</v>
      </c>
      <c r="I60" s="11" t="s">
        <v>276</v>
      </c>
      <c r="J60" s="19" t="e">
        <f>VLOOKUP(Table2[[#This Row], [Author]],People!A:B,2,0)</f>
        <v>#N/A</v>
      </c>
      <c r="K60" s="11"/>
      <c r="L60" s="11"/>
      <c r="M60" s="20" t="s">
        <v>344</v>
      </c>
    </row>
    <row r="61" spans="1:13" ht="19.5" customHeight="1">
      <c r="A61" s="21">
        <f t="shared" si="0"/>
        <v>60</v>
      </c>
      <c r="B61" s="13" t="s">
        <v>6</v>
      </c>
      <c r="C61" s="13" t="s">
        <v>34</v>
      </c>
      <c r="D61" s="13" t="s">
        <v>363</v>
      </c>
      <c r="E61" s="13" t="s">
        <v>364</v>
      </c>
      <c r="F61" s="13"/>
      <c r="G61" s="13" t="s">
        <v>15</v>
      </c>
      <c r="H61" s="22" t="str">
        <f>IFERROR(VLOOKUP(Table2[[#This Row], [Ticket]],Okey!A:B,2,0),"")</f>
        <v>ok</v>
      </c>
      <c r="I61" s="13" t="s">
        <v>276</v>
      </c>
      <c r="J61" s="22" t="e">
        <f>VLOOKUP(Table2[[#This Row], [Author]],People!A:B,2,0)</f>
        <v>#N/A</v>
      </c>
      <c r="K61" s="13"/>
      <c r="L61" s="13"/>
      <c r="M61" s="23" t="s">
        <v>344</v>
      </c>
    </row>
    <row r="62" spans="1:13" ht="19.5" customHeight="1">
      <c r="A62" s="18">
        <f t="shared" si="0"/>
        <v>61</v>
      </c>
      <c r="B62" s="11" t="s">
        <v>6</v>
      </c>
      <c r="C62" s="11" t="s">
        <v>34</v>
      </c>
      <c r="D62" s="11" t="s">
        <v>365</v>
      </c>
      <c r="E62" s="11" t="s">
        <v>366</v>
      </c>
      <c r="F62" s="11"/>
      <c r="G62" s="11" t="s">
        <v>15</v>
      </c>
      <c r="H62" s="19" t="str">
        <f>IFERROR(VLOOKUP(Table2[[#This Row], [Ticket]],Okey!A:B,2,0),"")</f>
        <v>ok</v>
      </c>
      <c r="I62" s="11" t="s">
        <v>276</v>
      </c>
      <c r="J62" s="19" t="e">
        <f>VLOOKUP(Table2[[#This Row], [Author]],People!A:B,2,0)</f>
        <v>#N/A</v>
      </c>
      <c r="K62" s="11"/>
      <c r="L62" s="11"/>
      <c r="M62" s="20" t="s">
        <v>344</v>
      </c>
    </row>
    <row r="63" spans="1:13" ht="19.5" customHeight="1">
      <c r="A63" s="21">
        <f t="shared" si="0"/>
        <v>62</v>
      </c>
      <c r="B63" s="13" t="s">
        <v>6</v>
      </c>
      <c r="C63" s="13" t="s">
        <v>34</v>
      </c>
      <c r="D63" s="13" t="s">
        <v>367</v>
      </c>
      <c r="E63" s="13" t="s">
        <v>368</v>
      </c>
      <c r="F63" s="13"/>
      <c r="G63" s="13" t="s">
        <v>15</v>
      </c>
      <c r="H63" s="22" t="str">
        <f>IFERROR(VLOOKUP(Table2[[#This Row], [Ticket]],Okey!A:B,2,0),"")</f>
        <v>ok</v>
      </c>
      <c r="I63" s="13" t="s">
        <v>276</v>
      </c>
      <c r="J63" s="22" t="e">
        <f>VLOOKUP(Table2[[#This Row], [Author]],People!A:B,2,0)</f>
        <v>#N/A</v>
      </c>
      <c r="K63" s="13"/>
      <c r="L63" s="13"/>
      <c r="M63" s="23" t="s">
        <v>344</v>
      </c>
    </row>
    <row r="64" spans="1:13" ht="19.5" customHeight="1">
      <c r="A64" s="18">
        <f t="shared" si="0"/>
        <v>63</v>
      </c>
      <c r="B64" s="11" t="s">
        <v>6</v>
      </c>
      <c r="C64" s="11" t="s">
        <v>34</v>
      </c>
      <c r="D64" s="11" t="s">
        <v>369</v>
      </c>
      <c r="E64" s="11" t="s">
        <v>370</v>
      </c>
      <c r="F64" s="11"/>
      <c r="G64" s="11" t="s">
        <v>15</v>
      </c>
      <c r="H64" s="19" t="str">
        <f>IFERROR(VLOOKUP(Table2[[#This Row], [Ticket]],Okey!A:B,2,0),"")</f>
        <v>ok</v>
      </c>
      <c r="I64" s="11" t="s">
        <v>276</v>
      </c>
      <c r="J64" s="19" t="e">
        <f>VLOOKUP(Table2[[#This Row], [Author]],People!A:B,2,0)</f>
        <v>#N/A</v>
      </c>
      <c r="K64" s="11"/>
      <c r="L64" s="11"/>
      <c r="M64" s="20" t="s">
        <v>344</v>
      </c>
    </row>
    <row r="65" spans="1:13" ht="19.5" customHeight="1">
      <c r="A65" s="21">
        <f t="shared" si="0"/>
        <v>64</v>
      </c>
      <c r="B65" s="13" t="s">
        <v>6</v>
      </c>
      <c r="C65" s="13" t="s">
        <v>34</v>
      </c>
      <c r="D65" s="13" t="s">
        <v>371</v>
      </c>
      <c r="E65" s="13" t="s">
        <v>372</v>
      </c>
      <c r="F65" s="13"/>
      <c r="G65" s="13" t="s">
        <v>15</v>
      </c>
      <c r="H65" s="22" t="str">
        <f>IFERROR(VLOOKUP(Table2[[#This Row], [Ticket]],Okey!A:B,2,0),"")</f>
        <v>ok</v>
      </c>
      <c r="I65" s="13" t="s">
        <v>276</v>
      </c>
      <c r="J65" s="22" t="e">
        <f>VLOOKUP(Table2[[#This Row], [Author]],People!A:B,2,0)</f>
        <v>#N/A</v>
      </c>
      <c r="K65" s="13"/>
      <c r="L65" s="13"/>
      <c r="M65" s="23" t="s">
        <v>344</v>
      </c>
    </row>
    <row r="66" spans="1:13" ht="19.5" customHeight="1">
      <c r="A66" s="18">
        <f t="shared" si="0"/>
        <v>65</v>
      </c>
      <c r="B66" s="11" t="s">
        <v>6</v>
      </c>
      <c r="C66" s="11" t="s">
        <v>34</v>
      </c>
      <c r="D66" s="11" t="s">
        <v>373</v>
      </c>
      <c r="E66" s="11" t="s">
        <v>374</v>
      </c>
      <c r="F66" s="11"/>
      <c r="G66" s="11" t="s">
        <v>15</v>
      </c>
      <c r="H66" s="19" t="str">
        <f>IFERROR(VLOOKUP(Table2[[#This Row], [Ticket]],Okey!A:B,2,0),"")</f>
        <v>ok</v>
      </c>
      <c r="I66" s="11" t="s">
        <v>276</v>
      </c>
      <c r="J66" s="19" t="e">
        <f>VLOOKUP(Table2[[#This Row], [Author]],People!A:B,2,0)</f>
        <v>#N/A</v>
      </c>
      <c r="K66" s="11"/>
      <c r="L66" s="11"/>
      <c r="M66" s="20" t="s">
        <v>344</v>
      </c>
    </row>
    <row r="67" spans="1:13" ht="19.5" customHeight="1">
      <c r="A67" s="21">
        <f t="shared" ref="A67:A130" si="1">1+A66</f>
        <v>66</v>
      </c>
      <c r="B67" s="13" t="s">
        <v>6</v>
      </c>
      <c r="C67" s="13" t="s">
        <v>34</v>
      </c>
      <c r="D67" s="13" t="s">
        <v>375</v>
      </c>
      <c r="E67" s="13" t="s">
        <v>376</v>
      </c>
      <c r="F67" s="13"/>
      <c r="G67" s="13" t="s">
        <v>15</v>
      </c>
      <c r="H67" s="22" t="str">
        <f>IFERROR(VLOOKUP(Table2[[#This Row], [Ticket]],Okey!A:B,2,0),"")</f>
        <v>ok</v>
      </c>
      <c r="I67" s="13" t="s">
        <v>276</v>
      </c>
      <c r="J67" s="22" t="e">
        <f>VLOOKUP(Table2[[#This Row], [Author]],People!A:B,2,0)</f>
        <v>#N/A</v>
      </c>
      <c r="K67" s="13"/>
      <c r="L67" s="13"/>
      <c r="M67" s="23" t="s">
        <v>344</v>
      </c>
    </row>
    <row r="68" spans="1:13" ht="19.5" customHeight="1">
      <c r="A68" s="18">
        <f t="shared" si="1"/>
        <v>67</v>
      </c>
      <c r="B68" s="11" t="s">
        <v>6</v>
      </c>
      <c r="C68" s="11" t="s">
        <v>34</v>
      </c>
      <c r="D68" s="11" t="s">
        <v>377</v>
      </c>
      <c r="E68" s="11" t="s">
        <v>378</v>
      </c>
      <c r="F68" s="11"/>
      <c r="G68" s="11" t="s">
        <v>15</v>
      </c>
      <c r="H68" s="19" t="str">
        <f>IFERROR(VLOOKUP(Table2[[#This Row], [Ticket]],Okey!A:B,2,0),"")</f>
        <v>ok</v>
      </c>
      <c r="I68" s="11" t="s">
        <v>276</v>
      </c>
      <c r="J68" s="19" t="e">
        <f>VLOOKUP(Table2[[#This Row], [Author]],People!A:B,2,0)</f>
        <v>#N/A</v>
      </c>
      <c r="K68" s="11"/>
      <c r="L68" s="11"/>
      <c r="M68" s="20" t="s">
        <v>344</v>
      </c>
    </row>
    <row r="69" spans="1:13" ht="19.5" customHeight="1">
      <c r="A69" s="21">
        <f t="shared" si="1"/>
        <v>68</v>
      </c>
      <c r="B69" s="13" t="s">
        <v>6</v>
      </c>
      <c r="C69" s="13" t="s">
        <v>34</v>
      </c>
      <c r="D69" s="13" t="s">
        <v>379</v>
      </c>
      <c r="E69" s="13" t="s">
        <v>380</v>
      </c>
      <c r="F69" s="13"/>
      <c r="G69" s="13" t="s">
        <v>15</v>
      </c>
      <c r="H69" s="22" t="str">
        <f>IFERROR(VLOOKUP(Table2[[#This Row], [Ticket]],Okey!A:B,2,0),"")</f>
        <v>ok</v>
      </c>
      <c r="I69" s="13" t="s">
        <v>276</v>
      </c>
      <c r="J69" s="22" t="e">
        <f>VLOOKUP(Table2[[#This Row], [Author]],People!A:B,2,0)</f>
        <v>#N/A</v>
      </c>
      <c r="K69" s="13"/>
      <c r="L69" s="13"/>
      <c r="M69" s="23" t="s">
        <v>344</v>
      </c>
    </row>
    <row r="70" spans="1:13" ht="19.5" customHeight="1">
      <c r="A70" s="18">
        <f t="shared" si="1"/>
        <v>69</v>
      </c>
      <c r="B70" s="11" t="s">
        <v>6</v>
      </c>
      <c r="C70" s="11" t="s">
        <v>34</v>
      </c>
      <c r="D70" s="11" t="s">
        <v>381</v>
      </c>
      <c r="E70" s="11" t="s">
        <v>382</v>
      </c>
      <c r="F70" s="11"/>
      <c r="G70" s="11" t="s">
        <v>15</v>
      </c>
      <c r="H70" s="19" t="str">
        <f>IFERROR(VLOOKUP(Table2[[#This Row], [Ticket]],Okey!A:B,2,0),"")</f>
        <v>ok</v>
      </c>
      <c r="I70" s="11" t="s">
        <v>276</v>
      </c>
      <c r="J70" s="19" t="e">
        <f>VLOOKUP(Table2[[#This Row], [Author]],People!A:B,2,0)</f>
        <v>#N/A</v>
      </c>
      <c r="K70" s="11"/>
      <c r="L70" s="11"/>
      <c r="M70" s="20" t="s">
        <v>344</v>
      </c>
    </row>
    <row r="71" spans="1:13" ht="19.5" customHeight="1">
      <c r="A71" s="21">
        <f t="shared" si="1"/>
        <v>70</v>
      </c>
      <c r="B71" s="13" t="s">
        <v>6</v>
      </c>
      <c r="C71" s="13" t="s">
        <v>34</v>
      </c>
      <c r="D71" s="13" t="s">
        <v>383</v>
      </c>
      <c r="E71" s="13" t="s">
        <v>384</v>
      </c>
      <c r="F71" s="13"/>
      <c r="G71" s="13" t="s">
        <v>15</v>
      </c>
      <c r="H71" s="22" t="str">
        <f>IFERROR(VLOOKUP(Table2[[#This Row], [Ticket]],Okey!A:B,2,0),"")</f>
        <v>ok</v>
      </c>
      <c r="I71" s="13" t="s">
        <v>276</v>
      </c>
      <c r="J71" s="22" t="e">
        <f>VLOOKUP(Table2[[#This Row], [Author]],People!A:B,2,0)</f>
        <v>#N/A</v>
      </c>
      <c r="K71" s="13"/>
      <c r="L71" s="13"/>
      <c r="M71" s="23" t="s">
        <v>344</v>
      </c>
    </row>
    <row r="72" spans="1:13" ht="19.5" customHeight="1">
      <c r="A72" s="18">
        <f t="shared" si="1"/>
        <v>71</v>
      </c>
      <c r="B72" s="11" t="s">
        <v>6</v>
      </c>
      <c r="C72" s="11" t="s">
        <v>34</v>
      </c>
      <c r="D72" s="11" t="s">
        <v>385</v>
      </c>
      <c r="E72" s="11" t="s">
        <v>386</v>
      </c>
      <c r="F72" s="11"/>
      <c r="G72" s="11" t="s">
        <v>15</v>
      </c>
      <c r="H72" s="19" t="str">
        <f>IFERROR(VLOOKUP(Table2[[#This Row], [Ticket]],Okey!A:B,2,0),"")</f>
        <v>ok</v>
      </c>
      <c r="I72" s="11" t="s">
        <v>276</v>
      </c>
      <c r="J72" s="19" t="e">
        <f>VLOOKUP(Table2[[#This Row], [Author]],People!A:B,2,0)</f>
        <v>#N/A</v>
      </c>
      <c r="K72" s="11"/>
      <c r="L72" s="11"/>
      <c r="M72" s="20" t="s">
        <v>344</v>
      </c>
    </row>
    <row r="73" spans="1:13" ht="19.5" customHeight="1">
      <c r="A73" s="21">
        <f t="shared" si="1"/>
        <v>72</v>
      </c>
      <c r="B73" s="13" t="s">
        <v>6</v>
      </c>
      <c r="C73" s="13" t="s">
        <v>34</v>
      </c>
      <c r="D73" s="13" t="s">
        <v>387</v>
      </c>
      <c r="E73" s="13" t="s">
        <v>388</v>
      </c>
      <c r="F73" s="13"/>
      <c r="G73" s="13" t="s">
        <v>15</v>
      </c>
      <c r="H73" s="22" t="str">
        <f>IFERROR(VLOOKUP(Table2[[#This Row], [Ticket]],Okey!A:B,2,0),"")</f>
        <v>ok</v>
      </c>
      <c r="I73" s="13" t="s">
        <v>276</v>
      </c>
      <c r="J73" s="22" t="e">
        <f>VLOOKUP(Table2[[#This Row], [Author]],People!A:B,2,0)</f>
        <v>#N/A</v>
      </c>
      <c r="K73" s="13"/>
      <c r="L73" s="13"/>
      <c r="M73" s="23" t="s">
        <v>344</v>
      </c>
    </row>
    <row r="74" spans="1:13" ht="19.5" customHeight="1">
      <c r="A74" s="18">
        <f t="shared" si="1"/>
        <v>73</v>
      </c>
      <c r="B74" s="11" t="s">
        <v>6</v>
      </c>
      <c r="C74" s="11" t="s">
        <v>34</v>
      </c>
      <c r="D74" s="11" t="s">
        <v>389</v>
      </c>
      <c r="E74" s="11" t="s">
        <v>390</v>
      </c>
      <c r="F74" s="11"/>
      <c r="G74" s="11" t="s">
        <v>15</v>
      </c>
      <c r="H74" s="19" t="str">
        <f>IFERROR(VLOOKUP(Table2[[#This Row], [Ticket]],Okey!A:B,2,0),"")</f>
        <v>ok</v>
      </c>
      <c r="I74" s="11" t="s">
        <v>276</v>
      </c>
      <c r="J74" s="19" t="e">
        <f>VLOOKUP(Table2[[#This Row], [Author]],People!A:B,2,0)</f>
        <v>#N/A</v>
      </c>
      <c r="K74" s="11"/>
      <c r="L74" s="11"/>
      <c r="M74" s="20" t="s">
        <v>344</v>
      </c>
    </row>
    <row r="75" spans="1:13" ht="19.5" customHeight="1">
      <c r="A75" s="21">
        <f t="shared" si="1"/>
        <v>74</v>
      </c>
      <c r="B75" s="13" t="s">
        <v>6</v>
      </c>
      <c r="C75" s="13" t="s">
        <v>34</v>
      </c>
      <c r="D75" s="13" t="s">
        <v>391</v>
      </c>
      <c r="E75" s="13" t="s">
        <v>392</v>
      </c>
      <c r="F75" s="13"/>
      <c r="G75" s="13" t="s">
        <v>15</v>
      </c>
      <c r="H75" s="22" t="str">
        <f>IFERROR(VLOOKUP(Table2[[#This Row], [Ticket]],Okey!A:B,2,0),"")</f>
        <v>ok</v>
      </c>
      <c r="I75" s="13" t="s">
        <v>276</v>
      </c>
      <c r="J75" s="22" t="e">
        <f>VLOOKUP(Table2[[#This Row], [Author]],People!A:B,2,0)</f>
        <v>#N/A</v>
      </c>
      <c r="K75" s="13"/>
      <c r="L75" s="13"/>
      <c r="M75" s="23" t="s">
        <v>344</v>
      </c>
    </row>
    <row r="76" spans="1:13" ht="19.5" customHeight="1">
      <c r="A76" s="18">
        <f t="shared" si="1"/>
        <v>75</v>
      </c>
      <c r="B76" s="11" t="s">
        <v>6</v>
      </c>
      <c r="C76" s="11" t="s">
        <v>34</v>
      </c>
      <c r="D76" s="11" t="s">
        <v>393</v>
      </c>
      <c r="E76" s="11" t="s">
        <v>394</v>
      </c>
      <c r="F76" s="11"/>
      <c r="G76" s="11" t="s">
        <v>15</v>
      </c>
      <c r="H76" s="19" t="str">
        <f>IFERROR(VLOOKUP(Table2[[#This Row], [Ticket]],Okey!A:B,2,0),"")</f>
        <v>ok</v>
      </c>
      <c r="I76" s="11" t="s">
        <v>276</v>
      </c>
      <c r="J76" s="19" t="e">
        <f>VLOOKUP(Table2[[#This Row], [Author]],People!A:B,2,0)</f>
        <v>#N/A</v>
      </c>
      <c r="K76" s="11"/>
      <c r="L76" s="11"/>
      <c r="M76" s="20" t="s">
        <v>344</v>
      </c>
    </row>
    <row r="77" spans="1:13" ht="19.5" customHeight="1">
      <c r="A77" s="21">
        <f t="shared" si="1"/>
        <v>76</v>
      </c>
      <c r="B77" s="13" t="s">
        <v>6</v>
      </c>
      <c r="C77" s="13" t="s">
        <v>34</v>
      </c>
      <c r="D77" s="13" t="s">
        <v>395</v>
      </c>
      <c r="E77" s="13" t="s">
        <v>396</v>
      </c>
      <c r="F77" s="13"/>
      <c r="G77" s="13" t="s">
        <v>15</v>
      </c>
      <c r="H77" s="22" t="str">
        <f>IFERROR(VLOOKUP(Table2[[#This Row], [Ticket]],Okey!A:B,2,0),"")</f>
        <v>ok</v>
      </c>
      <c r="I77" s="13" t="s">
        <v>276</v>
      </c>
      <c r="J77" s="22" t="e">
        <f>VLOOKUP(Table2[[#This Row], [Author]],People!A:B,2,0)</f>
        <v>#N/A</v>
      </c>
      <c r="K77" s="13"/>
      <c r="L77" s="13"/>
      <c r="M77" s="23" t="s">
        <v>344</v>
      </c>
    </row>
    <row r="78" spans="1:13" ht="19.5" customHeight="1">
      <c r="A78" s="18">
        <f t="shared" si="1"/>
        <v>77</v>
      </c>
      <c r="B78" s="11" t="s">
        <v>6</v>
      </c>
      <c r="C78" s="11" t="s">
        <v>34</v>
      </c>
      <c r="D78" s="11" t="s">
        <v>397</v>
      </c>
      <c r="E78" s="11" t="s">
        <v>398</v>
      </c>
      <c r="F78" s="11"/>
      <c r="G78" s="11" t="s">
        <v>15</v>
      </c>
      <c r="H78" s="19" t="str">
        <f>IFERROR(VLOOKUP(Table2[[#This Row], [Ticket]],Okey!A:B,2,0),"")</f>
        <v>ok</v>
      </c>
      <c r="I78" s="11" t="s">
        <v>276</v>
      </c>
      <c r="J78" s="19" t="e">
        <f>VLOOKUP(Table2[[#This Row], [Author]],People!A:B,2,0)</f>
        <v>#N/A</v>
      </c>
      <c r="K78" s="11"/>
      <c r="L78" s="11"/>
      <c r="M78" s="20" t="s">
        <v>344</v>
      </c>
    </row>
    <row r="79" spans="1:13" ht="19.5" customHeight="1">
      <c r="A79" s="21">
        <f t="shared" si="1"/>
        <v>78</v>
      </c>
      <c r="B79" s="13" t="s">
        <v>6</v>
      </c>
      <c r="C79" s="13" t="s">
        <v>34</v>
      </c>
      <c r="D79" s="13" t="s">
        <v>399</v>
      </c>
      <c r="E79" s="13" t="s">
        <v>400</v>
      </c>
      <c r="F79" s="13"/>
      <c r="G79" s="13" t="s">
        <v>15</v>
      </c>
      <c r="H79" s="22" t="str">
        <f>IFERROR(VLOOKUP(Table2[[#This Row], [Ticket]],Okey!A:B,2,0),"")</f>
        <v>ok</v>
      </c>
      <c r="I79" s="13" t="s">
        <v>276</v>
      </c>
      <c r="J79" s="22" t="e">
        <f>VLOOKUP(Table2[[#This Row], [Author]],People!A:B,2,0)</f>
        <v>#N/A</v>
      </c>
      <c r="K79" s="13"/>
      <c r="L79" s="13"/>
      <c r="M79" s="23" t="s">
        <v>344</v>
      </c>
    </row>
    <row r="80" spans="1:13" ht="19.5" customHeight="1">
      <c r="A80" s="18">
        <f t="shared" si="1"/>
        <v>79</v>
      </c>
      <c r="B80" s="11" t="s">
        <v>6</v>
      </c>
      <c r="C80" s="11" t="s">
        <v>34</v>
      </c>
      <c r="D80" s="11" t="s">
        <v>401</v>
      </c>
      <c r="E80" s="11" t="s">
        <v>402</v>
      </c>
      <c r="F80" s="11"/>
      <c r="G80" s="11" t="s">
        <v>15</v>
      </c>
      <c r="H80" s="19" t="str">
        <f>IFERROR(VLOOKUP(Table2[[#This Row], [Ticket]],Okey!A:B,2,0),"")</f>
        <v>ok</v>
      </c>
      <c r="I80" s="11" t="s">
        <v>276</v>
      </c>
      <c r="J80" s="19" t="e">
        <f>VLOOKUP(Table2[[#This Row], [Author]],People!A:B,2,0)</f>
        <v>#N/A</v>
      </c>
      <c r="K80" s="11"/>
      <c r="L80" s="11"/>
      <c r="M80" s="20" t="s">
        <v>344</v>
      </c>
    </row>
    <row r="81" spans="1:13" ht="19.5" customHeight="1">
      <c r="A81" s="21">
        <f t="shared" si="1"/>
        <v>80</v>
      </c>
      <c r="B81" s="13" t="s">
        <v>6</v>
      </c>
      <c r="C81" s="13" t="s">
        <v>34</v>
      </c>
      <c r="D81" s="13" t="s">
        <v>403</v>
      </c>
      <c r="E81" s="13" t="s">
        <v>404</v>
      </c>
      <c r="F81" s="13"/>
      <c r="G81" s="13" t="s">
        <v>15</v>
      </c>
      <c r="H81" s="22" t="str">
        <f>IFERROR(VLOOKUP(Table2[[#This Row], [Ticket]],Okey!A:B,2,0),"")</f>
        <v>ok</v>
      </c>
      <c r="I81" s="13" t="s">
        <v>276</v>
      </c>
      <c r="J81" s="22" t="e">
        <f>VLOOKUP(Table2[[#This Row], [Author]],People!A:B,2,0)</f>
        <v>#N/A</v>
      </c>
      <c r="K81" s="13"/>
      <c r="L81" s="13"/>
      <c r="M81" s="23" t="s">
        <v>344</v>
      </c>
    </row>
    <row r="82" spans="1:13" ht="19.5" customHeight="1">
      <c r="A82" s="18">
        <f t="shared" si="1"/>
        <v>81</v>
      </c>
      <c r="B82" s="11" t="s">
        <v>6</v>
      </c>
      <c r="C82" s="11" t="s">
        <v>34</v>
      </c>
      <c r="D82" s="11" t="s">
        <v>405</v>
      </c>
      <c r="E82" s="11" t="s">
        <v>406</v>
      </c>
      <c r="F82" s="11"/>
      <c r="G82" s="11" t="s">
        <v>15</v>
      </c>
      <c r="H82" s="19" t="str">
        <f>IFERROR(VLOOKUP(Table2[[#This Row], [Ticket]],Okey!A:B,2,0),"")</f>
        <v>ok</v>
      </c>
      <c r="I82" s="11" t="s">
        <v>276</v>
      </c>
      <c r="J82" s="19" t="e">
        <f>VLOOKUP(Table2[[#This Row], [Author]],People!A:B,2,0)</f>
        <v>#N/A</v>
      </c>
      <c r="K82" s="11"/>
      <c r="L82" s="11"/>
      <c r="M82" s="20" t="s">
        <v>344</v>
      </c>
    </row>
    <row r="83" spans="1:13" ht="19.5" customHeight="1">
      <c r="A83" s="21">
        <f t="shared" si="1"/>
        <v>82</v>
      </c>
      <c r="B83" s="13" t="s">
        <v>6</v>
      </c>
      <c r="C83" s="13" t="s">
        <v>34</v>
      </c>
      <c r="D83" s="13" t="s">
        <v>407</v>
      </c>
      <c r="E83" s="13" t="s">
        <v>408</v>
      </c>
      <c r="F83" s="13"/>
      <c r="G83" s="13" t="s">
        <v>15</v>
      </c>
      <c r="H83" s="22" t="str">
        <f>IFERROR(VLOOKUP(Table2[[#This Row], [Ticket]],Okey!A:B,2,0),"")</f>
        <v>ok</v>
      </c>
      <c r="I83" s="13" t="s">
        <v>276</v>
      </c>
      <c r="J83" s="22" t="e">
        <f>VLOOKUP(Table2[[#This Row], [Author]],People!A:B,2,0)</f>
        <v>#N/A</v>
      </c>
      <c r="K83" s="13"/>
      <c r="L83" s="13"/>
      <c r="M83" s="23" t="s">
        <v>344</v>
      </c>
    </row>
    <row r="84" spans="1:13" ht="19.5" customHeight="1">
      <c r="A84" s="18">
        <f t="shared" si="1"/>
        <v>83</v>
      </c>
      <c r="B84" s="11" t="s">
        <v>6</v>
      </c>
      <c r="C84" s="11" t="s">
        <v>34</v>
      </c>
      <c r="D84" s="11" t="s">
        <v>409</v>
      </c>
      <c r="E84" s="11" t="s">
        <v>410</v>
      </c>
      <c r="F84" s="11"/>
      <c r="G84" s="11" t="s">
        <v>15</v>
      </c>
      <c r="H84" s="19" t="str">
        <f>IFERROR(VLOOKUP(Table2[[#This Row], [Ticket]],Okey!A:B,2,0),"")</f>
        <v>ok</v>
      </c>
      <c r="I84" s="11" t="s">
        <v>276</v>
      </c>
      <c r="J84" s="19" t="e">
        <f>VLOOKUP(Table2[[#This Row], [Author]],People!A:B,2,0)</f>
        <v>#N/A</v>
      </c>
      <c r="K84" s="11"/>
      <c r="L84" s="11"/>
      <c r="M84" s="20" t="s">
        <v>344</v>
      </c>
    </row>
    <row r="85" spans="1:13" ht="19.5" customHeight="1">
      <c r="A85" s="21">
        <f t="shared" si="1"/>
        <v>84</v>
      </c>
      <c r="B85" s="13" t="s">
        <v>6</v>
      </c>
      <c r="C85" s="13" t="s">
        <v>34</v>
      </c>
      <c r="D85" s="13" t="s">
        <v>411</v>
      </c>
      <c r="E85" s="13" t="s">
        <v>412</v>
      </c>
      <c r="F85" s="13"/>
      <c r="G85" s="13" t="s">
        <v>15</v>
      </c>
      <c r="H85" s="22" t="str">
        <f>IFERROR(VLOOKUP(Table2[[#This Row], [Ticket]],Okey!A:B,2,0),"")</f>
        <v>ok</v>
      </c>
      <c r="I85" s="13" t="s">
        <v>276</v>
      </c>
      <c r="J85" s="22" t="e">
        <f>VLOOKUP(Table2[[#This Row], [Author]],People!A:B,2,0)</f>
        <v>#N/A</v>
      </c>
      <c r="K85" s="13"/>
      <c r="L85" s="13"/>
      <c r="M85" s="23" t="s">
        <v>344</v>
      </c>
    </row>
    <row r="86" spans="1:13" ht="19.5" customHeight="1">
      <c r="A86" s="18">
        <f t="shared" si="1"/>
        <v>85</v>
      </c>
      <c r="B86" s="11" t="s">
        <v>6</v>
      </c>
      <c r="C86" s="11" t="s">
        <v>34</v>
      </c>
      <c r="D86" s="11" t="s">
        <v>413</v>
      </c>
      <c r="E86" s="11" t="s">
        <v>414</v>
      </c>
      <c r="F86" s="11"/>
      <c r="G86" s="11" t="s">
        <v>15</v>
      </c>
      <c r="H86" s="19" t="str">
        <f>IFERROR(VLOOKUP(Table2[[#This Row], [Ticket]],Okey!A:B,2,0),"")</f>
        <v>ok</v>
      </c>
      <c r="I86" s="11" t="s">
        <v>276</v>
      </c>
      <c r="J86" s="19" t="e">
        <f>VLOOKUP(Table2[[#This Row], [Author]],People!A:B,2,0)</f>
        <v>#N/A</v>
      </c>
      <c r="K86" s="11"/>
      <c r="L86" s="11"/>
      <c r="M86" s="20" t="s">
        <v>344</v>
      </c>
    </row>
    <row r="87" spans="1:13" ht="19.5" customHeight="1">
      <c r="A87" s="21">
        <f t="shared" si="1"/>
        <v>86</v>
      </c>
      <c r="B87" s="13" t="s">
        <v>6</v>
      </c>
      <c r="C87" s="13" t="s">
        <v>34</v>
      </c>
      <c r="D87" s="13" t="s">
        <v>415</v>
      </c>
      <c r="E87" s="13" t="s">
        <v>416</v>
      </c>
      <c r="F87" s="13"/>
      <c r="G87" s="13" t="s">
        <v>15</v>
      </c>
      <c r="H87" s="22" t="str">
        <f>IFERROR(VLOOKUP(Table2[[#This Row], [Ticket]],Okey!A:B,2,0),"")</f>
        <v>ok</v>
      </c>
      <c r="I87" s="13" t="s">
        <v>276</v>
      </c>
      <c r="J87" s="22" t="e">
        <f>VLOOKUP(Table2[[#This Row], [Author]],People!A:B,2,0)</f>
        <v>#N/A</v>
      </c>
      <c r="K87" s="13"/>
      <c r="L87" s="13"/>
      <c r="M87" s="23" t="s">
        <v>344</v>
      </c>
    </row>
    <row r="88" spans="1:13" ht="19.5" customHeight="1">
      <c r="A88" s="18">
        <f t="shared" si="1"/>
        <v>87</v>
      </c>
      <c r="B88" s="11" t="s">
        <v>6</v>
      </c>
      <c r="C88" s="11" t="s">
        <v>34</v>
      </c>
      <c r="D88" s="11" t="s">
        <v>417</v>
      </c>
      <c r="E88" s="11" t="s">
        <v>418</v>
      </c>
      <c r="F88" s="11"/>
      <c r="G88" s="11" t="s">
        <v>15</v>
      </c>
      <c r="H88" s="19" t="str">
        <f>IFERROR(VLOOKUP(Table2[[#This Row], [Ticket]],Okey!A:B,2,0),"")</f>
        <v>ok</v>
      </c>
      <c r="I88" s="11" t="s">
        <v>276</v>
      </c>
      <c r="J88" s="19" t="e">
        <f>VLOOKUP(Table2[[#This Row], [Author]],People!A:B,2,0)</f>
        <v>#N/A</v>
      </c>
      <c r="K88" s="11"/>
      <c r="L88" s="11"/>
      <c r="M88" s="20" t="s">
        <v>344</v>
      </c>
    </row>
    <row r="89" spans="1:13" ht="19.5" customHeight="1">
      <c r="A89" s="21">
        <f t="shared" si="1"/>
        <v>88</v>
      </c>
      <c r="B89" s="13" t="s">
        <v>6</v>
      </c>
      <c r="C89" s="13" t="s">
        <v>34</v>
      </c>
      <c r="D89" s="13" t="s">
        <v>419</v>
      </c>
      <c r="E89" s="13" t="s">
        <v>420</v>
      </c>
      <c r="F89" s="13"/>
      <c r="G89" s="13" t="s">
        <v>15</v>
      </c>
      <c r="H89" s="22" t="str">
        <f>IFERROR(VLOOKUP(Table2[[#This Row], [Ticket]],Okey!A:B,2,0),"")</f>
        <v>ok</v>
      </c>
      <c r="I89" s="13" t="s">
        <v>276</v>
      </c>
      <c r="J89" s="22" t="e">
        <f>VLOOKUP(Table2[[#This Row], [Author]],People!A:B,2,0)</f>
        <v>#N/A</v>
      </c>
      <c r="K89" s="13"/>
      <c r="L89" s="13"/>
      <c r="M89" s="23" t="s">
        <v>344</v>
      </c>
    </row>
    <row r="90" spans="1:13" ht="19.5" customHeight="1">
      <c r="A90" s="18">
        <f t="shared" si="1"/>
        <v>89</v>
      </c>
      <c r="B90" s="11" t="s">
        <v>6</v>
      </c>
      <c r="C90" s="11" t="s">
        <v>34</v>
      </c>
      <c r="D90" s="11" t="s">
        <v>421</v>
      </c>
      <c r="E90" s="11" t="s">
        <v>422</v>
      </c>
      <c r="F90" s="11"/>
      <c r="G90" s="11" t="s">
        <v>15</v>
      </c>
      <c r="H90" s="19" t="str">
        <f>IFERROR(VLOOKUP(Table2[[#This Row], [Ticket]],Okey!A:B,2,0),"")</f>
        <v>ok</v>
      </c>
      <c r="I90" s="11" t="s">
        <v>276</v>
      </c>
      <c r="J90" s="19" t="e">
        <f>VLOOKUP(Table2[[#This Row], [Author]],People!A:B,2,0)</f>
        <v>#N/A</v>
      </c>
      <c r="K90" s="11"/>
      <c r="L90" s="11"/>
      <c r="M90" s="20" t="s">
        <v>344</v>
      </c>
    </row>
    <row r="91" spans="1:13" ht="19.5" customHeight="1">
      <c r="A91" s="21">
        <f t="shared" si="1"/>
        <v>90</v>
      </c>
      <c r="B91" s="13" t="s">
        <v>6</v>
      </c>
      <c r="C91" s="13" t="s">
        <v>34</v>
      </c>
      <c r="D91" s="13" t="s">
        <v>423</v>
      </c>
      <c r="E91" s="13" t="s">
        <v>424</v>
      </c>
      <c r="F91" s="13"/>
      <c r="G91" s="13" t="s">
        <v>15</v>
      </c>
      <c r="H91" s="22" t="str">
        <f>IFERROR(VLOOKUP(Table2[[#This Row], [Ticket]],Okey!A:B,2,0),"")</f>
        <v>ok</v>
      </c>
      <c r="I91" s="13" t="s">
        <v>276</v>
      </c>
      <c r="J91" s="22" t="e">
        <f>VLOOKUP(Table2[[#This Row], [Author]],People!A:B,2,0)</f>
        <v>#N/A</v>
      </c>
      <c r="K91" s="13"/>
      <c r="L91" s="13"/>
      <c r="M91" s="23" t="s">
        <v>344</v>
      </c>
    </row>
    <row r="92" spans="1:13" ht="19.5" customHeight="1">
      <c r="A92" s="18">
        <f t="shared" si="1"/>
        <v>91</v>
      </c>
      <c r="B92" s="11" t="s">
        <v>6</v>
      </c>
      <c r="C92" s="11" t="s">
        <v>34</v>
      </c>
      <c r="D92" s="11" t="s">
        <v>425</v>
      </c>
      <c r="E92" s="11" t="s">
        <v>426</v>
      </c>
      <c r="F92" s="11"/>
      <c r="G92" s="11" t="s">
        <v>15</v>
      </c>
      <c r="H92" s="19" t="str">
        <f>IFERROR(VLOOKUP(Table2[[#This Row], [Ticket]],Okey!A:B,2,0),"")</f>
        <v>ok</v>
      </c>
      <c r="I92" s="11" t="s">
        <v>276</v>
      </c>
      <c r="J92" s="19" t="e">
        <f>VLOOKUP(Table2[[#This Row], [Author]],People!A:B,2,0)</f>
        <v>#N/A</v>
      </c>
      <c r="K92" s="11"/>
      <c r="L92" s="11"/>
      <c r="M92" s="20" t="s">
        <v>344</v>
      </c>
    </row>
    <row r="93" spans="1:13" ht="19.5" customHeight="1">
      <c r="A93" s="21">
        <f t="shared" si="1"/>
        <v>92</v>
      </c>
      <c r="B93" s="13" t="s">
        <v>6</v>
      </c>
      <c r="C93" s="13" t="s">
        <v>34</v>
      </c>
      <c r="D93" s="13" t="s">
        <v>427</v>
      </c>
      <c r="E93" s="13" t="s">
        <v>428</v>
      </c>
      <c r="F93" s="13"/>
      <c r="G93" s="13" t="s">
        <v>15</v>
      </c>
      <c r="H93" s="22" t="str">
        <f>IFERROR(VLOOKUP(Table2[[#This Row], [Ticket]],Okey!A:B,2,0),"")</f>
        <v>ok</v>
      </c>
      <c r="I93" s="13" t="s">
        <v>276</v>
      </c>
      <c r="J93" s="22" t="e">
        <f>VLOOKUP(Table2[[#This Row], [Author]],People!A:B,2,0)</f>
        <v>#N/A</v>
      </c>
      <c r="K93" s="13"/>
      <c r="L93" s="13"/>
      <c r="M93" s="23" t="s">
        <v>344</v>
      </c>
    </row>
    <row r="94" spans="1:13" ht="19.5" customHeight="1">
      <c r="A94" s="18">
        <f t="shared" si="1"/>
        <v>93</v>
      </c>
      <c r="B94" s="11" t="s">
        <v>6</v>
      </c>
      <c r="C94" s="11" t="s">
        <v>34</v>
      </c>
      <c r="D94" s="11" t="s">
        <v>429</v>
      </c>
      <c r="E94" s="11" t="s">
        <v>430</v>
      </c>
      <c r="F94" s="11"/>
      <c r="G94" s="11" t="s">
        <v>15</v>
      </c>
      <c r="H94" s="19" t="str">
        <f>IFERROR(VLOOKUP(Table2[[#This Row], [Ticket]],Okey!A:B,2,0),"")</f>
        <v>ok</v>
      </c>
      <c r="I94" s="11" t="s">
        <v>276</v>
      </c>
      <c r="J94" s="19" t="e">
        <f>VLOOKUP(Table2[[#This Row], [Author]],People!A:B,2,0)</f>
        <v>#N/A</v>
      </c>
      <c r="K94" s="11"/>
      <c r="L94" s="11"/>
      <c r="M94" s="20" t="s">
        <v>344</v>
      </c>
    </row>
    <row r="95" spans="1:13" ht="19.5" customHeight="1">
      <c r="A95" s="21">
        <f t="shared" si="1"/>
        <v>94</v>
      </c>
      <c r="B95" s="13" t="s">
        <v>6</v>
      </c>
      <c r="C95" s="13" t="s">
        <v>34</v>
      </c>
      <c r="D95" s="13" t="s">
        <v>431</v>
      </c>
      <c r="E95" s="13" t="s">
        <v>432</v>
      </c>
      <c r="F95" s="13"/>
      <c r="G95" s="13" t="s">
        <v>15</v>
      </c>
      <c r="H95" s="22" t="str">
        <f>IFERROR(VLOOKUP(Table2[[#This Row], [Ticket]],Okey!A:B,2,0),"")</f>
        <v>ok</v>
      </c>
      <c r="I95" s="13" t="s">
        <v>276</v>
      </c>
      <c r="J95" s="22" t="e">
        <f>VLOOKUP(Table2[[#This Row], [Author]],People!A:B,2,0)</f>
        <v>#N/A</v>
      </c>
      <c r="K95" s="13"/>
      <c r="L95" s="13"/>
      <c r="M95" s="23" t="s">
        <v>344</v>
      </c>
    </row>
    <row r="96" spans="1:13" ht="19.5" customHeight="1">
      <c r="A96" s="18">
        <f t="shared" si="1"/>
        <v>95</v>
      </c>
      <c r="B96" s="11" t="s">
        <v>6</v>
      </c>
      <c r="C96" s="11" t="s">
        <v>34</v>
      </c>
      <c r="D96" s="11" t="s">
        <v>433</v>
      </c>
      <c r="E96" s="11" t="s">
        <v>434</v>
      </c>
      <c r="F96" s="11"/>
      <c r="G96" s="11" t="s">
        <v>15</v>
      </c>
      <c r="H96" s="19" t="str">
        <f>IFERROR(VLOOKUP(Table2[[#This Row], [Ticket]],Okey!A:B,2,0),"")</f>
        <v>ok</v>
      </c>
      <c r="I96" s="11" t="s">
        <v>276</v>
      </c>
      <c r="J96" s="19" t="e">
        <f>VLOOKUP(Table2[[#This Row], [Author]],People!A:B,2,0)</f>
        <v>#N/A</v>
      </c>
      <c r="K96" s="11"/>
      <c r="L96" s="11"/>
      <c r="M96" s="20" t="s">
        <v>344</v>
      </c>
    </row>
    <row r="97" spans="1:13" ht="19.5" customHeight="1">
      <c r="A97" s="21">
        <f t="shared" si="1"/>
        <v>96</v>
      </c>
      <c r="B97" s="13" t="s">
        <v>6</v>
      </c>
      <c r="C97" s="13" t="s">
        <v>34</v>
      </c>
      <c r="D97" s="13" t="s">
        <v>435</v>
      </c>
      <c r="E97" s="13" t="s">
        <v>436</v>
      </c>
      <c r="F97" s="13"/>
      <c r="G97" s="13" t="s">
        <v>15</v>
      </c>
      <c r="H97" s="22" t="str">
        <f>IFERROR(VLOOKUP(Table2[[#This Row], [Ticket]],Okey!A:B,2,0),"")</f>
        <v>ok</v>
      </c>
      <c r="I97" s="13" t="s">
        <v>276</v>
      </c>
      <c r="J97" s="22" t="e">
        <f>VLOOKUP(Table2[[#This Row], [Author]],People!A:B,2,0)</f>
        <v>#N/A</v>
      </c>
      <c r="K97" s="13"/>
      <c r="L97" s="13"/>
      <c r="M97" s="23" t="s">
        <v>344</v>
      </c>
    </row>
    <row r="98" spans="1:13" ht="19.5" customHeight="1">
      <c r="A98" s="18">
        <f t="shared" si="1"/>
        <v>97</v>
      </c>
      <c r="B98" s="11" t="s">
        <v>6</v>
      </c>
      <c r="C98" s="11" t="s">
        <v>34</v>
      </c>
      <c r="D98" s="11" t="s">
        <v>437</v>
      </c>
      <c r="E98" s="11" t="s">
        <v>438</v>
      </c>
      <c r="F98" s="11"/>
      <c r="G98" s="11" t="s">
        <v>15</v>
      </c>
      <c r="H98" s="19" t="str">
        <f>IFERROR(VLOOKUP(Table2[[#This Row], [Ticket]],Okey!A:B,2,0),"")</f>
        <v>ok</v>
      </c>
      <c r="I98" s="11" t="s">
        <v>276</v>
      </c>
      <c r="J98" s="19" t="e">
        <f>VLOOKUP(Table2[[#This Row], [Author]],People!A:B,2,0)</f>
        <v>#N/A</v>
      </c>
      <c r="K98" s="11"/>
      <c r="L98" s="11"/>
      <c r="M98" s="20" t="s">
        <v>344</v>
      </c>
    </row>
    <row r="99" spans="1:13" ht="19.5" customHeight="1">
      <c r="A99" s="21">
        <f t="shared" si="1"/>
        <v>98</v>
      </c>
      <c r="B99" s="13" t="s">
        <v>6</v>
      </c>
      <c r="C99" s="13" t="s">
        <v>34</v>
      </c>
      <c r="D99" s="13" t="s">
        <v>439</v>
      </c>
      <c r="E99" s="13" t="s">
        <v>440</v>
      </c>
      <c r="F99" s="13"/>
      <c r="G99" s="13" t="s">
        <v>15</v>
      </c>
      <c r="H99" s="22" t="str">
        <f>IFERROR(VLOOKUP(Table2[[#This Row], [Ticket]],Okey!A:B,2,0),"")</f>
        <v>ok</v>
      </c>
      <c r="I99" s="13" t="s">
        <v>276</v>
      </c>
      <c r="J99" s="22" t="e">
        <f>VLOOKUP(Table2[[#This Row], [Author]],People!A:B,2,0)</f>
        <v>#N/A</v>
      </c>
      <c r="K99" s="13"/>
      <c r="L99" s="13"/>
      <c r="M99" s="23" t="s">
        <v>344</v>
      </c>
    </row>
    <row r="100" spans="1:13" ht="19.5" customHeight="1">
      <c r="A100" s="18">
        <f t="shared" si="1"/>
        <v>99</v>
      </c>
      <c r="B100" s="11" t="s">
        <v>6</v>
      </c>
      <c r="C100" s="11" t="s">
        <v>34</v>
      </c>
      <c r="D100" s="11" t="s">
        <v>441</v>
      </c>
      <c r="E100" s="11" t="s">
        <v>442</v>
      </c>
      <c r="F100" s="11"/>
      <c r="G100" s="11" t="s">
        <v>15</v>
      </c>
      <c r="H100" s="19" t="str">
        <f>IFERROR(VLOOKUP(Table2[[#This Row], [Ticket]],Okey!A:B,2,0),"")</f>
        <v>ok</v>
      </c>
      <c r="I100" s="11" t="s">
        <v>276</v>
      </c>
      <c r="J100" s="19" t="e">
        <f>VLOOKUP(Table2[[#This Row], [Author]],People!A:B,2,0)</f>
        <v>#N/A</v>
      </c>
      <c r="K100" s="11"/>
      <c r="L100" s="11"/>
      <c r="M100" s="20" t="s">
        <v>344</v>
      </c>
    </row>
    <row r="101" spans="1:13" ht="19.5" customHeight="1">
      <c r="A101" s="21">
        <f t="shared" si="1"/>
        <v>100</v>
      </c>
      <c r="B101" s="13" t="s">
        <v>6</v>
      </c>
      <c r="C101" s="13" t="s">
        <v>34</v>
      </c>
      <c r="D101" s="13" t="s">
        <v>443</v>
      </c>
      <c r="E101" s="13" t="s">
        <v>444</v>
      </c>
      <c r="F101" s="13"/>
      <c r="G101" s="13" t="s">
        <v>15</v>
      </c>
      <c r="H101" s="22" t="str">
        <f>IFERROR(VLOOKUP(Table2[[#This Row], [Ticket]],Okey!A:B,2,0),"")</f>
        <v>ok</v>
      </c>
      <c r="I101" s="13" t="s">
        <v>276</v>
      </c>
      <c r="J101" s="22" t="e">
        <f>VLOOKUP(Table2[[#This Row], [Author]],People!A:B,2,0)</f>
        <v>#N/A</v>
      </c>
      <c r="K101" s="13"/>
      <c r="L101" s="13"/>
      <c r="M101" s="23" t="s">
        <v>344</v>
      </c>
    </row>
    <row r="102" spans="1:13" ht="19.5" customHeight="1">
      <c r="A102" s="18">
        <f t="shared" si="1"/>
        <v>101</v>
      </c>
      <c r="B102" s="11" t="s">
        <v>6</v>
      </c>
      <c r="C102" s="11" t="s">
        <v>34</v>
      </c>
      <c r="D102" s="11" t="s">
        <v>445</v>
      </c>
      <c r="E102" s="11" t="s">
        <v>446</v>
      </c>
      <c r="F102" s="11"/>
      <c r="G102" s="11" t="s">
        <v>15</v>
      </c>
      <c r="H102" s="19" t="str">
        <f>IFERROR(VLOOKUP(Table2[[#This Row], [Ticket]],Okey!A:B,2,0),"")</f>
        <v>ok</v>
      </c>
      <c r="I102" s="11" t="s">
        <v>276</v>
      </c>
      <c r="J102" s="19" t="e">
        <f>VLOOKUP(Table2[[#This Row], [Author]],People!A:B,2,0)</f>
        <v>#N/A</v>
      </c>
      <c r="K102" s="11"/>
      <c r="L102" s="11"/>
      <c r="M102" s="20" t="s">
        <v>344</v>
      </c>
    </row>
    <row r="103" spans="1:13" ht="19.5" customHeight="1">
      <c r="A103" s="21">
        <f t="shared" si="1"/>
        <v>102</v>
      </c>
      <c r="B103" s="13" t="s">
        <v>6</v>
      </c>
      <c r="C103" s="13" t="s">
        <v>34</v>
      </c>
      <c r="D103" s="13" t="s">
        <v>447</v>
      </c>
      <c r="E103" s="13" t="s">
        <v>448</v>
      </c>
      <c r="F103" s="13"/>
      <c r="G103" s="13" t="s">
        <v>15</v>
      </c>
      <c r="H103" s="22" t="str">
        <f>IFERROR(VLOOKUP(Table2[[#This Row], [Ticket]],Okey!A:B,2,0),"")</f>
        <v>ok</v>
      </c>
      <c r="I103" s="13" t="s">
        <v>276</v>
      </c>
      <c r="J103" s="22" t="e">
        <f>VLOOKUP(Table2[[#This Row], [Author]],People!A:B,2,0)</f>
        <v>#N/A</v>
      </c>
      <c r="K103" s="13"/>
      <c r="L103" s="13"/>
      <c r="M103" s="23" t="s">
        <v>344</v>
      </c>
    </row>
    <row r="104" spans="1:13" ht="19.5" customHeight="1">
      <c r="A104" s="18">
        <f t="shared" si="1"/>
        <v>103</v>
      </c>
      <c r="B104" s="11" t="s">
        <v>6</v>
      </c>
      <c r="C104" s="11" t="s">
        <v>34</v>
      </c>
      <c r="D104" s="11" t="s">
        <v>449</v>
      </c>
      <c r="E104" s="11" t="s">
        <v>450</v>
      </c>
      <c r="F104" s="11"/>
      <c r="G104" s="11" t="s">
        <v>15</v>
      </c>
      <c r="H104" s="19" t="str">
        <f>IFERROR(VLOOKUP(Table2[[#This Row], [Ticket]],Okey!A:B,2,0),"")</f>
        <v>ok</v>
      </c>
      <c r="I104" s="11" t="s">
        <v>276</v>
      </c>
      <c r="J104" s="19" t="e">
        <f>VLOOKUP(Table2[[#This Row], [Author]],People!A:B,2,0)</f>
        <v>#N/A</v>
      </c>
      <c r="K104" s="11"/>
      <c r="L104" s="11"/>
      <c r="M104" s="20" t="s">
        <v>344</v>
      </c>
    </row>
    <row r="105" spans="1:13" ht="19.5" customHeight="1">
      <c r="A105" s="21">
        <f t="shared" si="1"/>
        <v>104</v>
      </c>
      <c r="B105" s="13" t="s">
        <v>6</v>
      </c>
      <c r="C105" s="13" t="s">
        <v>34</v>
      </c>
      <c r="D105" s="13" t="s">
        <v>451</v>
      </c>
      <c r="E105" s="13" t="s">
        <v>452</v>
      </c>
      <c r="F105" s="13"/>
      <c r="G105" s="13" t="s">
        <v>15</v>
      </c>
      <c r="H105" s="22" t="str">
        <f>IFERROR(VLOOKUP(Table2[[#This Row], [Ticket]],Okey!A:B,2,0),"")</f>
        <v>ok</v>
      </c>
      <c r="I105" s="13" t="s">
        <v>276</v>
      </c>
      <c r="J105" s="22" t="e">
        <f>VLOOKUP(Table2[[#This Row], [Author]],People!A:B,2,0)</f>
        <v>#N/A</v>
      </c>
      <c r="K105" s="13"/>
      <c r="L105" s="13"/>
      <c r="M105" s="23" t="s">
        <v>344</v>
      </c>
    </row>
    <row r="106" spans="1:13" ht="19.5" customHeight="1">
      <c r="A106" s="18">
        <f t="shared" si="1"/>
        <v>105</v>
      </c>
      <c r="B106" s="11" t="s">
        <v>6</v>
      </c>
      <c r="C106" s="11" t="s">
        <v>34</v>
      </c>
      <c r="D106" s="11" t="s">
        <v>453</v>
      </c>
      <c r="E106" s="11" t="s">
        <v>454</v>
      </c>
      <c r="F106" s="11"/>
      <c r="G106" s="11" t="s">
        <v>15</v>
      </c>
      <c r="H106" s="19" t="str">
        <f>IFERROR(VLOOKUP(Table2[[#This Row], [Ticket]],Okey!A:B,2,0),"")</f>
        <v>ok</v>
      </c>
      <c r="I106" s="11" t="s">
        <v>276</v>
      </c>
      <c r="J106" s="19" t="e">
        <f>VLOOKUP(Table2[[#This Row], [Author]],People!A:B,2,0)</f>
        <v>#N/A</v>
      </c>
      <c r="K106" s="11"/>
      <c r="L106" s="11"/>
      <c r="M106" s="20" t="s">
        <v>344</v>
      </c>
    </row>
    <row r="107" spans="1:13" ht="19.5" customHeight="1">
      <c r="A107" s="21">
        <f t="shared" si="1"/>
        <v>106</v>
      </c>
      <c r="B107" s="13" t="s">
        <v>6</v>
      </c>
      <c r="C107" s="13" t="s">
        <v>34</v>
      </c>
      <c r="D107" s="13" t="s">
        <v>455</v>
      </c>
      <c r="E107" s="13" t="s">
        <v>456</v>
      </c>
      <c r="F107" s="13"/>
      <c r="G107" s="13" t="s">
        <v>15</v>
      </c>
      <c r="H107" s="22" t="str">
        <f>IFERROR(VLOOKUP(Table2[[#This Row], [Ticket]],Okey!A:B,2,0),"")</f>
        <v>ok</v>
      </c>
      <c r="I107" s="13" t="s">
        <v>276</v>
      </c>
      <c r="J107" s="22" t="e">
        <f>VLOOKUP(Table2[[#This Row], [Author]],People!A:B,2,0)</f>
        <v>#N/A</v>
      </c>
      <c r="K107" s="13"/>
      <c r="L107" s="13"/>
      <c r="M107" s="23" t="s">
        <v>344</v>
      </c>
    </row>
    <row r="108" spans="1:13" ht="19.5" customHeight="1">
      <c r="A108" s="18">
        <f t="shared" si="1"/>
        <v>107</v>
      </c>
      <c r="B108" s="11" t="s">
        <v>6</v>
      </c>
      <c r="C108" s="11" t="s">
        <v>34</v>
      </c>
      <c r="D108" s="11" t="s">
        <v>457</v>
      </c>
      <c r="E108" s="11" t="s">
        <v>458</v>
      </c>
      <c r="F108" s="11"/>
      <c r="G108" s="11" t="s">
        <v>15</v>
      </c>
      <c r="H108" s="19" t="str">
        <f>IFERROR(VLOOKUP(Table2[[#This Row], [Ticket]],Okey!A:B,2,0),"")</f>
        <v>ok</v>
      </c>
      <c r="I108" s="11" t="s">
        <v>276</v>
      </c>
      <c r="J108" s="19" t="e">
        <f>VLOOKUP(Table2[[#This Row], [Author]],People!A:B,2,0)</f>
        <v>#N/A</v>
      </c>
      <c r="K108" s="11"/>
      <c r="L108" s="11"/>
      <c r="M108" s="20" t="s">
        <v>344</v>
      </c>
    </row>
    <row r="109" spans="1:13" ht="19.5" customHeight="1">
      <c r="A109" s="21">
        <f t="shared" si="1"/>
        <v>108</v>
      </c>
      <c r="B109" s="13" t="s">
        <v>6</v>
      </c>
      <c r="C109" s="13" t="s">
        <v>34</v>
      </c>
      <c r="D109" s="13" t="s">
        <v>459</v>
      </c>
      <c r="E109" s="13" t="s">
        <v>460</v>
      </c>
      <c r="F109" s="13"/>
      <c r="G109" s="13" t="s">
        <v>15</v>
      </c>
      <c r="H109" s="22" t="str">
        <f>IFERROR(VLOOKUP(Table2[[#This Row], [Ticket]],Okey!A:B,2,0),"")</f>
        <v>ok</v>
      </c>
      <c r="I109" s="13" t="s">
        <v>276</v>
      </c>
      <c r="J109" s="22" t="e">
        <f>VLOOKUP(Table2[[#This Row], [Author]],People!A:B,2,0)</f>
        <v>#N/A</v>
      </c>
      <c r="K109" s="13"/>
      <c r="L109" s="13"/>
      <c r="M109" s="23" t="s">
        <v>344</v>
      </c>
    </row>
    <row r="110" spans="1:13" ht="19.5" customHeight="1">
      <c r="A110" s="18">
        <f t="shared" si="1"/>
        <v>109</v>
      </c>
      <c r="B110" s="11" t="s">
        <v>6</v>
      </c>
      <c r="C110" s="11" t="s">
        <v>34</v>
      </c>
      <c r="D110" s="11" t="s">
        <v>461</v>
      </c>
      <c r="E110" s="11" t="s">
        <v>462</v>
      </c>
      <c r="F110" s="11"/>
      <c r="G110" s="11" t="s">
        <v>15</v>
      </c>
      <c r="H110" s="19" t="str">
        <f>IFERROR(VLOOKUP(Table2[[#This Row], [Ticket]],Okey!A:B,2,0),"")</f>
        <v>ok</v>
      </c>
      <c r="I110" s="11" t="s">
        <v>276</v>
      </c>
      <c r="J110" s="19" t="e">
        <f>VLOOKUP(Table2[[#This Row], [Author]],People!A:B,2,0)</f>
        <v>#N/A</v>
      </c>
      <c r="K110" s="11"/>
      <c r="L110" s="11"/>
      <c r="M110" s="20" t="s">
        <v>344</v>
      </c>
    </row>
    <row r="111" spans="1:13" ht="19.5" customHeight="1">
      <c r="A111" s="21">
        <f t="shared" si="1"/>
        <v>110</v>
      </c>
      <c r="B111" s="13" t="s">
        <v>6</v>
      </c>
      <c r="C111" s="13" t="s">
        <v>34</v>
      </c>
      <c r="D111" s="13" t="s">
        <v>463</v>
      </c>
      <c r="E111" s="13" t="s">
        <v>464</v>
      </c>
      <c r="F111" s="13"/>
      <c r="G111" s="13" t="s">
        <v>15</v>
      </c>
      <c r="H111" s="22" t="str">
        <f>IFERROR(VLOOKUP(Table2[[#This Row], [Ticket]],Okey!A:B,2,0),"")</f>
        <v>ok</v>
      </c>
      <c r="I111" s="13" t="s">
        <v>276</v>
      </c>
      <c r="J111" s="22" t="e">
        <f>VLOOKUP(Table2[[#This Row], [Author]],People!A:B,2,0)</f>
        <v>#N/A</v>
      </c>
      <c r="K111" s="13"/>
      <c r="L111" s="13"/>
      <c r="M111" s="23" t="s">
        <v>344</v>
      </c>
    </row>
    <row r="112" spans="1:13" ht="19.5" customHeight="1">
      <c r="A112" s="18">
        <f t="shared" si="1"/>
        <v>111</v>
      </c>
      <c r="B112" s="11" t="s">
        <v>6</v>
      </c>
      <c r="C112" s="11" t="s">
        <v>34</v>
      </c>
      <c r="D112" s="11" t="s">
        <v>465</v>
      </c>
      <c r="E112" s="11" t="s">
        <v>466</v>
      </c>
      <c r="F112" s="11"/>
      <c r="G112" s="11" t="s">
        <v>15</v>
      </c>
      <c r="H112" s="19" t="str">
        <f>IFERROR(VLOOKUP(Table2[[#This Row], [Ticket]],Okey!A:B,2,0),"")</f>
        <v>ok</v>
      </c>
      <c r="I112" s="11" t="s">
        <v>276</v>
      </c>
      <c r="J112" s="19" t="e">
        <f>VLOOKUP(Table2[[#This Row], [Author]],People!A:B,2,0)</f>
        <v>#N/A</v>
      </c>
      <c r="K112" s="11"/>
      <c r="L112" s="11"/>
      <c r="M112" s="20" t="s">
        <v>344</v>
      </c>
    </row>
    <row r="113" spans="1:13" ht="19.5" customHeight="1">
      <c r="A113" s="21">
        <f t="shared" si="1"/>
        <v>112</v>
      </c>
      <c r="B113" s="13" t="s">
        <v>6</v>
      </c>
      <c r="C113" s="13" t="s">
        <v>34</v>
      </c>
      <c r="D113" s="13" t="s">
        <v>467</v>
      </c>
      <c r="E113" s="13" t="s">
        <v>468</v>
      </c>
      <c r="F113" s="13"/>
      <c r="G113" s="13" t="s">
        <v>15</v>
      </c>
      <c r="H113" s="22" t="str">
        <f>IFERROR(VLOOKUP(Table2[[#This Row], [Ticket]],Okey!A:B,2,0),"")</f>
        <v>ok</v>
      </c>
      <c r="I113" s="13" t="s">
        <v>276</v>
      </c>
      <c r="J113" s="22" t="e">
        <f>VLOOKUP(Table2[[#This Row], [Author]],People!A:B,2,0)</f>
        <v>#N/A</v>
      </c>
      <c r="K113" s="13"/>
      <c r="L113" s="13"/>
      <c r="M113" s="23" t="s">
        <v>344</v>
      </c>
    </row>
    <row r="114" spans="1:13" ht="19.5" customHeight="1">
      <c r="A114" s="18">
        <f t="shared" si="1"/>
        <v>113</v>
      </c>
      <c r="B114" s="11" t="s">
        <v>6</v>
      </c>
      <c r="C114" s="11" t="s">
        <v>34</v>
      </c>
      <c r="D114" s="11" t="s">
        <v>469</v>
      </c>
      <c r="E114" s="11" t="s">
        <v>470</v>
      </c>
      <c r="F114" s="11"/>
      <c r="G114" s="11" t="s">
        <v>15</v>
      </c>
      <c r="H114" s="19" t="str">
        <f>IFERROR(VLOOKUP(Table2[[#This Row], [Ticket]],Okey!A:B,2,0),"")</f>
        <v>ok</v>
      </c>
      <c r="I114" s="11" t="s">
        <v>276</v>
      </c>
      <c r="J114" s="19" t="e">
        <f>VLOOKUP(Table2[[#This Row], [Author]],People!A:B,2,0)</f>
        <v>#N/A</v>
      </c>
      <c r="K114" s="11"/>
      <c r="L114" s="11"/>
      <c r="M114" s="20" t="s">
        <v>344</v>
      </c>
    </row>
    <row r="115" spans="1:13" ht="19.5" customHeight="1">
      <c r="A115" s="21">
        <f t="shared" si="1"/>
        <v>114</v>
      </c>
      <c r="B115" s="13" t="s">
        <v>6</v>
      </c>
      <c r="C115" s="13" t="s">
        <v>34</v>
      </c>
      <c r="D115" s="13" t="s">
        <v>471</v>
      </c>
      <c r="E115" s="13" t="s">
        <v>472</v>
      </c>
      <c r="F115" s="13"/>
      <c r="G115" s="13" t="s">
        <v>15</v>
      </c>
      <c r="H115" s="22" t="str">
        <f>IFERROR(VLOOKUP(Table2[[#This Row], [Ticket]],Okey!A:B,2,0),"")</f>
        <v>ok</v>
      </c>
      <c r="I115" s="13" t="s">
        <v>276</v>
      </c>
      <c r="J115" s="22" t="e">
        <f>VLOOKUP(Table2[[#This Row], [Author]],People!A:B,2,0)</f>
        <v>#N/A</v>
      </c>
      <c r="K115" s="13"/>
      <c r="L115" s="13"/>
      <c r="M115" s="23" t="s">
        <v>344</v>
      </c>
    </row>
    <row r="116" spans="1:13" ht="19.5" customHeight="1">
      <c r="A116" s="18">
        <f t="shared" si="1"/>
        <v>115</v>
      </c>
      <c r="B116" s="11" t="s">
        <v>6</v>
      </c>
      <c r="C116" s="11" t="s">
        <v>34</v>
      </c>
      <c r="D116" s="11" t="s">
        <v>473</v>
      </c>
      <c r="E116" s="11" t="s">
        <v>474</v>
      </c>
      <c r="F116" s="11"/>
      <c r="G116" s="11" t="s">
        <v>15</v>
      </c>
      <c r="H116" s="19" t="str">
        <f>IFERROR(VLOOKUP(Table2[[#This Row], [Ticket]],Okey!A:B,2,0),"")</f>
        <v>ok</v>
      </c>
      <c r="I116" s="11" t="s">
        <v>276</v>
      </c>
      <c r="J116" s="19" t="e">
        <f>VLOOKUP(Table2[[#This Row], [Author]],People!A:B,2,0)</f>
        <v>#N/A</v>
      </c>
      <c r="K116" s="11"/>
      <c r="L116" s="11"/>
      <c r="M116" s="20" t="s">
        <v>344</v>
      </c>
    </row>
    <row r="117" spans="1:13" ht="19.5" customHeight="1">
      <c r="A117" s="21">
        <f t="shared" si="1"/>
        <v>116</v>
      </c>
      <c r="B117" s="13" t="s">
        <v>6</v>
      </c>
      <c r="C117" s="13" t="s">
        <v>34</v>
      </c>
      <c r="D117" s="13" t="s">
        <v>475</v>
      </c>
      <c r="E117" s="13" t="s">
        <v>476</v>
      </c>
      <c r="F117" s="13"/>
      <c r="G117" s="13" t="s">
        <v>15</v>
      </c>
      <c r="H117" s="22" t="str">
        <f>IFERROR(VLOOKUP(Table2[[#This Row], [Ticket]],Okey!A:B,2,0),"")</f>
        <v>ok</v>
      </c>
      <c r="I117" s="13" t="s">
        <v>276</v>
      </c>
      <c r="J117" s="22" t="e">
        <f>VLOOKUP(Table2[[#This Row], [Author]],People!A:B,2,0)</f>
        <v>#N/A</v>
      </c>
      <c r="K117" s="13"/>
      <c r="L117" s="13"/>
      <c r="M117" s="23" t="s">
        <v>344</v>
      </c>
    </row>
    <row r="118" spans="1:13" ht="19.5" customHeight="1">
      <c r="A118" s="18">
        <f t="shared" si="1"/>
        <v>117</v>
      </c>
      <c r="B118" s="11" t="s">
        <v>6</v>
      </c>
      <c r="C118" s="11" t="s">
        <v>34</v>
      </c>
      <c r="D118" s="11" t="s">
        <v>477</v>
      </c>
      <c r="E118" s="11" t="s">
        <v>478</v>
      </c>
      <c r="F118" s="11"/>
      <c r="G118" s="11" t="s">
        <v>15</v>
      </c>
      <c r="H118" s="19" t="str">
        <f>IFERROR(VLOOKUP(Table2[[#This Row], [Ticket]],Okey!A:B,2,0),"")</f>
        <v>ok</v>
      </c>
      <c r="I118" s="11" t="s">
        <v>276</v>
      </c>
      <c r="J118" s="19" t="e">
        <f>VLOOKUP(Table2[[#This Row], [Author]],People!A:B,2,0)</f>
        <v>#N/A</v>
      </c>
      <c r="K118" s="11"/>
      <c r="L118" s="11"/>
      <c r="M118" s="20" t="s">
        <v>344</v>
      </c>
    </row>
    <row r="119" spans="1:13" ht="19.5" customHeight="1">
      <c r="A119" s="21">
        <f t="shared" si="1"/>
        <v>118</v>
      </c>
      <c r="B119" s="13" t="s">
        <v>6</v>
      </c>
      <c r="C119" s="13" t="s">
        <v>34</v>
      </c>
      <c r="D119" s="13" t="s">
        <v>479</v>
      </c>
      <c r="E119" s="13" t="s">
        <v>480</v>
      </c>
      <c r="F119" s="13"/>
      <c r="G119" s="13" t="s">
        <v>15</v>
      </c>
      <c r="H119" s="22" t="str">
        <f>IFERROR(VLOOKUP(Table2[[#This Row], [Ticket]],Okey!A:B,2,0),"")</f>
        <v>ok</v>
      </c>
      <c r="I119" s="13" t="s">
        <v>276</v>
      </c>
      <c r="J119" s="22" t="e">
        <f>VLOOKUP(Table2[[#This Row], [Author]],People!A:B,2,0)</f>
        <v>#N/A</v>
      </c>
      <c r="K119" s="13"/>
      <c r="L119" s="13"/>
      <c r="M119" s="23" t="s">
        <v>344</v>
      </c>
    </row>
    <row r="120" spans="1:13" ht="19.5" customHeight="1">
      <c r="A120" s="18">
        <f t="shared" si="1"/>
        <v>119</v>
      </c>
      <c r="B120" s="11" t="s">
        <v>6</v>
      </c>
      <c r="C120" s="11" t="s">
        <v>34</v>
      </c>
      <c r="D120" s="11" t="s">
        <v>481</v>
      </c>
      <c r="E120" s="11" t="s">
        <v>482</v>
      </c>
      <c r="F120" s="11"/>
      <c r="G120" s="11" t="s">
        <v>15</v>
      </c>
      <c r="H120" s="19" t="str">
        <f>IFERROR(VLOOKUP(Table2[[#This Row], [Ticket]],Okey!A:B,2,0),"")</f>
        <v>ok</v>
      </c>
      <c r="I120" s="11" t="s">
        <v>276</v>
      </c>
      <c r="J120" s="19" t="e">
        <f>VLOOKUP(Table2[[#This Row], [Author]],People!A:B,2,0)</f>
        <v>#N/A</v>
      </c>
      <c r="K120" s="11"/>
      <c r="L120" s="11"/>
      <c r="M120" s="20" t="s">
        <v>344</v>
      </c>
    </row>
    <row r="121" spans="1:13" ht="19.5" customHeight="1">
      <c r="A121" s="21">
        <f t="shared" si="1"/>
        <v>120</v>
      </c>
      <c r="B121" s="13" t="s">
        <v>6</v>
      </c>
      <c r="C121" s="13" t="s">
        <v>34</v>
      </c>
      <c r="D121" s="13" t="s">
        <v>483</v>
      </c>
      <c r="E121" s="13" t="s">
        <v>484</v>
      </c>
      <c r="F121" s="13"/>
      <c r="G121" s="13" t="s">
        <v>15</v>
      </c>
      <c r="H121" s="22" t="str">
        <f>IFERROR(VLOOKUP(Table2[[#This Row], [Ticket]],Okey!A:B,2,0),"")</f>
        <v>ok</v>
      </c>
      <c r="I121" s="13" t="s">
        <v>276</v>
      </c>
      <c r="J121" s="22" t="e">
        <f>VLOOKUP(Table2[[#This Row], [Author]],People!A:B,2,0)</f>
        <v>#N/A</v>
      </c>
      <c r="K121" s="13"/>
      <c r="L121" s="13"/>
      <c r="M121" s="23" t="s">
        <v>344</v>
      </c>
    </row>
    <row r="122" spans="1:13" ht="19.5" customHeight="1">
      <c r="A122" s="18">
        <f t="shared" si="1"/>
        <v>121</v>
      </c>
      <c r="B122" s="11" t="s">
        <v>6</v>
      </c>
      <c r="C122" s="11" t="s">
        <v>34</v>
      </c>
      <c r="D122" s="11" t="s">
        <v>485</v>
      </c>
      <c r="E122" s="11" t="s">
        <v>486</v>
      </c>
      <c r="F122" s="11"/>
      <c r="G122" s="11" t="s">
        <v>15</v>
      </c>
      <c r="H122" s="19" t="str">
        <f>IFERROR(VLOOKUP(Table2[[#This Row], [Ticket]],Okey!A:B,2,0),"")</f>
        <v>ok</v>
      </c>
      <c r="I122" s="11" t="s">
        <v>276</v>
      </c>
      <c r="J122" s="19" t="e">
        <f>VLOOKUP(Table2[[#This Row], [Author]],People!A:B,2,0)</f>
        <v>#N/A</v>
      </c>
      <c r="K122" s="11"/>
      <c r="L122" s="11"/>
      <c r="M122" s="20" t="s">
        <v>344</v>
      </c>
    </row>
    <row r="123" spans="1:13" ht="19.5" customHeight="1">
      <c r="A123" s="21">
        <f t="shared" si="1"/>
        <v>122</v>
      </c>
      <c r="B123" s="13" t="s">
        <v>6</v>
      </c>
      <c r="C123" s="13" t="s">
        <v>34</v>
      </c>
      <c r="D123" s="13" t="s">
        <v>487</v>
      </c>
      <c r="E123" s="13" t="s">
        <v>488</v>
      </c>
      <c r="F123" s="13"/>
      <c r="G123" s="13" t="s">
        <v>15</v>
      </c>
      <c r="H123" s="22" t="str">
        <f>IFERROR(VLOOKUP(Table2[[#This Row], [Ticket]],Okey!A:B,2,0),"")</f>
        <v>ok</v>
      </c>
      <c r="I123" s="13" t="s">
        <v>276</v>
      </c>
      <c r="J123" s="22" t="e">
        <f>VLOOKUP(Table2[[#This Row], [Author]],People!A:B,2,0)</f>
        <v>#N/A</v>
      </c>
      <c r="K123" s="13"/>
      <c r="L123" s="13"/>
      <c r="M123" s="23" t="s">
        <v>344</v>
      </c>
    </row>
    <row r="124" spans="1:13" ht="19.5" customHeight="1">
      <c r="A124" s="18">
        <f t="shared" si="1"/>
        <v>123</v>
      </c>
      <c r="B124" s="11" t="s">
        <v>6</v>
      </c>
      <c r="C124" s="11" t="s">
        <v>34</v>
      </c>
      <c r="D124" s="11" t="s">
        <v>489</v>
      </c>
      <c r="E124" s="11" t="s">
        <v>490</v>
      </c>
      <c r="F124" s="11"/>
      <c r="G124" s="11" t="s">
        <v>15</v>
      </c>
      <c r="H124" s="19" t="str">
        <f>IFERROR(VLOOKUP(Table2[[#This Row], [Ticket]],Okey!A:B,2,0),"")</f>
        <v>ok</v>
      </c>
      <c r="I124" s="11" t="s">
        <v>276</v>
      </c>
      <c r="J124" s="19" t="e">
        <f>VLOOKUP(Table2[[#This Row], [Author]],People!A:B,2,0)</f>
        <v>#N/A</v>
      </c>
      <c r="K124" s="11"/>
      <c r="L124" s="11"/>
      <c r="M124" s="20" t="s">
        <v>344</v>
      </c>
    </row>
    <row r="125" spans="1:13" ht="19.5" customHeight="1">
      <c r="A125" s="21">
        <f t="shared" si="1"/>
        <v>124</v>
      </c>
      <c r="B125" s="13" t="s">
        <v>6</v>
      </c>
      <c r="C125" s="13" t="s">
        <v>34</v>
      </c>
      <c r="D125" s="13" t="s">
        <v>491</v>
      </c>
      <c r="E125" s="13" t="s">
        <v>492</v>
      </c>
      <c r="F125" s="13"/>
      <c r="G125" s="13" t="s">
        <v>15</v>
      </c>
      <c r="H125" s="22" t="str">
        <f>IFERROR(VLOOKUP(Table2[[#This Row], [Ticket]],Okey!A:B,2,0),"")</f>
        <v>ok</v>
      </c>
      <c r="I125" s="13" t="s">
        <v>276</v>
      </c>
      <c r="J125" s="22" t="e">
        <f>VLOOKUP(Table2[[#This Row], [Author]],People!A:B,2,0)</f>
        <v>#N/A</v>
      </c>
      <c r="K125" s="13"/>
      <c r="L125" s="13"/>
      <c r="M125" s="23" t="s">
        <v>344</v>
      </c>
    </row>
    <row r="126" spans="1:13" ht="19.5" customHeight="1">
      <c r="A126" s="18">
        <f t="shared" si="1"/>
        <v>125</v>
      </c>
      <c r="B126" s="11" t="s">
        <v>6</v>
      </c>
      <c r="C126" s="11" t="s">
        <v>34</v>
      </c>
      <c r="D126" s="11" t="s">
        <v>493</v>
      </c>
      <c r="E126" s="11" t="s">
        <v>494</v>
      </c>
      <c r="F126" s="11"/>
      <c r="G126" s="11" t="s">
        <v>15</v>
      </c>
      <c r="H126" s="19" t="str">
        <f>IFERROR(VLOOKUP(Table2[[#This Row], [Ticket]],Okey!A:B,2,0),"")</f>
        <v>ok</v>
      </c>
      <c r="I126" s="11" t="s">
        <v>276</v>
      </c>
      <c r="J126" s="19" t="e">
        <f>VLOOKUP(Table2[[#This Row], [Author]],People!A:B,2,0)</f>
        <v>#N/A</v>
      </c>
      <c r="K126" s="11"/>
      <c r="L126" s="11"/>
      <c r="M126" s="20" t="s">
        <v>344</v>
      </c>
    </row>
    <row r="127" spans="1:13" ht="19.5" customHeight="1">
      <c r="A127" s="21">
        <f t="shared" si="1"/>
        <v>126</v>
      </c>
      <c r="B127" s="13" t="s">
        <v>6</v>
      </c>
      <c r="C127" s="13" t="s">
        <v>34</v>
      </c>
      <c r="D127" s="13" t="s">
        <v>495</v>
      </c>
      <c r="E127" s="13" t="s">
        <v>496</v>
      </c>
      <c r="F127" s="13"/>
      <c r="G127" s="13" t="s">
        <v>15</v>
      </c>
      <c r="H127" s="22" t="str">
        <f>IFERROR(VLOOKUP(Table2[[#This Row], [Ticket]],Okey!A:B,2,0),"")</f>
        <v>ok</v>
      </c>
      <c r="I127" s="13" t="s">
        <v>276</v>
      </c>
      <c r="J127" s="22" t="e">
        <f>VLOOKUP(Table2[[#This Row], [Author]],People!A:B,2,0)</f>
        <v>#N/A</v>
      </c>
      <c r="K127" s="13"/>
      <c r="L127" s="13"/>
      <c r="M127" s="23" t="s">
        <v>344</v>
      </c>
    </row>
    <row r="128" spans="1:13" ht="19.5" customHeight="1">
      <c r="A128" s="18">
        <f t="shared" si="1"/>
        <v>127</v>
      </c>
      <c r="B128" s="11" t="s">
        <v>6</v>
      </c>
      <c r="C128" s="11" t="s">
        <v>34</v>
      </c>
      <c r="D128" s="11" t="s">
        <v>497</v>
      </c>
      <c r="E128" s="11" t="s">
        <v>498</v>
      </c>
      <c r="F128" s="11"/>
      <c r="G128" s="11" t="s">
        <v>15</v>
      </c>
      <c r="H128" s="19" t="str">
        <f>IFERROR(VLOOKUP(Table2[[#This Row], [Ticket]],Okey!A:B,2,0),"")</f>
        <v>ok</v>
      </c>
      <c r="I128" s="11" t="s">
        <v>276</v>
      </c>
      <c r="J128" s="19" t="e">
        <f>VLOOKUP(Table2[[#This Row], [Author]],People!A:B,2,0)</f>
        <v>#N/A</v>
      </c>
      <c r="K128" s="11"/>
      <c r="L128" s="11"/>
      <c r="M128" s="20" t="s">
        <v>344</v>
      </c>
    </row>
    <row r="129" spans="1:13" ht="19.5" customHeight="1">
      <c r="A129" s="21">
        <f t="shared" si="1"/>
        <v>128</v>
      </c>
      <c r="B129" s="13" t="s">
        <v>6</v>
      </c>
      <c r="C129" s="13" t="s">
        <v>34</v>
      </c>
      <c r="D129" s="13" t="s">
        <v>499</v>
      </c>
      <c r="E129" s="13" t="s">
        <v>500</v>
      </c>
      <c r="F129" s="13"/>
      <c r="G129" s="13" t="s">
        <v>15</v>
      </c>
      <c r="H129" s="22" t="str">
        <f>IFERROR(VLOOKUP(Table2[[#This Row], [Ticket]],Okey!A:B,2,0),"")</f>
        <v>ok</v>
      </c>
      <c r="I129" s="13" t="s">
        <v>276</v>
      </c>
      <c r="J129" s="22" t="e">
        <f>VLOOKUP(Table2[[#This Row], [Author]],People!A:B,2,0)</f>
        <v>#N/A</v>
      </c>
      <c r="K129" s="13"/>
      <c r="L129" s="13"/>
      <c r="M129" s="23" t="s">
        <v>344</v>
      </c>
    </row>
    <row r="130" spans="1:13" ht="19.5" customHeight="1">
      <c r="A130" s="18">
        <f t="shared" si="1"/>
        <v>129</v>
      </c>
      <c r="B130" s="11" t="s">
        <v>6</v>
      </c>
      <c r="C130" s="11" t="s">
        <v>34</v>
      </c>
      <c r="D130" s="11" t="s">
        <v>501</v>
      </c>
      <c r="E130" s="11" t="s">
        <v>502</v>
      </c>
      <c r="F130" s="11"/>
      <c r="G130" s="11" t="s">
        <v>15</v>
      </c>
      <c r="H130" s="19" t="str">
        <f>IFERROR(VLOOKUP(Table2[[#This Row], [Ticket]],Okey!A:B,2,0),"")</f>
        <v>ok</v>
      </c>
      <c r="I130" s="11" t="s">
        <v>276</v>
      </c>
      <c r="J130" s="19" t="e">
        <f>VLOOKUP(Table2[[#This Row], [Author]],People!A:B,2,0)</f>
        <v>#N/A</v>
      </c>
      <c r="K130" s="11"/>
      <c r="L130" s="11"/>
      <c r="M130" s="20" t="s">
        <v>344</v>
      </c>
    </row>
    <row r="131" spans="1:13" ht="19.5" customHeight="1">
      <c r="A131" s="21">
        <f t="shared" ref="A131:A194" si="2">1+A130</f>
        <v>130</v>
      </c>
      <c r="B131" s="13" t="s">
        <v>6</v>
      </c>
      <c r="C131" s="13" t="s">
        <v>34</v>
      </c>
      <c r="D131" s="13" t="s">
        <v>503</v>
      </c>
      <c r="E131" s="13" t="s">
        <v>504</v>
      </c>
      <c r="F131" s="13"/>
      <c r="G131" s="13" t="s">
        <v>15</v>
      </c>
      <c r="H131" s="22" t="str">
        <f>IFERROR(VLOOKUP(Table2[[#This Row], [Ticket]],Okey!A:B,2,0),"")</f>
        <v>ok</v>
      </c>
      <c r="I131" s="13" t="s">
        <v>276</v>
      </c>
      <c r="J131" s="22" t="e">
        <f>VLOOKUP(Table2[[#This Row], [Author]],People!A:B,2,0)</f>
        <v>#N/A</v>
      </c>
      <c r="K131" s="13"/>
      <c r="L131" s="13"/>
      <c r="M131" s="23" t="s">
        <v>344</v>
      </c>
    </row>
    <row r="132" spans="1:13" ht="19.5" customHeight="1">
      <c r="A132" s="18">
        <f t="shared" si="2"/>
        <v>131</v>
      </c>
      <c r="B132" s="11" t="s">
        <v>6</v>
      </c>
      <c r="C132" s="11" t="s">
        <v>34</v>
      </c>
      <c r="D132" s="11" t="s">
        <v>505</v>
      </c>
      <c r="E132" s="11" t="s">
        <v>506</v>
      </c>
      <c r="F132" s="11"/>
      <c r="G132" s="11" t="s">
        <v>15</v>
      </c>
      <c r="H132" s="19" t="str">
        <f>IFERROR(VLOOKUP(Table2[[#This Row], [Ticket]],Okey!A:B,2,0),"")</f>
        <v>ok</v>
      </c>
      <c r="I132" s="11" t="s">
        <v>276</v>
      </c>
      <c r="J132" s="19" t="e">
        <f>VLOOKUP(Table2[[#This Row], [Author]],People!A:B,2,0)</f>
        <v>#N/A</v>
      </c>
      <c r="K132" s="11"/>
      <c r="L132" s="11"/>
      <c r="M132" s="20" t="s">
        <v>344</v>
      </c>
    </row>
    <row r="133" spans="1:13" ht="19.5" customHeight="1">
      <c r="A133" s="21">
        <f t="shared" si="2"/>
        <v>132</v>
      </c>
      <c r="B133" s="13" t="s">
        <v>6</v>
      </c>
      <c r="C133" s="13" t="s">
        <v>34</v>
      </c>
      <c r="D133" s="13" t="s">
        <v>507</v>
      </c>
      <c r="E133" s="13" t="s">
        <v>508</v>
      </c>
      <c r="F133" s="13"/>
      <c r="G133" s="13" t="s">
        <v>15</v>
      </c>
      <c r="H133" s="22" t="str">
        <f>IFERROR(VLOOKUP(Table2[[#This Row], [Ticket]],Okey!A:B,2,0),"")</f>
        <v>ok</v>
      </c>
      <c r="I133" s="13" t="s">
        <v>276</v>
      </c>
      <c r="J133" s="22" t="e">
        <f>VLOOKUP(Table2[[#This Row], [Author]],People!A:B,2,0)</f>
        <v>#N/A</v>
      </c>
      <c r="K133" s="13"/>
      <c r="L133" s="13"/>
      <c r="M133" s="23" t="s">
        <v>344</v>
      </c>
    </row>
    <row r="134" spans="1:13" ht="19.5" customHeight="1">
      <c r="A134" s="18">
        <f t="shared" si="2"/>
        <v>133</v>
      </c>
      <c r="B134" s="11" t="s">
        <v>6</v>
      </c>
      <c r="C134" s="11" t="s">
        <v>34</v>
      </c>
      <c r="D134" s="11" t="s">
        <v>509</v>
      </c>
      <c r="E134" s="11" t="s">
        <v>510</v>
      </c>
      <c r="F134" s="11"/>
      <c r="G134" s="11" t="s">
        <v>15</v>
      </c>
      <c r="H134" s="19" t="str">
        <f>IFERROR(VLOOKUP(Table2[[#This Row], [Ticket]],Okey!A:B,2,0),"")</f>
        <v>ok</v>
      </c>
      <c r="I134" s="11" t="s">
        <v>276</v>
      </c>
      <c r="J134" s="19" t="e">
        <f>VLOOKUP(Table2[[#This Row], [Author]],People!A:B,2,0)</f>
        <v>#N/A</v>
      </c>
      <c r="K134" s="11"/>
      <c r="L134" s="11"/>
      <c r="M134" s="20" t="s">
        <v>344</v>
      </c>
    </row>
    <row r="135" spans="1:13" ht="19.5" customHeight="1">
      <c r="A135" s="21">
        <f t="shared" si="2"/>
        <v>134</v>
      </c>
      <c r="B135" s="13" t="s">
        <v>6</v>
      </c>
      <c r="C135" s="13" t="s">
        <v>34</v>
      </c>
      <c r="D135" s="13" t="s">
        <v>511</v>
      </c>
      <c r="E135" s="13" t="s">
        <v>512</v>
      </c>
      <c r="F135" s="13"/>
      <c r="G135" s="13" t="s">
        <v>15</v>
      </c>
      <c r="H135" s="22" t="str">
        <f>IFERROR(VLOOKUP(Table2[[#This Row], [Ticket]],Okey!A:B,2,0),"")</f>
        <v>ok</v>
      </c>
      <c r="I135" s="13" t="s">
        <v>276</v>
      </c>
      <c r="J135" s="22" t="e">
        <f>VLOOKUP(Table2[[#This Row], [Author]],People!A:B,2,0)</f>
        <v>#N/A</v>
      </c>
      <c r="K135" s="13"/>
      <c r="L135" s="13"/>
      <c r="M135" s="23" t="s">
        <v>344</v>
      </c>
    </row>
    <row r="136" spans="1:13" ht="19.5" customHeight="1">
      <c r="A136" s="18">
        <f t="shared" si="2"/>
        <v>135</v>
      </c>
      <c r="B136" s="11" t="s">
        <v>6</v>
      </c>
      <c r="C136" s="11" t="s">
        <v>34</v>
      </c>
      <c r="D136" s="11" t="s">
        <v>513</v>
      </c>
      <c r="E136" s="11" t="s">
        <v>514</v>
      </c>
      <c r="F136" s="11"/>
      <c r="G136" s="11" t="s">
        <v>15</v>
      </c>
      <c r="H136" s="19" t="str">
        <f>IFERROR(VLOOKUP(Table2[[#This Row], [Ticket]],Okey!A:B,2,0),"")</f>
        <v>ok</v>
      </c>
      <c r="I136" s="11" t="s">
        <v>276</v>
      </c>
      <c r="J136" s="19" t="e">
        <f>VLOOKUP(Table2[[#This Row], [Author]],People!A:B,2,0)</f>
        <v>#N/A</v>
      </c>
      <c r="K136" s="11"/>
      <c r="L136" s="11"/>
      <c r="M136" s="20" t="s">
        <v>344</v>
      </c>
    </row>
    <row r="137" spans="1:13" ht="19.5" customHeight="1">
      <c r="A137" s="21">
        <f t="shared" si="2"/>
        <v>136</v>
      </c>
      <c r="B137" s="13" t="s">
        <v>6</v>
      </c>
      <c r="C137" s="13" t="s">
        <v>34</v>
      </c>
      <c r="D137" s="13" t="s">
        <v>515</v>
      </c>
      <c r="E137" s="13" t="s">
        <v>516</v>
      </c>
      <c r="F137" s="13"/>
      <c r="G137" s="13" t="s">
        <v>15</v>
      </c>
      <c r="H137" s="22" t="str">
        <f>IFERROR(VLOOKUP(Table2[[#This Row], [Ticket]],Okey!A:B,2,0),"")</f>
        <v>ok</v>
      </c>
      <c r="I137" s="13" t="s">
        <v>276</v>
      </c>
      <c r="J137" s="22" t="e">
        <f>VLOOKUP(Table2[[#This Row], [Author]],People!A:B,2,0)</f>
        <v>#N/A</v>
      </c>
      <c r="K137" s="13"/>
      <c r="L137" s="13"/>
      <c r="M137" s="23" t="s">
        <v>344</v>
      </c>
    </row>
    <row r="138" spans="1:13" ht="19.5" customHeight="1">
      <c r="A138" s="18">
        <f t="shared" si="2"/>
        <v>137</v>
      </c>
      <c r="B138" s="11" t="s">
        <v>6</v>
      </c>
      <c r="C138" s="11" t="s">
        <v>34</v>
      </c>
      <c r="D138" s="11" t="s">
        <v>517</v>
      </c>
      <c r="E138" s="11" t="s">
        <v>518</v>
      </c>
      <c r="F138" s="11"/>
      <c r="G138" s="11" t="s">
        <v>15</v>
      </c>
      <c r="H138" s="19" t="str">
        <f>IFERROR(VLOOKUP(Table2[[#This Row], [Ticket]],Okey!A:B,2,0),"")</f>
        <v>ok</v>
      </c>
      <c r="I138" s="11" t="s">
        <v>276</v>
      </c>
      <c r="J138" s="19" t="e">
        <f>VLOOKUP(Table2[[#This Row], [Author]],People!A:B,2,0)</f>
        <v>#N/A</v>
      </c>
      <c r="K138" s="11"/>
      <c r="L138" s="11"/>
      <c r="M138" s="20" t="s">
        <v>344</v>
      </c>
    </row>
    <row r="139" spans="1:13" ht="19.5" customHeight="1">
      <c r="A139" s="21">
        <f t="shared" si="2"/>
        <v>138</v>
      </c>
      <c r="B139" s="13" t="s">
        <v>6</v>
      </c>
      <c r="C139" s="13" t="s">
        <v>34</v>
      </c>
      <c r="D139" s="13" t="s">
        <v>519</v>
      </c>
      <c r="E139" s="13" t="s">
        <v>520</v>
      </c>
      <c r="F139" s="13"/>
      <c r="G139" s="13" t="s">
        <v>15</v>
      </c>
      <c r="H139" s="22" t="str">
        <f>IFERROR(VLOOKUP(Table2[[#This Row], [Ticket]],Okey!A:B,2,0),"")</f>
        <v>ok</v>
      </c>
      <c r="I139" s="13" t="s">
        <v>276</v>
      </c>
      <c r="J139" s="22" t="e">
        <f>VLOOKUP(Table2[[#This Row], [Author]],People!A:B,2,0)</f>
        <v>#N/A</v>
      </c>
      <c r="K139" s="13"/>
      <c r="L139" s="13"/>
      <c r="M139" s="23" t="s">
        <v>344</v>
      </c>
    </row>
    <row r="140" spans="1:13" ht="19.5" customHeight="1">
      <c r="A140" s="18">
        <f t="shared" si="2"/>
        <v>139</v>
      </c>
      <c r="B140" s="11" t="s">
        <v>6</v>
      </c>
      <c r="C140" s="11" t="s">
        <v>34</v>
      </c>
      <c r="D140" s="11" t="s">
        <v>521</v>
      </c>
      <c r="E140" s="11" t="s">
        <v>522</v>
      </c>
      <c r="F140" s="11"/>
      <c r="G140" s="11" t="s">
        <v>15</v>
      </c>
      <c r="H140" s="19" t="str">
        <f>IFERROR(VLOOKUP(Table2[[#This Row], [Ticket]],Okey!A:B,2,0),"")</f>
        <v>ok</v>
      </c>
      <c r="I140" s="11" t="s">
        <v>276</v>
      </c>
      <c r="J140" s="19" t="e">
        <f>VLOOKUP(Table2[[#This Row], [Author]],People!A:B,2,0)</f>
        <v>#N/A</v>
      </c>
      <c r="K140" s="11"/>
      <c r="L140" s="11"/>
      <c r="M140" s="20" t="s">
        <v>344</v>
      </c>
    </row>
    <row r="141" spans="1:13" ht="19.5" customHeight="1">
      <c r="A141" s="21">
        <f t="shared" si="2"/>
        <v>140</v>
      </c>
      <c r="B141" s="13" t="s">
        <v>6</v>
      </c>
      <c r="C141" s="13" t="s">
        <v>34</v>
      </c>
      <c r="D141" s="13" t="s">
        <v>523</v>
      </c>
      <c r="E141" s="13" t="s">
        <v>524</v>
      </c>
      <c r="F141" s="13"/>
      <c r="G141" s="13" t="s">
        <v>15</v>
      </c>
      <c r="H141" s="22" t="str">
        <f>IFERROR(VLOOKUP(Table2[[#This Row], [Ticket]],Okey!A:B,2,0),"")</f>
        <v>ok</v>
      </c>
      <c r="I141" s="13" t="s">
        <v>276</v>
      </c>
      <c r="J141" s="22" t="e">
        <f>VLOOKUP(Table2[[#This Row], [Author]],People!A:B,2,0)</f>
        <v>#N/A</v>
      </c>
      <c r="K141" s="13"/>
      <c r="L141" s="13"/>
      <c r="M141" s="23" t="s">
        <v>344</v>
      </c>
    </row>
    <row r="142" spans="1:13" ht="19.5" customHeight="1">
      <c r="A142" s="18">
        <f t="shared" si="2"/>
        <v>141</v>
      </c>
      <c r="B142" s="11" t="s">
        <v>6</v>
      </c>
      <c r="C142" s="11" t="s">
        <v>34</v>
      </c>
      <c r="D142" s="11" t="s">
        <v>525</v>
      </c>
      <c r="E142" s="11" t="s">
        <v>526</v>
      </c>
      <c r="F142" s="11"/>
      <c r="G142" s="11" t="s">
        <v>15</v>
      </c>
      <c r="H142" s="19" t="str">
        <f>IFERROR(VLOOKUP(Table2[[#This Row], [Ticket]],Okey!A:B,2,0),"")</f>
        <v>ok</v>
      </c>
      <c r="I142" s="11" t="s">
        <v>276</v>
      </c>
      <c r="J142" s="19" t="e">
        <f>VLOOKUP(Table2[[#This Row], [Author]],People!A:B,2,0)</f>
        <v>#N/A</v>
      </c>
      <c r="K142" s="11"/>
      <c r="L142" s="11"/>
      <c r="M142" s="20" t="s">
        <v>344</v>
      </c>
    </row>
    <row r="143" spans="1:13" ht="19.5" customHeight="1">
      <c r="A143" s="21">
        <f t="shared" si="2"/>
        <v>142</v>
      </c>
      <c r="B143" s="13" t="s">
        <v>6</v>
      </c>
      <c r="C143" s="13" t="s">
        <v>34</v>
      </c>
      <c r="D143" s="13" t="s">
        <v>527</v>
      </c>
      <c r="E143" s="13" t="s">
        <v>528</v>
      </c>
      <c r="F143" s="13"/>
      <c r="G143" s="13" t="s">
        <v>15</v>
      </c>
      <c r="H143" s="22" t="str">
        <f>IFERROR(VLOOKUP(Table2[[#This Row], [Ticket]],Okey!A:B,2,0),"")</f>
        <v>ok</v>
      </c>
      <c r="I143" s="13" t="s">
        <v>276</v>
      </c>
      <c r="J143" s="22" t="e">
        <f>VLOOKUP(Table2[[#This Row], [Author]],People!A:B,2,0)</f>
        <v>#N/A</v>
      </c>
      <c r="K143" s="13"/>
      <c r="L143" s="13"/>
      <c r="M143" s="23" t="s">
        <v>344</v>
      </c>
    </row>
    <row r="144" spans="1:13" ht="19.5" customHeight="1">
      <c r="A144" s="18">
        <f t="shared" si="2"/>
        <v>143</v>
      </c>
      <c r="B144" s="11" t="s">
        <v>6</v>
      </c>
      <c r="C144" s="11" t="s">
        <v>34</v>
      </c>
      <c r="D144" s="11" t="s">
        <v>529</v>
      </c>
      <c r="E144" s="11" t="s">
        <v>530</v>
      </c>
      <c r="F144" s="11"/>
      <c r="G144" s="11" t="s">
        <v>15</v>
      </c>
      <c r="H144" s="19" t="str">
        <f>IFERROR(VLOOKUP(Table2[[#This Row], [Ticket]],Okey!A:B,2,0),"")</f>
        <v>ok</v>
      </c>
      <c r="I144" s="11" t="s">
        <v>276</v>
      </c>
      <c r="J144" s="19" t="e">
        <f>VLOOKUP(Table2[[#This Row], [Author]],People!A:B,2,0)</f>
        <v>#N/A</v>
      </c>
      <c r="K144" s="11"/>
      <c r="L144" s="11"/>
      <c r="M144" s="20" t="s">
        <v>344</v>
      </c>
    </row>
    <row r="145" spans="1:13" ht="19.5" customHeight="1">
      <c r="A145" s="21">
        <f t="shared" si="2"/>
        <v>144</v>
      </c>
      <c r="B145" s="13" t="s">
        <v>6</v>
      </c>
      <c r="C145" s="13" t="s">
        <v>34</v>
      </c>
      <c r="D145" s="13" t="s">
        <v>531</v>
      </c>
      <c r="E145" s="13" t="s">
        <v>532</v>
      </c>
      <c r="F145" s="13"/>
      <c r="G145" s="13" t="s">
        <v>15</v>
      </c>
      <c r="H145" s="22" t="str">
        <f>IFERROR(VLOOKUP(Table2[[#This Row], [Ticket]],Okey!A:B,2,0),"")</f>
        <v>ok</v>
      </c>
      <c r="I145" s="13" t="s">
        <v>276</v>
      </c>
      <c r="J145" s="22" t="e">
        <f>VLOOKUP(Table2[[#This Row], [Author]],People!A:B,2,0)</f>
        <v>#N/A</v>
      </c>
      <c r="K145" s="13"/>
      <c r="L145" s="13"/>
      <c r="M145" s="23" t="s">
        <v>344</v>
      </c>
    </row>
    <row r="146" spans="1:13" ht="19.5" customHeight="1">
      <c r="A146" s="18">
        <f t="shared" si="2"/>
        <v>145</v>
      </c>
      <c r="B146" s="11" t="s">
        <v>6</v>
      </c>
      <c r="C146" s="11" t="s">
        <v>34</v>
      </c>
      <c r="D146" s="11" t="s">
        <v>533</v>
      </c>
      <c r="E146" s="11" t="s">
        <v>534</v>
      </c>
      <c r="F146" s="11"/>
      <c r="G146" s="11" t="s">
        <v>15</v>
      </c>
      <c r="H146" s="19" t="str">
        <f>IFERROR(VLOOKUP(Table2[[#This Row], [Ticket]],Okey!A:B,2,0),"")</f>
        <v>ok</v>
      </c>
      <c r="I146" s="11" t="s">
        <v>276</v>
      </c>
      <c r="J146" s="19" t="e">
        <f>VLOOKUP(Table2[[#This Row], [Author]],People!A:B,2,0)</f>
        <v>#N/A</v>
      </c>
      <c r="K146" s="11"/>
      <c r="L146" s="11"/>
      <c r="M146" s="20" t="s">
        <v>344</v>
      </c>
    </row>
    <row r="147" spans="1:13" ht="19.5" customHeight="1">
      <c r="A147" s="21">
        <f t="shared" si="2"/>
        <v>146</v>
      </c>
      <c r="B147" s="13" t="s">
        <v>6</v>
      </c>
      <c r="C147" s="13" t="s">
        <v>34</v>
      </c>
      <c r="D147" s="13" t="s">
        <v>535</v>
      </c>
      <c r="E147" s="13" t="s">
        <v>536</v>
      </c>
      <c r="F147" s="13"/>
      <c r="G147" s="13" t="s">
        <v>15</v>
      </c>
      <c r="H147" s="22" t="str">
        <f>IFERROR(VLOOKUP(Table2[[#This Row], [Ticket]],Okey!A:B,2,0),"")</f>
        <v>ok</v>
      </c>
      <c r="I147" s="13" t="s">
        <v>276</v>
      </c>
      <c r="J147" s="22" t="e">
        <f>VLOOKUP(Table2[[#This Row], [Author]],People!A:B,2,0)</f>
        <v>#N/A</v>
      </c>
      <c r="K147" s="13"/>
      <c r="L147" s="13"/>
      <c r="M147" s="23" t="s">
        <v>344</v>
      </c>
    </row>
    <row r="148" spans="1:13" ht="19.5" customHeight="1">
      <c r="A148" s="18">
        <f t="shared" si="2"/>
        <v>147</v>
      </c>
      <c r="B148" s="11" t="s">
        <v>6</v>
      </c>
      <c r="C148" s="11" t="s">
        <v>34</v>
      </c>
      <c r="D148" s="11" t="s">
        <v>537</v>
      </c>
      <c r="E148" s="11" t="s">
        <v>538</v>
      </c>
      <c r="F148" s="11"/>
      <c r="G148" s="11" t="s">
        <v>15</v>
      </c>
      <c r="H148" s="19" t="str">
        <f>IFERROR(VLOOKUP(Table2[[#This Row], [Ticket]],Okey!A:B,2,0),"")</f>
        <v>ok</v>
      </c>
      <c r="I148" s="11" t="s">
        <v>276</v>
      </c>
      <c r="J148" s="19" t="e">
        <f>VLOOKUP(Table2[[#This Row], [Author]],People!A:B,2,0)</f>
        <v>#N/A</v>
      </c>
      <c r="K148" s="11"/>
      <c r="L148" s="11"/>
      <c r="M148" s="20" t="s">
        <v>344</v>
      </c>
    </row>
    <row r="149" spans="1:13" ht="19.5" customHeight="1">
      <c r="A149" s="21">
        <f t="shared" si="2"/>
        <v>148</v>
      </c>
      <c r="B149" s="13" t="s">
        <v>6</v>
      </c>
      <c r="C149" s="13" t="s">
        <v>34</v>
      </c>
      <c r="D149" s="13" t="s">
        <v>539</v>
      </c>
      <c r="E149" s="13" t="s">
        <v>540</v>
      </c>
      <c r="F149" s="13"/>
      <c r="G149" s="13" t="s">
        <v>15</v>
      </c>
      <c r="H149" s="22" t="str">
        <f>IFERROR(VLOOKUP(Table2[[#This Row], [Ticket]],Okey!A:B,2,0),"")</f>
        <v>ok</v>
      </c>
      <c r="I149" s="13" t="s">
        <v>276</v>
      </c>
      <c r="J149" s="22" t="e">
        <f>VLOOKUP(Table2[[#This Row], [Author]],People!A:B,2,0)</f>
        <v>#N/A</v>
      </c>
      <c r="K149" s="13"/>
      <c r="L149" s="13"/>
      <c r="M149" s="23" t="s">
        <v>344</v>
      </c>
    </row>
    <row r="150" spans="1:13" ht="19.5" customHeight="1">
      <c r="A150" s="18">
        <f t="shared" si="2"/>
        <v>149</v>
      </c>
      <c r="B150" s="11" t="s">
        <v>6</v>
      </c>
      <c r="C150" s="11" t="s">
        <v>34</v>
      </c>
      <c r="D150" s="11" t="s">
        <v>541</v>
      </c>
      <c r="E150" s="11" t="s">
        <v>542</v>
      </c>
      <c r="F150" s="11"/>
      <c r="G150" s="11" t="s">
        <v>15</v>
      </c>
      <c r="H150" s="19" t="str">
        <f>IFERROR(VLOOKUP(Table2[[#This Row], [Ticket]],Okey!A:B,2,0),"")</f>
        <v>ok</v>
      </c>
      <c r="I150" s="11" t="s">
        <v>276</v>
      </c>
      <c r="J150" s="19" t="e">
        <f>VLOOKUP(Table2[[#This Row], [Author]],People!A:B,2,0)</f>
        <v>#N/A</v>
      </c>
      <c r="K150" s="11"/>
      <c r="L150" s="11"/>
      <c r="M150" s="20" t="s">
        <v>344</v>
      </c>
    </row>
    <row r="151" spans="1:13" ht="19.5" customHeight="1">
      <c r="A151" s="21">
        <f t="shared" si="2"/>
        <v>150</v>
      </c>
      <c r="B151" s="13" t="s">
        <v>6</v>
      </c>
      <c r="C151" s="13" t="s">
        <v>34</v>
      </c>
      <c r="D151" s="13" t="s">
        <v>543</v>
      </c>
      <c r="E151" s="13" t="s">
        <v>544</v>
      </c>
      <c r="F151" s="13"/>
      <c r="G151" s="13" t="s">
        <v>15</v>
      </c>
      <c r="H151" s="22" t="str">
        <f>IFERROR(VLOOKUP(Table2[[#This Row], [Ticket]],Okey!A:B,2,0),"")</f>
        <v>ok</v>
      </c>
      <c r="I151" s="13" t="s">
        <v>276</v>
      </c>
      <c r="J151" s="22" t="e">
        <f>VLOOKUP(Table2[[#This Row], [Author]],People!A:B,2,0)</f>
        <v>#N/A</v>
      </c>
      <c r="K151" s="13"/>
      <c r="L151" s="13"/>
      <c r="M151" s="23" t="s">
        <v>344</v>
      </c>
    </row>
    <row r="152" spans="1:13" ht="19.5" customHeight="1">
      <c r="A152" s="18">
        <f t="shared" si="2"/>
        <v>151</v>
      </c>
      <c r="B152" s="11" t="s">
        <v>6</v>
      </c>
      <c r="C152" s="11" t="s">
        <v>34</v>
      </c>
      <c r="D152" s="11" t="s">
        <v>545</v>
      </c>
      <c r="E152" s="11" t="s">
        <v>546</v>
      </c>
      <c r="F152" s="11"/>
      <c r="G152" s="11" t="s">
        <v>15</v>
      </c>
      <c r="H152" s="19" t="str">
        <f>IFERROR(VLOOKUP(Table2[[#This Row], [Ticket]],Okey!A:B,2,0),"")</f>
        <v>ok</v>
      </c>
      <c r="I152" s="11" t="s">
        <v>276</v>
      </c>
      <c r="J152" s="19" t="e">
        <f>VLOOKUP(Table2[[#This Row], [Author]],People!A:B,2,0)</f>
        <v>#N/A</v>
      </c>
      <c r="K152" s="11"/>
      <c r="L152" s="11"/>
      <c r="M152" s="20" t="s">
        <v>344</v>
      </c>
    </row>
    <row r="153" spans="1:13" ht="19.5" customHeight="1">
      <c r="A153" s="21">
        <f t="shared" si="2"/>
        <v>152</v>
      </c>
      <c r="B153" s="13" t="s">
        <v>6</v>
      </c>
      <c r="C153" s="13" t="s">
        <v>34</v>
      </c>
      <c r="D153" s="13" t="s">
        <v>547</v>
      </c>
      <c r="E153" s="13" t="s">
        <v>548</v>
      </c>
      <c r="F153" s="13"/>
      <c r="G153" s="13" t="s">
        <v>15</v>
      </c>
      <c r="H153" s="22" t="str">
        <f>IFERROR(VLOOKUP(Table2[[#This Row], [Ticket]],Okey!A:B,2,0),"")</f>
        <v>ok</v>
      </c>
      <c r="I153" s="13" t="s">
        <v>276</v>
      </c>
      <c r="J153" s="22" t="str">
        <f>VLOOKUP(Table2[[#This Row], [Author]],People!A:B,2,0)</f>
        <v>LS</v>
      </c>
      <c r="K153" s="13"/>
      <c r="L153" s="13"/>
      <c r="M153" s="23" t="s">
        <v>344</v>
      </c>
    </row>
    <row r="154" spans="1:13" ht="19.5" customHeight="1">
      <c r="A154" s="18">
        <f t="shared" si="2"/>
        <v>153</v>
      </c>
      <c r="B154" s="11" t="s">
        <v>6</v>
      </c>
      <c r="C154" s="11" t="s">
        <v>34</v>
      </c>
      <c r="D154" s="11" t="s">
        <v>549</v>
      </c>
      <c r="E154" s="11" t="s">
        <v>550</v>
      </c>
      <c r="F154" s="11"/>
      <c r="G154" s="11" t="s">
        <v>15</v>
      </c>
      <c r="H154" s="19" t="str">
        <f>IFERROR(VLOOKUP(Table2[[#This Row], [Ticket]],Okey!A:B,2,0),"")</f>
        <v>ok</v>
      </c>
      <c r="I154" s="11" t="s">
        <v>276</v>
      </c>
      <c r="J154" s="19" t="e">
        <f>VLOOKUP(Table2[[#This Row], [Author]],People!A:B,2,0)</f>
        <v>#N/A</v>
      </c>
      <c r="K154" s="11"/>
      <c r="L154" s="11"/>
      <c r="M154" s="20" t="s">
        <v>344</v>
      </c>
    </row>
    <row r="155" spans="1:13" ht="19.5" customHeight="1">
      <c r="A155" s="21">
        <f t="shared" si="2"/>
        <v>154</v>
      </c>
      <c r="B155" s="13" t="s">
        <v>6</v>
      </c>
      <c r="C155" s="13" t="s">
        <v>34</v>
      </c>
      <c r="D155" s="13" t="s">
        <v>551</v>
      </c>
      <c r="E155" s="13" t="s">
        <v>552</v>
      </c>
      <c r="F155" s="13"/>
      <c r="G155" s="13" t="s">
        <v>15</v>
      </c>
      <c r="H155" s="22" t="str">
        <f>IFERROR(VLOOKUP(Table2[[#This Row], [Ticket]],Okey!A:B,2,0),"")</f>
        <v>ok</v>
      </c>
      <c r="I155" s="13" t="s">
        <v>276</v>
      </c>
      <c r="J155" s="22" t="e">
        <f>VLOOKUP(Table2[[#This Row], [Author]],People!A:B,2,0)</f>
        <v>#N/A</v>
      </c>
      <c r="K155" s="13"/>
      <c r="L155" s="13"/>
      <c r="M155" s="23" t="s">
        <v>344</v>
      </c>
    </row>
    <row r="156" spans="1:13" ht="19.5" customHeight="1">
      <c r="A156" s="18">
        <f t="shared" si="2"/>
        <v>155</v>
      </c>
      <c r="B156" s="11" t="s">
        <v>6</v>
      </c>
      <c r="C156" s="11" t="s">
        <v>34</v>
      </c>
      <c r="D156" s="11" t="s">
        <v>553</v>
      </c>
      <c r="E156" s="11" t="s">
        <v>554</v>
      </c>
      <c r="F156" s="11"/>
      <c r="G156" s="11" t="s">
        <v>15</v>
      </c>
      <c r="H156" s="19" t="str">
        <f>IFERROR(VLOOKUP(Table2[[#This Row], [Ticket]],Okey!A:B,2,0),"")</f>
        <v>ok</v>
      </c>
      <c r="I156" s="11" t="s">
        <v>276</v>
      </c>
      <c r="J156" s="19" t="e">
        <f>VLOOKUP(Table2[[#This Row], [Author]],People!A:B,2,0)</f>
        <v>#N/A</v>
      </c>
      <c r="K156" s="11"/>
      <c r="L156" s="11"/>
      <c r="M156" s="20" t="s">
        <v>344</v>
      </c>
    </row>
    <row r="157" spans="1:13" ht="19.5" customHeight="1">
      <c r="A157" s="21">
        <f t="shared" si="2"/>
        <v>156</v>
      </c>
      <c r="B157" s="13" t="s">
        <v>6</v>
      </c>
      <c r="C157" s="13" t="s">
        <v>34</v>
      </c>
      <c r="D157" s="13" t="s">
        <v>555</v>
      </c>
      <c r="E157" s="13" t="s">
        <v>556</v>
      </c>
      <c r="F157" s="13"/>
      <c r="G157" s="13" t="s">
        <v>15</v>
      </c>
      <c r="H157" s="22" t="str">
        <f>IFERROR(VLOOKUP(Table2[[#This Row], [Ticket]],Okey!A:B,2,0),"")</f>
        <v>ok</v>
      </c>
      <c r="I157" s="13" t="s">
        <v>276</v>
      </c>
      <c r="J157" s="22" t="e">
        <f>VLOOKUP(Table2[[#This Row], [Author]],People!A:B,2,0)</f>
        <v>#N/A</v>
      </c>
      <c r="K157" s="13"/>
      <c r="L157" s="13"/>
      <c r="M157" s="23" t="s">
        <v>344</v>
      </c>
    </row>
    <row r="158" spans="1:13" ht="19.5" customHeight="1">
      <c r="A158" s="18">
        <f t="shared" si="2"/>
        <v>157</v>
      </c>
      <c r="B158" s="11" t="s">
        <v>6</v>
      </c>
      <c r="C158" s="11" t="s">
        <v>34</v>
      </c>
      <c r="D158" s="11" t="s">
        <v>557</v>
      </c>
      <c r="E158" s="11" t="s">
        <v>558</v>
      </c>
      <c r="F158" s="11"/>
      <c r="G158" s="11" t="s">
        <v>15</v>
      </c>
      <c r="H158" s="19" t="str">
        <f>IFERROR(VLOOKUP(Table2[[#This Row], [Ticket]],Okey!A:B,2,0),"")</f>
        <v>ok</v>
      </c>
      <c r="I158" s="11" t="s">
        <v>276</v>
      </c>
      <c r="J158" s="19" t="e">
        <f>VLOOKUP(Table2[[#This Row], [Author]],People!A:B,2,0)</f>
        <v>#N/A</v>
      </c>
      <c r="K158" s="11"/>
      <c r="L158" s="11"/>
      <c r="M158" s="20" t="s">
        <v>344</v>
      </c>
    </row>
    <row r="159" spans="1:13" ht="19.5" customHeight="1">
      <c r="A159" s="21">
        <f t="shared" si="2"/>
        <v>158</v>
      </c>
      <c r="B159" s="13" t="s">
        <v>6</v>
      </c>
      <c r="C159" s="13" t="s">
        <v>34</v>
      </c>
      <c r="D159" s="13" t="s">
        <v>559</v>
      </c>
      <c r="E159" s="13" t="s">
        <v>560</v>
      </c>
      <c r="F159" s="13"/>
      <c r="G159" s="13" t="s">
        <v>15</v>
      </c>
      <c r="H159" s="22" t="str">
        <f>IFERROR(VLOOKUP(Table2[[#This Row], [Ticket]],Okey!A:B,2,0),"")</f>
        <v>ok</v>
      </c>
      <c r="I159" s="13" t="s">
        <v>276</v>
      </c>
      <c r="J159" s="22" t="e">
        <f>VLOOKUP(Table2[[#This Row], [Author]],People!A:B,2,0)</f>
        <v>#N/A</v>
      </c>
      <c r="K159" s="13"/>
      <c r="L159" s="13"/>
      <c r="M159" s="23" t="s">
        <v>344</v>
      </c>
    </row>
    <row r="160" spans="1:13" ht="19.5" customHeight="1">
      <c r="A160" s="18">
        <f t="shared" si="2"/>
        <v>159</v>
      </c>
      <c r="B160" s="11" t="s">
        <v>6</v>
      </c>
      <c r="C160" s="11" t="s">
        <v>34</v>
      </c>
      <c r="D160" s="11" t="s">
        <v>561</v>
      </c>
      <c r="E160" s="11" t="s">
        <v>562</v>
      </c>
      <c r="F160" s="11"/>
      <c r="G160" s="11" t="s">
        <v>15</v>
      </c>
      <c r="H160" s="19" t="str">
        <f>IFERROR(VLOOKUP(Table2[[#This Row], [Ticket]],Okey!A:B,2,0),"")</f>
        <v>ok</v>
      </c>
      <c r="I160" s="11" t="s">
        <v>276</v>
      </c>
      <c r="J160" s="19" t="e">
        <f>VLOOKUP(Table2[[#This Row], [Author]],People!A:B,2,0)</f>
        <v>#N/A</v>
      </c>
      <c r="K160" s="11"/>
      <c r="L160" s="11"/>
      <c r="M160" s="20" t="s">
        <v>344</v>
      </c>
    </row>
    <row r="161" spans="1:13" ht="19.5" customHeight="1">
      <c r="A161" s="21">
        <f t="shared" si="2"/>
        <v>160</v>
      </c>
      <c r="B161" s="13" t="s">
        <v>6</v>
      </c>
      <c r="C161" s="13" t="s">
        <v>34</v>
      </c>
      <c r="D161" s="13" t="s">
        <v>563</v>
      </c>
      <c r="E161" s="13" t="s">
        <v>564</v>
      </c>
      <c r="F161" s="13"/>
      <c r="G161" s="13" t="s">
        <v>15</v>
      </c>
      <c r="H161" s="22" t="str">
        <f>IFERROR(VLOOKUP(Table2[[#This Row], [Ticket]],Okey!A:B,2,0),"")</f>
        <v>ok</v>
      </c>
      <c r="I161" s="13" t="s">
        <v>276</v>
      </c>
      <c r="J161" s="22" t="e">
        <f>VLOOKUP(Table2[[#This Row], [Author]],People!A:B,2,0)</f>
        <v>#N/A</v>
      </c>
      <c r="K161" s="13"/>
      <c r="L161" s="13"/>
      <c r="M161" s="23" t="s">
        <v>344</v>
      </c>
    </row>
    <row r="162" spans="1:13" ht="19.5" customHeight="1">
      <c r="A162" s="18">
        <f t="shared" si="2"/>
        <v>161</v>
      </c>
      <c r="B162" s="11" t="s">
        <v>6</v>
      </c>
      <c r="C162" s="11" t="s">
        <v>34</v>
      </c>
      <c r="D162" s="11" t="s">
        <v>565</v>
      </c>
      <c r="E162" s="11" t="s">
        <v>566</v>
      </c>
      <c r="F162" s="11"/>
      <c r="G162" s="11" t="s">
        <v>15</v>
      </c>
      <c r="H162" s="19" t="str">
        <f>IFERROR(VLOOKUP(Table2[[#This Row], [Ticket]],Okey!A:B,2,0),"")</f>
        <v>ok</v>
      </c>
      <c r="I162" s="11" t="s">
        <v>276</v>
      </c>
      <c r="J162" s="19" t="e">
        <f>VLOOKUP(Table2[[#This Row], [Author]],People!A:B,2,0)</f>
        <v>#N/A</v>
      </c>
      <c r="K162" s="11"/>
      <c r="L162" s="11"/>
      <c r="M162" s="20" t="s">
        <v>344</v>
      </c>
    </row>
    <row r="163" spans="1:13" ht="19.5" customHeight="1">
      <c r="A163" s="21">
        <f t="shared" si="2"/>
        <v>162</v>
      </c>
      <c r="B163" s="13" t="s">
        <v>6</v>
      </c>
      <c r="C163" s="13" t="s">
        <v>34</v>
      </c>
      <c r="D163" s="13" t="s">
        <v>567</v>
      </c>
      <c r="E163" s="13" t="s">
        <v>568</v>
      </c>
      <c r="F163" s="13"/>
      <c r="G163" s="13" t="s">
        <v>15</v>
      </c>
      <c r="H163" s="22" t="str">
        <f>IFERROR(VLOOKUP(Table2[[#This Row], [Ticket]],Okey!A:B,2,0),"")</f>
        <v>ok</v>
      </c>
      <c r="I163" s="13" t="s">
        <v>276</v>
      </c>
      <c r="J163" s="22" t="e">
        <f>VLOOKUP(Table2[[#This Row], [Author]],People!A:B,2,0)</f>
        <v>#N/A</v>
      </c>
      <c r="K163" s="13"/>
      <c r="L163" s="13"/>
      <c r="M163" s="23" t="s">
        <v>344</v>
      </c>
    </row>
    <row r="164" spans="1:13" ht="19.5" customHeight="1">
      <c r="A164" s="18">
        <f t="shared" si="2"/>
        <v>163</v>
      </c>
      <c r="B164" s="11" t="s">
        <v>6</v>
      </c>
      <c r="C164" s="11" t="s">
        <v>34</v>
      </c>
      <c r="D164" s="11" t="s">
        <v>569</v>
      </c>
      <c r="E164" s="11" t="s">
        <v>570</v>
      </c>
      <c r="F164" s="11"/>
      <c r="G164" s="11" t="s">
        <v>15</v>
      </c>
      <c r="H164" s="19" t="str">
        <f>IFERROR(VLOOKUP(Table2[[#This Row], [Ticket]],Okey!A:B,2,0),"")</f>
        <v>ok</v>
      </c>
      <c r="I164" s="11" t="s">
        <v>276</v>
      </c>
      <c r="J164" s="19" t="e">
        <f>VLOOKUP(Table2[[#This Row], [Author]],People!A:B,2,0)</f>
        <v>#N/A</v>
      </c>
      <c r="K164" s="11"/>
      <c r="L164" s="11"/>
      <c r="M164" s="20" t="s">
        <v>344</v>
      </c>
    </row>
    <row r="165" spans="1:13" ht="19.5" customHeight="1">
      <c r="A165" s="21">
        <f t="shared" si="2"/>
        <v>164</v>
      </c>
      <c r="B165" s="13" t="s">
        <v>6</v>
      </c>
      <c r="C165" s="13" t="s">
        <v>34</v>
      </c>
      <c r="D165" s="13" t="s">
        <v>571</v>
      </c>
      <c r="E165" s="13" t="s">
        <v>572</v>
      </c>
      <c r="F165" s="13"/>
      <c r="G165" s="13" t="s">
        <v>15</v>
      </c>
      <c r="H165" s="22" t="str">
        <f>IFERROR(VLOOKUP(Table2[[#This Row], [Ticket]],Okey!A:B,2,0),"")</f>
        <v>ok</v>
      </c>
      <c r="I165" s="13" t="s">
        <v>276</v>
      </c>
      <c r="J165" s="22" t="e">
        <f>VLOOKUP(Table2[[#This Row], [Author]],People!A:B,2,0)</f>
        <v>#N/A</v>
      </c>
      <c r="K165" s="13"/>
      <c r="L165" s="13"/>
      <c r="M165" s="23" t="s">
        <v>344</v>
      </c>
    </row>
    <row r="166" spans="1:13" ht="19.5" customHeight="1">
      <c r="A166" s="18">
        <f t="shared" si="2"/>
        <v>165</v>
      </c>
      <c r="B166" s="11" t="s">
        <v>6</v>
      </c>
      <c r="C166" s="11" t="s">
        <v>34</v>
      </c>
      <c r="D166" s="11" t="s">
        <v>573</v>
      </c>
      <c r="E166" s="11" t="s">
        <v>574</v>
      </c>
      <c r="F166" s="11"/>
      <c r="G166" s="11" t="s">
        <v>15</v>
      </c>
      <c r="H166" s="19" t="str">
        <f>IFERROR(VLOOKUP(Table2[[#This Row], [Ticket]],Okey!A:B,2,0),"")</f>
        <v>ok</v>
      </c>
      <c r="I166" s="11" t="s">
        <v>276</v>
      </c>
      <c r="J166" s="19" t="e">
        <f>VLOOKUP(Table2[[#This Row], [Author]],People!A:B,2,0)</f>
        <v>#N/A</v>
      </c>
      <c r="K166" s="11"/>
      <c r="L166" s="11"/>
      <c r="M166" s="20" t="s">
        <v>344</v>
      </c>
    </row>
    <row r="167" spans="1:13" ht="19.5" customHeight="1">
      <c r="A167" s="21">
        <f t="shared" si="2"/>
        <v>166</v>
      </c>
      <c r="B167" s="13" t="s">
        <v>6</v>
      </c>
      <c r="C167" s="13" t="s">
        <v>34</v>
      </c>
      <c r="D167" s="13" t="s">
        <v>575</v>
      </c>
      <c r="E167" s="13" t="s">
        <v>576</v>
      </c>
      <c r="F167" s="13"/>
      <c r="G167" s="13" t="s">
        <v>15</v>
      </c>
      <c r="H167" s="22" t="str">
        <f>IFERROR(VLOOKUP(Table2[[#This Row], [Ticket]],Okey!A:B,2,0),"")</f>
        <v>ok</v>
      </c>
      <c r="I167" s="13" t="s">
        <v>276</v>
      </c>
      <c r="J167" s="22" t="e">
        <f>VLOOKUP(Table2[[#This Row], [Author]],People!A:B,2,0)</f>
        <v>#N/A</v>
      </c>
      <c r="K167" s="13"/>
      <c r="L167" s="13"/>
      <c r="M167" s="23" t="s">
        <v>344</v>
      </c>
    </row>
    <row r="168" spans="1:13" ht="19.5" customHeight="1">
      <c r="A168" s="18">
        <f t="shared" si="2"/>
        <v>167</v>
      </c>
      <c r="B168" s="11" t="s">
        <v>6</v>
      </c>
      <c r="C168" s="11" t="s">
        <v>34</v>
      </c>
      <c r="D168" s="11" t="s">
        <v>577</v>
      </c>
      <c r="E168" s="11" t="s">
        <v>578</v>
      </c>
      <c r="F168" s="11"/>
      <c r="G168" s="11" t="s">
        <v>15</v>
      </c>
      <c r="H168" s="19" t="str">
        <f>IFERROR(VLOOKUP(Table2[[#This Row], [Ticket]],Okey!A:B,2,0),"")</f>
        <v>ok</v>
      </c>
      <c r="I168" s="11" t="s">
        <v>276</v>
      </c>
      <c r="J168" s="19" t="e">
        <f>VLOOKUP(Table2[[#This Row], [Author]],People!A:B,2,0)</f>
        <v>#N/A</v>
      </c>
      <c r="K168" s="11"/>
      <c r="L168" s="11"/>
      <c r="M168" s="20" t="s">
        <v>344</v>
      </c>
    </row>
    <row r="169" spans="1:13" ht="19.5" customHeight="1">
      <c r="A169" s="21">
        <f t="shared" si="2"/>
        <v>168</v>
      </c>
      <c r="B169" s="13" t="s">
        <v>6</v>
      </c>
      <c r="C169" s="13" t="s">
        <v>34</v>
      </c>
      <c r="D169" s="13" t="s">
        <v>579</v>
      </c>
      <c r="E169" s="13" t="s">
        <v>580</v>
      </c>
      <c r="F169" s="13"/>
      <c r="G169" s="13" t="s">
        <v>15</v>
      </c>
      <c r="H169" s="22" t="str">
        <f>IFERROR(VLOOKUP(Table2[[#This Row], [Ticket]],Okey!A:B,2,0),"")</f>
        <v>ok</v>
      </c>
      <c r="I169" s="13" t="s">
        <v>276</v>
      </c>
      <c r="J169" s="22" t="e">
        <f>VLOOKUP(Table2[[#This Row], [Author]],People!A:B,2,0)</f>
        <v>#N/A</v>
      </c>
      <c r="K169" s="13"/>
      <c r="L169" s="13"/>
      <c r="M169" s="23" t="s">
        <v>344</v>
      </c>
    </row>
    <row r="170" spans="1:13" ht="19.5" customHeight="1">
      <c r="A170" s="18">
        <f t="shared" si="2"/>
        <v>169</v>
      </c>
      <c r="B170" s="11" t="s">
        <v>6</v>
      </c>
      <c r="C170" s="11" t="s">
        <v>34</v>
      </c>
      <c r="D170" s="11" t="s">
        <v>581</v>
      </c>
      <c r="E170" s="11" t="s">
        <v>582</v>
      </c>
      <c r="F170" s="11"/>
      <c r="G170" s="11" t="s">
        <v>15</v>
      </c>
      <c r="H170" s="19" t="str">
        <f>IFERROR(VLOOKUP(Table2[[#This Row], [Ticket]],Okey!A:B,2,0),"")</f>
        <v>ok</v>
      </c>
      <c r="I170" s="11" t="s">
        <v>276</v>
      </c>
      <c r="J170" s="19" t="e">
        <f>VLOOKUP(Table2[[#This Row], [Author]],People!A:B,2,0)</f>
        <v>#N/A</v>
      </c>
      <c r="K170" s="11"/>
      <c r="L170" s="11"/>
      <c r="M170" s="20" t="s">
        <v>344</v>
      </c>
    </row>
    <row r="171" spans="1:13" ht="19.5" customHeight="1">
      <c r="A171" s="21">
        <f t="shared" si="2"/>
        <v>170</v>
      </c>
      <c r="B171" s="13" t="s">
        <v>6</v>
      </c>
      <c r="C171" s="13" t="s">
        <v>34</v>
      </c>
      <c r="D171" s="13" t="s">
        <v>583</v>
      </c>
      <c r="E171" s="13" t="s">
        <v>584</v>
      </c>
      <c r="F171" s="13"/>
      <c r="G171" s="13" t="s">
        <v>15</v>
      </c>
      <c r="H171" s="22" t="str">
        <f>IFERROR(VLOOKUP(Table2[[#This Row], [Ticket]],Okey!A:B,2,0),"")</f>
        <v>ok</v>
      </c>
      <c r="I171" s="13" t="s">
        <v>276</v>
      </c>
      <c r="J171" s="22" t="e">
        <f>VLOOKUP(Table2[[#This Row], [Author]],People!A:B,2,0)</f>
        <v>#N/A</v>
      </c>
      <c r="K171" s="13"/>
      <c r="L171" s="13"/>
      <c r="M171" s="23" t="s">
        <v>344</v>
      </c>
    </row>
    <row r="172" spans="1:13" ht="19.5" customHeight="1">
      <c r="A172" s="18">
        <f t="shared" si="2"/>
        <v>171</v>
      </c>
      <c r="B172" s="11" t="s">
        <v>6</v>
      </c>
      <c r="C172" s="11" t="s">
        <v>34</v>
      </c>
      <c r="D172" s="11" t="s">
        <v>585</v>
      </c>
      <c r="E172" s="11" t="s">
        <v>586</v>
      </c>
      <c r="F172" s="11"/>
      <c r="G172" s="11" t="s">
        <v>15</v>
      </c>
      <c r="H172" s="19" t="str">
        <f>IFERROR(VLOOKUP(Table2[[#This Row], [Ticket]],Okey!A:B,2,0),"")</f>
        <v>ok</v>
      </c>
      <c r="I172" s="11" t="s">
        <v>276</v>
      </c>
      <c r="J172" s="19" t="e">
        <f>VLOOKUP(Table2[[#This Row], [Author]],People!A:B,2,0)</f>
        <v>#N/A</v>
      </c>
      <c r="K172" s="11"/>
      <c r="L172" s="11"/>
      <c r="M172" s="20" t="s">
        <v>344</v>
      </c>
    </row>
    <row r="173" spans="1:13" ht="19.5" customHeight="1">
      <c r="A173" s="21">
        <f t="shared" si="2"/>
        <v>172</v>
      </c>
      <c r="B173" s="13" t="s">
        <v>6</v>
      </c>
      <c r="C173" s="13" t="s">
        <v>34</v>
      </c>
      <c r="D173" s="13" t="s">
        <v>587</v>
      </c>
      <c r="E173" s="13" t="s">
        <v>588</v>
      </c>
      <c r="F173" s="13"/>
      <c r="G173" s="13" t="s">
        <v>15</v>
      </c>
      <c r="H173" s="22" t="str">
        <f>IFERROR(VLOOKUP(Table2[[#This Row], [Ticket]],Okey!A:B,2,0),"")</f>
        <v>ok</v>
      </c>
      <c r="I173" s="13" t="s">
        <v>276</v>
      </c>
      <c r="J173" s="22" t="e">
        <f>VLOOKUP(Table2[[#This Row], [Author]],People!A:B,2,0)</f>
        <v>#N/A</v>
      </c>
      <c r="K173" s="13"/>
      <c r="L173" s="13"/>
      <c r="M173" s="23" t="s">
        <v>344</v>
      </c>
    </row>
    <row r="174" spans="1:13" ht="19.5" customHeight="1">
      <c r="A174" s="18">
        <f t="shared" si="2"/>
        <v>173</v>
      </c>
      <c r="B174" s="11" t="s">
        <v>6</v>
      </c>
      <c r="C174" s="11" t="s">
        <v>34</v>
      </c>
      <c r="D174" s="11" t="s">
        <v>589</v>
      </c>
      <c r="E174" s="11" t="s">
        <v>590</v>
      </c>
      <c r="F174" s="11"/>
      <c r="G174" s="11" t="s">
        <v>15</v>
      </c>
      <c r="H174" s="19" t="str">
        <f>IFERROR(VLOOKUP(Table2[[#This Row], [Ticket]],Okey!A:B,2,0),"")</f>
        <v>ok</v>
      </c>
      <c r="I174" s="11" t="s">
        <v>276</v>
      </c>
      <c r="J174" s="19" t="e">
        <f>VLOOKUP(Table2[[#This Row], [Author]],People!A:B,2,0)</f>
        <v>#N/A</v>
      </c>
      <c r="K174" s="11"/>
      <c r="L174" s="11"/>
      <c r="M174" s="20" t="s">
        <v>344</v>
      </c>
    </row>
    <row r="175" spans="1:13" ht="19.5" customHeight="1">
      <c r="A175" s="21">
        <f t="shared" si="2"/>
        <v>174</v>
      </c>
      <c r="B175" s="13" t="s">
        <v>6</v>
      </c>
      <c r="C175" s="13" t="s">
        <v>34</v>
      </c>
      <c r="D175" s="13" t="s">
        <v>591</v>
      </c>
      <c r="E175" s="13" t="s">
        <v>592</v>
      </c>
      <c r="F175" s="13"/>
      <c r="G175" s="13" t="s">
        <v>15</v>
      </c>
      <c r="H175" s="22" t="str">
        <f>IFERROR(VLOOKUP(Table2[[#This Row], [Ticket]],Okey!A:B,2,0),"")</f>
        <v>ok</v>
      </c>
      <c r="I175" s="13" t="s">
        <v>276</v>
      </c>
      <c r="J175" s="22" t="e">
        <f>VLOOKUP(Table2[[#This Row], [Author]],People!A:B,2,0)</f>
        <v>#N/A</v>
      </c>
      <c r="K175" s="13"/>
      <c r="L175" s="13"/>
      <c r="M175" s="23" t="s">
        <v>344</v>
      </c>
    </row>
    <row r="176" spans="1:13" ht="19.5" customHeight="1">
      <c r="A176" s="18">
        <f t="shared" si="2"/>
        <v>175</v>
      </c>
      <c r="B176" s="11" t="s">
        <v>6</v>
      </c>
      <c r="C176" s="11" t="s">
        <v>34</v>
      </c>
      <c r="D176" s="11" t="s">
        <v>593</v>
      </c>
      <c r="E176" s="11" t="s">
        <v>594</v>
      </c>
      <c r="F176" s="11"/>
      <c r="G176" s="11" t="s">
        <v>15</v>
      </c>
      <c r="H176" s="19" t="str">
        <f>IFERROR(VLOOKUP(Table2[[#This Row], [Ticket]],Okey!A:B,2,0),"")</f>
        <v>ok</v>
      </c>
      <c r="I176" s="11" t="s">
        <v>276</v>
      </c>
      <c r="J176" s="19" t="e">
        <f>VLOOKUP(Table2[[#This Row], [Author]],People!A:B,2,0)</f>
        <v>#N/A</v>
      </c>
      <c r="K176" s="11"/>
      <c r="L176" s="11"/>
      <c r="M176" s="20" t="s">
        <v>344</v>
      </c>
    </row>
    <row r="177" spans="1:13" ht="19.5" customHeight="1">
      <c r="A177" s="21">
        <f t="shared" si="2"/>
        <v>176</v>
      </c>
      <c r="B177" s="13" t="s">
        <v>6</v>
      </c>
      <c r="C177" s="13" t="s">
        <v>34</v>
      </c>
      <c r="D177" s="13" t="s">
        <v>595</v>
      </c>
      <c r="E177" s="13" t="s">
        <v>596</v>
      </c>
      <c r="F177" s="13"/>
      <c r="G177" s="13" t="s">
        <v>15</v>
      </c>
      <c r="H177" s="22" t="str">
        <f>IFERROR(VLOOKUP(Table2[[#This Row], [Ticket]],Okey!A:B,2,0),"")</f>
        <v>ok</v>
      </c>
      <c r="I177" s="13" t="s">
        <v>276</v>
      </c>
      <c r="J177" s="22" t="e">
        <f>VLOOKUP(Table2[[#This Row], [Author]],People!A:B,2,0)</f>
        <v>#N/A</v>
      </c>
      <c r="K177" s="13"/>
      <c r="L177" s="13"/>
      <c r="M177" s="23" t="s">
        <v>344</v>
      </c>
    </row>
    <row r="178" spans="1:13" ht="19.5" customHeight="1">
      <c r="A178" s="18">
        <f t="shared" si="2"/>
        <v>177</v>
      </c>
      <c r="B178" s="11" t="s">
        <v>6</v>
      </c>
      <c r="C178" s="11" t="s">
        <v>34</v>
      </c>
      <c r="D178" s="11" t="s">
        <v>597</v>
      </c>
      <c r="E178" s="11" t="s">
        <v>598</v>
      </c>
      <c r="F178" s="11"/>
      <c r="G178" s="11" t="s">
        <v>15</v>
      </c>
      <c r="H178" s="19" t="str">
        <f>IFERROR(VLOOKUP(Table2[[#This Row], [Ticket]],Okey!A:B,2,0),"")</f>
        <v>ok</v>
      </c>
      <c r="I178" s="11" t="s">
        <v>276</v>
      </c>
      <c r="J178" s="19" t="e">
        <f>VLOOKUP(Table2[[#This Row], [Author]],People!A:B,2,0)</f>
        <v>#N/A</v>
      </c>
      <c r="K178" s="11"/>
      <c r="L178" s="11"/>
      <c r="M178" s="20" t="s">
        <v>344</v>
      </c>
    </row>
    <row r="179" spans="1:13" ht="19.5" customHeight="1">
      <c r="A179" s="21">
        <f t="shared" si="2"/>
        <v>178</v>
      </c>
      <c r="B179" s="13" t="s">
        <v>6</v>
      </c>
      <c r="C179" s="13" t="s">
        <v>34</v>
      </c>
      <c r="D179" s="13" t="s">
        <v>599</v>
      </c>
      <c r="E179" s="13" t="s">
        <v>600</v>
      </c>
      <c r="F179" s="13"/>
      <c r="G179" s="13" t="s">
        <v>15</v>
      </c>
      <c r="H179" s="22" t="str">
        <f>IFERROR(VLOOKUP(Table2[[#This Row], [Ticket]],Okey!A:B,2,0),"")</f>
        <v>ok</v>
      </c>
      <c r="I179" s="13" t="s">
        <v>276</v>
      </c>
      <c r="J179" s="22" t="e">
        <f>VLOOKUP(Table2[[#This Row], [Author]],People!A:B,2,0)</f>
        <v>#N/A</v>
      </c>
      <c r="K179" s="13"/>
      <c r="L179" s="13"/>
      <c r="M179" s="23" t="s">
        <v>344</v>
      </c>
    </row>
    <row r="180" spans="1:13" ht="19.5" customHeight="1">
      <c r="A180" s="18">
        <f t="shared" si="2"/>
        <v>179</v>
      </c>
      <c r="B180" s="11" t="s">
        <v>6</v>
      </c>
      <c r="C180" s="11" t="s">
        <v>34</v>
      </c>
      <c r="D180" s="11" t="s">
        <v>601</v>
      </c>
      <c r="E180" s="11" t="s">
        <v>602</v>
      </c>
      <c r="F180" s="11"/>
      <c r="G180" s="11" t="s">
        <v>15</v>
      </c>
      <c r="H180" s="19" t="str">
        <f>IFERROR(VLOOKUP(Table2[[#This Row], [Ticket]],Okey!A:B,2,0),"")</f>
        <v>ok</v>
      </c>
      <c r="I180" s="11" t="s">
        <v>276</v>
      </c>
      <c r="J180" s="19" t="e">
        <f>VLOOKUP(Table2[[#This Row], [Author]],People!A:B,2,0)</f>
        <v>#N/A</v>
      </c>
      <c r="K180" s="11"/>
      <c r="L180" s="11"/>
      <c r="M180" s="20" t="s">
        <v>344</v>
      </c>
    </row>
    <row r="181" spans="1:13" ht="19.5" customHeight="1">
      <c r="A181" s="21">
        <f t="shared" si="2"/>
        <v>180</v>
      </c>
      <c r="B181" s="13" t="s">
        <v>6</v>
      </c>
      <c r="C181" s="13" t="s">
        <v>34</v>
      </c>
      <c r="D181" s="13" t="s">
        <v>603</v>
      </c>
      <c r="E181" s="13" t="s">
        <v>604</v>
      </c>
      <c r="F181" s="13"/>
      <c r="G181" s="13" t="s">
        <v>15</v>
      </c>
      <c r="H181" s="22" t="str">
        <f>IFERROR(VLOOKUP(Table2[[#This Row], [Ticket]],Okey!A:B,2,0),"")</f>
        <v>ok</v>
      </c>
      <c r="I181" s="13" t="s">
        <v>276</v>
      </c>
      <c r="J181" s="22" t="e">
        <f>VLOOKUP(Table2[[#This Row], [Author]],People!A:B,2,0)</f>
        <v>#N/A</v>
      </c>
      <c r="K181" s="13"/>
      <c r="L181" s="13"/>
      <c r="M181" s="23" t="s">
        <v>344</v>
      </c>
    </row>
    <row r="182" spans="1:13" ht="19.5" customHeight="1">
      <c r="A182" s="18">
        <f t="shared" si="2"/>
        <v>181</v>
      </c>
      <c r="B182" s="11" t="s">
        <v>6</v>
      </c>
      <c r="C182" s="11" t="s">
        <v>34</v>
      </c>
      <c r="D182" s="11" t="s">
        <v>605</v>
      </c>
      <c r="E182" s="11" t="s">
        <v>606</v>
      </c>
      <c r="F182" s="11"/>
      <c r="G182" s="11" t="s">
        <v>15</v>
      </c>
      <c r="H182" s="19" t="str">
        <f>IFERROR(VLOOKUP(Table2[[#This Row], [Ticket]],Okey!A:B,2,0),"")</f>
        <v>ok</v>
      </c>
      <c r="I182" s="11" t="s">
        <v>276</v>
      </c>
      <c r="J182" s="19" t="e">
        <f>VLOOKUP(Table2[[#This Row], [Author]],People!A:B,2,0)</f>
        <v>#N/A</v>
      </c>
      <c r="K182" s="11"/>
      <c r="L182" s="11"/>
      <c r="M182" s="20" t="s">
        <v>344</v>
      </c>
    </row>
    <row r="183" spans="1:13" ht="19.5" customHeight="1">
      <c r="A183" s="21">
        <f t="shared" si="2"/>
        <v>182</v>
      </c>
      <c r="B183" s="13" t="s">
        <v>6</v>
      </c>
      <c r="C183" s="13" t="s">
        <v>34</v>
      </c>
      <c r="D183" s="13" t="s">
        <v>607</v>
      </c>
      <c r="E183" s="13" t="s">
        <v>608</v>
      </c>
      <c r="F183" s="13"/>
      <c r="G183" s="13" t="s">
        <v>15</v>
      </c>
      <c r="H183" s="22" t="str">
        <f>IFERROR(VLOOKUP(Table2[[#This Row], [Ticket]],Okey!A:B,2,0),"")</f>
        <v>ok</v>
      </c>
      <c r="I183" s="13" t="s">
        <v>276</v>
      </c>
      <c r="J183" s="22" t="str">
        <f>VLOOKUP(Table2[[#This Row], [Author]],People!A:B,2,0)</f>
        <v>MGF</v>
      </c>
      <c r="K183" s="13"/>
      <c r="L183" s="13"/>
      <c r="M183" s="23" t="s">
        <v>344</v>
      </c>
    </row>
    <row r="184" spans="1:13" ht="19.5" customHeight="1">
      <c r="A184" s="18">
        <f t="shared" si="2"/>
        <v>183</v>
      </c>
      <c r="B184" s="11" t="s">
        <v>6</v>
      </c>
      <c r="C184" s="11" t="s">
        <v>34</v>
      </c>
      <c r="D184" s="11" t="s">
        <v>609</v>
      </c>
      <c r="E184" s="11" t="s">
        <v>610</v>
      </c>
      <c r="F184" s="11"/>
      <c r="G184" s="11" t="s">
        <v>15</v>
      </c>
      <c r="H184" s="19" t="str">
        <f>IFERROR(VLOOKUP(Table2[[#This Row], [Ticket]],Okey!A:B,2,0),"")</f>
        <v>ok</v>
      </c>
      <c r="I184" s="11" t="s">
        <v>276</v>
      </c>
      <c r="J184" s="19" t="str">
        <f>VLOOKUP(Table2[[#This Row], [Author]],People!A:B,2,0)</f>
        <v>MGF</v>
      </c>
      <c r="K184" s="11"/>
      <c r="L184" s="11"/>
      <c r="M184" s="20" t="s">
        <v>344</v>
      </c>
    </row>
    <row r="185" spans="1:13" ht="19.5" customHeight="1">
      <c r="A185" s="21">
        <f t="shared" si="2"/>
        <v>184</v>
      </c>
      <c r="B185" s="13" t="s">
        <v>6</v>
      </c>
      <c r="C185" s="13" t="s">
        <v>34</v>
      </c>
      <c r="D185" s="13" t="s">
        <v>611</v>
      </c>
      <c r="E185" s="13" t="s">
        <v>612</v>
      </c>
      <c r="F185" s="13"/>
      <c r="G185" s="13" t="s">
        <v>15</v>
      </c>
      <c r="H185" s="22" t="str">
        <f>IFERROR(VLOOKUP(Table2[[#This Row], [Ticket]],Okey!A:B,2,0),"")</f>
        <v>ok</v>
      </c>
      <c r="I185" s="13" t="s">
        <v>276</v>
      </c>
      <c r="J185" s="22" t="str">
        <f>VLOOKUP(Table2[[#This Row], [Author]],People!A:B,2,0)</f>
        <v>MGF</v>
      </c>
      <c r="K185" s="13"/>
      <c r="L185" s="13"/>
      <c r="M185" s="23" t="s">
        <v>344</v>
      </c>
    </row>
    <row r="186" spans="1:13" ht="19.5" customHeight="1">
      <c r="A186" s="18">
        <f t="shared" si="2"/>
        <v>185</v>
      </c>
      <c r="B186" s="11" t="s">
        <v>6</v>
      </c>
      <c r="C186" s="11" t="s">
        <v>34</v>
      </c>
      <c r="D186" s="11" t="s">
        <v>613</v>
      </c>
      <c r="E186" s="11" t="s">
        <v>614</v>
      </c>
      <c r="F186" s="11"/>
      <c r="G186" s="11" t="s">
        <v>15</v>
      </c>
      <c r="H186" s="19" t="str">
        <f>IFERROR(VLOOKUP(Table2[[#This Row], [Ticket]],Okey!A:B,2,0),"")</f>
        <v>ok</v>
      </c>
      <c r="I186" s="11" t="s">
        <v>276</v>
      </c>
      <c r="J186" s="19" t="e">
        <f>VLOOKUP(Table2[[#This Row], [Author]],People!A:B,2,0)</f>
        <v>#N/A</v>
      </c>
      <c r="K186" s="11"/>
      <c r="L186" s="11"/>
      <c r="M186" s="20" t="s">
        <v>344</v>
      </c>
    </row>
    <row r="187" spans="1:13" ht="19.5" customHeight="1">
      <c r="A187" s="21">
        <f t="shared" si="2"/>
        <v>186</v>
      </c>
      <c r="B187" s="13" t="s">
        <v>6</v>
      </c>
      <c r="C187" s="13" t="s">
        <v>34</v>
      </c>
      <c r="D187" s="13" t="s">
        <v>615</v>
      </c>
      <c r="E187" s="13" t="s">
        <v>616</v>
      </c>
      <c r="F187" s="13"/>
      <c r="G187" s="13" t="s">
        <v>15</v>
      </c>
      <c r="H187" s="22" t="str">
        <f>IFERROR(VLOOKUP(Table2[[#This Row], [Ticket]],Okey!A:B,2,0),"")</f>
        <v>ok</v>
      </c>
      <c r="I187" s="13" t="s">
        <v>276</v>
      </c>
      <c r="J187" s="22" t="e">
        <f>VLOOKUP(Table2[[#This Row], [Author]],People!A:B,2,0)</f>
        <v>#N/A</v>
      </c>
      <c r="K187" s="13"/>
      <c r="L187" s="13"/>
      <c r="M187" s="23" t="s">
        <v>344</v>
      </c>
    </row>
    <row r="188" spans="1:13" ht="19.5" customHeight="1">
      <c r="A188" s="18">
        <f t="shared" si="2"/>
        <v>187</v>
      </c>
      <c r="B188" s="11" t="s">
        <v>6</v>
      </c>
      <c r="C188" s="11" t="s">
        <v>34</v>
      </c>
      <c r="D188" s="11" t="s">
        <v>617</v>
      </c>
      <c r="E188" s="11" t="s">
        <v>618</v>
      </c>
      <c r="F188" s="11"/>
      <c r="G188" s="11" t="s">
        <v>15</v>
      </c>
      <c r="H188" s="19" t="str">
        <f>IFERROR(VLOOKUP(Table2[[#This Row], [Ticket]],Okey!A:B,2,0),"")</f>
        <v>ok</v>
      </c>
      <c r="I188" s="11" t="s">
        <v>276</v>
      </c>
      <c r="J188" s="19" t="e">
        <f>VLOOKUP(Table2[[#This Row], [Author]],People!A:B,2,0)</f>
        <v>#N/A</v>
      </c>
      <c r="K188" s="11"/>
      <c r="L188" s="11"/>
      <c r="M188" s="20" t="s">
        <v>344</v>
      </c>
    </row>
    <row r="189" spans="1:13" ht="19.5" customHeight="1">
      <c r="A189" s="21">
        <f t="shared" si="2"/>
        <v>188</v>
      </c>
      <c r="B189" s="13" t="s">
        <v>6</v>
      </c>
      <c r="C189" s="13" t="s">
        <v>34</v>
      </c>
      <c r="D189" s="13" t="s">
        <v>619</v>
      </c>
      <c r="E189" s="13" t="s">
        <v>620</v>
      </c>
      <c r="F189" s="13"/>
      <c r="G189" s="13" t="s">
        <v>15</v>
      </c>
      <c r="H189" s="22" t="str">
        <f>IFERROR(VLOOKUP(Table2[[#This Row], [Ticket]],Okey!A:B,2,0),"")</f>
        <v>ok</v>
      </c>
      <c r="I189" s="13" t="s">
        <v>276</v>
      </c>
      <c r="J189" s="22" t="e">
        <f>VLOOKUP(Table2[[#This Row], [Author]],People!A:B,2,0)</f>
        <v>#N/A</v>
      </c>
      <c r="K189" s="13"/>
      <c r="L189" s="13"/>
      <c r="M189" s="23" t="s">
        <v>344</v>
      </c>
    </row>
    <row r="190" spans="1:13" ht="19.5" customHeight="1">
      <c r="A190" s="18">
        <f t="shared" si="2"/>
        <v>189</v>
      </c>
      <c r="B190" s="11" t="s">
        <v>6</v>
      </c>
      <c r="C190" s="11" t="s">
        <v>34</v>
      </c>
      <c r="D190" s="11" t="s">
        <v>621</v>
      </c>
      <c r="E190" s="11" t="s">
        <v>622</v>
      </c>
      <c r="F190" s="11"/>
      <c r="G190" s="11" t="s">
        <v>15</v>
      </c>
      <c r="H190" s="19" t="str">
        <f>IFERROR(VLOOKUP(Table2[[#This Row], [Ticket]],Okey!A:B,2,0),"")</f>
        <v>ok</v>
      </c>
      <c r="I190" s="11" t="s">
        <v>276</v>
      </c>
      <c r="J190" s="19" t="e">
        <f>VLOOKUP(Table2[[#This Row], [Author]],People!A:B,2,0)</f>
        <v>#N/A</v>
      </c>
      <c r="K190" s="11"/>
      <c r="L190" s="11"/>
      <c r="M190" s="20" t="s">
        <v>344</v>
      </c>
    </row>
    <row r="191" spans="1:13" ht="19.5" customHeight="1">
      <c r="A191" s="21">
        <f t="shared" si="2"/>
        <v>190</v>
      </c>
      <c r="B191" s="13" t="s">
        <v>6</v>
      </c>
      <c r="C191" s="13" t="s">
        <v>34</v>
      </c>
      <c r="D191" s="13" t="s">
        <v>623</v>
      </c>
      <c r="E191" s="13" t="s">
        <v>548</v>
      </c>
      <c r="F191" s="13"/>
      <c r="G191" s="13" t="s">
        <v>15</v>
      </c>
      <c r="H191" s="22" t="str">
        <f>IFERROR(VLOOKUP(Table2[[#This Row], [Ticket]],Okey!A:B,2,0),"")</f>
        <v>ok</v>
      </c>
      <c r="I191" s="13" t="s">
        <v>276</v>
      </c>
      <c r="J191" s="22" t="e">
        <f>VLOOKUP(Table2[[#This Row], [Author]],People!A:B,2,0)</f>
        <v>#N/A</v>
      </c>
      <c r="K191" s="13"/>
      <c r="L191" s="13"/>
      <c r="M191" s="23" t="s">
        <v>344</v>
      </c>
    </row>
    <row r="192" spans="1:13" ht="19.5" customHeight="1">
      <c r="A192" s="18">
        <f t="shared" si="2"/>
        <v>191</v>
      </c>
      <c r="B192" s="11" t="s">
        <v>6</v>
      </c>
      <c r="C192" s="11" t="s">
        <v>34</v>
      </c>
      <c r="D192" s="11" t="s">
        <v>624</v>
      </c>
      <c r="E192" s="11" t="s">
        <v>625</v>
      </c>
      <c r="F192" s="11"/>
      <c r="G192" s="11" t="s">
        <v>15</v>
      </c>
      <c r="H192" s="19" t="str">
        <f>IFERROR(VLOOKUP(Table2[[#This Row], [Ticket]],Okey!A:B,2,0),"")</f>
        <v>ok</v>
      </c>
      <c r="I192" s="11" t="s">
        <v>276</v>
      </c>
      <c r="J192" s="19" t="e">
        <f>VLOOKUP(Table2[[#This Row], [Author]],People!A:B,2,0)</f>
        <v>#N/A</v>
      </c>
      <c r="K192" s="11"/>
      <c r="L192" s="11"/>
      <c r="M192" s="20" t="s">
        <v>344</v>
      </c>
    </row>
    <row r="193" spans="1:13" ht="19.5" customHeight="1">
      <c r="A193" s="21">
        <f t="shared" si="2"/>
        <v>192</v>
      </c>
      <c r="B193" s="13" t="s">
        <v>6</v>
      </c>
      <c r="C193" s="13" t="s">
        <v>34</v>
      </c>
      <c r="D193" s="13" t="s">
        <v>626</v>
      </c>
      <c r="E193" s="13" t="s">
        <v>550</v>
      </c>
      <c r="F193" s="13"/>
      <c r="G193" s="13" t="s">
        <v>15</v>
      </c>
      <c r="H193" s="22" t="str">
        <f>IFERROR(VLOOKUP(Table2[[#This Row], [Ticket]],Okey!A:B,2,0),"")</f>
        <v>ok</v>
      </c>
      <c r="I193" s="13" t="s">
        <v>276</v>
      </c>
      <c r="J193" s="22" t="e">
        <f>VLOOKUP(Table2[[#This Row], [Author]],People!A:B,2,0)</f>
        <v>#N/A</v>
      </c>
      <c r="K193" s="13"/>
      <c r="L193" s="13"/>
      <c r="M193" s="23" t="s">
        <v>344</v>
      </c>
    </row>
    <row r="194" spans="1:13" ht="19.5" customHeight="1">
      <c r="A194" s="18">
        <f t="shared" si="2"/>
        <v>193</v>
      </c>
      <c r="B194" s="11" t="s">
        <v>6</v>
      </c>
      <c r="C194" s="11" t="s">
        <v>34</v>
      </c>
      <c r="D194" s="11" t="s">
        <v>627</v>
      </c>
      <c r="E194" s="11" t="s">
        <v>628</v>
      </c>
      <c r="F194" s="11"/>
      <c r="G194" s="11" t="s">
        <v>15</v>
      </c>
      <c r="H194" s="19" t="str">
        <f>IFERROR(VLOOKUP(Table2[[#This Row], [Ticket]],Okey!A:B,2,0),"")</f>
        <v>ok</v>
      </c>
      <c r="I194" s="11" t="s">
        <v>276</v>
      </c>
      <c r="J194" s="19" t="e">
        <f>VLOOKUP(Table2[[#This Row], [Author]],People!A:B,2,0)</f>
        <v>#N/A</v>
      </c>
      <c r="K194" s="11"/>
      <c r="L194" s="11"/>
      <c r="M194" s="20" t="s">
        <v>344</v>
      </c>
    </row>
    <row r="195" spans="1:13" ht="19.5" customHeight="1">
      <c r="A195" s="21">
        <f t="shared" ref="A195:A258" si="3">1+A194</f>
        <v>194</v>
      </c>
      <c r="B195" s="13" t="s">
        <v>6</v>
      </c>
      <c r="C195" s="13" t="s">
        <v>34</v>
      </c>
      <c r="D195" s="13" t="s">
        <v>629</v>
      </c>
      <c r="E195" s="13" t="s">
        <v>630</v>
      </c>
      <c r="F195" s="13"/>
      <c r="G195" s="13" t="s">
        <v>15</v>
      </c>
      <c r="H195" s="22" t="str">
        <f>IFERROR(VLOOKUP(Table2[[#This Row], [Ticket]],Okey!A:B,2,0),"")</f>
        <v>ok</v>
      </c>
      <c r="I195" s="13" t="s">
        <v>276</v>
      </c>
      <c r="J195" s="22" t="e">
        <f>VLOOKUP(Table2[[#This Row], [Author]],People!A:B,2,0)</f>
        <v>#N/A</v>
      </c>
      <c r="K195" s="13"/>
      <c r="L195" s="13"/>
      <c r="M195" s="23" t="s">
        <v>344</v>
      </c>
    </row>
    <row r="196" spans="1:13" ht="19.5" customHeight="1">
      <c r="A196" s="18">
        <f t="shared" si="3"/>
        <v>195</v>
      </c>
      <c r="B196" s="11" t="s">
        <v>6</v>
      </c>
      <c r="C196" s="11" t="s">
        <v>34</v>
      </c>
      <c r="D196" s="11" t="s">
        <v>631</v>
      </c>
      <c r="E196" s="11" t="s">
        <v>632</v>
      </c>
      <c r="F196" s="11"/>
      <c r="G196" s="11" t="s">
        <v>15</v>
      </c>
      <c r="H196" s="19" t="str">
        <f>IFERROR(VLOOKUP(Table2[[#This Row], [Ticket]],Okey!A:B,2,0),"")</f>
        <v>ok</v>
      </c>
      <c r="I196" s="11" t="s">
        <v>276</v>
      </c>
      <c r="J196" s="19" t="e">
        <f>VLOOKUP(Table2[[#This Row], [Author]],People!A:B,2,0)</f>
        <v>#N/A</v>
      </c>
      <c r="K196" s="11"/>
      <c r="L196" s="11"/>
      <c r="M196" s="20" t="s">
        <v>344</v>
      </c>
    </row>
    <row r="197" spans="1:13" ht="19.5" customHeight="1">
      <c r="A197" s="21">
        <f t="shared" si="3"/>
        <v>196</v>
      </c>
      <c r="B197" s="13" t="s">
        <v>6</v>
      </c>
      <c r="C197" s="13" t="s">
        <v>34</v>
      </c>
      <c r="D197" s="13" t="s">
        <v>633</v>
      </c>
      <c r="E197" s="13" t="s">
        <v>634</v>
      </c>
      <c r="F197" s="13"/>
      <c r="G197" s="13" t="s">
        <v>15</v>
      </c>
      <c r="H197" s="22" t="str">
        <f>IFERROR(VLOOKUP(Table2[[#This Row], [Ticket]],Okey!A:B,2,0),"")</f>
        <v>ok</v>
      </c>
      <c r="I197" s="13" t="s">
        <v>276</v>
      </c>
      <c r="J197" s="22" t="e">
        <f>VLOOKUP(Table2[[#This Row], [Author]],People!A:B,2,0)</f>
        <v>#N/A</v>
      </c>
      <c r="K197" s="13"/>
      <c r="L197" s="13"/>
      <c r="M197" s="23" t="s">
        <v>344</v>
      </c>
    </row>
    <row r="198" spans="1:13" ht="19.5" customHeight="1">
      <c r="A198" s="18">
        <f t="shared" si="3"/>
        <v>197</v>
      </c>
      <c r="B198" s="11" t="s">
        <v>6</v>
      </c>
      <c r="C198" s="11" t="s">
        <v>34</v>
      </c>
      <c r="D198" s="11" t="s">
        <v>635</v>
      </c>
      <c r="E198" s="11" t="s">
        <v>636</v>
      </c>
      <c r="F198" s="11"/>
      <c r="G198" s="11" t="s">
        <v>15</v>
      </c>
      <c r="H198" s="19" t="str">
        <f>IFERROR(VLOOKUP(Table2[[#This Row], [Ticket]],Okey!A:B,2,0),"")</f>
        <v>ok</v>
      </c>
      <c r="I198" s="11" t="s">
        <v>276</v>
      </c>
      <c r="J198" s="19" t="e">
        <f>VLOOKUP(Table2[[#This Row], [Author]],People!A:B,2,0)</f>
        <v>#N/A</v>
      </c>
      <c r="K198" s="11"/>
      <c r="L198" s="11"/>
      <c r="M198" s="20" t="s">
        <v>344</v>
      </c>
    </row>
    <row r="199" spans="1:13" ht="19.5" customHeight="1">
      <c r="A199" s="21">
        <f t="shared" si="3"/>
        <v>198</v>
      </c>
      <c r="B199" s="13" t="s">
        <v>6</v>
      </c>
      <c r="C199" s="13" t="s">
        <v>34</v>
      </c>
      <c r="D199" s="13" t="s">
        <v>637</v>
      </c>
      <c r="E199" s="13" t="s">
        <v>638</v>
      </c>
      <c r="F199" s="13"/>
      <c r="G199" s="13" t="s">
        <v>15</v>
      </c>
      <c r="H199" s="22" t="str">
        <f>IFERROR(VLOOKUP(Table2[[#This Row], [Ticket]],Okey!A:B,2,0),"")</f>
        <v>ok</v>
      </c>
      <c r="I199" s="13" t="s">
        <v>276</v>
      </c>
      <c r="J199" s="22" t="e">
        <f>VLOOKUP(Table2[[#This Row], [Author]],People!A:B,2,0)</f>
        <v>#N/A</v>
      </c>
      <c r="K199" s="13"/>
      <c r="L199" s="13"/>
      <c r="M199" s="23" t="s">
        <v>344</v>
      </c>
    </row>
    <row r="200" spans="1:13" ht="19.5" customHeight="1">
      <c r="A200" s="18">
        <f t="shared" si="3"/>
        <v>199</v>
      </c>
      <c r="B200" s="11" t="s">
        <v>6</v>
      </c>
      <c r="C200" s="11" t="s">
        <v>34</v>
      </c>
      <c r="D200" s="11" t="s">
        <v>639</v>
      </c>
      <c r="E200" s="11" t="s">
        <v>640</v>
      </c>
      <c r="F200" s="11"/>
      <c r="G200" s="11" t="s">
        <v>15</v>
      </c>
      <c r="H200" s="19" t="str">
        <f>IFERROR(VLOOKUP(Table2[[#This Row], [Ticket]],Okey!A:B,2,0),"")</f>
        <v>ok</v>
      </c>
      <c r="I200" s="11" t="s">
        <v>276</v>
      </c>
      <c r="J200" s="19" t="e">
        <f>VLOOKUP(Table2[[#This Row], [Author]],People!A:B,2,0)</f>
        <v>#N/A</v>
      </c>
      <c r="K200" s="11"/>
      <c r="L200" s="11"/>
      <c r="M200" s="20" t="s">
        <v>344</v>
      </c>
    </row>
    <row r="201" spans="1:13" ht="19.5" customHeight="1">
      <c r="A201" s="21">
        <f t="shared" si="3"/>
        <v>200</v>
      </c>
      <c r="B201" s="13" t="s">
        <v>6</v>
      </c>
      <c r="C201" s="13" t="s">
        <v>34</v>
      </c>
      <c r="D201" s="13" t="s">
        <v>641</v>
      </c>
      <c r="E201" s="13" t="s">
        <v>642</v>
      </c>
      <c r="F201" s="13"/>
      <c r="G201" s="13" t="s">
        <v>15</v>
      </c>
      <c r="H201" s="22" t="str">
        <f>IFERROR(VLOOKUP(Table2[[#This Row], [Ticket]],Okey!A:B,2,0),"")</f>
        <v>ok</v>
      </c>
      <c r="I201" s="13" t="s">
        <v>276</v>
      </c>
      <c r="J201" s="22" t="e">
        <f>VLOOKUP(Table2[[#This Row], [Author]],People!A:B,2,0)</f>
        <v>#N/A</v>
      </c>
      <c r="K201" s="13"/>
      <c r="L201" s="13"/>
      <c r="M201" s="23" t="s">
        <v>344</v>
      </c>
    </row>
    <row r="202" spans="1:13" ht="19.5" customHeight="1">
      <c r="A202" s="18">
        <f t="shared" si="3"/>
        <v>201</v>
      </c>
      <c r="B202" s="11" t="s">
        <v>6</v>
      </c>
      <c r="C202" s="11" t="s">
        <v>34</v>
      </c>
      <c r="D202" s="11" t="s">
        <v>643</v>
      </c>
      <c r="E202" s="11" t="s">
        <v>644</v>
      </c>
      <c r="F202" s="11"/>
      <c r="G202" s="11" t="s">
        <v>15</v>
      </c>
      <c r="H202" s="19" t="str">
        <f>IFERROR(VLOOKUP(Table2[[#This Row], [Ticket]],Okey!A:B,2,0),"")</f>
        <v>ok</v>
      </c>
      <c r="I202" s="11" t="s">
        <v>276</v>
      </c>
      <c r="J202" s="19" t="e">
        <f>VLOOKUP(Table2[[#This Row], [Author]],People!A:B,2,0)</f>
        <v>#N/A</v>
      </c>
      <c r="K202" s="11"/>
      <c r="L202" s="11"/>
      <c r="M202" s="20" t="s">
        <v>344</v>
      </c>
    </row>
    <row r="203" spans="1:13" ht="19.5" customHeight="1">
      <c r="A203" s="21">
        <f t="shared" si="3"/>
        <v>202</v>
      </c>
      <c r="B203" s="13" t="s">
        <v>6</v>
      </c>
      <c r="C203" s="13" t="s">
        <v>34</v>
      </c>
      <c r="D203" s="13" t="s">
        <v>645</v>
      </c>
      <c r="E203" s="13" t="s">
        <v>646</v>
      </c>
      <c r="F203" s="13"/>
      <c r="G203" s="13" t="s">
        <v>15</v>
      </c>
      <c r="H203" s="22" t="str">
        <f>IFERROR(VLOOKUP(Table2[[#This Row], [Ticket]],Okey!A:B,2,0),"")</f>
        <v>ok</v>
      </c>
      <c r="I203" s="13" t="s">
        <v>276</v>
      </c>
      <c r="J203" s="22" t="e">
        <f>VLOOKUP(Table2[[#This Row], [Author]],People!A:B,2,0)</f>
        <v>#N/A</v>
      </c>
      <c r="K203" s="13"/>
      <c r="L203" s="13"/>
      <c r="M203" s="23" t="s">
        <v>344</v>
      </c>
    </row>
    <row r="204" spans="1:13" ht="19.5" customHeight="1">
      <c r="A204" s="18">
        <f t="shared" si="3"/>
        <v>203</v>
      </c>
      <c r="B204" s="11" t="s">
        <v>6</v>
      </c>
      <c r="C204" s="11" t="s">
        <v>34</v>
      </c>
      <c r="D204" s="11" t="s">
        <v>647</v>
      </c>
      <c r="E204" s="11" t="s">
        <v>648</v>
      </c>
      <c r="F204" s="11"/>
      <c r="G204" s="11" t="s">
        <v>15</v>
      </c>
      <c r="H204" s="19" t="str">
        <f>IFERROR(VLOOKUP(Table2[[#This Row], [Ticket]],Okey!A:B,2,0),"")</f>
        <v>ok</v>
      </c>
      <c r="I204" s="11" t="s">
        <v>276</v>
      </c>
      <c r="J204" s="19" t="e">
        <f>VLOOKUP(Table2[[#This Row], [Author]],People!A:B,2,0)</f>
        <v>#N/A</v>
      </c>
      <c r="K204" s="11"/>
      <c r="L204" s="11"/>
      <c r="M204" s="20" t="s">
        <v>344</v>
      </c>
    </row>
    <row r="205" spans="1:13" ht="19.5" customHeight="1">
      <c r="A205" s="21">
        <f t="shared" si="3"/>
        <v>204</v>
      </c>
      <c r="B205" s="13" t="s">
        <v>6</v>
      </c>
      <c r="C205" s="13" t="s">
        <v>34</v>
      </c>
      <c r="D205" s="13" t="s">
        <v>649</v>
      </c>
      <c r="E205" s="13" t="s">
        <v>650</v>
      </c>
      <c r="F205" s="13"/>
      <c r="G205" s="13" t="s">
        <v>15</v>
      </c>
      <c r="H205" s="22" t="str">
        <f>IFERROR(VLOOKUP(Table2[[#This Row], [Ticket]],Okey!A:B,2,0),"")</f>
        <v>ok</v>
      </c>
      <c r="I205" s="13" t="s">
        <v>276</v>
      </c>
      <c r="J205" s="22" t="str">
        <f>VLOOKUP(Table2[[#This Row], [Author]],People!A:B,2,0)</f>
        <v>LS</v>
      </c>
      <c r="K205" s="13"/>
      <c r="L205" s="13"/>
      <c r="M205" s="23" t="s">
        <v>344</v>
      </c>
    </row>
    <row r="206" spans="1:13" ht="19.5" customHeight="1">
      <c r="A206" s="18">
        <f t="shared" si="3"/>
        <v>205</v>
      </c>
      <c r="B206" s="11" t="s">
        <v>6</v>
      </c>
      <c r="C206" s="11" t="s">
        <v>34</v>
      </c>
      <c r="D206" s="11" t="s">
        <v>651</v>
      </c>
      <c r="E206" s="11" t="s">
        <v>652</v>
      </c>
      <c r="F206" s="11"/>
      <c r="G206" s="11" t="s">
        <v>15</v>
      </c>
      <c r="H206" s="19" t="str">
        <f>IFERROR(VLOOKUP(Table2[[#This Row], [Ticket]],Okey!A:B,2,0),"")</f>
        <v>ok</v>
      </c>
      <c r="I206" s="11" t="s">
        <v>276</v>
      </c>
      <c r="J206" s="19" t="str">
        <f>VLOOKUP(Table2[[#This Row], [Author]],People!A:B,2,0)</f>
        <v>LS</v>
      </c>
      <c r="K206" s="11"/>
      <c r="L206" s="11"/>
      <c r="M206" s="20" t="s">
        <v>344</v>
      </c>
    </row>
    <row r="207" spans="1:13" ht="19.5" customHeight="1">
      <c r="A207" s="21">
        <f t="shared" si="3"/>
        <v>206</v>
      </c>
      <c r="B207" s="13" t="s">
        <v>6</v>
      </c>
      <c r="C207" s="13" t="s">
        <v>34</v>
      </c>
      <c r="D207" s="13" t="s">
        <v>653</v>
      </c>
      <c r="E207" s="13" t="s">
        <v>654</v>
      </c>
      <c r="F207" s="13"/>
      <c r="G207" s="13" t="s">
        <v>15</v>
      </c>
      <c r="H207" s="22" t="str">
        <f>IFERROR(VLOOKUP(Table2[[#This Row], [Ticket]],Okey!A:B,2,0),"")</f>
        <v>ok</v>
      </c>
      <c r="I207" s="13" t="s">
        <v>276</v>
      </c>
      <c r="J207" s="22" t="str">
        <f>VLOOKUP(Table2[[#This Row], [Author]],People!A:B,2,0)</f>
        <v>LS</v>
      </c>
      <c r="K207" s="13"/>
      <c r="L207" s="13"/>
      <c r="M207" s="23" t="s">
        <v>344</v>
      </c>
    </row>
    <row r="208" spans="1:13" ht="19.5" customHeight="1">
      <c r="A208" s="18">
        <f t="shared" si="3"/>
        <v>207</v>
      </c>
      <c r="B208" s="11" t="s">
        <v>6</v>
      </c>
      <c r="C208" s="11" t="s">
        <v>35</v>
      </c>
      <c r="D208" s="11" t="s">
        <v>655</v>
      </c>
      <c r="E208" s="11" t="s">
        <v>656</v>
      </c>
      <c r="F208" s="11" t="s">
        <v>657</v>
      </c>
      <c r="G208" s="11" t="s">
        <v>14</v>
      </c>
      <c r="H208" s="19" t="str">
        <f>IFERROR(VLOOKUP(Table2[[#This Row], [Ticket]],Okey!A:B,2,0),"")</f>
        <v>ok</v>
      </c>
      <c r="I208" s="11" t="s">
        <v>276</v>
      </c>
      <c r="J208" s="19" t="str">
        <f>VLOOKUP(Table2[[#This Row], [Author]],People!A:B,2,0)</f>
        <v>LS</v>
      </c>
      <c r="K208" s="11"/>
      <c r="L208" s="11"/>
      <c r="M208" s="20" t="s">
        <v>658</v>
      </c>
    </row>
    <row r="209" spans="1:13" ht="19.5" customHeight="1">
      <c r="A209" s="21">
        <f t="shared" si="3"/>
        <v>208</v>
      </c>
      <c r="B209" s="13" t="s">
        <v>6</v>
      </c>
      <c r="C209" s="13" t="s">
        <v>36</v>
      </c>
      <c r="D209" s="13" t="s">
        <v>659</v>
      </c>
      <c r="E209" s="13" t="s">
        <v>660</v>
      </c>
      <c r="F209" s="13"/>
      <c r="G209" s="13" t="s">
        <v>15</v>
      </c>
      <c r="H209" s="22" t="str">
        <f>IFERROR(VLOOKUP(Table2[[#This Row], [Ticket]],Okey!A:B,2,0),"")</f>
        <v>ok</v>
      </c>
      <c r="I209" s="13" t="s">
        <v>276</v>
      </c>
      <c r="J209" s="22" t="str">
        <f>VLOOKUP(Table2[[#This Row], [Author]],People!A:B,2,0)</f>
        <v>LS</v>
      </c>
      <c r="K209" s="13"/>
      <c r="L209" s="13"/>
      <c r="M209" s="23" t="s">
        <v>661</v>
      </c>
    </row>
    <row r="210" spans="1:13" ht="19.5" customHeight="1">
      <c r="A210" s="18">
        <f t="shared" si="3"/>
        <v>209</v>
      </c>
      <c r="B210" s="11" t="s">
        <v>6</v>
      </c>
      <c r="C210" s="11" t="s">
        <v>36</v>
      </c>
      <c r="D210" s="11" t="s">
        <v>662</v>
      </c>
      <c r="E210" s="11" t="s">
        <v>663</v>
      </c>
      <c r="F210" s="11"/>
      <c r="G210" s="11" t="s">
        <v>15</v>
      </c>
      <c r="H210" s="19" t="str">
        <f>IFERROR(VLOOKUP(Table2[[#This Row], [Ticket]],Okey!A:B,2,0),"")</f>
        <v>ok</v>
      </c>
      <c r="I210" s="11" t="s">
        <v>276</v>
      </c>
      <c r="J210" s="19" t="str">
        <f>VLOOKUP(Table2[[#This Row], [Author]],People!A:B,2,0)</f>
        <v>LS</v>
      </c>
      <c r="K210" s="11"/>
      <c r="L210" s="11"/>
      <c r="M210" s="20" t="s">
        <v>661</v>
      </c>
    </row>
    <row r="211" spans="1:13" ht="19.5" customHeight="1">
      <c r="A211" s="21">
        <f t="shared" si="3"/>
        <v>210</v>
      </c>
      <c r="B211" s="13" t="s">
        <v>6</v>
      </c>
      <c r="C211" s="13" t="s">
        <v>36</v>
      </c>
      <c r="D211" s="13" t="s">
        <v>664</v>
      </c>
      <c r="E211" s="13" t="s">
        <v>665</v>
      </c>
      <c r="F211" s="13"/>
      <c r="G211" s="13" t="s">
        <v>15</v>
      </c>
      <c r="H211" s="22" t="str">
        <f>IFERROR(VLOOKUP(Table2[[#This Row], [Ticket]],Okey!A:B,2,0),"")</f>
        <v>ok</v>
      </c>
      <c r="I211" s="13" t="s">
        <v>276</v>
      </c>
      <c r="J211" s="22" t="str">
        <f>VLOOKUP(Table2[[#This Row], [Author]],People!A:B,2,0)</f>
        <v>LS</v>
      </c>
      <c r="K211" s="13"/>
      <c r="L211" s="13"/>
      <c r="M211" s="23" t="s">
        <v>661</v>
      </c>
    </row>
    <row r="212" spans="1:13" ht="19.5" customHeight="1">
      <c r="A212" s="18">
        <f t="shared" si="3"/>
        <v>211</v>
      </c>
      <c r="B212" s="11" t="s">
        <v>6</v>
      </c>
      <c r="C212" s="11" t="s">
        <v>36</v>
      </c>
      <c r="D212" s="11" t="s">
        <v>666</v>
      </c>
      <c r="E212" s="11" t="s">
        <v>667</v>
      </c>
      <c r="F212" s="11"/>
      <c r="G212" s="11" t="s">
        <v>15</v>
      </c>
      <c r="H212" s="19" t="str">
        <f>IFERROR(VLOOKUP(Table2[[#This Row], [Ticket]],Okey!A:B,2,0),"")</f>
        <v>ok</v>
      </c>
      <c r="I212" s="11" t="s">
        <v>276</v>
      </c>
      <c r="J212" s="19" t="str">
        <f>VLOOKUP(Table2[[#This Row], [Author]],People!A:B,2,0)</f>
        <v>LS</v>
      </c>
      <c r="K212" s="11"/>
      <c r="L212" s="11"/>
      <c r="M212" s="20" t="s">
        <v>661</v>
      </c>
    </row>
    <row r="213" spans="1:13" ht="19.5" customHeight="1">
      <c r="A213" s="21">
        <f t="shared" si="3"/>
        <v>212</v>
      </c>
      <c r="B213" s="13" t="s">
        <v>6</v>
      </c>
      <c r="C213" s="13" t="s">
        <v>36</v>
      </c>
      <c r="D213" s="13" t="s">
        <v>668</v>
      </c>
      <c r="E213" s="13" t="s">
        <v>669</v>
      </c>
      <c r="F213" s="13" t="s">
        <v>670</v>
      </c>
      <c r="G213" s="13" t="s">
        <v>16</v>
      </c>
      <c r="H213" s="22" t="str">
        <f>IFERROR(VLOOKUP(Table2[[#This Row], [Ticket]],Okey!A:B,2,0),"")</f>
        <v>ok</v>
      </c>
      <c r="I213" s="13" t="s">
        <v>276</v>
      </c>
      <c r="J213" s="22" t="str">
        <f>VLOOKUP(Table2[[#This Row], [Author]],People!A:B,2,0)</f>
        <v>LS</v>
      </c>
      <c r="K213" s="13"/>
      <c r="L213" s="13"/>
      <c r="M213" s="23" t="s">
        <v>661</v>
      </c>
    </row>
    <row r="214" spans="1:13" ht="19.5" customHeight="1">
      <c r="A214" s="18">
        <f t="shared" si="3"/>
        <v>213</v>
      </c>
      <c r="B214" s="11" t="s">
        <v>6</v>
      </c>
      <c r="C214" s="11" t="s">
        <v>36</v>
      </c>
      <c r="D214" s="11" t="s">
        <v>671</v>
      </c>
      <c r="E214" s="11"/>
      <c r="F214" s="11" t="s">
        <v>670</v>
      </c>
      <c r="G214" s="11" t="s">
        <v>13</v>
      </c>
      <c r="H214" s="19" t="str">
        <f>IFERROR(VLOOKUP(Table2[[#This Row], [Ticket]],Okey!A:B,2,0),"")</f>
        <v>ok</v>
      </c>
      <c r="I214" s="11" t="s">
        <v>276</v>
      </c>
      <c r="J214" s="19" t="str">
        <f>VLOOKUP(Table2[[#This Row], [Author]],People!A:B,2,0)</f>
        <v>LS</v>
      </c>
      <c r="K214" s="11"/>
      <c r="L214" s="11"/>
      <c r="M214" s="20" t="s">
        <v>661</v>
      </c>
    </row>
    <row r="215" spans="1:13" ht="19.5" customHeight="1">
      <c r="A215" s="21">
        <f t="shared" si="3"/>
        <v>214</v>
      </c>
      <c r="B215" s="13" t="s">
        <v>6</v>
      </c>
      <c r="C215" s="13" t="s">
        <v>36</v>
      </c>
      <c r="D215" s="13" t="s">
        <v>672</v>
      </c>
      <c r="E215" s="13" t="s">
        <v>673</v>
      </c>
      <c r="F215" s="13" t="s">
        <v>670</v>
      </c>
      <c r="G215" s="13" t="s">
        <v>16</v>
      </c>
      <c r="H215" s="22" t="str">
        <f>IFERROR(VLOOKUP(Table2[[#This Row], [Ticket]],Okey!A:B,2,0),"")</f>
        <v>ok</v>
      </c>
      <c r="I215" s="13" t="s">
        <v>276</v>
      </c>
      <c r="J215" s="22" t="str">
        <f>VLOOKUP(Table2[[#This Row], [Author]],People!A:B,2,0)</f>
        <v>LS</v>
      </c>
      <c r="K215" s="13"/>
      <c r="L215" s="13"/>
      <c r="M215" s="23" t="s">
        <v>661</v>
      </c>
    </row>
    <row r="216" spans="1:13" ht="19.5" customHeight="1">
      <c r="A216" s="18">
        <f t="shared" si="3"/>
        <v>215</v>
      </c>
      <c r="B216" s="11" t="s">
        <v>6</v>
      </c>
      <c r="C216" s="11" t="s">
        <v>36</v>
      </c>
      <c r="D216" s="11" t="s">
        <v>674</v>
      </c>
      <c r="E216" s="11" t="s">
        <v>660</v>
      </c>
      <c r="F216" s="11" t="s">
        <v>670</v>
      </c>
      <c r="G216" s="11" t="s">
        <v>14</v>
      </c>
      <c r="H216" s="19" t="str">
        <f>IFERROR(VLOOKUP(Table2[[#This Row], [Ticket]],Okey!A:B,2,0),"")</f>
        <v>ok</v>
      </c>
      <c r="I216" s="11" t="s">
        <v>276</v>
      </c>
      <c r="J216" s="19" t="str">
        <f>VLOOKUP(Table2[[#This Row], [Author]],People!A:B,2,0)</f>
        <v>LS</v>
      </c>
      <c r="K216" s="11"/>
      <c r="L216" s="11"/>
      <c r="M216" s="20" t="s">
        <v>661</v>
      </c>
    </row>
    <row r="217" spans="1:13" ht="19.5" customHeight="1">
      <c r="A217" s="21">
        <f t="shared" si="3"/>
        <v>216</v>
      </c>
      <c r="B217" s="13" t="s">
        <v>6</v>
      </c>
      <c r="C217" s="13" t="s">
        <v>37</v>
      </c>
      <c r="D217" s="13" t="s">
        <v>675</v>
      </c>
      <c r="E217" s="13" t="s">
        <v>676</v>
      </c>
      <c r="F217" s="13" t="s">
        <v>505</v>
      </c>
      <c r="G217" s="13" t="s">
        <v>14</v>
      </c>
      <c r="H217" s="22" t="str">
        <f>IFERROR(VLOOKUP(Table2[[#This Row], [Ticket]],Okey!A:B,2,0),"")</f>
        <v>ok</v>
      </c>
      <c r="I217" s="13" t="s">
        <v>276</v>
      </c>
      <c r="J217" s="22" t="str">
        <f>VLOOKUP(Table2[[#This Row], [Author]],People!A:B,2,0)</f>
        <v>LS</v>
      </c>
      <c r="K217" s="13"/>
      <c r="L217" s="13"/>
      <c r="M217" s="23" t="s">
        <v>677</v>
      </c>
    </row>
    <row r="218" spans="1:13" ht="19.5" customHeight="1">
      <c r="A218" s="18">
        <f t="shared" si="3"/>
        <v>217</v>
      </c>
      <c r="B218" s="11" t="s">
        <v>6</v>
      </c>
      <c r="C218" s="11" t="s">
        <v>37</v>
      </c>
      <c r="D218" s="11" t="s">
        <v>678</v>
      </c>
      <c r="E218" s="11" t="s">
        <v>679</v>
      </c>
      <c r="F218" s="11" t="s">
        <v>505</v>
      </c>
      <c r="G218" s="11" t="s">
        <v>14</v>
      </c>
      <c r="H218" s="19" t="str">
        <f>IFERROR(VLOOKUP(Table2[[#This Row], [Ticket]],Okey!A:B,2,0),"")</f>
        <v>ok</v>
      </c>
      <c r="I218" s="11" t="s">
        <v>276</v>
      </c>
      <c r="J218" s="19" t="str">
        <f>VLOOKUP(Table2[[#This Row], [Author]],People!A:B,2,0)</f>
        <v>LS</v>
      </c>
      <c r="K218" s="11"/>
      <c r="L218" s="11"/>
      <c r="M218" s="20" t="s">
        <v>677</v>
      </c>
    </row>
    <row r="219" spans="1:13" ht="19.5" customHeight="1">
      <c r="A219" s="21">
        <f t="shared" si="3"/>
        <v>218</v>
      </c>
      <c r="B219" s="13" t="s">
        <v>6</v>
      </c>
      <c r="C219" s="13" t="s">
        <v>37</v>
      </c>
      <c r="D219" s="13" t="s">
        <v>680</v>
      </c>
      <c r="E219" s="13" t="s">
        <v>681</v>
      </c>
      <c r="F219" s="13" t="s">
        <v>505</v>
      </c>
      <c r="G219" s="13" t="s">
        <v>14</v>
      </c>
      <c r="H219" s="22" t="str">
        <f>IFERROR(VLOOKUP(Table2[[#This Row], [Ticket]],Okey!A:B,2,0),"")</f>
        <v>ok</v>
      </c>
      <c r="I219" s="13" t="s">
        <v>276</v>
      </c>
      <c r="J219" s="22" t="str">
        <f>VLOOKUP(Table2[[#This Row], [Author]],People!A:B,2,0)</f>
        <v>LS</v>
      </c>
      <c r="K219" s="13"/>
      <c r="L219" s="13"/>
      <c r="M219" s="23" t="s">
        <v>677</v>
      </c>
    </row>
    <row r="220" spans="1:13" ht="19.5" customHeight="1">
      <c r="A220" s="18">
        <f t="shared" si="3"/>
        <v>219</v>
      </c>
      <c r="B220" s="11" t="s">
        <v>6</v>
      </c>
      <c r="C220" s="11" t="s">
        <v>37</v>
      </c>
      <c r="D220" s="11" t="s">
        <v>682</v>
      </c>
      <c r="E220" s="11" t="s">
        <v>683</v>
      </c>
      <c r="F220" s="11" t="s">
        <v>505</v>
      </c>
      <c r="G220" s="11" t="s">
        <v>14</v>
      </c>
      <c r="H220" s="19" t="str">
        <f>IFERROR(VLOOKUP(Table2[[#This Row], [Ticket]],Okey!A:B,2,0),"")</f>
        <v>ok</v>
      </c>
      <c r="I220" s="11" t="s">
        <v>276</v>
      </c>
      <c r="J220" s="19" t="str">
        <f>VLOOKUP(Table2[[#This Row], [Author]],People!A:B,2,0)</f>
        <v>LS</v>
      </c>
      <c r="K220" s="11"/>
      <c r="L220" s="11"/>
      <c r="M220" s="20" t="s">
        <v>677</v>
      </c>
    </row>
    <row r="221" spans="1:13" ht="19.5" customHeight="1">
      <c r="A221" s="21">
        <f t="shared" si="3"/>
        <v>220</v>
      </c>
      <c r="B221" s="13" t="s">
        <v>6</v>
      </c>
      <c r="C221" s="13" t="s">
        <v>37</v>
      </c>
      <c r="D221" s="13" t="s">
        <v>684</v>
      </c>
      <c r="E221" s="13" t="s">
        <v>685</v>
      </c>
      <c r="F221" s="13" t="s">
        <v>505</v>
      </c>
      <c r="G221" s="13" t="s">
        <v>14</v>
      </c>
      <c r="H221" s="22" t="str">
        <f>IFERROR(VLOOKUP(Table2[[#This Row], [Ticket]],Okey!A:B,2,0),"")</f>
        <v>ok</v>
      </c>
      <c r="I221" s="13" t="s">
        <v>276</v>
      </c>
      <c r="J221" s="22" t="str">
        <f>VLOOKUP(Table2[[#This Row], [Author]],People!A:B,2,0)</f>
        <v>LS</v>
      </c>
      <c r="K221" s="13"/>
      <c r="L221" s="13"/>
      <c r="M221" s="23" t="s">
        <v>677</v>
      </c>
    </row>
    <row r="222" spans="1:13" ht="19.5" customHeight="1">
      <c r="A222" s="18">
        <f t="shared" si="3"/>
        <v>221</v>
      </c>
      <c r="B222" s="11" t="s">
        <v>6</v>
      </c>
      <c r="C222" s="11" t="s">
        <v>37</v>
      </c>
      <c r="D222" s="11" t="s">
        <v>686</v>
      </c>
      <c r="E222" s="11" t="s">
        <v>687</v>
      </c>
      <c r="F222" s="11" t="s">
        <v>505</v>
      </c>
      <c r="G222" s="11" t="s">
        <v>14</v>
      </c>
      <c r="H222" s="19" t="str">
        <f>IFERROR(VLOOKUP(Table2[[#This Row], [Ticket]],Okey!A:B,2,0),"")</f>
        <v>ok</v>
      </c>
      <c r="I222" s="11" t="s">
        <v>276</v>
      </c>
      <c r="J222" s="19" t="str">
        <f>VLOOKUP(Table2[[#This Row], [Author]],People!A:B,2,0)</f>
        <v>LS</v>
      </c>
      <c r="K222" s="11"/>
      <c r="L222" s="11"/>
      <c r="M222" s="20" t="s">
        <v>677</v>
      </c>
    </row>
    <row r="223" spans="1:13" ht="19.5" customHeight="1">
      <c r="A223" s="21">
        <f t="shared" si="3"/>
        <v>222</v>
      </c>
      <c r="B223" s="13" t="s">
        <v>6</v>
      </c>
      <c r="C223" s="13" t="s">
        <v>37</v>
      </c>
      <c r="D223" s="13" t="s">
        <v>688</v>
      </c>
      <c r="E223" s="13" t="s">
        <v>689</v>
      </c>
      <c r="F223" s="13" t="s">
        <v>505</v>
      </c>
      <c r="G223" s="13" t="s">
        <v>14</v>
      </c>
      <c r="H223" s="22" t="str">
        <f>IFERROR(VLOOKUP(Table2[[#This Row], [Ticket]],Okey!A:B,2,0),"")</f>
        <v>ok</v>
      </c>
      <c r="I223" s="13" t="s">
        <v>276</v>
      </c>
      <c r="J223" s="22" t="str">
        <f>VLOOKUP(Table2[[#This Row], [Author]],People!A:B,2,0)</f>
        <v>LS</v>
      </c>
      <c r="K223" s="13"/>
      <c r="L223" s="13"/>
      <c r="M223" s="23" t="s">
        <v>677</v>
      </c>
    </row>
    <row r="224" spans="1:13" ht="19.5" customHeight="1">
      <c r="A224" s="18">
        <f t="shared" si="3"/>
        <v>223</v>
      </c>
      <c r="B224" s="11" t="s">
        <v>6</v>
      </c>
      <c r="C224" s="11" t="s">
        <v>37</v>
      </c>
      <c r="D224" s="11" t="s">
        <v>690</v>
      </c>
      <c r="E224" s="11" t="s">
        <v>691</v>
      </c>
      <c r="F224" s="11" t="s">
        <v>505</v>
      </c>
      <c r="G224" s="11" t="s">
        <v>14</v>
      </c>
      <c r="H224" s="19" t="str">
        <f>IFERROR(VLOOKUP(Table2[[#This Row], [Ticket]],Okey!A:B,2,0),"")</f>
        <v>ok</v>
      </c>
      <c r="I224" s="11" t="s">
        <v>276</v>
      </c>
      <c r="J224" s="19" t="str">
        <f>VLOOKUP(Table2[[#This Row], [Author]],People!A:B,2,0)</f>
        <v>LS</v>
      </c>
      <c r="K224" s="11"/>
      <c r="L224" s="11"/>
      <c r="M224" s="20" t="s">
        <v>677</v>
      </c>
    </row>
    <row r="225" spans="1:13" ht="19.5" customHeight="1">
      <c r="A225" s="21">
        <f t="shared" si="3"/>
        <v>224</v>
      </c>
      <c r="B225" s="13" t="s">
        <v>6</v>
      </c>
      <c r="C225" s="13" t="s">
        <v>37</v>
      </c>
      <c r="D225" s="13" t="s">
        <v>692</v>
      </c>
      <c r="E225" s="13" t="s">
        <v>693</v>
      </c>
      <c r="F225" s="13" t="s">
        <v>505</v>
      </c>
      <c r="G225" s="13" t="s">
        <v>14</v>
      </c>
      <c r="H225" s="22" t="str">
        <f>IFERROR(VLOOKUP(Table2[[#This Row], [Ticket]],Okey!A:B,2,0),"")</f>
        <v>ok</v>
      </c>
      <c r="I225" s="13" t="s">
        <v>276</v>
      </c>
      <c r="J225" s="22" t="str">
        <f>VLOOKUP(Table2[[#This Row], [Author]],People!A:B,2,0)</f>
        <v>LS</v>
      </c>
      <c r="K225" s="13"/>
      <c r="L225" s="13"/>
      <c r="M225" s="23" t="s">
        <v>677</v>
      </c>
    </row>
    <row r="226" spans="1:13" ht="19.5" customHeight="1">
      <c r="A226" s="18">
        <f t="shared" si="3"/>
        <v>225</v>
      </c>
      <c r="B226" s="11" t="s">
        <v>6</v>
      </c>
      <c r="C226" s="11" t="s">
        <v>37</v>
      </c>
      <c r="D226" s="11" t="s">
        <v>694</v>
      </c>
      <c r="E226" s="11" t="s">
        <v>695</v>
      </c>
      <c r="F226" s="11" t="s">
        <v>505</v>
      </c>
      <c r="G226" s="11" t="s">
        <v>14</v>
      </c>
      <c r="H226" s="19" t="str">
        <f>IFERROR(VLOOKUP(Table2[[#This Row], [Ticket]],Okey!A:B,2,0),"")</f>
        <v>ok</v>
      </c>
      <c r="I226" s="11" t="s">
        <v>276</v>
      </c>
      <c r="J226" s="19" t="str">
        <f>VLOOKUP(Table2[[#This Row], [Author]],People!A:B,2,0)</f>
        <v>LS</v>
      </c>
      <c r="K226" s="11"/>
      <c r="L226" s="11"/>
      <c r="M226" s="20" t="s">
        <v>677</v>
      </c>
    </row>
    <row r="227" spans="1:13" ht="19.5" customHeight="1">
      <c r="A227" s="21">
        <f t="shared" si="3"/>
        <v>226</v>
      </c>
      <c r="B227" s="13" t="s">
        <v>6</v>
      </c>
      <c r="C227" s="13" t="s">
        <v>37</v>
      </c>
      <c r="D227" s="13" t="s">
        <v>696</v>
      </c>
      <c r="E227" s="13" t="s">
        <v>697</v>
      </c>
      <c r="F227" s="13" t="s">
        <v>505</v>
      </c>
      <c r="G227" s="13" t="s">
        <v>14</v>
      </c>
      <c r="H227" s="22" t="str">
        <f>IFERROR(VLOOKUP(Table2[[#This Row], [Ticket]],Okey!A:B,2,0),"")</f>
        <v>ok</v>
      </c>
      <c r="I227" s="13" t="s">
        <v>276</v>
      </c>
      <c r="J227" s="22" t="str">
        <f>VLOOKUP(Table2[[#This Row], [Author]],People!A:B,2,0)</f>
        <v>LS</v>
      </c>
      <c r="K227" s="13"/>
      <c r="L227" s="13"/>
      <c r="M227" s="23" t="s">
        <v>677</v>
      </c>
    </row>
    <row r="228" spans="1:13" ht="19.5" customHeight="1">
      <c r="A228" s="18">
        <f t="shared" si="3"/>
        <v>227</v>
      </c>
      <c r="B228" s="11" t="s">
        <v>6</v>
      </c>
      <c r="C228" s="11" t="s">
        <v>37</v>
      </c>
      <c r="D228" s="11" t="s">
        <v>698</v>
      </c>
      <c r="E228" s="11" t="s">
        <v>699</v>
      </c>
      <c r="F228" s="11" t="s">
        <v>505</v>
      </c>
      <c r="G228" s="11" t="s">
        <v>14</v>
      </c>
      <c r="H228" s="19" t="str">
        <f>IFERROR(VLOOKUP(Table2[[#This Row], [Ticket]],Okey!A:B,2,0),"")</f>
        <v>ok</v>
      </c>
      <c r="I228" s="11" t="s">
        <v>276</v>
      </c>
      <c r="J228" s="19" t="str">
        <f>VLOOKUP(Table2[[#This Row], [Author]],People!A:B,2,0)</f>
        <v>LS</v>
      </c>
      <c r="K228" s="11"/>
      <c r="L228" s="11"/>
      <c r="M228" s="20" t="s">
        <v>677</v>
      </c>
    </row>
    <row r="229" spans="1:13" ht="19.5" customHeight="1">
      <c r="A229" s="21">
        <f t="shared" si="3"/>
        <v>228</v>
      </c>
      <c r="B229" s="13" t="s">
        <v>6</v>
      </c>
      <c r="C229" s="13" t="s">
        <v>37</v>
      </c>
      <c r="D229" s="13" t="s">
        <v>700</v>
      </c>
      <c r="E229" s="13" t="s">
        <v>701</v>
      </c>
      <c r="F229" s="13" t="s">
        <v>505</v>
      </c>
      <c r="G229" s="13" t="s">
        <v>14</v>
      </c>
      <c r="H229" s="22" t="str">
        <f>IFERROR(VLOOKUP(Table2[[#This Row], [Ticket]],Okey!A:B,2,0),"")</f>
        <v>ok</v>
      </c>
      <c r="I229" s="13" t="s">
        <v>276</v>
      </c>
      <c r="J229" s="22" t="str">
        <f>VLOOKUP(Table2[[#This Row], [Author]],People!A:B,2,0)</f>
        <v>LS</v>
      </c>
      <c r="K229" s="13"/>
      <c r="L229" s="13"/>
      <c r="M229" s="23" t="s">
        <v>677</v>
      </c>
    </row>
    <row r="230" spans="1:13" ht="19.5" customHeight="1">
      <c r="A230" s="18">
        <f t="shared" si="3"/>
        <v>229</v>
      </c>
      <c r="B230" s="11" t="s">
        <v>6</v>
      </c>
      <c r="C230" s="11" t="s">
        <v>37</v>
      </c>
      <c r="D230" s="11" t="s">
        <v>702</v>
      </c>
      <c r="E230" s="11" t="s">
        <v>703</v>
      </c>
      <c r="F230" s="11" t="s">
        <v>505</v>
      </c>
      <c r="G230" s="11" t="s">
        <v>14</v>
      </c>
      <c r="H230" s="19" t="str">
        <f>IFERROR(VLOOKUP(Table2[[#This Row], [Ticket]],Okey!A:B,2,0),"")</f>
        <v>ok</v>
      </c>
      <c r="I230" s="11" t="s">
        <v>276</v>
      </c>
      <c r="J230" s="19" t="str">
        <f>VLOOKUP(Table2[[#This Row], [Author]],People!A:B,2,0)</f>
        <v>LS</v>
      </c>
      <c r="K230" s="11"/>
      <c r="L230" s="11"/>
      <c r="M230" s="20" t="s">
        <v>677</v>
      </c>
    </row>
    <row r="231" spans="1:13" ht="19.5" customHeight="1">
      <c r="A231" s="21">
        <f t="shared" si="3"/>
        <v>230</v>
      </c>
      <c r="B231" s="13" t="s">
        <v>6</v>
      </c>
      <c r="C231" s="13" t="s">
        <v>37</v>
      </c>
      <c r="D231" s="13" t="s">
        <v>704</v>
      </c>
      <c r="E231" s="13" t="s">
        <v>705</v>
      </c>
      <c r="F231" s="13" t="s">
        <v>505</v>
      </c>
      <c r="G231" s="13" t="s">
        <v>14</v>
      </c>
      <c r="H231" s="22" t="str">
        <f>IFERROR(VLOOKUP(Table2[[#This Row], [Ticket]],Okey!A:B,2,0),"")</f>
        <v>ok</v>
      </c>
      <c r="I231" s="13" t="s">
        <v>276</v>
      </c>
      <c r="J231" s="22" t="str">
        <f>VLOOKUP(Table2[[#This Row], [Author]],People!A:B,2,0)</f>
        <v>LS</v>
      </c>
      <c r="K231" s="13"/>
      <c r="L231" s="13"/>
      <c r="M231" s="23" t="s">
        <v>677</v>
      </c>
    </row>
    <row r="232" spans="1:13" ht="19.5" customHeight="1">
      <c r="A232" s="18">
        <f t="shared" si="3"/>
        <v>231</v>
      </c>
      <c r="B232" s="11" t="s">
        <v>6</v>
      </c>
      <c r="C232" s="11" t="s">
        <v>37</v>
      </c>
      <c r="D232" s="11" t="s">
        <v>706</v>
      </c>
      <c r="E232" s="11" t="s">
        <v>707</v>
      </c>
      <c r="F232" s="11" t="s">
        <v>505</v>
      </c>
      <c r="G232" s="11" t="s">
        <v>14</v>
      </c>
      <c r="H232" s="19" t="str">
        <f>IFERROR(VLOOKUP(Table2[[#This Row], [Ticket]],Okey!A:B,2,0),"")</f>
        <v>ok</v>
      </c>
      <c r="I232" s="11" t="s">
        <v>276</v>
      </c>
      <c r="J232" s="19" t="str">
        <f>VLOOKUP(Table2[[#This Row], [Author]],People!A:B,2,0)</f>
        <v>LS</v>
      </c>
      <c r="K232" s="11"/>
      <c r="L232" s="11"/>
      <c r="M232" s="20" t="s">
        <v>677</v>
      </c>
    </row>
    <row r="233" spans="1:13" ht="19.5" customHeight="1">
      <c r="A233" s="21">
        <f t="shared" si="3"/>
        <v>232</v>
      </c>
      <c r="B233" s="13" t="s">
        <v>6</v>
      </c>
      <c r="C233" s="13" t="s">
        <v>37</v>
      </c>
      <c r="D233" s="13" t="s">
        <v>708</v>
      </c>
      <c r="E233" s="13" t="s">
        <v>709</v>
      </c>
      <c r="F233" s="13" t="s">
        <v>505</v>
      </c>
      <c r="G233" s="13" t="s">
        <v>14</v>
      </c>
      <c r="H233" s="22" t="str">
        <f>IFERROR(VLOOKUP(Table2[[#This Row], [Ticket]],Okey!A:B,2,0),"")</f>
        <v>ok</v>
      </c>
      <c r="I233" s="13" t="s">
        <v>276</v>
      </c>
      <c r="J233" s="22" t="str">
        <f>VLOOKUP(Table2[[#This Row], [Author]],People!A:B,2,0)</f>
        <v>LS</v>
      </c>
      <c r="K233" s="13"/>
      <c r="L233" s="13"/>
      <c r="M233" s="23" t="s">
        <v>677</v>
      </c>
    </row>
    <row r="234" spans="1:13" ht="19.5" customHeight="1">
      <c r="A234" s="18">
        <f t="shared" si="3"/>
        <v>233</v>
      </c>
      <c r="B234" s="11" t="s">
        <v>6</v>
      </c>
      <c r="C234" s="11" t="s">
        <v>37</v>
      </c>
      <c r="D234" s="11" t="s">
        <v>710</v>
      </c>
      <c r="E234" s="11" t="s">
        <v>711</v>
      </c>
      <c r="F234" s="11" t="s">
        <v>505</v>
      </c>
      <c r="G234" s="11" t="s">
        <v>14</v>
      </c>
      <c r="H234" s="19" t="str">
        <f>IFERROR(VLOOKUP(Table2[[#This Row], [Ticket]],Okey!A:B,2,0),"")</f>
        <v>ok</v>
      </c>
      <c r="I234" s="11" t="s">
        <v>276</v>
      </c>
      <c r="J234" s="19" t="str">
        <f>VLOOKUP(Table2[[#This Row], [Author]],People!A:B,2,0)</f>
        <v>LS</v>
      </c>
      <c r="K234" s="11"/>
      <c r="L234" s="11"/>
      <c r="M234" s="20" t="s">
        <v>677</v>
      </c>
    </row>
    <row r="235" spans="1:13" ht="19.5" customHeight="1">
      <c r="A235" s="21">
        <f t="shared" si="3"/>
        <v>234</v>
      </c>
      <c r="B235" s="13" t="s">
        <v>6</v>
      </c>
      <c r="C235" s="13" t="s">
        <v>37</v>
      </c>
      <c r="D235" s="13" t="s">
        <v>712</v>
      </c>
      <c r="E235" s="13" t="s">
        <v>713</v>
      </c>
      <c r="F235" s="13" t="s">
        <v>505</v>
      </c>
      <c r="G235" s="13" t="s">
        <v>14</v>
      </c>
      <c r="H235" s="22" t="str">
        <f>IFERROR(VLOOKUP(Table2[[#This Row], [Ticket]],Okey!A:B,2,0),"")</f>
        <v>ok</v>
      </c>
      <c r="I235" s="13" t="s">
        <v>276</v>
      </c>
      <c r="J235" s="22" t="str">
        <f>VLOOKUP(Table2[[#This Row], [Author]],People!A:B,2,0)</f>
        <v>LS</v>
      </c>
      <c r="K235" s="13"/>
      <c r="L235" s="13"/>
      <c r="M235" s="23" t="s">
        <v>677</v>
      </c>
    </row>
    <row r="236" spans="1:13" ht="19.5" customHeight="1">
      <c r="A236" s="18">
        <f t="shared" si="3"/>
        <v>235</v>
      </c>
      <c r="B236" s="11" t="s">
        <v>6</v>
      </c>
      <c r="C236" s="11" t="s">
        <v>37</v>
      </c>
      <c r="D236" s="11" t="s">
        <v>714</v>
      </c>
      <c r="E236" s="11" t="s">
        <v>715</v>
      </c>
      <c r="F236" s="11" t="s">
        <v>505</v>
      </c>
      <c r="G236" s="11" t="s">
        <v>14</v>
      </c>
      <c r="H236" s="19" t="str">
        <f>IFERROR(VLOOKUP(Table2[[#This Row], [Ticket]],Okey!A:B,2,0),"")</f>
        <v>ok</v>
      </c>
      <c r="I236" s="11" t="s">
        <v>276</v>
      </c>
      <c r="J236" s="19" t="str">
        <f>VLOOKUP(Table2[[#This Row], [Author]],People!A:B,2,0)</f>
        <v>LS</v>
      </c>
      <c r="K236" s="11"/>
      <c r="L236" s="11"/>
      <c r="M236" s="20" t="s">
        <v>677</v>
      </c>
    </row>
    <row r="237" spans="1:13" ht="19.5" customHeight="1">
      <c r="A237" s="21">
        <f t="shared" si="3"/>
        <v>236</v>
      </c>
      <c r="B237" s="13" t="s">
        <v>6</v>
      </c>
      <c r="C237" s="13" t="s">
        <v>37</v>
      </c>
      <c r="D237" s="13" t="s">
        <v>716</v>
      </c>
      <c r="E237" s="13" t="s">
        <v>717</v>
      </c>
      <c r="F237" s="13" t="s">
        <v>505</v>
      </c>
      <c r="G237" s="13" t="s">
        <v>14</v>
      </c>
      <c r="H237" s="22" t="str">
        <f>IFERROR(VLOOKUP(Table2[[#This Row], [Ticket]],Okey!A:B,2,0),"")</f>
        <v>ok</v>
      </c>
      <c r="I237" s="13" t="s">
        <v>276</v>
      </c>
      <c r="J237" s="22" t="str">
        <f>VLOOKUP(Table2[[#This Row], [Author]],People!A:B,2,0)</f>
        <v>LS</v>
      </c>
      <c r="K237" s="13"/>
      <c r="L237" s="13"/>
      <c r="M237" s="23" t="s">
        <v>677</v>
      </c>
    </row>
    <row r="238" spans="1:13" ht="19.5" customHeight="1">
      <c r="A238" s="18">
        <f t="shared" si="3"/>
        <v>237</v>
      </c>
      <c r="B238" s="11" t="s">
        <v>6</v>
      </c>
      <c r="C238" s="11" t="s">
        <v>37</v>
      </c>
      <c r="D238" s="11" t="s">
        <v>718</v>
      </c>
      <c r="E238" s="11" t="s">
        <v>719</v>
      </c>
      <c r="F238" s="11" t="s">
        <v>505</v>
      </c>
      <c r="G238" s="11" t="s">
        <v>14</v>
      </c>
      <c r="H238" s="19" t="str">
        <f>IFERROR(VLOOKUP(Table2[[#This Row], [Ticket]],Okey!A:B,2,0),"")</f>
        <v>ok</v>
      </c>
      <c r="I238" s="11" t="s">
        <v>276</v>
      </c>
      <c r="J238" s="19" t="str">
        <f>VLOOKUP(Table2[[#This Row], [Author]],People!A:B,2,0)</f>
        <v>LS</v>
      </c>
      <c r="K238" s="11"/>
      <c r="L238" s="11"/>
      <c r="M238" s="20" t="s">
        <v>677</v>
      </c>
    </row>
    <row r="239" spans="1:13" ht="19.5" customHeight="1">
      <c r="A239" s="21">
        <f t="shared" si="3"/>
        <v>238</v>
      </c>
      <c r="B239" s="13" t="s">
        <v>6</v>
      </c>
      <c r="C239" s="13" t="s">
        <v>37</v>
      </c>
      <c r="D239" s="13" t="s">
        <v>720</v>
      </c>
      <c r="E239" s="13" t="s">
        <v>721</v>
      </c>
      <c r="F239" s="13" t="s">
        <v>505</v>
      </c>
      <c r="G239" s="13" t="s">
        <v>14</v>
      </c>
      <c r="H239" s="22" t="str">
        <f>IFERROR(VLOOKUP(Table2[[#This Row], [Ticket]],Okey!A:B,2,0),"")</f>
        <v>ok</v>
      </c>
      <c r="I239" s="13" t="s">
        <v>276</v>
      </c>
      <c r="J239" s="22" t="str">
        <f>VLOOKUP(Table2[[#This Row], [Author]],People!A:B,2,0)</f>
        <v>LS</v>
      </c>
      <c r="K239" s="13"/>
      <c r="L239" s="13"/>
      <c r="M239" s="23" t="s">
        <v>677</v>
      </c>
    </row>
    <row r="240" spans="1:13" ht="19.5" customHeight="1">
      <c r="A240" s="18">
        <f t="shared" si="3"/>
        <v>239</v>
      </c>
      <c r="B240" s="11" t="s">
        <v>6</v>
      </c>
      <c r="C240" s="11" t="s">
        <v>37</v>
      </c>
      <c r="D240" s="11" t="s">
        <v>722</v>
      </c>
      <c r="E240" s="11" t="s">
        <v>723</v>
      </c>
      <c r="F240" s="11" t="s">
        <v>505</v>
      </c>
      <c r="G240" s="11" t="s">
        <v>14</v>
      </c>
      <c r="H240" s="19" t="str">
        <f>IFERROR(VLOOKUP(Table2[[#This Row], [Ticket]],Okey!A:B,2,0),"")</f>
        <v>ok</v>
      </c>
      <c r="I240" s="11" t="s">
        <v>276</v>
      </c>
      <c r="J240" s="19" t="str">
        <f>VLOOKUP(Table2[[#This Row], [Author]],People!A:B,2,0)</f>
        <v>LS</v>
      </c>
      <c r="K240" s="11"/>
      <c r="L240" s="11"/>
      <c r="M240" s="20" t="s">
        <v>677</v>
      </c>
    </row>
    <row r="241" spans="1:13" ht="19.5" customHeight="1">
      <c r="A241" s="21">
        <f t="shared" si="3"/>
        <v>240</v>
      </c>
      <c r="B241" s="13" t="s">
        <v>6</v>
      </c>
      <c r="C241" s="13" t="s">
        <v>37</v>
      </c>
      <c r="D241" s="13" t="s">
        <v>724</v>
      </c>
      <c r="E241" s="13" t="s">
        <v>725</v>
      </c>
      <c r="F241" s="13" t="s">
        <v>505</v>
      </c>
      <c r="G241" s="13" t="s">
        <v>14</v>
      </c>
      <c r="H241" s="22" t="str">
        <f>IFERROR(VLOOKUP(Table2[[#This Row], [Ticket]],Okey!A:B,2,0),"")</f>
        <v>ok</v>
      </c>
      <c r="I241" s="13" t="s">
        <v>276</v>
      </c>
      <c r="J241" s="22" t="str">
        <f>VLOOKUP(Table2[[#This Row], [Author]],People!A:B,2,0)</f>
        <v>LS</v>
      </c>
      <c r="K241" s="13"/>
      <c r="L241" s="13"/>
      <c r="M241" s="23" t="s">
        <v>677</v>
      </c>
    </row>
    <row r="242" spans="1:13" ht="19.5" customHeight="1">
      <c r="A242" s="18">
        <f t="shared" si="3"/>
        <v>241</v>
      </c>
      <c r="B242" s="11" t="s">
        <v>6</v>
      </c>
      <c r="C242" s="11" t="s">
        <v>37</v>
      </c>
      <c r="D242" s="11" t="s">
        <v>726</v>
      </c>
      <c r="E242" s="11" t="s">
        <v>727</v>
      </c>
      <c r="F242" s="11" t="s">
        <v>505</v>
      </c>
      <c r="G242" s="11" t="s">
        <v>14</v>
      </c>
      <c r="H242" s="19" t="str">
        <f>IFERROR(VLOOKUP(Table2[[#This Row], [Ticket]],Okey!A:B,2,0),"")</f>
        <v>ok</v>
      </c>
      <c r="I242" s="11" t="s">
        <v>276</v>
      </c>
      <c r="J242" s="19" t="str">
        <f>VLOOKUP(Table2[[#This Row], [Author]],People!A:B,2,0)</f>
        <v>LS</v>
      </c>
      <c r="K242" s="11"/>
      <c r="L242" s="11"/>
      <c r="M242" s="20" t="s">
        <v>677</v>
      </c>
    </row>
    <row r="243" spans="1:13" ht="19.5" customHeight="1">
      <c r="A243" s="21">
        <f t="shared" si="3"/>
        <v>242</v>
      </c>
      <c r="B243" s="13" t="s">
        <v>6</v>
      </c>
      <c r="C243" s="13" t="s">
        <v>37</v>
      </c>
      <c r="D243" s="13" t="s">
        <v>728</v>
      </c>
      <c r="E243" s="13" t="s">
        <v>729</v>
      </c>
      <c r="F243" s="13" t="s">
        <v>505</v>
      </c>
      <c r="G243" s="13" t="s">
        <v>14</v>
      </c>
      <c r="H243" s="22" t="str">
        <f>IFERROR(VLOOKUP(Table2[[#This Row], [Ticket]],Okey!A:B,2,0),"")</f>
        <v>ok</v>
      </c>
      <c r="I243" s="13" t="s">
        <v>276</v>
      </c>
      <c r="J243" s="22" t="str">
        <f>VLOOKUP(Table2[[#This Row], [Author]],People!A:B,2,0)</f>
        <v>LS</v>
      </c>
      <c r="K243" s="13"/>
      <c r="L243" s="13"/>
      <c r="M243" s="23" t="s">
        <v>677</v>
      </c>
    </row>
    <row r="244" spans="1:13" ht="19.5" customHeight="1">
      <c r="A244" s="18">
        <f t="shared" si="3"/>
        <v>243</v>
      </c>
      <c r="B244" s="11" t="s">
        <v>6</v>
      </c>
      <c r="C244" s="11" t="s">
        <v>37</v>
      </c>
      <c r="D244" s="11" t="s">
        <v>730</v>
      </c>
      <c r="E244" s="11" t="s">
        <v>731</v>
      </c>
      <c r="F244" s="11" t="s">
        <v>505</v>
      </c>
      <c r="G244" s="11" t="s">
        <v>14</v>
      </c>
      <c r="H244" s="19" t="str">
        <f>IFERROR(VLOOKUP(Table2[[#This Row], [Ticket]],Okey!A:B,2,0),"")</f>
        <v>ok</v>
      </c>
      <c r="I244" s="11" t="s">
        <v>276</v>
      </c>
      <c r="J244" s="19" t="str">
        <f>VLOOKUP(Table2[[#This Row], [Author]],People!A:B,2,0)</f>
        <v>LS</v>
      </c>
      <c r="K244" s="11"/>
      <c r="L244" s="11"/>
      <c r="M244" s="20" t="s">
        <v>677</v>
      </c>
    </row>
    <row r="245" spans="1:13" ht="19.5" customHeight="1">
      <c r="A245" s="21">
        <f t="shared" si="3"/>
        <v>244</v>
      </c>
      <c r="B245" s="13" t="s">
        <v>6</v>
      </c>
      <c r="C245" s="13" t="s">
        <v>37</v>
      </c>
      <c r="D245" s="13" t="s">
        <v>732</v>
      </c>
      <c r="E245" s="13" t="s">
        <v>733</v>
      </c>
      <c r="F245" s="13" t="s">
        <v>505</v>
      </c>
      <c r="G245" s="13" t="s">
        <v>14</v>
      </c>
      <c r="H245" s="22" t="str">
        <f>IFERROR(VLOOKUP(Table2[[#This Row], [Ticket]],Okey!A:B,2,0),"")</f>
        <v>ok</v>
      </c>
      <c r="I245" s="13" t="s">
        <v>276</v>
      </c>
      <c r="J245" s="22" t="str">
        <f>VLOOKUP(Table2[[#This Row], [Author]],People!A:B,2,0)</f>
        <v>LS</v>
      </c>
      <c r="K245" s="13"/>
      <c r="L245" s="13"/>
      <c r="M245" s="23" t="s">
        <v>677</v>
      </c>
    </row>
    <row r="246" spans="1:13" ht="19.5" customHeight="1">
      <c r="A246" s="18">
        <f t="shared" si="3"/>
        <v>245</v>
      </c>
      <c r="B246" s="11" t="s">
        <v>6</v>
      </c>
      <c r="C246" s="11" t="s">
        <v>37</v>
      </c>
      <c r="D246" s="11" t="s">
        <v>734</v>
      </c>
      <c r="E246" s="11" t="s">
        <v>735</v>
      </c>
      <c r="F246" s="11" t="s">
        <v>505</v>
      </c>
      <c r="G246" s="11" t="s">
        <v>14</v>
      </c>
      <c r="H246" s="19" t="str">
        <f>IFERROR(VLOOKUP(Table2[[#This Row], [Ticket]],Okey!A:B,2,0),"")</f>
        <v>ok</v>
      </c>
      <c r="I246" s="11" t="s">
        <v>276</v>
      </c>
      <c r="J246" s="19" t="str">
        <f>VLOOKUP(Table2[[#This Row], [Author]],People!A:B,2,0)</f>
        <v>LS</v>
      </c>
      <c r="K246" s="11"/>
      <c r="L246" s="11"/>
      <c r="M246" s="20" t="s">
        <v>677</v>
      </c>
    </row>
    <row r="247" spans="1:13" ht="19.5" customHeight="1">
      <c r="A247" s="21">
        <f t="shared" si="3"/>
        <v>246</v>
      </c>
      <c r="B247" s="13" t="s">
        <v>6</v>
      </c>
      <c r="C247" s="13" t="s">
        <v>37</v>
      </c>
      <c r="D247" s="13" t="s">
        <v>736</v>
      </c>
      <c r="E247" s="13" t="s">
        <v>737</v>
      </c>
      <c r="F247" s="13" t="s">
        <v>505</v>
      </c>
      <c r="G247" s="13" t="s">
        <v>14</v>
      </c>
      <c r="H247" s="22" t="str">
        <f>IFERROR(VLOOKUP(Table2[[#This Row], [Ticket]],Okey!A:B,2,0),"")</f>
        <v>ok</v>
      </c>
      <c r="I247" s="13" t="s">
        <v>276</v>
      </c>
      <c r="J247" s="22" t="str">
        <f>VLOOKUP(Table2[[#This Row], [Author]],People!A:B,2,0)</f>
        <v>LS</v>
      </c>
      <c r="K247" s="13"/>
      <c r="L247" s="13"/>
      <c r="M247" s="23" t="s">
        <v>677</v>
      </c>
    </row>
    <row r="248" spans="1:13" ht="19.5" customHeight="1">
      <c r="A248" s="18">
        <f t="shared" si="3"/>
        <v>247</v>
      </c>
      <c r="B248" s="11" t="s">
        <v>6</v>
      </c>
      <c r="C248" s="11" t="s">
        <v>37</v>
      </c>
      <c r="D248" s="11" t="s">
        <v>738</v>
      </c>
      <c r="E248" s="11" t="s">
        <v>739</v>
      </c>
      <c r="F248" s="11" t="s">
        <v>505</v>
      </c>
      <c r="G248" s="11" t="s">
        <v>14</v>
      </c>
      <c r="H248" s="19" t="str">
        <f>IFERROR(VLOOKUP(Table2[[#This Row], [Ticket]],Okey!A:B,2,0),"")</f>
        <v>ok</v>
      </c>
      <c r="I248" s="11" t="s">
        <v>276</v>
      </c>
      <c r="J248" s="19" t="str">
        <f>VLOOKUP(Table2[[#This Row], [Author]],People!A:B,2,0)</f>
        <v>LS</v>
      </c>
      <c r="K248" s="11"/>
      <c r="L248" s="11"/>
      <c r="M248" s="20" t="s">
        <v>677</v>
      </c>
    </row>
    <row r="249" spans="1:13" ht="19.5" customHeight="1">
      <c r="A249" s="21">
        <f t="shared" si="3"/>
        <v>248</v>
      </c>
      <c r="B249" s="13" t="s">
        <v>6</v>
      </c>
      <c r="C249" s="13" t="s">
        <v>37</v>
      </c>
      <c r="D249" s="13" t="s">
        <v>740</v>
      </c>
      <c r="E249" s="13" t="s">
        <v>741</v>
      </c>
      <c r="F249" s="13" t="s">
        <v>505</v>
      </c>
      <c r="G249" s="13" t="s">
        <v>14</v>
      </c>
      <c r="H249" s="22" t="str">
        <f>IFERROR(VLOOKUP(Table2[[#This Row], [Ticket]],Okey!A:B,2,0),"")</f>
        <v>ok</v>
      </c>
      <c r="I249" s="13" t="s">
        <v>276</v>
      </c>
      <c r="J249" s="22" t="str">
        <f>VLOOKUP(Table2[[#This Row], [Author]],People!A:B,2,0)</f>
        <v>LS</v>
      </c>
      <c r="K249" s="13"/>
      <c r="L249" s="13"/>
      <c r="M249" s="23" t="s">
        <v>677</v>
      </c>
    </row>
    <row r="250" spans="1:13" ht="19.5" customHeight="1">
      <c r="A250" s="18">
        <f t="shared" si="3"/>
        <v>249</v>
      </c>
      <c r="B250" s="11" t="s">
        <v>6</v>
      </c>
      <c r="C250" s="11" t="s">
        <v>37</v>
      </c>
      <c r="D250" s="11" t="s">
        <v>742</v>
      </c>
      <c r="E250" s="11" t="s">
        <v>743</v>
      </c>
      <c r="F250" s="11" t="s">
        <v>505</v>
      </c>
      <c r="G250" s="11" t="s">
        <v>14</v>
      </c>
      <c r="H250" s="19" t="str">
        <f>IFERROR(VLOOKUP(Table2[[#This Row], [Ticket]],Okey!A:B,2,0),"")</f>
        <v>ok</v>
      </c>
      <c r="I250" s="11" t="s">
        <v>276</v>
      </c>
      <c r="J250" s="19" t="str">
        <f>VLOOKUP(Table2[[#This Row], [Author]],People!A:B,2,0)</f>
        <v>LS</v>
      </c>
      <c r="K250" s="11"/>
      <c r="L250" s="11"/>
      <c r="M250" s="20" t="s">
        <v>677</v>
      </c>
    </row>
    <row r="251" spans="1:13" ht="19.5" customHeight="1">
      <c r="A251" s="21">
        <f t="shared" si="3"/>
        <v>250</v>
      </c>
      <c r="B251" s="13" t="s">
        <v>6</v>
      </c>
      <c r="C251" s="13" t="s">
        <v>37</v>
      </c>
      <c r="D251" s="13" t="s">
        <v>744</v>
      </c>
      <c r="E251" s="13" t="s">
        <v>745</v>
      </c>
      <c r="F251" s="13" t="s">
        <v>505</v>
      </c>
      <c r="G251" s="13" t="s">
        <v>14</v>
      </c>
      <c r="H251" s="22" t="str">
        <f>IFERROR(VLOOKUP(Table2[[#This Row], [Ticket]],Okey!A:B,2,0),"")</f>
        <v>ok</v>
      </c>
      <c r="I251" s="13" t="s">
        <v>276</v>
      </c>
      <c r="J251" s="22" t="str">
        <f>VLOOKUP(Table2[[#This Row], [Author]],People!A:B,2,0)</f>
        <v>LS</v>
      </c>
      <c r="K251" s="13"/>
      <c r="L251" s="13"/>
      <c r="M251" s="23" t="s">
        <v>677</v>
      </c>
    </row>
    <row r="252" spans="1:13" ht="19.5" customHeight="1">
      <c r="A252" s="18">
        <f t="shared" si="3"/>
        <v>251</v>
      </c>
      <c r="B252" s="11" t="s">
        <v>6</v>
      </c>
      <c r="C252" s="11" t="s">
        <v>37</v>
      </c>
      <c r="D252" s="11" t="s">
        <v>746</v>
      </c>
      <c r="E252" s="11" t="s">
        <v>747</v>
      </c>
      <c r="F252" s="11" t="s">
        <v>505</v>
      </c>
      <c r="G252" s="11" t="s">
        <v>14</v>
      </c>
      <c r="H252" s="19" t="str">
        <f>IFERROR(VLOOKUP(Table2[[#This Row], [Ticket]],Okey!A:B,2,0),"")</f>
        <v>ok</v>
      </c>
      <c r="I252" s="11" t="s">
        <v>276</v>
      </c>
      <c r="J252" s="19" t="str">
        <f>VLOOKUP(Table2[[#This Row], [Author]],People!A:B,2,0)</f>
        <v>LS</v>
      </c>
      <c r="K252" s="11"/>
      <c r="L252" s="11"/>
      <c r="M252" s="20" t="s">
        <v>677</v>
      </c>
    </row>
    <row r="253" spans="1:13" ht="19.5" customHeight="1">
      <c r="A253" s="21">
        <f t="shared" si="3"/>
        <v>252</v>
      </c>
      <c r="B253" s="13" t="s">
        <v>6</v>
      </c>
      <c r="C253" s="13" t="s">
        <v>37</v>
      </c>
      <c r="D253" s="13" t="s">
        <v>748</v>
      </c>
      <c r="E253" s="13" t="s">
        <v>749</v>
      </c>
      <c r="F253" s="13" t="s">
        <v>505</v>
      </c>
      <c r="G253" s="13" t="s">
        <v>14</v>
      </c>
      <c r="H253" s="22" t="str">
        <f>IFERROR(VLOOKUP(Table2[[#This Row], [Ticket]],Okey!A:B,2,0),"")</f>
        <v>ok</v>
      </c>
      <c r="I253" s="13" t="s">
        <v>276</v>
      </c>
      <c r="J253" s="22" t="str">
        <f>VLOOKUP(Table2[[#This Row], [Author]],People!A:B,2,0)</f>
        <v>LS</v>
      </c>
      <c r="K253" s="13"/>
      <c r="L253" s="13"/>
      <c r="M253" s="23" t="s">
        <v>677</v>
      </c>
    </row>
    <row r="254" spans="1:13" ht="19.5" customHeight="1">
      <c r="A254" s="18">
        <f t="shared" si="3"/>
        <v>253</v>
      </c>
      <c r="B254" s="11" t="s">
        <v>6</v>
      </c>
      <c r="C254" s="11" t="s">
        <v>37</v>
      </c>
      <c r="D254" s="11" t="s">
        <v>750</v>
      </c>
      <c r="E254" s="11" t="s">
        <v>751</v>
      </c>
      <c r="F254" s="11" t="s">
        <v>505</v>
      </c>
      <c r="G254" s="11" t="s">
        <v>14</v>
      </c>
      <c r="H254" s="19" t="str">
        <f>IFERROR(VLOOKUP(Table2[[#This Row], [Ticket]],Okey!A:B,2,0),"")</f>
        <v>ok</v>
      </c>
      <c r="I254" s="11" t="s">
        <v>276</v>
      </c>
      <c r="J254" s="19" t="str">
        <f>VLOOKUP(Table2[[#This Row], [Author]],People!A:B,2,0)</f>
        <v>LS</v>
      </c>
      <c r="K254" s="11"/>
      <c r="L254" s="11"/>
      <c r="M254" s="20" t="s">
        <v>677</v>
      </c>
    </row>
    <row r="255" spans="1:13" ht="19.5" customHeight="1">
      <c r="A255" s="21">
        <f t="shared" si="3"/>
        <v>254</v>
      </c>
      <c r="B255" s="13" t="s">
        <v>6</v>
      </c>
      <c r="C255" s="13" t="s">
        <v>37</v>
      </c>
      <c r="D255" s="13" t="s">
        <v>752</v>
      </c>
      <c r="E255" s="13" t="s">
        <v>753</v>
      </c>
      <c r="F255" s="13" t="s">
        <v>505</v>
      </c>
      <c r="G255" s="13" t="s">
        <v>14</v>
      </c>
      <c r="H255" s="22" t="str">
        <f>IFERROR(VLOOKUP(Table2[[#This Row], [Ticket]],Okey!A:B,2,0),"")</f>
        <v>ok</v>
      </c>
      <c r="I255" s="13" t="s">
        <v>276</v>
      </c>
      <c r="J255" s="22" t="str">
        <f>VLOOKUP(Table2[[#This Row], [Author]],People!A:B,2,0)</f>
        <v>LS</v>
      </c>
      <c r="K255" s="13"/>
      <c r="L255" s="13"/>
      <c r="M255" s="23" t="s">
        <v>677</v>
      </c>
    </row>
    <row r="256" spans="1:13" ht="19.5" customHeight="1">
      <c r="A256" s="18">
        <f t="shared" si="3"/>
        <v>255</v>
      </c>
      <c r="B256" s="11" t="s">
        <v>6</v>
      </c>
      <c r="C256" s="11" t="s">
        <v>37</v>
      </c>
      <c r="D256" s="11" t="s">
        <v>754</v>
      </c>
      <c r="E256" s="11" t="s">
        <v>755</v>
      </c>
      <c r="F256" s="11" t="s">
        <v>505</v>
      </c>
      <c r="G256" s="11" t="s">
        <v>14</v>
      </c>
      <c r="H256" s="19" t="str">
        <f>IFERROR(VLOOKUP(Table2[[#This Row], [Ticket]],Okey!A:B,2,0),"")</f>
        <v>ok</v>
      </c>
      <c r="I256" s="11" t="s">
        <v>276</v>
      </c>
      <c r="J256" s="19" t="str">
        <f>VLOOKUP(Table2[[#This Row], [Author]],People!A:B,2,0)</f>
        <v>LS</v>
      </c>
      <c r="K256" s="11"/>
      <c r="L256" s="11"/>
      <c r="M256" s="20" t="s">
        <v>677</v>
      </c>
    </row>
    <row r="257" spans="1:13" ht="19.5" customHeight="1">
      <c r="A257" s="21">
        <f t="shared" si="3"/>
        <v>256</v>
      </c>
      <c r="B257" s="13" t="s">
        <v>6</v>
      </c>
      <c r="C257" s="13" t="s">
        <v>37</v>
      </c>
      <c r="D257" s="13" t="s">
        <v>756</v>
      </c>
      <c r="E257" s="13" t="s">
        <v>757</v>
      </c>
      <c r="F257" s="13" t="s">
        <v>505</v>
      </c>
      <c r="G257" s="13" t="s">
        <v>14</v>
      </c>
      <c r="H257" s="22" t="str">
        <f>IFERROR(VLOOKUP(Table2[[#This Row], [Ticket]],Okey!A:B,2,0),"")</f>
        <v>ok</v>
      </c>
      <c r="I257" s="13" t="s">
        <v>276</v>
      </c>
      <c r="J257" s="22" t="str">
        <f>VLOOKUP(Table2[[#This Row], [Author]],People!A:B,2,0)</f>
        <v>LS</v>
      </c>
      <c r="K257" s="13"/>
      <c r="L257" s="13"/>
      <c r="M257" s="23" t="s">
        <v>677</v>
      </c>
    </row>
    <row r="258" spans="1:13" ht="19.5" customHeight="1">
      <c r="A258" s="18">
        <f t="shared" si="3"/>
        <v>257</v>
      </c>
      <c r="B258" s="11" t="s">
        <v>6</v>
      </c>
      <c r="C258" s="11" t="s">
        <v>37</v>
      </c>
      <c r="D258" s="11" t="s">
        <v>758</v>
      </c>
      <c r="E258" s="11" t="s">
        <v>759</v>
      </c>
      <c r="F258" s="11" t="s">
        <v>505</v>
      </c>
      <c r="G258" s="11" t="s">
        <v>14</v>
      </c>
      <c r="H258" s="19" t="str">
        <f>IFERROR(VLOOKUP(Table2[[#This Row], [Ticket]],Okey!A:B,2,0),"")</f>
        <v>ok</v>
      </c>
      <c r="I258" s="11" t="s">
        <v>276</v>
      </c>
      <c r="J258" s="19" t="str">
        <f>VLOOKUP(Table2[[#This Row], [Author]],People!A:B,2,0)</f>
        <v>LS</v>
      </c>
      <c r="K258" s="11"/>
      <c r="L258" s="11"/>
      <c r="M258" s="20" t="s">
        <v>677</v>
      </c>
    </row>
    <row r="259" spans="1:13" ht="19.5" customHeight="1">
      <c r="A259" s="21">
        <f t="shared" ref="A259:A322" si="4">1+A258</f>
        <v>258</v>
      </c>
      <c r="B259" s="13" t="s">
        <v>6</v>
      </c>
      <c r="C259" s="13" t="s">
        <v>37</v>
      </c>
      <c r="D259" s="13" t="s">
        <v>760</v>
      </c>
      <c r="E259" s="13" t="s">
        <v>761</v>
      </c>
      <c r="F259" s="13" t="s">
        <v>505</v>
      </c>
      <c r="G259" s="13" t="s">
        <v>14</v>
      </c>
      <c r="H259" s="22" t="str">
        <f>IFERROR(VLOOKUP(Table2[[#This Row], [Ticket]],Okey!A:B,2,0),"")</f>
        <v>ok</v>
      </c>
      <c r="I259" s="13" t="s">
        <v>276</v>
      </c>
      <c r="J259" s="22" t="str">
        <f>VLOOKUP(Table2[[#This Row], [Author]],People!A:B,2,0)</f>
        <v>LS</v>
      </c>
      <c r="K259" s="13"/>
      <c r="L259" s="13"/>
      <c r="M259" s="23" t="s">
        <v>677</v>
      </c>
    </row>
    <row r="260" spans="1:13" ht="19.5" customHeight="1">
      <c r="A260" s="18">
        <f t="shared" si="4"/>
        <v>259</v>
      </c>
      <c r="B260" s="11" t="s">
        <v>6</v>
      </c>
      <c r="C260" s="11" t="s">
        <v>37</v>
      </c>
      <c r="D260" s="11" t="s">
        <v>762</v>
      </c>
      <c r="E260" s="11" t="s">
        <v>763</v>
      </c>
      <c r="F260" s="11" t="s">
        <v>505</v>
      </c>
      <c r="G260" s="11" t="s">
        <v>14</v>
      </c>
      <c r="H260" s="19" t="str">
        <f>IFERROR(VLOOKUP(Table2[[#This Row], [Ticket]],Okey!A:B,2,0),"")</f>
        <v>ok</v>
      </c>
      <c r="I260" s="11" t="s">
        <v>276</v>
      </c>
      <c r="J260" s="19" t="str">
        <f>VLOOKUP(Table2[[#This Row], [Author]],People!A:B,2,0)</f>
        <v>LS</v>
      </c>
      <c r="K260" s="11"/>
      <c r="L260" s="11"/>
      <c r="M260" s="20" t="s">
        <v>677</v>
      </c>
    </row>
    <row r="261" spans="1:13" ht="19.5" customHeight="1">
      <c r="A261" s="21">
        <f t="shared" si="4"/>
        <v>260</v>
      </c>
      <c r="B261" s="13" t="s">
        <v>6</v>
      </c>
      <c r="C261" s="13" t="s">
        <v>37</v>
      </c>
      <c r="D261" s="13" t="s">
        <v>764</v>
      </c>
      <c r="E261" s="13" t="s">
        <v>765</v>
      </c>
      <c r="F261" s="13" t="s">
        <v>505</v>
      </c>
      <c r="G261" s="13" t="s">
        <v>14</v>
      </c>
      <c r="H261" s="22" t="str">
        <f>IFERROR(VLOOKUP(Table2[[#This Row], [Ticket]],Okey!A:B,2,0),"")</f>
        <v>ok</v>
      </c>
      <c r="I261" s="13" t="s">
        <v>276</v>
      </c>
      <c r="J261" s="22" t="str">
        <f>VLOOKUP(Table2[[#This Row], [Author]],People!A:B,2,0)</f>
        <v>LS</v>
      </c>
      <c r="K261" s="13"/>
      <c r="L261" s="13"/>
      <c r="M261" s="23" t="s">
        <v>677</v>
      </c>
    </row>
    <row r="262" spans="1:13" ht="19.5" customHeight="1">
      <c r="A262" s="18">
        <f t="shared" si="4"/>
        <v>261</v>
      </c>
      <c r="B262" s="11" t="s">
        <v>6</v>
      </c>
      <c r="C262" s="11" t="s">
        <v>37</v>
      </c>
      <c r="D262" s="11" t="s">
        <v>766</v>
      </c>
      <c r="E262" s="11" t="s">
        <v>767</v>
      </c>
      <c r="F262" s="11" t="s">
        <v>505</v>
      </c>
      <c r="G262" s="11" t="s">
        <v>14</v>
      </c>
      <c r="H262" s="19" t="str">
        <f>IFERROR(VLOOKUP(Table2[[#This Row], [Ticket]],Okey!A:B,2,0),"")</f>
        <v>ok</v>
      </c>
      <c r="I262" s="11" t="s">
        <v>276</v>
      </c>
      <c r="J262" s="19" t="str">
        <f>VLOOKUP(Table2[[#This Row], [Author]],People!A:B,2,0)</f>
        <v>LS</v>
      </c>
      <c r="K262" s="11"/>
      <c r="L262" s="11"/>
      <c r="M262" s="20" t="s">
        <v>677</v>
      </c>
    </row>
    <row r="263" spans="1:13" ht="19.5" customHeight="1">
      <c r="A263" s="21">
        <f t="shared" si="4"/>
        <v>262</v>
      </c>
      <c r="B263" s="13" t="s">
        <v>6</v>
      </c>
      <c r="C263" s="13" t="s">
        <v>37</v>
      </c>
      <c r="D263" s="13" t="s">
        <v>768</v>
      </c>
      <c r="E263" s="13" t="s">
        <v>769</v>
      </c>
      <c r="F263" s="13" t="s">
        <v>505</v>
      </c>
      <c r="G263" s="13" t="s">
        <v>14</v>
      </c>
      <c r="H263" s="22" t="str">
        <f>IFERROR(VLOOKUP(Table2[[#This Row], [Ticket]],Okey!A:B,2,0),"")</f>
        <v>ok</v>
      </c>
      <c r="I263" s="13" t="s">
        <v>276</v>
      </c>
      <c r="J263" s="22" t="str">
        <f>VLOOKUP(Table2[[#This Row], [Author]],People!A:B,2,0)</f>
        <v>LS</v>
      </c>
      <c r="K263" s="13"/>
      <c r="L263" s="13"/>
      <c r="M263" s="23" t="s">
        <v>677</v>
      </c>
    </row>
    <row r="264" spans="1:13" ht="19.5" customHeight="1">
      <c r="A264" s="18">
        <f t="shared" si="4"/>
        <v>263</v>
      </c>
      <c r="B264" s="11" t="s">
        <v>6</v>
      </c>
      <c r="C264" s="11" t="s">
        <v>37</v>
      </c>
      <c r="D264" s="11" t="s">
        <v>770</v>
      </c>
      <c r="E264" s="11" t="s">
        <v>771</v>
      </c>
      <c r="F264" s="11" t="s">
        <v>505</v>
      </c>
      <c r="G264" s="11" t="s">
        <v>14</v>
      </c>
      <c r="H264" s="19" t="str">
        <f>IFERROR(VLOOKUP(Table2[[#This Row], [Ticket]],Okey!A:B,2,0),"")</f>
        <v>ok</v>
      </c>
      <c r="I264" s="11" t="s">
        <v>276</v>
      </c>
      <c r="J264" s="19" t="str">
        <f>VLOOKUP(Table2[[#This Row], [Author]],People!A:B,2,0)</f>
        <v>LS</v>
      </c>
      <c r="K264" s="11"/>
      <c r="L264" s="11"/>
      <c r="M264" s="20" t="s">
        <v>677</v>
      </c>
    </row>
    <row r="265" spans="1:13" ht="19.5" customHeight="1">
      <c r="A265" s="21">
        <f t="shared" si="4"/>
        <v>264</v>
      </c>
      <c r="B265" s="13" t="s">
        <v>6</v>
      </c>
      <c r="C265" s="13" t="s">
        <v>37</v>
      </c>
      <c r="D265" s="13" t="s">
        <v>772</v>
      </c>
      <c r="E265" s="13" t="s">
        <v>773</v>
      </c>
      <c r="F265" s="13" t="s">
        <v>505</v>
      </c>
      <c r="G265" s="13" t="s">
        <v>14</v>
      </c>
      <c r="H265" s="22" t="str">
        <f>IFERROR(VLOOKUP(Table2[[#This Row], [Ticket]],Okey!A:B,2,0),"")</f>
        <v>ok</v>
      </c>
      <c r="I265" s="13" t="s">
        <v>276</v>
      </c>
      <c r="J265" s="22" t="str">
        <f>VLOOKUP(Table2[[#This Row], [Author]],People!A:B,2,0)</f>
        <v>LS</v>
      </c>
      <c r="K265" s="13"/>
      <c r="L265" s="13"/>
      <c r="M265" s="23" t="s">
        <v>677</v>
      </c>
    </row>
    <row r="266" spans="1:13" ht="19.5" customHeight="1">
      <c r="A266" s="18">
        <f t="shared" si="4"/>
        <v>265</v>
      </c>
      <c r="B266" s="11" t="s">
        <v>6</v>
      </c>
      <c r="C266" s="11" t="s">
        <v>37</v>
      </c>
      <c r="D266" s="11" t="s">
        <v>774</v>
      </c>
      <c r="E266" s="11" t="s">
        <v>775</v>
      </c>
      <c r="F266" s="11" t="s">
        <v>505</v>
      </c>
      <c r="G266" s="11" t="s">
        <v>14</v>
      </c>
      <c r="H266" s="19" t="str">
        <f>IFERROR(VLOOKUP(Table2[[#This Row], [Ticket]],Okey!A:B,2,0),"")</f>
        <v>ok</v>
      </c>
      <c r="I266" s="11" t="s">
        <v>276</v>
      </c>
      <c r="J266" s="19" t="str">
        <f>VLOOKUP(Table2[[#This Row], [Author]],People!A:B,2,0)</f>
        <v>LS</v>
      </c>
      <c r="K266" s="11"/>
      <c r="L266" s="11"/>
      <c r="M266" s="20" t="s">
        <v>677</v>
      </c>
    </row>
    <row r="267" spans="1:13" ht="19.5" customHeight="1">
      <c r="A267" s="21">
        <f t="shared" si="4"/>
        <v>266</v>
      </c>
      <c r="B267" s="13" t="s">
        <v>6</v>
      </c>
      <c r="C267" s="13" t="s">
        <v>37</v>
      </c>
      <c r="D267" s="13" t="s">
        <v>776</v>
      </c>
      <c r="E267" s="13" t="s">
        <v>777</v>
      </c>
      <c r="F267" s="13" t="s">
        <v>505</v>
      </c>
      <c r="G267" s="13" t="s">
        <v>14</v>
      </c>
      <c r="H267" s="22" t="str">
        <f>IFERROR(VLOOKUP(Table2[[#This Row], [Ticket]],Okey!A:B,2,0),"")</f>
        <v>ok</v>
      </c>
      <c r="I267" s="13" t="s">
        <v>276</v>
      </c>
      <c r="J267" s="22" t="str">
        <f>VLOOKUP(Table2[[#This Row], [Author]],People!A:B,2,0)</f>
        <v>LS</v>
      </c>
      <c r="K267" s="13"/>
      <c r="L267" s="13"/>
      <c r="M267" s="23" t="s">
        <v>677</v>
      </c>
    </row>
    <row r="268" spans="1:13" ht="19.5" customHeight="1">
      <c r="A268" s="18">
        <f t="shared" si="4"/>
        <v>267</v>
      </c>
      <c r="B268" s="11" t="s">
        <v>6</v>
      </c>
      <c r="C268" s="11" t="s">
        <v>37</v>
      </c>
      <c r="D268" s="11" t="s">
        <v>778</v>
      </c>
      <c r="E268" s="11" t="s">
        <v>779</v>
      </c>
      <c r="F268" s="11" t="s">
        <v>505</v>
      </c>
      <c r="G268" s="11" t="s">
        <v>14</v>
      </c>
      <c r="H268" s="19" t="str">
        <f>IFERROR(VLOOKUP(Table2[[#This Row], [Ticket]],Okey!A:B,2,0),"")</f>
        <v>ok</v>
      </c>
      <c r="I268" s="11" t="s">
        <v>276</v>
      </c>
      <c r="J268" s="19" t="str">
        <f>VLOOKUP(Table2[[#This Row], [Author]],People!A:B,2,0)</f>
        <v>LS</v>
      </c>
      <c r="K268" s="11"/>
      <c r="L268" s="11"/>
      <c r="M268" s="20" t="s">
        <v>677</v>
      </c>
    </row>
    <row r="269" spans="1:13" ht="19.5" customHeight="1">
      <c r="A269" s="21">
        <f t="shared" si="4"/>
        <v>268</v>
      </c>
      <c r="B269" s="13" t="s">
        <v>6</v>
      </c>
      <c r="C269" s="13" t="s">
        <v>37</v>
      </c>
      <c r="D269" s="13" t="s">
        <v>780</v>
      </c>
      <c r="E269" s="13" t="s">
        <v>781</v>
      </c>
      <c r="F269" s="13" t="s">
        <v>505</v>
      </c>
      <c r="G269" s="13" t="s">
        <v>14</v>
      </c>
      <c r="H269" s="22" t="str">
        <f>IFERROR(VLOOKUP(Table2[[#This Row], [Ticket]],Okey!A:B,2,0),"")</f>
        <v>ok</v>
      </c>
      <c r="I269" s="13" t="s">
        <v>276</v>
      </c>
      <c r="J269" s="22" t="str">
        <f>VLOOKUP(Table2[[#This Row], [Author]],People!A:B,2,0)</f>
        <v>LS</v>
      </c>
      <c r="K269" s="13"/>
      <c r="L269" s="13"/>
      <c r="M269" s="23" t="s">
        <v>677</v>
      </c>
    </row>
    <row r="270" spans="1:13" ht="19.5" customHeight="1">
      <c r="A270" s="18">
        <f t="shared" si="4"/>
        <v>269</v>
      </c>
      <c r="B270" s="11" t="s">
        <v>6</v>
      </c>
      <c r="C270" s="11" t="s">
        <v>37</v>
      </c>
      <c r="D270" s="11" t="s">
        <v>782</v>
      </c>
      <c r="E270" s="11" t="s">
        <v>783</v>
      </c>
      <c r="F270" s="11" t="s">
        <v>505</v>
      </c>
      <c r="G270" s="11" t="s">
        <v>14</v>
      </c>
      <c r="H270" s="19" t="str">
        <f>IFERROR(VLOOKUP(Table2[[#This Row], [Ticket]],Okey!A:B,2,0),"")</f>
        <v>ok</v>
      </c>
      <c r="I270" s="11" t="s">
        <v>276</v>
      </c>
      <c r="J270" s="19" t="str">
        <f>VLOOKUP(Table2[[#This Row], [Author]],People!A:B,2,0)</f>
        <v>LS</v>
      </c>
      <c r="K270" s="11"/>
      <c r="L270" s="11"/>
      <c r="M270" s="20" t="s">
        <v>677</v>
      </c>
    </row>
    <row r="271" spans="1:13" ht="19.5" customHeight="1">
      <c r="A271" s="21">
        <f t="shared" si="4"/>
        <v>270</v>
      </c>
      <c r="B271" s="13" t="s">
        <v>6</v>
      </c>
      <c r="C271" s="13" t="s">
        <v>37</v>
      </c>
      <c r="D271" s="13" t="s">
        <v>784</v>
      </c>
      <c r="E271" s="13" t="s">
        <v>785</v>
      </c>
      <c r="F271" s="13" t="s">
        <v>505</v>
      </c>
      <c r="G271" s="13" t="s">
        <v>14</v>
      </c>
      <c r="H271" s="22" t="str">
        <f>IFERROR(VLOOKUP(Table2[[#This Row], [Ticket]],Okey!A:B,2,0),"")</f>
        <v>ok</v>
      </c>
      <c r="I271" s="13" t="s">
        <v>276</v>
      </c>
      <c r="J271" s="22" t="str">
        <f>VLOOKUP(Table2[[#This Row], [Author]],People!A:B,2,0)</f>
        <v>LS</v>
      </c>
      <c r="K271" s="13"/>
      <c r="L271" s="13"/>
      <c r="M271" s="23" t="s">
        <v>677</v>
      </c>
    </row>
    <row r="272" spans="1:13" ht="19.5" customHeight="1">
      <c r="A272" s="18">
        <f t="shared" si="4"/>
        <v>271</v>
      </c>
      <c r="B272" s="11" t="s">
        <v>6</v>
      </c>
      <c r="C272" s="11" t="s">
        <v>37</v>
      </c>
      <c r="D272" s="11" t="s">
        <v>786</v>
      </c>
      <c r="E272" s="11" t="s">
        <v>787</v>
      </c>
      <c r="F272" s="11" t="s">
        <v>505</v>
      </c>
      <c r="G272" s="11" t="s">
        <v>14</v>
      </c>
      <c r="H272" s="19" t="str">
        <f>IFERROR(VLOOKUP(Table2[[#This Row], [Ticket]],Okey!A:B,2,0),"")</f>
        <v>ok</v>
      </c>
      <c r="I272" s="11" t="s">
        <v>276</v>
      </c>
      <c r="J272" s="19" t="str">
        <f>VLOOKUP(Table2[[#This Row], [Author]],People!A:B,2,0)</f>
        <v>LS</v>
      </c>
      <c r="K272" s="11"/>
      <c r="L272" s="11"/>
      <c r="M272" s="20" t="s">
        <v>677</v>
      </c>
    </row>
    <row r="273" spans="1:13" ht="19.5" customHeight="1">
      <c r="A273" s="21">
        <f t="shared" si="4"/>
        <v>272</v>
      </c>
      <c r="B273" s="13" t="s">
        <v>6</v>
      </c>
      <c r="C273" s="13" t="s">
        <v>37</v>
      </c>
      <c r="D273" s="13" t="s">
        <v>788</v>
      </c>
      <c r="E273" s="13" t="s">
        <v>789</v>
      </c>
      <c r="F273" s="13" t="s">
        <v>505</v>
      </c>
      <c r="G273" s="13" t="s">
        <v>14</v>
      </c>
      <c r="H273" s="22" t="str">
        <f>IFERROR(VLOOKUP(Table2[[#This Row], [Ticket]],Okey!A:B,2,0),"")</f>
        <v>ok</v>
      </c>
      <c r="I273" s="13" t="s">
        <v>276</v>
      </c>
      <c r="J273" s="22" t="str">
        <f>VLOOKUP(Table2[[#This Row], [Author]],People!A:B,2,0)</f>
        <v>LS</v>
      </c>
      <c r="K273" s="13"/>
      <c r="L273" s="13"/>
      <c r="M273" s="23" t="s">
        <v>677</v>
      </c>
    </row>
    <row r="274" spans="1:13" ht="19.5" customHeight="1">
      <c r="A274" s="18">
        <f t="shared" si="4"/>
        <v>273</v>
      </c>
      <c r="B274" s="11" t="s">
        <v>6</v>
      </c>
      <c r="C274" s="11" t="s">
        <v>37</v>
      </c>
      <c r="D274" s="11" t="s">
        <v>790</v>
      </c>
      <c r="E274" s="11" t="s">
        <v>791</v>
      </c>
      <c r="F274" s="11" t="s">
        <v>505</v>
      </c>
      <c r="G274" s="11" t="s">
        <v>14</v>
      </c>
      <c r="H274" s="19" t="str">
        <f>IFERROR(VLOOKUP(Table2[[#This Row], [Ticket]],Okey!A:B,2,0),"")</f>
        <v>ok</v>
      </c>
      <c r="I274" s="11" t="s">
        <v>276</v>
      </c>
      <c r="J274" s="19" t="str">
        <f>VLOOKUP(Table2[[#This Row], [Author]],People!A:B,2,0)</f>
        <v>LS</v>
      </c>
      <c r="K274" s="11"/>
      <c r="L274" s="11"/>
      <c r="M274" s="20" t="s">
        <v>677</v>
      </c>
    </row>
    <row r="275" spans="1:13" ht="19.5" customHeight="1">
      <c r="A275" s="21">
        <f t="shared" si="4"/>
        <v>274</v>
      </c>
      <c r="B275" s="13" t="s">
        <v>6</v>
      </c>
      <c r="C275" s="13" t="s">
        <v>37</v>
      </c>
      <c r="D275" s="13" t="s">
        <v>792</v>
      </c>
      <c r="E275" s="13" t="s">
        <v>793</v>
      </c>
      <c r="F275" s="13" t="s">
        <v>505</v>
      </c>
      <c r="G275" s="13" t="s">
        <v>14</v>
      </c>
      <c r="H275" s="22" t="str">
        <f>IFERROR(VLOOKUP(Table2[[#This Row], [Ticket]],Okey!A:B,2,0),"")</f>
        <v>ok</v>
      </c>
      <c r="I275" s="13" t="s">
        <v>276</v>
      </c>
      <c r="J275" s="22" t="str">
        <f>VLOOKUP(Table2[[#This Row], [Author]],People!A:B,2,0)</f>
        <v>LS</v>
      </c>
      <c r="K275" s="13"/>
      <c r="L275" s="13"/>
      <c r="M275" s="23" t="s">
        <v>677</v>
      </c>
    </row>
    <row r="276" spans="1:13" ht="19.5" customHeight="1">
      <c r="A276" s="18">
        <f t="shared" si="4"/>
        <v>275</v>
      </c>
      <c r="B276" s="11" t="s">
        <v>6</v>
      </c>
      <c r="C276" s="11" t="s">
        <v>37</v>
      </c>
      <c r="D276" s="11" t="s">
        <v>794</v>
      </c>
      <c r="E276" s="11" t="s">
        <v>795</v>
      </c>
      <c r="F276" s="11" t="s">
        <v>505</v>
      </c>
      <c r="G276" s="11" t="s">
        <v>14</v>
      </c>
      <c r="H276" s="19" t="str">
        <f>IFERROR(VLOOKUP(Table2[[#This Row], [Ticket]],Okey!A:B,2,0),"")</f>
        <v>ok</v>
      </c>
      <c r="I276" s="11" t="s">
        <v>276</v>
      </c>
      <c r="J276" s="19" t="str">
        <f>VLOOKUP(Table2[[#This Row], [Author]],People!A:B,2,0)</f>
        <v>LS</v>
      </c>
      <c r="K276" s="11"/>
      <c r="L276" s="11"/>
      <c r="M276" s="20" t="s">
        <v>677</v>
      </c>
    </row>
    <row r="277" spans="1:13" ht="19.5" customHeight="1">
      <c r="A277" s="21">
        <f t="shared" si="4"/>
        <v>276</v>
      </c>
      <c r="B277" s="13" t="s">
        <v>6</v>
      </c>
      <c r="C277" s="13" t="s">
        <v>37</v>
      </c>
      <c r="D277" s="13" t="s">
        <v>796</v>
      </c>
      <c r="E277" s="13" t="s">
        <v>797</v>
      </c>
      <c r="F277" s="13" t="s">
        <v>505</v>
      </c>
      <c r="G277" s="13" t="s">
        <v>14</v>
      </c>
      <c r="H277" s="22" t="str">
        <f>IFERROR(VLOOKUP(Table2[[#This Row], [Ticket]],Okey!A:B,2,0),"")</f>
        <v>ok</v>
      </c>
      <c r="I277" s="13" t="s">
        <v>276</v>
      </c>
      <c r="J277" s="22" t="str">
        <f>VLOOKUP(Table2[[#This Row], [Author]],People!A:B,2,0)</f>
        <v>LS</v>
      </c>
      <c r="K277" s="13"/>
      <c r="L277" s="13"/>
      <c r="M277" s="23" t="s">
        <v>677</v>
      </c>
    </row>
    <row r="278" spans="1:13" ht="19.5" customHeight="1">
      <c r="A278" s="18">
        <f t="shared" si="4"/>
        <v>277</v>
      </c>
      <c r="B278" s="11" t="s">
        <v>6</v>
      </c>
      <c r="C278" s="11" t="s">
        <v>37</v>
      </c>
      <c r="D278" s="11" t="s">
        <v>798</v>
      </c>
      <c r="E278" s="11" t="s">
        <v>799</v>
      </c>
      <c r="F278" s="11" t="s">
        <v>505</v>
      </c>
      <c r="G278" s="11" t="s">
        <v>14</v>
      </c>
      <c r="H278" s="19" t="str">
        <f>IFERROR(VLOOKUP(Table2[[#This Row], [Ticket]],Okey!A:B,2,0),"")</f>
        <v>ok</v>
      </c>
      <c r="I278" s="11" t="s">
        <v>276</v>
      </c>
      <c r="J278" s="19" t="str">
        <f>VLOOKUP(Table2[[#This Row], [Author]],People!A:B,2,0)</f>
        <v>LS</v>
      </c>
      <c r="K278" s="11"/>
      <c r="L278" s="11"/>
      <c r="M278" s="20" t="s">
        <v>677</v>
      </c>
    </row>
    <row r="279" spans="1:13" ht="19.5" customHeight="1">
      <c r="A279" s="21">
        <f t="shared" si="4"/>
        <v>278</v>
      </c>
      <c r="B279" s="13" t="s">
        <v>6</v>
      </c>
      <c r="C279" s="13" t="s">
        <v>37</v>
      </c>
      <c r="D279" s="13" t="s">
        <v>800</v>
      </c>
      <c r="E279" s="13" t="s">
        <v>801</v>
      </c>
      <c r="F279" s="13" t="s">
        <v>501</v>
      </c>
      <c r="G279" s="13" t="s">
        <v>14</v>
      </c>
      <c r="H279" s="22" t="str">
        <f>IFERROR(VLOOKUP(Table2[[#This Row], [Ticket]],Okey!A:B,2,0),"")</f>
        <v>ok</v>
      </c>
      <c r="I279" s="13" t="s">
        <v>276</v>
      </c>
      <c r="J279" s="22" t="str">
        <f>VLOOKUP(Table2[[#This Row], [Author]],People!A:B,2,0)</f>
        <v>LS</v>
      </c>
      <c r="K279" s="13"/>
      <c r="L279" s="13"/>
      <c r="M279" s="23" t="s">
        <v>677</v>
      </c>
    </row>
    <row r="280" spans="1:13" ht="19.5" customHeight="1">
      <c r="A280" s="18">
        <f t="shared" si="4"/>
        <v>279</v>
      </c>
      <c r="B280" s="11" t="s">
        <v>6</v>
      </c>
      <c r="C280" s="11" t="s">
        <v>37</v>
      </c>
      <c r="D280" s="11" t="s">
        <v>802</v>
      </c>
      <c r="E280" s="11" t="s">
        <v>803</v>
      </c>
      <c r="F280" s="11" t="s">
        <v>501</v>
      </c>
      <c r="G280" s="11" t="s">
        <v>14</v>
      </c>
      <c r="H280" s="19" t="str">
        <f>IFERROR(VLOOKUP(Table2[[#This Row], [Ticket]],Okey!A:B,2,0),"")</f>
        <v>ok</v>
      </c>
      <c r="I280" s="11" t="s">
        <v>276</v>
      </c>
      <c r="J280" s="19" t="str">
        <f>VLOOKUP(Table2[[#This Row], [Author]],People!A:B,2,0)</f>
        <v>LS</v>
      </c>
      <c r="K280" s="11"/>
      <c r="L280" s="11"/>
      <c r="M280" s="20" t="s">
        <v>677</v>
      </c>
    </row>
    <row r="281" spans="1:13" ht="19.5" customHeight="1">
      <c r="A281" s="21">
        <f t="shared" si="4"/>
        <v>280</v>
      </c>
      <c r="B281" s="13" t="s">
        <v>6</v>
      </c>
      <c r="C281" s="13" t="s">
        <v>37</v>
      </c>
      <c r="D281" s="13" t="s">
        <v>804</v>
      </c>
      <c r="E281" s="13" t="s">
        <v>805</v>
      </c>
      <c r="F281" s="13" t="s">
        <v>501</v>
      </c>
      <c r="G281" s="13" t="s">
        <v>14</v>
      </c>
      <c r="H281" s="22" t="str">
        <f>IFERROR(VLOOKUP(Table2[[#This Row], [Ticket]],Okey!A:B,2,0),"")</f>
        <v>ok</v>
      </c>
      <c r="I281" s="13" t="s">
        <v>276</v>
      </c>
      <c r="J281" s="22" t="str">
        <f>VLOOKUP(Table2[[#This Row], [Author]],People!A:B,2,0)</f>
        <v>LS</v>
      </c>
      <c r="K281" s="13"/>
      <c r="L281" s="13"/>
      <c r="M281" s="23" t="s">
        <v>677</v>
      </c>
    </row>
    <row r="282" spans="1:13" ht="19.5" customHeight="1">
      <c r="A282" s="18">
        <f t="shared" si="4"/>
        <v>281</v>
      </c>
      <c r="B282" s="11" t="s">
        <v>6</v>
      </c>
      <c r="C282" s="11" t="s">
        <v>37</v>
      </c>
      <c r="D282" s="11" t="s">
        <v>806</v>
      </c>
      <c r="E282" s="11" t="s">
        <v>807</v>
      </c>
      <c r="F282" s="11" t="s">
        <v>505</v>
      </c>
      <c r="G282" s="11" t="s">
        <v>14</v>
      </c>
      <c r="H282" s="19" t="str">
        <f>IFERROR(VLOOKUP(Table2[[#This Row], [Ticket]],Okey!A:B,2,0),"")</f>
        <v>ok</v>
      </c>
      <c r="I282" s="11" t="s">
        <v>276</v>
      </c>
      <c r="J282" s="19" t="str">
        <f>VLOOKUP(Table2[[#This Row], [Author]],People!A:B,2,0)</f>
        <v>LS</v>
      </c>
      <c r="K282" s="11"/>
      <c r="L282" s="11"/>
      <c r="M282" s="20" t="s">
        <v>677</v>
      </c>
    </row>
    <row r="283" spans="1:13" ht="19.5" customHeight="1">
      <c r="A283" s="21">
        <f t="shared" si="4"/>
        <v>282</v>
      </c>
      <c r="B283" s="13" t="s">
        <v>6</v>
      </c>
      <c r="C283" s="13" t="s">
        <v>37</v>
      </c>
      <c r="D283" s="13" t="s">
        <v>808</v>
      </c>
      <c r="E283" s="13" t="s">
        <v>809</v>
      </c>
      <c r="F283" s="13" t="s">
        <v>505</v>
      </c>
      <c r="G283" s="13" t="s">
        <v>14</v>
      </c>
      <c r="H283" s="22" t="str">
        <f>IFERROR(VLOOKUP(Table2[[#This Row], [Ticket]],Okey!A:B,2,0),"")</f>
        <v>ok</v>
      </c>
      <c r="I283" s="13" t="s">
        <v>276</v>
      </c>
      <c r="J283" s="22" t="str">
        <f>VLOOKUP(Table2[[#This Row], [Author]],People!A:B,2,0)</f>
        <v>LS</v>
      </c>
      <c r="K283" s="13"/>
      <c r="L283" s="13"/>
      <c r="M283" s="23" t="s">
        <v>677</v>
      </c>
    </row>
    <row r="284" spans="1:13" ht="19.5" customHeight="1">
      <c r="A284" s="18">
        <f t="shared" si="4"/>
        <v>283</v>
      </c>
      <c r="B284" s="11" t="s">
        <v>6</v>
      </c>
      <c r="C284" s="11" t="s">
        <v>37</v>
      </c>
      <c r="D284" s="11" t="s">
        <v>810</v>
      </c>
      <c r="E284" s="11" t="s">
        <v>811</v>
      </c>
      <c r="F284" s="11" t="s">
        <v>505</v>
      </c>
      <c r="G284" s="11" t="s">
        <v>14</v>
      </c>
      <c r="H284" s="19" t="str">
        <f>IFERROR(VLOOKUP(Table2[[#This Row], [Ticket]],Okey!A:B,2,0),"")</f>
        <v>ok</v>
      </c>
      <c r="I284" s="11" t="s">
        <v>276</v>
      </c>
      <c r="J284" s="19" t="str">
        <f>VLOOKUP(Table2[[#This Row], [Author]],People!A:B,2,0)</f>
        <v>LS</v>
      </c>
      <c r="K284" s="11"/>
      <c r="L284" s="11"/>
      <c r="M284" s="20" t="s">
        <v>677</v>
      </c>
    </row>
    <row r="285" spans="1:13" ht="19.5" customHeight="1">
      <c r="A285" s="21">
        <f t="shared" si="4"/>
        <v>284</v>
      </c>
      <c r="B285" s="13" t="s">
        <v>6</v>
      </c>
      <c r="C285" s="13" t="s">
        <v>37</v>
      </c>
      <c r="D285" s="13" t="s">
        <v>812</v>
      </c>
      <c r="E285" s="13" t="s">
        <v>813</v>
      </c>
      <c r="F285" s="13" t="s">
        <v>505</v>
      </c>
      <c r="G285" s="13" t="s">
        <v>14</v>
      </c>
      <c r="H285" s="22" t="str">
        <f>IFERROR(VLOOKUP(Table2[[#This Row], [Ticket]],Okey!A:B,2,0),"")</f>
        <v>ok</v>
      </c>
      <c r="I285" s="13" t="s">
        <v>276</v>
      </c>
      <c r="J285" s="22" t="str">
        <f>VLOOKUP(Table2[[#This Row], [Author]],People!A:B,2,0)</f>
        <v>LS</v>
      </c>
      <c r="K285" s="13"/>
      <c r="L285" s="13"/>
      <c r="M285" s="23" t="s">
        <v>677</v>
      </c>
    </row>
    <row r="286" spans="1:13" ht="19.5" customHeight="1">
      <c r="A286" s="18">
        <f t="shared" si="4"/>
        <v>285</v>
      </c>
      <c r="B286" s="11" t="s">
        <v>6</v>
      </c>
      <c r="C286" s="11" t="s">
        <v>37</v>
      </c>
      <c r="D286" s="11" t="s">
        <v>814</v>
      </c>
      <c r="E286" s="11" t="s">
        <v>815</v>
      </c>
      <c r="F286" s="11" t="s">
        <v>511</v>
      </c>
      <c r="G286" s="11" t="s">
        <v>14</v>
      </c>
      <c r="H286" s="19" t="str">
        <f>IFERROR(VLOOKUP(Table2[[#This Row], [Ticket]],Okey!A:B,2,0),"")</f>
        <v>ok</v>
      </c>
      <c r="I286" s="11" t="s">
        <v>276</v>
      </c>
      <c r="J286" s="19" t="str">
        <f>VLOOKUP(Table2[[#This Row], [Author]],People!A:B,2,0)</f>
        <v>LS</v>
      </c>
      <c r="K286" s="11"/>
      <c r="L286" s="11"/>
      <c r="M286" s="20" t="s">
        <v>677</v>
      </c>
    </row>
    <row r="287" spans="1:13" ht="19.5" customHeight="1">
      <c r="A287" s="21">
        <f t="shared" si="4"/>
        <v>286</v>
      </c>
      <c r="B287" s="13" t="s">
        <v>6</v>
      </c>
      <c r="C287" s="13" t="s">
        <v>37</v>
      </c>
      <c r="D287" s="13" t="s">
        <v>816</v>
      </c>
      <c r="E287" s="13" t="s">
        <v>817</v>
      </c>
      <c r="F287" s="13" t="s">
        <v>511</v>
      </c>
      <c r="G287" s="13" t="s">
        <v>14</v>
      </c>
      <c r="H287" s="22" t="str">
        <f>IFERROR(VLOOKUP(Table2[[#This Row], [Ticket]],Okey!A:B,2,0),"")</f>
        <v>ok</v>
      </c>
      <c r="I287" s="13" t="s">
        <v>276</v>
      </c>
      <c r="J287" s="22" t="str">
        <f>VLOOKUP(Table2[[#This Row], [Author]],People!A:B,2,0)</f>
        <v>LS</v>
      </c>
      <c r="K287" s="13"/>
      <c r="L287" s="13"/>
      <c r="M287" s="23" t="s">
        <v>677</v>
      </c>
    </row>
    <row r="288" spans="1:13" ht="19.5" customHeight="1">
      <c r="A288" s="18">
        <f t="shared" si="4"/>
        <v>287</v>
      </c>
      <c r="B288" s="11" t="s">
        <v>6</v>
      </c>
      <c r="C288" s="11" t="s">
        <v>37</v>
      </c>
      <c r="D288" s="11" t="s">
        <v>818</v>
      </c>
      <c r="E288" s="11" t="s">
        <v>819</v>
      </c>
      <c r="F288" s="11" t="s">
        <v>511</v>
      </c>
      <c r="G288" s="11" t="s">
        <v>14</v>
      </c>
      <c r="H288" s="19" t="str">
        <f>IFERROR(VLOOKUP(Table2[[#This Row], [Ticket]],Okey!A:B,2,0),"")</f>
        <v>ok</v>
      </c>
      <c r="I288" s="11" t="s">
        <v>276</v>
      </c>
      <c r="J288" s="19" t="str">
        <f>VLOOKUP(Table2[[#This Row], [Author]],People!A:B,2,0)</f>
        <v>LS</v>
      </c>
      <c r="K288" s="11"/>
      <c r="L288" s="11"/>
      <c r="M288" s="20" t="s">
        <v>677</v>
      </c>
    </row>
    <row r="289" spans="1:13" ht="19.5" customHeight="1">
      <c r="A289" s="21">
        <f t="shared" si="4"/>
        <v>288</v>
      </c>
      <c r="B289" s="13" t="s">
        <v>6</v>
      </c>
      <c r="C289" s="13" t="s">
        <v>37</v>
      </c>
      <c r="D289" s="13" t="s">
        <v>820</v>
      </c>
      <c r="E289" s="13" t="s">
        <v>821</v>
      </c>
      <c r="F289" s="13" t="s">
        <v>511</v>
      </c>
      <c r="G289" s="13" t="s">
        <v>14</v>
      </c>
      <c r="H289" s="22" t="str">
        <f>IFERROR(VLOOKUP(Table2[[#This Row], [Ticket]],Okey!A:B,2,0),"")</f>
        <v>ok</v>
      </c>
      <c r="I289" s="13" t="s">
        <v>276</v>
      </c>
      <c r="J289" s="22" t="str">
        <f>VLOOKUP(Table2[[#This Row], [Author]],People!A:B,2,0)</f>
        <v>LS</v>
      </c>
      <c r="K289" s="13"/>
      <c r="L289" s="13"/>
      <c r="M289" s="23" t="s">
        <v>677</v>
      </c>
    </row>
    <row r="290" spans="1:13" ht="19.5" customHeight="1">
      <c r="A290" s="18">
        <f t="shared" si="4"/>
        <v>289</v>
      </c>
      <c r="B290" s="11" t="s">
        <v>6</v>
      </c>
      <c r="C290" s="11" t="s">
        <v>37</v>
      </c>
      <c r="D290" s="11" t="s">
        <v>822</v>
      </c>
      <c r="E290" s="11" t="s">
        <v>823</v>
      </c>
      <c r="F290" s="11" t="s">
        <v>511</v>
      </c>
      <c r="G290" s="11" t="s">
        <v>14</v>
      </c>
      <c r="H290" s="19" t="str">
        <f>IFERROR(VLOOKUP(Table2[[#This Row], [Ticket]],Okey!A:B,2,0),"")</f>
        <v>ok</v>
      </c>
      <c r="I290" s="11" t="s">
        <v>276</v>
      </c>
      <c r="J290" s="19" t="str">
        <f>VLOOKUP(Table2[[#This Row], [Author]],People!A:B,2,0)</f>
        <v>LS</v>
      </c>
      <c r="K290" s="11"/>
      <c r="L290" s="11"/>
      <c r="M290" s="20" t="s">
        <v>677</v>
      </c>
    </row>
    <row r="291" spans="1:13" ht="19.5" customHeight="1">
      <c r="A291" s="21">
        <f t="shared" si="4"/>
        <v>290</v>
      </c>
      <c r="B291" s="13" t="s">
        <v>6</v>
      </c>
      <c r="C291" s="13" t="s">
        <v>37</v>
      </c>
      <c r="D291" s="13" t="s">
        <v>824</v>
      </c>
      <c r="E291" s="13" t="s">
        <v>825</v>
      </c>
      <c r="F291" s="13" t="s">
        <v>511</v>
      </c>
      <c r="G291" s="13" t="s">
        <v>14</v>
      </c>
      <c r="H291" s="22" t="str">
        <f>IFERROR(VLOOKUP(Table2[[#This Row], [Ticket]],Okey!A:B,2,0),"")</f>
        <v>ok</v>
      </c>
      <c r="I291" s="13" t="s">
        <v>276</v>
      </c>
      <c r="J291" s="22" t="str">
        <f>VLOOKUP(Table2[[#This Row], [Author]],People!A:B,2,0)</f>
        <v>LS</v>
      </c>
      <c r="K291" s="13"/>
      <c r="L291" s="13"/>
      <c r="M291" s="23" t="s">
        <v>677</v>
      </c>
    </row>
    <row r="292" spans="1:13" ht="19.5" customHeight="1">
      <c r="A292" s="18">
        <f t="shared" si="4"/>
        <v>291</v>
      </c>
      <c r="B292" s="11" t="s">
        <v>6</v>
      </c>
      <c r="C292" s="11" t="s">
        <v>37</v>
      </c>
      <c r="D292" s="11" t="s">
        <v>826</v>
      </c>
      <c r="E292" s="11" t="s">
        <v>827</v>
      </c>
      <c r="F292" s="11" t="s">
        <v>511</v>
      </c>
      <c r="G292" s="11" t="s">
        <v>14</v>
      </c>
      <c r="H292" s="19" t="str">
        <f>IFERROR(VLOOKUP(Table2[[#This Row], [Ticket]],Okey!A:B,2,0),"")</f>
        <v>ok</v>
      </c>
      <c r="I292" s="11" t="s">
        <v>276</v>
      </c>
      <c r="J292" s="19" t="str">
        <f>VLOOKUP(Table2[[#This Row], [Author]],People!A:B,2,0)</f>
        <v>LS</v>
      </c>
      <c r="K292" s="11"/>
      <c r="L292" s="11"/>
      <c r="M292" s="20" t="s">
        <v>677</v>
      </c>
    </row>
    <row r="293" spans="1:13" ht="19.5" customHeight="1">
      <c r="A293" s="21">
        <f t="shared" si="4"/>
        <v>292</v>
      </c>
      <c r="B293" s="13" t="s">
        <v>6</v>
      </c>
      <c r="C293" s="13" t="s">
        <v>37</v>
      </c>
      <c r="D293" s="13" t="s">
        <v>828</v>
      </c>
      <c r="E293" s="13" t="s">
        <v>829</v>
      </c>
      <c r="F293" s="13" t="s">
        <v>511</v>
      </c>
      <c r="G293" s="13" t="s">
        <v>14</v>
      </c>
      <c r="H293" s="22" t="str">
        <f>IFERROR(VLOOKUP(Table2[[#This Row], [Ticket]],Okey!A:B,2,0),"")</f>
        <v>ok</v>
      </c>
      <c r="I293" s="13" t="s">
        <v>276</v>
      </c>
      <c r="J293" s="22" t="str">
        <f>VLOOKUP(Table2[[#This Row], [Author]],People!A:B,2,0)</f>
        <v>LS</v>
      </c>
      <c r="K293" s="13"/>
      <c r="L293" s="13"/>
      <c r="M293" s="23" t="s">
        <v>677</v>
      </c>
    </row>
    <row r="294" spans="1:13" ht="19.5" customHeight="1">
      <c r="A294" s="18">
        <f t="shared" si="4"/>
        <v>293</v>
      </c>
      <c r="B294" s="11" t="s">
        <v>6</v>
      </c>
      <c r="C294" s="11" t="s">
        <v>37</v>
      </c>
      <c r="D294" s="11" t="s">
        <v>830</v>
      </c>
      <c r="E294" s="11" t="s">
        <v>831</v>
      </c>
      <c r="F294" s="11" t="s">
        <v>511</v>
      </c>
      <c r="G294" s="11" t="s">
        <v>14</v>
      </c>
      <c r="H294" s="19" t="str">
        <f>IFERROR(VLOOKUP(Table2[[#This Row], [Ticket]],Okey!A:B,2,0),"")</f>
        <v>ok</v>
      </c>
      <c r="I294" s="11" t="s">
        <v>276</v>
      </c>
      <c r="J294" s="19" t="str">
        <f>VLOOKUP(Table2[[#This Row], [Author]],People!A:B,2,0)</f>
        <v>LS</v>
      </c>
      <c r="K294" s="11"/>
      <c r="L294" s="11"/>
      <c r="M294" s="20" t="s">
        <v>677</v>
      </c>
    </row>
    <row r="295" spans="1:13" ht="19.5" customHeight="1">
      <c r="A295" s="21">
        <f t="shared" si="4"/>
        <v>294</v>
      </c>
      <c r="B295" s="13" t="s">
        <v>6</v>
      </c>
      <c r="C295" s="13" t="s">
        <v>37</v>
      </c>
      <c r="D295" s="13" t="s">
        <v>832</v>
      </c>
      <c r="E295" s="13" t="s">
        <v>833</v>
      </c>
      <c r="F295" s="13" t="s">
        <v>511</v>
      </c>
      <c r="G295" s="13" t="s">
        <v>14</v>
      </c>
      <c r="H295" s="22" t="str">
        <f>IFERROR(VLOOKUP(Table2[[#This Row], [Ticket]],Okey!A:B,2,0),"")</f>
        <v>ok</v>
      </c>
      <c r="I295" s="13" t="s">
        <v>276</v>
      </c>
      <c r="J295" s="22" t="str">
        <f>VLOOKUP(Table2[[#This Row], [Author]],People!A:B,2,0)</f>
        <v>LS</v>
      </c>
      <c r="K295" s="13"/>
      <c r="L295" s="13"/>
      <c r="M295" s="23" t="s">
        <v>677</v>
      </c>
    </row>
    <row r="296" spans="1:13" ht="19.5" customHeight="1">
      <c r="A296" s="18">
        <f t="shared" si="4"/>
        <v>295</v>
      </c>
      <c r="B296" s="11" t="s">
        <v>6</v>
      </c>
      <c r="C296" s="11" t="s">
        <v>37</v>
      </c>
      <c r="D296" s="11" t="s">
        <v>834</v>
      </c>
      <c r="E296" s="11" t="s">
        <v>835</v>
      </c>
      <c r="F296" s="11" t="s">
        <v>511</v>
      </c>
      <c r="G296" s="11" t="s">
        <v>14</v>
      </c>
      <c r="H296" s="19" t="str">
        <f>IFERROR(VLOOKUP(Table2[[#This Row], [Ticket]],Okey!A:B,2,0),"")</f>
        <v>ok</v>
      </c>
      <c r="I296" s="11" t="s">
        <v>276</v>
      </c>
      <c r="J296" s="19" t="str">
        <f>VLOOKUP(Table2[[#This Row], [Author]],People!A:B,2,0)</f>
        <v>LS</v>
      </c>
      <c r="K296" s="11"/>
      <c r="L296" s="11"/>
      <c r="M296" s="20" t="s">
        <v>677</v>
      </c>
    </row>
    <row r="297" spans="1:13" ht="19.5" customHeight="1">
      <c r="A297" s="21">
        <f t="shared" si="4"/>
        <v>296</v>
      </c>
      <c r="B297" s="13" t="s">
        <v>6</v>
      </c>
      <c r="C297" s="13" t="s">
        <v>37</v>
      </c>
      <c r="D297" s="13" t="s">
        <v>836</v>
      </c>
      <c r="E297" s="13" t="s">
        <v>837</v>
      </c>
      <c r="F297" s="13" t="s">
        <v>511</v>
      </c>
      <c r="G297" s="13" t="s">
        <v>14</v>
      </c>
      <c r="H297" s="22" t="str">
        <f>IFERROR(VLOOKUP(Table2[[#This Row], [Ticket]],Okey!A:B,2,0),"")</f>
        <v>ok</v>
      </c>
      <c r="I297" s="13" t="s">
        <v>276</v>
      </c>
      <c r="J297" s="22" t="str">
        <f>VLOOKUP(Table2[[#This Row], [Author]],People!A:B,2,0)</f>
        <v>LS</v>
      </c>
      <c r="K297" s="13"/>
      <c r="L297" s="13"/>
      <c r="M297" s="23" t="s">
        <v>677</v>
      </c>
    </row>
    <row r="298" spans="1:13" ht="19.5" customHeight="1">
      <c r="A298" s="18">
        <f t="shared" si="4"/>
        <v>297</v>
      </c>
      <c r="B298" s="11" t="s">
        <v>6</v>
      </c>
      <c r="C298" s="11" t="s">
        <v>37</v>
      </c>
      <c r="D298" s="11" t="s">
        <v>838</v>
      </c>
      <c r="E298" s="11" t="s">
        <v>839</v>
      </c>
      <c r="F298" s="11" t="s">
        <v>511</v>
      </c>
      <c r="G298" s="11" t="s">
        <v>14</v>
      </c>
      <c r="H298" s="19" t="str">
        <f>IFERROR(VLOOKUP(Table2[[#This Row], [Ticket]],Okey!A:B,2,0),"")</f>
        <v>ok</v>
      </c>
      <c r="I298" s="11" t="s">
        <v>276</v>
      </c>
      <c r="J298" s="19" t="str">
        <f>VLOOKUP(Table2[[#This Row], [Author]],People!A:B,2,0)</f>
        <v>LS</v>
      </c>
      <c r="K298" s="11"/>
      <c r="L298" s="11"/>
      <c r="M298" s="20" t="s">
        <v>677</v>
      </c>
    </row>
    <row r="299" spans="1:13" ht="19.5" customHeight="1">
      <c r="A299" s="21">
        <f t="shared" si="4"/>
        <v>298</v>
      </c>
      <c r="B299" s="13" t="s">
        <v>6</v>
      </c>
      <c r="C299" s="13" t="s">
        <v>37</v>
      </c>
      <c r="D299" s="13" t="s">
        <v>840</v>
      </c>
      <c r="E299" s="13" t="s">
        <v>841</v>
      </c>
      <c r="F299" s="13" t="s">
        <v>511</v>
      </c>
      <c r="G299" s="13" t="s">
        <v>14</v>
      </c>
      <c r="H299" s="22" t="str">
        <f>IFERROR(VLOOKUP(Table2[[#This Row], [Ticket]],Okey!A:B,2,0),"")</f>
        <v>ok</v>
      </c>
      <c r="I299" s="13" t="s">
        <v>276</v>
      </c>
      <c r="J299" s="22" t="str">
        <f>VLOOKUP(Table2[[#This Row], [Author]],People!A:B,2,0)</f>
        <v>LS</v>
      </c>
      <c r="K299" s="13"/>
      <c r="L299" s="13"/>
      <c r="M299" s="23" t="s">
        <v>677</v>
      </c>
    </row>
    <row r="300" spans="1:13" ht="19.5" customHeight="1">
      <c r="A300" s="18">
        <f t="shared" si="4"/>
        <v>299</v>
      </c>
      <c r="B300" s="11" t="s">
        <v>6</v>
      </c>
      <c r="C300" s="11" t="s">
        <v>37</v>
      </c>
      <c r="D300" s="11" t="s">
        <v>842</v>
      </c>
      <c r="E300" s="11" t="s">
        <v>843</v>
      </c>
      <c r="F300" s="11" t="s">
        <v>507</v>
      </c>
      <c r="G300" s="11" t="s">
        <v>14</v>
      </c>
      <c r="H300" s="19" t="str">
        <f>IFERROR(VLOOKUP(Table2[[#This Row], [Ticket]],Okey!A:B,2,0),"")</f>
        <v>ok</v>
      </c>
      <c r="I300" s="11" t="s">
        <v>276</v>
      </c>
      <c r="J300" s="19" t="str">
        <f>VLOOKUP(Table2[[#This Row], [Author]],People!A:B,2,0)</f>
        <v>LS</v>
      </c>
      <c r="K300" s="11"/>
      <c r="L300" s="11"/>
      <c r="M300" s="20" t="s">
        <v>677</v>
      </c>
    </row>
    <row r="301" spans="1:13" ht="19.5" customHeight="1">
      <c r="A301" s="21">
        <f t="shared" si="4"/>
        <v>300</v>
      </c>
      <c r="B301" s="13" t="s">
        <v>6</v>
      </c>
      <c r="C301" s="13" t="s">
        <v>37</v>
      </c>
      <c r="D301" s="13" t="s">
        <v>844</v>
      </c>
      <c r="E301" s="13" t="s">
        <v>845</v>
      </c>
      <c r="F301" s="13" t="s">
        <v>501</v>
      </c>
      <c r="G301" s="13" t="s">
        <v>14</v>
      </c>
      <c r="H301" s="22" t="str">
        <f>IFERROR(VLOOKUP(Table2[[#This Row], [Ticket]],Okey!A:B,2,0),"")</f>
        <v>ok</v>
      </c>
      <c r="I301" s="13" t="s">
        <v>276</v>
      </c>
      <c r="J301" s="22" t="str">
        <f>VLOOKUP(Table2[[#This Row], [Author]],People!A:B,2,0)</f>
        <v>LS</v>
      </c>
      <c r="K301" s="13"/>
      <c r="L301" s="13"/>
      <c r="M301" s="23" t="s">
        <v>677</v>
      </c>
    </row>
    <row r="302" spans="1:13" ht="19.5" customHeight="1">
      <c r="A302" s="18">
        <f t="shared" si="4"/>
        <v>301</v>
      </c>
      <c r="B302" s="11" t="s">
        <v>6</v>
      </c>
      <c r="C302" s="11" t="s">
        <v>37</v>
      </c>
      <c r="D302" s="11" t="s">
        <v>846</v>
      </c>
      <c r="E302" s="11" t="s">
        <v>847</v>
      </c>
      <c r="F302" s="11" t="s">
        <v>507</v>
      </c>
      <c r="G302" s="11" t="s">
        <v>14</v>
      </c>
      <c r="H302" s="19" t="str">
        <f>IFERROR(VLOOKUP(Table2[[#This Row], [Ticket]],Okey!A:B,2,0),"")</f>
        <v>ok</v>
      </c>
      <c r="I302" s="11" t="s">
        <v>276</v>
      </c>
      <c r="J302" s="19" t="str">
        <f>VLOOKUP(Table2[[#This Row], [Author]],People!A:B,2,0)</f>
        <v>LS</v>
      </c>
      <c r="K302" s="11"/>
      <c r="L302" s="11"/>
      <c r="M302" s="20" t="s">
        <v>677</v>
      </c>
    </row>
    <row r="303" spans="1:13" ht="19.5" customHeight="1">
      <c r="A303" s="21">
        <f t="shared" si="4"/>
        <v>302</v>
      </c>
      <c r="B303" s="13" t="s">
        <v>6</v>
      </c>
      <c r="C303" s="13" t="s">
        <v>37</v>
      </c>
      <c r="D303" s="13" t="s">
        <v>848</v>
      </c>
      <c r="E303" s="13" t="s">
        <v>849</v>
      </c>
      <c r="F303" s="13" t="s">
        <v>507</v>
      </c>
      <c r="G303" s="13" t="s">
        <v>14</v>
      </c>
      <c r="H303" s="22" t="str">
        <f>IFERROR(VLOOKUP(Table2[[#This Row], [Ticket]],Okey!A:B,2,0),"")</f>
        <v>ok</v>
      </c>
      <c r="I303" s="13" t="s">
        <v>276</v>
      </c>
      <c r="J303" s="22" t="str">
        <f>VLOOKUP(Table2[[#This Row], [Author]],People!A:B,2,0)</f>
        <v>LS</v>
      </c>
      <c r="K303" s="13"/>
      <c r="L303" s="13"/>
      <c r="M303" s="23" t="s">
        <v>677</v>
      </c>
    </row>
    <row r="304" spans="1:13" ht="19.5" customHeight="1">
      <c r="A304" s="18">
        <f t="shared" si="4"/>
        <v>303</v>
      </c>
      <c r="B304" s="11" t="s">
        <v>6</v>
      </c>
      <c r="C304" s="11" t="s">
        <v>37</v>
      </c>
      <c r="D304" s="11" t="s">
        <v>850</v>
      </c>
      <c r="E304" s="11" t="s">
        <v>851</v>
      </c>
      <c r="F304" s="11" t="s">
        <v>852</v>
      </c>
      <c r="G304" s="11" t="s">
        <v>14</v>
      </c>
      <c r="H304" s="19" t="str">
        <f>IFERROR(VLOOKUP(Table2[[#This Row], [Ticket]],Okey!A:B,2,0),"")</f>
        <v>ok</v>
      </c>
      <c r="I304" s="11" t="s">
        <v>276</v>
      </c>
      <c r="J304" s="19" t="str">
        <f>VLOOKUP(Table2[[#This Row], [Author]],People!A:B,2,0)</f>
        <v>LS</v>
      </c>
      <c r="K304" s="11"/>
      <c r="L304" s="11"/>
      <c r="M304" s="20" t="s">
        <v>677</v>
      </c>
    </row>
    <row r="305" spans="1:13" ht="19.5" customHeight="1">
      <c r="A305" s="21">
        <f t="shared" si="4"/>
        <v>304</v>
      </c>
      <c r="B305" s="13" t="s">
        <v>6</v>
      </c>
      <c r="C305" s="13" t="s">
        <v>37</v>
      </c>
      <c r="D305" s="13" t="s">
        <v>853</v>
      </c>
      <c r="E305" s="13" t="s">
        <v>854</v>
      </c>
      <c r="F305" s="13" t="s">
        <v>855</v>
      </c>
      <c r="G305" s="13" t="s">
        <v>14</v>
      </c>
      <c r="H305" s="22" t="str">
        <f>IFERROR(VLOOKUP(Table2[[#This Row], [Ticket]],Okey!A:B,2,0),"")</f>
        <v>ok</v>
      </c>
      <c r="I305" s="13" t="s">
        <v>276</v>
      </c>
      <c r="J305" s="22" t="str">
        <f>VLOOKUP(Table2[[#This Row], [Author]],People!A:B,2,0)</f>
        <v>LS</v>
      </c>
      <c r="K305" s="13"/>
      <c r="L305" s="13"/>
      <c r="M305" s="23" t="s">
        <v>677</v>
      </c>
    </row>
    <row r="306" spans="1:13" ht="19.5" customHeight="1">
      <c r="A306" s="18">
        <f t="shared" si="4"/>
        <v>305</v>
      </c>
      <c r="B306" s="11" t="s">
        <v>6</v>
      </c>
      <c r="C306" s="11" t="s">
        <v>37</v>
      </c>
      <c r="D306" s="11" t="s">
        <v>856</v>
      </c>
      <c r="E306" s="11" t="s">
        <v>857</v>
      </c>
      <c r="F306" s="11" t="s">
        <v>858</v>
      </c>
      <c r="G306" s="11" t="s">
        <v>14</v>
      </c>
      <c r="H306" s="19" t="str">
        <f>IFERROR(VLOOKUP(Table2[[#This Row], [Ticket]],Okey!A:B,2,0),"")</f>
        <v>ok</v>
      </c>
      <c r="I306" s="11" t="s">
        <v>276</v>
      </c>
      <c r="J306" s="19" t="str">
        <f>VLOOKUP(Table2[[#This Row], [Author]],People!A:B,2,0)</f>
        <v>LS</v>
      </c>
      <c r="K306" s="11"/>
      <c r="L306" s="11"/>
      <c r="M306" s="20" t="s">
        <v>677</v>
      </c>
    </row>
    <row r="307" spans="1:13" ht="19.5" customHeight="1">
      <c r="A307" s="21">
        <f t="shared" si="4"/>
        <v>306</v>
      </c>
      <c r="B307" s="13" t="s">
        <v>6</v>
      </c>
      <c r="C307" s="13" t="s">
        <v>37</v>
      </c>
      <c r="D307" s="13" t="s">
        <v>859</v>
      </c>
      <c r="E307" s="13" t="s">
        <v>860</v>
      </c>
      <c r="F307" s="13" t="s">
        <v>858</v>
      </c>
      <c r="G307" s="13" t="s">
        <v>14</v>
      </c>
      <c r="H307" s="22" t="str">
        <f>IFERROR(VLOOKUP(Table2[[#This Row], [Ticket]],Okey!A:B,2,0),"")</f>
        <v>ok</v>
      </c>
      <c r="I307" s="13" t="s">
        <v>276</v>
      </c>
      <c r="J307" s="22" t="str">
        <f>VLOOKUP(Table2[[#This Row], [Author]],People!A:B,2,0)</f>
        <v>LS</v>
      </c>
      <c r="K307" s="13"/>
      <c r="L307" s="13"/>
      <c r="M307" s="23" t="s">
        <v>677</v>
      </c>
    </row>
    <row r="308" spans="1:13" ht="19.5" customHeight="1">
      <c r="A308" s="18">
        <f t="shared" si="4"/>
        <v>307</v>
      </c>
      <c r="B308" s="11" t="s">
        <v>6</v>
      </c>
      <c r="C308" s="11" t="s">
        <v>37</v>
      </c>
      <c r="D308" s="11" t="s">
        <v>861</v>
      </c>
      <c r="E308" s="11" t="s">
        <v>862</v>
      </c>
      <c r="F308" s="11" t="s">
        <v>858</v>
      </c>
      <c r="G308" s="11" t="s">
        <v>14</v>
      </c>
      <c r="H308" s="19" t="str">
        <f>IFERROR(VLOOKUP(Table2[[#This Row], [Ticket]],Okey!A:B,2,0),"")</f>
        <v>ok</v>
      </c>
      <c r="I308" s="11" t="s">
        <v>276</v>
      </c>
      <c r="J308" s="19" t="str">
        <f>VLOOKUP(Table2[[#This Row], [Author]],People!A:B,2,0)</f>
        <v>LS</v>
      </c>
      <c r="K308" s="11"/>
      <c r="L308" s="11"/>
      <c r="M308" s="20" t="s">
        <v>677</v>
      </c>
    </row>
    <row r="309" spans="1:13" ht="19.5" customHeight="1">
      <c r="A309" s="21">
        <f t="shared" si="4"/>
        <v>308</v>
      </c>
      <c r="B309" s="13" t="s">
        <v>6</v>
      </c>
      <c r="C309" s="13" t="s">
        <v>37</v>
      </c>
      <c r="D309" s="13" t="s">
        <v>863</v>
      </c>
      <c r="E309" s="13" t="s">
        <v>864</v>
      </c>
      <c r="F309" s="13" t="s">
        <v>858</v>
      </c>
      <c r="G309" s="13" t="s">
        <v>14</v>
      </c>
      <c r="H309" s="22" t="str">
        <f>IFERROR(VLOOKUP(Table2[[#This Row], [Ticket]],Okey!A:B,2,0),"")</f>
        <v>ok</v>
      </c>
      <c r="I309" s="13" t="s">
        <v>276</v>
      </c>
      <c r="J309" s="22" t="str">
        <f>VLOOKUP(Table2[[#This Row], [Author]],People!A:B,2,0)</f>
        <v>LS</v>
      </c>
      <c r="K309" s="13"/>
      <c r="L309" s="13"/>
      <c r="M309" s="23" t="s">
        <v>677</v>
      </c>
    </row>
    <row r="310" spans="1:13" ht="19.5" customHeight="1">
      <c r="A310" s="18">
        <f t="shared" si="4"/>
        <v>309</v>
      </c>
      <c r="B310" s="11" t="s">
        <v>6</v>
      </c>
      <c r="C310" s="11" t="s">
        <v>37</v>
      </c>
      <c r="D310" s="11" t="s">
        <v>865</v>
      </c>
      <c r="E310" s="11" t="s">
        <v>866</v>
      </c>
      <c r="F310" s="11" t="s">
        <v>852</v>
      </c>
      <c r="G310" s="11" t="s">
        <v>16</v>
      </c>
      <c r="H310" s="19" t="str">
        <f>IFERROR(VLOOKUP(Table2[[#This Row], [Ticket]],Okey!A:B,2,0),"")</f>
        <v>ok</v>
      </c>
      <c r="I310" s="11" t="s">
        <v>276</v>
      </c>
      <c r="J310" s="19" t="str">
        <f>VLOOKUP(Table2[[#This Row], [Author]],People!A:B,2,0)</f>
        <v>LS</v>
      </c>
      <c r="K310" s="11"/>
      <c r="L310" s="11"/>
      <c r="M310" s="20" t="s">
        <v>677</v>
      </c>
    </row>
    <row r="311" spans="1:13" ht="19.5" customHeight="1">
      <c r="A311" s="21">
        <f t="shared" si="4"/>
        <v>310</v>
      </c>
      <c r="B311" s="13" t="s">
        <v>6</v>
      </c>
      <c r="C311" s="13" t="s">
        <v>37</v>
      </c>
      <c r="D311" s="13" t="s">
        <v>867</v>
      </c>
      <c r="E311" s="13" t="s">
        <v>868</v>
      </c>
      <c r="F311" s="13" t="s">
        <v>852</v>
      </c>
      <c r="G311" s="13" t="s">
        <v>16</v>
      </c>
      <c r="H311" s="22" t="str">
        <f>IFERROR(VLOOKUP(Table2[[#This Row], [Ticket]],Okey!A:B,2,0),"")</f>
        <v>ok</v>
      </c>
      <c r="I311" s="13" t="s">
        <v>276</v>
      </c>
      <c r="J311" s="22" t="str">
        <f>VLOOKUP(Table2[[#This Row], [Author]],People!A:B,2,0)</f>
        <v>LS</v>
      </c>
      <c r="K311" s="13"/>
      <c r="L311" s="13"/>
      <c r="M311" s="23" t="s">
        <v>677</v>
      </c>
    </row>
    <row r="312" spans="1:13" ht="19.5" customHeight="1">
      <c r="A312" s="18">
        <f t="shared" si="4"/>
        <v>311</v>
      </c>
      <c r="B312" s="11" t="s">
        <v>6</v>
      </c>
      <c r="C312" s="11" t="s">
        <v>37</v>
      </c>
      <c r="D312" s="11" t="s">
        <v>869</v>
      </c>
      <c r="E312" s="11" t="s">
        <v>870</v>
      </c>
      <c r="F312" s="11" t="s">
        <v>852</v>
      </c>
      <c r="G312" s="11" t="s">
        <v>16</v>
      </c>
      <c r="H312" s="19" t="str">
        <f>IFERROR(VLOOKUP(Table2[[#This Row], [Ticket]],Okey!A:B,2,0),"")</f>
        <v>ok</v>
      </c>
      <c r="I312" s="11" t="s">
        <v>276</v>
      </c>
      <c r="J312" s="19" t="str">
        <f>VLOOKUP(Table2[[#This Row], [Author]],People!A:B,2,0)</f>
        <v>LS</v>
      </c>
      <c r="K312" s="11"/>
      <c r="L312" s="11"/>
      <c r="M312" s="20" t="s">
        <v>677</v>
      </c>
    </row>
    <row r="313" spans="1:13" ht="19.5" customHeight="1">
      <c r="A313" s="21">
        <f t="shared" si="4"/>
        <v>312</v>
      </c>
      <c r="B313" s="13" t="s">
        <v>6</v>
      </c>
      <c r="C313" s="13" t="s">
        <v>37</v>
      </c>
      <c r="D313" s="13" t="s">
        <v>871</v>
      </c>
      <c r="E313" s="13" t="s">
        <v>872</v>
      </c>
      <c r="F313" s="13" t="s">
        <v>855</v>
      </c>
      <c r="G313" s="13" t="s">
        <v>16</v>
      </c>
      <c r="H313" s="22" t="str">
        <f>IFERROR(VLOOKUP(Table2[[#This Row], [Ticket]],Okey!A:B,2,0),"")</f>
        <v>ok</v>
      </c>
      <c r="I313" s="13" t="s">
        <v>276</v>
      </c>
      <c r="J313" s="22" t="str">
        <f>VLOOKUP(Table2[[#This Row], [Author]],People!A:B,2,0)</f>
        <v>LS</v>
      </c>
      <c r="K313" s="13"/>
      <c r="L313" s="13"/>
      <c r="M313" s="23" t="s">
        <v>677</v>
      </c>
    </row>
    <row r="314" spans="1:13" ht="19.5" customHeight="1">
      <c r="A314" s="18">
        <f t="shared" si="4"/>
        <v>313</v>
      </c>
      <c r="B314" s="11" t="s">
        <v>6</v>
      </c>
      <c r="C314" s="11" t="s">
        <v>38</v>
      </c>
      <c r="D314" s="11" t="s">
        <v>873</v>
      </c>
      <c r="E314" s="11" t="s">
        <v>874</v>
      </c>
      <c r="F314" s="11" t="s">
        <v>875</v>
      </c>
      <c r="G314" s="11" t="s">
        <v>14</v>
      </c>
      <c r="H314" s="19" t="str">
        <f>IFERROR(VLOOKUP(Table2[[#This Row], [Ticket]],Okey!A:B,2,0),"")</f>
        <v>ok</v>
      </c>
      <c r="I314" s="11" t="s">
        <v>276</v>
      </c>
      <c r="J314" s="19" t="str">
        <f>VLOOKUP(Table2[[#This Row], [Author]],People!A:B,2,0)</f>
        <v>LS</v>
      </c>
      <c r="K314" s="11"/>
      <c r="L314" s="11"/>
      <c r="M314" s="20" t="s">
        <v>876</v>
      </c>
    </row>
    <row r="315" spans="1:13" ht="19.5" customHeight="1">
      <c r="A315" s="21">
        <f t="shared" si="4"/>
        <v>314</v>
      </c>
      <c r="B315" s="13" t="s">
        <v>6</v>
      </c>
      <c r="C315" s="13" t="s">
        <v>38</v>
      </c>
      <c r="D315" s="13" t="s">
        <v>877</v>
      </c>
      <c r="E315" s="13" t="s">
        <v>878</v>
      </c>
      <c r="F315" s="13" t="s">
        <v>879</v>
      </c>
      <c r="G315" s="13" t="s">
        <v>14</v>
      </c>
      <c r="H315" s="22" t="str">
        <f>IFERROR(VLOOKUP(Table2[[#This Row], [Ticket]],Okey!A:B,2,0),"")</f>
        <v>ok</v>
      </c>
      <c r="I315" s="13" t="s">
        <v>276</v>
      </c>
      <c r="J315" s="22" t="str">
        <f>VLOOKUP(Table2[[#This Row], [Author]],People!A:B,2,0)</f>
        <v>LS</v>
      </c>
      <c r="K315" s="13"/>
      <c r="L315" s="13"/>
      <c r="M315" s="23" t="s">
        <v>876</v>
      </c>
    </row>
    <row r="316" spans="1:13" ht="19.5" customHeight="1">
      <c r="A316" s="18">
        <f t="shared" si="4"/>
        <v>315</v>
      </c>
      <c r="B316" s="11" t="s">
        <v>6</v>
      </c>
      <c r="C316" s="11" t="s">
        <v>39</v>
      </c>
      <c r="D316" s="11" t="s">
        <v>880</v>
      </c>
      <c r="E316" s="11" t="s">
        <v>881</v>
      </c>
      <c r="F316" s="11"/>
      <c r="G316" s="11" t="s">
        <v>15</v>
      </c>
      <c r="H316" s="19" t="str">
        <f>IFERROR(VLOOKUP(Table2[[#This Row], [Ticket]],Okey!A:B,2,0),"")</f>
        <v>ok</v>
      </c>
      <c r="I316" s="11" t="s">
        <v>276</v>
      </c>
      <c r="J316" s="19" t="str">
        <f>VLOOKUP(Table2[[#This Row], [Author]],People!A:B,2,0)</f>
        <v>LS</v>
      </c>
      <c r="K316" s="11"/>
      <c r="L316" s="11"/>
      <c r="M316" s="20" t="s">
        <v>876</v>
      </c>
    </row>
    <row r="317" spans="1:13" ht="19.5" customHeight="1">
      <c r="A317" s="21">
        <f t="shared" si="4"/>
        <v>316</v>
      </c>
      <c r="B317" s="13" t="s">
        <v>6</v>
      </c>
      <c r="C317" s="13" t="s">
        <v>39</v>
      </c>
      <c r="D317" s="13" t="s">
        <v>882</v>
      </c>
      <c r="E317" s="13" t="s">
        <v>883</v>
      </c>
      <c r="F317" s="13"/>
      <c r="G317" s="13" t="s">
        <v>15</v>
      </c>
      <c r="H317" s="22" t="str">
        <f>IFERROR(VLOOKUP(Table2[[#This Row], [Ticket]],Okey!A:B,2,0),"")</f>
        <v>ok</v>
      </c>
      <c r="I317" s="13" t="s">
        <v>276</v>
      </c>
      <c r="J317" s="22" t="str">
        <f>VLOOKUP(Table2[[#This Row], [Author]],People!A:B,2,0)</f>
        <v>LS</v>
      </c>
      <c r="K317" s="13"/>
      <c r="L317" s="13"/>
      <c r="M317" s="23" t="s">
        <v>876</v>
      </c>
    </row>
    <row r="318" spans="1:13" ht="19.5" customHeight="1">
      <c r="A318" s="18">
        <f t="shared" si="4"/>
        <v>317</v>
      </c>
      <c r="B318" s="11" t="s">
        <v>6</v>
      </c>
      <c r="C318" s="11" t="s">
        <v>39</v>
      </c>
      <c r="D318" s="11" t="s">
        <v>884</v>
      </c>
      <c r="E318" s="11" t="s">
        <v>885</v>
      </c>
      <c r="F318" s="11"/>
      <c r="G318" s="11" t="s">
        <v>15</v>
      </c>
      <c r="H318" s="19" t="str">
        <f>IFERROR(VLOOKUP(Table2[[#This Row], [Ticket]],Okey!A:B,2,0),"")</f>
        <v>ok</v>
      </c>
      <c r="I318" s="11" t="s">
        <v>276</v>
      </c>
      <c r="J318" s="19" t="str">
        <f>VLOOKUP(Table2[[#This Row], [Author]],People!A:B,2,0)</f>
        <v>LS</v>
      </c>
      <c r="K318" s="11"/>
      <c r="L318" s="11"/>
      <c r="M318" s="20" t="s">
        <v>876</v>
      </c>
    </row>
    <row r="319" spans="1:13" ht="19.5" customHeight="1">
      <c r="A319" s="21">
        <f t="shared" si="4"/>
        <v>318</v>
      </c>
      <c r="B319" s="13" t="s">
        <v>6</v>
      </c>
      <c r="C319" s="13" t="s">
        <v>39</v>
      </c>
      <c r="D319" s="13" t="s">
        <v>886</v>
      </c>
      <c r="E319" s="13" t="s">
        <v>887</v>
      </c>
      <c r="F319" s="13"/>
      <c r="G319" s="13" t="s">
        <v>15</v>
      </c>
      <c r="H319" s="22" t="str">
        <f>IFERROR(VLOOKUP(Table2[[#This Row], [Ticket]],Okey!A:B,2,0),"")</f>
        <v>ok</v>
      </c>
      <c r="I319" s="13" t="s">
        <v>276</v>
      </c>
      <c r="J319" s="22" t="str">
        <f>VLOOKUP(Table2[[#This Row], [Author]],People!A:B,2,0)</f>
        <v>LS</v>
      </c>
      <c r="K319" s="13"/>
      <c r="L319" s="13"/>
      <c r="M319" s="23" t="s">
        <v>876</v>
      </c>
    </row>
    <row r="320" spans="1:13" ht="19.5" customHeight="1">
      <c r="A320" s="18">
        <f t="shared" si="4"/>
        <v>319</v>
      </c>
      <c r="B320" s="11" t="s">
        <v>6</v>
      </c>
      <c r="C320" s="11" t="s">
        <v>39</v>
      </c>
      <c r="D320" s="11" t="s">
        <v>888</v>
      </c>
      <c r="E320" s="11" t="s">
        <v>883</v>
      </c>
      <c r="F320" s="11"/>
      <c r="G320" s="11" t="s">
        <v>15</v>
      </c>
      <c r="H320" s="19" t="str">
        <f>IFERROR(VLOOKUP(Table2[[#This Row], [Ticket]],Okey!A:B,2,0),"")</f>
        <v>ok</v>
      </c>
      <c r="I320" s="11" t="s">
        <v>276</v>
      </c>
      <c r="J320" s="19" t="str">
        <f>VLOOKUP(Table2[[#This Row], [Author]],People!A:B,2,0)</f>
        <v>LS</v>
      </c>
      <c r="K320" s="11"/>
      <c r="L320" s="11"/>
      <c r="M320" s="20" t="s">
        <v>876</v>
      </c>
    </row>
    <row r="321" spans="1:13" ht="19.5" customHeight="1">
      <c r="A321" s="21">
        <f t="shared" si="4"/>
        <v>320</v>
      </c>
      <c r="B321" s="13" t="s">
        <v>6</v>
      </c>
      <c r="C321" s="13" t="s">
        <v>40</v>
      </c>
      <c r="D321" s="13" t="s">
        <v>889</v>
      </c>
      <c r="E321" s="13" t="s">
        <v>890</v>
      </c>
      <c r="F321" s="13" t="s">
        <v>891</v>
      </c>
      <c r="G321" s="13" t="s">
        <v>16</v>
      </c>
      <c r="H321" s="22" t="str">
        <f>IFERROR(VLOOKUP(Table2[[#This Row], [Ticket]],Okey!A:B,2,0),"")</f>
        <v>ok</v>
      </c>
      <c r="I321" s="13" t="s">
        <v>276</v>
      </c>
      <c r="J321" s="22" t="str">
        <f>VLOOKUP(Table2[[#This Row], [Author]],People!A:B,2,0)</f>
        <v>LS</v>
      </c>
      <c r="K321" s="13"/>
      <c r="L321" s="13"/>
      <c r="M321" s="23" t="s">
        <v>892</v>
      </c>
    </row>
    <row r="322" spans="1:13" ht="19.5" customHeight="1">
      <c r="A322" s="18">
        <f t="shared" si="4"/>
        <v>321</v>
      </c>
      <c r="B322" s="11" t="s">
        <v>6</v>
      </c>
      <c r="C322" s="11" t="s">
        <v>40</v>
      </c>
      <c r="D322" s="11" t="s">
        <v>893</v>
      </c>
      <c r="E322" s="11" t="s">
        <v>894</v>
      </c>
      <c r="F322" s="11" t="s">
        <v>895</v>
      </c>
      <c r="G322" s="11" t="s">
        <v>16</v>
      </c>
      <c r="H322" s="19" t="str">
        <f>IFERROR(VLOOKUP(Table2[[#This Row], [Ticket]],Okey!A:B,2,0),"")</f>
        <v>ok</v>
      </c>
      <c r="I322" s="11" t="s">
        <v>276</v>
      </c>
      <c r="J322" s="19" t="str">
        <f>VLOOKUP(Table2[[#This Row], [Author]],People!A:B,2,0)</f>
        <v>LS</v>
      </c>
      <c r="K322" s="11"/>
      <c r="L322" s="11"/>
      <c r="M322" s="20" t="s">
        <v>892</v>
      </c>
    </row>
    <row r="323" spans="1:13" ht="19.5" customHeight="1">
      <c r="A323" s="21">
        <f t="shared" ref="A323:A386" si="5">1+A322</f>
        <v>322</v>
      </c>
      <c r="B323" s="13" t="s">
        <v>6</v>
      </c>
      <c r="C323" s="13" t="s">
        <v>40</v>
      </c>
      <c r="D323" s="13" t="s">
        <v>896</v>
      </c>
      <c r="E323" s="13" t="s">
        <v>897</v>
      </c>
      <c r="F323" s="13" t="s">
        <v>898</v>
      </c>
      <c r="G323" s="13" t="s">
        <v>16</v>
      </c>
      <c r="H323" s="22" t="str">
        <f>IFERROR(VLOOKUP(Table2[[#This Row], [Ticket]],Okey!A:B,2,0),"")</f>
        <v>ok</v>
      </c>
      <c r="I323" s="13" t="s">
        <v>276</v>
      </c>
      <c r="J323" s="22" t="str">
        <f>VLOOKUP(Table2[[#This Row], [Author]],People!A:B,2,0)</f>
        <v>LS</v>
      </c>
      <c r="K323" s="13"/>
      <c r="L323" s="13"/>
      <c r="M323" s="23" t="s">
        <v>892</v>
      </c>
    </row>
    <row r="324" spans="1:13" ht="19.5" customHeight="1">
      <c r="A324" s="18">
        <f t="shared" si="5"/>
        <v>323</v>
      </c>
      <c r="B324" s="11" t="s">
        <v>6</v>
      </c>
      <c r="C324" s="11" t="s">
        <v>40</v>
      </c>
      <c r="D324" s="11" t="s">
        <v>899</v>
      </c>
      <c r="E324" s="11" t="s">
        <v>900</v>
      </c>
      <c r="F324" s="11" t="s">
        <v>901</v>
      </c>
      <c r="G324" s="11" t="s">
        <v>14</v>
      </c>
      <c r="H324" s="19" t="str">
        <f>IFERROR(VLOOKUP(Table2[[#This Row], [Ticket]],Okey!A:B,2,0),"")</f>
        <v>ok</v>
      </c>
      <c r="I324" s="11" t="s">
        <v>276</v>
      </c>
      <c r="J324" s="19" t="str">
        <f>VLOOKUP(Table2[[#This Row], [Author]],People!A:B,2,0)</f>
        <v>LS</v>
      </c>
      <c r="K324" s="11"/>
      <c r="L324" s="11"/>
      <c r="M324" s="20" t="s">
        <v>892</v>
      </c>
    </row>
    <row r="325" spans="1:13" ht="19.5" customHeight="1">
      <c r="A325" s="21">
        <f t="shared" si="5"/>
        <v>324</v>
      </c>
      <c r="B325" s="13" t="s">
        <v>6</v>
      </c>
      <c r="C325" s="13" t="s">
        <v>40</v>
      </c>
      <c r="D325" s="13" t="s">
        <v>902</v>
      </c>
      <c r="E325" s="13" t="s">
        <v>903</v>
      </c>
      <c r="F325" s="13" t="s">
        <v>895</v>
      </c>
      <c r="G325" s="13" t="s">
        <v>14</v>
      </c>
      <c r="H325" s="22" t="str">
        <f>IFERROR(VLOOKUP(Table2[[#This Row], [Ticket]],Okey!A:B,2,0),"")</f>
        <v>ok</v>
      </c>
      <c r="I325" s="13" t="s">
        <v>276</v>
      </c>
      <c r="J325" s="22" t="str">
        <f>VLOOKUP(Table2[[#This Row], [Author]],People!A:B,2,0)</f>
        <v>LS</v>
      </c>
      <c r="K325" s="13"/>
      <c r="L325" s="13"/>
      <c r="M325" s="23" t="s">
        <v>892</v>
      </c>
    </row>
    <row r="326" spans="1:13" ht="19.5" customHeight="1">
      <c r="A326" s="18">
        <f t="shared" si="5"/>
        <v>325</v>
      </c>
      <c r="B326" s="11" t="s">
        <v>6</v>
      </c>
      <c r="C326" s="11" t="s">
        <v>40</v>
      </c>
      <c r="D326" s="11" t="s">
        <v>904</v>
      </c>
      <c r="E326" s="11" t="s">
        <v>905</v>
      </c>
      <c r="F326" s="11" t="s">
        <v>895</v>
      </c>
      <c r="G326" s="11" t="s">
        <v>14</v>
      </c>
      <c r="H326" s="19" t="str">
        <f>IFERROR(VLOOKUP(Table2[[#This Row], [Ticket]],Okey!A:B,2,0),"")</f>
        <v>ok</v>
      </c>
      <c r="I326" s="11" t="s">
        <v>276</v>
      </c>
      <c r="J326" s="19" t="str">
        <f>VLOOKUP(Table2[[#This Row], [Author]],People!A:B,2,0)</f>
        <v>LS</v>
      </c>
      <c r="K326" s="11"/>
      <c r="L326" s="11"/>
      <c r="M326" s="20" t="s">
        <v>892</v>
      </c>
    </row>
    <row r="327" spans="1:13" ht="19.5" customHeight="1">
      <c r="A327" s="21">
        <f t="shared" si="5"/>
        <v>326</v>
      </c>
      <c r="B327" s="13" t="s">
        <v>6</v>
      </c>
      <c r="C327" s="13" t="s">
        <v>40</v>
      </c>
      <c r="D327" s="13" t="s">
        <v>906</v>
      </c>
      <c r="E327" s="13" t="s">
        <v>907</v>
      </c>
      <c r="F327" s="13" t="s">
        <v>908</v>
      </c>
      <c r="G327" s="13" t="s">
        <v>14</v>
      </c>
      <c r="H327" s="22" t="str">
        <f>IFERROR(VLOOKUP(Table2[[#This Row], [Ticket]],Okey!A:B,2,0),"")</f>
        <v>ok</v>
      </c>
      <c r="I327" s="13" t="s">
        <v>276</v>
      </c>
      <c r="J327" s="22" t="str">
        <f>VLOOKUP(Table2[[#This Row], [Author]],People!A:B,2,0)</f>
        <v>LS</v>
      </c>
      <c r="K327" s="13"/>
      <c r="L327" s="13"/>
      <c r="M327" s="23" t="s">
        <v>892</v>
      </c>
    </row>
    <row r="328" spans="1:13" ht="19.5" customHeight="1">
      <c r="A328" s="18">
        <f t="shared" si="5"/>
        <v>327</v>
      </c>
      <c r="B328" s="11" t="s">
        <v>6</v>
      </c>
      <c r="C328" s="11" t="s">
        <v>40</v>
      </c>
      <c r="D328" s="11" t="s">
        <v>909</v>
      </c>
      <c r="E328" s="11" t="s">
        <v>910</v>
      </c>
      <c r="F328" s="11" t="s">
        <v>911</v>
      </c>
      <c r="G328" s="11" t="s">
        <v>14</v>
      </c>
      <c r="H328" s="19" t="str">
        <f>IFERROR(VLOOKUP(Table2[[#This Row], [Ticket]],Okey!A:B,2,0),"")</f>
        <v>ok</v>
      </c>
      <c r="I328" s="11" t="s">
        <v>276</v>
      </c>
      <c r="J328" s="19" t="str">
        <f>VLOOKUP(Table2[[#This Row], [Author]],People!A:B,2,0)</f>
        <v>LS</v>
      </c>
      <c r="K328" s="11"/>
      <c r="L328" s="11"/>
      <c r="M328" s="20" t="s">
        <v>892</v>
      </c>
    </row>
    <row r="329" spans="1:13" ht="19.5" customHeight="1">
      <c r="A329" s="21">
        <f t="shared" si="5"/>
        <v>328</v>
      </c>
      <c r="B329" s="13" t="s">
        <v>6</v>
      </c>
      <c r="C329" s="13" t="s">
        <v>40</v>
      </c>
      <c r="D329" s="13" t="s">
        <v>912</v>
      </c>
      <c r="E329" s="13" t="s">
        <v>913</v>
      </c>
      <c r="F329" s="13" t="s">
        <v>911</v>
      </c>
      <c r="G329" s="13" t="s">
        <v>14</v>
      </c>
      <c r="H329" s="22" t="str">
        <f>IFERROR(VLOOKUP(Table2[[#This Row], [Ticket]],Okey!A:B,2,0),"")</f>
        <v>ok</v>
      </c>
      <c r="I329" s="13" t="s">
        <v>276</v>
      </c>
      <c r="J329" s="22" t="str">
        <f>VLOOKUP(Table2[[#This Row], [Author]],People!A:B,2,0)</f>
        <v>LS</v>
      </c>
      <c r="K329" s="13"/>
      <c r="L329" s="13"/>
      <c r="M329" s="23" t="s">
        <v>892</v>
      </c>
    </row>
    <row r="330" spans="1:13" ht="19.5" customHeight="1">
      <c r="A330" s="18">
        <f t="shared" si="5"/>
        <v>329</v>
      </c>
      <c r="B330" s="11" t="s">
        <v>6</v>
      </c>
      <c r="C330" s="11" t="s">
        <v>40</v>
      </c>
      <c r="D330" s="11" t="s">
        <v>901</v>
      </c>
      <c r="E330" s="11" t="s">
        <v>914</v>
      </c>
      <c r="F330" s="11"/>
      <c r="G330" s="11" t="s">
        <v>15</v>
      </c>
      <c r="H330" s="19" t="str">
        <f>IFERROR(VLOOKUP(Table2[[#This Row], [Ticket]],Okey!A:B,2,0),"")</f>
        <v>ok</v>
      </c>
      <c r="I330" s="11" t="s">
        <v>276</v>
      </c>
      <c r="J330" s="19" t="str">
        <f>VLOOKUP(Table2[[#This Row], [Author]],People!A:B,2,0)</f>
        <v>LS</v>
      </c>
      <c r="K330" s="11"/>
      <c r="L330" s="11"/>
      <c r="M330" s="20" t="s">
        <v>892</v>
      </c>
    </row>
    <row r="331" spans="1:13" ht="19.5" customHeight="1">
      <c r="A331" s="21">
        <f t="shared" si="5"/>
        <v>330</v>
      </c>
      <c r="B331" s="13" t="s">
        <v>6</v>
      </c>
      <c r="C331" s="13" t="s">
        <v>40</v>
      </c>
      <c r="D331" s="13" t="s">
        <v>915</v>
      </c>
      <c r="E331" s="13" t="s">
        <v>916</v>
      </c>
      <c r="F331" s="13"/>
      <c r="G331" s="13" t="s">
        <v>15</v>
      </c>
      <c r="H331" s="22" t="str">
        <f>IFERROR(VLOOKUP(Table2[[#This Row], [Ticket]],Okey!A:B,2,0),"")</f>
        <v>ok</v>
      </c>
      <c r="I331" s="13" t="s">
        <v>276</v>
      </c>
      <c r="J331" s="22" t="str">
        <f>VLOOKUP(Table2[[#This Row], [Author]],People!A:B,2,0)</f>
        <v>LS</v>
      </c>
      <c r="K331" s="13"/>
      <c r="L331" s="13"/>
      <c r="M331" s="23" t="s">
        <v>892</v>
      </c>
    </row>
    <row r="332" spans="1:13" ht="19.5" customHeight="1">
      <c r="A332" s="18">
        <f t="shared" si="5"/>
        <v>331</v>
      </c>
      <c r="B332" s="11" t="s">
        <v>6</v>
      </c>
      <c r="C332" s="11" t="s">
        <v>40</v>
      </c>
      <c r="D332" s="11" t="s">
        <v>917</v>
      </c>
      <c r="E332" s="11" t="s">
        <v>918</v>
      </c>
      <c r="F332" s="11"/>
      <c r="G332" s="11" t="s">
        <v>15</v>
      </c>
      <c r="H332" s="19" t="str">
        <f>IFERROR(VLOOKUP(Table2[[#This Row], [Ticket]],Okey!A:B,2,0),"")</f>
        <v>ok</v>
      </c>
      <c r="I332" s="11" t="s">
        <v>276</v>
      </c>
      <c r="J332" s="19" t="str">
        <f>VLOOKUP(Table2[[#This Row], [Author]],People!A:B,2,0)</f>
        <v>LS</v>
      </c>
      <c r="K332" s="11"/>
      <c r="L332" s="11"/>
      <c r="M332" s="20" t="s">
        <v>892</v>
      </c>
    </row>
    <row r="333" spans="1:13" ht="19.5" customHeight="1">
      <c r="A333" s="21">
        <f t="shared" si="5"/>
        <v>332</v>
      </c>
      <c r="B333" s="13" t="s">
        <v>6</v>
      </c>
      <c r="C333" s="13" t="s">
        <v>40</v>
      </c>
      <c r="D333" s="13" t="s">
        <v>919</v>
      </c>
      <c r="E333" s="13" t="s">
        <v>920</v>
      </c>
      <c r="F333" s="13"/>
      <c r="G333" s="13" t="s">
        <v>15</v>
      </c>
      <c r="H333" s="22" t="str">
        <f>IFERROR(VLOOKUP(Table2[[#This Row], [Ticket]],Okey!A:B,2,0),"")</f>
        <v>ok</v>
      </c>
      <c r="I333" s="13" t="s">
        <v>276</v>
      </c>
      <c r="J333" s="22" t="str">
        <f>VLOOKUP(Table2[[#This Row], [Author]],People!A:B,2,0)</f>
        <v>LS</v>
      </c>
      <c r="K333" s="13"/>
      <c r="L333" s="13"/>
      <c r="M333" s="23" t="s">
        <v>892</v>
      </c>
    </row>
    <row r="334" spans="1:13" ht="19.5" customHeight="1">
      <c r="A334" s="18">
        <f t="shared" si="5"/>
        <v>333</v>
      </c>
      <c r="B334" s="11" t="s">
        <v>6</v>
      </c>
      <c r="C334" s="11" t="s">
        <v>40</v>
      </c>
      <c r="D334" s="11" t="s">
        <v>921</v>
      </c>
      <c r="E334" s="11" t="s">
        <v>922</v>
      </c>
      <c r="F334" s="11"/>
      <c r="G334" s="11" t="s">
        <v>15</v>
      </c>
      <c r="H334" s="19" t="str">
        <f>IFERROR(VLOOKUP(Table2[[#This Row], [Ticket]],Okey!A:B,2,0),"")</f>
        <v>ok</v>
      </c>
      <c r="I334" s="11" t="s">
        <v>276</v>
      </c>
      <c r="J334" s="19" t="str">
        <f>VLOOKUP(Table2[[#This Row], [Author]],People!A:B,2,0)</f>
        <v>LS</v>
      </c>
      <c r="K334" s="11"/>
      <c r="L334" s="11"/>
      <c r="M334" s="20" t="s">
        <v>892</v>
      </c>
    </row>
    <row r="335" spans="1:13" ht="19.5" customHeight="1">
      <c r="A335" s="21">
        <f t="shared" si="5"/>
        <v>334</v>
      </c>
      <c r="B335" s="13" t="s">
        <v>6</v>
      </c>
      <c r="C335" s="13" t="s">
        <v>40</v>
      </c>
      <c r="D335" s="13" t="s">
        <v>923</v>
      </c>
      <c r="E335" s="13" t="s">
        <v>924</v>
      </c>
      <c r="F335" s="13"/>
      <c r="G335" s="13" t="s">
        <v>15</v>
      </c>
      <c r="H335" s="22" t="str">
        <f>IFERROR(VLOOKUP(Table2[[#This Row], [Ticket]],Okey!A:B,2,0),"")</f>
        <v>ok</v>
      </c>
      <c r="I335" s="13" t="s">
        <v>276</v>
      </c>
      <c r="J335" s="22" t="str">
        <f>VLOOKUP(Table2[[#This Row], [Author]],People!A:B,2,0)</f>
        <v>LS</v>
      </c>
      <c r="K335" s="13"/>
      <c r="L335" s="13"/>
      <c r="M335" s="23" t="s">
        <v>892</v>
      </c>
    </row>
    <row r="336" spans="1:13" ht="19.5" customHeight="1">
      <c r="A336" s="18">
        <f t="shared" si="5"/>
        <v>335</v>
      </c>
      <c r="B336" s="11" t="s">
        <v>6</v>
      </c>
      <c r="C336" s="11" t="s">
        <v>40</v>
      </c>
      <c r="D336" s="11" t="s">
        <v>925</v>
      </c>
      <c r="E336" s="11" t="s">
        <v>926</v>
      </c>
      <c r="F336" s="11"/>
      <c r="G336" s="11" t="s">
        <v>15</v>
      </c>
      <c r="H336" s="19" t="str">
        <f>IFERROR(VLOOKUP(Table2[[#This Row], [Ticket]],Okey!A:B,2,0),"")</f>
        <v>ok</v>
      </c>
      <c r="I336" s="11" t="s">
        <v>276</v>
      </c>
      <c r="J336" s="19" t="str">
        <f>VLOOKUP(Table2[[#This Row], [Author]],People!A:B,2,0)</f>
        <v>LS</v>
      </c>
      <c r="K336" s="11"/>
      <c r="L336" s="11"/>
      <c r="M336" s="20" t="s">
        <v>892</v>
      </c>
    </row>
    <row r="337" spans="1:13" ht="19.5" customHeight="1">
      <c r="A337" s="21">
        <f t="shared" si="5"/>
        <v>336</v>
      </c>
      <c r="B337" s="13" t="s">
        <v>6</v>
      </c>
      <c r="C337" s="13" t="s">
        <v>40</v>
      </c>
      <c r="D337" s="13" t="s">
        <v>927</v>
      </c>
      <c r="E337" s="13" t="s">
        <v>928</v>
      </c>
      <c r="F337" s="13"/>
      <c r="G337" s="13" t="s">
        <v>15</v>
      </c>
      <c r="H337" s="22" t="str">
        <f>IFERROR(VLOOKUP(Table2[[#This Row], [Ticket]],Okey!A:B,2,0),"")</f>
        <v>ok</v>
      </c>
      <c r="I337" s="13" t="s">
        <v>276</v>
      </c>
      <c r="J337" s="22" t="str">
        <f>VLOOKUP(Table2[[#This Row], [Author]],People!A:B,2,0)</f>
        <v>LS</v>
      </c>
      <c r="K337" s="13"/>
      <c r="L337" s="13"/>
      <c r="M337" s="23" t="s">
        <v>892</v>
      </c>
    </row>
    <row r="338" spans="1:13" ht="19.5" customHeight="1">
      <c r="A338" s="18">
        <f t="shared" si="5"/>
        <v>337</v>
      </c>
      <c r="B338" s="11" t="s">
        <v>6</v>
      </c>
      <c r="C338" s="11" t="s">
        <v>40</v>
      </c>
      <c r="D338" s="11" t="s">
        <v>929</v>
      </c>
      <c r="E338" s="11" t="s">
        <v>930</v>
      </c>
      <c r="F338" s="11"/>
      <c r="G338" s="11" t="s">
        <v>15</v>
      </c>
      <c r="H338" s="19" t="str">
        <f>IFERROR(VLOOKUP(Table2[[#This Row], [Ticket]],Okey!A:B,2,0),"")</f>
        <v>ok</v>
      </c>
      <c r="I338" s="11" t="s">
        <v>276</v>
      </c>
      <c r="J338" s="19" t="str">
        <f>VLOOKUP(Table2[[#This Row], [Author]],People!A:B,2,0)</f>
        <v>LS</v>
      </c>
      <c r="K338" s="11"/>
      <c r="L338" s="11"/>
      <c r="M338" s="20" t="s">
        <v>892</v>
      </c>
    </row>
    <row r="339" spans="1:13" ht="19.5" customHeight="1">
      <c r="A339" s="21">
        <f t="shared" si="5"/>
        <v>338</v>
      </c>
      <c r="B339" s="13" t="s">
        <v>6</v>
      </c>
      <c r="C339" s="13" t="s">
        <v>40</v>
      </c>
      <c r="D339" s="13" t="s">
        <v>895</v>
      </c>
      <c r="E339" s="13" t="s">
        <v>931</v>
      </c>
      <c r="F339" s="13"/>
      <c r="G339" s="13" t="s">
        <v>15</v>
      </c>
      <c r="H339" s="22" t="str">
        <f>IFERROR(VLOOKUP(Table2[[#This Row], [Ticket]],Okey!A:B,2,0),"")</f>
        <v>ok</v>
      </c>
      <c r="I339" s="13" t="s">
        <v>276</v>
      </c>
      <c r="J339" s="22" t="str">
        <f>VLOOKUP(Table2[[#This Row], [Author]],People!A:B,2,0)</f>
        <v>LS</v>
      </c>
      <c r="K339" s="13"/>
      <c r="L339" s="13"/>
      <c r="M339" s="23" t="s">
        <v>892</v>
      </c>
    </row>
    <row r="340" spans="1:13" ht="19.5" customHeight="1">
      <c r="A340" s="18">
        <f t="shared" si="5"/>
        <v>339</v>
      </c>
      <c r="B340" s="11" t="s">
        <v>6</v>
      </c>
      <c r="C340" s="11" t="s">
        <v>40</v>
      </c>
      <c r="D340" s="11" t="s">
        <v>908</v>
      </c>
      <c r="E340" s="11" t="s">
        <v>932</v>
      </c>
      <c r="F340" s="11"/>
      <c r="G340" s="11" t="s">
        <v>15</v>
      </c>
      <c r="H340" s="19" t="str">
        <f>IFERROR(VLOOKUP(Table2[[#This Row], [Ticket]],Okey!A:B,2,0),"")</f>
        <v>ok</v>
      </c>
      <c r="I340" s="11" t="s">
        <v>276</v>
      </c>
      <c r="J340" s="19" t="str">
        <f>VLOOKUP(Table2[[#This Row], [Author]],People!A:B,2,0)</f>
        <v>LS</v>
      </c>
      <c r="K340" s="11"/>
      <c r="L340" s="11"/>
      <c r="M340" s="20" t="s">
        <v>892</v>
      </c>
    </row>
    <row r="341" spans="1:13" ht="19.5" customHeight="1">
      <c r="A341" s="21">
        <f t="shared" si="5"/>
        <v>340</v>
      </c>
      <c r="B341" s="13" t="s">
        <v>6</v>
      </c>
      <c r="C341" s="13" t="s">
        <v>40</v>
      </c>
      <c r="D341" s="13" t="s">
        <v>933</v>
      </c>
      <c r="E341" s="13" t="s">
        <v>934</v>
      </c>
      <c r="F341" s="13"/>
      <c r="G341" s="13" t="s">
        <v>15</v>
      </c>
      <c r="H341" s="22" t="str">
        <f>IFERROR(VLOOKUP(Table2[[#This Row], [Ticket]],Okey!A:B,2,0),"")</f>
        <v>ok</v>
      </c>
      <c r="I341" s="13" t="s">
        <v>276</v>
      </c>
      <c r="J341" s="22" t="str">
        <f>VLOOKUP(Table2[[#This Row], [Author]],People!A:B,2,0)</f>
        <v>LS</v>
      </c>
      <c r="K341" s="13"/>
      <c r="L341" s="13"/>
      <c r="M341" s="23" t="s">
        <v>892</v>
      </c>
    </row>
    <row r="342" spans="1:13" ht="19.5" customHeight="1">
      <c r="A342" s="18">
        <f t="shared" si="5"/>
        <v>341</v>
      </c>
      <c r="B342" s="11" t="s">
        <v>6</v>
      </c>
      <c r="C342" s="11" t="s">
        <v>40</v>
      </c>
      <c r="D342" s="11" t="s">
        <v>935</v>
      </c>
      <c r="E342" s="11" t="s">
        <v>936</v>
      </c>
      <c r="F342" s="11"/>
      <c r="G342" s="11" t="s">
        <v>15</v>
      </c>
      <c r="H342" s="19" t="str">
        <f>IFERROR(VLOOKUP(Table2[[#This Row], [Ticket]],Okey!A:B,2,0),"")</f>
        <v>ok</v>
      </c>
      <c r="I342" s="11" t="s">
        <v>276</v>
      </c>
      <c r="J342" s="19" t="str">
        <f>VLOOKUP(Table2[[#This Row], [Author]],People!A:B,2,0)</f>
        <v>LS</v>
      </c>
      <c r="K342" s="11"/>
      <c r="L342" s="11"/>
      <c r="M342" s="20" t="s">
        <v>892</v>
      </c>
    </row>
    <row r="343" spans="1:13" ht="19.5" customHeight="1">
      <c r="A343" s="21">
        <f t="shared" si="5"/>
        <v>342</v>
      </c>
      <c r="B343" s="13" t="s">
        <v>6</v>
      </c>
      <c r="C343" s="13" t="s">
        <v>40</v>
      </c>
      <c r="D343" s="13" t="s">
        <v>937</v>
      </c>
      <c r="E343" s="13" t="s">
        <v>938</v>
      </c>
      <c r="F343" s="13"/>
      <c r="G343" s="13" t="s">
        <v>15</v>
      </c>
      <c r="H343" s="22" t="str">
        <f>IFERROR(VLOOKUP(Table2[[#This Row], [Ticket]],Okey!A:B,2,0),"")</f>
        <v>ok</v>
      </c>
      <c r="I343" s="13" t="s">
        <v>276</v>
      </c>
      <c r="J343" s="22" t="str">
        <f>VLOOKUP(Table2[[#This Row], [Author]],People!A:B,2,0)</f>
        <v>LS</v>
      </c>
      <c r="K343" s="13"/>
      <c r="L343" s="13"/>
      <c r="M343" s="23" t="s">
        <v>892</v>
      </c>
    </row>
    <row r="344" spans="1:13" ht="19.5" customHeight="1">
      <c r="A344" s="18">
        <f t="shared" si="5"/>
        <v>343</v>
      </c>
      <c r="B344" s="11" t="s">
        <v>6</v>
      </c>
      <c r="C344" s="11" t="s">
        <v>40</v>
      </c>
      <c r="D344" s="11" t="s">
        <v>939</v>
      </c>
      <c r="E344" s="11" t="s">
        <v>940</v>
      </c>
      <c r="F344" s="11"/>
      <c r="G344" s="11" t="s">
        <v>15</v>
      </c>
      <c r="H344" s="19" t="str">
        <f>IFERROR(VLOOKUP(Table2[[#This Row], [Ticket]],Okey!A:B,2,0),"")</f>
        <v>ok</v>
      </c>
      <c r="I344" s="11" t="s">
        <v>276</v>
      </c>
      <c r="J344" s="19" t="str">
        <f>VLOOKUP(Table2[[#This Row], [Author]],People!A:B,2,0)</f>
        <v>LS</v>
      </c>
      <c r="K344" s="11"/>
      <c r="L344" s="11"/>
      <c r="M344" s="20" t="s">
        <v>892</v>
      </c>
    </row>
    <row r="345" spans="1:13" ht="19.5" customHeight="1">
      <c r="A345" s="21">
        <f t="shared" si="5"/>
        <v>344</v>
      </c>
      <c r="B345" s="13" t="s">
        <v>6</v>
      </c>
      <c r="C345" s="13" t="s">
        <v>40</v>
      </c>
      <c r="D345" s="13" t="s">
        <v>941</v>
      </c>
      <c r="E345" s="13" t="s">
        <v>942</v>
      </c>
      <c r="F345" s="13"/>
      <c r="G345" s="13" t="s">
        <v>15</v>
      </c>
      <c r="H345" s="22" t="str">
        <f>IFERROR(VLOOKUP(Table2[[#This Row], [Ticket]],Okey!A:B,2,0),"")</f>
        <v>ok</v>
      </c>
      <c r="I345" s="13" t="s">
        <v>276</v>
      </c>
      <c r="J345" s="22" t="str">
        <f>VLOOKUP(Table2[[#This Row], [Author]],People!A:B,2,0)</f>
        <v>LS</v>
      </c>
      <c r="K345" s="13"/>
      <c r="L345" s="13"/>
      <c r="M345" s="23" t="s">
        <v>892</v>
      </c>
    </row>
    <row r="346" spans="1:13" ht="19.5" customHeight="1">
      <c r="A346" s="18">
        <f t="shared" si="5"/>
        <v>345</v>
      </c>
      <c r="B346" s="11" t="s">
        <v>6</v>
      </c>
      <c r="C346" s="11" t="s">
        <v>40</v>
      </c>
      <c r="D346" s="11" t="s">
        <v>943</v>
      </c>
      <c r="E346" s="11" t="s">
        <v>944</v>
      </c>
      <c r="F346" s="11"/>
      <c r="G346" s="11" t="s">
        <v>15</v>
      </c>
      <c r="H346" s="19" t="str">
        <f>IFERROR(VLOOKUP(Table2[[#This Row], [Ticket]],Okey!A:B,2,0),"")</f>
        <v>ok</v>
      </c>
      <c r="I346" s="11" t="s">
        <v>276</v>
      </c>
      <c r="J346" s="19" t="str">
        <f>VLOOKUP(Table2[[#This Row], [Author]],People!A:B,2,0)</f>
        <v>LS</v>
      </c>
      <c r="K346" s="11"/>
      <c r="L346" s="11"/>
      <c r="M346" s="20" t="s">
        <v>892</v>
      </c>
    </row>
    <row r="347" spans="1:13" ht="19.5" customHeight="1">
      <c r="A347" s="21">
        <f t="shared" si="5"/>
        <v>346</v>
      </c>
      <c r="B347" s="13" t="s">
        <v>6</v>
      </c>
      <c r="C347" s="13" t="s">
        <v>40</v>
      </c>
      <c r="D347" s="13" t="s">
        <v>911</v>
      </c>
      <c r="E347" s="13" t="s">
        <v>945</v>
      </c>
      <c r="F347" s="13"/>
      <c r="G347" s="13" t="s">
        <v>15</v>
      </c>
      <c r="H347" s="22" t="str">
        <f>IFERROR(VLOOKUP(Table2[[#This Row], [Ticket]],Okey!A:B,2,0),"")</f>
        <v>ok</v>
      </c>
      <c r="I347" s="13" t="s">
        <v>276</v>
      </c>
      <c r="J347" s="22" t="str">
        <f>VLOOKUP(Table2[[#This Row], [Author]],People!A:B,2,0)</f>
        <v>LS</v>
      </c>
      <c r="K347" s="13"/>
      <c r="L347" s="13"/>
      <c r="M347" s="23" t="s">
        <v>892</v>
      </c>
    </row>
    <row r="348" spans="1:13" ht="19.5" customHeight="1">
      <c r="A348" s="18">
        <f t="shared" si="5"/>
        <v>347</v>
      </c>
      <c r="B348" s="11" t="s">
        <v>6</v>
      </c>
      <c r="C348" s="11" t="s">
        <v>40</v>
      </c>
      <c r="D348" s="11" t="s">
        <v>946</v>
      </c>
      <c r="E348" s="11" t="s">
        <v>947</v>
      </c>
      <c r="F348" s="11"/>
      <c r="G348" s="11" t="s">
        <v>15</v>
      </c>
      <c r="H348" s="19" t="str">
        <f>IFERROR(VLOOKUP(Table2[[#This Row], [Ticket]],Okey!A:B,2,0),"")</f>
        <v>ok</v>
      </c>
      <c r="I348" s="11" t="s">
        <v>276</v>
      </c>
      <c r="J348" s="19" t="str">
        <f>VLOOKUP(Table2[[#This Row], [Author]],People!A:B,2,0)</f>
        <v>LS</v>
      </c>
      <c r="K348" s="11"/>
      <c r="L348" s="11"/>
      <c r="M348" s="20" t="s">
        <v>892</v>
      </c>
    </row>
    <row r="349" spans="1:13" ht="19.5" customHeight="1">
      <c r="A349" s="21">
        <f t="shared" si="5"/>
        <v>348</v>
      </c>
      <c r="B349" s="13" t="s">
        <v>6</v>
      </c>
      <c r="C349" s="13" t="s">
        <v>41</v>
      </c>
      <c r="D349" s="13" t="s">
        <v>948</v>
      </c>
      <c r="E349" s="13" t="s">
        <v>949</v>
      </c>
      <c r="F349" s="13" t="s">
        <v>950</v>
      </c>
      <c r="G349" s="13" t="s">
        <v>16</v>
      </c>
      <c r="H349" s="22" t="str">
        <f>IFERROR(VLOOKUP(Table2[[#This Row], [Ticket]],Okey!A:B,2,0),"")</f>
        <v>ok</v>
      </c>
      <c r="I349" s="13" t="s">
        <v>276</v>
      </c>
      <c r="J349" s="22" t="str">
        <f>VLOOKUP(Table2[[#This Row], [Author]],People!A:B,2,0)</f>
        <v>LS</v>
      </c>
      <c r="K349" s="13"/>
      <c r="L349" s="13"/>
      <c r="M349" s="23" t="s">
        <v>277</v>
      </c>
    </row>
    <row r="350" spans="1:13" ht="19.5" customHeight="1">
      <c r="A350" s="18">
        <f t="shared" si="5"/>
        <v>349</v>
      </c>
      <c r="B350" s="11" t="s">
        <v>6</v>
      </c>
      <c r="C350" s="11" t="s">
        <v>41</v>
      </c>
      <c r="D350" s="11" t="s">
        <v>951</v>
      </c>
      <c r="E350" s="11" t="s">
        <v>952</v>
      </c>
      <c r="F350" s="11" t="s">
        <v>953</v>
      </c>
      <c r="G350" s="11" t="s">
        <v>16</v>
      </c>
      <c r="H350" s="19" t="str">
        <f>IFERROR(VLOOKUP(Table2[[#This Row], [Ticket]],Okey!A:B,2,0),"")</f>
        <v>ok</v>
      </c>
      <c r="I350" s="11" t="s">
        <v>276</v>
      </c>
      <c r="J350" s="19" t="str">
        <f>VLOOKUP(Table2[[#This Row], [Author]],People!A:B,2,0)</f>
        <v>LS</v>
      </c>
      <c r="K350" s="11"/>
      <c r="L350" s="11"/>
      <c r="M350" s="20" t="s">
        <v>277</v>
      </c>
    </row>
    <row r="351" spans="1:13" ht="19.5" customHeight="1">
      <c r="A351" s="21">
        <f t="shared" si="5"/>
        <v>350</v>
      </c>
      <c r="B351" s="13" t="s">
        <v>6</v>
      </c>
      <c r="C351" s="13" t="s">
        <v>41</v>
      </c>
      <c r="D351" s="13" t="s">
        <v>954</v>
      </c>
      <c r="E351" s="13"/>
      <c r="F351" s="13" t="s">
        <v>953</v>
      </c>
      <c r="G351" s="13" t="s">
        <v>13</v>
      </c>
      <c r="H351" s="22" t="str">
        <f>IFERROR(VLOOKUP(Table2[[#This Row], [Ticket]],Okey!A:B,2,0),"")</f>
        <v>ok</v>
      </c>
      <c r="I351" s="13" t="s">
        <v>276</v>
      </c>
      <c r="J351" s="22" t="str">
        <f>VLOOKUP(Table2[[#This Row], [Author]],People!A:B,2,0)</f>
        <v>LS</v>
      </c>
      <c r="K351" s="13"/>
      <c r="L351" s="13"/>
      <c r="M351" s="23" t="s">
        <v>277</v>
      </c>
    </row>
    <row r="352" spans="1:13" ht="19.5" customHeight="1">
      <c r="A352" s="18">
        <f t="shared" si="5"/>
        <v>351</v>
      </c>
      <c r="B352" s="11" t="s">
        <v>6</v>
      </c>
      <c r="C352" s="11" t="s">
        <v>41</v>
      </c>
      <c r="D352" s="11" t="s">
        <v>955</v>
      </c>
      <c r="E352" s="11"/>
      <c r="F352" s="11" t="s">
        <v>953</v>
      </c>
      <c r="G352" s="11" t="s">
        <v>13</v>
      </c>
      <c r="H352" s="19" t="str">
        <f>IFERROR(VLOOKUP(Table2[[#This Row], [Ticket]],Okey!A:B,2,0),"")</f>
        <v>ok</v>
      </c>
      <c r="I352" s="11" t="s">
        <v>276</v>
      </c>
      <c r="J352" s="19" t="str">
        <f>VLOOKUP(Table2[[#This Row], [Author]],People!A:B,2,0)</f>
        <v>LS</v>
      </c>
      <c r="K352" s="11"/>
      <c r="L352" s="11"/>
      <c r="M352" s="20" t="s">
        <v>277</v>
      </c>
    </row>
    <row r="353" spans="1:13" ht="19.5" customHeight="1">
      <c r="A353" s="21">
        <f t="shared" si="5"/>
        <v>352</v>
      </c>
      <c r="B353" s="13" t="s">
        <v>6</v>
      </c>
      <c r="C353" s="13" t="s">
        <v>41</v>
      </c>
      <c r="D353" s="13" t="s">
        <v>956</v>
      </c>
      <c r="E353" s="13"/>
      <c r="F353" s="13" t="s">
        <v>953</v>
      </c>
      <c r="G353" s="13" t="s">
        <v>13</v>
      </c>
      <c r="H353" s="22" t="str">
        <f>IFERROR(VLOOKUP(Table2[[#This Row], [Ticket]],Okey!A:B,2,0),"")</f>
        <v>ok</v>
      </c>
      <c r="I353" s="13" t="s">
        <v>276</v>
      </c>
      <c r="J353" s="22" t="str">
        <f>VLOOKUP(Table2[[#This Row], [Author]],People!A:B,2,0)</f>
        <v>LS</v>
      </c>
      <c r="K353" s="13"/>
      <c r="L353" s="13"/>
      <c r="M353" s="23" t="s">
        <v>277</v>
      </c>
    </row>
    <row r="354" spans="1:13" ht="19.5" customHeight="1">
      <c r="A354" s="18">
        <f t="shared" si="5"/>
        <v>353</v>
      </c>
      <c r="B354" s="11" t="s">
        <v>6</v>
      </c>
      <c r="C354" s="11" t="s">
        <v>42</v>
      </c>
      <c r="D354" s="11" t="s">
        <v>957</v>
      </c>
      <c r="E354" s="11" t="s">
        <v>958</v>
      </c>
      <c r="F354" s="11" t="s">
        <v>959</v>
      </c>
      <c r="G354" s="11" t="s">
        <v>13</v>
      </c>
      <c r="H354" s="19" t="str">
        <f>IFERROR(VLOOKUP(Table2[[#This Row], [Ticket]],Okey!A:B,2,0),"")</f>
        <v>ok</v>
      </c>
      <c r="I354" s="11" t="s">
        <v>276</v>
      </c>
      <c r="J354" s="19" t="str">
        <f>VLOOKUP(Table2[[#This Row], [Author]],People!A:B,2,0)</f>
        <v>LS</v>
      </c>
      <c r="K354" s="11"/>
      <c r="L354" s="11"/>
      <c r="M354" s="20" t="s">
        <v>960</v>
      </c>
    </row>
    <row r="355" spans="1:13" ht="19.5" customHeight="1">
      <c r="A355" s="21">
        <f t="shared" si="5"/>
        <v>354</v>
      </c>
      <c r="B355" s="13" t="s">
        <v>6</v>
      </c>
      <c r="C355" s="13" t="s">
        <v>42</v>
      </c>
      <c r="D355" s="13" t="s">
        <v>961</v>
      </c>
      <c r="E355" s="13" t="s">
        <v>962</v>
      </c>
      <c r="F355" s="13" t="s">
        <v>963</v>
      </c>
      <c r="G355" s="13" t="s">
        <v>14</v>
      </c>
      <c r="H355" s="22" t="str">
        <f>IFERROR(VLOOKUP(Table2[[#This Row], [Ticket]],Okey!A:B,2,0),"")</f>
        <v>ok</v>
      </c>
      <c r="I355" s="13" t="s">
        <v>276</v>
      </c>
      <c r="J355" s="22" t="str">
        <f>VLOOKUP(Table2[[#This Row], [Author]],People!A:B,2,0)</f>
        <v>LS</v>
      </c>
      <c r="K355" s="13"/>
      <c r="L355" s="13"/>
      <c r="M355" s="23" t="s">
        <v>960</v>
      </c>
    </row>
    <row r="356" spans="1:13" ht="19.5" customHeight="1">
      <c r="A356" s="18">
        <f t="shared" si="5"/>
        <v>355</v>
      </c>
      <c r="B356" s="11" t="s">
        <v>6</v>
      </c>
      <c r="C356" s="11" t="s">
        <v>42</v>
      </c>
      <c r="D356" s="11" t="s">
        <v>964</v>
      </c>
      <c r="E356" s="11" t="s">
        <v>965</v>
      </c>
      <c r="F356" s="11" t="s">
        <v>966</v>
      </c>
      <c r="G356" s="11" t="s">
        <v>14</v>
      </c>
      <c r="H356" s="19" t="str">
        <f>IFERROR(VLOOKUP(Table2[[#This Row], [Ticket]],Okey!A:B,2,0),"")</f>
        <v>ok</v>
      </c>
      <c r="I356" s="11" t="s">
        <v>276</v>
      </c>
      <c r="J356" s="19" t="str">
        <f>VLOOKUP(Table2[[#This Row], [Author]],People!A:B,2,0)</f>
        <v>LS</v>
      </c>
      <c r="K356" s="11"/>
      <c r="L356" s="11"/>
      <c r="M356" s="20" t="s">
        <v>960</v>
      </c>
    </row>
    <row r="357" spans="1:13" ht="19.5" customHeight="1">
      <c r="A357" s="21">
        <f t="shared" si="5"/>
        <v>356</v>
      </c>
      <c r="B357" s="13" t="s">
        <v>6</v>
      </c>
      <c r="C357" s="13" t="s">
        <v>43</v>
      </c>
      <c r="D357" s="13" t="s">
        <v>967</v>
      </c>
      <c r="E357" s="13" t="s">
        <v>968</v>
      </c>
      <c r="F357" s="13" t="s">
        <v>969</v>
      </c>
      <c r="G357" s="13" t="s">
        <v>14</v>
      </c>
      <c r="H357" s="22" t="str">
        <f>IFERROR(VLOOKUP(Table2[[#This Row], [Ticket]],Okey!A:B,2,0),"")</f>
        <v>ok</v>
      </c>
      <c r="I357" s="13" t="s">
        <v>276</v>
      </c>
      <c r="J357" s="22" t="str">
        <f>VLOOKUP(Table2[[#This Row], [Author]],People!A:B,2,0)</f>
        <v>LS</v>
      </c>
      <c r="K357" s="13"/>
      <c r="L357" s="13"/>
      <c r="M357" s="23" t="s">
        <v>960</v>
      </c>
    </row>
    <row r="358" spans="1:13" ht="19.5" customHeight="1">
      <c r="A358" s="18">
        <f t="shared" si="5"/>
        <v>357</v>
      </c>
      <c r="B358" s="11" t="s">
        <v>6</v>
      </c>
      <c r="C358" s="11" t="s">
        <v>44</v>
      </c>
      <c r="D358" s="11" t="s">
        <v>970</v>
      </c>
      <c r="E358" s="11" t="s">
        <v>971</v>
      </c>
      <c r="F358" s="11" t="s">
        <v>972</v>
      </c>
      <c r="G358" s="11" t="s">
        <v>14</v>
      </c>
      <c r="H358" s="19" t="str">
        <f>IFERROR(VLOOKUP(Table2[[#This Row], [Ticket]],Okey!A:B,2,0),"")</f>
        <v>ok</v>
      </c>
      <c r="I358" s="11" t="s">
        <v>276</v>
      </c>
      <c r="J358" s="19" t="str">
        <f>VLOOKUP(Table2[[#This Row], [Author]],People!A:B,2,0)</f>
        <v>LS</v>
      </c>
      <c r="K358" s="11"/>
      <c r="L358" s="11"/>
      <c r="M358" s="20" t="s">
        <v>973</v>
      </c>
    </row>
    <row r="359" spans="1:13" ht="19.5" customHeight="1">
      <c r="A359" s="21">
        <f t="shared" si="5"/>
        <v>358</v>
      </c>
      <c r="B359" s="13" t="s">
        <v>6</v>
      </c>
      <c r="C359" s="13" t="s">
        <v>44</v>
      </c>
      <c r="D359" s="13" t="s">
        <v>974</v>
      </c>
      <c r="E359" s="13" t="s">
        <v>975</v>
      </c>
      <c r="F359" s="13" t="s">
        <v>976</v>
      </c>
      <c r="G359" s="13" t="s">
        <v>14</v>
      </c>
      <c r="H359" s="22" t="str">
        <f>IFERROR(VLOOKUP(Table2[[#This Row], [Ticket]],Okey!A:B,2,0),"")</f>
        <v>ok</v>
      </c>
      <c r="I359" s="13" t="s">
        <v>276</v>
      </c>
      <c r="J359" s="22" t="str">
        <f>VLOOKUP(Table2[[#This Row], [Author]],People!A:B,2,0)</f>
        <v>LS</v>
      </c>
      <c r="K359" s="13"/>
      <c r="L359" s="13"/>
      <c r="M359" s="23" t="s">
        <v>973</v>
      </c>
    </row>
    <row r="360" spans="1:13" ht="19.5" customHeight="1">
      <c r="A360" s="18">
        <f t="shared" si="5"/>
        <v>359</v>
      </c>
      <c r="B360" s="11" t="s">
        <v>6</v>
      </c>
      <c r="C360" s="11" t="s">
        <v>44</v>
      </c>
      <c r="D360" s="11" t="s">
        <v>977</v>
      </c>
      <c r="E360" s="11" t="s">
        <v>978</v>
      </c>
      <c r="F360" s="11" t="s">
        <v>979</v>
      </c>
      <c r="G360" s="11" t="s">
        <v>14</v>
      </c>
      <c r="H360" s="19" t="str">
        <f>IFERROR(VLOOKUP(Table2[[#This Row], [Ticket]],Okey!A:B,2,0),"")</f>
        <v>ok</v>
      </c>
      <c r="I360" s="11" t="s">
        <v>276</v>
      </c>
      <c r="J360" s="19" t="str">
        <f>VLOOKUP(Table2[[#This Row], [Author]],People!A:B,2,0)</f>
        <v>LS</v>
      </c>
      <c r="K360" s="11"/>
      <c r="L360" s="11"/>
      <c r="M360" s="20" t="s">
        <v>973</v>
      </c>
    </row>
    <row r="361" spans="1:13" ht="19.5" customHeight="1">
      <c r="A361" s="21">
        <f t="shared" si="5"/>
        <v>360</v>
      </c>
      <c r="B361" s="13" t="s">
        <v>6</v>
      </c>
      <c r="C361" s="13" t="s">
        <v>44</v>
      </c>
      <c r="D361" s="13" t="s">
        <v>980</v>
      </c>
      <c r="E361" s="13" t="s">
        <v>981</v>
      </c>
      <c r="F361" s="13" t="s">
        <v>982</v>
      </c>
      <c r="G361" s="13" t="s">
        <v>14</v>
      </c>
      <c r="H361" s="22" t="str">
        <f>IFERROR(VLOOKUP(Table2[[#This Row], [Ticket]],Okey!A:B,2,0),"")</f>
        <v>ok</v>
      </c>
      <c r="I361" s="13" t="s">
        <v>276</v>
      </c>
      <c r="J361" s="22" t="str">
        <f>VLOOKUP(Table2[[#This Row], [Author]],People!A:B,2,0)</f>
        <v>LS</v>
      </c>
      <c r="K361" s="13"/>
      <c r="L361" s="13"/>
      <c r="M361" s="23" t="s">
        <v>973</v>
      </c>
    </row>
    <row r="362" spans="1:13" ht="19.5" customHeight="1">
      <c r="A362" s="18">
        <f t="shared" si="5"/>
        <v>361</v>
      </c>
      <c r="B362" s="11" t="s">
        <v>6</v>
      </c>
      <c r="C362" s="11" t="s">
        <v>44</v>
      </c>
      <c r="D362" s="11" t="s">
        <v>983</v>
      </c>
      <c r="E362" s="11" t="s">
        <v>984</v>
      </c>
      <c r="F362" s="11" t="s">
        <v>982</v>
      </c>
      <c r="G362" s="11" t="s">
        <v>14</v>
      </c>
      <c r="H362" s="19" t="str">
        <f>IFERROR(VLOOKUP(Table2[[#This Row], [Ticket]],Okey!A:B,2,0),"")</f>
        <v>ok</v>
      </c>
      <c r="I362" s="11" t="s">
        <v>276</v>
      </c>
      <c r="J362" s="19" t="str">
        <f>VLOOKUP(Table2[[#This Row], [Author]],People!A:B,2,0)</f>
        <v>LS</v>
      </c>
      <c r="K362" s="11"/>
      <c r="L362" s="11"/>
      <c r="M362" s="20" t="s">
        <v>973</v>
      </c>
    </row>
    <row r="363" spans="1:13" ht="19.5" customHeight="1">
      <c r="A363" s="21">
        <f t="shared" si="5"/>
        <v>362</v>
      </c>
      <c r="B363" s="13" t="s">
        <v>6</v>
      </c>
      <c r="C363" s="13" t="s">
        <v>45</v>
      </c>
      <c r="D363" s="13" t="s">
        <v>985</v>
      </c>
      <c r="E363" s="13" t="s">
        <v>986</v>
      </c>
      <c r="F363" s="13" t="s">
        <v>987</v>
      </c>
      <c r="G363" s="13" t="s">
        <v>14</v>
      </c>
      <c r="H363" s="22" t="str">
        <f>IFERROR(VLOOKUP(Table2[[#This Row], [Ticket]],Okey!A:B,2,0),"")</f>
        <v>ok</v>
      </c>
      <c r="I363" s="13" t="s">
        <v>276</v>
      </c>
      <c r="J363" s="22" t="str">
        <f>VLOOKUP(Table2[[#This Row], [Author]],People!A:B,2,0)</f>
        <v>LS</v>
      </c>
      <c r="K363" s="13"/>
      <c r="L363" s="13"/>
      <c r="M363" s="23" t="s">
        <v>661</v>
      </c>
    </row>
    <row r="364" spans="1:13" ht="19.5" customHeight="1">
      <c r="A364" s="18">
        <f t="shared" si="5"/>
        <v>363</v>
      </c>
      <c r="B364" s="11" t="s">
        <v>6</v>
      </c>
      <c r="C364" s="11" t="s">
        <v>45</v>
      </c>
      <c r="D364" s="11" t="s">
        <v>988</v>
      </c>
      <c r="E364" s="11" t="s">
        <v>989</v>
      </c>
      <c r="F364" s="11" t="s">
        <v>990</v>
      </c>
      <c r="G364" s="11" t="s">
        <v>16</v>
      </c>
      <c r="H364" s="19" t="str">
        <f>IFERROR(VLOOKUP(Table2[[#This Row], [Ticket]],Okey!A:B,2,0),"")</f>
        <v>ok</v>
      </c>
      <c r="I364" s="11" t="s">
        <v>276</v>
      </c>
      <c r="J364" s="19" t="str">
        <f>VLOOKUP(Table2[[#This Row], [Author]],People!A:B,2,0)</f>
        <v>LS</v>
      </c>
      <c r="K364" s="11"/>
      <c r="L364" s="11"/>
      <c r="M364" s="20" t="s">
        <v>661</v>
      </c>
    </row>
    <row r="365" spans="1:13" ht="19.5" customHeight="1">
      <c r="A365" s="21">
        <f t="shared" si="5"/>
        <v>364</v>
      </c>
      <c r="B365" s="13" t="s">
        <v>6</v>
      </c>
      <c r="C365" s="13" t="s">
        <v>45</v>
      </c>
      <c r="D365" s="13" t="s">
        <v>991</v>
      </c>
      <c r="E365" s="13" t="s">
        <v>992</v>
      </c>
      <c r="F365" s="13" t="s">
        <v>993</v>
      </c>
      <c r="G365" s="13" t="s">
        <v>14</v>
      </c>
      <c r="H365" s="22" t="str">
        <f>IFERROR(VLOOKUP(Table2[[#This Row], [Ticket]],Okey!A:B,2,0),"")</f>
        <v>ok</v>
      </c>
      <c r="I365" s="13" t="s">
        <v>276</v>
      </c>
      <c r="J365" s="22" t="str">
        <f>VLOOKUP(Table2[[#This Row], [Author]],People!A:B,2,0)</f>
        <v>LS</v>
      </c>
      <c r="K365" s="13"/>
      <c r="L365" s="13"/>
      <c r="M365" s="23" t="s">
        <v>661</v>
      </c>
    </row>
    <row r="366" spans="1:13" ht="19.5" customHeight="1">
      <c r="A366" s="18">
        <f t="shared" si="5"/>
        <v>365</v>
      </c>
      <c r="B366" s="11" t="s">
        <v>6</v>
      </c>
      <c r="C366" s="11" t="s">
        <v>45</v>
      </c>
      <c r="D366" s="11" t="s">
        <v>994</v>
      </c>
      <c r="E366" s="11" t="s">
        <v>995</v>
      </c>
      <c r="F366" s="11" t="s">
        <v>996</v>
      </c>
      <c r="G366" s="11" t="s">
        <v>14</v>
      </c>
      <c r="H366" s="19" t="str">
        <f>IFERROR(VLOOKUP(Table2[[#This Row], [Ticket]],Okey!A:B,2,0),"")</f>
        <v>ok</v>
      </c>
      <c r="I366" s="11" t="s">
        <v>276</v>
      </c>
      <c r="J366" s="19" t="str">
        <f>VLOOKUP(Table2[[#This Row], [Author]],People!A:B,2,0)</f>
        <v>LS</v>
      </c>
      <c r="K366" s="11"/>
      <c r="L366" s="11"/>
      <c r="M366" s="20" t="s">
        <v>661</v>
      </c>
    </row>
    <row r="367" spans="1:13" ht="19.5" customHeight="1">
      <c r="A367" s="21">
        <f t="shared" si="5"/>
        <v>366</v>
      </c>
      <c r="B367" s="13" t="s">
        <v>6</v>
      </c>
      <c r="C367" s="13" t="s">
        <v>46</v>
      </c>
      <c r="D367" s="13" t="s">
        <v>997</v>
      </c>
      <c r="E367" s="13" t="s">
        <v>998</v>
      </c>
      <c r="F367" s="13" t="s">
        <v>963</v>
      </c>
      <c r="G367" s="13" t="s">
        <v>14</v>
      </c>
      <c r="H367" s="22" t="str">
        <f>IFERROR(VLOOKUP(Table2[[#This Row], [Ticket]],Okey!A:B,2,0),"")</f>
        <v>ok</v>
      </c>
      <c r="I367" s="13" t="s">
        <v>276</v>
      </c>
      <c r="J367" s="22" t="str">
        <f>VLOOKUP(Table2[[#This Row], [Author]],People!A:B,2,0)</f>
        <v>LS</v>
      </c>
      <c r="K367" s="13"/>
      <c r="L367" s="13"/>
      <c r="M367" s="23" t="s">
        <v>999</v>
      </c>
    </row>
    <row r="368" spans="1:13" ht="19.5" customHeight="1">
      <c r="A368" s="18">
        <f t="shared" si="5"/>
        <v>367</v>
      </c>
      <c r="B368" s="11" t="s">
        <v>6</v>
      </c>
      <c r="C368" s="11" t="s">
        <v>46</v>
      </c>
      <c r="D368" s="11" t="s">
        <v>1000</v>
      </c>
      <c r="E368" s="11" t="s">
        <v>1001</v>
      </c>
      <c r="F368" s="11" t="s">
        <v>1002</v>
      </c>
      <c r="G368" s="11" t="s">
        <v>14</v>
      </c>
      <c r="H368" s="19" t="str">
        <f>IFERROR(VLOOKUP(Table2[[#This Row], [Ticket]],Okey!A:B,2,0),"")</f>
        <v>ok</v>
      </c>
      <c r="I368" s="11" t="s">
        <v>276</v>
      </c>
      <c r="J368" s="19" t="str">
        <f>VLOOKUP(Table2[[#This Row], [Author]],People!A:B,2,0)</f>
        <v>LS</v>
      </c>
      <c r="K368" s="11"/>
      <c r="L368" s="11"/>
      <c r="M368" s="20" t="s">
        <v>999</v>
      </c>
    </row>
    <row r="369" spans="1:13" ht="19.5" customHeight="1">
      <c r="A369" s="21">
        <f t="shared" si="5"/>
        <v>368</v>
      </c>
      <c r="B369" s="13" t="s">
        <v>6</v>
      </c>
      <c r="C369" s="13" t="s">
        <v>47</v>
      </c>
      <c r="D369" s="13" t="s">
        <v>1003</v>
      </c>
      <c r="E369" s="13"/>
      <c r="F369" s="13" t="s">
        <v>1004</v>
      </c>
      <c r="G369" s="13" t="s">
        <v>13</v>
      </c>
      <c r="H369" s="22" t="str">
        <f>IFERROR(VLOOKUP(Table2[[#This Row], [Ticket]],Okey!A:B,2,0),"")</f>
        <v>ok</v>
      </c>
      <c r="I369" s="13" t="s">
        <v>276</v>
      </c>
      <c r="J369" s="22" t="str">
        <f>VLOOKUP(Table2[[#This Row], [Author]],People!A:B,2,0)</f>
        <v>LS</v>
      </c>
      <c r="K369" s="13"/>
      <c r="L369" s="13"/>
      <c r="M369" s="23" t="s">
        <v>1005</v>
      </c>
    </row>
    <row r="370" spans="1:13" ht="19.5" customHeight="1">
      <c r="A370" s="18">
        <f t="shared" si="5"/>
        <v>369</v>
      </c>
      <c r="B370" s="11" t="s">
        <v>6</v>
      </c>
      <c r="C370" s="11" t="s">
        <v>47</v>
      </c>
      <c r="D370" s="11" t="s">
        <v>1006</v>
      </c>
      <c r="E370" s="11" t="s">
        <v>1007</v>
      </c>
      <c r="F370" s="11" t="s">
        <v>1004</v>
      </c>
      <c r="G370" s="11" t="s">
        <v>16</v>
      </c>
      <c r="H370" s="19" t="str">
        <f>IFERROR(VLOOKUP(Table2[[#This Row], [Ticket]],Okey!A:B,2,0),"")</f>
        <v>ok</v>
      </c>
      <c r="I370" s="11" t="s">
        <v>276</v>
      </c>
      <c r="J370" s="19" t="str">
        <f>VLOOKUP(Table2[[#This Row], [Author]],People!A:B,2,0)</f>
        <v>LS</v>
      </c>
      <c r="K370" s="11"/>
      <c r="L370" s="11"/>
      <c r="M370" s="20" t="s">
        <v>1005</v>
      </c>
    </row>
    <row r="371" spans="1:13" ht="19.5" customHeight="1">
      <c r="A371" s="21">
        <f t="shared" si="5"/>
        <v>370</v>
      </c>
      <c r="B371" s="13" t="s">
        <v>6</v>
      </c>
      <c r="C371" s="13" t="s">
        <v>47</v>
      </c>
      <c r="D371" s="13" t="s">
        <v>1008</v>
      </c>
      <c r="E371" s="13"/>
      <c r="F371" s="13" t="s">
        <v>1003</v>
      </c>
      <c r="G371" s="13" t="s">
        <v>13</v>
      </c>
      <c r="H371" s="22" t="str">
        <f>IFERROR(VLOOKUP(Table2[[#This Row], [Ticket]],Okey!A:B,2,0),"")</f>
        <v>ok</v>
      </c>
      <c r="I371" s="13" t="s">
        <v>276</v>
      </c>
      <c r="J371" s="22" t="str">
        <f>VLOOKUP(Table2[[#This Row], [Author]],People!A:B,2,0)</f>
        <v>LS</v>
      </c>
      <c r="K371" s="13"/>
      <c r="L371" s="13"/>
      <c r="M371" s="23" t="s">
        <v>1005</v>
      </c>
    </row>
    <row r="372" spans="1:13" ht="19.5" customHeight="1">
      <c r="A372" s="18">
        <f t="shared" si="5"/>
        <v>371</v>
      </c>
      <c r="B372" s="11" t="s">
        <v>6</v>
      </c>
      <c r="C372" s="11" t="s">
        <v>47</v>
      </c>
      <c r="D372" s="11" t="s">
        <v>1009</v>
      </c>
      <c r="E372" s="11"/>
      <c r="F372" s="11" t="s">
        <v>1004</v>
      </c>
      <c r="G372" s="11" t="s">
        <v>13</v>
      </c>
      <c r="H372" s="19" t="str">
        <f>IFERROR(VLOOKUP(Table2[[#This Row], [Ticket]],Okey!A:B,2,0),"")</f>
        <v>ok</v>
      </c>
      <c r="I372" s="11" t="s">
        <v>276</v>
      </c>
      <c r="J372" s="19" t="str">
        <f>VLOOKUP(Table2[[#This Row], [Author]],People!A:B,2,0)</f>
        <v>LS</v>
      </c>
      <c r="K372" s="11"/>
      <c r="L372" s="11"/>
      <c r="M372" s="20" t="s">
        <v>1005</v>
      </c>
    </row>
    <row r="373" spans="1:13" ht="19.5" customHeight="1">
      <c r="A373" s="21">
        <f t="shared" si="5"/>
        <v>372</v>
      </c>
      <c r="B373" s="13" t="s">
        <v>6</v>
      </c>
      <c r="C373" s="13" t="s">
        <v>47</v>
      </c>
      <c r="D373" s="13" t="s">
        <v>1010</v>
      </c>
      <c r="E373" s="13" t="s">
        <v>1011</v>
      </c>
      <c r="F373" s="13" t="s">
        <v>1009</v>
      </c>
      <c r="G373" s="13" t="s">
        <v>14</v>
      </c>
      <c r="H373" s="22" t="str">
        <f>IFERROR(VLOOKUP(Table2[[#This Row], [Ticket]],Okey!A:B,2,0),"")</f>
        <v>ok</v>
      </c>
      <c r="I373" s="13" t="s">
        <v>276</v>
      </c>
      <c r="J373" s="22" t="str">
        <f>VLOOKUP(Table2[[#This Row], [Author]],People!A:B,2,0)</f>
        <v>LS</v>
      </c>
      <c r="K373" s="13"/>
      <c r="L373" s="13"/>
      <c r="M373" s="23" t="s">
        <v>1005</v>
      </c>
    </row>
    <row r="374" spans="1:13" ht="19.5" customHeight="1">
      <c r="A374" s="18">
        <f t="shared" si="5"/>
        <v>373</v>
      </c>
      <c r="B374" s="11" t="s">
        <v>6</v>
      </c>
      <c r="C374" s="11" t="s">
        <v>47</v>
      </c>
      <c r="D374" s="11" t="s">
        <v>1012</v>
      </c>
      <c r="E374" s="11" t="s">
        <v>1013</v>
      </c>
      <c r="F374" s="11" t="s">
        <v>1009</v>
      </c>
      <c r="G374" s="11" t="s">
        <v>14</v>
      </c>
      <c r="H374" s="19" t="str">
        <f>IFERROR(VLOOKUP(Table2[[#This Row], [Ticket]],Okey!A:B,2,0),"")</f>
        <v>ok</v>
      </c>
      <c r="I374" s="11" t="s">
        <v>276</v>
      </c>
      <c r="J374" s="19" t="str">
        <f>VLOOKUP(Table2[[#This Row], [Author]],People!A:B,2,0)</f>
        <v>LS</v>
      </c>
      <c r="K374" s="11"/>
      <c r="L374" s="11"/>
      <c r="M374" s="20" t="s">
        <v>1005</v>
      </c>
    </row>
    <row r="375" spans="1:13" ht="19.5" customHeight="1">
      <c r="A375" s="21">
        <f t="shared" si="5"/>
        <v>374</v>
      </c>
      <c r="B375" s="13" t="s">
        <v>6</v>
      </c>
      <c r="C375" s="13" t="s">
        <v>47</v>
      </c>
      <c r="D375" s="13" t="s">
        <v>1014</v>
      </c>
      <c r="E375" s="13" t="s">
        <v>1015</v>
      </c>
      <c r="F375" s="13" t="s">
        <v>1004</v>
      </c>
      <c r="G375" s="13" t="s">
        <v>16</v>
      </c>
      <c r="H375" s="22" t="str">
        <f>IFERROR(VLOOKUP(Table2[[#This Row], [Ticket]],Okey!A:B,2,0),"")</f>
        <v>ok</v>
      </c>
      <c r="I375" s="13" t="s">
        <v>276</v>
      </c>
      <c r="J375" s="22" t="str">
        <f>VLOOKUP(Table2[[#This Row], [Author]],People!A:B,2,0)</f>
        <v>LS</v>
      </c>
      <c r="K375" s="13"/>
      <c r="L375" s="13"/>
      <c r="M375" s="23" t="s">
        <v>1005</v>
      </c>
    </row>
    <row r="376" spans="1:13" ht="19.5" customHeight="1">
      <c r="A376" s="18">
        <f t="shared" si="5"/>
        <v>375</v>
      </c>
      <c r="B376" s="11" t="s">
        <v>6</v>
      </c>
      <c r="C376" s="11" t="s">
        <v>47</v>
      </c>
      <c r="D376" s="11" t="s">
        <v>1016</v>
      </c>
      <c r="E376" s="11" t="s">
        <v>1017</v>
      </c>
      <c r="F376" s="11" t="s">
        <v>1014</v>
      </c>
      <c r="G376" s="11" t="s">
        <v>14</v>
      </c>
      <c r="H376" s="19" t="str">
        <f>IFERROR(VLOOKUP(Table2[[#This Row], [Ticket]],Okey!A:B,2,0),"")</f>
        <v>ok</v>
      </c>
      <c r="I376" s="11" t="s">
        <v>276</v>
      </c>
      <c r="J376" s="19" t="str">
        <f>VLOOKUP(Table2[[#This Row], [Author]],People!A:B,2,0)</f>
        <v>LS</v>
      </c>
      <c r="K376" s="11"/>
      <c r="L376" s="11"/>
      <c r="M376" s="20" t="s">
        <v>1005</v>
      </c>
    </row>
    <row r="377" spans="1:13" ht="19.5" customHeight="1">
      <c r="A377" s="21">
        <f t="shared" si="5"/>
        <v>376</v>
      </c>
      <c r="B377" s="13" t="s">
        <v>6</v>
      </c>
      <c r="C377" s="13" t="s">
        <v>47</v>
      </c>
      <c r="D377" s="13" t="s">
        <v>1018</v>
      </c>
      <c r="E377" s="13" t="s">
        <v>1019</v>
      </c>
      <c r="F377" s="13" t="s">
        <v>1014</v>
      </c>
      <c r="G377" s="13" t="s">
        <v>14</v>
      </c>
      <c r="H377" s="22" t="str">
        <f>IFERROR(VLOOKUP(Table2[[#This Row], [Ticket]],Okey!A:B,2,0),"")</f>
        <v>ok</v>
      </c>
      <c r="I377" s="13" t="s">
        <v>276</v>
      </c>
      <c r="J377" s="22" t="str">
        <f>VLOOKUP(Table2[[#This Row], [Author]],People!A:B,2,0)</f>
        <v>LS</v>
      </c>
      <c r="K377" s="13"/>
      <c r="L377" s="13"/>
      <c r="M377" s="23" t="s">
        <v>1005</v>
      </c>
    </row>
    <row r="378" spans="1:13" ht="19.5" customHeight="1">
      <c r="A378" s="18">
        <f t="shared" si="5"/>
        <v>377</v>
      </c>
      <c r="B378" s="11" t="s">
        <v>6</v>
      </c>
      <c r="C378" s="11" t="s">
        <v>47</v>
      </c>
      <c r="D378" s="11" t="s">
        <v>1020</v>
      </c>
      <c r="E378" s="11" t="s">
        <v>1021</v>
      </c>
      <c r="F378" s="11" t="s">
        <v>1018</v>
      </c>
      <c r="G378" s="11" t="s">
        <v>14</v>
      </c>
      <c r="H378" s="19" t="str">
        <f>IFERROR(VLOOKUP(Table2[[#This Row], [Ticket]],Okey!A:B,2,0),"")</f>
        <v>ok</v>
      </c>
      <c r="I378" s="11" t="s">
        <v>276</v>
      </c>
      <c r="J378" s="19" t="str">
        <f>VLOOKUP(Table2[[#This Row], [Author]],People!A:B,2,0)</f>
        <v>LS</v>
      </c>
      <c r="K378" s="11"/>
      <c r="L378" s="11"/>
      <c r="M378" s="20" t="s">
        <v>1005</v>
      </c>
    </row>
    <row r="379" spans="1:13" ht="19.5" customHeight="1">
      <c r="A379" s="21">
        <f t="shared" si="5"/>
        <v>378</v>
      </c>
      <c r="B379" s="13" t="s">
        <v>6</v>
      </c>
      <c r="C379" s="13" t="s">
        <v>47</v>
      </c>
      <c r="D379" s="13" t="s">
        <v>1022</v>
      </c>
      <c r="E379" s="13" t="s">
        <v>1023</v>
      </c>
      <c r="F379" s="13" t="s">
        <v>1018</v>
      </c>
      <c r="G379" s="13" t="s">
        <v>14</v>
      </c>
      <c r="H379" s="22" t="str">
        <f>IFERROR(VLOOKUP(Table2[[#This Row], [Ticket]],Okey!A:B,2,0),"")</f>
        <v>ok</v>
      </c>
      <c r="I379" s="13" t="s">
        <v>276</v>
      </c>
      <c r="J379" s="22" t="str">
        <f>VLOOKUP(Table2[[#This Row], [Author]],People!A:B,2,0)</f>
        <v>LS</v>
      </c>
      <c r="K379" s="13"/>
      <c r="L379" s="13"/>
      <c r="M379" s="23" t="s">
        <v>1005</v>
      </c>
    </row>
    <row r="380" spans="1:13" ht="19.5" customHeight="1">
      <c r="A380" s="18">
        <f t="shared" si="5"/>
        <v>379</v>
      </c>
      <c r="B380" s="11" t="s">
        <v>6</v>
      </c>
      <c r="C380" s="11" t="s">
        <v>47</v>
      </c>
      <c r="D380" s="11" t="s">
        <v>1024</v>
      </c>
      <c r="E380" s="11" t="s">
        <v>1025</v>
      </c>
      <c r="F380" s="11" t="s">
        <v>1014</v>
      </c>
      <c r="G380" s="11" t="s">
        <v>14</v>
      </c>
      <c r="H380" s="19" t="str">
        <f>IFERROR(VLOOKUP(Table2[[#This Row], [Ticket]],Okey!A:B,2,0),"")</f>
        <v>ok</v>
      </c>
      <c r="I380" s="11" t="s">
        <v>276</v>
      </c>
      <c r="J380" s="19" t="str">
        <f>VLOOKUP(Table2[[#This Row], [Author]],People!A:B,2,0)</f>
        <v>LS</v>
      </c>
      <c r="K380" s="11"/>
      <c r="L380" s="11"/>
      <c r="M380" s="20" t="s">
        <v>1005</v>
      </c>
    </row>
    <row r="381" spans="1:13" ht="19.5" customHeight="1">
      <c r="A381" s="21">
        <f t="shared" si="5"/>
        <v>380</v>
      </c>
      <c r="B381" s="13" t="s">
        <v>6</v>
      </c>
      <c r="C381" s="13" t="s">
        <v>47</v>
      </c>
      <c r="D381" s="13" t="s">
        <v>1026</v>
      </c>
      <c r="E381" s="13" t="s">
        <v>1027</v>
      </c>
      <c r="F381" s="13" t="s">
        <v>1003</v>
      </c>
      <c r="G381" s="13" t="s">
        <v>16</v>
      </c>
      <c r="H381" s="22" t="str">
        <f>IFERROR(VLOOKUP(Table2[[#This Row], [Ticket]],Okey!A:B,2,0),"")</f>
        <v>ok</v>
      </c>
      <c r="I381" s="13" t="s">
        <v>276</v>
      </c>
      <c r="J381" s="22" t="str">
        <f>VLOOKUP(Table2[[#This Row], [Author]],People!A:B,2,0)</f>
        <v>LS</v>
      </c>
      <c r="K381" s="13"/>
      <c r="L381" s="13"/>
      <c r="M381" s="23" t="s">
        <v>1005</v>
      </c>
    </row>
    <row r="382" spans="1:13" ht="19.5" customHeight="1">
      <c r="A382" s="18">
        <f t="shared" si="5"/>
        <v>381</v>
      </c>
      <c r="B382" s="11" t="s">
        <v>6</v>
      </c>
      <c r="C382" s="11" t="s">
        <v>47</v>
      </c>
      <c r="D382" s="11" t="s">
        <v>1028</v>
      </c>
      <c r="E382" s="11" t="s">
        <v>1029</v>
      </c>
      <c r="F382" s="11" t="s">
        <v>1026</v>
      </c>
      <c r="G382" s="11" t="s">
        <v>14</v>
      </c>
      <c r="H382" s="19" t="str">
        <f>IFERROR(VLOOKUP(Table2[[#This Row], [Ticket]],Okey!A:B,2,0),"")</f>
        <v>ok</v>
      </c>
      <c r="I382" s="11" t="s">
        <v>276</v>
      </c>
      <c r="J382" s="19" t="str">
        <f>VLOOKUP(Table2[[#This Row], [Author]],People!A:B,2,0)</f>
        <v>LS</v>
      </c>
      <c r="K382" s="11"/>
      <c r="L382" s="11"/>
      <c r="M382" s="20" t="s">
        <v>1005</v>
      </c>
    </row>
    <row r="383" spans="1:13" ht="19.5" customHeight="1">
      <c r="A383" s="21">
        <f t="shared" si="5"/>
        <v>382</v>
      </c>
      <c r="B383" s="13" t="s">
        <v>6</v>
      </c>
      <c r="C383" s="13" t="s">
        <v>47</v>
      </c>
      <c r="D383" s="13" t="s">
        <v>1030</v>
      </c>
      <c r="E383" s="13" t="s">
        <v>1031</v>
      </c>
      <c r="F383" s="13" t="s">
        <v>1026</v>
      </c>
      <c r="G383" s="13" t="s">
        <v>14</v>
      </c>
      <c r="H383" s="22" t="str">
        <f>IFERROR(VLOOKUP(Table2[[#This Row], [Ticket]],Okey!A:B,2,0),"")</f>
        <v>ok</v>
      </c>
      <c r="I383" s="13" t="s">
        <v>276</v>
      </c>
      <c r="J383" s="22" t="str">
        <f>VLOOKUP(Table2[[#This Row], [Author]],People!A:B,2,0)</f>
        <v>LS</v>
      </c>
      <c r="K383" s="13"/>
      <c r="L383" s="13"/>
      <c r="M383" s="23" t="s">
        <v>1005</v>
      </c>
    </row>
    <row r="384" spans="1:13" ht="19.5" customHeight="1">
      <c r="A384" s="18">
        <f t="shared" si="5"/>
        <v>383</v>
      </c>
      <c r="B384" s="11" t="s">
        <v>6</v>
      </c>
      <c r="C384" s="11" t="s">
        <v>47</v>
      </c>
      <c r="D384" s="11" t="s">
        <v>1032</v>
      </c>
      <c r="E384" s="11" t="s">
        <v>1033</v>
      </c>
      <c r="F384" s="11" t="s">
        <v>1026</v>
      </c>
      <c r="G384" s="11" t="s">
        <v>14</v>
      </c>
      <c r="H384" s="19" t="str">
        <f>IFERROR(VLOOKUP(Table2[[#This Row], [Ticket]],Okey!A:B,2,0),"")</f>
        <v>ok</v>
      </c>
      <c r="I384" s="11" t="s">
        <v>276</v>
      </c>
      <c r="J384" s="19" t="str">
        <f>VLOOKUP(Table2[[#This Row], [Author]],People!A:B,2,0)</f>
        <v>LS</v>
      </c>
      <c r="K384" s="11"/>
      <c r="L384" s="11"/>
      <c r="M384" s="20" t="s">
        <v>1005</v>
      </c>
    </row>
    <row r="385" spans="1:13" ht="19.5" customHeight="1">
      <c r="A385" s="21">
        <f t="shared" si="5"/>
        <v>384</v>
      </c>
      <c r="B385" s="13" t="s">
        <v>6</v>
      </c>
      <c r="C385" s="13" t="s">
        <v>47</v>
      </c>
      <c r="D385" s="13" t="s">
        <v>1034</v>
      </c>
      <c r="E385" s="13" t="s">
        <v>1035</v>
      </c>
      <c r="F385" s="13" t="s">
        <v>1026</v>
      </c>
      <c r="G385" s="13" t="s">
        <v>14</v>
      </c>
      <c r="H385" s="22" t="str">
        <f>IFERROR(VLOOKUP(Table2[[#This Row], [Ticket]],Okey!A:B,2,0),"")</f>
        <v>ok</v>
      </c>
      <c r="I385" s="13" t="s">
        <v>276</v>
      </c>
      <c r="J385" s="22" t="str">
        <f>VLOOKUP(Table2[[#This Row], [Author]],People!A:B,2,0)</f>
        <v>LS</v>
      </c>
      <c r="K385" s="13"/>
      <c r="L385" s="13"/>
      <c r="M385" s="23" t="s">
        <v>1005</v>
      </c>
    </row>
    <row r="386" spans="1:13" ht="19.5" customHeight="1">
      <c r="A386" s="18">
        <f t="shared" si="5"/>
        <v>385</v>
      </c>
      <c r="B386" s="11" t="s">
        <v>6</v>
      </c>
      <c r="C386" s="11" t="s">
        <v>47</v>
      </c>
      <c r="D386" s="11" t="s">
        <v>1036</v>
      </c>
      <c r="E386" s="11" t="s">
        <v>1037</v>
      </c>
      <c r="F386" s="11" t="s">
        <v>1034</v>
      </c>
      <c r="G386" s="11" t="s">
        <v>14</v>
      </c>
      <c r="H386" s="19" t="str">
        <f>IFERROR(VLOOKUP(Table2[[#This Row], [Ticket]],Okey!A:B,2,0),"")</f>
        <v>ok</v>
      </c>
      <c r="I386" s="11" t="s">
        <v>276</v>
      </c>
      <c r="J386" s="19" t="str">
        <f>VLOOKUP(Table2[[#This Row], [Author]],People!A:B,2,0)</f>
        <v>LS</v>
      </c>
      <c r="K386" s="11"/>
      <c r="L386" s="11"/>
      <c r="M386" s="20" t="s">
        <v>1005</v>
      </c>
    </row>
    <row r="387" spans="1:13" ht="19.5" customHeight="1">
      <c r="A387" s="21">
        <f t="shared" ref="A387:A450" si="6">1+A386</f>
        <v>386</v>
      </c>
      <c r="B387" s="13" t="s">
        <v>6</v>
      </c>
      <c r="C387" s="13" t="s">
        <v>47</v>
      </c>
      <c r="D387" s="13" t="s">
        <v>1038</v>
      </c>
      <c r="E387" s="13" t="s">
        <v>1039</v>
      </c>
      <c r="F387" s="13" t="s">
        <v>1034</v>
      </c>
      <c r="G387" s="13" t="s">
        <v>14</v>
      </c>
      <c r="H387" s="22" t="str">
        <f>IFERROR(VLOOKUP(Table2[[#This Row], [Ticket]],Okey!A:B,2,0),"")</f>
        <v>ok</v>
      </c>
      <c r="I387" s="13" t="s">
        <v>276</v>
      </c>
      <c r="J387" s="22" t="str">
        <f>VLOOKUP(Table2[[#This Row], [Author]],People!A:B,2,0)</f>
        <v>LS</v>
      </c>
      <c r="K387" s="13"/>
      <c r="L387" s="13"/>
      <c r="M387" s="23" t="s">
        <v>1005</v>
      </c>
    </row>
    <row r="388" spans="1:13" ht="19.5" customHeight="1">
      <c r="A388" s="18">
        <f t="shared" si="6"/>
        <v>387</v>
      </c>
      <c r="B388" s="11" t="s">
        <v>6</v>
      </c>
      <c r="C388" s="11" t="s">
        <v>47</v>
      </c>
      <c r="D388" s="11" t="s">
        <v>1040</v>
      </c>
      <c r="E388" s="11" t="s">
        <v>1041</v>
      </c>
      <c r="F388" s="11" t="s">
        <v>1034</v>
      </c>
      <c r="G388" s="11" t="s">
        <v>14</v>
      </c>
      <c r="H388" s="19" t="str">
        <f>IFERROR(VLOOKUP(Table2[[#This Row], [Ticket]],Okey!A:B,2,0),"")</f>
        <v>ok</v>
      </c>
      <c r="I388" s="11" t="s">
        <v>276</v>
      </c>
      <c r="J388" s="19" t="str">
        <f>VLOOKUP(Table2[[#This Row], [Author]],People!A:B,2,0)</f>
        <v>LS</v>
      </c>
      <c r="K388" s="11"/>
      <c r="L388" s="11"/>
      <c r="M388" s="20" t="s">
        <v>1005</v>
      </c>
    </row>
    <row r="389" spans="1:13" ht="19.5" customHeight="1">
      <c r="A389" s="21">
        <f t="shared" si="6"/>
        <v>388</v>
      </c>
      <c r="B389" s="13" t="s">
        <v>6</v>
      </c>
      <c r="C389" s="13" t="s">
        <v>47</v>
      </c>
      <c r="D389" s="13" t="s">
        <v>1042</v>
      </c>
      <c r="E389" s="13" t="s">
        <v>1043</v>
      </c>
      <c r="F389" s="13" t="s">
        <v>1034</v>
      </c>
      <c r="G389" s="13" t="s">
        <v>14</v>
      </c>
      <c r="H389" s="22" t="str">
        <f>IFERROR(VLOOKUP(Table2[[#This Row], [Ticket]],Okey!A:B,2,0),"")</f>
        <v>ok</v>
      </c>
      <c r="I389" s="13" t="s">
        <v>276</v>
      </c>
      <c r="J389" s="22" t="str">
        <f>VLOOKUP(Table2[[#This Row], [Author]],People!A:B,2,0)</f>
        <v>LS</v>
      </c>
      <c r="K389" s="13"/>
      <c r="L389" s="13"/>
      <c r="M389" s="23" t="s">
        <v>1005</v>
      </c>
    </row>
    <row r="390" spans="1:13" ht="19.5" customHeight="1">
      <c r="A390" s="18">
        <f t="shared" si="6"/>
        <v>389</v>
      </c>
      <c r="B390" s="11" t="s">
        <v>6</v>
      </c>
      <c r="C390" s="11" t="s">
        <v>47</v>
      </c>
      <c r="D390" s="11" t="s">
        <v>1044</v>
      </c>
      <c r="E390" s="11" t="s">
        <v>1045</v>
      </c>
      <c r="F390" s="11" t="s">
        <v>1034</v>
      </c>
      <c r="G390" s="11" t="s">
        <v>14</v>
      </c>
      <c r="H390" s="19" t="str">
        <f>IFERROR(VLOOKUP(Table2[[#This Row], [Ticket]],Okey!A:B,2,0),"")</f>
        <v>ok</v>
      </c>
      <c r="I390" s="11" t="s">
        <v>276</v>
      </c>
      <c r="J390" s="19" t="str">
        <f>VLOOKUP(Table2[[#This Row], [Author]],People!A:B,2,0)</f>
        <v>LS</v>
      </c>
      <c r="K390" s="11"/>
      <c r="L390" s="11"/>
      <c r="M390" s="20" t="s">
        <v>1005</v>
      </c>
    </row>
    <row r="391" spans="1:13" ht="19.5" customHeight="1">
      <c r="A391" s="21">
        <f t="shared" si="6"/>
        <v>390</v>
      </c>
      <c r="B391" s="13" t="s">
        <v>6</v>
      </c>
      <c r="C391" s="13" t="s">
        <v>47</v>
      </c>
      <c r="D391" s="13" t="s">
        <v>1046</v>
      </c>
      <c r="E391" s="13" t="s">
        <v>1047</v>
      </c>
      <c r="F391" s="13" t="s">
        <v>1006</v>
      </c>
      <c r="G391" s="13" t="s">
        <v>16</v>
      </c>
      <c r="H391" s="22" t="str">
        <f>IFERROR(VLOOKUP(Table2[[#This Row], [Ticket]],Okey!A:B,2,0),"")</f>
        <v>ok</v>
      </c>
      <c r="I391" s="13" t="s">
        <v>276</v>
      </c>
      <c r="J391" s="22" t="str">
        <f>VLOOKUP(Table2[[#This Row], [Author]],People!A:B,2,0)</f>
        <v>LS</v>
      </c>
      <c r="K391" s="13"/>
      <c r="L391" s="13"/>
      <c r="M391" s="23" t="s">
        <v>1005</v>
      </c>
    </row>
    <row r="392" spans="1:13" ht="19.5" customHeight="1">
      <c r="A392" s="18">
        <f t="shared" si="6"/>
        <v>391</v>
      </c>
      <c r="B392" s="11" t="s">
        <v>6</v>
      </c>
      <c r="C392" s="11" t="s">
        <v>47</v>
      </c>
      <c r="D392" s="11" t="s">
        <v>1048</v>
      </c>
      <c r="E392" s="11" t="s">
        <v>1049</v>
      </c>
      <c r="F392" s="11" t="s">
        <v>1046</v>
      </c>
      <c r="G392" s="11" t="s">
        <v>14</v>
      </c>
      <c r="H392" s="19" t="str">
        <f>IFERROR(VLOOKUP(Table2[[#This Row], [Ticket]],Okey!A:B,2,0),"")</f>
        <v>ok</v>
      </c>
      <c r="I392" s="11" t="s">
        <v>276</v>
      </c>
      <c r="J392" s="19" t="str">
        <f>VLOOKUP(Table2[[#This Row], [Author]],People!A:B,2,0)</f>
        <v>LS</v>
      </c>
      <c r="K392" s="11"/>
      <c r="L392" s="11"/>
      <c r="M392" s="20" t="s">
        <v>1005</v>
      </c>
    </row>
    <row r="393" spans="1:13" ht="19.5" customHeight="1">
      <c r="A393" s="21">
        <f t="shared" si="6"/>
        <v>392</v>
      </c>
      <c r="B393" s="13" t="s">
        <v>6</v>
      </c>
      <c r="C393" s="13" t="s">
        <v>47</v>
      </c>
      <c r="D393" s="13" t="s">
        <v>1050</v>
      </c>
      <c r="E393" s="13" t="s">
        <v>1051</v>
      </c>
      <c r="F393" s="13" t="s">
        <v>1046</v>
      </c>
      <c r="G393" s="13" t="s">
        <v>14</v>
      </c>
      <c r="H393" s="22" t="str">
        <f>IFERROR(VLOOKUP(Table2[[#This Row], [Ticket]],Okey!A:B,2,0),"")</f>
        <v>ok</v>
      </c>
      <c r="I393" s="13" t="s">
        <v>276</v>
      </c>
      <c r="J393" s="22" t="str">
        <f>VLOOKUP(Table2[[#This Row], [Author]],People!A:B,2,0)</f>
        <v>LS</v>
      </c>
      <c r="K393" s="13"/>
      <c r="L393" s="13"/>
      <c r="M393" s="23" t="s">
        <v>1005</v>
      </c>
    </row>
    <row r="394" spans="1:13" ht="19.5" customHeight="1">
      <c r="A394" s="18">
        <f t="shared" si="6"/>
        <v>393</v>
      </c>
      <c r="B394" s="11" t="s">
        <v>6</v>
      </c>
      <c r="C394" s="11" t="s">
        <v>47</v>
      </c>
      <c r="D394" s="11" t="s">
        <v>1052</v>
      </c>
      <c r="E394" s="11" t="s">
        <v>1053</v>
      </c>
      <c r="F394" s="11" t="s">
        <v>1048</v>
      </c>
      <c r="G394" s="11" t="s">
        <v>14</v>
      </c>
      <c r="H394" s="19" t="str">
        <f>IFERROR(VLOOKUP(Table2[[#This Row], [Ticket]],Okey!A:B,2,0),"")</f>
        <v>ok</v>
      </c>
      <c r="I394" s="11" t="s">
        <v>276</v>
      </c>
      <c r="J394" s="19" t="str">
        <f>VLOOKUP(Table2[[#This Row], [Author]],People!A:B,2,0)</f>
        <v>LS</v>
      </c>
      <c r="K394" s="11"/>
      <c r="L394" s="11"/>
      <c r="M394" s="20" t="s">
        <v>1005</v>
      </c>
    </row>
    <row r="395" spans="1:13" ht="19.5" customHeight="1">
      <c r="A395" s="21">
        <f t="shared" si="6"/>
        <v>394</v>
      </c>
      <c r="B395" s="13" t="s">
        <v>6</v>
      </c>
      <c r="C395" s="13" t="s">
        <v>47</v>
      </c>
      <c r="D395" s="13" t="s">
        <v>1054</v>
      </c>
      <c r="E395" s="13" t="s">
        <v>1055</v>
      </c>
      <c r="F395" s="13" t="s">
        <v>1048</v>
      </c>
      <c r="G395" s="13" t="s">
        <v>14</v>
      </c>
      <c r="H395" s="22" t="str">
        <f>IFERROR(VLOOKUP(Table2[[#This Row], [Ticket]],Okey!A:B,2,0),"")</f>
        <v>ok</v>
      </c>
      <c r="I395" s="13" t="s">
        <v>276</v>
      </c>
      <c r="J395" s="22" t="str">
        <f>VLOOKUP(Table2[[#This Row], [Author]],People!A:B,2,0)</f>
        <v>LS</v>
      </c>
      <c r="K395" s="13"/>
      <c r="L395" s="13"/>
      <c r="M395" s="23" t="s">
        <v>1005</v>
      </c>
    </row>
    <row r="396" spans="1:13" ht="19.5" customHeight="1">
      <c r="A396" s="18">
        <f t="shared" si="6"/>
        <v>395</v>
      </c>
      <c r="B396" s="11" t="s">
        <v>6</v>
      </c>
      <c r="C396" s="11" t="s">
        <v>47</v>
      </c>
      <c r="D396" s="11" t="s">
        <v>1056</v>
      </c>
      <c r="E396" s="11" t="s">
        <v>1057</v>
      </c>
      <c r="F396" s="11" t="s">
        <v>1048</v>
      </c>
      <c r="G396" s="11" t="s">
        <v>14</v>
      </c>
      <c r="H396" s="19" t="str">
        <f>IFERROR(VLOOKUP(Table2[[#This Row], [Ticket]],Okey!A:B,2,0),"")</f>
        <v>ok</v>
      </c>
      <c r="I396" s="11" t="s">
        <v>276</v>
      </c>
      <c r="J396" s="19" t="str">
        <f>VLOOKUP(Table2[[#This Row], [Author]],People!A:B,2,0)</f>
        <v>LS</v>
      </c>
      <c r="K396" s="11"/>
      <c r="L396" s="11"/>
      <c r="M396" s="20" t="s">
        <v>1005</v>
      </c>
    </row>
    <row r="397" spans="1:13" ht="19.5" customHeight="1">
      <c r="A397" s="21">
        <f t="shared" si="6"/>
        <v>396</v>
      </c>
      <c r="B397" s="13" t="s">
        <v>6</v>
      </c>
      <c r="C397" s="13" t="s">
        <v>47</v>
      </c>
      <c r="D397" s="13" t="s">
        <v>1058</v>
      </c>
      <c r="E397" s="13" t="s">
        <v>1059</v>
      </c>
      <c r="F397" s="13" t="s">
        <v>1048</v>
      </c>
      <c r="G397" s="13" t="s">
        <v>14</v>
      </c>
      <c r="H397" s="22" t="str">
        <f>IFERROR(VLOOKUP(Table2[[#This Row], [Ticket]],Okey!A:B,2,0),"")</f>
        <v>ok</v>
      </c>
      <c r="I397" s="13" t="s">
        <v>276</v>
      </c>
      <c r="J397" s="22" t="str">
        <f>VLOOKUP(Table2[[#This Row], [Author]],People!A:B,2,0)</f>
        <v>LS</v>
      </c>
      <c r="K397" s="13"/>
      <c r="L397" s="13"/>
      <c r="M397" s="23" t="s">
        <v>1005</v>
      </c>
    </row>
    <row r="398" spans="1:13" ht="19.5" customHeight="1">
      <c r="A398" s="18">
        <f t="shared" si="6"/>
        <v>397</v>
      </c>
      <c r="B398" s="11" t="s">
        <v>6</v>
      </c>
      <c r="C398" s="11" t="s">
        <v>47</v>
      </c>
      <c r="D398" s="11" t="s">
        <v>1060</v>
      </c>
      <c r="E398" s="11" t="s">
        <v>1061</v>
      </c>
      <c r="F398" s="11" t="s">
        <v>1048</v>
      </c>
      <c r="G398" s="11" t="s">
        <v>14</v>
      </c>
      <c r="H398" s="19" t="str">
        <f>IFERROR(VLOOKUP(Table2[[#This Row], [Ticket]],Okey!A:B,2,0),"")</f>
        <v>ok</v>
      </c>
      <c r="I398" s="11" t="s">
        <v>276</v>
      </c>
      <c r="J398" s="19" t="str">
        <f>VLOOKUP(Table2[[#This Row], [Author]],People!A:B,2,0)</f>
        <v>LS</v>
      </c>
      <c r="K398" s="11"/>
      <c r="L398" s="11"/>
      <c r="M398" s="20" t="s">
        <v>1005</v>
      </c>
    </row>
    <row r="399" spans="1:13" ht="19.5" customHeight="1">
      <c r="A399" s="21">
        <f t="shared" si="6"/>
        <v>398</v>
      </c>
      <c r="B399" s="13" t="s">
        <v>6</v>
      </c>
      <c r="C399" s="13" t="s">
        <v>47</v>
      </c>
      <c r="D399" s="13" t="s">
        <v>1062</v>
      </c>
      <c r="E399" s="13" t="s">
        <v>1063</v>
      </c>
      <c r="F399" s="13" t="s">
        <v>1046</v>
      </c>
      <c r="G399" s="13" t="s">
        <v>14</v>
      </c>
      <c r="H399" s="22" t="str">
        <f>IFERROR(VLOOKUP(Table2[[#This Row], [Ticket]],Okey!A:B,2,0),"")</f>
        <v>ok</v>
      </c>
      <c r="I399" s="13" t="s">
        <v>276</v>
      </c>
      <c r="J399" s="22" t="str">
        <f>VLOOKUP(Table2[[#This Row], [Author]],People!A:B,2,0)</f>
        <v>LS</v>
      </c>
      <c r="K399" s="13"/>
      <c r="L399" s="13"/>
      <c r="M399" s="23" t="s">
        <v>1005</v>
      </c>
    </row>
    <row r="400" spans="1:13" ht="19.5" customHeight="1">
      <c r="A400" s="18">
        <f t="shared" si="6"/>
        <v>399</v>
      </c>
      <c r="B400" s="11" t="s">
        <v>6</v>
      </c>
      <c r="C400" s="11" t="s">
        <v>47</v>
      </c>
      <c r="D400" s="11" t="s">
        <v>1064</v>
      </c>
      <c r="E400" s="11" t="s">
        <v>1061</v>
      </c>
      <c r="F400" s="11" t="s">
        <v>1046</v>
      </c>
      <c r="G400" s="11" t="s">
        <v>14</v>
      </c>
      <c r="H400" s="19" t="str">
        <f>IFERROR(VLOOKUP(Table2[[#This Row], [Ticket]],Okey!A:B,2,0),"")</f>
        <v>ok</v>
      </c>
      <c r="I400" s="11" t="s">
        <v>276</v>
      </c>
      <c r="J400" s="19" t="str">
        <f>VLOOKUP(Table2[[#This Row], [Author]],People!A:B,2,0)</f>
        <v>LS</v>
      </c>
      <c r="K400" s="11"/>
      <c r="L400" s="11"/>
      <c r="M400" s="20" t="s">
        <v>1005</v>
      </c>
    </row>
    <row r="401" spans="1:13" ht="19.5" customHeight="1">
      <c r="A401" s="21">
        <f t="shared" si="6"/>
        <v>400</v>
      </c>
      <c r="B401" s="13" t="s">
        <v>6</v>
      </c>
      <c r="C401" s="13" t="s">
        <v>47</v>
      </c>
      <c r="D401" s="13" t="s">
        <v>1065</v>
      </c>
      <c r="E401" s="13" t="s">
        <v>1066</v>
      </c>
      <c r="F401" s="13" t="s">
        <v>1046</v>
      </c>
      <c r="G401" s="13" t="s">
        <v>14</v>
      </c>
      <c r="H401" s="22" t="str">
        <f>IFERROR(VLOOKUP(Table2[[#This Row], [Ticket]],Okey!A:B,2,0),"")</f>
        <v>ok</v>
      </c>
      <c r="I401" s="13" t="s">
        <v>276</v>
      </c>
      <c r="J401" s="22" t="str">
        <f>VLOOKUP(Table2[[#This Row], [Author]],People!A:B,2,0)</f>
        <v>LS</v>
      </c>
      <c r="K401" s="13"/>
      <c r="L401" s="13"/>
      <c r="M401" s="23" t="s">
        <v>1005</v>
      </c>
    </row>
    <row r="402" spans="1:13" ht="19.5" customHeight="1">
      <c r="A402" s="18">
        <f t="shared" si="6"/>
        <v>401</v>
      </c>
      <c r="B402" s="11" t="s">
        <v>6</v>
      </c>
      <c r="C402" s="11" t="s">
        <v>47</v>
      </c>
      <c r="D402" s="11" t="s">
        <v>1067</v>
      </c>
      <c r="E402" s="11" t="s">
        <v>1068</v>
      </c>
      <c r="F402" s="11" t="s">
        <v>1065</v>
      </c>
      <c r="G402" s="11" t="s">
        <v>14</v>
      </c>
      <c r="H402" s="19" t="str">
        <f>IFERROR(VLOOKUP(Table2[[#This Row], [Ticket]],Okey!A:B,2,0),"")</f>
        <v>ok</v>
      </c>
      <c r="I402" s="11" t="s">
        <v>276</v>
      </c>
      <c r="J402" s="19" t="str">
        <f>VLOOKUP(Table2[[#This Row], [Author]],People!A:B,2,0)</f>
        <v>LS</v>
      </c>
      <c r="K402" s="11"/>
      <c r="L402" s="11"/>
      <c r="M402" s="20" t="s">
        <v>1005</v>
      </c>
    </row>
    <row r="403" spans="1:13" ht="19.5" customHeight="1">
      <c r="A403" s="21">
        <f t="shared" si="6"/>
        <v>402</v>
      </c>
      <c r="B403" s="13" t="s">
        <v>6</v>
      </c>
      <c r="C403" s="13" t="s">
        <v>47</v>
      </c>
      <c r="D403" s="13" t="s">
        <v>1069</v>
      </c>
      <c r="E403" s="13" t="s">
        <v>1070</v>
      </c>
      <c r="F403" s="13" t="s">
        <v>1065</v>
      </c>
      <c r="G403" s="13" t="s">
        <v>14</v>
      </c>
      <c r="H403" s="22" t="str">
        <f>IFERROR(VLOOKUP(Table2[[#This Row], [Ticket]],Okey!A:B,2,0),"")</f>
        <v>ok</v>
      </c>
      <c r="I403" s="13" t="s">
        <v>276</v>
      </c>
      <c r="J403" s="22" t="str">
        <f>VLOOKUP(Table2[[#This Row], [Author]],People!A:B,2,0)</f>
        <v>LS</v>
      </c>
      <c r="K403" s="13"/>
      <c r="L403" s="13"/>
      <c r="M403" s="23" t="s">
        <v>1005</v>
      </c>
    </row>
    <row r="404" spans="1:13" ht="19.5" customHeight="1">
      <c r="A404" s="18">
        <f t="shared" si="6"/>
        <v>403</v>
      </c>
      <c r="B404" s="11" t="s">
        <v>6</v>
      </c>
      <c r="C404" s="11" t="s">
        <v>47</v>
      </c>
      <c r="D404" s="11" t="s">
        <v>1071</v>
      </c>
      <c r="E404" s="11" t="s">
        <v>1072</v>
      </c>
      <c r="F404" s="11" t="s">
        <v>1009</v>
      </c>
      <c r="G404" s="11" t="s">
        <v>16</v>
      </c>
      <c r="H404" s="19" t="str">
        <f>IFERROR(VLOOKUP(Table2[[#This Row], [Ticket]],Okey!A:B,2,0),"")</f>
        <v>ok</v>
      </c>
      <c r="I404" s="11" t="s">
        <v>276</v>
      </c>
      <c r="J404" s="19" t="str">
        <f>VLOOKUP(Table2[[#This Row], [Author]],People!A:B,2,0)</f>
        <v>LS</v>
      </c>
      <c r="K404" s="11"/>
      <c r="L404" s="11"/>
      <c r="M404" s="20" t="s">
        <v>1005</v>
      </c>
    </row>
    <row r="405" spans="1:13" ht="19.5" customHeight="1">
      <c r="A405" s="21">
        <f t="shared" si="6"/>
        <v>404</v>
      </c>
      <c r="B405" s="13" t="s">
        <v>6</v>
      </c>
      <c r="C405" s="13" t="s">
        <v>47</v>
      </c>
      <c r="D405" s="13" t="s">
        <v>1073</v>
      </c>
      <c r="E405" s="13"/>
      <c r="F405" s="13" t="s">
        <v>1004</v>
      </c>
      <c r="G405" s="13" t="s">
        <v>13</v>
      </c>
      <c r="H405" s="22" t="str">
        <f>IFERROR(VLOOKUP(Table2[[#This Row], [Ticket]],Okey!A:B,2,0),"")</f>
        <v>ok</v>
      </c>
      <c r="I405" s="13" t="s">
        <v>276</v>
      </c>
      <c r="J405" s="22" t="str">
        <f>VLOOKUP(Table2[[#This Row], [Author]],People!A:B,2,0)</f>
        <v>LS</v>
      </c>
      <c r="K405" s="13"/>
      <c r="L405" s="13"/>
      <c r="M405" s="23" t="s">
        <v>1005</v>
      </c>
    </row>
    <row r="406" spans="1:13" ht="19.5" customHeight="1">
      <c r="A406" s="18">
        <f t="shared" si="6"/>
        <v>405</v>
      </c>
      <c r="B406" s="11" t="s">
        <v>6</v>
      </c>
      <c r="C406" s="11" t="s">
        <v>47</v>
      </c>
      <c r="D406" s="11" t="s">
        <v>1074</v>
      </c>
      <c r="E406" s="11" t="s">
        <v>1075</v>
      </c>
      <c r="F406" s="11" t="s">
        <v>1073</v>
      </c>
      <c r="G406" s="11" t="s">
        <v>14</v>
      </c>
      <c r="H406" s="19" t="str">
        <f>IFERROR(VLOOKUP(Table2[[#This Row], [Ticket]],Okey!A:B,2,0),"")</f>
        <v>ok</v>
      </c>
      <c r="I406" s="11" t="s">
        <v>276</v>
      </c>
      <c r="J406" s="19" t="str">
        <f>VLOOKUP(Table2[[#This Row], [Author]],People!A:B,2,0)</f>
        <v>LS</v>
      </c>
      <c r="K406" s="11"/>
      <c r="L406" s="11"/>
      <c r="M406" s="20" t="s">
        <v>1005</v>
      </c>
    </row>
    <row r="407" spans="1:13" ht="19.5" customHeight="1">
      <c r="A407" s="21">
        <f t="shared" si="6"/>
        <v>406</v>
      </c>
      <c r="B407" s="13" t="s">
        <v>6</v>
      </c>
      <c r="C407" s="13" t="s">
        <v>47</v>
      </c>
      <c r="D407" s="13" t="s">
        <v>1076</v>
      </c>
      <c r="E407" s="13" t="s">
        <v>1077</v>
      </c>
      <c r="F407" s="13" t="s">
        <v>1073</v>
      </c>
      <c r="G407" s="13" t="s">
        <v>14</v>
      </c>
      <c r="H407" s="22" t="str">
        <f>IFERROR(VLOOKUP(Table2[[#This Row], [Ticket]],Okey!A:B,2,0),"")</f>
        <v>ok</v>
      </c>
      <c r="I407" s="13" t="s">
        <v>276</v>
      </c>
      <c r="J407" s="22" t="str">
        <f>VLOOKUP(Table2[[#This Row], [Author]],People!A:B,2,0)</f>
        <v>LS</v>
      </c>
      <c r="K407" s="13"/>
      <c r="L407" s="13"/>
      <c r="M407" s="23" t="s">
        <v>1005</v>
      </c>
    </row>
    <row r="408" spans="1:13" ht="19.5" customHeight="1">
      <c r="A408" s="18">
        <f t="shared" si="6"/>
        <v>407</v>
      </c>
      <c r="B408" s="11" t="s">
        <v>6</v>
      </c>
      <c r="C408" s="11" t="s">
        <v>47</v>
      </c>
      <c r="D408" s="11" t="s">
        <v>1078</v>
      </c>
      <c r="E408" s="11" t="s">
        <v>1079</v>
      </c>
      <c r="F408" s="11" t="s">
        <v>1073</v>
      </c>
      <c r="G408" s="11" t="s">
        <v>14</v>
      </c>
      <c r="H408" s="19" t="str">
        <f>IFERROR(VLOOKUP(Table2[[#This Row], [Ticket]],Okey!A:B,2,0),"")</f>
        <v>ok</v>
      </c>
      <c r="I408" s="11" t="s">
        <v>276</v>
      </c>
      <c r="J408" s="19" t="str">
        <f>VLOOKUP(Table2[[#This Row], [Author]],People!A:B,2,0)</f>
        <v>LS</v>
      </c>
      <c r="K408" s="11"/>
      <c r="L408" s="11"/>
      <c r="M408" s="20" t="s">
        <v>1005</v>
      </c>
    </row>
    <row r="409" spans="1:13" ht="19.5" customHeight="1">
      <c r="A409" s="21">
        <f t="shared" si="6"/>
        <v>408</v>
      </c>
      <c r="B409" s="13" t="s">
        <v>6</v>
      </c>
      <c r="C409" s="13" t="s">
        <v>47</v>
      </c>
      <c r="D409" s="13" t="s">
        <v>1080</v>
      </c>
      <c r="E409" s="13"/>
      <c r="F409" s="13" t="s">
        <v>1004</v>
      </c>
      <c r="G409" s="13" t="s">
        <v>13</v>
      </c>
      <c r="H409" s="22" t="str">
        <f>IFERROR(VLOOKUP(Table2[[#This Row], [Ticket]],Okey!A:B,2,0),"")</f>
        <v>ok</v>
      </c>
      <c r="I409" s="13" t="s">
        <v>276</v>
      </c>
      <c r="J409" s="22" t="str">
        <f>VLOOKUP(Table2[[#This Row], [Author]],People!A:B,2,0)</f>
        <v>LS</v>
      </c>
      <c r="K409" s="13"/>
      <c r="L409" s="13"/>
      <c r="M409" s="23" t="s">
        <v>1005</v>
      </c>
    </row>
    <row r="410" spans="1:13" ht="19.5" customHeight="1">
      <c r="A410" s="18">
        <f t="shared" si="6"/>
        <v>409</v>
      </c>
      <c r="B410" s="11" t="s">
        <v>6</v>
      </c>
      <c r="C410" s="11" t="s">
        <v>47</v>
      </c>
      <c r="D410" s="11" t="s">
        <v>1081</v>
      </c>
      <c r="E410" s="11" t="s">
        <v>1082</v>
      </c>
      <c r="F410" s="11" t="s">
        <v>1080</v>
      </c>
      <c r="G410" s="11" t="s">
        <v>14</v>
      </c>
      <c r="H410" s="19" t="str">
        <f>IFERROR(VLOOKUP(Table2[[#This Row], [Ticket]],Okey!A:B,2,0),"")</f>
        <v>ok</v>
      </c>
      <c r="I410" s="11" t="s">
        <v>276</v>
      </c>
      <c r="J410" s="19" t="str">
        <f>VLOOKUP(Table2[[#This Row], [Author]],People!A:B,2,0)</f>
        <v>LS</v>
      </c>
      <c r="K410" s="11"/>
      <c r="L410" s="11"/>
      <c r="M410" s="20" t="s">
        <v>1005</v>
      </c>
    </row>
    <row r="411" spans="1:13" ht="19.5" customHeight="1">
      <c r="A411" s="21">
        <f t="shared" si="6"/>
        <v>410</v>
      </c>
      <c r="B411" s="13" t="s">
        <v>6</v>
      </c>
      <c r="C411" s="13" t="s">
        <v>47</v>
      </c>
      <c r="D411" s="13" t="s">
        <v>1083</v>
      </c>
      <c r="E411" s="13" t="s">
        <v>1084</v>
      </c>
      <c r="F411" s="13" t="s">
        <v>1080</v>
      </c>
      <c r="G411" s="13" t="s">
        <v>14</v>
      </c>
      <c r="H411" s="22" t="str">
        <f>IFERROR(VLOOKUP(Table2[[#This Row], [Ticket]],Okey!A:B,2,0),"")</f>
        <v>ok</v>
      </c>
      <c r="I411" s="13" t="s">
        <v>276</v>
      </c>
      <c r="J411" s="22" t="str">
        <f>VLOOKUP(Table2[[#This Row], [Author]],People!A:B,2,0)</f>
        <v>LS</v>
      </c>
      <c r="K411" s="13"/>
      <c r="L411" s="13"/>
      <c r="M411" s="23" t="s">
        <v>1005</v>
      </c>
    </row>
    <row r="412" spans="1:13" ht="19.5" customHeight="1">
      <c r="A412" s="18">
        <f t="shared" si="6"/>
        <v>411</v>
      </c>
      <c r="B412" s="11" t="s">
        <v>6</v>
      </c>
      <c r="C412" s="11" t="s">
        <v>47</v>
      </c>
      <c r="D412" s="11" t="s">
        <v>1085</v>
      </c>
      <c r="E412" s="11" t="s">
        <v>1086</v>
      </c>
      <c r="F412" s="11" t="s">
        <v>1080</v>
      </c>
      <c r="G412" s="11" t="s">
        <v>14</v>
      </c>
      <c r="H412" s="19" t="str">
        <f>IFERROR(VLOOKUP(Table2[[#This Row], [Ticket]],Okey!A:B,2,0),"")</f>
        <v>ok</v>
      </c>
      <c r="I412" s="11" t="s">
        <v>276</v>
      </c>
      <c r="J412" s="19" t="str">
        <f>VLOOKUP(Table2[[#This Row], [Author]],People!A:B,2,0)</f>
        <v>LS</v>
      </c>
      <c r="K412" s="11"/>
      <c r="L412" s="11"/>
      <c r="M412" s="20" t="s">
        <v>1005</v>
      </c>
    </row>
    <row r="413" spans="1:13" ht="19.5" customHeight="1">
      <c r="A413" s="21">
        <f t="shared" si="6"/>
        <v>412</v>
      </c>
      <c r="B413" s="13" t="s">
        <v>6</v>
      </c>
      <c r="C413" s="13" t="s">
        <v>47</v>
      </c>
      <c r="D413" s="13" t="s">
        <v>1087</v>
      </c>
      <c r="E413" s="13"/>
      <c r="F413" s="13" t="s">
        <v>1004</v>
      </c>
      <c r="G413" s="13" t="s">
        <v>13</v>
      </c>
      <c r="H413" s="22" t="str">
        <f>IFERROR(VLOOKUP(Table2[[#This Row], [Ticket]],Okey!A:B,2,0),"")</f>
        <v>ok</v>
      </c>
      <c r="I413" s="13" t="s">
        <v>276</v>
      </c>
      <c r="J413" s="22" t="str">
        <f>VLOOKUP(Table2[[#This Row], [Author]],People!A:B,2,0)</f>
        <v>LS</v>
      </c>
      <c r="K413" s="13"/>
      <c r="L413" s="13"/>
      <c r="M413" s="23" t="s">
        <v>1005</v>
      </c>
    </row>
    <row r="414" spans="1:13" ht="19.5" customHeight="1">
      <c r="A414" s="18">
        <f t="shared" si="6"/>
        <v>413</v>
      </c>
      <c r="B414" s="11" t="s">
        <v>6</v>
      </c>
      <c r="C414" s="11" t="s">
        <v>47</v>
      </c>
      <c r="D414" s="11" t="s">
        <v>1088</v>
      </c>
      <c r="E414" s="11" t="s">
        <v>1089</v>
      </c>
      <c r="F414" s="11" t="s">
        <v>1087</v>
      </c>
      <c r="G414" s="11" t="s">
        <v>14</v>
      </c>
      <c r="H414" s="19" t="str">
        <f>IFERROR(VLOOKUP(Table2[[#This Row], [Ticket]],Okey!A:B,2,0),"")</f>
        <v>ok</v>
      </c>
      <c r="I414" s="11" t="s">
        <v>276</v>
      </c>
      <c r="J414" s="19" t="str">
        <f>VLOOKUP(Table2[[#This Row], [Author]],People!A:B,2,0)</f>
        <v>LS</v>
      </c>
      <c r="K414" s="11"/>
      <c r="L414" s="11"/>
      <c r="M414" s="20" t="s">
        <v>1005</v>
      </c>
    </row>
    <row r="415" spans="1:13" ht="19.5" customHeight="1">
      <c r="A415" s="21">
        <f t="shared" si="6"/>
        <v>414</v>
      </c>
      <c r="B415" s="13" t="s">
        <v>6</v>
      </c>
      <c r="C415" s="13" t="s">
        <v>47</v>
      </c>
      <c r="D415" s="13" t="s">
        <v>1090</v>
      </c>
      <c r="E415" s="13" t="s">
        <v>1091</v>
      </c>
      <c r="F415" s="13" t="s">
        <v>1087</v>
      </c>
      <c r="G415" s="13" t="s">
        <v>14</v>
      </c>
      <c r="H415" s="22" t="str">
        <f>IFERROR(VLOOKUP(Table2[[#This Row], [Ticket]],Okey!A:B,2,0),"")</f>
        <v>ok</v>
      </c>
      <c r="I415" s="13" t="s">
        <v>276</v>
      </c>
      <c r="J415" s="22" t="str">
        <f>VLOOKUP(Table2[[#This Row], [Author]],People!A:B,2,0)</f>
        <v>LS</v>
      </c>
      <c r="K415" s="13"/>
      <c r="L415" s="13"/>
      <c r="M415" s="23" t="s">
        <v>1005</v>
      </c>
    </row>
    <row r="416" spans="1:13" ht="19.5" customHeight="1">
      <c r="A416" s="18">
        <f t="shared" si="6"/>
        <v>415</v>
      </c>
      <c r="B416" s="11" t="s">
        <v>6</v>
      </c>
      <c r="C416" s="11" t="s">
        <v>47</v>
      </c>
      <c r="D416" s="11" t="s">
        <v>1092</v>
      </c>
      <c r="E416" s="11" t="s">
        <v>1093</v>
      </c>
      <c r="F416" s="11" t="s">
        <v>1087</v>
      </c>
      <c r="G416" s="11" t="s">
        <v>14</v>
      </c>
      <c r="H416" s="19" t="str">
        <f>IFERROR(VLOOKUP(Table2[[#This Row], [Ticket]],Okey!A:B,2,0),"")</f>
        <v>ok</v>
      </c>
      <c r="I416" s="11" t="s">
        <v>276</v>
      </c>
      <c r="J416" s="19" t="str">
        <f>VLOOKUP(Table2[[#This Row], [Author]],People!A:B,2,0)</f>
        <v>LS</v>
      </c>
      <c r="K416" s="11"/>
      <c r="L416" s="11"/>
      <c r="M416" s="20" t="s">
        <v>1005</v>
      </c>
    </row>
    <row r="417" spans="1:13" ht="19.5" customHeight="1">
      <c r="A417" s="21">
        <f t="shared" si="6"/>
        <v>416</v>
      </c>
      <c r="B417" s="13" t="s">
        <v>6</v>
      </c>
      <c r="C417" s="13" t="s">
        <v>47</v>
      </c>
      <c r="D417" s="13" t="s">
        <v>1094</v>
      </c>
      <c r="E417" s="13" t="s">
        <v>1095</v>
      </c>
      <c r="F417" s="13" t="s">
        <v>1004</v>
      </c>
      <c r="G417" s="13" t="s">
        <v>16</v>
      </c>
      <c r="H417" s="22" t="str">
        <f>IFERROR(VLOOKUP(Table2[[#This Row], [Ticket]],Okey!A:B,2,0),"")</f>
        <v>ok</v>
      </c>
      <c r="I417" s="13" t="s">
        <v>276</v>
      </c>
      <c r="J417" s="22" t="str">
        <f>VLOOKUP(Table2[[#This Row], [Author]],People!A:B,2,0)</f>
        <v>LS</v>
      </c>
      <c r="K417" s="13"/>
      <c r="L417" s="13"/>
      <c r="M417" s="23" t="s">
        <v>1005</v>
      </c>
    </row>
    <row r="418" spans="1:13" ht="19.5" customHeight="1">
      <c r="A418" s="18">
        <f t="shared" si="6"/>
        <v>417</v>
      </c>
      <c r="B418" s="11" t="s">
        <v>6</v>
      </c>
      <c r="C418" s="11" t="s">
        <v>47</v>
      </c>
      <c r="D418" s="11" t="s">
        <v>1096</v>
      </c>
      <c r="E418" s="11"/>
      <c r="F418" s="11" t="s">
        <v>1004</v>
      </c>
      <c r="G418" s="11" t="s">
        <v>13</v>
      </c>
      <c r="H418" s="19" t="str">
        <f>IFERROR(VLOOKUP(Table2[[#This Row], [Ticket]],Okey!A:B,2,0),"")</f>
        <v>ok</v>
      </c>
      <c r="I418" s="11" t="s">
        <v>276</v>
      </c>
      <c r="J418" s="19" t="str">
        <f>VLOOKUP(Table2[[#This Row], [Author]],People!A:B,2,0)</f>
        <v>LS</v>
      </c>
      <c r="K418" s="11"/>
      <c r="L418" s="11"/>
      <c r="M418" s="20" t="s">
        <v>1005</v>
      </c>
    </row>
    <row r="419" spans="1:13" ht="19.5" customHeight="1">
      <c r="A419" s="21">
        <f t="shared" si="6"/>
        <v>418</v>
      </c>
      <c r="B419" s="13" t="s">
        <v>6</v>
      </c>
      <c r="C419" s="13" t="s">
        <v>47</v>
      </c>
      <c r="D419" s="13" t="s">
        <v>1097</v>
      </c>
      <c r="E419" s="13" t="s">
        <v>1098</v>
      </c>
      <c r="F419" s="13" t="s">
        <v>1096</v>
      </c>
      <c r="G419" s="13" t="s">
        <v>14</v>
      </c>
      <c r="H419" s="22" t="str">
        <f>IFERROR(VLOOKUP(Table2[[#This Row], [Ticket]],Okey!A:B,2,0),"")</f>
        <v>ok</v>
      </c>
      <c r="I419" s="13" t="s">
        <v>276</v>
      </c>
      <c r="J419" s="22" t="str">
        <f>VLOOKUP(Table2[[#This Row], [Author]],People!A:B,2,0)</f>
        <v>LS</v>
      </c>
      <c r="K419" s="13"/>
      <c r="L419" s="13"/>
      <c r="M419" s="23" t="s">
        <v>1005</v>
      </c>
    </row>
    <row r="420" spans="1:13" ht="19.5" customHeight="1">
      <c r="A420" s="18">
        <f t="shared" si="6"/>
        <v>419</v>
      </c>
      <c r="B420" s="11" t="s">
        <v>6</v>
      </c>
      <c r="C420" s="11" t="s">
        <v>47</v>
      </c>
      <c r="D420" s="11" t="s">
        <v>1099</v>
      </c>
      <c r="E420" s="11" t="s">
        <v>1100</v>
      </c>
      <c r="F420" s="11" t="s">
        <v>1096</v>
      </c>
      <c r="G420" s="11" t="s">
        <v>14</v>
      </c>
      <c r="H420" s="19" t="str">
        <f>IFERROR(VLOOKUP(Table2[[#This Row], [Ticket]],Okey!A:B,2,0),"")</f>
        <v>ok</v>
      </c>
      <c r="I420" s="11" t="s">
        <v>276</v>
      </c>
      <c r="J420" s="19" t="str">
        <f>VLOOKUP(Table2[[#This Row], [Author]],People!A:B,2,0)</f>
        <v>LS</v>
      </c>
      <c r="K420" s="11"/>
      <c r="L420" s="11"/>
      <c r="M420" s="20" t="s">
        <v>1005</v>
      </c>
    </row>
    <row r="421" spans="1:13" ht="19.5" customHeight="1">
      <c r="A421" s="21">
        <f t="shared" si="6"/>
        <v>420</v>
      </c>
      <c r="B421" s="13" t="s">
        <v>6</v>
      </c>
      <c r="C421" s="13" t="s">
        <v>47</v>
      </c>
      <c r="D421" s="13" t="s">
        <v>1101</v>
      </c>
      <c r="E421" s="13" t="s">
        <v>1102</v>
      </c>
      <c r="F421" s="13" t="s">
        <v>1099</v>
      </c>
      <c r="G421" s="13" t="s">
        <v>14</v>
      </c>
      <c r="H421" s="22" t="str">
        <f>IFERROR(VLOOKUP(Table2[[#This Row], [Ticket]],Okey!A:B,2,0),"")</f>
        <v>ok</v>
      </c>
      <c r="I421" s="13" t="s">
        <v>276</v>
      </c>
      <c r="J421" s="22" t="str">
        <f>VLOOKUP(Table2[[#This Row], [Author]],People!A:B,2,0)</f>
        <v>LS</v>
      </c>
      <c r="K421" s="13"/>
      <c r="L421" s="13"/>
      <c r="M421" s="23" t="s">
        <v>1005</v>
      </c>
    </row>
    <row r="422" spans="1:13" ht="19.5" customHeight="1">
      <c r="A422" s="18">
        <f t="shared" si="6"/>
        <v>421</v>
      </c>
      <c r="B422" s="11" t="s">
        <v>6</v>
      </c>
      <c r="C422" s="11" t="s">
        <v>47</v>
      </c>
      <c r="D422" s="11" t="s">
        <v>1103</v>
      </c>
      <c r="E422" s="11" t="s">
        <v>1104</v>
      </c>
      <c r="F422" s="11" t="s">
        <v>1099</v>
      </c>
      <c r="G422" s="11" t="s">
        <v>14</v>
      </c>
      <c r="H422" s="19" t="str">
        <f>IFERROR(VLOOKUP(Table2[[#This Row], [Ticket]],Okey!A:B,2,0),"")</f>
        <v>ok</v>
      </c>
      <c r="I422" s="11" t="s">
        <v>276</v>
      </c>
      <c r="J422" s="19" t="str">
        <f>VLOOKUP(Table2[[#This Row], [Author]],People!A:B,2,0)</f>
        <v>LS</v>
      </c>
      <c r="K422" s="11"/>
      <c r="L422" s="11"/>
      <c r="M422" s="20" t="s">
        <v>1005</v>
      </c>
    </row>
    <row r="423" spans="1:13" ht="19.5" customHeight="1">
      <c r="A423" s="21">
        <f t="shared" si="6"/>
        <v>422</v>
      </c>
      <c r="B423" s="13" t="s">
        <v>6</v>
      </c>
      <c r="C423" s="13" t="s">
        <v>47</v>
      </c>
      <c r="D423" s="13" t="s">
        <v>1105</v>
      </c>
      <c r="E423" s="13" t="s">
        <v>1106</v>
      </c>
      <c r="F423" s="13" t="s">
        <v>1099</v>
      </c>
      <c r="G423" s="13" t="s">
        <v>14</v>
      </c>
      <c r="H423" s="22" t="str">
        <f>IFERROR(VLOOKUP(Table2[[#This Row], [Ticket]],Okey!A:B,2,0),"")</f>
        <v>ok</v>
      </c>
      <c r="I423" s="13" t="s">
        <v>276</v>
      </c>
      <c r="J423" s="22" t="str">
        <f>VLOOKUP(Table2[[#This Row], [Author]],People!A:B,2,0)</f>
        <v>LS</v>
      </c>
      <c r="K423" s="13"/>
      <c r="L423" s="13"/>
      <c r="M423" s="23" t="s">
        <v>1005</v>
      </c>
    </row>
    <row r="424" spans="1:13" ht="19.5" customHeight="1">
      <c r="A424" s="18">
        <f t="shared" si="6"/>
        <v>423</v>
      </c>
      <c r="B424" s="11" t="s">
        <v>6</v>
      </c>
      <c r="C424" s="11" t="s">
        <v>47</v>
      </c>
      <c r="D424" s="11" t="s">
        <v>1107</v>
      </c>
      <c r="E424" s="11" t="s">
        <v>1108</v>
      </c>
      <c r="F424" s="11" t="s">
        <v>1096</v>
      </c>
      <c r="G424" s="11" t="s">
        <v>14</v>
      </c>
      <c r="H424" s="19" t="str">
        <f>IFERROR(VLOOKUP(Table2[[#This Row], [Ticket]],Okey!A:B,2,0),"")</f>
        <v>ok</v>
      </c>
      <c r="I424" s="11" t="s">
        <v>276</v>
      </c>
      <c r="J424" s="19" t="str">
        <f>VLOOKUP(Table2[[#This Row], [Author]],People!A:B,2,0)</f>
        <v>LS</v>
      </c>
      <c r="K424" s="11"/>
      <c r="L424" s="11"/>
      <c r="M424" s="20" t="s">
        <v>1005</v>
      </c>
    </row>
    <row r="425" spans="1:13" ht="19.5" customHeight="1">
      <c r="A425" s="21">
        <f t="shared" si="6"/>
        <v>424</v>
      </c>
      <c r="B425" s="13" t="s">
        <v>6</v>
      </c>
      <c r="C425" s="13" t="s">
        <v>47</v>
      </c>
      <c r="D425" s="13" t="s">
        <v>1109</v>
      </c>
      <c r="E425" s="13" t="s">
        <v>1110</v>
      </c>
      <c r="F425" s="13" t="s">
        <v>1107</v>
      </c>
      <c r="G425" s="13" t="s">
        <v>14</v>
      </c>
      <c r="H425" s="22" t="str">
        <f>IFERROR(VLOOKUP(Table2[[#This Row], [Ticket]],Okey!A:B,2,0),"")</f>
        <v>ok</v>
      </c>
      <c r="I425" s="13" t="s">
        <v>276</v>
      </c>
      <c r="J425" s="22" t="str">
        <f>VLOOKUP(Table2[[#This Row], [Author]],People!A:B,2,0)</f>
        <v>LS</v>
      </c>
      <c r="K425" s="13"/>
      <c r="L425" s="13"/>
      <c r="M425" s="23" t="s">
        <v>1005</v>
      </c>
    </row>
    <row r="426" spans="1:13" ht="19.5" customHeight="1">
      <c r="A426" s="18">
        <f t="shared" si="6"/>
        <v>425</v>
      </c>
      <c r="B426" s="11" t="s">
        <v>6</v>
      </c>
      <c r="C426" s="11" t="s">
        <v>47</v>
      </c>
      <c r="D426" s="11" t="s">
        <v>1111</v>
      </c>
      <c r="E426" s="11" t="s">
        <v>1112</v>
      </c>
      <c r="F426" s="11" t="s">
        <v>1107</v>
      </c>
      <c r="G426" s="11" t="s">
        <v>14</v>
      </c>
      <c r="H426" s="19" t="str">
        <f>IFERROR(VLOOKUP(Table2[[#This Row], [Ticket]],Okey!A:B,2,0),"")</f>
        <v>ok</v>
      </c>
      <c r="I426" s="11" t="s">
        <v>276</v>
      </c>
      <c r="J426" s="19" t="str">
        <f>VLOOKUP(Table2[[#This Row], [Author]],People!A:B,2,0)</f>
        <v>LS</v>
      </c>
      <c r="K426" s="11"/>
      <c r="L426" s="11"/>
      <c r="M426" s="20" t="s">
        <v>1005</v>
      </c>
    </row>
    <row r="427" spans="1:13" ht="19.5" customHeight="1">
      <c r="A427" s="21">
        <f t="shared" si="6"/>
        <v>426</v>
      </c>
      <c r="B427" s="13" t="s">
        <v>6</v>
      </c>
      <c r="C427" s="13" t="s">
        <v>47</v>
      </c>
      <c r="D427" s="13" t="s">
        <v>1113</v>
      </c>
      <c r="E427" s="13" t="s">
        <v>1114</v>
      </c>
      <c r="F427" s="13"/>
      <c r="G427" s="13" t="s">
        <v>15</v>
      </c>
      <c r="H427" s="22" t="str">
        <f>IFERROR(VLOOKUP(Table2[[#This Row], [Ticket]],Okey!A:B,2,0),"")</f>
        <v>ok</v>
      </c>
      <c r="I427" s="13" t="s">
        <v>276</v>
      </c>
      <c r="J427" s="22" t="str">
        <f>VLOOKUP(Table2[[#This Row], [Author]],People!A:B,2,0)</f>
        <v>LS</v>
      </c>
      <c r="K427" s="13"/>
      <c r="L427" s="13"/>
      <c r="M427" s="23" t="s">
        <v>1005</v>
      </c>
    </row>
    <row r="428" spans="1:13" ht="19.5" customHeight="1">
      <c r="A428" s="18">
        <f t="shared" si="6"/>
        <v>427</v>
      </c>
      <c r="B428" s="11" t="s">
        <v>6</v>
      </c>
      <c r="C428" s="11" t="s">
        <v>47</v>
      </c>
      <c r="D428" s="11" t="s">
        <v>1115</v>
      </c>
      <c r="E428" s="11" t="s">
        <v>1116</v>
      </c>
      <c r="F428" s="11"/>
      <c r="G428" s="11" t="s">
        <v>15</v>
      </c>
      <c r="H428" s="19" t="str">
        <f>IFERROR(VLOOKUP(Table2[[#This Row], [Ticket]],Okey!A:B,2,0),"")</f>
        <v>ok</v>
      </c>
      <c r="I428" s="11" t="s">
        <v>276</v>
      </c>
      <c r="J428" s="19" t="str">
        <f>VLOOKUP(Table2[[#This Row], [Author]],People!A:B,2,0)</f>
        <v>LS</v>
      </c>
      <c r="K428" s="11"/>
      <c r="L428" s="11"/>
      <c r="M428" s="20" t="s">
        <v>1005</v>
      </c>
    </row>
    <row r="429" spans="1:13" ht="19.5" customHeight="1">
      <c r="A429" s="21">
        <f t="shared" si="6"/>
        <v>428</v>
      </c>
      <c r="B429" s="13" t="s">
        <v>6</v>
      </c>
      <c r="C429" s="13" t="s">
        <v>47</v>
      </c>
      <c r="D429" s="13" t="s">
        <v>1117</v>
      </c>
      <c r="E429" s="13" t="s">
        <v>1118</v>
      </c>
      <c r="F429" s="13" t="s">
        <v>1119</v>
      </c>
      <c r="G429" s="13" t="s">
        <v>14</v>
      </c>
      <c r="H429" s="22" t="str">
        <f>IFERROR(VLOOKUP(Table2[[#This Row], [Ticket]],Okey!A:B,2,0),"")</f>
        <v>ok</v>
      </c>
      <c r="I429" s="13" t="s">
        <v>276</v>
      </c>
      <c r="J429" s="22" t="str">
        <f>VLOOKUP(Table2[[#This Row], [Author]],People!A:B,2,0)</f>
        <v>LS</v>
      </c>
      <c r="K429" s="13"/>
      <c r="L429" s="13"/>
      <c r="M429" s="23" t="s">
        <v>1005</v>
      </c>
    </row>
    <row r="430" spans="1:13" ht="19.5" customHeight="1">
      <c r="A430" s="18">
        <f t="shared" si="6"/>
        <v>429</v>
      </c>
      <c r="B430" s="11" t="s">
        <v>6</v>
      </c>
      <c r="C430" s="11" t="s">
        <v>47</v>
      </c>
      <c r="D430" s="11" t="s">
        <v>1120</v>
      </c>
      <c r="E430" s="11" t="s">
        <v>1121</v>
      </c>
      <c r="F430" s="11" t="s">
        <v>1119</v>
      </c>
      <c r="G430" s="11" t="s">
        <v>14</v>
      </c>
      <c r="H430" s="19" t="str">
        <f>IFERROR(VLOOKUP(Table2[[#This Row], [Ticket]],Okey!A:B,2,0),"")</f>
        <v>ok</v>
      </c>
      <c r="I430" s="11" t="s">
        <v>276</v>
      </c>
      <c r="J430" s="19" t="str">
        <f>VLOOKUP(Table2[[#This Row], [Author]],People!A:B,2,0)</f>
        <v>LS</v>
      </c>
      <c r="K430" s="11"/>
      <c r="L430" s="11"/>
      <c r="M430" s="20" t="s">
        <v>1005</v>
      </c>
    </row>
    <row r="431" spans="1:13" ht="19.5" customHeight="1">
      <c r="A431" s="21">
        <f t="shared" si="6"/>
        <v>430</v>
      </c>
      <c r="B431" s="13" t="s">
        <v>6</v>
      </c>
      <c r="C431" s="13" t="s">
        <v>47</v>
      </c>
      <c r="D431" s="13" t="s">
        <v>1122</v>
      </c>
      <c r="E431" s="13"/>
      <c r="F431" s="13" t="s">
        <v>1123</v>
      </c>
      <c r="G431" s="13" t="s">
        <v>13</v>
      </c>
      <c r="H431" s="22" t="str">
        <f>IFERROR(VLOOKUP(Table2[[#This Row], [Ticket]],Okey!A:B,2,0),"")</f>
        <v>ok</v>
      </c>
      <c r="I431" s="13" t="s">
        <v>276</v>
      </c>
      <c r="J431" s="22" t="str">
        <f>VLOOKUP(Table2[[#This Row], [Author]],People!A:B,2,0)</f>
        <v>LS</v>
      </c>
      <c r="K431" s="13"/>
      <c r="L431" s="13"/>
      <c r="M431" s="23" t="s">
        <v>1005</v>
      </c>
    </row>
    <row r="432" spans="1:13" ht="19.5" customHeight="1">
      <c r="A432" s="18">
        <f t="shared" si="6"/>
        <v>431</v>
      </c>
      <c r="B432" s="11" t="s">
        <v>6</v>
      </c>
      <c r="C432" s="11" t="s">
        <v>47</v>
      </c>
      <c r="D432" s="11" t="s">
        <v>1124</v>
      </c>
      <c r="E432" s="11"/>
      <c r="F432" s="11" t="s">
        <v>1125</v>
      </c>
      <c r="G432" s="11" t="s">
        <v>13</v>
      </c>
      <c r="H432" s="19" t="str">
        <f>IFERROR(VLOOKUP(Table2[[#This Row], [Ticket]],Okey!A:B,2,0),"")</f>
        <v>ok</v>
      </c>
      <c r="I432" s="11" t="s">
        <v>276</v>
      </c>
      <c r="J432" s="19" t="str">
        <f>VLOOKUP(Table2[[#This Row], [Author]],People!A:B,2,0)</f>
        <v>LS</v>
      </c>
      <c r="K432" s="11"/>
      <c r="L432" s="11"/>
      <c r="M432" s="20" t="s">
        <v>1005</v>
      </c>
    </row>
    <row r="433" spans="1:13" ht="19.5" customHeight="1">
      <c r="A433" s="21">
        <f t="shared" si="6"/>
        <v>432</v>
      </c>
      <c r="B433" s="13" t="s">
        <v>6</v>
      </c>
      <c r="C433" s="13" t="s">
        <v>47</v>
      </c>
      <c r="D433" s="13" t="s">
        <v>1126</v>
      </c>
      <c r="E433" s="13"/>
      <c r="F433" s="13" t="s">
        <v>1127</v>
      </c>
      <c r="G433" s="13" t="s">
        <v>13</v>
      </c>
      <c r="H433" s="22" t="str">
        <f>IFERROR(VLOOKUP(Table2[[#This Row], [Ticket]],Okey!A:B,2,0),"")</f>
        <v>ok</v>
      </c>
      <c r="I433" s="13" t="s">
        <v>276</v>
      </c>
      <c r="J433" s="22" t="str">
        <f>VLOOKUP(Table2[[#This Row], [Author]],People!A:B,2,0)</f>
        <v>LS</v>
      </c>
      <c r="K433" s="13"/>
      <c r="L433" s="13"/>
      <c r="M433" s="23" t="s">
        <v>1005</v>
      </c>
    </row>
    <row r="434" spans="1:13" ht="19.5" customHeight="1">
      <c r="A434" s="18">
        <f t="shared" si="6"/>
        <v>433</v>
      </c>
      <c r="B434" s="11" t="s">
        <v>6</v>
      </c>
      <c r="C434" s="11" t="s">
        <v>47</v>
      </c>
      <c r="D434" s="11" t="s">
        <v>1128</v>
      </c>
      <c r="E434" s="11"/>
      <c r="F434" s="11" t="s">
        <v>1129</v>
      </c>
      <c r="G434" s="11" t="s">
        <v>13</v>
      </c>
      <c r="H434" s="19" t="str">
        <f>IFERROR(VLOOKUP(Table2[[#This Row], [Ticket]],Okey!A:B,2,0),"")</f>
        <v>ok</v>
      </c>
      <c r="I434" s="11" t="s">
        <v>276</v>
      </c>
      <c r="J434" s="19" t="str">
        <f>VLOOKUP(Table2[[#This Row], [Author]],People!A:B,2,0)</f>
        <v>LS</v>
      </c>
      <c r="K434" s="11"/>
      <c r="L434" s="11"/>
      <c r="M434" s="20" t="s">
        <v>1005</v>
      </c>
    </row>
    <row r="435" spans="1:13" ht="19.5" customHeight="1">
      <c r="A435" s="21">
        <f t="shared" si="6"/>
        <v>434</v>
      </c>
      <c r="B435" s="13" t="s">
        <v>6</v>
      </c>
      <c r="C435" s="13" t="s">
        <v>47</v>
      </c>
      <c r="D435" s="13" t="s">
        <v>1130</v>
      </c>
      <c r="E435" s="13"/>
      <c r="F435" s="13" t="s">
        <v>1131</v>
      </c>
      <c r="G435" s="13" t="s">
        <v>13</v>
      </c>
      <c r="H435" s="22" t="str">
        <f>IFERROR(VLOOKUP(Table2[[#This Row], [Ticket]],Okey!A:B,2,0),"")</f>
        <v>ok</v>
      </c>
      <c r="I435" s="13" t="s">
        <v>276</v>
      </c>
      <c r="J435" s="22" t="str">
        <f>VLOOKUP(Table2[[#This Row], [Author]],People!A:B,2,0)</f>
        <v>LS</v>
      </c>
      <c r="K435" s="13"/>
      <c r="L435" s="13"/>
      <c r="M435" s="23" t="s">
        <v>1005</v>
      </c>
    </row>
    <row r="436" spans="1:13" ht="19.5" customHeight="1">
      <c r="A436" s="18">
        <f t="shared" si="6"/>
        <v>435</v>
      </c>
      <c r="B436" s="11" t="s">
        <v>6</v>
      </c>
      <c r="C436" s="11" t="s">
        <v>47</v>
      </c>
      <c r="D436" s="11" t="s">
        <v>1132</v>
      </c>
      <c r="E436" s="11"/>
      <c r="F436" s="11" t="s">
        <v>1133</v>
      </c>
      <c r="G436" s="11" t="s">
        <v>13</v>
      </c>
      <c r="H436" s="19" t="str">
        <f>IFERROR(VLOOKUP(Table2[[#This Row], [Ticket]],Okey!A:B,2,0),"")</f>
        <v>ok</v>
      </c>
      <c r="I436" s="11" t="s">
        <v>276</v>
      </c>
      <c r="J436" s="19" t="str">
        <f>VLOOKUP(Table2[[#This Row], [Author]],People!A:B,2,0)</f>
        <v>LS</v>
      </c>
      <c r="K436" s="11"/>
      <c r="L436" s="11"/>
      <c r="M436" s="20" t="s">
        <v>1005</v>
      </c>
    </row>
    <row r="437" spans="1:13" ht="19.5" customHeight="1">
      <c r="A437" s="21">
        <f t="shared" si="6"/>
        <v>436</v>
      </c>
      <c r="B437" s="13" t="s">
        <v>6</v>
      </c>
      <c r="C437" s="13" t="s">
        <v>47</v>
      </c>
      <c r="D437" s="13" t="s">
        <v>1134</v>
      </c>
      <c r="E437" s="13"/>
      <c r="F437" s="13" t="s">
        <v>1135</v>
      </c>
      <c r="G437" s="13" t="s">
        <v>13</v>
      </c>
      <c r="H437" s="22" t="str">
        <f>IFERROR(VLOOKUP(Table2[[#This Row], [Ticket]],Okey!A:B,2,0),"")</f>
        <v>ok</v>
      </c>
      <c r="I437" s="13" t="s">
        <v>276</v>
      </c>
      <c r="J437" s="22" t="str">
        <f>VLOOKUP(Table2[[#This Row], [Author]],People!A:B,2,0)</f>
        <v>LS</v>
      </c>
      <c r="K437" s="13"/>
      <c r="L437" s="13"/>
      <c r="M437" s="23" t="s">
        <v>1005</v>
      </c>
    </row>
    <row r="438" spans="1:13" ht="19.5" customHeight="1">
      <c r="A438" s="18">
        <f t="shared" si="6"/>
        <v>437</v>
      </c>
      <c r="B438" s="11" t="s">
        <v>6</v>
      </c>
      <c r="C438" s="11" t="s">
        <v>47</v>
      </c>
      <c r="D438" s="11" t="s">
        <v>1136</v>
      </c>
      <c r="E438" s="11"/>
      <c r="F438" s="11" t="s">
        <v>1137</v>
      </c>
      <c r="G438" s="11" t="s">
        <v>13</v>
      </c>
      <c r="H438" s="19" t="str">
        <f>IFERROR(VLOOKUP(Table2[[#This Row], [Ticket]],Okey!A:B,2,0),"")</f>
        <v>ok</v>
      </c>
      <c r="I438" s="11" t="s">
        <v>276</v>
      </c>
      <c r="J438" s="19" t="str">
        <f>VLOOKUP(Table2[[#This Row], [Author]],People!A:B,2,0)</f>
        <v>LS</v>
      </c>
      <c r="K438" s="11"/>
      <c r="L438" s="11"/>
      <c r="M438" s="20" t="s">
        <v>1005</v>
      </c>
    </row>
    <row r="439" spans="1:13" ht="19.5" customHeight="1">
      <c r="A439" s="21">
        <f t="shared" si="6"/>
        <v>438</v>
      </c>
      <c r="B439" s="13" t="s">
        <v>6</v>
      </c>
      <c r="C439" s="13" t="s">
        <v>47</v>
      </c>
      <c r="D439" s="13" t="s">
        <v>1138</v>
      </c>
      <c r="E439" s="13"/>
      <c r="F439" s="13" t="s">
        <v>1139</v>
      </c>
      <c r="G439" s="13" t="s">
        <v>13</v>
      </c>
      <c r="H439" s="22" t="str">
        <f>IFERROR(VLOOKUP(Table2[[#This Row], [Ticket]],Okey!A:B,2,0),"")</f>
        <v>ok</v>
      </c>
      <c r="I439" s="13" t="s">
        <v>276</v>
      </c>
      <c r="J439" s="22" t="str">
        <f>VLOOKUP(Table2[[#This Row], [Author]],People!A:B,2,0)</f>
        <v>LS</v>
      </c>
      <c r="K439" s="13"/>
      <c r="L439" s="13"/>
      <c r="M439" s="23" t="s">
        <v>1005</v>
      </c>
    </row>
    <row r="440" spans="1:13" ht="19.5" customHeight="1">
      <c r="A440" s="18">
        <f t="shared" si="6"/>
        <v>439</v>
      </c>
      <c r="B440" s="11" t="s">
        <v>6</v>
      </c>
      <c r="C440" s="11" t="s">
        <v>47</v>
      </c>
      <c r="D440" s="11" t="s">
        <v>1140</v>
      </c>
      <c r="E440" s="11"/>
      <c r="F440" s="11" t="s">
        <v>1141</v>
      </c>
      <c r="G440" s="11" t="s">
        <v>13</v>
      </c>
      <c r="H440" s="19" t="str">
        <f>IFERROR(VLOOKUP(Table2[[#This Row], [Ticket]],Okey!A:B,2,0),"")</f>
        <v>ok</v>
      </c>
      <c r="I440" s="11" t="s">
        <v>276</v>
      </c>
      <c r="J440" s="19" t="str">
        <f>VLOOKUP(Table2[[#This Row], [Author]],People!A:B,2,0)</f>
        <v>LS</v>
      </c>
      <c r="K440" s="11"/>
      <c r="L440" s="11"/>
      <c r="M440" s="20" t="s">
        <v>1005</v>
      </c>
    </row>
    <row r="441" spans="1:13" ht="19.5" customHeight="1">
      <c r="A441" s="21">
        <f t="shared" si="6"/>
        <v>440</v>
      </c>
      <c r="B441" s="13" t="s">
        <v>6</v>
      </c>
      <c r="C441" s="13" t="s">
        <v>47</v>
      </c>
      <c r="D441" s="13" t="s">
        <v>1142</v>
      </c>
      <c r="E441" s="13"/>
      <c r="F441" s="13" t="s">
        <v>1143</v>
      </c>
      <c r="G441" s="13" t="s">
        <v>13</v>
      </c>
      <c r="H441" s="22" t="str">
        <f>IFERROR(VLOOKUP(Table2[[#This Row], [Ticket]],Okey!A:B,2,0),"")</f>
        <v>ok</v>
      </c>
      <c r="I441" s="13" t="s">
        <v>276</v>
      </c>
      <c r="J441" s="22" t="str">
        <f>VLOOKUP(Table2[[#This Row], [Author]],People!A:B,2,0)</f>
        <v>LS</v>
      </c>
      <c r="K441" s="13"/>
      <c r="L441" s="13"/>
      <c r="M441" s="23" t="s">
        <v>1005</v>
      </c>
    </row>
    <row r="442" spans="1:13" ht="19.5" customHeight="1">
      <c r="A442" s="18">
        <f t="shared" si="6"/>
        <v>441</v>
      </c>
      <c r="B442" s="11" t="s">
        <v>6</v>
      </c>
      <c r="C442" s="11" t="s">
        <v>47</v>
      </c>
      <c r="D442" s="11" t="s">
        <v>1144</v>
      </c>
      <c r="E442" s="11"/>
      <c r="F442" s="11" t="s">
        <v>1145</v>
      </c>
      <c r="G442" s="11" t="s">
        <v>13</v>
      </c>
      <c r="H442" s="19" t="str">
        <f>IFERROR(VLOOKUP(Table2[[#This Row], [Ticket]],Okey!A:B,2,0),"")</f>
        <v>ok</v>
      </c>
      <c r="I442" s="11" t="s">
        <v>276</v>
      </c>
      <c r="J442" s="19" t="str">
        <f>VLOOKUP(Table2[[#This Row], [Author]],People!A:B,2,0)</f>
        <v>LS</v>
      </c>
      <c r="K442" s="11"/>
      <c r="L442" s="11"/>
      <c r="M442" s="20" t="s">
        <v>1005</v>
      </c>
    </row>
    <row r="443" spans="1:13" ht="19.5" customHeight="1">
      <c r="A443" s="21">
        <f t="shared" si="6"/>
        <v>442</v>
      </c>
      <c r="B443" s="13" t="s">
        <v>6</v>
      </c>
      <c r="C443" s="13" t="s">
        <v>47</v>
      </c>
      <c r="D443" s="13" t="s">
        <v>1146</v>
      </c>
      <c r="E443" s="13"/>
      <c r="F443" s="13" t="s">
        <v>1147</v>
      </c>
      <c r="G443" s="13" t="s">
        <v>13</v>
      </c>
      <c r="H443" s="22" t="str">
        <f>IFERROR(VLOOKUP(Table2[[#This Row], [Ticket]],Okey!A:B,2,0),"")</f>
        <v>ok</v>
      </c>
      <c r="I443" s="13" t="s">
        <v>276</v>
      </c>
      <c r="J443" s="22" t="str">
        <f>VLOOKUP(Table2[[#This Row], [Author]],People!A:B,2,0)</f>
        <v>LS</v>
      </c>
      <c r="K443" s="13"/>
      <c r="L443" s="13"/>
      <c r="M443" s="23" t="s">
        <v>1005</v>
      </c>
    </row>
    <row r="444" spans="1:13" ht="19.5" customHeight="1">
      <c r="A444" s="18">
        <f t="shared" si="6"/>
        <v>443</v>
      </c>
      <c r="B444" s="11" t="s">
        <v>6</v>
      </c>
      <c r="C444" s="11" t="s">
        <v>47</v>
      </c>
      <c r="D444" s="11" t="s">
        <v>1148</v>
      </c>
      <c r="E444" s="11"/>
      <c r="F444" s="11" t="s">
        <v>1149</v>
      </c>
      <c r="G444" s="11" t="s">
        <v>13</v>
      </c>
      <c r="H444" s="19" t="str">
        <f>IFERROR(VLOOKUP(Table2[[#This Row], [Ticket]],Okey!A:B,2,0),"")</f>
        <v>ok</v>
      </c>
      <c r="I444" s="11" t="s">
        <v>276</v>
      </c>
      <c r="J444" s="19" t="str">
        <f>VLOOKUP(Table2[[#This Row], [Author]],People!A:B,2,0)</f>
        <v>LS</v>
      </c>
      <c r="K444" s="11"/>
      <c r="L444" s="11"/>
      <c r="M444" s="20" t="s">
        <v>1005</v>
      </c>
    </row>
    <row r="445" spans="1:13" ht="19.5" customHeight="1">
      <c r="A445" s="21">
        <f t="shared" si="6"/>
        <v>444</v>
      </c>
      <c r="B445" s="13" t="s">
        <v>6</v>
      </c>
      <c r="C445" s="13" t="s">
        <v>47</v>
      </c>
      <c r="D445" s="13" t="s">
        <v>1150</v>
      </c>
      <c r="E445" s="13"/>
      <c r="F445" s="13" t="s">
        <v>1151</v>
      </c>
      <c r="G445" s="13" t="s">
        <v>13</v>
      </c>
      <c r="H445" s="22" t="str">
        <f>IFERROR(VLOOKUP(Table2[[#This Row], [Ticket]],Okey!A:B,2,0),"")</f>
        <v>ok</v>
      </c>
      <c r="I445" s="13" t="s">
        <v>276</v>
      </c>
      <c r="J445" s="22" t="str">
        <f>VLOOKUP(Table2[[#This Row], [Author]],People!A:B,2,0)</f>
        <v>LS</v>
      </c>
      <c r="K445" s="13"/>
      <c r="L445" s="13"/>
      <c r="M445" s="23" t="s">
        <v>1005</v>
      </c>
    </row>
    <row r="446" spans="1:13" ht="19.5" customHeight="1">
      <c r="A446" s="18">
        <f t="shared" si="6"/>
        <v>445</v>
      </c>
      <c r="B446" s="11" t="s">
        <v>6</v>
      </c>
      <c r="C446" s="11" t="s">
        <v>47</v>
      </c>
      <c r="D446" s="11" t="s">
        <v>1152</v>
      </c>
      <c r="E446" s="11"/>
      <c r="F446" s="11" t="s">
        <v>1008</v>
      </c>
      <c r="G446" s="11" t="s">
        <v>13</v>
      </c>
      <c r="H446" s="19" t="str">
        <f>IFERROR(VLOOKUP(Table2[[#This Row], [Ticket]],Okey!A:B,2,0),"")</f>
        <v>ok</v>
      </c>
      <c r="I446" s="11" t="s">
        <v>276</v>
      </c>
      <c r="J446" s="19" t="str">
        <f>VLOOKUP(Table2[[#This Row], [Author]],People!A:B,2,0)</f>
        <v>LS</v>
      </c>
      <c r="K446" s="11"/>
      <c r="L446" s="11"/>
      <c r="M446" s="20" t="s">
        <v>1005</v>
      </c>
    </row>
    <row r="447" spans="1:13" ht="19.5" customHeight="1">
      <c r="A447" s="21">
        <f t="shared" si="6"/>
        <v>446</v>
      </c>
      <c r="B447" s="13" t="s">
        <v>6</v>
      </c>
      <c r="C447" s="13" t="s">
        <v>47</v>
      </c>
      <c r="D447" s="13" t="s">
        <v>1153</v>
      </c>
      <c r="E447" s="13"/>
      <c r="F447" s="13" t="s">
        <v>1154</v>
      </c>
      <c r="G447" s="13" t="s">
        <v>13</v>
      </c>
      <c r="H447" s="22" t="str">
        <f>IFERROR(VLOOKUP(Table2[[#This Row], [Ticket]],Okey!A:B,2,0),"")</f>
        <v>ok</v>
      </c>
      <c r="I447" s="13" t="s">
        <v>276</v>
      </c>
      <c r="J447" s="22" t="str">
        <f>VLOOKUP(Table2[[#This Row], [Author]],People!A:B,2,0)</f>
        <v>LS</v>
      </c>
      <c r="K447" s="13"/>
      <c r="L447" s="13"/>
      <c r="M447" s="23" t="s">
        <v>1005</v>
      </c>
    </row>
    <row r="448" spans="1:13" ht="19.5" customHeight="1">
      <c r="A448" s="18">
        <f t="shared" si="6"/>
        <v>447</v>
      </c>
      <c r="B448" s="11" t="s">
        <v>6</v>
      </c>
      <c r="C448" s="11" t="s">
        <v>47</v>
      </c>
      <c r="D448" s="11" t="s">
        <v>1155</v>
      </c>
      <c r="E448" s="11"/>
      <c r="F448" s="11" t="s">
        <v>1156</v>
      </c>
      <c r="G448" s="11" t="s">
        <v>13</v>
      </c>
      <c r="H448" s="19" t="str">
        <f>IFERROR(VLOOKUP(Table2[[#This Row], [Ticket]],Okey!A:B,2,0),"")</f>
        <v>ok</v>
      </c>
      <c r="I448" s="11" t="s">
        <v>276</v>
      </c>
      <c r="J448" s="19" t="str">
        <f>VLOOKUP(Table2[[#This Row], [Author]],People!A:B,2,0)</f>
        <v>LS</v>
      </c>
      <c r="K448" s="11"/>
      <c r="L448" s="11"/>
      <c r="M448" s="20" t="s">
        <v>1005</v>
      </c>
    </row>
    <row r="449" spans="1:13" ht="19.5" customHeight="1">
      <c r="A449" s="21">
        <f t="shared" si="6"/>
        <v>448</v>
      </c>
      <c r="B449" s="13" t="s">
        <v>6</v>
      </c>
      <c r="C449" s="13" t="s">
        <v>47</v>
      </c>
      <c r="D449" s="13" t="s">
        <v>1157</v>
      </c>
      <c r="E449" s="13"/>
      <c r="F449" s="13" t="s">
        <v>1158</v>
      </c>
      <c r="G449" s="13" t="s">
        <v>13</v>
      </c>
      <c r="H449" s="22" t="str">
        <f>IFERROR(VLOOKUP(Table2[[#This Row], [Ticket]],Okey!A:B,2,0),"")</f>
        <v>ok</v>
      </c>
      <c r="I449" s="13" t="s">
        <v>276</v>
      </c>
      <c r="J449" s="22" t="str">
        <f>VLOOKUP(Table2[[#This Row], [Author]],People!A:B,2,0)</f>
        <v>LS</v>
      </c>
      <c r="K449" s="13"/>
      <c r="L449" s="13"/>
      <c r="M449" s="23" t="s">
        <v>1005</v>
      </c>
    </row>
    <row r="450" spans="1:13" ht="19.5" customHeight="1">
      <c r="A450" s="18">
        <f t="shared" si="6"/>
        <v>449</v>
      </c>
      <c r="B450" s="11" t="s">
        <v>6</v>
      </c>
      <c r="C450" s="11" t="s">
        <v>47</v>
      </c>
      <c r="D450" s="11" t="s">
        <v>1159</v>
      </c>
      <c r="E450" s="11" t="s">
        <v>1160</v>
      </c>
      <c r="F450" s="11"/>
      <c r="G450" s="11" t="s">
        <v>15</v>
      </c>
      <c r="H450" s="19" t="str">
        <f>IFERROR(VLOOKUP(Table2[[#This Row], [Ticket]],Okey!A:B,2,0),"")</f>
        <v>ok</v>
      </c>
      <c r="I450" s="11" t="s">
        <v>276</v>
      </c>
      <c r="J450" s="19" t="str">
        <f>VLOOKUP(Table2[[#This Row], [Author]],People!A:B,2,0)</f>
        <v>LS</v>
      </c>
      <c r="K450" s="11"/>
      <c r="L450" s="11"/>
      <c r="M450" s="20" t="s">
        <v>1005</v>
      </c>
    </row>
    <row r="451" spans="1:13" ht="19.5" customHeight="1">
      <c r="A451" s="21">
        <f t="shared" ref="A451:A514" si="7">1+A450</f>
        <v>450</v>
      </c>
      <c r="B451" s="13" t="s">
        <v>6</v>
      </c>
      <c r="C451" s="13" t="s">
        <v>47</v>
      </c>
      <c r="D451" s="13" t="s">
        <v>1161</v>
      </c>
      <c r="E451" s="13" t="s">
        <v>1162</v>
      </c>
      <c r="F451" s="13" t="s">
        <v>1163</v>
      </c>
      <c r="G451" s="13" t="s">
        <v>14</v>
      </c>
      <c r="H451" s="22" t="str">
        <f>IFERROR(VLOOKUP(Table2[[#This Row], [Ticket]],Okey!A:B,2,0),"")</f>
        <v>ok</v>
      </c>
      <c r="I451" s="13" t="s">
        <v>276</v>
      </c>
      <c r="J451" s="22" t="str">
        <f>VLOOKUP(Table2[[#This Row], [Author]],People!A:B,2,0)</f>
        <v>LS</v>
      </c>
      <c r="K451" s="13"/>
      <c r="L451" s="13"/>
      <c r="M451" s="23" t="s">
        <v>1005</v>
      </c>
    </row>
    <row r="452" spans="1:13" ht="19.5" customHeight="1">
      <c r="A452" s="18">
        <f t="shared" si="7"/>
        <v>451</v>
      </c>
      <c r="B452" s="11" t="s">
        <v>6</v>
      </c>
      <c r="C452" s="11" t="s">
        <v>47</v>
      </c>
      <c r="D452" s="11" t="s">
        <v>1164</v>
      </c>
      <c r="E452" s="11" t="s">
        <v>1165</v>
      </c>
      <c r="F452" s="11" t="s">
        <v>1163</v>
      </c>
      <c r="G452" s="11" t="s">
        <v>14</v>
      </c>
      <c r="H452" s="19" t="str">
        <f>IFERROR(VLOOKUP(Table2[[#This Row], [Ticket]],Okey!A:B,2,0),"")</f>
        <v>ok</v>
      </c>
      <c r="I452" s="11" t="s">
        <v>276</v>
      </c>
      <c r="J452" s="19" t="str">
        <f>VLOOKUP(Table2[[#This Row], [Author]],People!A:B,2,0)</f>
        <v>LS</v>
      </c>
      <c r="K452" s="11"/>
      <c r="L452" s="11"/>
      <c r="M452" s="20" t="s">
        <v>1005</v>
      </c>
    </row>
    <row r="453" spans="1:13" ht="19.5" customHeight="1">
      <c r="A453" s="21">
        <f t="shared" si="7"/>
        <v>452</v>
      </c>
      <c r="B453" s="13" t="s">
        <v>6</v>
      </c>
      <c r="C453" s="13" t="s">
        <v>47</v>
      </c>
      <c r="D453" s="13" t="s">
        <v>1166</v>
      </c>
      <c r="E453" s="13" t="s">
        <v>1167</v>
      </c>
      <c r="F453" s="13" t="s">
        <v>1163</v>
      </c>
      <c r="G453" s="13" t="s">
        <v>14</v>
      </c>
      <c r="H453" s="22" t="str">
        <f>IFERROR(VLOOKUP(Table2[[#This Row], [Ticket]],Okey!A:B,2,0),"")</f>
        <v>ok</v>
      </c>
      <c r="I453" s="13" t="s">
        <v>276</v>
      </c>
      <c r="J453" s="22" t="str">
        <f>VLOOKUP(Table2[[#This Row], [Author]],People!A:B,2,0)</f>
        <v>LS</v>
      </c>
      <c r="K453" s="13"/>
      <c r="L453" s="13"/>
      <c r="M453" s="23" t="s">
        <v>1005</v>
      </c>
    </row>
    <row r="454" spans="1:13" ht="19.5" customHeight="1">
      <c r="A454" s="18">
        <f t="shared" si="7"/>
        <v>453</v>
      </c>
      <c r="B454" s="11" t="s">
        <v>6</v>
      </c>
      <c r="C454" s="11" t="s">
        <v>47</v>
      </c>
      <c r="D454" s="11" t="s">
        <v>1168</v>
      </c>
      <c r="E454" s="11" t="s">
        <v>1169</v>
      </c>
      <c r="F454" s="11" t="s">
        <v>1163</v>
      </c>
      <c r="G454" s="11" t="s">
        <v>14</v>
      </c>
      <c r="H454" s="19" t="str">
        <f>IFERROR(VLOOKUP(Table2[[#This Row], [Ticket]],Okey!A:B,2,0),"")</f>
        <v>ok</v>
      </c>
      <c r="I454" s="11" t="s">
        <v>276</v>
      </c>
      <c r="J454" s="19" t="str">
        <f>VLOOKUP(Table2[[#This Row], [Author]],People!A:B,2,0)</f>
        <v>LS</v>
      </c>
      <c r="K454" s="11"/>
      <c r="L454" s="11"/>
      <c r="M454" s="20" t="s">
        <v>1005</v>
      </c>
    </row>
    <row r="455" spans="1:13" ht="19.5" customHeight="1">
      <c r="A455" s="21">
        <f t="shared" si="7"/>
        <v>454</v>
      </c>
      <c r="B455" s="13" t="s">
        <v>6</v>
      </c>
      <c r="C455" s="13" t="s">
        <v>47</v>
      </c>
      <c r="D455" s="13" t="s">
        <v>1170</v>
      </c>
      <c r="E455" s="13" t="s">
        <v>1171</v>
      </c>
      <c r="F455" s="13"/>
      <c r="G455" s="13" t="s">
        <v>15</v>
      </c>
      <c r="H455" s="22" t="str">
        <f>IFERROR(VLOOKUP(Table2[[#This Row], [Ticket]],Okey!A:B,2,0),"")</f>
        <v>ok</v>
      </c>
      <c r="I455" s="13" t="s">
        <v>276</v>
      </c>
      <c r="J455" s="22" t="str">
        <f>VLOOKUP(Table2[[#This Row], [Author]],People!A:B,2,0)</f>
        <v>LS</v>
      </c>
      <c r="K455" s="13"/>
      <c r="L455" s="13"/>
      <c r="M455" s="23" t="s">
        <v>1005</v>
      </c>
    </row>
    <row r="456" spans="1:13" ht="19.5" customHeight="1">
      <c r="A456" s="18">
        <f t="shared" si="7"/>
        <v>455</v>
      </c>
      <c r="B456" s="11" t="s">
        <v>6</v>
      </c>
      <c r="C456" s="11" t="s">
        <v>47</v>
      </c>
      <c r="D456" s="11" t="s">
        <v>1172</v>
      </c>
      <c r="E456" s="11" t="s">
        <v>1173</v>
      </c>
      <c r="F456" s="11" t="s">
        <v>1174</v>
      </c>
      <c r="G456" s="11" t="s">
        <v>14</v>
      </c>
      <c r="H456" s="19" t="str">
        <f>IFERROR(VLOOKUP(Table2[[#This Row], [Ticket]],Okey!A:B,2,0),"")</f>
        <v>ok</v>
      </c>
      <c r="I456" s="11" t="s">
        <v>276</v>
      </c>
      <c r="J456" s="19" t="str">
        <f>VLOOKUP(Table2[[#This Row], [Author]],People!A:B,2,0)</f>
        <v>LS</v>
      </c>
      <c r="K456" s="11"/>
      <c r="L456" s="11"/>
      <c r="M456" s="20" t="s">
        <v>1005</v>
      </c>
    </row>
    <row r="457" spans="1:13" ht="19.5" customHeight="1">
      <c r="A457" s="21">
        <f t="shared" si="7"/>
        <v>456</v>
      </c>
      <c r="B457" s="13" t="s">
        <v>6</v>
      </c>
      <c r="C457" s="13" t="s">
        <v>47</v>
      </c>
      <c r="D457" s="13" t="s">
        <v>1175</v>
      </c>
      <c r="E457" s="13" t="s">
        <v>1176</v>
      </c>
      <c r="F457" s="13" t="s">
        <v>1174</v>
      </c>
      <c r="G457" s="13" t="s">
        <v>14</v>
      </c>
      <c r="H457" s="22" t="str">
        <f>IFERROR(VLOOKUP(Table2[[#This Row], [Ticket]],Okey!A:B,2,0),"")</f>
        <v>ok</v>
      </c>
      <c r="I457" s="13" t="s">
        <v>276</v>
      </c>
      <c r="J457" s="22" t="str">
        <f>VLOOKUP(Table2[[#This Row], [Author]],People!A:B,2,0)</f>
        <v>LS</v>
      </c>
      <c r="K457" s="13"/>
      <c r="L457" s="13"/>
      <c r="M457" s="23" t="s">
        <v>1005</v>
      </c>
    </row>
    <row r="458" spans="1:13" ht="19.5" customHeight="1">
      <c r="A458" s="18">
        <f t="shared" si="7"/>
        <v>457</v>
      </c>
      <c r="B458" s="11" t="s">
        <v>6</v>
      </c>
      <c r="C458" s="11" t="s">
        <v>47</v>
      </c>
      <c r="D458" s="11" t="s">
        <v>1177</v>
      </c>
      <c r="E458" s="11" t="s">
        <v>1178</v>
      </c>
      <c r="F458" s="11" t="s">
        <v>1179</v>
      </c>
      <c r="G458" s="11" t="s">
        <v>14</v>
      </c>
      <c r="H458" s="19" t="str">
        <f>IFERROR(VLOOKUP(Table2[[#This Row], [Ticket]],Okey!A:B,2,0),"")</f>
        <v>ok</v>
      </c>
      <c r="I458" s="11" t="s">
        <v>276</v>
      </c>
      <c r="J458" s="19" t="str">
        <f>VLOOKUP(Table2[[#This Row], [Author]],People!A:B,2,0)</f>
        <v>LS</v>
      </c>
      <c r="K458" s="11"/>
      <c r="L458" s="11"/>
      <c r="M458" s="20" t="s">
        <v>1005</v>
      </c>
    </row>
    <row r="459" spans="1:13" ht="19.5" customHeight="1">
      <c r="A459" s="21">
        <f t="shared" si="7"/>
        <v>458</v>
      </c>
      <c r="B459" s="13" t="s">
        <v>6</v>
      </c>
      <c r="C459" s="13" t="s">
        <v>47</v>
      </c>
      <c r="D459" s="13" t="s">
        <v>1180</v>
      </c>
      <c r="E459" s="13" t="s">
        <v>1181</v>
      </c>
      <c r="F459" s="13" t="s">
        <v>1179</v>
      </c>
      <c r="G459" s="13" t="s">
        <v>14</v>
      </c>
      <c r="H459" s="22" t="str">
        <f>IFERROR(VLOOKUP(Table2[[#This Row], [Ticket]],Okey!A:B,2,0),"")</f>
        <v>ok</v>
      </c>
      <c r="I459" s="13" t="s">
        <v>276</v>
      </c>
      <c r="J459" s="22" t="str">
        <f>VLOOKUP(Table2[[#This Row], [Author]],People!A:B,2,0)</f>
        <v>LS</v>
      </c>
      <c r="K459" s="13"/>
      <c r="L459" s="13"/>
      <c r="M459" s="23" t="s">
        <v>1005</v>
      </c>
    </row>
    <row r="460" spans="1:13" ht="19.5" customHeight="1">
      <c r="A460" s="18">
        <f t="shared" si="7"/>
        <v>459</v>
      </c>
      <c r="B460" s="11" t="s">
        <v>6</v>
      </c>
      <c r="C460" s="11" t="s">
        <v>48</v>
      </c>
      <c r="D460" s="11" t="s">
        <v>1182</v>
      </c>
      <c r="E460" s="11"/>
      <c r="F460" s="11" t="s">
        <v>275</v>
      </c>
      <c r="G460" s="11" t="s">
        <v>12</v>
      </c>
      <c r="H460" s="19" t="str">
        <f>IFERROR(VLOOKUP(Table2[[#This Row], [Ticket]],Okey!A:B,2,0),"")</f>
        <v>ok</v>
      </c>
      <c r="I460" s="11" t="s">
        <v>276</v>
      </c>
      <c r="J460" s="19" t="str">
        <f>VLOOKUP(Table2[[#This Row], [Author]],People!A:B,2,0)</f>
        <v>LS</v>
      </c>
      <c r="K460" s="11"/>
      <c r="L460" s="11"/>
      <c r="M460" s="20" t="s">
        <v>661</v>
      </c>
    </row>
    <row r="461" spans="1:13" ht="19.5" customHeight="1">
      <c r="A461" s="21">
        <f t="shared" si="7"/>
        <v>460</v>
      </c>
      <c r="B461" s="13" t="s">
        <v>6</v>
      </c>
      <c r="C461" s="13" t="s">
        <v>48</v>
      </c>
      <c r="D461" s="13" t="s">
        <v>1183</v>
      </c>
      <c r="E461" s="13"/>
      <c r="F461" s="13" t="s">
        <v>275</v>
      </c>
      <c r="G461" s="13" t="s">
        <v>12</v>
      </c>
      <c r="H461" s="22" t="str">
        <f>IFERROR(VLOOKUP(Table2[[#This Row], [Ticket]],Okey!A:B,2,0),"")</f>
        <v>ok</v>
      </c>
      <c r="I461" s="13" t="s">
        <v>276</v>
      </c>
      <c r="J461" s="22" t="str">
        <f>VLOOKUP(Table2[[#This Row], [Author]],People!A:B,2,0)</f>
        <v>LS</v>
      </c>
      <c r="K461" s="13"/>
      <c r="L461" s="13"/>
      <c r="M461" s="23" t="s">
        <v>661</v>
      </c>
    </row>
    <row r="462" spans="1:13" ht="19.5" customHeight="1">
      <c r="A462" s="18">
        <f t="shared" si="7"/>
        <v>461</v>
      </c>
      <c r="B462" s="11" t="s">
        <v>6</v>
      </c>
      <c r="C462" s="11" t="s">
        <v>48</v>
      </c>
      <c r="D462" s="11" t="s">
        <v>1184</v>
      </c>
      <c r="E462" s="11"/>
      <c r="F462" s="11" t="s">
        <v>275</v>
      </c>
      <c r="G462" s="11" t="s">
        <v>12</v>
      </c>
      <c r="H462" s="19" t="str">
        <f>IFERROR(VLOOKUP(Table2[[#This Row], [Ticket]],Okey!A:B,2,0),"")</f>
        <v>ok</v>
      </c>
      <c r="I462" s="11" t="s">
        <v>276</v>
      </c>
      <c r="J462" s="19" t="str">
        <f>VLOOKUP(Table2[[#This Row], [Author]],People!A:B,2,0)</f>
        <v>LS</v>
      </c>
      <c r="K462" s="11"/>
      <c r="L462" s="11"/>
      <c r="M462" s="20" t="s">
        <v>661</v>
      </c>
    </row>
    <row r="463" spans="1:13" ht="19.5" customHeight="1">
      <c r="A463" s="21">
        <f t="shared" si="7"/>
        <v>462</v>
      </c>
      <c r="B463" s="13" t="s">
        <v>6</v>
      </c>
      <c r="C463" s="13" t="s">
        <v>49</v>
      </c>
      <c r="D463" s="13" t="s">
        <v>1185</v>
      </c>
      <c r="E463" s="13"/>
      <c r="F463" s="13" t="s">
        <v>1186</v>
      </c>
      <c r="G463" s="13" t="s">
        <v>13</v>
      </c>
      <c r="H463" s="22" t="str">
        <f>IFERROR(VLOOKUP(Table2[[#This Row], [Ticket]],Okey!A:B,2,0),"")</f>
        <v>ok</v>
      </c>
      <c r="I463" s="13" t="s">
        <v>276</v>
      </c>
      <c r="J463" s="22" t="str">
        <f>VLOOKUP(Table2[[#This Row], [Author]],People!A:B,2,0)</f>
        <v>LS</v>
      </c>
      <c r="K463" s="13"/>
      <c r="L463" s="13"/>
      <c r="M463" s="24" t="s">
        <v>1005</v>
      </c>
    </row>
    <row r="464" spans="1:13" ht="19.5" customHeight="1">
      <c r="A464" s="18">
        <f t="shared" si="7"/>
        <v>463</v>
      </c>
      <c r="B464" s="11" t="s">
        <v>6</v>
      </c>
      <c r="C464" s="11" t="s">
        <v>50</v>
      </c>
      <c r="D464" s="11" t="s">
        <v>1187</v>
      </c>
      <c r="E464" s="11" t="s">
        <v>817</v>
      </c>
      <c r="F464" s="11" t="s">
        <v>850</v>
      </c>
      <c r="G464" s="11" t="s">
        <v>16</v>
      </c>
      <c r="H464" s="19" t="str">
        <f>IFERROR(VLOOKUP(Table2[[#This Row], [Ticket]],Okey!A:B,2,0),"")</f>
        <v>ok</v>
      </c>
      <c r="I464" s="11" t="s">
        <v>276</v>
      </c>
      <c r="J464" s="19" t="str">
        <f>VLOOKUP(Table2[[#This Row], [Author]],People!A:B,2,0)</f>
        <v>LS</v>
      </c>
      <c r="K464" s="11"/>
      <c r="L464" s="11"/>
      <c r="M464" s="20" t="s">
        <v>677</v>
      </c>
    </row>
    <row r="465" spans="1:13" ht="19.5" customHeight="1">
      <c r="A465" s="21">
        <f t="shared" si="7"/>
        <v>464</v>
      </c>
      <c r="B465" s="13" t="s">
        <v>6</v>
      </c>
      <c r="C465" s="13" t="s">
        <v>50</v>
      </c>
      <c r="D465" s="13" t="s">
        <v>319</v>
      </c>
      <c r="E465" s="13" t="s">
        <v>1188</v>
      </c>
      <c r="F465" s="13" t="s">
        <v>850</v>
      </c>
      <c r="G465" s="13" t="s">
        <v>16</v>
      </c>
      <c r="H465" s="22" t="str">
        <f>IFERROR(VLOOKUP(Table2[[#This Row], [Ticket]],Okey!A:B,2,0),"")</f>
        <v>ok</v>
      </c>
      <c r="I465" s="13" t="s">
        <v>276</v>
      </c>
      <c r="J465" s="22" t="str">
        <f>VLOOKUP(Table2[[#This Row], [Author]],People!A:B,2,0)</f>
        <v>LS</v>
      </c>
      <c r="K465" s="13"/>
      <c r="L465" s="13"/>
      <c r="M465" s="23" t="s">
        <v>677</v>
      </c>
    </row>
    <row r="466" spans="1:13" ht="19.5" customHeight="1">
      <c r="A466" s="18">
        <f t="shared" si="7"/>
        <v>465</v>
      </c>
      <c r="B466" s="11" t="s">
        <v>6</v>
      </c>
      <c r="C466" s="11" t="s">
        <v>50</v>
      </c>
      <c r="D466" s="11" t="s">
        <v>1189</v>
      </c>
      <c r="E466" s="11" t="s">
        <v>821</v>
      </c>
      <c r="F466" s="11" t="s">
        <v>850</v>
      </c>
      <c r="G466" s="11" t="s">
        <v>16</v>
      </c>
      <c r="H466" s="19" t="str">
        <f>IFERROR(VLOOKUP(Table2[[#This Row], [Ticket]],Okey!A:B,2,0),"")</f>
        <v>ok</v>
      </c>
      <c r="I466" s="11" t="s">
        <v>276</v>
      </c>
      <c r="J466" s="19" t="str">
        <f>VLOOKUP(Table2[[#This Row], [Author]],People!A:B,2,0)</f>
        <v>LS</v>
      </c>
      <c r="K466" s="11"/>
      <c r="L466" s="11"/>
      <c r="M466" s="20" t="s">
        <v>677</v>
      </c>
    </row>
    <row r="467" spans="1:13" ht="19.5" customHeight="1">
      <c r="A467" s="21">
        <f t="shared" si="7"/>
        <v>466</v>
      </c>
      <c r="B467" s="13" t="s">
        <v>6</v>
      </c>
      <c r="C467" s="13" t="s">
        <v>50</v>
      </c>
      <c r="D467" s="13" t="s">
        <v>867</v>
      </c>
      <c r="E467" s="13" t="s">
        <v>1190</v>
      </c>
      <c r="F467" s="13" t="s">
        <v>850</v>
      </c>
      <c r="G467" s="13" t="s">
        <v>16</v>
      </c>
      <c r="H467" s="22" t="str">
        <f>IFERROR(VLOOKUP(Table2[[#This Row], [Ticket]],Okey!A:B,2,0),"")</f>
        <v>ok</v>
      </c>
      <c r="I467" s="13" t="s">
        <v>276</v>
      </c>
      <c r="J467" s="22" t="str">
        <f>VLOOKUP(Table2[[#This Row], [Author]],People!A:B,2,0)</f>
        <v>LS</v>
      </c>
      <c r="K467" s="13"/>
      <c r="L467" s="13"/>
      <c r="M467" s="23" t="s">
        <v>677</v>
      </c>
    </row>
    <row r="468" spans="1:13" ht="19.5" customHeight="1">
      <c r="A468" s="18">
        <f t="shared" si="7"/>
        <v>467</v>
      </c>
      <c r="B468" s="11" t="s">
        <v>6</v>
      </c>
      <c r="C468" s="11" t="s">
        <v>50</v>
      </c>
      <c r="D468" s="11" t="s">
        <v>869</v>
      </c>
      <c r="E468" s="11" t="s">
        <v>1191</v>
      </c>
      <c r="F468" s="11" t="s">
        <v>852</v>
      </c>
      <c r="G468" s="11" t="s">
        <v>16</v>
      </c>
      <c r="H468" s="19" t="str">
        <f>IFERROR(VLOOKUP(Table2[[#This Row], [Ticket]],Okey!A:B,2,0),"")</f>
        <v>ok</v>
      </c>
      <c r="I468" s="11" t="s">
        <v>276</v>
      </c>
      <c r="J468" s="19" t="str">
        <f>VLOOKUP(Table2[[#This Row], [Author]],People!A:B,2,0)</f>
        <v>LS</v>
      </c>
      <c r="K468" s="11"/>
      <c r="L468" s="11"/>
      <c r="M468" s="20" t="s">
        <v>677</v>
      </c>
    </row>
    <row r="469" spans="1:13" ht="19.5" customHeight="1">
      <c r="A469" s="21">
        <f t="shared" si="7"/>
        <v>468</v>
      </c>
      <c r="B469" s="13" t="s">
        <v>6</v>
      </c>
      <c r="C469" s="13" t="s">
        <v>50</v>
      </c>
      <c r="D469" s="13" t="s">
        <v>1192</v>
      </c>
      <c r="E469" s="13" t="s">
        <v>1193</v>
      </c>
      <c r="F469" s="13" t="s">
        <v>852</v>
      </c>
      <c r="G469" s="13" t="s">
        <v>16</v>
      </c>
      <c r="H469" s="22" t="str">
        <f>IFERROR(VLOOKUP(Table2[[#This Row], [Ticket]],Okey!A:B,2,0),"")</f>
        <v>ok</v>
      </c>
      <c r="I469" s="13" t="s">
        <v>276</v>
      </c>
      <c r="J469" s="22" t="str">
        <f>VLOOKUP(Table2[[#This Row], [Author]],People!A:B,2,0)</f>
        <v>LS</v>
      </c>
      <c r="K469" s="13"/>
      <c r="L469" s="13"/>
      <c r="M469" s="23" t="s">
        <v>677</v>
      </c>
    </row>
    <row r="470" spans="1:13" ht="19.5" customHeight="1">
      <c r="A470" s="18">
        <f t="shared" si="7"/>
        <v>469</v>
      </c>
      <c r="B470" s="11" t="s">
        <v>6</v>
      </c>
      <c r="C470" s="11" t="s">
        <v>50</v>
      </c>
      <c r="D470" s="11" t="s">
        <v>865</v>
      </c>
      <c r="E470" s="11" t="s">
        <v>1194</v>
      </c>
      <c r="F470" s="11" t="s">
        <v>852</v>
      </c>
      <c r="G470" s="11" t="s">
        <v>16</v>
      </c>
      <c r="H470" s="19" t="str">
        <f>IFERROR(VLOOKUP(Table2[[#This Row], [Ticket]],Okey!A:B,2,0),"")</f>
        <v>ok</v>
      </c>
      <c r="I470" s="11" t="s">
        <v>276</v>
      </c>
      <c r="J470" s="19" t="str">
        <f>VLOOKUP(Table2[[#This Row], [Author]],People!A:B,2,0)</f>
        <v>LS</v>
      </c>
      <c r="K470" s="11"/>
      <c r="L470" s="11"/>
      <c r="M470" s="20" t="s">
        <v>677</v>
      </c>
    </row>
    <row r="471" spans="1:13" ht="19.5" customHeight="1">
      <c r="A471" s="21">
        <f t="shared" si="7"/>
        <v>470</v>
      </c>
      <c r="B471" s="13" t="s">
        <v>6</v>
      </c>
      <c r="C471" s="13" t="s">
        <v>50</v>
      </c>
      <c r="D471" s="13" t="s">
        <v>852</v>
      </c>
      <c r="E471" s="13" t="s">
        <v>815</v>
      </c>
      <c r="F471" s="13" t="s">
        <v>1195</v>
      </c>
      <c r="G471" s="13" t="s">
        <v>16</v>
      </c>
      <c r="H471" s="22" t="str">
        <f>IFERROR(VLOOKUP(Table2[[#This Row], [Ticket]],Okey!A:B,2,0),"")</f>
        <v>ok</v>
      </c>
      <c r="I471" s="13" t="s">
        <v>276</v>
      </c>
      <c r="J471" s="22" t="str">
        <f>VLOOKUP(Table2[[#This Row], [Author]],People!A:B,2,0)</f>
        <v>LS</v>
      </c>
      <c r="K471" s="13"/>
      <c r="L471" s="13"/>
      <c r="M471" s="23" t="s">
        <v>677</v>
      </c>
    </row>
    <row r="472" spans="1:13" ht="19.5" customHeight="1">
      <c r="A472" s="18">
        <f t="shared" si="7"/>
        <v>471</v>
      </c>
      <c r="B472" s="11" t="s">
        <v>6</v>
      </c>
      <c r="C472" s="11" t="s">
        <v>50</v>
      </c>
      <c r="D472" s="11" t="s">
        <v>1196</v>
      </c>
      <c r="E472" s="11" t="s">
        <v>1197</v>
      </c>
      <c r="F472" s="11" t="s">
        <v>1195</v>
      </c>
      <c r="G472" s="11" t="s">
        <v>16</v>
      </c>
      <c r="H472" s="19" t="str">
        <f>IFERROR(VLOOKUP(Table2[[#This Row], [Ticket]],Okey!A:B,2,0),"")</f>
        <v>ok</v>
      </c>
      <c r="I472" s="11" t="s">
        <v>276</v>
      </c>
      <c r="J472" s="19" t="str">
        <f>VLOOKUP(Table2[[#This Row], [Author]],People!A:B,2,0)</f>
        <v>LS</v>
      </c>
      <c r="K472" s="11"/>
      <c r="L472" s="11"/>
      <c r="M472" s="20" t="s">
        <v>677</v>
      </c>
    </row>
    <row r="473" spans="1:13" ht="19.5" customHeight="1">
      <c r="A473" s="21">
        <f t="shared" si="7"/>
        <v>472</v>
      </c>
      <c r="B473" s="13" t="s">
        <v>6</v>
      </c>
      <c r="C473" s="13" t="s">
        <v>50</v>
      </c>
      <c r="D473" s="13" t="s">
        <v>1198</v>
      </c>
      <c r="E473" s="13" t="s">
        <v>1199</v>
      </c>
      <c r="F473" s="13" t="s">
        <v>1195</v>
      </c>
      <c r="G473" s="13" t="s">
        <v>16</v>
      </c>
      <c r="H473" s="22" t="str">
        <f>IFERROR(VLOOKUP(Table2[[#This Row], [Ticket]],Okey!A:B,2,0),"")</f>
        <v>ok</v>
      </c>
      <c r="I473" s="13" t="s">
        <v>276</v>
      </c>
      <c r="J473" s="22" t="str">
        <f>VLOOKUP(Table2[[#This Row], [Author]],People!A:B,2,0)</f>
        <v>LS</v>
      </c>
      <c r="K473" s="13"/>
      <c r="L473" s="13"/>
      <c r="M473" s="23" t="s">
        <v>677</v>
      </c>
    </row>
    <row r="474" spans="1:13" ht="19.5" customHeight="1">
      <c r="A474" s="18">
        <f t="shared" si="7"/>
        <v>473</v>
      </c>
      <c r="B474" s="11" t="s">
        <v>6</v>
      </c>
      <c r="C474" s="11" t="s">
        <v>50</v>
      </c>
      <c r="D474" s="11" t="s">
        <v>1200</v>
      </c>
      <c r="E474" s="11" t="s">
        <v>1201</v>
      </c>
      <c r="F474" s="11" t="s">
        <v>1195</v>
      </c>
      <c r="G474" s="11" t="s">
        <v>16</v>
      </c>
      <c r="H474" s="19" t="str">
        <f>IFERROR(VLOOKUP(Table2[[#This Row], [Ticket]],Okey!A:B,2,0),"")</f>
        <v>ok</v>
      </c>
      <c r="I474" s="11" t="s">
        <v>276</v>
      </c>
      <c r="J474" s="19" t="str">
        <f>VLOOKUP(Table2[[#This Row], [Author]],People!A:B,2,0)</f>
        <v>LS</v>
      </c>
      <c r="K474" s="11"/>
      <c r="L474" s="11"/>
      <c r="M474" s="20" t="s">
        <v>677</v>
      </c>
    </row>
    <row r="475" spans="1:13" ht="19.5" customHeight="1">
      <c r="A475" s="21">
        <f t="shared" si="7"/>
        <v>474</v>
      </c>
      <c r="B475" s="13" t="s">
        <v>6</v>
      </c>
      <c r="C475" s="13" t="s">
        <v>50</v>
      </c>
      <c r="D475" s="13" t="s">
        <v>1202</v>
      </c>
      <c r="E475" s="13" t="s">
        <v>1203</v>
      </c>
      <c r="F475" s="13" t="s">
        <v>1195</v>
      </c>
      <c r="G475" s="13" t="s">
        <v>16</v>
      </c>
      <c r="H475" s="22" t="str">
        <f>IFERROR(VLOOKUP(Table2[[#This Row], [Ticket]],Okey!A:B,2,0),"")</f>
        <v>ok</v>
      </c>
      <c r="I475" s="13" t="s">
        <v>276</v>
      </c>
      <c r="J475" s="22" t="str">
        <f>VLOOKUP(Table2[[#This Row], [Author]],People!A:B,2,0)</f>
        <v>LS</v>
      </c>
      <c r="K475" s="13"/>
      <c r="L475" s="13"/>
      <c r="M475" s="23" t="s">
        <v>677</v>
      </c>
    </row>
    <row r="476" spans="1:13" ht="19.5" customHeight="1">
      <c r="A476" s="18">
        <f t="shared" si="7"/>
        <v>475</v>
      </c>
      <c r="B476" s="11" t="s">
        <v>6</v>
      </c>
      <c r="C476" s="11" t="s">
        <v>50</v>
      </c>
      <c r="D476" s="11" t="s">
        <v>1204</v>
      </c>
      <c r="E476" s="11" t="s">
        <v>1205</v>
      </c>
      <c r="F476" s="11" t="s">
        <v>855</v>
      </c>
      <c r="G476" s="11" t="s">
        <v>16</v>
      </c>
      <c r="H476" s="19" t="str">
        <f>IFERROR(VLOOKUP(Table2[[#This Row], [Ticket]],Okey!A:B,2,0),"")</f>
        <v>ok</v>
      </c>
      <c r="I476" s="11" t="s">
        <v>276</v>
      </c>
      <c r="J476" s="19" t="str">
        <f>VLOOKUP(Table2[[#This Row], [Author]],People!A:B,2,0)</f>
        <v>LS</v>
      </c>
      <c r="K476" s="11"/>
      <c r="L476" s="11"/>
      <c r="M476" s="20" t="s">
        <v>677</v>
      </c>
    </row>
    <row r="477" spans="1:13" ht="19.5" customHeight="1">
      <c r="A477" s="21">
        <f t="shared" si="7"/>
        <v>476</v>
      </c>
      <c r="B477" s="13" t="s">
        <v>6</v>
      </c>
      <c r="C477" s="13" t="s">
        <v>50</v>
      </c>
      <c r="D477" s="13" t="s">
        <v>1206</v>
      </c>
      <c r="E477" s="13" t="s">
        <v>1207</v>
      </c>
      <c r="F477" s="13" t="s">
        <v>855</v>
      </c>
      <c r="G477" s="13" t="s">
        <v>16</v>
      </c>
      <c r="H477" s="22" t="str">
        <f>IFERROR(VLOOKUP(Table2[[#This Row], [Ticket]],Okey!A:B,2,0),"")</f>
        <v>ok</v>
      </c>
      <c r="I477" s="13" t="s">
        <v>276</v>
      </c>
      <c r="J477" s="22" t="str">
        <f>VLOOKUP(Table2[[#This Row], [Author]],People!A:B,2,0)</f>
        <v>LS</v>
      </c>
      <c r="K477" s="13"/>
      <c r="L477" s="13"/>
      <c r="M477" s="23" t="s">
        <v>677</v>
      </c>
    </row>
    <row r="478" spans="1:13" ht="19.5" customHeight="1">
      <c r="A478" s="18">
        <f t="shared" si="7"/>
        <v>477</v>
      </c>
      <c r="B478" s="11" t="s">
        <v>6</v>
      </c>
      <c r="C478" s="11" t="s">
        <v>50</v>
      </c>
      <c r="D478" s="11" t="s">
        <v>871</v>
      </c>
      <c r="E478" s="11" t="s">
        <v>1208</v>
      </c>
      <c r="F478" s="11" t="s">
        <v>855</v>
      </c>
      <c r="G478" s="11" t="s">
        <v>16</v>
      </c>
      <c r="H478" s="19" t="str">
        <f>IFERROR(VLOOKUP(Table2[[#This Row], [Ticket]],Okey!A:B,2,0),"")</f>
        <v>ok</v>
      </c>
      <c r="I478" s="11" t="s">
        <v>276</v>
      </c>
      <c r="J478" s="19" t="str">
        <f>VLOOKUP(Table2[[#This Row], [Author]],People!A:B,2,0)</f>
        <v>LS</v>
      </c>
      <c r="K478" s="11"/>
      <c r="L478" s="11"/>
      <c r="M478" s="20" t="s">
        <v>677</v>
      </c>
    </row>
    <row r="479" spans="1:13" ht="19.5" customHeight="1">
      <c r="A479" s="21">
        <f t="shared" si="7"/>
        <v>478</v>
      </c>
      <c r="B479" s="13" t="s">
        <v>6</v>
      </c>
      <c r="C479" s="13" t="s">
        <v>50</v>
      </c>
      <c r="D479" s="13" t="s">
        <v>1209</v>
      </c>
      <c r="E479" s="13" t="s">
        <v>1210</v>
      </c>
      <c r="F479" s="13" t="s">
        <v>1187</v>
      </c>
      <c r="G479" s="13" t="s">
        <v>16</v>
      </c>
      <c r="H479" s="22" t="str">
        <f>IFERROR(VLOOKUP(Table2[[#This Row], [Ticket]],Okey!A:B,2,0),"")</f>
        <v>ok</v>
      </c>
      <c r="I479" s="13" t="s">
        <v>276</v>
      </c>
      <c r="J479" s="22" t="str">
        <f>VLOOKUP(Table2[[#This Row], [Author]],People!A:B,2,0)</f>
        <v>LS</v>
      </c>
      <c r="K479" s="13"/>
      <c r="L479" s="13"/>
      <c r="M479" s="23" t="s">
        <v>677</v>
      </c>
    </row>
    <row r="480" spans="1:13" ht="19.5" customHeight="1">
      <c r="A480" s="18">
        <f t="shared" si="7"/>
        <v>479</v>
      </c>
      <c r="B480" s="11" t="s">
        <v>6</v>
      </c>
      <c r="C480" s="11" t="s">
        <v>50</v>
      </c>
      <c r="D480" s="11" t="s">
        <v>1211</v>
      </c>
      <c r="E480" s="11" t="s">
        <v>1212</v>
      </c>
      <c r="F480" s="11" t="s">
        <v>1187</v>
      </c>
      <c r="G480" s="11" t="s">
        <v>16</v>
      </c>
      <c r="H480" s="19" t="str">
        <f>IFERROR(VLOOKUP(Table2[[#This Row], [Ticket]],Okey!A:B,2,0),"")</f>
        <v>ok</v>
      </c>
      <c r="I480" s="11" t="s">
        <v>276</v>
      </c>
      <c r="J480" s="19" t="str">
        <f>VLOOKUP(Table2[[#This Row], [Author]],People!A:B,2,0)</f>
        <v>LS</v>
      </c>
      <c r="K480" s="11"/>
      <c r="L480" s="11"/>
      <c r="M480" s="20" t="s">
        <v>677</v>
      </c>
    </row>
    <row r="481" spans="1:13" ht="19.5" customHeight="1">
      <c r="A481" s="21">
        <f t="shared" si="7"/>
        <v>480</v>
      </c>
      <c r="B481" s="13" t="s">
        <v>6</v>
      </c>
      <c r="C481" s="13" t="s">
        <v>50</v>
      </c>
      <c r="D481" s="13" t="s">
        <v>1213</v>
      </c>
      <c r="E481" s="13" t="s">
        <v>1214</v>
      </c>
      <c r="F481" s="13" t="s">
        <v>1187</v>
      </c>
      <c r="G481" s="13" t="s">
        <v>16</v>
      </c>
      <c r="H481" s="22" t="str">
        <f>IFERROR(VLOOKUP(Table2[[#This Row], [Ticket]],Okey!A:B,2,0),"")</f>
        <v>ok</v>
      </c>
      <c r="I481" s="13" t="s">
        <v>276</v>
      </c>
      <c r="J481" s="22" t="str">
        <f>VLOOKUP(Table2[[#This Row], [Author]],People!A:B,2,0)</f>
        <v>LS</v>
      </c>
      <c r="K481" s="13"/>
      <c r="L481" s="13"/>
      <c r="M481" s="23" t="s">
        <v>677</v>
      </c>
    </row>
    <row r="482" spans="1:13" ht="19.5" customHeight="1">
      <c r="A482" s="18">
        <f t="shared" si="7"/>
        <v>481</v>
      </c>
      <c r="B482" s="11" t="s">
        <v>6</v>
      </c>
      <c r="C482" s="11" t="s">
        <v>50</v>
      </c>
      <c r="D482" s="11" t="s">
        <v>1215</v>
      </c>
      <c r="E482" s="11" t="s">
        <v>1216</v>
      </c>
      <c r="F482" s="11" t="s">
        <v>319</v>
      </c>
      <c r="G482" s="11" t="s">
        <v>16</v>
      </c>
      <c r="H482" s="19" t="str">
        <f>IFERROR(VLOOKUP(Table2[[#This Row], [Ticket]],Okey!A:B,2,0),"")</f>
        <v>ok</v>
      </c>
      <c r="I482" s="11" t="s">
        <v>276</v>
      </c>
      <c r="J482" s="19" t="str">
        <f>VLOOKUP(Table2[[#This Row], [Author]],People!A:B,2,0)</f>
        <v>LS</v>
      </c>
      <c r="K482" s="11"/>
      <c r="L482" s="11"/>
      <c r="M482" s="20" t="s">
        <v>677</v>
      </c>
    </row>
    <row r="483" spans="1:13" ht="19.5" customHeight="1">
      <c r="A483" s="21">
        <f t="shared" si="7"/>
        <v>482</v>
      </c>
      <c r="B483" s="13" t="s">
        <v>6</v>
      </c>
      <c r="C483" s="13" t="s">
        <v>50</v>
      </c>
      <c r="D483" s="13" t="s">
        <v>1217</v>
      </c>
      <c r="E483" s="13" t="s">
        <v>1218</v>
      </c>
      <c r="F483" s="13" t="s">
        <v>1189</v>
      </c>
      <c r="G483" s="13" t="s">
        <v>16</v>
      </c>
      <c r="H483" s="22" t="str">
        <f>IFERROR(VLOOKUP(Table2[[#This Row], [Ticket]],Okey!A:B,2,0),"")</f>
        <v>ok</v>
      </c>
      <c r="I483" s="13" t="s">
        <v>276</v>
      </c>
      <c r="J483" s="22" t="str">
        <f>VLOOKUP(Table2[[#This Row], [Author]],People!A:B,2,0)</f>
        <v>LS</v>
      </c>
      <c r="K483" s="13"/>
      <c r="L483" s="13"/>
      <c r="M483" s="23" t="s">
        <v>677</v>
      </c>
    </row>
    <row r="484" spans="1:13" ht="19.5" customHeight="1">
      <c r="A484" s="18">
        <f t="shared" si="7"/>
        <v>483</v>
      </c>
      <c r="B484" s="11" t="s">
        <v>6</v>
      </c>
      <c r="C484" s="11" t="s">
        <v>50</v>
      </c>
      <c r="D484" s="11" t="s">
        <v>1219</v>
      </c>
      <c r="E484" s="11" t="s">
        <v>1220</v>
      </c>
      <c r="F484" s="11" t="s">
        <v>1202</v>
      </c>
      <c r="G484" s="11" t="s">
        <v>16</v>
      </c>
      <c r="H484" s="19" t="str">
        <f>IFERROR(VLOOKUP(Table2[[#This Row], [Ticket]],Okey!A:B,2,0),"")</f>
        <v>ok</v>
      </c>
      <c r="I484" s="11" t="s">
        <v>276</v>
      </c>
      <c r="J484" s="19" t="str">
        <f>VLOOKUP(Table2[[#This Row], [Author]],People!A:B,2,0)</f>
        <v>LS</v>
      </c>
      <c r="K484" s="11"/>
      <c r="L484" s="11"/>
      <c r="M484" s="20" t="s">
        <v>677</v>
      </c>
    </row>
    <row r="485" spans="1:13" ht="19.5" customHeight="1">
      <c r="A485" s="21">
        <f t="shared" si="7"/>
        <v>484</v>
      </c>
      <c r="B485" s="13" t="s">
        <v>6</v>
      </c>
      <c r="C485" s="13" t="s">
        <v>50</v>
      </c>
      <c r="D485" s="13" t="s">
        <v>1221</v>
      </c>
      <c r="E485" s="13" t="s">
        <v>1222</v>
      </c>
      <c r="F485" s="13" t="s">
        <v>1202</v>
      </c>
      <c r="G485" s="13" t="s">
        <v>16</v>
      </c>
      <c r="H485" s="22" t="str">
        <f>IFERROR(VLOOKUP(Table2[[#This Row], [Ticket]],Okey!A:B,2,0),"")</f>
        <v>ok</v>
      </c>
      <c r="I485" s="13" t="s">
        <v>276</v>
      </c>
      <c r="J485" s="22" t="str">
        <f>VLOOKUP(Table2[[#This Row], [Author]],People!A:B,2,0)</f>
        <v>LS</v>
      </c>
      <c r="K485" s="13"/>
      <c r="L485" s="13"/>
      <c r="M485" s="23" t="s">
        <v>677</v>
      </c>
    </row>
    <row r="486" spans="1:13" ht="19.5" customHeight="1">
      <c r="A486" s="18">
        <f t="shared" si="7"/>
        <v>485</v>
      </c>
      <c r="B486" s="11" t="s">
        <v>6</v>
      </c>
      <c r="C486" s="11" t="s">
        <v>50</v>
      </c>
      <c r="D486" s="11" t="s">
        <v>1223</v>
      </c>
      <c r="E486" s="11" t="s">
        <v>1224</v>
      </c>
      <c r="F486" s="11" t="s">
        <v>1202</v>
      </c>
      <c r="G486" s="11" t="s">
        <v>16</v>
      </c>
      <c r="H486" s="19" t="str">
        <f>IFERROR(VLOOKUP(Table2[[#This Row], [Ticket]],Okey!A:B,2,0),"")</f>
        <v>ok</v>
      </c>
      <c r="I486" s="11" t="s">
        <v>276</v>
      </c>
      <c r="J486" s="19" t="str">
        <f>VLOOKUP(Table2[[#This Row], [Author]],People!A:B,2,0)</f>
        <v>LS</v>
      </c>
      <c r="K486" s="11"/>
      <c r="L486" s="11"/>
      <c r="M486" s="20" t="s">
        <v>677</v>
      </c>
    </row>
    <row r="487" spans="1:13" ht="19.5" customHeight="1">
      <c r="A487" s="21">
        <f t="shared" si="7"/>
        <v>486</v>
      </c>
      <c r="B487" s="13" t="s">
        <v>6</v>
      </c>
      <c r="C487" s="13" t="s">
        <v>50</v>
      </c>
      <c r="D487" s="13" t="s">
        <v>1225</v>
      </c>
      <c r="E487" s="13" t="s">
        <v>1226</v>
      </c>
      <c r="F487" s="13" t="s">
        <v>1202</v>
      </c>
      <c r="G487" s="13" t="s">
        <v>16</v>
      </c>
      <c r="H487" s="22" t="str">
        <f>IFERROR(VLOOKUP(Table2[[#This Row], [Ticket]],Okey!A:B,2,0),"")</f>
        <v>ok</v>
      </c>
      <c r="I487" s="13" t="s">
        <v>276</v>
      </c>
      <c r="J487" s="22" t="str">
        <f>VLOOKUP(Table2[[#This Row], [Author]],People!A:B,2,0)</f>
        <v>LS</v>
      </c>
      <c r="K487" s="13"/>
      <c r="L487" s="13"/>
      <c r="M487" s="23" t="s">
        <v>677</v>
      </c>
    </row>
    <row r="488" spans="1:13" ht="19.5" customHeight="1">
      <c r="A488" s="18">
        <f t="shared" si="7"/>
        <v>487</v>
      </c>
      <c r="B488" s="11" t="s">
        <v>6</v>
      </c>
      <c r="C488" s="11" t="s">
        <v>50</v>
      </c>
      <c r="D488" s="11" t="s">
        <v>1227</v>
      </c>
      <c r="E488" s="11" t="s">
        <v>1228</v>
      </c>
      <c r="F488" s="11" t="s">
        <v>1202</v>
      </c>
      <c r="G488" s="11" t="s">
        <v>16</v>
      </c>
      <c r="H488" s="19" t="str">
        <f>IFERROR(VLOOKUP(Table2[[#This Row], [Ticket]],Okey!A:B,2,0),"")</f>
        <v>ok</v>
      </c>
      <c r="I488" s="11" t="s">
        <v>276</v>
      </c>
      <c r="J488" s="19" t="str">
        <f>VLOOKUP(Table2[[#This Row], [Author]],People!A:B,2,0)</f>
        <v>LS</v>
      </c>
      <c r="K488" s="11"/>
      <c r="L488" s="11"/>
      <c r="M488" s="20" t="s">
        <v>677</v>
      </c>
    </row>
    <row r="489" spans="1:13" ht="19.5" customHeight="1">
      <c r="A489" s="21">
        <f t="shared" si="7"/>
        <v>488</v>
      </c>
      <c r="B489" s="13" t="s">
        <v>6</v>
      </c>
      <c r="C489" s="13" t="s">
        <v>51</v>
      </c>
      <c r="D489" s="13" t="s">
        <v>1229</v>
      </c>
      <c r="E489" s="13"/>
      <c r="F489" s="13" t="s">
        <v>275</v>
      </c>
      <c r="G489" s="13" t="s">
        <v>12</v>
      </c>
      <c r="H489" s="22" t="str">
        <f>IFERROR(VLOOKUP(Table2[[#This Row], [Ticket]],Okey!A:B,2,0),"")</f>
        <v>ok</v>
      </c>
      <c r="I489" s="13" t="s">
        <v>276</v>
      </c>
      <c r="J489" s="22" t="str">
        <f>VLOOKUP(Table2[[#This Row], [Author]],People!A:B,2,0)</f>
        <v>LS</v>
      </c>
      <c r="K489" s="13"/>
      <c r="L489" s="13"/>
      <c r="M489" s="23" t="s">
        <v>1230</v>
      </c>
    </row>
    <row r="490" spans="1:13" ht="19.5" customHeight="1">
      <c r="A490" s="18">
        <f t="shared" si="7"/>
        <v>489</v>
      </c>
      <c r="B490" s="11" t="s">
        <v>6</v>
      </c>
      <c r="C490" s="11" t="s">
        <v>51</v>
      </c>
      <c r="D490" s="11" t="s">
        <v>1231</v>
      </c>
      <c r="E490" s="11"/>
      <c r="F490" s="11" t="s">
        <v>275</v>
      </c>
      <c r="G490" s="11" t="s">
        <v>12</v>
      </c>
      <c r="H490" s="19" t="str">
        <f>IFERROR(VLOOKUP(Table2[[#This Row], [Ticket]],Okey!A:B,2,0),"")</f>
        <v>ok</v>
      </c>
      <c r="I490" s="11" t="s">
        <v>276</v>
      </c>
      <c r="J490" s="19" t="str">
        <f>VLOOKUP(Table2[[#This Row], [Author]],People!A:B,2,0)</f>
        <v>LS</v>
      </c>
      <c r="K490" s="11"/>
      <c r="L490" s="11"/>
      <c r="M490" s="20" t="s">
        <v>1230</v>
      </c>
    </row>
    <row r="491" spans="1:13" ht="19.5" customHeight="1">
      <c r="A491" s="21">
        <f t="shared" si="7"/>
        <v>490</v>
      </c>
      <c r="B491" s="13" t="s">
        <v>6</v>
      </c>
      <c r="C491" s="13" t="s">
        <v>51</v>
      </c>
      <c r="D491" s="13" t="s">
        <v>1232</v>
      </c>
      <c r="E491" s="13"/>
      <c r="F491" s="13" t="s">
        <v>275</v>
      </c>
      <c r="G491" s="13" t="s">
        <v>12</v>
      </c>
      <c r="H491" s="22" t="str">
        <f>IFERROR(VLOOKUP(Table2[[#This Row], [Ticket]],Okey!A:B,2,0),"")</f>
        <v>ok</v>
      </c>
      <c r="I491" s="13" t="s">
        <v>276</v>
      </c>
      <c r="J491" s="22" t="str">
        <f>VLOOKUP(Table2[[#This Row], [Author]],People!A:B,2,0)</f>
        <v>LS</v>
      </c>
      <c r="K491" s="13"/>
      <c r="L491" s="13"/>
      <c r="M491" s="23" t="s">
        <v>1230</v>
      </c>
    </row>
    <row r="492" spans="1:13" ht="19.5" customHeight="1">
      <c r="A492" s="18">
        <f t="shared" si="7"/>
        <v>491</v>
      </c>
      <c r="B492" s="11" t="s">
        <v>6</v>
      </c>
      <c r="C492" s="11" t="s">
        <v>51</v>
      </c>
      <c r="D492" s="11" t="s">
        <v>1233</v>
      </c>
      <c r="E492" s="11"/>
      <c r="F492" s="11" t="s">
        <v>275</v>
      </c>
      <c r="G492" s="11" t="s">
        <v>12</v>
      </c>
      <c r="H492" s="19" t="str">
        <f>IFERROR(VLOOKUP(Table2[[#This Row], [Ticket]],Okey!A:B,2,0),"")</f>
        <v>ok</v>
      </c>
      <c r="I492" s="11" t="s">
        <v>276</v>
      </c>
      <c r="J492" s="19" t="str">
        <f>VLOOKUP(Table2[[#This Row], [Author]],People!A:B,2,0)</f>
        <v>LS</v>
      </c>
      <c r="K492" s="11"/>
      <c r="L492" s="11"/>
      <c r="M492" s="20" t="s">
        <v>1230</v>
      </c>
    </row>
    <row r="493" spans="1:13" ht="19.5" customHeight="1">
      <c r="A493" s="21">
        <f t="shared" si="7"/>
        <v>492</v>
      </c>
      <c r="B493" s="13" t="s">
        <v>6</v>
      </c>
      <c r="C493" s="13" t="s">
        <v>51</v>
      </c>
      <c r="D493" s="13" t="s">
        <v>1234</v>
      </c>
      <c r="E493" s="13"/>
      <c r="F493" s="13" t="s">
        <v>275</v>
      </c>
      <c r="G493" s="13" t="s">
        <v>12</v>
      </c>
      <c r="H493" s="22" t="str">
        <f>IFERROR(VLOOKUP(Table2[[#This Row], [Ticket]],Okey!A:B,2,0),"")</f>
        <v>ok</v>
      </c>
      <c r="I493" s="13" t="s">
        <v>276</v>
      </c>
      <c r="J493" s="22" t="str">
        <f>VLOOKUP(Table2[[#This Row], [Author]],People!A:B,2,0)</f>
        <v>LS</v>
      </c>
      <c r="K493" s="13"/>
      <c r="L493" s="13"/>
      <c r="M493" s="23" t="s">
        <v>1230</v>
      </c>
    </row>
    <row r="494" spans="1:13" ht="19.5" customHeight="1">
      <c r="A494" s="18">
        <f t="shared" si="7"/>
        <v>493</v>
      </c>
      <c r="B494" s="11" t="s">
        <v>6</v>
      </c>
      <c r="C494" s="11" t="s">
        <v>51</v>
      </c>
      <c r="D494" s="11" t="s">
        <v>1235</v>
      </c>
      <c r="E494" s="11"/>
      <c r="F494" s="11" t="s">
        <v>275</v>
      </c>
      <c r="G494" s="11" t="s">
        <v>12</v>
      </c>
      <c r="H494" s="19" t="str">
        <f>IFERROR(VLOOKUP(Table2[[#This Row], [Ticket]],Okey!A:B,2,0),"")</f>
        <v>ok</v>
      </c>
      <c r="I494" s="11" t="s">
        <v>276</v>
      </c>
      <c r="J494" s="19" t="str">
        <f>VLOOKUP(Table2[[#This Row], [Author]],People!A:B,2,0)</f>
        <v>LS</v>
      </c>
      <c r="K494" s="11"/>
      <c r="L494" s="11"/>
      <c r="M494" s="20" t="s">
        <v>1230</v>
      </c>
    </row>
    <row r="495" spans="1:13" ht="19.5" customHeight="1">
      <c r="A495" s="21">
        <f t="shared" si="7"/>
        <v>494</v>
      </c>
      <c r="B495" s="13" t="s">
        <v>6</v>
      </c>
      <c r="C495" s="13" t="s">
        <v>51</v>
      </c>
      <c r="D495" s="13" t="s">
        <v>1236</v>
      </c>
      <c r="E495" s="13"/>
      <c r="F495" s="13" t="s">
        <v>275</v>
      </c>
      <c r="G495" s="13" t="s">
        <v>12</v>
      </c>
      <c r="H495" s="22" t="str">
        <f>IFERROR(VLOOKUP(Table2[[#This Row], [Ticket]],Okey!A:B,2,0),"")</f>
        <v>ok</v>
      </c>
      <c r="I495" s="13" t="s">
        <v>276</v>
      </c>
      <c r="J495" s="22" t="str">
        <f>VLOOKUP(Table2[[#This Row], [Author]],People!A:B,2,0)</f>
        <v>LS</v>
      </c>
      <c r="K495" s="13"/>
      <c r="L495" s="13"/>
      <c r="M495" s="23" t="s">
        <v>1230</v>
      </c>
    </row>
    <row r="496" spans="1:13" ht="19.5" customHeight="1">
      <c r="A496" s="18">
        <f t="shared" si="7"/>
        <v>495</v>
      </c>
      <c r="B496" s="11" t="s">
        <v>6</v>
      </c>
      <c r="C496" s="11" t="s">
        <v>51</v>
      </c>
      <c r="D496" s="11" t="s">
        <v>1237</v>
      </c>
      <c r="E496" s="11"/>
      <c r="F496" s="11" t="s">
        <v>275</v>
      </c>
      <c r="G496" s="11" t="s">
        <v>12</v>
      </c>
      <c r="H496" s="19" t="str">
        <f>IFERROR(VLOOKUP(Table2[[#This Row], [Ticket]],Okey!A:B,2,0),"")</f>
        <v>ok</v>
      </c>
      <c r="I496" s="11" t="s">
        <v>276</v>
      </c>
      <c r="J496" s="19" t="str">
        <f>VLOOKUP(Table2[[#This Row], [Author]],People!A:B,2,0)</f>
        <v>LS</v>
      </c>
      <c r="K496" s="11"/>
      <c r="L496" s="11"/>
      <c r="M496" s="20" t="s">
        <v>1230</v>
      </c>
    </row>
    <row r="497" spans="1:13" ht="19.5" customHeight="1">
      <c r="A497" s="21">
        <f t="shared" si="7"/>
        <v>496</v>
      </c>
      <c r="B497" s="13" t="s">
        <v>6</v>
      </c>
      <c r="C497" s="13" t="s">
        <v>51</v>
      </c>
      <c r="D497" s="13" t="s">
        <v>1238</v>
      </c>
      <c r="E497" s="13"/>
      <c r="F497" s="13" t="s">
        <v>275</v>
      </c>
      <c r="G497" s="13" t="s">
        <v>12</v>
      </c>
      <c r="H497" s="22" t="str">
        <f>IFERROR(VLOOKUP(Table2[[#This Row], [Ticket]],Okey!A:B,2,0),"")</f>
        <v>ok</v>
      </c>
      <c r="I497" s="13" t="s">
        <v>276</v>
      </c>
      <c r="J497" s="22" t="str">
        <f>VLOOKUP(Table2[[#This Row], [Author]],People!A:B,2,0)</f>
        <v>LS</v>
      </c>
      <c r="K497" s="13"/>
      <c r="L497" s="13"/>
      <c r="M497" s="23" t="s">
        <v>1230</v>
      </c>
    </row>
    <row r="498" spans="1:13" ht="19.5" customHeight="1">
      <c r="A498" s="18">
        <f t="shared" si="7"/>
        <v>497</v>
      </c>
      <c r="B498" s="11" t="s">
        <v>6</v>
      </c>
      <c r="C498" s="11" t="s">
        <v>52</v>
      </c>
      <c r="D498" s="11" t="s">
        <v>1239</v>
      </c>
      <c r="E498" s="11" t="s">
        <v>1240</v>
      </c>
      <c r="F498" s="11" t="s">
        <v>1241</v>
      </c>
      <c r="G498" s="11" t="s">
        <v>14</v>
      </c>
      <c r="H498" s="19" t="str">
        <f>IFERROR(VLOOKUP(Table2[[#This Row], [Ticket]],Okey!A:B,2,0),"")</f>
        <v>ok</v>
      </c>
      <c r="I498" s="11" t="s">
        <v>276</v>
      </c>
      <c r="J498" s="19" t="str">
        <f>VLOOKUP(Table2[[#This Row], [Author]],People!A:B,2,0)</f>
        <v>LS</v>
      </c>
      <c r="K498" s="11"/>
      <c r="L498" s="11"/>
      <c r="M498" s="20" t="s">
        <v>277</v>
      </c>
    </row>
    <row r="499" spans="1:13" ht="19.5" customHeight="1">
      <c r="A499" s="21">
        <f t="shared" si="7"/>
        <v>498</v>
      </c>
      <c r="B499" s="13" t="s">
        <v>6</v>
      </c>
      <c r="C499" s="13" t="s">
        <v>52</v>
      </c>
      <c r="D499" s="13" t="s">
        <v>1242</v>
      </c>
      <c r="E499" s="13" t="s">
        <v>1243</v>
      </c>
      <c r="F499" s="13" t="s">
        <v>1241</v>
      </c>
      <c r="G499" s="13" t="s">
        <v>14</v>
      </c>
      <c r="H499" s="22" t="str">
        <f>IFERROR(VLOOKUP(Table2[[#This Row], [Ticket]],Okey!A:B,2,0),"")</f>
        <v>ok</v>
      </c>
      <c r="I499" s="13" t="s">
        <v>276</v>
      </c>
      <c r="J499" s="22" t="str">
        <f>VLOOKUP(Table2[[#This Row], [Author]],People!A:B,2,0)</f>
        <v>LS</v>
      </c>
      <c r="K499" s="13"/>
      <c r="L499" s="13"/>
      <c r="M499" s="23" t="s">
        <v>277</v>
      </c>
    </row>
    <row r="500" spans="1:13" ht="19.5" customHeight="1">
      <c r="A500" s="18">
        <f t="shared" si="7"/>
        <v>499</v>
      </c>
      <c r="B500" s="11" t="s">
        <v>6</v>
      </c>
      <c r="C500" s="11" t="s">
        <v>52</v>
      </c>
      <c r="D500" s="11" t="s">
        <v>1244</v>
      </c>
      <c r="E500" s="11" t="s">
        <v>1245</v>
      </c>
      <c r="F500" s="11" t="s">
        <v>1241</v>
      </c>
      <c r="G500" s="11" t="s">
        <v>14</v>
      </c>
      <c r="H500" s="19" t="str">
        <f>IFERROR(VLOOKUP(Table2[[#This Row], [Ticket]],Okey!A:B,2,0),"")</f>
        <v>ok</v>
      </c>
      <c r="I500" s="11" t="s">
        <v>276</v>
      </c>
      <c r="J500" s="19" t="str">
        <f>VLOOKUP(Table2[[#This Row], [Author]],People!A:B,2,0)</f>
        <v>LS</v>
      </c>
      <c r="K500" s="11"/>
      <c r="L500" s="11"/>
      <c r="M500" s="20" t="s">
        <v>277</v>
      </c>
    </row>
    <row r="501" spans="1:13" ht="19.5" customHeight="1">
      <c r="A501" s="21">
        <f t="shared" si="7"/>
        <v>500</v>
      </c>
      <c r="B501" s="13" t="s">
        <v>6</v>
      </c>
      <c r="C501" s="13" t="s">
        <v>52</v>
      </c>
      <c r="D501" s="13" t="s">
        <v>1246</v>
      </c>
      <c r="E501" s="13" t="s">
        <v>1247</v>
      </c>
      <c r="F501" s="13" t="s">
        <v>1248</v>
      </c>
      <c r="G501" s="13" t="s">
        <v>14</v>
      </c>
      <c r="H501" s="22" t="str">
        <f>IFERROR(VLOOKUP(Table2[[#This Row], [Ticket]],Okey!A:B,2,0),"")</f>
        <v>ok</v>
      </c>
      <c r="I501" s="13" t="s">
        <v>276</v>
      </c>
      <c r="J501" s="22" t="str">
        <f>VLOOKUP(Table2[[#This Row], [Author]],People!A:B,2,0)</f>
        <v>LS</v>
      </c>
      <c r="K501" s="13"/>
      <c r="L501" s="13"/>
      <c r="M501" s="23" t="s">
        <v>277</v>
      </c>
    </row>
    <row r="502" spans="1:13" ht="19.5" customHeight="1">
      <c r="A502" s="18">
        <f t="shared" si="7"/>
        <v>501</v>
      </c>
      <c r="B502" s="11" t="s">
        <v>6</v>
      </c>
      <c r="C502" s="11" t="s">
        <v>52</v>
      </c>
      <c r="D502" s="11" t="s">
        <v>1249</v>
      </c>
      <c r="E502" s="11" t="s">
        <v>1250</v>
      </c>
      <c r="F502" s="11" t="s">
        <v>1251</v>
      </c>
      <c r="G502" s="11" t="s">
        <v>14</v>
      </c>
      <c r="H502" s="19" t="str">
        <f>IFERROR(VLOOKUP(Table2[[#This Row], [Ticket]],Okey!A:B,2,0),"")</f>
        <v>ok</v>
      </c>
      <c r="I502" s="11" t="s">
        <v>276</v>
      </c>
      <c r="J502" s="19" t="str">
        <f>VLOOKUP(Table2[[#This Row], [Author]],People!A:B,2,0)</f>
        <v>LS</v>
      </c>
      <c r="K502" s="11"/>
      <c r="L502" s="11"/>
      <c r="M502" s="20" t="s">
        <v>277</v>
      </c>
    </row>
    <row r="503" spans="1:13" ht="19.5" customHeight="1">
      <c r="A503" s="21">
        <f t="shared" si="7"/>
        <v>502</v>
      </c>
      <c r="B503" s="13" t="s">
        <v>6</v>
      </c>
      <c r="C503" s="13" t="s">
        <v>52</v>
      </c>
      <c r="D503" s="13" t="s">
        <v>1252</v>
      </c>
      <c r="E503" s="13" t="s">
        <v>1253</v>
      </c>
      <c r="F503" s="13" t="s">
        <v>1251</v>
      </c>
      <c r="G503" s="13" t="s">
        <v>14</v>
      </c>
      <c r="H503" s="22" t="str">
        <f>IFERROR(VLOOKUP(Table2[[#This Row], [Ticket]],Okey!A:B,2,0),"")</f>
        <v>ok</v>
      </c>
      <c r="I503" s="13" t="s">
        <v>276</v>
      </c>
      <c r="J503" s="22" t="str">
        <f>VLOOKUP(Table2[[#This Row], [Author]],People!A:B,2,0)</f>
        <v>LS</v>
      </c>
      <c r="K503" s="13"/>
      <c r="L503" s="13"/>
      <c r="M503" s="23" t="s">
        <v>277</v>
      </c>
    </row>
    <row r="504" spans="1:13" ht="19.5" customHeight="1">
      <c r="A504" s="18">
        <f t="shared" si="7"/>
        <v>503</v>
      </c>
      <c r="B504" s="11" t="s">
        <v>6</v>
      </c>
      <c r="C504" s="11" t="s">
        <v>52</v>
      </c>
      <c r="D504" s="11" t="s">
        <v>1254</v>
      </c>
      <c r="E504" s="11" t="s">
        <v>1255</v>
      </c>
      <c r="F504" s="11" t="s">
        <v>1251</v>
      </c>
      <c r="G504" s="11" t="s">
        <v>14</v>
      </c>
      <c r="H504" s="19" t="str">
        <f>IFERROR(VLOOKUP(Table2[[#This Row], [Ticket]],Okey!A:B,2,0),"")</f>
        <v>ok</v>
      </c>
      <c r="I504" s="11" t="s">
        <v>276</v>
      </c>
      <c r="J504" s="19" t="str">
        <f>VLOOKUP(Table2[[#This Row], [Author]],People!A:B,2,0)</f>
        <v>LS</v>
      </c>
      <c r="K504" s="11"/>
      <c r="L504" s="11"/>
      <c r="M504" s="20" t="s">
        <v>277</v>
      </c>
    </row>
    <row r="505" spans="1:13" ht="19.5" customHeight="1">
      <c r="A505" s="21">
        <f t="shared" si="7"/>
        <v>504</v>
      </c>
      <c r="B505" s="13" t="s">
        <v>6</v>
      </c>
      <c r="C505" s="13" t="s">
        <v>52</v>
      </c>
      <c r="D505" s="13" t="s">
        <v>1256</v>
      </c>
      <c r="E505" s="13" t="s">
        <v>1257</v>
      </c>
      <c r="F505" s="13" t="s">
        <v>1251</v>
      </c>
      <c r="G505" s="13" t="s">
        <v>14</v>
      </c>
      <c r="H505" s="22" t="str">
        <f>IFERROR(VLOOKUP(Table2[[#This Row], [Ticket]],Okey!A:B,2,0),"")</f>
        <v>ok</v>
      </c>
      <c r="I505" s="13" t="s">
        <v>276</v>
      </c>
      <c r="J505" s="22" t="str">
        <f>VLOOKUP(Table2[[#This Row], [Author]],People!A:B,2,0)</f>
        <v>LS</v>
      </c>
      <c r="K505" s="13"/>
      <c r="L505" s="13"/>
      <c r="M505" s="23" t="s">
        <v>277</v>
      </c>
    </row>
    <row r="506" spans="1:13" ht="19.5" customHeight="1">
      <c r="A506" s="18">
        <f t="shared" si="7"/>
        <v>505</v>
      </c>
      <c r="B506" s="11" t="s">
        <v>6</v>
      </c>
      <c r="C506" s="11" t="s">
        <v>52</v>
      </c>
      <c r="D506" s="11" t="s">
        <v>1258</v>
      </c>
      <c r="E506" s="11" t="s">
        <v>1259</v>
      </c>
      <c r="F506" s="11" t="s">
        <v>1251</v>
      </c>
      <c r="G506" s="11" t="s">
        <v>14</v>
      </c>
      <c r="H506" s="19" t="str">
        <f>IFERROR(VLOOKUP(Table2[[#This Row], [Ticket]],Okey!A:B,2,0),"")</f>
        <v>ok</v>
      </c>
      <c r="I506" s="11" t="s">
        <v>276</v>
      </c>
      <c r="J506" s="19" t="str">
        <f>VLOOKUP(Table2[[#This Row], [Author]],People!A:B,2,0)</f>
        <v>LS</v>
      </c>
      <c r="K506" s="11"/>
      <c r="L506" s="11"/>
      <c r="M506" s="20" t="s">
        <v>277</v>
      </c>
    </row>
    <row r="507" spans="1:13" ht="19.5" customHeight="1">
      <c r="A507" s="21">
        <f t="shared" si="7"/>
        <v>506</v>
      </c>
      <c r="B507" s="13" t="s">
        <v>6</v>
      </c>
      <c r="C507" s="13" t="s">
        <v>52</v>
      </c>
      <c r="D507" s="13" t="s">
        <v>1260</v>
      </c>
      <c r="E507" s="13" t="s">
        <v>1261</v>
      </c>
      <c r="F507" s="13" t="s">
        <v>1251</v>
      </c>
      <c r="G507" s="13" t="s">
        <v>14</v>
      </c>
      <c r="H507" s="22" t="str">
        <f>IFERROR(VLOOKUP(Table2[[#This Row], [Ticket]],Okey!A:B,2,0),"")</f>
        <v>ok</v>
      </c>
      <c r="I507" s="13" t="s">
        <v>276</v>
      </c>
      <c r="J507" s="22" t="str">
        <f>VLOOKUP(Table2[[#This Row], [Author]],People!A:B,2,0)</f>
        <v>LS</v>
      </c>
      <c r="K507" s="13"/>
      <c r="L507" s="13"/>
      <c r="M507" s="23" t="s">
        <v>277</v>
      </c>
    </row>
    <row r="508" spans="1:13" ht="19.5" customHeight="1">
      <c r="A508" s="18">
        <f t="shared" si="7"/>
        <v>507</v>
      </c>
      <c r="B508" s="11" t="s">
        <v>6</v>
      </c>
      <c r="C508" s="11" t="s">
        <v>52</v>
      </c>
      <c r="D508" s="11" t="s">
        <v>1262</v>
      </c>
      <c r="E508" s="11" t="s">
        <v>1263</v>
      </c>
      <c r="F508" s="11" t="s">
        <v>1251</v>
      </c>
      <c r="G508" s="11" t="s">
        <v>14</v>
      </c>
      <c r="H508" s="19" t="str">
        <f>IFERROR(VLOOKUP(Table2[[#This Row], [Ticket]],Okey!A:B,2,0),"")</f>
        <v>ok</v>
      </c>
      <c r="I508" s="11" t="s">
        <v>276</v>
      </c>
      <c r="J508" s="19" t="str">
        <f>VLOOKUP(Table2[[#This Row], [Author]],People!A:B,2,0)</f>
        <v>LS</v>
      </c>
      <c r="K508" s="11"/>
      <c r="L508" s="11"/>
      <c r="M508" s="20" t="s">
        <v>277</v>
      </c>
    </row>
    <row r="509" spans="1:13" ht="19.5" customHeight="1">
      <c r="A509" s="21">
        <f t="shared" si="7"/>
        <v>508</v>
      </c>
      <c r="B509" s="13" t="s">
        <v>6</v>
      </c>
      <c r="C509" s="13" t="s">
        <v>52</v>
      </c>
      <c r="D509" s="13" t="s">
        <v>1264</v>
      </c>
      <c r="E509" s="13" t="s">
        <v>1265</v>
      </c>
      <c r="F509" s="13" t="s">
        <v>1251</v>
      </c>
      <c r="G509" s="13" t="s">
        <v>14</v>
      </c>
      <c r="H509" s="22" t="str">
        <f>IFERROR(VLOOKUP(Table2[[#This Row], [Ticket]],Okey!A:B,2,0),"")</f>
        <v>ok</v>
      </c>
      <c r="I509" s="13" t="s">
        <v>276</v>
      </c>
      <c r="J509" s="22" t="str">
        <f>VLOOKUP(Table2[[#This Row], [Author]],People!A:B,2,0)</f>
        <v>LS</v>
      </c>
      <c r="K509" s="13"/>
      <c r="L509" s="13"/>
      <c r="M509" s="23" t="s">
        <v>277</v>
      </c>
    </row>
    <row r="510" spans="1:13" ht="19.5" customHeight="1">
      <c r="A510" s="18">
        <f t="shared" si="7"/>
        <v>509</v>
      </c>
      <c r="B510" s="11" t="s">
        <v>6</v>
      </c>
      <c r="C510" s="11" t="s">
        <v>52</v>
      </c>
      <c r="D510" s="11" t="s">
        <v>1266</v>
      </c>
      <c r="E510" s="11" t="s">
        <v>1267</v>
      </c>
      <c r="F510" s="11" t="s">
        <v>1251</v>
      </c>
      <c r="G510" s="11" t="s">
        <v>14</v>
      </c>
      <c r="H510" s="19" t="str">
        <f>IFERROR(VLOOKUP(Table2[[#This Row], [Ticket]],Okey!A:B,2,0),"")</f>
        <v>ok</v>
      </c>
      <c r="I510" s="11" t="s">
        <v>276</v>
      </c>
      <c r="J510" s="19" t="str">
        <f>VLOOKUP(Table2[[#This Row], [Author]],People!A:B,2,0)</f>
        <v>LS</v>
      </c>
      <c r="K510" s="11"/>
      <c r="L510" s="11"/>
      <c r="M510" s="20" t="s">
        <v>277</v>
      </c>
    </row>
    <row r="511" spans="1:13" ht="19.5" customHeight="1">
      <c r="A511" s="21">
        <f t="shared" si="7"/>
        <v>510</v>
      </c>
      <c r="B511" s="13" t="s">
        <v>6</v>
      </c>
      <c r="C511" s="13" t="s">
        <v>52</v>
      </c>
      <c r="D511" s="13" t="s">
        <v>1268</v>
      </c>
      <c r="E511" s="13" t="s">
        <v>1269</v>
      </c>
      <c r="F511" s="13" t="s">
        <v>1251</v>
      </c>
      <c r="G511" s="13" t="s">
        <v>14</v>
      </c>
      <c r="H511" s="22" t="str">
        <f>IFERROR(VLOOKUP(Table2[[#This Row], [Ticket]],Okey!A:B,2,0),"")</f>
        <v>ok</v>
      </c>
      <c r="I511" s="13" t="s">
        <v>276</v>
      </c>
      <c r="J511" s="22" t="str">
        <f>VLOOKUP(Table2[[#This Row], [Author]],People!A:B,2,0)</f>
        <v>LS</v>
      </c>
      <c r="K511" s="13"/>
      <c r="L511" s="13"/>
      <c r="M511" s="23" t="s">
        <v>277</v>
      </c>
    </row>
    <row r="512" spans="1:13" ht="19.5" customHeight="1">
      <c r="A512" s="18">
        <f t="shared" si="7"/>
        <v>511</v>
      </c>
      <c r="B512" s="11" t="s">
        <v>6</v>
      </c>
      <c r="C512" s="11" t="s">
        <v>52</v>
      </c>
      <c r="D512" s="11" t="s">
        <v>1270</v>
      </c>
      <c r="E512" s="11" t="s">
        <v>1271</v>
      </c>
      <c r="F512" s="11" t="s">
        <v>1251</v>
      </c>
      <c r="G512" s="11" t="s">
        <v>14</v>
      </c>
      <c r="H512" s="19" t="str">
        <f>IFERROR(VLOOKUP(Table2[[#This Row], [Ticket]],Okey!A:B,2,0),"")</f>
        <v>ok</v>
      </c>
      <c r="I512" s="11" t="s">
        <v>276</v>
      </c>
      <c r="J512" s="19" t="str">
        <f>VLOOKUP(Table2[[#This Row], [Author]],People!A:B,2,0)</f>
        <v>LS</v>
      </c>
      <c r="K512" s="11"/>
      <c r="L512" s="11"/>
      <c r="M512" s="20" t="s">
        <v>277</v>
      </c>
    </row>
    <row r="513" spans="1:13" ht="19.5" customHeight="1">
      <c r="A513" s="21">
        <f t="shared" si="7"/>
        <v>512</v>
      </c>
      <c r="B513" s="13" t="s">
        <v>6</v>
      </c>
      <c r="C513" s="13" t="s">
        <v>52</v>
      </c>
      <c r="D513" s="13" t="s">
        <v>1272</v>
      </c>
      <c r="E513" s="13" t="s">
        <v>1273</v>
      </c>
      <c r="F513" s="13" t="s">
        <v>1274</v>
      </c>
      <c r="G513" s="13" t="s">
        <v>14</v>
      </c>
      <c r="H513" s="22" t="str">
        <f>IFERROR(VLOOKUP(Table2[[#This Row], [Ticket]],Okey!A:B,2,0),"")</f>
        <v>ok</v>
      </c>
      <c r="I513" s="13" t="s">
        <v>276</v>
      </c>
      <c r="J513" s="22" t="str">
        <f>VLOOKUP(Table2[[#This Row], [Author]],People!A:B,2,0)</f>
        <v>LS</v>
      </c>
      <c r="K513" s="13"/>
      <c r="L513" s="13"/>
      <c r="M513" s="23" t="s">
        <v>277</v>
      </c>
    </row>
    <row r="514" spans="1:13" ht="19.5" customHeight="1">
      <c r="A514" s="18">
        <f t="shared" si="7"/>
        <v>513</v>
      </c>
      <c r="B514" s="11" t="s">
        <v>6</v>
      </c>
      <c r="C514" s="11" t="s">
        <v>52</v>
      </c>
      <c r="D514" s="11" t="s">
        <v>1275</v>
      </c>
      <c r="E514" s="11" t="s">
        <v>1276</v>
      </c>
      <c r="F514" s="11" t="s">
        <v>1277</v>
      </c>
      <c r="G514" s="11" t="s">
        <v>14</v>
      </c>
      <c r="H514" s="19" t="str">
        <f>IFERROR(VLOOKUP(Table2[[#This Row], [Ticket]],Okey!A:B,2,0),"")</f>
        <v>ok</v>
      </c>
      <c r="I514" s="11" t="s">
        <v>276</v>
      </c>
      <c r="J514" s="19" t="str">
        <f>VLOOKUP(Table2[[#This Row], [Author]],People!A:B,2,0)</f>
        <v>LS</v>
      </c>
      <c r="K514" s="11"/>
      <c r="L514" s="11"/>
      <c r="M514" s="20" t="s">
        <v>277</v>
      </c>
    </row>
    <row r="515" spans="1:13" ht="19.5" customHeight="1">
      <c r="A515" s="21">
        <f t="shared" ref="A515:A578" si="8">1+A514</f>
        <v>514</v>
      </c>
      <c r="B515" s="13" t="s">
        <v>6</v>
      </c>
      <c r="C515" s="13" t="s">
        <v>52</v>
      </c>
      <c r="D515" s="13" t="s">
        <v>1278</v>
      </c>
      <c r="E515" s="13" t="s">
        <v>1279</v>
      </c>
      <c r="F515" s="13" t="s">
        <v>1275</v>
      </c>
      <c r="G515" s="13" t="s">
        <v>14</v>
      </c>
      <c r="H515" s="22" t="str">
        <f>IFERROR(VLOOKUP(Table2[[#This Row], [Ticket]],Okey!A:B,2,0),"")</f>
        <v>ok</v>
      </c>
      <c r="I515" s="13" t="s">
        <v>276</v>
      </c>
      <c r="J515" s="22" t="str">
        <f>VLOOKUP(Table2[[#This Row], [Author]],People!A:B,2,0)</f>
        <v>LS</v>
      </c>
      <c r="K515" s="13"/>
      <c r="L515" s="13"/>
      <c r="M515" s="23" t="s">
        <v>277</v>
      </c>
    </row>
    <row r="516" spans="1:13" ht="19.5" customHeight="1">
      <c r="A516" s="18">
        <f t="shared" si="8"/>
        <v>515</v>
      </c>
      <c r="B516" s="11" t="s">
        <v>6</v>
      </c>
      <c r="C516" s="11" t="s">
        <v>52</v>
      </c>
      <c r="D516" s="11" t="s">
        <v>1280</v>
      </c>
      <c r="E516" s="11" t="s">
        <v>1281</v>
      </c>
      <c r="F516" s="11" t="s">
        <v>1275</v>
      </c>
      <c r="G516" s="11" t="s">
        <v>14</v>
      </c>
      <c r="H516" s="19" t="str">
        <f>IFERROR(VLOOKUP(Table2[[#This Row], [Ticket]],Okey!A:B,2,0),"")</f>
        <v>ok</v>
      </c>
      <c r="I516" s="11" t="s">
        <v>276</v>
      </c>
      <c r="J516" s="19" t="str">
        <f>VLOOKUP(Table2[[#This Row], [Author]],People!A:B,2,0)</f>
        <v>LS</v>
      </c>
      <c r="K516" s="11"/>
      <c r="L516" s="11"/>
      <c r="M516" s="20" t="s">
        <v>277</v>
      </c>
    </row>
    <row r="517" spans="1:13" ht="19.5" customHeight="1">
      <c r="A517" s="21">
        <f t="shared" si="8"/>
        <v>516</v>
      </c>
      <c r="B517" s="13" t="s">
        <v>6</v>
      </c>
      <c r="C517" s="13" t="s">
        <v>52</v>
      </c>
      <c r="D517" s="13" t="s">
        <v>1282</v>
      </c>
      <c r="E517" s="13" t="s">
        <v>1283</v>
      </c>
      <c r="F517" s="13" t="s">
        <v>1275</v>
      </c>
      <c r="G517" s="13" t="s">
        <v>14</v>
      </c>
      <c r="H517" s="22" t="str">
        <f>IFERROR(VLOOKUP(Table2[[#This Row], [Ticket]],Okey!A:B,2,0),"")</f>
        <v>ok</v>
      </c>
      <c r="I517" s="13" t="s">
        <v>276</v>
      </c>
      <c r="J517" s="22" t="str">
        <f>VLOOKUP(Table2[[#This Row], [Author]],People!A:B,2,0)</f>
        <v>LS</v>
      </c>
      <c r="K517" s="13"/>
      <c r="L517" s="13"/>
      <c r="M517" s="23" t="s">
        <v>277</v>
      </c>
    </row>
    <row r="518" spans="1:13" ht="19.5" customHeight="1">
      <c r="A518" s="18">
        <f t="shared" si="8"/>
        <v>517</v>
      </c>
      <c r="B518" s="11" t="s">
        <v>6</v>
      </c>
      <c r="C518" s="11" t="s">
        <v>52</v>
      </c>
      <c r="D518" s="11" t="s">
        <v>1284</v>
      </c>
      <c r="E518" s="11" t="s">
        <v>1285</v>
      </c>
      <c r="F518" s="11" t="s">
        <v>1275</v>
      </c>
      <c r="G518" s="11" t="s">
        <v>14</v>
      </c>
      <c r="H518" s="19" t="str">
        <f>IFERROR(VLOOKUP(Table2[[#This Row], [Ticket]],Okey!A:B,2,0),"")</f>
        <v>ok</v>
      </c>
      <c r="I518" s="11" t="s">
        <v>276</v>
      </c>
      <c r="J518" s="19" t="str">
        <f>VLOOKUP(Table2[[#This Row], [Author]],People!A:B,2,0)</f>
        <v>LS</v>
      </c>
      <c r="K518" s="11"/>
      <c r="L518" s="11"/>
      <c r="M518" s="20" t="s">
        <v>277</v>
      </c>
    </row>
    <row r="519" spans="1:13" ht="19.5" customHeight="1">
      <c r="A519" s="21">
        <f t="shared" si="8"/>
        <v>518</v>
      </c>
      <c r="B519" s="13" t="s">
        <v>6</v>
      </c>
      <c r="C519" s="13" t="s">
        <v>52</v>
      </c>
      <c r="D519" s="13" t="s">
        <v>1286</v>
      </c>
      <c r="E519" s="13" t="s">
        <v>1287</v>
      </c>
      <c r="F519" s="13" t="s">
        <v>1275</v>
      </c>
      <c r="G519" s="13" t="s">
        <v>14</v>
      </c>
      <c r="H519" s="22" t="str">
        <f>IFERROR(VLOOKUP(Table2[[#This Row], [Ticket]],Okey!A:B,2,0),"")</f>
        <v>ok</v>
      </c>
      <c r="I519" s="13" t="s">
        <v>276</v>
      </c>
      <c r="J519" s="22" t="str">
        <f>VLOOKUP(Table2[[#This Row], [Author]],People!A:B,2,0)</f>
        <v>LS</v>
      </c>
      <c r="K519" s="13"/>
      <c r="L519" s="13"/>
      <c r="M519" s="23" t="s">
        <v>277</v>
      </c>
    </row>
    <row r="520" spans="1:13" ht="19.5" customHeight="1">
      <c r="A520" s="18">
        <f t="shared" si="8"/>
        <v>519</v>
      </c>
      <c r="B520" s="11" t="s">
        <v>6</v>
      </c>
      <c r="C520" s="11" t="s">
        <v>52</v>
      </c>
      <c r="D520" s="11" t="s">
        <v>1288</v>
      </c>
      <c r="E520" s="11" t="s">
        <v>1289</v>
      </c>
      <c r="F520" s="11" t="s">
        <v>1275</v>
      </c>
      <c r="G520" s="11" t="s">
        <v>14</v>
      </c>
      <c r="H520" s="19" t="str">
        <f>IFERROR(VLOOKUP(Table2[[#This Row], [Ticket]],Okey!A:B,2,0),"")</f>
        <v>ok</v>
      </c>
      <c r="I520" s="11" t="s">
        <v>276</v>
      </c>
      <c r="J520" s="19" t="str">
        <f>VLOOKUP(Table2[[#This Row], [Author]],People!A:B,2,0)</f>
        <v>LS</v>
      </c>
      <c r="K520" s="11"/>
      <c r="L520" s="11"/>
      <c r="M520" s="20" t="s">
        <v>277</v>
      </c>
    </row>
    <row r="521" spans="1:13" ht="19.5" customHeight="1">
      <c r="A521" s="21">
        <f t="shared" si="8"/>
        <v>520</v>
      </c>
      <c r="B521" s="13" t="s">
        <v>6</v>
      </c>
      <c r="C521" s="13" t="s">
        <v>52</v>
      </c>
      <c r="D521" s="13" t="s">
        <v>1290</v>
      </c>
      <c r="E521" s="13" t="s">
        <v>1291</v>
      </c>
      <c r="F521" s="13" t="s">
        <v>1277</v>
      </c>
      <c r="G521" s="13" t="s">
        <v>14</v>
      </c>
      <c r="H521" s="22" t="str">
        <f>IFERROR(VLOOKUP(Table2[[#This Row], [Ticket]],Okey!A:B,2,0),"")</f>
        <v>ok</v>
      </c>
      <c r="I521" s="13" t="s">
        <v>276</v>
      </c>
      <c r="J521" s="22" t="str">
        <f>VLOOKUP(Table2[[#This Row], [Author]],People!A:B,2,0)</f>
        <v>LS</v>
      </c>
      <c r="K521" s="13"/>
      <c r="L521" s="13"/>
      <c r="M521" s="23" t="s">
        <v>277</v>
      </c>
    </row>
    <row r="522" spans="1:13" ht="19.5" customHeight="1">
      <c r="A522" s="18">
        <f t="shared" si="8"/>
        <v>521</v>
      </c>
      <c r="B522" s="11" t="s">
        <v>6</v>
      </c>
      <c r="C522" s="11" t="s">
        <v>52</v>
      </c>
      <c r="D522" s="11" t="s">
        <v>1292</v>
      </c>
      <c r="E522" s="11" t="s">
        <v>1293</v>
      </c>
      <c r="F522" s="11" t="s">
        <v>1278</v>
      </c>
      <c r="G522" s="11" t="s">
        <v>14</v>
      </c>
      <c r="H522" s="19" t="str">
        <f>IFERROR(VLOOKUP(Table2[[#This Row], [Ticket]],Okey!A:B,2,0),"")</f>
        <v>ok</v>
      </c>
      <c r="I522" s="11" t="s">
        <v>276</v>
      </c>
      <c r="J522" s="19" t="str">
        <f>VLOOKUP(Table2[[#This Row], [Author]],People!A:B,2,0)</f>
        <v>LS</v>
      </c>
      <c r="K522" s="11"/>
      <c r="L522" s="11"/>
      <c r="M522" s="20" t="s">
        <v>277</v>
      </c>
    </row>
    <row r="523" spans="1:13" ht="19.5" customHeight="1">
      <c r="A523" s="21">
        <f t="shared" si="8"/>
        <v>522</v>
      </c>
      <c r="B523" s="13" t="s">
        <v>6</v>
      </c>
      <c r="C523" s="13" t="s">
        <v>52</v>
      </c>
      <c r="D523" s="13" t="s">
        <v>1294</v>
      </c>
      <c r="E523" s="13" t="s">
        <v>1295</v>
      </c>
      <c r="F523" s="13" t="s">
        <v>1278</v>
      </c>
      <c r="G523" s="13" t="s">
        <v>14</v>
      </c>
      <c r="H523" s="22" t="str">
        <f>IFERROR(VLOOKUP(Table2[[#This Row], [Ticket]],Okey!A:B,2,0),"")</f>
        <v>ok</v>
      </c>
      <c r="I523" s="13" t="s">
        <v>276</v>
      </c>
      <c r="J523" s="22" t="str">
        <f>VLOOKUP(Table2[[#This Row], [Author]],People!A:B,2,0)</f>
        <v>LS</v>
      </c>
      <c r="K523" s="13"/>
      <c r="L523" s="13"/>
      <c r="M523" s="23" t="s">
        <v>277</v>
      </c>
    </row>
    <row r="524" spans="1:13" ht="19.5" customHeight="1">
      <c r="A524" s="18">
        <f t="shared" si="8"/>
        <v>523</v>
      </c>
      <c r="B524" s="11" t="s">
        <v>6</v>
      </c>
      <c r="C524" s="11" t="s">
        <v>52</v>
      </c>
      <c r="D524" s="11" t="s">
        <v>1296</v>
      </c>
      <c r="E524" s="11" t="s">
        <v>1297</v>
      </c>
      <c r="F524" s="11" t="s">
        <v>1286</v>
      </c>
      <c r="G524" s="11" t="s">
        <v>14</v>
      </c>
      <c r="H524" s="19" t="str">
        <f>IFERROR(VLOOKUP(Table2[[#This Row], [Ticket]],Okey!A:B,2,0),"")</f>
        <v>ok</v>
      </c>
      <c r="I524" s="11" t="s">
        <v>276</v>
      </c>
      <c r="J524" s="19" t="str">
        <f>VLOOKUP(Table2[[#This Row], [Author]],People!A:B,2,0)</f>
        <v>LS</v>
      </c>
      <c r="K524" s="11"/>
      <c r="L524" s="11"/>
      <c r="M524" s="20" t="s">
        <v>277</v>
      </c>
    </row>
    <row r="525" spans="1:13" ht="19.5" customHeight="1">
      <c r="A525" s="21">
        <f t="shared" si="8"/>
        <v>524</v>
      </c>
      <c r="B525" s="13" t="s">
        <v>6</v>
      </c>
      <c r="C525" s="13" t="s">
        <v>52</v>
      </c>
      <c r="D525" s="13" t="s">
        <v>1298</v>
      </c>
      <c r="E525" s="13" t="s">
        <v>1299</v>
      </c>
      <c r="F525" s="13" t="s">
        <v>1300</v>
      </c>
      <c r="G525" s="13" t="s">
        <v>14</v>
      </c>
      <c r="H525" s="22" t="str">
        <f>IFERROR(VLOOKUP(Table2[[#This Row], [Ticket]],Okey!A:B,2,0),"")</f>
        <v>ok</v>
      </c>
      <c r="I525" s="13" t="s">
        <v>276</v>
      </c>
      <c r="J525" s="22" t="str">
        <f>VLOOKUP(Table2[[#This Row], [Author]],People!A:B,2,0)</f>
        <v>LS</v>
      </c>
      <c r="K525" s="13"/>
      <c r="L525" s="13"/>
      <c r="M525" s="23" t="s">
        <v>277</v>
      </c>
    </row>
    <row r="526" spans="1:13" ht="19.5" customHeight="1">
      <c r="A526" s="18">
        <f t="shared" si="8"/>
        <v>525</v>
      </c>
      <c r="B526" s="11" t="s">
        <v>6</v>
      </c>
      <c r="C526" s="11" t="s">
        <v>52</v>
      </c>
      <c r="D526" s="11" t="s">
        <v>1301</v>
      </c>
      <c r="E526" s="11" t="s">
        <v>1302</v>
      </c>
      <c r="F526" s="11" t="s">
        <v>1300</v>
      </c>
      <c r="G526" s="11" t="s">
        <v>14</v>
      </c>
      <c r="H526" s="19" t="str">
        <f>IFERROR(VLOOKUP(Table2[[#This Row], [Ticket]],Okey!A:B,2,0),"")</f>
        <v>ok</v>
      </c>
      <c r="I526" s="11" t="s">
        <v>276</v>
      </c>
      <c r="J526" s="19" t="str">
        <f>VLOOKUP(Table2[[#This Row], [Author]],People!A:B,2,0)</f>
        <v>LS</v>
      </c>
      <c r="K526" s="11"/>
      <c r="L526" s="11"/>
      <c r="M526" s="20" t="s">
        <v>277</v>
      </c>
    </row>
    <row r="527" spans="1:13" ht="19.5" customHeight="1">
      <c r="A527" s="21">
        <f t="shared" si="8"/>
        <v>526</v>
      </c>
      <c r="B527" s="13" t="s">
        <v>6</v>
      </c>
      <c r="C527" s="13" t="s">
        <v>52</v>
      </c>
      <c r="D527" s="13" t="s">
        <v>1303</v>
      </c>
      <c r="E527" s="13" t="s">
        <v>1304</v>
      </c>
      <c r="F527" s="13" t="s">
        <v>1300</v>
      </c>
      <c r="G527" s="13" t="s">
        <v>14</v>
      </c>
      <c r="H527" s="22" t="str">
        <f>IFERROR(VLOOKUP(Table2[[#This Row], [Ticket]],Okey!A:B,2,0),"")</f>
        <v>ok</v>
      </c>
      <c r="I527" s="13" t="s">
        <v>276</v>
      </c>
      <c r="J527" s="22" t="str">
        <f>VLOOKUP(Table2[[#This Row], [Author]],People!A:B,2,0)</f>
        <v>LS</v>
      </c>
      <c r="K527" s="13"/>
      <c r="L527" s="13"/>
      <c r="M527" s="23" t="s">
        <v>277</v>
      </c>
    </row>
    <row r="528" spans="1:13" ht="19.5" customHeight="1">
      <c r="A528" s="18">
        <f t="shared" si="8"/>
        <v>527</v>
      </c>
      <c r="B528" s="11" t="s">
        <v>6</v>
      </c>
      <c r="C528" s="11" t="s">
        <v>52</v>
      </c>
      <c r="D528" s="11" t="s">
        <v>1305</v>
      </c>
      <c r="E528" s="11" t="s">
        <v>1306</v>
      </c>
      <c r="F528" s="11" t="s">
        <v>1300</v>
      </c>
      <c r="G528" s="11" t="s">
        <v>14</v>
      </c>
      <c r="H528" s="19" t="str">
        <f>IFERROR(VLOOKUP(Table2[[#This Row], [Ticket]],Okey!A:B,2,0),"")</f>
        <v>ok</v>
      </c>
      <c r="I528" s="11" t="s">
        <v>276</v>
      </c>
      <c r="J528" s="19" t="str">
        <f>VLOOKUP(Table2[[#This Row], [Author]],People!A:B,2,0)</f>
        <v>LS</v>
      </c>
      <c r="K528" s="11"/>
      <c r="L528" s="11"/>
      <c r="M528" s="20" t="s">
        <v>277</v>
      </c>
    </row>
    <row r="529" spans="1:13" ht="19.5" customHeight="1">
      <c r="A529" s="21">
        <f t="shared" si="8"/>
        <v>528</v>
      </c>
      <c r="B529" s="13" t="s">
        <v>6</v>
      </c>
      <c r="C529" s="13" t="s">
        <v>52</v>
      </c>
      <c r="D529" s="13" t="s">
        <v>1307</v>
      </c>
      <c r="E529" s="13" t="s">
        <v>1308</v>
      </c>
      <c r="F529" s="13" t="s">
        <v>1309</v>
      </c>
      <c r="G529" s="13" t="s">
        <v>14</v>
      </c>
      <c r="H529" s="22" t="str">
        <f>IFERROR(VLOOKUP(Table2[[#This Row], [Ticket]],Okey!A:B,2,0),"")</f>
        <v>ok</v>
      </c>
      <c r="I529" s="13" t="s">
        <v>276</v>
      </c>
      <c r="J529" s="22" t="str">
        <f>VLOOKUP(Table2[[#This Row], [Author]],People!A:B,2,0)</f>
        <v>LS</v>
      </c>
      <c r="K529" s="13"/>
      <c r="L529" s="13"/>
      <c r="M529" s="23" t="s">
        <v>277</v>
      </c>
    </row>
    <row r="530" spans="1:13" ht="19.5" customHeight="1">
      <c r="A530" s="18">
        <f t="shared" si="8"/>
        <v>529</v>
      </c>
      <c r="B530" s="11" t="s">
        <v>6</v>
      </c>
      <c r="C530" s="11" t="s">
        <v>52</v>
      </c>
      <c r="D530" s="11" t="s">
        <v>1310</v>
      </c>
      <c r="E530" s="11" t="s">
        <v>1311</v>
      </c>
      <c r="F530" s="11" t="s">
        <v>1312</v>
      </c>
      <c r="G530" s="11" t="s">
        <v>14</v>
      </c>
      <c r="H530" s="19" t="str">
        <f>IFERROR(VLOOKUP(Table2[[#This Row], [Ticket]],Okey!A:B,2,0),"")</f>
        <v>ok</v>
      </c>
      <c r="I530" s="11" t="s">
        <v>276</v>
      </c>
      <c r="J530" s="19" t="str">
        <f>VLOOKUP(Table2[[#This Row], [Author]],People!A:B,2,0)</f>
        <v>LS</v>
      </c>
      <c r="K530" s="11"/>
      <c r="L530" s="11"/>
      <c r="M530" s="20" t="s">
        <v>277</v>
      </c>
    </row>
    <row r="531" spans="1:13" ht="19.5" customHeight="1">
      <c r="A531" s="21">
        <f t="shared" si="8"/>
        <v>530</v>
      </c>
      <c r="B531" s="13" t="s">
        <v>6</v>
      </c>
      <c r="C531" s="13" t="s">
        <v>52</v>
      </c>
      <c r="D531" s="13" t="s">
        <v>1313</v>
      </c>
      <c r="E531" s="13" t="s">
        <v>1314</v>
      </c>
      <c r="F531" s="13" t="s">
        <v>1312</v>
      </c>
      <c r="G531" s="13" t="s">
        <v>14</v>
      </c>
      <c r="H531" s="22" t="str">
        <f>IFERROR(VLOOKUP(Table2[[#This Row], [Ticket]],Okey!A:B,2,0),"")</f>
        <v>ok</v>
      </c>
      <c r="I531" s="13" t="s">
        <v>276</v>
      </c>
      <c r="J531" s="22" t="str">
        <f>VLOOKUP(Table2[[#This Row], [Author]],People!A:B,2,0)</f>
        <v>LS</v>
      </c>
      <c r="K531" s="13"/>
      <c r="L531" s="13"/>
      <c r="M531" s="23" t="s">
        <v>277</v>
      </c>
    </row>
    <row r="532" spans="1:13" ht="19.5" customHeight="1">
      <c r="A532" s="18">
        <f t="shared" si="8"/>
        <v>531</v>
      </c>
      <c r="B532" s="11" t="s">
        <v>6</v>
      </c>
      <c r="C532" s="11" t="s">
        <v>52</v>
      </c>
      <c r="D532" s="11" t="s">
        <v>1315</v>
      </c>
      <c r="E532" s="11" t="s">
        <v>1316</v>
      </c>
      <c r="F532" s="11" t="s">
        <v>1309</v>
      </c>
      <c r="G532" s="11" t="s">
        <v>14</v>
      </c>
      <c r="H532" s="19" t="str">
        <f>IFERROR(VLOOKUP(Table2[[#This Row], [Ticket]],Okey!A:B,2,0),"")</f>
        <v>ok</v>
      </c>
      <c r="I532" s="11" t="s">
        <v>276</v>
      </c>
      <c r="J532" s="19" t="str">
        <f>VLOOKUP(Table2[[#This Row], [Author]],People!A:B,2,0)</f>
        <v>LS</v>
      </c>
      <c r="K532" s="11"/>
      <c r="L532" s="11"/>
      <c r="M532" s="20" t="s">
        <v>277</v>
      </c>
    </row>
    <row r="533" spans="1:13" ht="19.5" customHeight="1">
      <c r="A533" s="21">
        <f t="shared" si="8"/>
        <v>532</v>
      </c>
      <c r="B533" s="13" t="s">
        <v>6</v>
      </c>
      <c r="C533" s="13" t="s">
        <v>52</v>
      </c>
      <c r="D533" s="13" t="s">
        <v>1317</v>
      </c>
      <c r="E533" s="13" t="s">
        <v>1318</v>
      </c>
      <c r="F533" s="13" t="s">
        <v>1315</v>
      </c>
      <c r="G533" s="13" t="s">
        <v>14</v>
      </c>
      <c r="H533" s="22" t="str">
        <f>IFERROR(VLOOKUP(Table2[[#This Row], [Ticket]],Okey!A:B,2,0),"")</f>
        <v>ok</v>
      </c>
      <c r="I533" s="13" t="s">
        <v>276</v>
      </c>
      <c r="J533" s="22" t="str">
        <f>VLOOKUP(Table2[[#This Row], [Author]],People!A:B,2,0)</f>
        <v>LS</v>
      </c>
      <c r="K533" s="13"/>
      <c r="L533" s="13"/>
      <c r="M533" s="23" t="s">
        <v>277</v>
      </c>
    </row>
    <row r="534" spans="1:13" ht="19.5" customHeight="1">
      <c r="A534" s="18">
        <f t="shared" si="8"/>
        <v>533</v>
      </c>
      <c r="B534" s="11" t="s">
        <v>6</v>
      </c>
      <c r="C534" s="11" t="s">
        <v>52</v>
      </c>
      <c r="D534" s="11" t="s">
        <v>1319</v>
      </c>
      <c r="E534" s="11" t="s">
        <v>1320</v>
      </c>
      <c r="F534" s="11" t="s">
        <v>1317</v>
      </c>
      <c r="G534" s="11" t="s">
        <v>14</v>
      </c>
      <c r="H534" s="19" t="str">
        <f>IFERROR(VLOOKUP(Table2[[#This Row], [Ticket]],Okey!A:B,2,0),"")</f>
        <v>ok</v>
      </c>
      <c r="I534" s="11" t="s">
        <v>276</v>
      </c>
      <c r="J534" s="19" t="str">
        <f>VLOOKUP(Table2[[#This Row], [Author]],People!A:B,2,0)</f>
        <v>LS</v>
      </c>
      <c r="K534" s="11"/>
      <c r="L534" s="11"/>
      <c r="M534" s="20" t="s">
        <v>277</v>
      </c>
    </row>
    <row r="535" spans="1:13" ht="19.5" customHeight="1">
      <c r="A535" s="21">
        <f t="shared" si="8"/>
        <v>534</v>
      </c>
      <c r="B535" s="13" t="s">
        <v>6</v>
      </c>
      <c r="C535" s="13" t="s">
        <v>52</v>
      </c>
      <c r="D535" s="13" t="s">
        <v>1321</v>
      </c>
      <c r="E535" s="13" t="s">
        <v>1322</v>
      </c>
      <c r="F535" s="13" t="s">
        <v>1309</v>
      </c>
      <c r="G535" s="13" t="s">
        <v>14</v>
      </c>
      <c r="H535" s="22" t="str">
        <f>IFERROR(VLOOKUP(Table2[[#This Row], [Ticket]],Okey!A:B,2,0),"")</f>
        <v>ok</v>
      </c>
      <c r="I535" s="13" t="s">
        <v>276</v>
      </c>
      <c r="J535" s="22" t="str">
        <f>VLOOKUP(Table2[[#This Row], [Author]],People!A:B,2,0)</f>
        <v>LS</v>
      </c>
      <c r="K535" s="13"/>
      <c r="L535" s="13"/>
      <c r="M535" s="23" t="s">
        <v>277</v>
      </c>
    </row>
    <row r="536" spans="1:13" ht="19.5" customHeight="1">
      <c r="A536" s="18">
        <f t="shared" si="8"/>
        <v>535</v>
      </c>
      <c r="B536" s="11" t="s">
        <v>6</v>
      </c>
      <c r="C536" s="11" t="s">
        <v>52</v>
      </c>
      <c r="D536" s="11" t="s">
        <v>1323</v>
      </c>
      <c r="E536" s="11" t="s">
        <v>1324</v>
      </c>
      <c r="F536" s="11" t="s">
        <v>1325</v>
      </c>
      <c r="G536" s="11" t="s">
        <v>14</v>
      </c>
      <c r="H536" s="19" t="str">
        <f>IFERROR(VLOOKUP(Table2[[#This Row], [Ticket]],Okey!A:B,2,0),"")</f>
        <v>ok</v>
      </c>
      <c r="I536" s="11" t="s">
        <v>276</v>
      </c>
      <c r="J536" s="19" t="str">
        <f>VLOOKUP(Table2[[#This Row], [Author]],People!A:B,2,0)</f>
        <v>LS</v>
      </c>
      <c r="K536" s="11"/>
      <c r="L536" s="11"/>
      <c r="M536" s="20" t="s">
        <v>277</v>
      </c>
    </row>
    <row r="537" spans="1:13" ht="19.5" customHeight="1">
      <c r="A537" s="21">
        <f t="shared" si="8"/>
        <v>536</v>
      </c>
      <c r="B537" s="13" t="s">
        <v>6</v>
      </c>
      <c r="C537" s="13" t="s">
        <v>52</v>
      </c>
      <c r="D537" s="13" t="s">
        <v>1326</v>
      </c>
      <c r="E537" s="13" t="s">
        <v>1327</v>
      </c>
      <c r="F537" s="13" t="s">
        <v>1325</v>
      </c>
      <c r="G537" s="13" t="s">
        <v>14</v>
      </c>
      <c r="H537" s="22" t="str">
        <f>IFERROR(VLOOKUP(Table2[[#This Row], [Ticket]],Okey!A:B,2,0),"")</f>
        <v>ok</v>
      </c>
      <c r="I537" s="13" t="s">
        <v>276</v>
      </c>
      <c r="J537" s="22" t="str">
        <f>VLOOKUP(Table2[[#This Row], [Author]],People!A:B,2,0)</f>
        <v>LS</v>
      </c>
      <c r="K537" s="13"/>
      <c r="L537" s="13"/>
      <c r="M537" s="23" t="s">
        <v>277</v>
      </c>
    </row>
    <row r="538" spans="1:13" ht="19.5" customHeight="1">
      <c r="A538" s="18">
        <f t="shared" si="8"/>
        <v>537</v>
      </c>
      <c r="B538" s="11" t="s">
        <v>6</v>
      </c>
      <c r="C538" s="11" t="s">
        <v>52</v>
      </c>
      <c r="D538" s="11" t="s">
        <v>1328</v>
      </c>
      <c r="E538" s="11" t="s">
        <v>1329</v>
      </c>
      <c r="F538" s="11" t="s">
        <v>1309</v>
      </c>
      <c r="G538" s="11" t="s">
        <v>14</v>
      </c>
      <c r="H538" s="19" t="str">
        <f>IFERROR(VLOOKUP(Table2[[#This Row], [Ticket]],Okey!A:B,2,0),"")</f>
        <v>ok</v>
      </c>
      <c r="I538" s="11" t="s">
        <v>276</v>
      </c>
      <c r="J538" s="19" t="str">
        <f>VLOOKUP(Table2[[#This Row], [Author]],People!A:B,2,0)</f>
        <v>LS</v>
      </c>
      <c r="K538" s="11"/>
      <c r="L538" s="11"/>
      <c r="M538" s="20" t="s">
        <v>277</v>
      </c>
    </row>
    <row r="539" spans="1:13" ht="19.5" customHeight="1">
      <c r="A539" s="21">
        <f t="shared" si="8"/>
        <v>538</v>
      </c>
      <c r="B539" s="13" t="s">
        <v>6</v>
      </c>
      <c r="C539" s="13" t="s">
        <v>52</v>
      </c>
      <c r="D539" s="13" t="s">
        <v>1330</v>
      </c>
      <c r="E539" s="13" t="s">
        <v>1331</v>
      </c>
      <c r="F539" s="13" t="s">
        <v>1328</v>
      </c>
      <c r="G539" s="13" t="s">
        <v>14</v>
      </c>
      <c r="H539" s="22" t="str">
        <f>IFERROR(VLOOKUP(Table2[[#This Row], [Ticket]],Okey!A:B,2,0),"")</f>
        <v>ok</v>
      </c>
      <c r="I539" s="13" t="s">
        <v>276</v>
      </c>
      <c r="J539" s="22" t="str">
        <f>VLOOKUP(Table2[[#This Row], [Author]],People!A:B,2,0)</f>
        <v>LS</v>
      </c>
      <c r="K539" s="13"/>
      <c r="L539" s="13"/>
      <c r="M539" s="23" t="s">
        <v>277</v>
      </c>
    </row>
    <row r="540" spans="1:13" ht="19.5" customHeight="1">
      <c r="A540" s="18">
        <f t="shared" si="8"/>
        <v>539</v>
      </c>
      <c r="B540" s="11" t="s">
        <v>6</v>
      </c>
      <c r="C540" s="11" t="s">
        <v>52</v>
      </c>
      <c r="D540" s="11" t="s">
        <v>1332</v>
      </c>
      <c r="E540" s="11" t="s">
        <v>1333</v>
      </c>
      <c r="F540" s="11" t="s">
        <v>1328</v>
      </c>
      <c r="G540" s="11" t="s">
        <v>14</v>
      </c>
      <c r="H540" s="19" t="str">
        <f>IFERROR(VLOOKUP(Table2[[#This Row], [Ticket]],Okey!A:B,2,0),"")</f>
        <v>ok</v>
      </c>
      <c r="I540" s="11" t="s">
        <v>276</v>
      </c>
      <c r="J540" s="19" t="str">
        <f>VLOOKUP(Table2[[#This Row], [Author]],People!A:B,2,0)</f>
        <v>LS</v>
      </c>
      <c r="K540" s="11"/>
      <c r="L540" s="11"/>
      <c r="M540" s="20" t="s">
        <v>277</v>
      </c>
    </row>
    <row r="541" spans="1:13" ht="19.5" customHeight="1">
      <c r="A541" s="21">
        <f t="shared" si="8"/>
        <v>540</v>
      </c>
      <c r="B541" s="13" t="s">
        <v>6</v>
      </c>
      <c r="C541" s="13" t="s">
        <v>52</v>
      </c>
      <c r="D541" s="13" t="s">
        <v>1334</v>
      </c>
      <c r="E541" s="13" t="s">
        <v>1335</v>
      </c>
      <c r="F541" s="13" t="s">
        <v>1328</v>
      </c>
      <c r="G541" s="13" t="s">
        <v>14</v>
      </c>
      <c r="H541" s="22" t="str">
        <f>IFERROR(VLOOKUP(Table2[[#This Row], [Ticket]],Okey!A:B,2,0),"")</f>
        <v>ok</v>
      </c>
      <c r="I541" s="13" t="s">
        <v>276</v>
      </c>
      <c r="J541" s="22" t="str">
        <f>VLOOKUP(Table2[[#This Row], [Author]],People!A:B,2,0)</f>
        <v>LS</v>
      </c>
      <c r="K541" s="13"/>
      <c r="L541" s="13"/>
      <c r="M541" s="23" t="s">
        <v>277</v>
      </c>
    </row>
    <row r="542" spans="1:13" ht="19.5" customHeight="1">
      <c r="A542" s="18">
        <f t="shared" si="8"/>
        <v>541</v>
      </c>
      <c r="B542" s="11" t="s">
        <v>6</v>
      </c>
      <c r="C542" s="11" t="s">
        <v>52</v>
      </c>
      <c r="D542" s="11" t="s">
        <v>1336</v>
      </c>
      <c r="E542" s="11" t="s">
        <v>1337</v>
      </c>
      <c r="F542" s="11" t="s">
        <v>1328</v>
      </c>
      <c r="G542" s="11" t="s">
        <v>14</v>
      </c>
      <c r="H542" s="19" t="str">
        <f>IFERROR(VLOOKUP(Table2[[#This Row], [Ticket]],Okey!A:B,2,0),"")</f>
        <v>ok</v>
      </c>
      <c r="I542" s="11" t="s">
        <v>276</v>
      </c>
      <c r="J542" s="19" t="str">
        <f>VLOOKUP(Table2[[#This Row], [Author]],People!A:B,2,0)</f>
        <v>LS</v>
      </c>
      <c r="K542" s="11"/>
      <c r="L542" s="11"/>
      <c r="M542" s="20" t="s">
        <v>277</v>
      </c>
    </row>
    <row r="543" spans="1:13" ht="19.5" customHeight="1">
      <c r="A543" s="21">
        <f t="shared" si="8"/>
        <v>542</v>
      </c>
      <c r="B543" s="13" t="s">
        <v>6</v>
      </c>
      <c r="C543" s="13" t="s">
        <v>52</v>
      </c>
      <c r="D543" s="13" t="s">
        <v>1338</v>
      </c>
      <c r="E543" s="13" t="s">
        <v>1339</v>
      </c>
      <c r="F543" s="13" t="s">
        <v>1328</v>
      </c>
      <c r="G543" s="13" t="s">
        <v>14</v>
      </c>
      <c r="H543" s="22" t="str">
        <f>IFERROR(VLOOKUP(Table2[[#This Row], [Ticket]],Okey!A:B,2,0),"")</f>
        <v>ok</v>
      </c>
      <c r="I543" s="13" t="s">
        <v>276</v>
      </c>
      <c r="J543" s="22" t="str">
        <f>VLOOKUP(Table2[[#This Row], [Author]],People!A:B,2,0)</f>
        <v>LS</v>
      </c>
      <c r="K543" s="13"/>
      <c r="L543" s="13"/>
      <c r="M543" s="23" t="s">
        <v>277</v>
      </c>
    </row>
    <row r="544" spans="1:13" ht="19.5" customHeight="1">
      <c r="A544" s="18">
        <f t="shared" si="8"/>
        <v>543</v>
      </c>
      <c r="B544" s="11" t="s">
        <v>6</v>
      </c>
      <c r="C544" s="11" t="s">
        <v>52</v>
      </c>
      <c r="D544" s="11" t="s">
        <v>1340</v>
      </c>
      <c r="E544" s="11" t="s">
        <v>1341</v>
      </c>
      <c r="F544" s="11" t="s">
        <v>1277</v>
      </c>
      <c r="G544" s="11" t="s">
        <v>14</v>
      </c>
      <c r="H544" s="19" t="str">
        <f>IFERROR(VLOOKUP(Table2[[#This Row], [Ticket]],Okey!A:B,2,0),"")</f>
        <v>ok</v>
      </c>
      <c r="I544" s="11" t="s">
        <v>276</v>
      </c>
      <c r="J544" s="19" t="str">
        <f>VLOOKUP(Table2[[#This Row], [Author]],People!A:B,2,0)</f>
        <v>LS</v>
      </c>
      <c r="K544" s="11"/>
      <c r="L544" s="11"/>
      <c r="M544" s="20" t="s">
        <v>277</v>
      </c>
    </row>
    <row r="545" spans="1:13" ht="19.5" customHeight="1">
      <c r="A545" s="21">
        <f t="shared" si="8"/>
        <v>544</v>
      </c>
      <c r="B545" s="13" t="s">
        <v>6</v>
      </c>
      <c r="C545" s="13" t="s">
        <v>52</v>
      </c>
      <c r="D545" s="13" t="s">
        <v>1342</v>
      </c>
      <c r="E545" s="13" t="s">
        <v>1343</v>
      </c>
      <c r="F545" s="13" t="s">
        <v>1340</v>
      </c>
      <c r="G545" s="13" t="s">
        <v>14</v>
      </c>
      <c r="H545" s="22" t="str">
        <f>IFERROR(VLOOKUP(Table2[[#This Row], [Ticket]],Okey!A:B,2,0),"")</f>
        <v>ok</v>
      </c>
      <c r="I545" s="13" t="s">
        <v>276</v>
      </c>
      <c r="J545" s="22" t="str">
        <f>VLOOKUP(Table2[[#This Row], [Author]],People!A:B,2,0)</f>
        <v>LS</v>
      </c>
      <c r="K545" s="13"/>
      <c r="L545" s="13"/>
      <c r="M545" s="23" t="s">
        <v>277</v>
      </c>
    </row>
    <row r="546" spans="1:13" ht="19.5" customHeight="1">
      <c r="A546" s="18">
        <f t="shared" si="8"/>
        <v>545</v>
      </c>
      <c r="B546" s="11" t="s">
        <v>6</v>
      </c>
      <c r="C546" s="11" t="s">
        <v>52</v>
      </c>
      <c r="D546" s="11" t="s">
        <v>1344</v>
      </c>
      <c r="E546" s="11" t="s">
        <v>1345</v>
      </c>
      <c r="F546" s="11" t="s">
        <v>1340</v>
      </c>
      <c r="G546" s="11" t="s">
        <v>14</v>
      </c>
      <c r="H546" s="19" t="str">
        <f>IFERROR(VLOOKUP(Table2[[#This Row], [Ticket]],Okey!A:B,2,0),"")</f>
        <v>ok</v>
      </c>
      <c r="I546" s="11" t="s">
        <v>276</v>
      </c>
      <c r="J546" s="19" t="str">
        <f>VLOOKUP(Table2[[#This Row], [Author]],People!A:B,2,0)</f>
        <v>LS</v>
      </c>
      <c r="K546" s="11"/>
      <c r="L546" s="11"/>
      <c r="M546" s="20" t="s">
        <v>277</v>
      </c>
    </row>
    <row r="547" spans="1:13" ht="19.5" customHeight="1">
      <c r="A547" s="21">
        <f t="shared" si="8"/>
        <v>546</v>
      </c>
      <c r="B547" s="13" t="s">
        <v>6</v>
      </c>
      <c r="C547" s="13" t="s">
        <v>52</v>
      </c>
      <c r="D547" s="13" t="s">
        <v>1346</v>
      </c>
      <c r="E547" s="13" t="s">
        <v>1347</v>
      </c>
      <c r="F547" s="13" t="s">
        <v>1340</v>
      </c>
      <c r="G547" s="13" t="s">
        <v>14</v>
      </c>
      <c r="H547" s="22" t="str">
        <f>IFERROR(VLOOKUP(Table2[[#This Row], [Ticket]],Okey!A:B,2,0),"")</f>
        <v>ok</v>
      </c>
      <c r="I547" s="13" t="s">
        <v>276</v>
      </c>
      <c r="J547" s="22" t="str">
        <f>VLOOKUP(Table2[[#This Row], [Author]],People!A:B,2,0)</f>
        <v>LS</v>
      </c>
      <c r="K547" s="13"/>
      <c r="L547" s="13"/>
      <c r="M547" s="23" t="s">
        <v>277</v>
      </c>
    </row>
    <row r="548" spans="1:13" ht="19.5" customHeight="1">
      <c r="A548" s="18">
        <f t="shared" si="8"/>
        <v>547</v>
      </c>
      <c r="B548" s="11" t="s">
        <v>6</v>
      </c>
      <c r="C548" s="11" t="s">
        <v>52</v>
      </c>
      <c r="D548" s="11" t="s">
        <v>1348</v>
      </c>
      <c r="E548" s="11" t="s">
        <v>1349</v>
      </c>
      <c r="F548" s="11" t="s">
        <v>1277</v>
      </c>
      <c r="G548" s="11" t="s">
        <v>14</v>
      </c>
      <c r="H548" s="19" t="str">
        <f>IFERROR(VLOOKUP(Table2[[#This Row], [Ticket]],Okey!A:B,2,0),"")</f>
        <v>ok</v>
      </c>
      <c r="I548" s="11" t="s">
        <v>276</v>
      </c>
      <c r="J548" s="19" t="str">
        <f>VLOOKUP(Table2[[#This Row], [Author]],People!A:B,2,0)</f>
        <v>LS</v>
      </c>
      <c r="K548" s="11"/>
      <c r="L548" s="11"/>
      <c r="M548" s="20" t="s">
        <v>277</v>
      </c>
    </row>
    <row r="549" spans="1:13" ht="19.5" customHeight="1">
      <c r="A549" s="21">
        <f t="shared" si="8"/>
        <v>548</v>
      </c>
      <c r="B549" s="13" t="s">
        <v>6</v>
      </c>
      <c r="C549" s="13" t="s">
        <v>52</v>
      </c>
      <c r="D549" s="13" t="s">
        <v>1350</v>
      </c>
      <c r="E549" s="13" t="s">
        <v>1351</v>
      </c>
      <c r="F549" s="13" t="s">
        <v>1348</v>
      </c>
      <c r="G549" s="13" t="s">
        <v>14</v>
      </c>
      <c r="H549" s="22" t="str">
        <f>IFERROR(VLOOKUP(Table2[[#This Row], [Ticket]],Okey!A:B,2,0),"")</f>
        <v>ok</v>
      </c>
      <c r="I549" s="13" t="s">
        <v>276</v>
      </c>
      <c r="J549" s="22" t="str">
        <f>VLOOKUP(Table2[[#This Row], [Author]],People!A:B,2,0)</f>
        <v>LS</v>
      </c>
      <c r="K549" s="13"/>
      <c r="L549" s="13"/>
      <c r="M549" s="23" t="s">
        <v>277</v>
      </c>
    </row>
    <row r="550" spans="1:13" ht="19.5" customHeight="1">
      <c r="A550" s="18">
        <f t="shared" si="8"/>
        <v>549</v>
      </c>
      <c r="B550" s="11" t="s">
        <v>6</v>
      </c>
      <c r="C550" s="11" t="s">
        <v>52</v>
      </c>
      <c r="D550" s="11" t="s">
        <v>1352</v>
      </c>
      <c r="E550" s="11" t="s">
        <v>1353</v>
      </c>
      <c r="F550" s="11" t="s">
        <v>1348</v>
      </c>
      <c r="G550" s="11" t="s">
        <v>14</v>
      </c>
      <c r="H550" s="19" t="str">
        <f>IFERROR(VLOOKUP(Table2[[#This Row], [Ticket]],Okey!A:B,2,0),"")</f>
        <v>ok</v>
      </c>
      <c r="I550" s="11" t="s">
        <v>276</v>
      </c>
      <c r="J550" s="19" t="str">
        <f>VLOOKUP(Table2[[#This Row], [Author]],People!A:B,2,0)</f>
        <v>LS</v>
      </c>
      <c r="K550" s="11"/>
      <c r="L550" s="11"/>
      <c r="M550" s="20" t="s">
        <v>277</v>
      </c>
    </row>
    <row r="551" spans="1:13" ht="19.5" customHeight="1">
      <c r="A551" s="21">
        <f t="shared" si="8"/>
        <v>550</v>
      </c>
      <c r="B551" s="13" t="s">
        <v>6</v>
      </c>
      <c r="C551" s="13" t="s">
        <v>52</v>
      </c>
      <c r="D551" s="13" t="s">
        <v>1354</v>
      </c>
      <c r="E551" s="13" t="s">
        <v>1355</v>
      </c>
      <c r="F551" s="13" t="s">
        <v>1277</v>
      </c>
      <c r="G551" s="13" t="s">
        <v>14</v>
      </c>
      <c r="H551" s="22" t="str">
        <f>IFERROR(VLOOKUP(Table2[[#This Row], [Ticket]],Okey!A:B,2,0),"")</f>
        <v>ok</v>
      </c>
      <c r="I551" s="13" t="s">
        <v>276</v>
      </c>
      <c r="J551" s="22" t="str">
        <f>VLOOKUP(Table2[[#This Row], [Author]],People!A:B,2,0)</f>
        <v>LS</v>
      </c>
      <c r="K551" s="13"/>
      <c r="L551" s="13"/>
      <c r="M551" s="23" t="s">
        <v>277</v>
      </c>
    </row>
    <row r="552" spans="1:13" ht="19.5" customHeight="1">
      <c r="A552" s="18">
        <f t="shared" si="8"/>
        <v>551</v>
      </c>
      <c r="B552" s="11" t="s">
        <v>6</v>
      </c>
      <c r="C552" s="11" t="s">
        <v>52</v>
      </c>
      <c r="D552" s="11" t="s">
        <v>1356</v>
      </c>
      <c r="E552" s="11" t="s">
        <v>1357</v>
      </c>
      <c r="F552" s="11" t="s">
        <v>1354</v>
      </c>
      <c r="G552" s="11" t="s">
        <v>14</v>
      </c>
      <c r="H552" s="19" t="str">
        <f>IFERROR(VLOOKUP(Table2[[#This Row], [Ticket]],Okey!A:B,2,0),"")</f>
        <v>ok</v>
      </c>
      <c r="I552" s="11" t="s">
        <v>276</v>
      </c>
      <c r="J552" s="19" t="str">
        <f>VLOOKUP(Table2[[#This Row], [Author]],People!A:B,2,0)</f>
        <v>LS</v>
      </c>
      <c r="K552" s="11"/>
      <c r="L552" s="11"/>
      <c r="M552" s="20" t="s">
        <v>277</v>
      </c>
    </row>
    <row r="553" spans="1:13" ht="19.5" customHeight="1">
      <c r="A553" s="21">
        <f t="shared" si="8"/>
        <v>552</v>
      </c>
      <c r="B553" s="13" t="s">
        <v>6</v>
      </c>
      <c r="C553" s="13" t="s">
        <v>52</v>
      </c>
      <c r="D553" s="13" t="s">
        <v>1358</v>
      </c>
      <c r="E553" s="13" t="s">
        <v>1359</v>
      </c>
      <c r="F553" s="13" t="s">
        <v>1354</v>
      </c>
      <c r="G553" s="13" t="s">
        <v>14</v>
      </c>
      <c r="H553" s="22" t="str">
        <f>IFERROR(VLOOKUP(Table2[[#This Row], [Ticket]],Okey!A:B,2,0),"")</f>
        <v>ok</v>
      </c>
      <c r="I553" s="13" t="s">
        <v>276</v>
      </c>
      <c r="J553" s="22" t="str">
        <f>VLOOKUP(Table2[[#This Row], [Author]],People!A:B,2,0)</f>
        <v>LS</v>
      </c>
      <c r="K553" s="13"/>
      <c r="L553" s="13"/>
      <c r="M553" s="23" t="s">
        <v>277</v>
      </c>
    </row>
    <row r="554" spans="1:13" ht="19.5" customHeight="1">
      <c r="A554" s="18">
        <f t="shared" si="8"/>
        <v>553</v>
      </c>
      <c r="B554" s="11" t="s">
        <v>6</v>
      </c>
      <c r="C554" s="11" t="s">
        <v>52</v>
      </c>
      <c r="D554" s="11" t="s">
        <v>1360</v>
      </c>
      <c r="E554" s="11" t="s">
        <v>1361</v>
      </c>
      <c r="F554" s="11" t="s">
        <v>1354</v>
      </c>
      <c r="G554" s="11" t="s">
        <v>14</v>
      </c>
      <c r="H554" s="19" t="str">
        <f>IFERROR(VLOOKUP(Table2[[#This Row], [Ticket]],Okey!A:B,2,0),"")</f>
        <v>ok</v>
      </c>
      <c r="I554" s="11" t="s">
        <v>276</v>
      </c>
      <c r="J554" s="19" t="str">
        <f>VLOOKUP(Table2[[#This Row], [Author]],People!A:B,2,0)</f>
        <v>LS</v>
      </c>
      <c r="K554" s="11"/>
      <c r="L554" s="11"/>
      <c r="M554" s="20" t="s">
        <v>277</v>
      </c>
    </row>
    <row r="555" spans="1:13" ht="19.5" customHeight="1">
      <c r="A555" s="21">
        <f t="shared" si="8"/>
        <v>554</v>
      </c>
      <c r="B555" s="13" t="s">
        <v>6</v>
      </c>
      <c r="C555" s="13" t="s">
        <v>52</v>
      </c>
      <c r="D555" s="13" t="s">
        <v>1362</v>
      </c>
      <c r="E555" s="13" t="s">
        <v>1363</v>
      </c>
      <c r="F555" s="13" t="s">
        <v>1354</v>
      </c>
      <c r="G555" s="13" t="s">
        <v>14</v>
      </c>
      <c r="H555" s="22" t="str">
        <f>IFERROR(VLOOKUP(Table2[[#This Row], [Ticket]],Okey!A:B,2,0),"")</f>
        <v>ok</v>
      </c>
      <c r="I555" s="13" t="s">
        <v>276</v>
      </c>
      <c r="J555" s="22" t="str">
        <f>VLOOKUP(Table2[[#This Row], [Author]],People!A:B,2,0)</f>
        <v>LS</v>
      </c>
      <c r="K555" s="13"/>
      <c r="L555" s="13"/>
      <c r="M555" s="23" t="s">
        <v>277</v>
      </c>
    </row>
    <row r="556" spans="1:13" ht="19.5" customHeight="1">
      <c r="A556" s="18">
        <f t="shared" si="8"/>
        <v>555</v>
      </c>
      <c r="B556" s="11" t="s">
        <v>6</v>
      </c>
      <c r="C556" s="11" t="s">
        <v>52</v>
      </c>
      <c r="D556" s="11" t="s">
        <v>1364</v>
      </c>
      <c r="E556" s="11" t="s">
        <v>1365</v>
      </c>
      <c r="F556" s="11" t="s">
        <v>1354</v>
      </c>
      <c r="G556" s="11" t="s">
        <v>14</v>
      </c>
      <c r="H556" s="19" t="str">
        <f>IFERROR(VLOOKUP(Table2[[#This Row], [Ticket]],Okey!A:B,2,0),"")</f>
        <v>ok</v>
      </c>
      <c r="I556" s="11" t="s">
        <v>276</v>
      </c>
      <c r="J556" s="19" t="str">
        <f>VLOOKUP(Table2[[#This Row], [Author]],People!A:B,2,0)</f>
        <v>LS</v>
      </c>
      <c r="K556" s="11"/>
      <c r="L556" s="11"/>
      <c r="M556" s="20" t="s">
        <v>277</v>
      </c>
    </row>
    <row r="557" spans="1:13" ht="19.5" customHeight="1">
      <c r="A557" s="21">
        <f t="shared" si="8"/>
        <v>556</v>
      </c>
      <c r="B557" s="13" t="s">
        <v>6</v>
      </c>
      <c r="C557" s="13" t="s">
        <v>52</v>
      </c>
      <c r="D557" s="13" t="s">
        <v>1366</v>
      </c>
      <c r="E557" s="13" t="s">
        <v>1367</v>
      </c>
      <c r="F557" s="13" t="s">
        <v>1354</v>
      </c>
      <c r="G557" s="13" t="s">
        <v>14</v>
      </c>
      <c r="H557" s="22" t="str">
        <f>IFERROR(VLOOKUP(Table2[[#This Row], [Ticket]],Okey!A:B,2,0),"")</f>
        <v>ok</v>
      </c>
      <c r="I557" s="13" t="s">
        <v>276</v>
      </c>
      <c r="J557" s="22" t="str">
        <f>VLOOKUP(Table2[[#This Row], [Author]],People!A:B,2,0)</f>
        <v>LS</v>
      </c>
      <c r="K557" s="13"/>
      <c r="L557" s="13"/>
      <c r="M557" s="23" t="s">
        <v>277</v>
      </c>
    </row>
    <row r="558" spans="1:13" ht="19.5" customHeight="1">
      <c r="A558" s="18">
        <f t="shared" si="8"/>
        <v>557</v>
      </c>
      <c r="B558" s="11" t="s">
        <v>6</v>
      </c>
      <c r="C558" s="11" t="s">
        <v>52</v>
      </c>
      <c r="D558" s="11" t="s">
        <v>1368</v>
      </c>
      <c r="E558" s="11" t="s">
        <v>1369</v>
      </c>
      <c r="F558" s="11" t="s">
        <v>1354</v>
      </c>
      <c r="G558" s="11" t="s">
        <v>14</v>
      </c>
      <c r="H558" s="19" t="str">
        <f>IFERROR(VLOOKUP(Table2[[#This Row], [Ticket]],Okey!A:B,2,0),"")</f>
        <v>ok</v>
      </c>
      <c r="I558" s="11" t="s">
        <v>276</v>
      </c>
      <c r="J558" s="19" t="str">
        <f>VLOOKUP(Table2[[#This Row], [Author]],People!A:B,2,0)</f>
        <v>LS</v>
      </c>
      <c r="K558" s="11"/>
      <c r="L558" s="11"/>
      <c r="M558" s="20" t="s">
        <v>277</v>
      </c>
    </row>
    <row r="559" spans="1:13" ht="19.5" customHeight="1">
      <c r="A559" s="21">
        <f t="shared" si="8"/>
        <v>558</v>
      </c>
      <c r="B559" s="13" t="s">
        <v>6</v>
      </c>
      <c r="C559" s="13" t="s">
        <v>52</v>
      </c>
      <c r="D559" s="13" t="s">
        <v>1370</v>
      </c>
      <c r="E559" s="13" t="s">
        <v>1371</v>
      </c>
      <c r="F559" s="13" t="s">
        <v>1354</v>
      </c>
      <c r="G559" s="13" t="s">
        <v>14</v>
      </c>
      <c r="H559" s="22" t="str">
        <f>IFERROR(VLOOKUP(Table2[[#This Row], [Ticket]],Okey!A:B,2,0),"")</f>
        <v>ok</v>
      </c>
      <c r="I559" s="13" t="s">
        <v>276</v>
      </c>
      <c r="J559" s="22" t="str">
        <f>VLOOKUP(Table2[[#This Row], [Author]],People!A:B,2,0)</f>
        <v>LS</v>
      </c>
      <c r="K559" s="13"/>
      <c r="L559" s="13"/>
      <c r="M559" s="23" t="s">
        <v>277</v>
      </c>
    </row>
    <row r="560" spans="1:13" ht="19.5" customHeight="1">
      <c r="A560" s="18">
        <f t="shared" si="8"/>
        <v>559</v>
      </c>
      <c r="B560" s="11" t="s">
        <v>6</v>
      </c>
      <c r="C560" s="11" t="s">
        <v>52</v>
      </c>
      <c r="D560" s="11" t="s">
        <v>1372</v>
      </c>
      <c r="E560" s="11" t="s">
        <v>1373</v>
      </c>
      <c r="F560" s="11" t="s">
        <v>1374</v>
      </c>
      <c r="G560" s="11" t="s">
        <v>14</v>
      </c>
      <c r="H560" s="19" t="str">
        <f>IFERROR(VLOOKUP(Table2[[#This Row], [Ticket]],Okey!A:B,2,0),"")</f>
        <v>ok</v>
      </c>
      <c r="I560" s="11" t="s">
        <v>276</v>
      </c>
      <c r="J560" s="19" t="str">
        <f>VLOOKUP(Table2[[#This Row], [Author]],People!A:B,2,0)</f>
        <v>LS</v>
      </c>
      <c r="K560" s="11"/>
      <c r="L560" s="11"/>
      <c r="M560" s="20" t="s">
        <v>277</v>
      </c>
    </row>
    <row r="561" spans="1:13" ht="19.5" customHeight="1">
      <c r="A561" s="21">
        <f t="shared" si="8"/>
        <v>560</v>
      </c>
      <c r="B561" s="13" t="s">
        <v>6</v>
      </c>
      <c r="C561" s="13" t="s">
        <v>52</v>
      </c>
      <c r="D561" s="13" t="s">
        <v>1375</v>
      </c>
      <c r="E561" s="13" t="s">
        <v>1376</v>
      </c>
      <c r="F561" s="13" t="s">
        <v>1377</v>
      </c>
      <c r="G561" s="13" t="s">
        <v>14</v>
      </c>
      <c r="H561" s="22" t="str">
        <f>IFERROR(VLOOKUP(Table2[[#This Row], [Ticket]],Okey!A:B,2,0),"")</f>
        <v>ok</v>
      </c>
      <c r="I561" s="13" t="s">
        <v>276</v>
      </c>
      <c r="J561" s="22" t="str">
        <f>VLOOKUP(Table2[[#This Row], [Author]],People!A:B,2,0)</f>
        <v>LS</v>
      </c>
      <c r="K561" s="13"/>
      <c r="L561" s="13"/>
      <c r="M561" s="23" t="s">
        <v>277</v>
      </c>
    </row>
    <row r="562" spans="1:13" ht="19.5" customHeight="1">
      <c r="A562" s="18">
        <f t="shared" si="8"/>
        <v>561</v>
      </c>
      <c r="B562" s="11" t="s">
        <v>6</v>
      </c>
      <c r="C562" s="11" t="s">
        <v>52</v>
      </c>
      <c r="D562" s="11" t="s">
        <v>1378</v>
      </c>
      <c r="E562" s="11" t="s">
        <v>1379</v>
      </c>
      <c r="F562" s="11" t="s">
        <v>1380</v>
      </c>
      <c r="G562" s="11" t="s">
        <v>14</v>
      </c>
      <c r="H562" s="19" t="str">
        <f>IFERROR(VLOOKUP(Table2[[#This Row], [Ticket]],Okey!A:B,2,0),"")</f>
        <v>ok</v>
      </c>
      <c r="I562" s="11" t="s">
        <v>276</v>
      </c>
      <c r="J562" s="19" t="str">
        <f>VLOOKUP(Table2[[#This Row], [Author]],People!A:B,2,0)</f>
        <v>LS</v>
      </c>
      <c r="K562" s="11"/>
      <c r="L562" s="11"/>
      <c r="M562" s="20" t="s">
        <v>277</v>
      </c>
    </row>
    <row r="563" spans="1:13" ht="19.5" customHeight="1">
      <c r="A563" s="21">
        <f t="shared" si="8"/>
        <v>562</v>
      </c>
      <c r="B563" s="13" t="s">
        <v>6</v>
      </c>
      <c r="C563" s="13" t="s">
        <v>52</v>
      </c>
      <c r="D563" s="13" t="s">
        <v>1381</v>
      </c>
      <c r="E563" s="13" t="s">
        <v>1382</v>
      </c>
      <c r="F563" s="13" t="s">
        <v>953</v>
      </c>
      <c r="G563" s="13" t="s">
        <v>14</v>
      </c>
      <c r="H563" s="22" t="str">
        <f>IFERROR(VLOOKUP(Table2[[#This Row], [Ticket]],Okey!A:B,2,0),"")</f>
        <v>ok</v>
      </c>
      <c r="I563" s="13" t="s">
        <v>276</v>
      </c>
      <c r="J563" s="22" t="str">
        <f>VLOOKUP(Table2[[#This Row], [Author]],People!A:B,2,0)</f>
        <v>LS</v>
      </c>
      <c r="K563" s="13"/>
      <c r="L563" s="13"/>
      <c r="M563" s="23" t="s">
        <v>277</v>
      </c>
    </row>
    <row r="564" spans="1:13" ht="19.5" customHeight="1">
      <c r="A564" s="18">
        <f t="shared" si="8"/>
        <v>563</v>
      </c>
      <c r="B564" s="11" t="s">
        <v>6</v>
      </c>
      <c r="C564" s="11" t="s">
        <v>52</v>
      </c>
      <c r="D564" s="11" t="s">
        <v>1383</v>
      </c>
      <c r="E564" s="11" t="s">
        <v>1384</v>
      </c>
      <c r="F564" s="11" t="s">
        <v>953</v>
      </c>
      <c r="G564" s="11" t="s">
        <v>14</v>
      </c>
      <c r="H564" s="19" t="str">
        <f>IFERROR(VLOOKUP(Table2[[#This Row], [Ticket]],Okey!A:B,2,0),"")</f>
        <v>ok</v>
      </c>
      <c r="I564" s="11" t="s">
        <v>276</v>
      </c>
      <c r="J564" s="19" t="str">
        <f>VLOOKUP(Table2[[#This Row], [Author]],People!A:B,2,0)</f>
        <v>LS</v>
      </c>
      <c r="K564" s="11"/>
      <c r="L564" s="11"/>
      <c r="M564" s="20" t="s">
        <v>277</v>
      </c>
    </row>
    <row r="565" spans="1:13" ht="19.5" customHeight="1">
      <c r="A565" s="21">
        <f t="shared" si="8"/>
        <v>564</v>
      </c>
      <c r="B565" s="13" t="s">
        <v>6</v>
      </c>
      <c r="C565" s="13" t="s">
        <v>52</v>
      </c>
      <c r="D565" s="13" t="s">
        <v>1385</v>
      </c>
      <c r="E565" s="13" t="s">
        <v>1386</v>
      </c>
      <c r="F565" s="13" t="s">
        <v>953</v>
      </c>
      <c r="G565" s="13" t="s">
        <v>14</v>
      </c>
      <c r="H565" s="22" t="str">
        <f>IFERROR(VLOOKUP(Table2[[#This Row], [Ticket]],Okey!A:B,2,0),"")</f>
        <v>ok</v>
      </c>
      <c r="I565" s="13" t="s">
        <v>276</v>
      </c>
      <c r="J565" s="22" t="str">
        <f>VLOOKUP(Table2[[#This Row], [Author]],People!A:B,2,0)</f>
        <v>LS</v>
      </c>
      <c r="K565" s="13"/>
      <c r="L565" s="13"/>
      <c r="M565" s="23" t="s">
        <v>277</v>
      </c>
    </row>
    <row r="566" spans="1:13" ht="19.5" customHeight="1">
      <c r="A566" s="18">
        <f t="shared" si="8"/>
        <v>565</v>
      </c>
      <c r="B566" s="11" t="s">
        <v>6</v>
      </c>
      <c r="C566" s="11" t="s">
        <v>52</v>
      </c>
      <c r="D566" s="11" t="s">
        <v>1387</v>
      </c>
      <c r="E566" s="11" t="s">
        <v>1388</v>
      </c>
      <c r="F566" s="11" t="s">
        <v>1385</v>
      </c>
      <c r="G566" s="11" t="s">
        <v>14</v>
      </c>
      <c r="H566" s="19" t="str">
        <f>IFERROR(VLOOKUP(Table2[[#This Row], [Ticket]],Okey!A:B,2,0),"")</f>
        <v>ok</v>
      </c>
      <c r="I566" s="11" t="s">
        <v>276</v>
      </c>
      <c r="J566" s="19" t="str">
        <f>VLOOKUP(Table2[[#This Row], [Author]],People!A:B,2,0)</f>
        <v>LS</v>
      </c>
      <c r="K566" s="11"/>
      <c r="L566" s="11"/>
      <c r="M566" s="20" t="s">
        <v>277</v>
      </c>
    </row>
    <row r="567" spans="1:13" ht="19.5" customHeight="1">
      <c r="A567" s="21">
        <f t="shared" si="8"/>
        <v>566</v>
      </c>
      <c r="B567" s="13" t="s">
        <v>6</v>
      </c>
      <c r="C567" s="13" t="s">
        <v>52</v>
      </c>
      <c r="D567" s="13" t="s">
        <v>1389</v>
      </c>
      <c r="E567" s="13" t="s">
        <v>1390</v>
      </c>
      <c r="F567" s="13" t="s">
        <v>1385</v>
      </c>
      <c r="G567" s="13" t="s">
        <v>14</v>
      </c>
      <c r="H567" s="22" t="str">
        <f>IFERROR(VLOOKUP(Table2[[#This Row], [Ticket]],Okey!A:B,2,0),"")</f>
        <v>ok</v>
      </c>
      <c r="I567" s="13" t="s">
        <v>276</v>
      </c>
      <c r="J567" s="22" t="str">
        <f>VLOOKUP(Table2[[#This Row], [Author]],People!A:B,2,0)</f>
        <v>LS</v>
      </c>
      <c r="K567" s="13"/>
      <c r="L567" s="13"/>
      <c r="M567" s="23" t="s">
        <v>277</v>
      </c>
    </row>
    <row r="568" spans="1:13" ht="19.5" customHeight="1">
      <c r="A568" s="18">
        <f t="shared" si="8"/>
        <v>567</v>
      </c>
      <c r="B568" s="11" t="s">
        <v>6</v>
      </c>
      <c r="C568" s="11" t="s">
        <v>52</v>
      </c>
      <c r="D568" s="11" t="s">
        <v>1391</v>
      </c>
      <c r="E568" s="11" t="s">
        <v>1392</v>
      </c>
      <c r="F568" s="11" t="s">
        <v>1385</v>
      </c>
      <c r="G568" s="11" t="s">
        <v>14</v>
      </c>
      <c r="H568" s="19" t="str">
        <f>IFERROR(VLOOKUP(Table2[[#This Row], [Ticket]],Okey!A:B,2,0),"")</f>
        <v>ok</v>
      </c>
      <c r="I568" s="11" t="s">
        <v>276</v>
      </c>
      <c r="J568" s="19" t="str">
        <f>VLOOKUP(Table2[[#This Row], [Author]],People!A:B,2,0)</f>
        <v>LS</v>
      </c>
      <c r="K568" s="11"/>
      <c r="L568" s="11"/>
      <c r="M568" s="20" t="s">
        <v>277</v>
      </c>
    </row>
    <row r="569" spans="1:13" ht="19.5" customHeight="1">
      <c r="A569" s="21">
        <f t="shared" si="8"/>
        <v>568</v>
      </c>
      <c r="B569" s="13" t="s">
        <v>6</v>
      </c>
      <c r="C569" s="13" t="s">
        <v>52</v>
      </c>
      <c r="D569" s="13" t="s">
        <v>1393</v>
      </c>
      <c r="E569" s="13" t="s">
        <v>1394</v>
      </c>
      <c r="F569" s="13" t="s">
        <v>1385</v>
      </c>
      <c r="G569" s="13" t="s">
        <v>14</v>
      </c>
      <c r="H569" s="22" t="str">
        <f>IFERROR(VLOOKUP(Table2[[#This Row], [Ticket]],Okey!A:B,2,0),"")</f>
        <v>ok</v>
      </c>
      <c r="I569" s="13" t="s">
        <v>276</v>
      </c>
      <c r="J569" s="22" t="str">
        <f>VLOOKUP(Table2[[#This Row], [Author]],People!A:B,2,0)</f>
        <v>LS</v>
      </c>
      <c r="K569" s="13"/>
      <c r="L569" s="13"/>
      <c r="M569" s="23" t="s">
        <v>277</v>
      </c>
    </row>
    <row r="570" spans="1:13" ht="19.5" customHeight="1">
      <c r="A570" s="18">
        <f t="shared" si="8"/>
        <v>569</v>
      </c>
      <c r="B570" s="11" t="s">
        <v>6</v>
      </c>
      <c r="C570" s="11" t="s">
        <v>52</v>
      </c>
      <c r="D570" s="11" t="s">
        <v>1395</v>
      </c>
      <c r="E570" s="11" t="s">
        <v>1396</v>
      </c>
      <c r="F570" s="11"/>
      <c r="G570" s="11" t="s">
        <v>15</v>
      </c>
      <c r="H570" s="19" t="str">
        <f>IFERROR(VLOOKUP(Table2[[#This Row], [Ticket]],Okey!A:B,2,0),"")</f>
        <v>ok</v>
      </c>
      <c r="I570" s="11" t="s">
        <v>276</v>
      </c>
      <c r="J570" s="19" t="str">
        <f>VLOOKUP(Table2[[#This Row], [Author]],People!A:B,2,0)</f>
        <v>LS</v>
      </c>
      <c r="K570" s="11"/>
      <c r="L570" s="11"/>
      <c r="M570" s="20" t="s">
        <v>277</v>
      </c>
    </row>
    <row r="571" spans="1:13" ht="19.5" customHeight="1">
      <c r="A571" s="21">
        <f t="shared" si="8"/>
        <v>570</v>
      </c>
      <c r="B571" s="13" t="s">
        <v>6</v>
      </c>
      <c r="C571" s="13" t="s">
        <v>52</v>
      </c>
      <c r="D571" s="13" t="s">
        <v>1397</v>
      </c>
      <c r="E571" s="13" t="s">
        <v>1398</v>
      </c>
      <c r="F571" s="13"/>
      <c r="G571" s="13" t="s">
        <v>15</v>
      </c>
      <c r="H571" s="22" t="str">
        <f>IFERROR(VLOOKUP(Table2[[#This Row], [Ticket]],Okey!A:B,2,0),"")</f>
        <v>ok</v>
      </c>
      <c r="I571" s="13" t="s">
        <v>276</v>
      </c>
      <c r="J571" s="22" t="str">
        <f>VLOOKUP(Table2[[#This Row], [Author]],People!A:B,2,0)</f>
        <v>LS</v>
      </c>
      <c r="K571" s="13"/>
      <c r="L571" s="13"/>
      <c r="M571" s="23" t="s">
        <v>277</v>
      </c>
    </row>
    <row r="572" spans="1:13" ht="19.5" customHeight="1">
      <c r="A572" s="18">
        <f t="shared" si="8"/>
        <v>571</v>
      </c>
      <c r="B572" s="11" t="s">
        <v>6</v>
      </c>
      <c r="C572" s="11" t="s">
        <v>52</v>
      </c>
      <c r="D572" s="11" t="s">
        <v>1399</v>
      </c>
      <c r="E572" s="11" t="s">
        <v>1400</v>
      </c>
      <c r="F572" s="11"/>
      <c r="G572" s="11" t="s">
        <v>15</v>
      </c>
      <c r="H572" s="19" t="str">
        <f>IFERROR(VLOOKUP(Table2[[#This Row], [Ticket]],Okey!A:B,2,0),"")</f>
        <v>ok</v>
      </c>
      <c r="I572" s="11" t="s">
        <v>276</v>
      </c>
      <c r="J572" s="19" t="str">
        <f>VLOOKUP(Table2[[#This Row], [Author]],People!A:B,2,0)</f>
        <v>LS</v>
      </c>
      <c r="K572" s="11"/>
      <c r="L572" s="11"/>
      <c r="M572" s="20" t="s">
        <v>277</v>
      </c>
    </row>
    <row r="573" spans="1:13" ht="19.5" customHeight="1">
      <c r="A573" s="21">
        <f t="shared" si="8"/>
        <v>572</v>
      </c>
      <c r="B573" s="13" t="s">
        <v>6</v>
      </c>
      <c r="C573" s="13" t="s">
        <v>52</v>
      </c>
      <c r="D573" s="13" t="s">
        <v>1401</v>
      </c>
      <c r="E573" s="13" t="s">
        <v>1402</v>
      </c>
      <c r="F573" s="13"/>
      <c r="G573" s="13" t="s">
        <v>15</v>
      </c>
      <c r="H573" s="22" t="str">
        <f>IFERROR(VLOOKUP(Table2[[#This Row], [Ticket]],Okey!A:B,2,0),"")</f>
        <v>ok</v>
      </c>
      <c r="I573" s="13" t="s">
        <v>276</v>
      </c>
      <c r="J573" s="22" t="str">
        <f>VLOOKUP(Table2[[#This Row], [Author]],People!A:B,2,0)</f>
        <v>LS</v>
      </c>
      <c r="K573" s="13"/>
      <c r="L573" s="13"/>
      <c r="M573" s="23" t="s">
        <v>277</v>
      </c>
    </row>
    <row r="574" spans="1:13" ht="19.5" customHeight="1">
      <c r="A574" s="18">
        <f t="shared" si="8"/>
        <v>573</v>
      </c>
      <c r="B574" s="11" t="s">
        <v>6</v>
      </c>
      <c r="C574" s="11" t="s">
        <v>52</v>
      </c>
      <c r="D574" s="11" t="s">
        <v>1403</v>
      </c>
      <c r="E574" s="11" t="s">
        <v>1404</v>
      </c>
      <c r="F574" s="11"/>
      <c r="G574" s="11" t="s">
        <v>15</v>
      </c>
      <c r="H574" s="19" t="str">
        <f>IFERROR(VLOOKUP(Table2[[#This Row], [Ticket]],Okey!A:B,2,0),"")</f>
        <v>ok</v>
      </c>
      <c r="I574" s="11" t="s">
        <v>276</v>
      </c>
      <c r="J574" s="19" t="str">
        <f>VLOOKUP(Table2[[#This Row], [Author]],People!A:B,2,0)</f>
        <v>LS</v>
      </c>
      <c r="K574" s="11"/>
      <c r="L574" s="11"/>
      <c r="M574" s="20" t="s">
        <v>277</v>
      </c>
    </row>
    <row r="575" spans="1:13" ht="19.5" customHeight="1">
      <c r="A575" s="21">
        <f t="shared" si="8"/>
        <v>574</v>
      </c>
      <c r="B575" s="13" t="s">
        <v>6</v>
      </c>
      <c r="C575" s="13" t="s">
        <v>52</v>
      </c>
      <c r="D575" s="13" t="s">
        <v>1405</v>
      </c>
      <c r="E575" s="13" t="s">
        <v>1406</v>
      </c>
      <c r="F575" s="13"/>
      <c r="G575" s="13" t="s">
        <v>15</v>
      </c>
      <c r="H575" s="22" t="str">
        <f>IFERROR(VLOOKUP(Table2[[#This Row], [Ticket]],Okey!A:B,2,0),"")</f>
        <v>ok</v>
      </c>
      <c r="I575" s="13" t="s">
        <v>276</v>
      </c>
      <c r="J575" s="22" t="str">
        <f>VLOOKUP(Table2[[#This Row], [Author]],People!A:B,2,0)</f>
        <v>LS</v>
      </c>
      <c r="K575" s="13"/>
      <c r="L575" s="13"/>
      <c r="M575" s="23" t="s">
        <v>277</v>
      </c>
    </row>
    <row r="576" spans="1:13" ht="19.5" customHeight="1">
      <c r="A576" s="18">
        <f t="shared" si="8"/>
        <v>575</v>
      </c>
      <c r="B576" s="11" t="s">
        <v>6</v>
      </c>
      <c r="C576" s="11" t="s">
        <v>52</v>
      </c>
      <c r="D576" s="11" t="s">
        <v>1407</v>
      </c>
      <c r="E576" s="11" t="s">
        <v>1408</v>
      </c>
      <c r="F576" s="11"/>
      <c r="G576" s="11" t="s">
        <v>15</v>
      </c>
      <c r="H576" s="19" t="str">
        <f>IFERROR(VLOOKUP(Table2[[#This Row], [Ticket]],Okey!A:B,2,0),"")</f>
        <v>ok</v>
      </c>
      <c r="I576" s="11" t="s">
        <v>276</v>
      </c>
      <c r="J576" s="19" t="str">
        <f>VLOOKUP(Table2[[#This Row], [Author]],People!A:B,2,0)</f>
        <v>LS</v>
      </c>
      <c r="K576" s="11"/>
      <c r="L576" s="11"/>
      <c r="M576" s="20" t="s">
        <v>277</v>
      </c>
    </row>
    <row r="577" spans="1:13" ht="19.5" customHeight="1">
      <c r="A577" s="21">
        <f t="shared" si="8"/>
        <v>576</v>
      </c>
      <c r="B577" s="13" t="s">
        <v>6</v>
      </c>
      <c r="C577" s="13" t="s">
        <v>52</v>
      </c>
      <c r="D577" s="13" t="s">
        <v>1409</v>
      </c>
      <c r="E577" s="13" t="s">
        <v>1410</v>
      </c>
      <c r="F577" s="13"/>
      <c r="G577" s="13" t="s">
        <v>15</v>
      </c>
      <c r="H577" s="22" t="str">
        <f>IFERROR(VLOOKUP(Table2[[#This Row], [Ticket]],Okey!A:B,2,0),"")</f>
        <v>ok</v>
      </c>
      <c r="I577" s="13" t="s">
        <v>276</v>
      </c>
      <c r="J577" s="22" t="str">
        <f>VLOOKUP(Table2[[#This Row], [Author]],People!A:B,2,0)</f>
        <v>LS</v>
      </c>
      <c r="K577" s="13"/>
      <c r="L577" s="13"/>
      <c r="M577" s="23" t="s">
        <v>277</v>
      </c>
    </row>
    <row r="578" spans="1:13" ht="19.5" customHeight="1">
      <c r="A578" s="18">
        <f t="shared" si="8"/>
        <v>577</v>
      </c>
      <c r="B578" s="11" t="s">
        <v>6</v>
      </c>
      <c r="C578" s="11" t="s">
        <v>52</v>
      </c>
      <c r="D578" s="11" t="s">
        <v>1411</v>
      </c>
      <c r="E578" s="11" t="s">
        <v>1412</v>
      </c>
      <c r="F578" s="11"/>
      <c r="G578" s="11" t="s">
        <v>15</v>
      </c>
      <c r="H578" s="19" t="str">
        <f>IFERROR(VLOOKUP(Table2[[#This Row], [Ticket]],Okey!A:B,2,0),"")</f>
        <v>ok</v>
      </c>
      <c r="I578" s="11" t="s">
        <v>276</v>
      </c>
      <c r="J578" s="19" t="str">
        <f>VLOOKUP(Table2[[#This Row], [Author]],People!A:B,2,0)</f>
        <v>LS</v>
      </c>
      <c r="K578" s="11"/>
      <c r="L578" s="11"/>
      <c r="M578" s="20" t="s">
        <v>277</v>
      </c>
    </row>
    <row r="579" spans="1:13" ht="19.5" customHeight="1">
      <c r="A579" s="21">
        <f t="shared" ref="A579:A642" si="9">1+A578</f>
        <v>578</v>
      </c>
      <c r="B579" s="13" t="s">
        <v>6</v>
      </c>
      <c r="C579" s="13" t="s">
        <v>52</v>
      </c>
      <c r="D579" s="13" t="s">
        <v>1413</v>
      </c>
      <c r="E579" s="13" t="s">
        <v>1414</v>
      </c>
      <c r="F579" s="13"/>
      <c r="G579" s="13" t="s">
        <v>15</v>
      </c>
      <c r="H579" s="22" t="str">
        <f>IFERROR(VLOOKUP(Table2[[#This Row], [Ticket]],Okey!A:B,2,0),"")</f>
        <v>ok</v>
      </c>
      <c r="I579" s="13" t="s">
        <v>276</v>
      </c>
      <c r="J579" s="22" t="str">
        <f>VLOOKUP(Table2[[#This Row], [Author]],People!A:B,2,0)</f>
        <v>LS</v>
      </c>
      <c r="K579" s="13"/>
      <c r="L579" s="13"/>
      <c r="M579" s="23" t="s">
        <v>277</v>
      </c>
    </row>
    <row r="580" spans="1:13" ht="19.5" customHeight="1">
      <c r="A580" s="18">
        <f t="shared" si="9"/>
        <v>579</v>
      </c>
      <c r="B580" s="11" t="s">
        <v>6</v>
      </c>
      <c r="C580" s="11" t="s">
        <v>52</v>
      </c>
      <c r="D580" s="11" t="s">
        <v>1415</v>
      </c>
      <c r="E580" s="11" t="s">
        <v>1416</v>
      </c>
      <c r="F580" s="11"/>
      <c r="G580" s="11" t="s">
        <v>15</v>
      </c>
      <c r="H580" s="19" t="str">
        <f>IFERROR(VLOOKUP(Table2[[#This Row], [Ticket]],Okey!A:B,2,0),"")</f>
        <v>ok</v>
      </c>
      <c r="I580" s="11" t="s">
        <v>276</v>
      </c>
      <c r="J580" s="19" t="str">
        <f>VLOOKUP(Table2[[#This Row], [Author]],People!A:B,2,0)</f>
        <v>LS</v>
      </c>
      <c r="K580" s="11"/>
      <c r="L580" s="11"/>
      <c r="M580" s="20" t="s">
        <v>277</v>
      </c>
    </row>
    <row r="581" spans="1:13" ht="19.5" customHeight="1">
      <c r="A581" s="21">
        <f t="shared" si="9"/>
        <v>580</v>
      </c>
      <c r="B581" s="13" t="s">
        <v>6</v>
      </c>
      <c r="C581" s="13" t="s">
        <v>52</v>
      </c>
      <c r="D581" s="13" t="s">
        <v>951</v>
      </c>
      <c r="E581" s="13" t="s">
        <v>1417</v>
      </c>
      <c r="F581" s="13"/>
      <c r="G581" s="13" t="s">
        <v>15</v>
      </c>
      <c r="H581" s="22" t="str">
        <f>IFERROR(VLOOKUP(Table2[[#This Row], [Ticket]],Okey!A:B,2,0),"")</f>
        <v>ok</v>
      </c>
      <c r="I581" s="13" t="s">
        <v>276</v>
      </c>
      <c r="J581" s="22" t="str">
        <f>VLOOKUP(Table2[[#This Row], [Author]],People!A:B,2,0)</f>
        <v>LS</v>
      </c>
      <c r="K581" s="13"/>
      <c r="L581" s="13"/>
      <c r="M581" s="23" t="s">
        <v>277</v>
      </c>
    </row>
    <row r="582" spans="1:13" ht="19.5" customHeight="1">
      <c r="A582" s="18">
        <f t="shared" si="9"/>
        <v>581</v>
      </c>
      <c r="B582" s="11" t="s">
        <v>6</v>
      </c>
      <c r="C582" s="11" t="s">
        <v>52</v>
      </c>
      <c r="D582" s="11" t="s">
        <v>1418</v>
      </c>
      <c r="E582" s="11" t="s">
        <v>1419</v>
      </c>
      <c r="F582" s="11" t="s">
        <v>1395</v>
      </c>
      <c r="G582" s="11" t="s">
        <v>16</v>
      </c>
      <c r="H582" s="19" t="str">
        <f>IFERROR(VLOOKUP(Table2[[#This Row], [Ticket]],Okey!A:B,2,0),"")</f>
        <v>ok</v>
      </c>
      <c r="I582" s="11" t="s">
        <v>276</v>
      </c>
      <c r="J582" s="19" t="str">
        <f>VLOOKUP(Table2[[#This Row], [Author]],People!A:B,2,0)</f>
        <v>LS</v>
      </c>
      <c r="K582" s="11"/>
      <c r="L582" s="11"/>
      <c r="M582" s="20" t="s">
        <v>277</v>
      </c>
    </row>
    <row r="583" spans="1:13" ht="19.5" customHeight="1">
      <c r="A583" s="21">
        <f t="shared" si="9"/>
        <v>582</v>
      </c>
      <c r="B583" s="13" t="s">
        <v>6</v>
      </c>
      <c r="C583" s="13" t="s">
        <v>52</v>
      </c>
      <c r="D583" s="13" t="s">
        <v>1300</v>
      </c>
      <c r="E583" s="13" t="s">
        <v>1420</v>
      </c>
      <c r="F583" s="13" t="s">
        <v>1421</v>
      </c>
      <c r="G583" s="13" t="s">
        <v>16</v>
      </c>
      <c r="H583" s="22" t="str">
        <f>IFERROR(VLOOKUP(Table2[[#This Row], [Ticket]],Okey!A:B,2,0),"")</f>
        <v>ok</v>
      </c>
      <c r="I583" s="13" t="s">
        <v>276</v>
      </c>
      <c r="J583" s="22" t="str">
        <f>VLOOKUP(Table2[[#This Row], [Author]],People!A:B,2,0)</f>
        <v>LS</v>
      </c>
      <c r="K583" s="13"/>
      <c r="L583" s="13"/>
      <c r="M583" s="23" t="s">
        <v>277</v>
      </c>
    </row>
    <row r="584" spans="1:13" ht="19.5" customHeight="1">
      <c r="A584" s="18">
        <f t="shared" si="9"/>
        <v>583</v>
      </c>
      <c r="B584" s="11" t="s">
        <v>6</v>
      </c>
      <c r="C584" s="11" t="s">
        <v>52</v>
      </c>
      <c r="D584" s="11" t="s">
        <v>1422</v>
      </c>
      <c r="E584" s="11" t="s">
        <v>1423</v>
      </c>
      <c r="F584" s="11" t="s">
        <v>1309</v>
      </c>
      <c r="G584" s="11" t="s">
        <v>16</v>
      </c>
      <c r="H584" s="19" t="str">
        <f>IFERROR(VLOOKUP(Table2[[#This Row], [Ticket]],Okey!A:B,2,0),"")</f>
        <v>ok</v>
      </c>
      <c r="I584" s="11" t="s">
        <v>276</v>
      </c>
      <c r="J584" s="19" t="str">
        <f>VLOOKUP(Table2[[#This Row], [Author]],People!A:B,2,0)</f>
        <v>LS</v>
      </c>
      <c r="K584" s="11"/>
      <c r="L584" s="11"/>
      <c r="M584" s="20" t="s">
        <v>277</v>
      </c>
    </row>
    <row r="585" spans="1:13" ht="19.5" customHeight="1">
      <c r="A585" s="21">
        <f t="shared" si="9"/>
        <v>584</v>
      </c>
      <c r="B585" s="13" t="s">
        <v>6</v>
      </c>
      <c r="C585" s="13" t="s">
        <v>52</v>
      </c>
      <c r="D585" s="13" t="s">
        <v>1424</v>
      </c>
      <c r="E585" s="13" t="s">
        <v>1425</v>
      </c>
      <c r="F585" s="13" t="s">
        <v>1309</v>
      </c>
      <c r="G585" s="13" t="s">
        <v>16</v>
      </c>
      <c r="H585" s="22" t="str">
        <f>IFERROR(VLOOKUP(Table2[[#This Row], [Ticket]],Okey!A:B,2,0),"")</f>
        <v>ok</v>
      </c>
      <c r="I585" s="13" t="s">
        <v>276</v>
      </c>
      <c r="J585" s="22" t="str">
        <f>VLOOKUP(Table2[[#This Row], [Author]],People!A:B,2,0)</f>
        <v>LS</v>
      </c>
      <c r="K585" s="13"/>
      <c r="L585" s="13"/>
      <c r="M585" s="23" t="s">
        <v>277</v>
      </c>
    </row>
    <row r="586" spans="1:13" ht="19.5" customHeight="1">
      <c r="A586" s="18">
        <f t="shared" si="9"/>
        <v>585</v>
      </c>
      <c r="B586" s="11" t="s">
        <v>6</v>
      </c>
      <c r="C586" s="11" t="s">
        <v>52</v>
      </c>
      <c r="D586" s="11" t="s">
        <v>1426</v>
      </c>
      <c r="E586" s="11" t="s">
        <v>1427</v>
      </c>
      <c r="F586" s="11" t="s">
        <v>1377</v>
      </c>
      <c r="G586" s="11" t="s">
        <v>16</v>
      </c>
      <c r="H586" s="19" t="str">
        <f>IFERROR(VLOOKUP(Table2[[#This Row], [Ticket]],Okey!A:B,2,0),"")</f>
        <v>ok</v>
      </c>
      <c r="I586" s="11" t="s">
        <v>276</v>
      </c>
      <c r="J586" s="19" t="str">
        <f>VLOOKUP(Table2[[#This Row], [Author]],People!A:B,2,0)</f>
        <v>LS</v>
      </c>
      <c r="K586" s="11"/>
      <c r="L586" s="11"/>
      <c r="M586" s="20" t="s">
        <v>277</v>
      </c>
    </row>
    <row r="587" spans="1:13" ht="19.5" customHeight="1">
      <c r="A587" s="21">
        <f t="shared" si="9"/>
        <v>586</v>
      </c>
      <c r="B587" s="13" t="s">
        <v>6</v>
      </c>
      <c r="C587" s="13" t="s">
        <v>52</v>
      </c>
      <c r="D587" s="13" t="s">
        <v>1428</v>
      </c>
      <c r="E587" s="13" t="s">
        <v>1429</v>
      </c>
      <c r="F587" s="13" t="s">
        <v>953</v>
      </c>
      <c r="G587" s="13" t="s">
        <v>16</v>
      </c>
      <c r="H587" s="22" t="str">
        <f>IFERROR(VLOOKUP(Table2[[#This Row], [Ticket]],Okey!A:B,2,0),"")</f>
        <v>ok</v>
      </c>
      <c r="I587" s="13" t="s">
        <v>276</v>
      </c>
      <c r="J587" s="22" t="str">
        <f>VLOOKUP(Table2[[#This Row], [Author]],People!A:B,2,0)</f>
        <v>LS</v>
      </c>
      <c r="K587" s="13"/>
      <c r="L587" s="13"/>
      <c r="M587" s="23" t="s">
        <v>277</v>
      </c>
    </row>
    <row r="588" spans="1:13" ht="19.5" customHeight="1">
      <c r="A588" s="18">
        <f t="shared" si="9"/>
        <v>587</v>
      </c>
      <c r="B588" s="11" t="s">
        <v>6</v>
      </c>
      <c r="C588" s="11" t="s">
        <v>52</v>
      </c>
      <c r="D588" s="11" t="s">
        <v>1430</v>
      </c>
      <c r="E588" s="11"/>
      <c r="F588" s="11" t="s">
        <v>1431</v>
      </c>
      <c r="G588" s="11" t="s">
        <v>13</v>
      </c>
      <c r="H588" s="19" t="str">
        <f>IFERROR(VLOOKUP(Table2[[#This Row], [Ticket]],Okey!A:B,2,0),"")</f>
        <v>ok</v>
      </c>
      <c r="I588" s="11" t="s">
        <v>276</v>
      </c>
      <c r="J588" s="19" t="str">
        <f>VLOOKUP(Table2[[#This Row], [Author]],People!A:B,2,0)</f>
        <v>LS</v>
      </c>
      <c r="K588" s="11"/>
      <c r="L588" s="11"/>
      <c r="M588" s="20" t="s">
        <v>277</v>
      </c>
    </row>
    <row r="589" spans="1:13" ht="19.5" customHeight="1">
      <c r="A589" s="21">
        <f t="shared" si="9"/>
        <v>588</v>
      </c>
      <c r="B589" s="13" t="s">
        <v>6</v>
      </c>
      <c r="C589" s="13" t="s">
        <v>52</v>
      </c>
      <c r="D589" s="13" t="s">
        <v>1432</v>
      </c>
      <c r="E589" s="13"/>
      <c r="F589" s="13" t="s">
        <v>1433</v>
      </c>
      <c r="G589" s="13" t="s">
        <v>13</v>
      </c>
      <c r="H589" s="22" t="str">
        <f>IFERROR(VLOOKUP(Table2[[#This Row], [Ticket]],Okey!A:B,2,0),"")</f>
        <v>ok</v>
      </c>
      <c r="I589" s="13" t="s">
        <v>276</v>
      </c>
      <c r="J589" s="22" t="str">
        <f>VLOOKUP(Table2[[#This Row], [Author]],People!A:B,2,0)</f>
        <v>LS</v>
      </c>
      <c r="K589" s="13"/>
      <c r="L589" s="13"/>
      <c r="M589" s="23" t="s">
        <v>277</v>
      </c>
    </row>
    <row r="590" spans="1:13" ht="19.5" customHeight="1">
      <c r="A590" s="18">
        <f t="shared" si="9"/>
        <v>589</v>
      </c>
      <c r="B590" s="11" t="s">
        <v>6</v>
      </c>
      <c r="C590" s="11" t="s">
        <v>52</v>
      </c>
      <c r="D590" s="11" t="s">
        <v>1434</v>
      </c>
      <c r="E590" s="11"/>
      <c r="F590" s="11" t="s">
        <v>1435</v>
      </c>
      <c r="G590" s="11" t="s">
        <v>13</v>
      </c>
      <c r="H590" s="19" t="str">
        <f>IFERROR(VLOOKUP(Table2[[#This Row], [Ticket]],Okey!A:B,2,0),"")</f>
        <v>ok</v>
      </c>
      <c r="I590" s="11" t="s">
        <v>276</v>
      </c>
      <c r="J590" s="19" t="str">
        <f>VLOOKUP(Table2[[#This Row], [Author]],People!A:B,2,0)</f>
        <v>LS</v>
      </c>
      <c r="K590" s="11"/>
      <c r="L590" s="11"/>
      <c r="M590" s="20" t="s">
        <v>277</v>
      </c>
    </row>
    <row r="591" spans="1:13" ht="19.5" customHeight="1">
      <c r="A591" s="21">
        <f t="shared" si="9"/>
        <v>590</v>
      </c>
      <c r="B591" s="13" t="s">
        <v>6</v>
      </c>
      <c r="C591" s="13" t="s">
        <v>52</v>
      </c>
      <c r="D591" s="13" t="s">
        <v>1436</v>
      </c>
      <c r="E591" s="13"/>
      <c r="F591" s="13" t="s">
        <v>1437</v>
      </c>
      <c r="G591" s="13" t="s">
        <v>13</v>
      </c>
      <c r="H591" s="22" t="str">
        <f>IFERROR(VLOOKUP(Table2[[#This Row], [Ticket]],Okey!A:B,2,0),"")</f>
        <v>ok</v>
      </c>
      <c r="I591" s="13" t="s">
        <v>276</v>
      </c>
      <c r="J591" s="22" t="str">
        <f>VLOOKUP(Table2[[#This Row], [Author]],People!A:B,2,0)</f>
        <v>MGF</v>
      </c>
      <c r="K591" s="13"/>
      <c r="L591" s="13"/>
      <c r="M591" s="23" t="s">
        <v>277</v>
      </c>
    </row>
    <row r="592" spans="1:13" ht="19.5" customHeight="1">
      <c r="A592" s="18">
        <f t="shared" si="9"/>
        <v>591</v>
      </c>
      <c r="B592" s="11" t="s">
        <v>6</v>
      </c>
      <c r="C592" s="11" t="s">
        <v>52</v>
      </c>
      <c r="D592" s="11" t="s">
        <v>1438</v>
      </c>
      <c r="E592" s="11"/>
      <c r="F592" s="11" t="s">
        <v>1288</v>
      </c>
      <c r="G592" s="11" t="s">
        <v>13</v>
      </c>
      <c r="H592" s="19" t="str">
        <f>IFERROR(VLOOKUP(Table2[[#This Row], [Ticket]],Okey!A:B,2,0),"")</f>
        <v>ok</v>
      </c>
      <c r="I592" s="11" t="s">
        <v>276</v>
      </c>
      <c r="J592" s="19" t="str">
        <f>VLOOKUP(Table2[[#This Row], [Author]],People!A:B,2,0)</f>
        <v>MGF</v>
      </c>
      <c r="K592" s="11"/>
      <c r="L592" s="11"/>
      <c r="M592" s="20" t="s">
        <v>277</v>
      </c>
    </row>
    <row r="593" spans="1:13" ht="19.5" customHeight="1">
      <c r="A593" s="21">
        <f t="shared" si="9"/>
        <v>592</v>
      </c>
      <c r="B593" s="13" t="s">
        <v>6</v>
      </c>
      <c r="C593" s="13" t="s">
        <v>52</v>
      </c>
      <c r="D593" s="13" t="s">
        <v>1439</v>
      </c>
      <c r="E593" s="13"/>
      <c r="F593" s="13" t="s">
        <v>1288</v>
      </c>
      <c r="G593" s="13" t="s">
        <v>13</v>
      </c>
      <c r="H593" s="22" t="str">
        <f>IFERROR(VLOOKUP(Table2[[#This Row], [Ticket]],Okey!A:B,2,0),"")</f>
        <v>ok</v>
      </c>
      <c r="I593" s="13" t="s">
        <v>276</v>
      </c>
      <c r="J593" s="22" t="str">
        <f>VLOOKUP(Table2[[#This Row], [Author]],People!A:B,2,0)</f>
        <v>MGF</v>
      </c>
      <c r="K593" s="13"/>
      <c r="L593" s="13"/>
      <c r="M593" s="23" t="s">
        <v>277</v>
      </c>
    </row>
    <row r="594" spans="1:13" ht="19.5" customHeight="1">
      <c r="A594" s="18">
        <f t="shared" si="9"/>
        <v>593</v>
      </c>
      <c r="B594" s="11" t="s">
        <v>6</v>
      </c>
      <c r="C594" s="11" t="s">
        <v>52</v>
      </c>
      <c r="D594" s="11" t="s">
        <v>1440</v>
      </c>
      <c r="E594" s="11"/>
      <c r="F594" s="11" t="s">
        <v>1352</v>
      </c>
      <c r="G594" s="11" t="s">
        <v>13</v>
      </c>
      <c r="H594" s="19" t="str">
        <f>IFERROR(VLOOKUP(Table2[[#This Row], [Ticket]],Okey!A:B,2,0),"")</f>
        <v>ok</v>
      </c>
      <c r="I594" s="11" t="s">
        <v>276</v>
      </c>
      <c r="J594" s="19" t="str">
        <f>VLOOKUP(Table2[[#This Row], [Author]],People!A:B,2,0)</f>
        <v>MGF</v>
      </c>
      <c r="K594" s="11"/>
      <c r="L594" s="11"/>
      <c r="M594" s="20" t="s">
        <v>277</v>
      </c>
    </row>
    <row r="595" spans="1:13" ht="19.5" customHeight="1">
      <c r="A595" s="21">
        <f t="shared" si="9"/>
        <v>594</v>
      </c>
      <c r="B595" s="13" t="s">
        <v>6</v>
      </c>
      <c r="C595" s="13" t="s">
        <v>52</v>
      </c>
      <c r="D595" s="13" t="s">
        <v>1441</v>
      </c>
      <c r="E595" s="13"/>
      <c r="F595" s="13" t="s">
        <v>1352</v>
      </c>
      <c r="G595" s="13" t="s">
        <v>13</v>
      </c>
      <c r="H595" s="22" t="str">
        <f>IFERROR(VLOOKUP(Table2[[#This Row], [Ticket]],Okey!A:B,2,0),"")</f>
        <v>ok</v>
      </c>
      <c r="I595" s="13" t="s">
        <v>276</v>
      </c>
      <c r="J595" s="22" t="str">
        <f>VLOOKUP(Table2[[#This Row], [Author]],People!A:B,2,0)</f>
        <v>MGF</v>
      </c>
      <c r="K595" s="13"/>
      <c r="L595" s="13"/>
      <c r="M595" s="23" t="s">
        <v>277</v>
      </c>
    </row>
    <row r="596" spans="1:13" ht="19.5" customHeight="1">
      <c r="A596" s="18">
        <f t="shared" si="9"/>
        <v>595</v>
      </c>
      <c r="B596" s="11" t="s">
        <v>6</v>
      </c>
      <c r="C596" s="11" t="s">
        <v>52</v>
      </c>
      <c r="D596" s="11" t="s">
        <v>1442</v>
      </c>
      <c r="E596" s="11"/>
      <c r="F596" s="11" t="s">
        <v>1352</v>
      </c>
      <c r="G596" s="11" t="s">
        <v>13</v>
      </c>
      <c r="H596" s="19" t="str">
        <f>IFERROR(VLOOKUP(Table2[[#This Row], [Ticket]],Okey!A:B,2,0),"")</f>
        <v>ok</v>
      </c>
      <c r="I596" s="11" t="s">
        <v>276</v>
      </c>
      <c r="J596" s="19" t="str">
        <f>VLOOKUP(Table2[[#This Row], [Author]],People!A:B,2,0)</f>
        <v>MGF</v>
      </c>
      <c r="K596" s="11"/>
      <c r="L596" s="11"/>
      <c r="M596" s="20" t="s">
        <v>277</v>
      </c>
    </row>
    <row r="597" spans="1:13" ht="19.5" customHeight="1">
      <c r="A597" s="21">
        <f t="shared" si="9"/>
        <v>596</v>
      </c>
      <c r="B597" s="13" t="s">
        <v>6</v>
      </c>
      <c r="C597" s="13" t="s">
        <v>52</v>
      </c>
      <c r="D597" s="13" t="s">
        <v>1443</v>
      </c>
      <c r="E597" s="13"/>
      <c r="F597" s="13" t="s">
        <v>1344</v>
      </c>
      <c r="G597" s="13" t="s">
        <v>13</v>
      </c>
      <c r="H597" s="22" t="str">
        <f>IFERROR(VLOOKUP(Table2[[#This Row], [Ticket]],Okey!A:B,2,0),"")</f>
        <v>ok</v>
      </c>
      <c r="I597" s="13" t="s">
        <v>276</v>
      </c>
      <c r="J597" s="22" t="str">
        <f>VLOOKUP(Table2[[#This Row], [Author]],People!A:B,2,0)</f>
        <v>MGF</v>
      </c>
      <c r="K597" s="13"/>
      <c r="L597" s="13"/>
      <c r="M597" s="23" t="s">
        <v>277</v>
      </c>
    </row>
    <row r="598" spans="1:13" ht="19.5" customHeight="1">
      <c r="A598" s="18">
        <f t="shared" si="9"/>
        <v>597</v>
      </c>
      <c r="B598" s="11" t="s">
        <v>6</v>
      </c>
      <c r="C598" s="11" t="s">
        <v>52</v>
      </c>
      <c r="D598" s="11" t="s">
        <v>1444</v>
      </c>
      <c r="E598" s="11"/>
      <c r="F598" s="11" t="s">
        <v>1350</v>
      </c>
      <c r="G598" s="11" t="s">
        <v>13</v>
      </c>
      <c r="H598" s="19" t="str">
        <f>IFERROR(VLOOKUP(Table2[[#This Row], [Ticket]],Okey!A:B,2,0),"")</f>
        <v>ok</v>
      </c>
      <c r="I598" s="11" t="s">
        <v>276</v>
      </c>
      <c r="J598" s="19" t="str">
        <f>VLOOKUP(Table2[[#This Row], [Author]],People!A:B,2,0)</f>
        <v>MGF</v>
      </c>
      <c r="K598" s="11"/>
      <c r="L598" s="11"/>
      <c r="M598" s="20" t="s">
        <v>277</v>
      </c>
    </row>
    <row r="599" spans="1:13" ht="19.5" customHeight="1">
      <c r="A599" s="21">
        <f t="shared" si="9"/>
        <v>598</v>
      </c>
      <c r="B599" s="13" t="s">
        <v>6</v>
      </c>
      <c r="C599" s="13" t="s">
        <v>52</v>
      </c>
      <c r="D599" s="13" t="s">
        <v>1445</v>
      </c>
      <c r="E599" s="13"/>
      <c r="F599" s="13" t="s">
        <v>1344</v>
      </c>
      <c r="G599" s="13" t="s">
        <v>13</v>
      </c>
      <c r="H599" s="22" t="str">
        <f>IFERROR(VLOOKUP(Table2[[#This Row], [Ticket]],Okey!A:B,2,0),"")</f>
        <v>ok</v>
      </c>
      <c r="I599" s="13" t="s">
        <v>276</v>
      </c>
      <c r="J599" s="22" t="str">
        <f>VLOOKUP(Table2[[#This Row], [Author]],People!A:B,2,0)</f>
        <v>MGF</v>
      </c>
      <c r="K599" s="13"/>
      <c r="L599" s="13"/>
      <c r="M599" s="23" t="s">
        <v>277</v>
      </c>
    </row>
    <row r="600" spans="1:13" ht="19.5" customHeight="1">
      <c r="A600" s="18">
        <f t="shared" si="9"/>
        <v>599</v>
      </c>
      <c r="B600" s="11" t="s">
        <v>6</v>
      </c>
      <c r="C600" s="11" t="s">
        <v>52</v>
      </c>
      <c r="D600" s="11" t="s">
        <v>1446</v>
      </c>
      <c r="E600" s="11"/>
      <c r="F600" s="11" t="s">
        <v>1350</v>
      </c>
      <c r="G600" s="11" t="s">
        <v>13</v>
      </c>
      <c r="H600" s="19" t="str">
        <f>IFERROR(VLOOKUP(Table2[[#This Row], [Ticket]],Okey!A:B,2,0),"")</f>
        <v>ok</v>
      </c>
      <c r="I600" s="11" t="s">
        <v>276</v>
      </c>
      <c r="J600" s="19" t="e">
        <f>VLOOKUP(Table2[[#This Row], [Author]],People!A:B,2,0)</f>
        <v>#N/A</v>
      </c>
      <c r="K600" s="11"/>
      <c r="L600" s="11"/>
      <c r="M600" s="20" t="s">
        <v>277</v>
      </c>
    </row>
    <row r="601" spans="1:13" ht="19.5" customHeight="1">
      <c r="A601" s="21">
        <f t="shared" si="9"/>
        <v>600</v>
      </c>
      <c r="B601" s="13" t="s">
        <v>6</v>
      </c>
      <c r="C601" s="13" t="s">
        <v>52</v>
      </c>
      <c r="D601" s="13" t="s">
        <v>1241</v>
      </c>
      <c r="E601" s="13"/>
      <c r="F601" s="13" t="s">
        <v>1344</v>
      </c>
      <c r="G601" s="13" t="s">
        <v>13</v>
      </c>
      <c r="H601" s="22" t="str">
        <f>IFERROR(VLOOKUP(Table2[[#This Row], [Ticket]],Okey!A:B,2,0),"")</f>
        <v>ok</v>
      </c>
      <c r="I601" s="13" t="s">
        <v>276</v>
      </c>
      <c r="J601" s="22" t="e">
        <f>VLOOKUP(Table2[[#This Row], [Author]],People!A:B,2,0)</f>
        <v>#N/A</v>
      </c>
      <c r="K601" s="13"/>
      <c r="L601" s="13"/>
      <c r="M601" s="23" t="s">
        <v>277</v>
      </c>
    </row>
    <row r="602" spans="1:13" ht="19.5" customHeight="1">
      <c r="A602" s="18">
        <f t="shared" si="9"/>
        <v>601</v>
      </c>
      <c r="B602" s="11" t="s">
        <v>6</v>
      </c>
      <c r="C602" s="11" t="s">
        <v>52</v>
      </c>
      <c r="D602" s="11" t="s">
        <v>1447</v>
      </c>
      <c r="E602" s="11"/>
      <c r="F602" s="11" t="s">
        <v>1344</v>
      </c>
      <c r="G602" s="11" t="s">
        <v>13</v>
      </c>
      <c r="H602" s="19" t="str">
        <f>IFERROR(VLOOKUP(Table2[[#This Row], [Ticket]],Okey!A:B,2,0),"")</f>
        <v>ok</v>
      </c>
      <c r="I602" s="11" t="s">
        <v>276</v>
      </c>
      <c r="J602" s="19" t="e">
        <f>VLOOKUP(Table2[[#This Row], [Author]],People!A:B,2,0)</f>
        <v>#N/A</v>
      </c>
      <c r="K602" s="11"/>
      <c r="L602" s="11"/>
      <c r="M602" s="20" t="s">
        <v>277</v>
      </c>
    </row>
    <row r="603" spans="1:13" ht="19.5" customHeight="1">
      <c r="A603" s="21">
        <f t="shared" si="9"/>
        <v>602</v>
      </c>
      <c r="B603" s="13" t="s">
        <v>6</v>
      </c>
      <c r="C603" s="13" t="s">
        <v>52</v>
      </c>
      <c r="D603" s="13" t="s">
        <v>1448</v>
      </c>
      <c r="E603" s="13"/>
      <c r="F603" s="13" t="s">
        <v>1350</v>
      </c>
      <c r="G603" s="13" t="s">
        <v>13</v>
      </c>
      <c r="H603" s="22" t="str">
        <f>IFERROR(VLOOKUP(Table2[[#This Row], [Ticket]],Okey!A:B,2,0),"")</f>
        <v>ok</v>
      </c>
      <c r="I603" s="13" t="s">
        <v>276</v>
      </c>
      <c r="J603" s="22" t="e">
        <f>VLOOKUP(Table2[[#This Row], [Author]],People!A:B,2,0)</f>
        <v>#N/A</v>
      </c>
      <c r="K603" s="13"/>
      <c r="L603" s="13"/>
      <c r="M603" s="23" t="s">
        <v>277</v>
      </c>
    </row>
    <row r="604" spans="1:13" ht="19.5" customHeight="1">
      <c r="A604" s="18">
        <f t="shared" si="9"/>
        <v>603</v>
      </c>
      <c r="B604" s="11" t="s">
        <v>6</v>
      </c>
      <c r="C604" s="11" t="s">
        <v>52</v>
      </c>
      <c r="D604" s="11" t="s">
        <v>1449</v>
      </c>
      <c r="E604" s="11"/>
      <c r="F604" s="11" t="s">
        <v>1344</v>
      </c>
      <c r="G604" s="11" t="s">
        <v>13</v>
      </c>
      <c r="H604" s="19" t="str">
        <f>IFERROR(VLOOKUP(Table2[[#This Row], [Ticket]],Okey!A:B,2,0),"")</f>
        <v>ok</v>
      </c>
      <c r="I604" s="11" t="s">
        <v>276</v>
      </c>
      <c r="J604" s="19" t="e">
        <f>VLOOKUP(Table2[[#This Row], [Author]],People!A:B,2,0)</f>
        <v>#N/A</v>
      </c>
      <c r="K604" s="11"/>
      <c r="L604" s="11"/>
      <c r="M604" s="20" t="s">
        <v>277</v>
      </c>
    </row>
    <row r="605" spans="1:13" ht="19.5" customHeight="1">
      <c r="A605" s="21">
        <f t="shared" si="9"/>
        <v>604</v>
      </c>
      <c r="B605" s="13" t="s">
        <v>6</v>
      </c>
      <c r="C605" s="13" t="s">
        <v>52</v>
      </c>
      <c r="D605" s="13" t="s">
        <v>1450</v>
      </c>
      <c r="E605" s="13"/>
      <c r="F605" s="13" t="s">
        <v>1344</v>
      </c>
      <c r="G605" s="13" t="s">
        <v>13</v>
      </c>
      <c r="H605" s="22" t="str">
        <f>IFERROR(VLOOKUP(Table2[[#This Row], [Ticket]],Okey!A:B,2,0),"")</f>
        <v>ok</v>
      </c>
      <c r="I605" s="13" t="s">
        <v>276</v>
      </c>
      <c r="J605" s="22" t="e">
        <f>VLOOKUP(Table2[[#This Row], [Author]],People!A:B,2,0)</f>
        <v>#N/A</v>
      </c>
      <c r="K605" s="13"/>
      <c r="L605" s="13"/>
      <c r="M605" s="23" t="s">
        <v>277</v>
      </c>
    </row>
    <row r="606" spans="1:13" ht="19.5" customHeight="1">
      <c r="A606" s="18">
        <f t="shared" si="9"/>
        <v>605</v>
      </c>
      <c r="B606" s="11" t="s">
        <v>6</v>
      </c>
      <c r="C606" s="11" t="s">
        <v>52</v>
      </c>
      <c r="D606" s="11" t="s">
        <v>1451</v>
      </c>
      <c r="E606" s="11"/>
      <c r="F606" s="11" t="s">
        <v>1344</v>
      </c>
      <c r="G606" s="11" t="s">
        <v>13</v>
      </c>
      <c r="H606" s="19" t="str">
        <f>IFERROR(VLOOKUP(Table2[[#This Row], [Ticket]],Okey!A:B,2,0),"")</f>
        <v>ok</v>
      </c>
      <c r="I606" s="11" t="s">
        <v>276</v>
      </c>
      <c r="J606" s="19" t="e">
        <f>VLOOKUP(Table2[[#This Row], [Author]],People!A:B,2,0)</f>
        <v>#N/A</v>
      </c>
      <c r="K606" s="11"/>
      <c r="L606" s="11"/>
      <c r="M606" s="20" t="s">
        <v>277</v>
      </c>
    </row>
    <row r="607" spans="1:13" ht="19.5" customHeight="1">
      <c r="A607" s="21">
        <f t="shared" si="9"/>
        <v>606</v>
      </c>
      <c r="B607" s="13" t="s">
        <v>6</v>
      </c>
      <c r="C607" s="13" t="s">
        <v>52</v>
      </c>
      <c r="D607" s="13" t="s">
        <v>1452</v>
      </c>
      <c r="E607" s="13"/>
      <c r="F607" s="13" t="s">
        <v>1344</v>
      </c>
      <c r="G607" s="13" t="s">
        <v>13</v>
      </c>
      <c r="H607" s="22" t="str">
        <f>IFERROR(VLOOKUP(Table2[[#This Row], [Ticket]],Okey!A:B,2,0),"")</f>
        <v>ok</v>
      </c>
      <c r="I607" s="13" t="s">
        <v>276</v>
      </c>
      <c r="J607" s="22" t="e">
        <f>VLOOKUP(Table2[[#This Row], [Author]],People!A:B,2,0)</f>
        <v>#N/A</v>
      </c>
      <c r="K607" s="13"/>
      <c r="L607" s="13"/>
      <c r="M607" s="23" t="s">
        <v>277</v>
      </c>
    </row>
    <row r="608" spans="1:13" ht="19.5" customHeight="1">
      <c r="A608" s="18">
        <f t="shared" si="9"/>
        <v>607</v>
      </c>
      <c r="B608" s="11" t="s">
        <v>6</v>
      </c>
      <c r="C608" s="11" t="s">
        <v>52</v>
      </c>
      <c r="D608" s="11" t="s">
        <v>1453</v>
      </c>
      <c r="E608" s="11"/>
      <c r="F608" s="11" t="s">
        <v>1344</v>
      </c>
      <c r="G608" s="11" t="s">
        <v>13</v>
      </c>
      <c r="H608" s="19" t="str">
        <f>IFERROR(VLOOKUP(Table2[[#This Row], [Ticket]],Okey!A:B,2,0),"")</f>
        <v>ok</v>
      </c>
      <c r="I608" s="11" t="s">
        <v>276</v>
      </c>
      <c r="J608" s="19" t="e">
        <f>VLOOKUP(Table2[[#This Row], [Author]],People!A:B,2,0)</f>
        <v>#N/A</v>
      </c>
      <c r="K608" s="11"/>
      <c r="L608" s="11"/>
      <c r="M608" s="20" t="s">
        <v>277</v>
      </c>
    </row>
    <row r="609" spans="1:13" ht="19.5" customHeight="1">
      <c r="A609" s="21">
        <f t="shared" si="9"/>
        <v>608</v>
      </c>
      <c r="B609" s="13" t="s">
        <v>6</v>
      </c>
      <c r="C609" s="13" t="s">
        <v>52</v>
      </c>
      <c r="D609" s="13" t="s">
        <v>1454</v>
      </c>
      <c r="E609" s="13"/>
      <c r="F609" s="13" t="s">
        <v>1344</v>
      </c>
      <c r="G609" s="13" t="s">
        <v>13</v>
      </c>
      <c r="H609" s="22" t="str">
        <f>IFERROR(VLOOKUP(Table2[[#This Row], [Ticket]],Okey!A:B,2,0),"")</f>
        <v>ok</v>
      </c>
      <c r="I609" s="13" t="s">
        <v>276</v>
      </c>
      <c r="J609" s="22" t="e">
        <f>VLOOKUP(Table2[[#This Row], [Author]],People!A:B,2,0)</f>
        <v>#N/A</v>
      </c>
      <c r="K609" s="13"/>
      <c r="L609" s="13"/>
      <c r="M609" s="23" t="s">
        <v>277</v>
      </c>
    </row>
    <row r="610" spans="1:13" ht="19.5" customHeight="1">
      <c r="A610" s="18">
        <f t="shared" si="9"/>
        <v>609</v>
      </c>
      <c r="B610" s="11" t="s">
        <v>6</v>
      </c>
      <c r="C610" s="11" t="s">
        <v>52</v>
      </c>
      <c r="D610" s="11" t="s">
        <v>1455</v>
      </c>
      <c r="E610" s="11"/>
      <c r="F610" s="11" t="s">
        <v>1346</v>
      </c>
      <c r="G610" s="11" t="s">
        <v>13</v>
      </c>
      <c r="H610" s="19" t="str">
        <f>IFERROR(VLOOKUP(Table2[[#This Row], [Ticket]],Okey!A:B,2,0),"")</f>
        <v>ok</v>
      </c>
      <c r="I610" s="11" t="s">
        <v>276</v>
      </c>
      <c r="J610" s="19" t="e">
        <f>VLOOKUP(Table2[[#This Row], [Author]],People!A:B,2,0)</f>
        <v>#N/A</v>
      </c>
      <c r="K610" s="11"/>
      <c r="L610" s="11"/>
      <c r="M610" s="20" t="s">
        <v>277</v>
      </c>
    </row>
    <row r="611" spans="1:13" ht="19.5" customHeight="1">
      <c r="A611" s="21">
        <f t="shared" si="9"/>
        <v>610</v>
      </c>
      <c r="B611" s="13" t="s">
        <v>6</v>
      </c>
      <c r="C611" s="13" t="s">
        <v>52</v>
      </c>
      <c r="D611" s="13" t="s">
        <v>1456</v>
      </c>
      <c r="E611" s="13"/>
      <c r="F611" s="13" t="s">
        <v>1342</v>
      </c>
      <c r="G611" s="13" t="s">
        <v>13</v>
      </c>
      <c r="H611" s="22" t="str">
        <f>IFERROR(VLOOKUP(Table2[[#This Row], [Ticket]],Okey!A:B,2,0),"")</f>
        <v>ok</v>
      </c>
      <c r="I611" s="13" t="s">
        <v>276</v>
      </c>
      <c r="J611" s="22" t="e">
        <f>VLOOKUP(Table2[[#This Row], [Author]],People!A:B,2,0)</f>
        <v>#N/A</v>
      </c>
      <c r="K611" s="13"/>
      <c r="L611" s="13"/>
      <c r="M611" s="23" t="s">
        <v>277</v>
      </c>
    </row>
    <row r="612" spans="1:13" ht="19.5" customHeight="1">
      <c r="A612" s="18">
        <f t="shared" si="9"/>
        <v>611</v>
      </c>
      <c r="B612" s="11" t="s">
        <v>6</v>
      </c>
      <c r="C612" s="11" t="s">
        <v>52</v>
      </c>
      <c r="D612" s="11" t="s">
        <v>1457</v>
      </c>
      <c r="E612" s="11"/>
      <c r="F612" s="11" t="s">
        <v>1346</v>
      </c>
      <c r="G612" s="11" t="s">
        <v>13</v>
      </c>
      <c r="H612" s="19" t="str">
        <f>IFERROR(VLOOKUP(Table2[[#This Row], [Ticket]],Okey!A:B,2,0),"")</f>
        <v>ok</v>
      </c>
      <c r="I612" s="11" t="s">
        <v>276</v>
      </c>
      <c r="J612" s="19" t="e">
        <f>VLOOKUP(Table2[[#This Row], [Author]],People!A:B,2,0)</f>
        <v>#N/A</v>
      </c>
      <c r="K612" s="11"/>
      <c r="L612" s="11"/>
      <c r="M612" s="20" t="s">
        <v>277</v>
      </c>
    </row>
    <row r="613" spans="1:13" ht="19.5" customHeight="1">
      <c r="A613" s="21">
        <f t="shared" si="9"/>
        <v>612</v>
      </c>
      <c r="B613" s="13" t="s">
        <v>6</v>
      </c>
      <c r="C613" s="13" t="s">
        <v>52</v>
      </c>
      <c r="D613" s="13" t="s">
        <v>1458</v>
      </c>
      <c r="E613" s="13"/>
      <c r="F613" s="13" t="s">
        <v>1350</v>
      </c>
      <c r="G613" s="13" t="s">
        <v>13</v>
      </c>
      <c r="H613" s="22" t="str">
        <f>IFERROR(VLOOKUP(Table2[[#This Row], [Ticket]],Okey!A:B,2,0),"")</f>
        <v>ok</v>
      </c>
      <c r="I613" s="13" t="s">
        <v>276</v>
      </c>
      <c r="J613" s="22" t="e">
        <f>VLOOKUP(Table2[[#This Row], [Author]],People!A:B,2,0)</f>
        <v>#N/A</v>
      </c>
      <c r="K613" s="13"/>
      <c r="L613" s="13"/>
      <c r="M613" s="23" t="s">
        <v>277</v>
      </c>
    </row>
    <row r="614" spans="1:13" ht="19.5" customHeight="1">
      <c r="A614" s="18">
        <f t="shared" si="9"/>
        <v>613</v>
      </c>
      <c r="B614" s="11" t="s">
        <v>6</v>
      </c>
      <c r="C614" s="11" t="s">
        <v>52</v>
      </c>
      <c r="D614" s="11" t="s">
        <v>1459</v>
      </c>
      <c r="E614" s="11"/>
      <c r="F614" s="11" t="s">
        <v>1346</v>
      </c>
      <c r="G614" s="11" t="s">
        <v>13</v>
      </c>
      <c r="H614" s="19" t="str">
        <f>IFERROR(VLOOKUP(Table2[[#This Row], [Ticket]],Okey!A:B,2,0),"")</f>
        <v>ok</v>
      </c>
      <c r="I614" s="11" t="s">
        <v>276</v>
      </c>
      <c r="J614" s="19" t="e">
        <f>VLOOKUP(Table2[[#This Row], [Author]],People!A:B,2,0)</f>
        <v>#N/A</v>
      </c>
      <c r="K614" s="11"/>
      <c r="L614" s="11"/>
      <c r="M614" s="20" t="s">
        <v>277</v>
      </c>
    </row>
    <row r="615" spans="1:13" ht="19.5" customHeight="1">
      <c r="A615" s="21">
        <f t="shared" si="9"/>
        <v>614</v>
      </c>
      <c r="B615" s="13" t="s">
        <v>6</v>
      </c>
      <c r="C615" s="13" t="s">
        <v>52</v>
      </c>
      <c r="D615" s="13" t="s">
        <v>1460</v>
      </c>
      <c r="E615" s="13"/>
      <c r="F615" s="13" t="s">
        <v>1346</v>
      </c>
      <c r="G615" s="13" t="s">
        <v>13</v>
      </c>
      <c r="H615" s="22" t="str">
        <f>IFERROR(VLOOKUP(Table2[[#This Row], [Ticket]],Okey!A:B,2,0),"")</f>
        <v>ok</v>
      </c>
      <c r="I615" s="13" t="s">
        <v>276</v>
      </c>
      <c r="J615" s="22" t="e">
        <f>VLOOKUP(Table2[[#This Row], [Author]],People!A:B,2,0)</f>
        <v>#N/A</v>
      </c>
      <c r="K615" s="13"/>
      <c r="L615" s="13"/>
      <c r="M615" s="23" t="s">
        <v>277</v>
      </c>
    </row>
    <row r="616" spans="1:13" ht="19.5" customHeight="1">
      <c r="A616" s="18">
        <f t="shared" si="9"/>
        <v>615</v>
      </c>
      <c r="B616" s="11" t="s">
        <v>6</v>
      </c>
      <c r="C616" s="11" t="s">
        <v>52</v>
      </c>
      <c r="D616" s="11" t="s">
        <v>1461</v>
      </c>
      <c r="E616" s="11"/>
      <c r="F616" s="11" t="s">
        <v>1346</v>
      </c>
      <c r="G616" s="11" t="s">
        <v>13</v>
      </c>
      <c r="H616" s="19" t="str">
        <f>IFERROR(VLOOKUP(Table2[[#This Row], [Ticket]],Okey!A:B,2,0),"")</f>
        <v>ok</v>
      </c>
      <c r="I616" s="11" t="s">
        <v>276</v>
      </c>
      <c r="J616" s="19" t="e">
        <f>VLOOKUP(Table2[[#This Row], [Author]],People!A:B,2,0)</f>
        <v>#N/A</v>
      </c>
      <c r="K616" s="11"/>
      <c r="L616" s="11"/>
      <c r="M616" s="20" t="s">
        <v>277</v>
      </c>
    </row>
    <row r="617" spans="1:13" ht="19.5" customHeight="1">
      <c r="A617" s="21">
        <f t="shared" si="9"/>
        <v>616</v>
      </c>
      <c r="B617" s="13" t="s">
        <v>6</v>
      </c>
      <c r="C617" s="13" t="s">
        <v>52</v>
      </c>
      <c r="D617" s="13" t="s">
        <v>1462</v>
      </c>
      <c r="E617" s="13"/>
      <c r="F617" s="13" t="s">
        <v>1346</v>
      </c>
      <c r="G617" s="13" t="s">
        <v>13</v>
      </c>
      <c r="H617" s="22" t="str">
        <f>IFERROR(VLOOKUP(Table2[[#This Row], [Ticket]],Okey!A:B,2,0),"")</f>
        <v>ok</v>
      </c>
      <c r="I617" s="13" t="s">
        <v>276</v>
      </c>
      <c r="J617" s="22" t="e">
        <f>VLOOKUP(Table2[[#This Row], [Author]],People!A:B,2,0)</f>
        <v>#N/A</v>
      </c>
      <c r="K617" s="13"/>
      <c r="L617" s="13"/>
      <c r="M617" s="23" t="s">
        <v>277</v>
      </c>
    </row>
    <row r="618" spans="1:13" ht="19.5" customHeight="1">
      <c r="A618" s="18">
        <f t="shared" si="9"/>
        <v>617</v>
      </c>
      <c r="B618" s="11" t="s">
        <v>6</v>
      </c>
      <c r="C618" s="11" t="s">
        <v>52</v>
      </c>
      <c r="D618" s="11" t="s">
        <v>1463</v>
      </c>
      <c r="E618" s="11"/>
      <c r="F618" s="11" t="s">
        <v>1350</v>
      </c>
      <c r="G618" s="11" t="s">
        <v>13</v>
      </c>
      <c r="H618" s="19" t="str">
        <f>IFERROR(VLOOKUP(Table2[[#This Row], [Ticket]],Okey!A:B,2,0),"")</f>
        <v>ok</v>
      </c>
      <c r="I618" s="11" t="s">
        <v>276</v>
      </c>
      <c r="J618" s="19" t="e">
        <f>VLOOKUP(Table2[[#This Row], [Author]],People!A:B,2,0)</f>
        <v>#N/A</v>
      </c>
      <c r="K618" s="11"/>
      <c r="L618" s="11"/>
      <c r="M618" s="20" t="s">
        <v>277</v>
      </c>
    </row>
    <row r="619" spans="1:13" ht="19.5" customHeight="1">
      <c r="A619" s="21">
        <f t="shared" si="9"/>
        <v>618</v>
      </c>
      <c r="B619" s="13" t="s">
        <v>6</v>
      </c>
      <c r="C619" s="13" t="s">
        <v>52</v>
      </c>
      <c r="D619" s="13" t="s">
        <v>1464</v>
      </c>
      <c r="E619" s="13"/>
      <c r="F619" s="13" t="s">
        <v>1342</v>
      </c>
      <c r="G619" s="13" t="s">
        <v>13</v>
      </c>
      <c r="H619" s="22" t="str">
        <f>IFERROR(VLOOKUP(Table2[[#This Row], [Ticket]],Okey!A:B,2,0),"")</f>
        <v>ok</v>
      </c>
      <c r="I619" s="13" t="s">
        <v>276</v>
      </c>
      <c r="J619" s="22" t="e">
        <f>VLOOKUP(Table2[[#This Row], [Author]],People!A:B,2,0)</f>
        <v>#N/A</v>
      </c>
      <c r="K619" s="13"/>
      <c r="L619" s="13"/>
      <c r="M619" s="23" t="s">
        <v>277</v>
      </c>
    </row>
    <row r="620" spans="1:13" ht="19.5" customHeight="1">
      <c r="A620" s="18">
        <f t="shared" si="9"/>
        <v>619</v>
      </c>
      <c r="B620" s="11" t="s">
        <v>6</v>
      </c>
      <c r="C620" s="11" t="s">
        <v>52</v>
      </c>
      <c r="D620" s="11" t="s">
        <v>1465</v>
      </c>
      <c r="E620" s="11"/>
      <c r="F620" s="11" t="s">
        <v>1346</v>
      </c>
      <c r="G620" s="11" t="s">
        <v>13</v>
      </c>
      <c r="H620" s="19" t="str">
        <f>IFERROR(VLOOKUP(Table2[[#This Row], [Ticket]],Okey!A:B,2,0),"")</f>
        <v>ok</v>
      </c>
      <c r="I620" s="11" t="s">
        <v>276</v>
      </c>
      <c r="J620" s="19" t="e">
        <f>VLOOKUP(Table2[[#This Row], [Author]],People!A:B,2,0)</f>
        <v>#N/A</v>
      </c>
      <c r="K620" s="11"/>
      <c r="L620" s="11"/>
      <c r="M620" s="20" t="s">
        <v>277</v>
      </c>
    </row>
    <row r="621" spans="1:13" ht="19.5" customHeight="1">
      <c r="A621" s="21">
        <f t="shared" si="9"/>
        <v>620</v>
      </c>
      <c r="B621" s="13" t="s">
        <v>6</v>
      </c>
      <c r="C621" s="13" t="s">
        <v>52</v>
      </c>
      <c r="D621" s="13" t="s">
        <v>1466</v>
      </c>
      <c r="E621" s="13"/>
      <c r="F621" s="13" t="s">
        <v>1350</v>
      </c>
      <c r="G621" s="13" t="s">
        <v>13</v>
      </c>
      <c r="H621" s="22" t="str">
        <f>IFERROR(VLOOKUP(Table2[[#This Row], [Ticket]],Okey!A:B,2,0),"")</f>
        <v>ok</v>
      </c>
      <c r="I621" s="13" t="s">
        <v>276</v>
      </c>
      <c r="J621" s="22" t="e">
        <f>VLOOKUP(Table2[[#This Row], [Author]],People!A:B,2,0)</f>
        <v>#N/A</v>
      </c>
      <c r="K621" s="13"/>
      <c r="L621" s="13"/>
      <c r="M621" s="23" t="s">
        <v>277</v>
      </c>
    </row>
    <row r="622" spans="1:13" ht="19.5" customHeight="1">
      <c r="A622" s="18">
        <f t="shared" si="9"/>
        <v>621</v>
      </c>
      <c r="B622" s="11" t="s">
        <v>6</v>
      </c>
      <c r="C622" s="11" t="s">
        <v>52</v>
      </c>
      <c r="D622" s="11" t="s">
        <v>1467</v>
      </c>
      <c r="E622" s="11"/>
      <c r="F622" s="11" t="s">
        <v>1342</v>
      </c>
      <c r="G622" s="11" t="s">
        <v>13</v>
      </c>
      <c r="H622" s="19" t="str">
        <f>IFERROR(VLOOKUP(Table2[[#This Row], [Ticket]],Okey!A:B,2,0),"")</f>
        <v>ok</v>
      </c>
      <c r="I622" s="11" t="s">
        <v>276</v>
      </c>
      <c r="J622" s="19" t="e">
        <f>VLOOKUP(Table2[[#This Row], [Author]],People!A:B,2,0)</f>
        <v>#N/A</v>
      </c>
      <c r="K622" s="11"/>
      <c r="L622" s="11"/>
      <c r="M622" s="20" t="s">
        <v>277</v>
      </c>
    </row>
    <row r="623" spans="1:13" ht="19.5" customHeight="1">
      <c r="A623" s="21">
        <f t="shared" si="9"/>
        <v>622</v>
      </c>
      <c r="B623" s="13" t="s">
        <v>6</v>
      </c>
      <c r="C623" s="13" t="s">
        <v>52</v>
      </c>
      <c r="D623" s="13" t="s">
        <v>1468</v>
      </c>
      <c r="E623" s="13"/>
      <c r="F623" s="13" t="s">
        <v>1352</v>
      </c>
      <c r="G623" s="13" t="s">
        <v>13</v>
      </c>
      <c r="H623" s="22" t="str">
        <f>IFERROR(VLOOKUP(Table2[[#This Row], [Ticket]],Okey!A:B,2,0),"")</f>
        <v>ok</v>
      </c>
      <c r="I623" s="13" t="s">
        <v>276</v>
      </c>
      <c r="J623" s="22" t="e">
        <f>VLOOKUP(Table2[[#This Row], [Author]],People!A:B,2,0)</f>
        <v>#N/A</v>
      </c>
      <c r="K623" s="13"/>
      <c r="L623" s="13"/>
      <c r="M623" s="23" t="s">
        <v>277</v>
      </c>
    </row>
    <row r="624" spans="1:13" ht="19.5" customHeight="1">
      <c r="A624" s="18">
        <f t="shared" si="9"/>
        <v>623</v>
      </c>
      <c r="B624" s="11" t="s">
        <v>6</v>
      </c>
      <c r="C624" s="11" t="s">
        <v>52</v>
      </c>
      <c r="D624" s="11" t="s">
        <v>1469</v>
      </c>
      <c r="E624" s="11"/>
      <c r="F624" s="11" t="s">
        <v>1342</v>
      </c>
      <c r="G624" s="11" t="s">
        <v>13</v>
      </c>
      <c r="H624" s="19" t="str">
        <f>IFERROR(VLOOKUP(Table2[[#This Row], [Ticket]],Okey!A:B,2,0),"")</f>
        <v>ok</v>
      </c>
      <c r="I624" s="11" t="s">
        <v>276</v>
      </c>
      <c r="J624" s="19" t="e">
        <f>VLOOKUP(Table2[[#This Row], [Author]],People!A:B,2,0)</f>
        <v>#N/A</v>
      </c>
      <c r="K624" s="11"/>
      <c r="L624" s="11"/>
      <c r="M624" s="20" t="s">
        <v>277</v>
      </c>
    </row>
    <row r="625" spans="1:13" ht="19.5" customHeight="1">
      <c r="A625" s="21">
        <f t="shared" si="9"/>
        <v>624</v>
      </c>
      <c r="B625" s="13" t="s">
        <v>6</v>
      </c>
      <c r="C625" s="13" t="s">
        <v>52</v>
      </c>
      <c r="D625" s="13" t="s">
        <v>1470</v>
      </c>
      <c r="E625" s="13"/>
      <c r="F625" s="13" t="s">
        <v>1350</v>
      </c>
      <c r="G625" s="13" t="s">
        <v>13</v>
      </c>
      <c r="H625" s="22" t="str">
        <f>IFERROR(VLOOKUP(Table2[[#This Row], [Ticket]],Okey!A:B,2,0),"")</f>
        <v>ok</v>
      </c>
      <c r="I625" s="13" t="s">
        <v>276</v>
      </c>
      <c r="J625" s="22" t="e">
        <f>VLOOKUP(Table2[[#This Row], [Author]],People!A:B,2,0)</f>
        <v>#N/A</v>
      </c>
      <c r="K625" s="13"/>
      <c r="L625" s="13"/>
      <c r="M625" s="23" t="s">
        <v>277</v>
      </c>
    </row>
    <row r="626" spans="1:13" ht="19.5" customHeight="1">
      <c r="A626" s="18">
        <f t="shared" si="9"/>
        <v>625</v>
      </c>
      <c r="B626" s="11" t="s">
        <v>6</v>
      </c>
      <c r="C626" s="11" t="s">
        <v>52</v>
      </c>
      <c r="D626" s="11" t="s">
        <v>1471</v>
      </c>
      <c r="E626" s="11"/>
      <c r="F626" s="11" t="s">
        <v>1370</v>
      </c>
      <c r="G626" s="11" t="s">
        <v>13</v>
      </c>
      <c r="H626" s="19" t="str">
        <f>IFERROR(VLOOKUP(Table2[[#This Row], [Ticket]],Okey!A:B,2,0),"")</f>
        <v>ok</v>
      </c>
      <c r="I626" s="11" t="s">
        <v>276</v>
      </c>
      <c r="J626" s="19" t="e">
        <f>VLOOKUP(Table2[[#This Row], [Author]],People!A:B,2,0)</f>
        <v>#N/A</v>
      </c>
      <c r="K626" s="11"/>
      <c r="L626" s="11"/>
      <c r="M626" s="20" t="s">
        <v>277</v>
      </c>
    </row>
    <row r="627" spans="1:13" ht="19.5" customHeight="1">
      <c r="A627" s="21">
        <f t="shared" si="9"/>
        <v>626</v>
      </c>
      <c r="B627" s="13" t="s">
        <v>6</v>
      </c>
      <c r="C627" s="13" t="s">
        <v>52</v>
      </c>
      <c r="D627" s="13" t="s">
        <v>1472</v>
      </c>
      <c r="E627" s="13"/>
      <c r="F627" s="13" t="s">
        <v>1350</v>
      </c>
      <c r="G627" s="13" t="s">
        <v>13</v>
      </c>
      <c r="H627" s="22" t="str">
        <f>IFERROR(VLOOKUP(Table2[[#This Row], [Ticket]],Okey!A:B,2,0),"")</f>
        <v>ok</v>
      </c>
      <c r="I627" s="13" t="s">
        <v>276</v>
      </c>
      <c r="J627" s="22" t="e">
        <f>VLOOKUP(Table2[[#This Row], [Author]],People!A:B,2,0)</f>
        <v>#N/A</v>
      </c>
      <c r="K627" s="13"/>
      <c r="L627" s="13"/>
      <c r="M627" s="23" t="s">
        <v>277</v>
      </c>
    </row>
    <row r="628" spans="1:13" ht="19.5" customHeight="1">
      <c r="A628" s="18">
        <f t="shared" si="9"/>
        <v>627</v>
      </c>
      <c r="B628" s="11" t="s">
        <v>6</v>
      </c>
      <c r="C628" s="11" t="s">
        <v>52</v>
      </c>
      <c r="D628" s="11" t="s">
        <v>1473</v>
      </c>
      <c r="E628" s="11"/>
      <c r="F628" s="11" t="s">
        <v>1474</v>
      </c>
      <c r="G628" s="11" t="s">
        <v>13</v>
      </c>
      <c r="H628" s="19" t="str">
        <f>IFERROR(VLOOKUP(Table2[[#This Row], [Ticket]],Okey!A:B,2,0),"")</f>
        <v>ok</v>
      </c>
      <c r="I628" s="11" t="s">
        <v>276</v>
      </c>
      <c r="J628" s="19" t="e">
        <f>VLOOKUP(Table2[[#This Row], [Author]],People!A:B,2,0)</f>
        <v>#N/A</v>
      </c>
      <c r="K628" s="11"/>
      <c r="L628" s="11"/>
      <c r="M628" s="20" t="s">
        <v>277</v>
      </c>
    </row>
    <row r="629" spans="1:13" ht="19.5" customHeight="1">
      <c r="A629" s="21">
        <f t="shared" si="9"/>
        <v>628</v>
      </c>
      <c r="B629" s="13" t="s">
        <v>6</v>
      </c>
      <c r="C629" s="13" t="s">
        <v>52</v>
      </c>
      <c r="D629" s="13" t="s">
        <v>1475</v>
      </c>
      <c r="E629" s="13"/>
      <c r="F629" s="13" t="s">
        <v>1474</v>
      </c>
      <c r="G629" s="13" t="s">
        <v>13</v>
      </c>
      <c r="H629" s="22" t="str">
        <f>IFERROR(VLOOKUP(Table2[[#This Row], [Ticket]],Okey!A:B,2,0),"")</f>
        <v>ok</v>
      </c>
      <c r="I629" s="13" t="s">
        <v>276</v>
      </c>
      <c r="J629" s="22" t="e">
        <f>VLOOKUP(Table2[[#This Row], [Author]],People!A:B,2,0)</f>
        <v>#N/A</v>
      </c>
      <c r="K629" s="13"/>
      <c r="L629" s="13"/>
      <c r="M629" s="23" t="s">
        <v>277</v>
      </c>
    </row>
    <row r="630" spans="1:13" ht="19.5" customHeight="1">
      <c r="A630" s="18">
        <f t="shared" si="9"/>
        <v>629</v>
      </c>
      <c r="B630" s="11" t="s">
        <v>6</v>
      </c>
      <c r="C630" s="11" t="s">
        <v>52</v>
      </c>
      <c r="D630" s="11" t="s">
        <v>1476</v>
      </c>
      <c r="E630" s="11"/>
      <c r="F630" s="11" t="s">
        <v>953</v>
      </c>
      <c r="G630" s="11" t="s">
        <v>13</v>
      </c>
      <c r="H630" s="19" t="str">
        <f>IFERROR(VLOOKUP(Table2[[#This Row], [Ticket]],Okey!A:B,2,0),"")</f>
        <v>ok</v>
      </c>
      <c r="I630" s="11" t="s">
        <v>276</v>
      </c>
      <c r="J630" s="19" t="e">
        <f>VLOOKUP(Table2[[#This Row], [Author]],People!A:B,2,0)</f>
        <v>#N/A</v>
      </c>
      <c r="K630" s="11"/>
      <c r="L630" s="11"/>
      <c r="M630" s="20" t="s">
        <v>277</v>
      </c>
    </row>
    <row r="631" spans="1:13" ht="19.5" customHeight="1">
      <c r="A631" s="21">
        <f t="shared" si="9"/>
        <v>630</v>
      </c>
      <c r="B631" s="13" t="s">
        <v>6</v>
      </c>
      <c r="C631" s="13" t="s">
        <v>52</v>
      </c>
      <c r="D631" s="13" t="s">
        <v>1477</v>
      </c>
      <c r="E631" s="13"/>
      <c r="F631" s="13" t="s">
        <v>1478</v>
      </c>
      <c r="G631" s="13" t="s">
        <v>13</v>
      </c>
      <c r="H631" s="22" t="str">
        <f>IFERROR(VLOOKUP(Table2[[#This Row], [Ticket]],Okey!A:B,2,0),"")</f>
        <v>ok</v>
      </c>
      <c r="I631" s="13" t="s">
        <v>276</v>
      </c>
      <c r="J631" s="22" t="e">
        <f>VLOOKUP(Table2[[#This Row], [Author]],People!A:B,2,0)</f>
        <v>#N/A</v>
      </c>
      <c r="K631" s="13"/>
      <c r="L631" s="13"/>
      <c r="M631" s="23" t="s">
        <v>277</v>
      </c>
    </row>
    <row r="632" spans="1:13" ht="19.5" customHeight="1">
      <c r="A632" s="18">
        <f t="shared" si="9"/>
        <v>631</v>
      </c>
      <c r="B632" s="11" t="s">
        <v>6</v>
      </c>
      <c r="C632" s="11" t="s">
        <v>52</v>
      </c>
      <c r="D632" s="11" t="s">
        <v>1479</v>
      </c>
      <c r="E632" s="11"/>
      <c r="F632" s="11" t="s">
        <v>1478</v>
      </c>
      <c r="G632" s="11" t="s">
        <v>13</v>
      </c>
      <c r="H632" s="19" t="str">
        <f>IFERROR(VLOOKUP(Table2[[#This Row], [Ticket]],Okey!A:B,2,0),"")</f>
        <v>ok</v>
      </c>
      <c r="I632" s="11" t="s">
        <v>276</v>
      </c>
      <c r="J632" s="19" t="e">
        <f>VLOOKUP(Table2[[#This Row], [Author]],People!A:B,2,0)</f>
        <v>#N/A</v>
      </c>
      <c r="K632" s="11"/>
      <c r="L632" s="11"/>
      <c r="M632" s="20" t="s">
        <v>277</v>
      </c>
    </row>
    <row r="633" spans="1:13" ht="19.5" customHeight="1">
      <c r="A633" s="21">
        <f t="shared" si="9"/>
        <v>632</v>
      </c>
      <c r="B633" s="13" t="s">
        <v>6</v>
      </c>
      <c r="C633" s="13" t="s">
        <v>52</v>
      </c>
      <c r="D633" s="13" t="s">
        <v>1480</v>
      </c>
      <c r="E633" s="13"/>
      <c r="F633" s="13" t="s">
        <v>1478</v>
      </c>
      <c r="G633" s="13" t="s">
        <v>13</v>
      </c>
      <c r="H633" s="22" t="str">
        <f>IFERROR(VLOOKUP(Table2[[#This Row], [Ticket]],Okey!A:B,2,0),"")</f>
        <v>ok</v>
      </c>
      <c r="I633" s="13" t="s">
        <v>276</v>
      </c>
      <c r="J633" s="22" t="e">
        <f>VLOOKUP(Table2[[#This Row], [Author]],People!A:B,2,0)</f>
        <v>#N/A</v>
      </c>
      <c r="K633" s="13"/>
      <c r="L633" s="13"/>
      <c r="M633" s="23" t="s">
        <v>277</v>
      </c>
    </row>
    <row r="634" spans="1:13" ht="19.5" customHeight="1">
      <c r="A634" s="18">
        <f t="shared" si="9"/>
        <v>633</v>
      </c>
      <c r="B634" s="11" t="s">
        <v>6</v>
      </c>
      <c r="C634" s="11" t="s">
        <v>52</v>
      </c>
      <c r="D634" s="11" t="s">
        <v>1481</v>
      </c>
      <c r="E634" s="11"/>
      <c r="F634" s="11" t="s">
        <v>1478</v>
      </c>
      <c r="G634" s="11" t="s">
        <v>13</v>
      </c>
      <c r="H634" s="19" t="str">
        <f>IFERROR(VLOOKUP(Table2[[#This Row], [Ticket]],Okey!A:B,2,0),"")</f>
        <v>ok</v>
      </c>
      <c r="I634" s="11" t="s">
        <v>276</v>
      </c>
      <c r="J634" s="19" t="e">
        <f>VLOOKUP(Table2[[#This Row], [Author]],People!A:B,2,0)</f>
        <v>#N/A</v>
      </c>
      <c r="K634" s="11"/>
      <c r="L634" s="11"/>
      <c r="M634" s="20" t="s">
        <v>277</v>
      </c>
    </row>
    <row r="635" spans="1:13" ht="19.5" customHeight="1">
      <c r="A635" s="21">
        <f t="shared" si="9"/>
        <v>634</v>
      </c>
      <c r="B635" s="13" t="s">
        <v>6</v>
      </c>
      <c r="C635" s="13" t="s">
        <v>52</v>
      </c>
      <c r="D635" s="13" t="s">
        <v>1482</v>
      </c>
      <c r="E635" s="13"/>
      <c r="F635" s="13" t="s">
        <v>1478</v>
      </c>
      <c r="G635" s="13" t="s">
        <v>13</v>
      </c>
      <c r="H635" s="22" t="str">
        <f>IFERROR(VLOOKUP(Table2[[#This Row], [Ticket]],Okey!A:B,2,0),"")</f>
        <v>ok</v>
      </c>
      <c r="I635" s="13" t="s">
        <v>276</v>
      </c>
      <c r="J635" s="22" t="e">
        <f>VLOOKUP(Table2[[#This Row], [Author]],People!A:B,2,0)</f>
        <v>#N/A</v>
      </c>
      <c r="K635" s="13"/>
      <c r="L635" s="13"/>
      <c r="M635" s="23" t="s">
        <v>277</v>
      </c>
    </row>
    <row r="636" spans="1:13" ht="19.5" customHeight="1">
      <c r="A636" s="18">
        <f t="shared" si="9"/>
        <v>635</v>
      </c>
      <c r="B636" s="11" t="s">
        <v>6</v>
      </c>
      <c r="C636" s="11" t="s">
        <v>52</v>
      </c>
      <c r="D636" s="11" t="s">
        <v>1483</v>
      </c>
      <c r="E636" s="11"/>
      <c r="F636" s="11" t="s">
        <v>1478</v>
      </c>
      <c r="G636" s="11" t="s">
        <v>13</v>
      </c>
      <c r="H636" s="19" t="str">
        <f>IFERROR(VLOOKUP(Table2[[#This Row], [Ticket]],Okey!A:B,2,0),"")</f>
        <v>ok</v>
      </c>
      <c r="I636" s="11" t="s">
        <v>276</v>
      </c>
      <c r="J636" s="19" t="e">
        <f>VLOOKUP(Table2[[#This Row], [Author]],People!A:B,2,0)</f>
        <v>#N/A</v>
      </c>
      <c r="K636" s="11"/>
      <c r="L636" s="11"/>
      <c r="M636" s="20" t="s">
        <v>277</v>
      </c>
    </row>
    <row r="637" spans="1:13" ht="19.5" customHeight="1">
      <c r="A637" s="21">
        <f t="shared" si="9"/>
        <v>636</v>
      </c>
      <c r="B637" s="13" t="s">
        <v>6</v>
      </c>
      <c r="C637" s="13" t="s">
        <v>53</v>
      </c>
      <c r="D637" s="13" t="s">
        <v>1484</v>
      </c>
      <c r="E637" s="13" t="s">
        <v>1485</v>
      </c>
      <c r="F637" s="13" t="s">
        <v>375</v>
      </c>
      <c r="G637" s="13" t="s">
        <v>16</v>
      </c>
      <c r="H637" s="22" t="str">
        <f>IFERROR(VLOOKUP(Table2[[#This Row], [Ticket]],Okey!A:B,2,0),"")</f>
        <v>ok</v>
      </c>
      <c r="I637" s="13" t="s">
        <v>276</v>
      </c>
      <c r="J637" s="22" t="e">
        <f>VLOOKUP(Table2[[#This Row], [Author]],People!A:B,2,0)</f>
        <v>#N/A</v>
      </c>
      <c r="K637" s="13"/>
      <c r="L637" s="13"/>
      <c r="M637" s="23" t="s">
        <v>677</v>
      </c>
    </row>
    <row r="638" spans="1:13" ht="19.5" customHeight="1">
      <c r="A638" s="18">
        <f t="shared" si="9"/>
        <v>637</v>
      </c>
      <c r="B638" s="11" t="s">
        <v>6</v>
      </c>
      <c r="C638" s="11" t="s">
        <v>53</v>
      </c>
      <c r="D638" s="11" t="s">
        <v>855</v>
      </c>
      <c r="E638" s="11" t="s">
        <v>1486</v>
      </c>
      <c r="F638" s="11" t="s">
        <v>375</v>
      </c>
      <c r="G638" s="11" t="s">
        <v>16</v>
      </c>
      <c r="H638" s="19" t="str">
        <f>IFERROR(VLOOKUP(Table2[[#This Row], [Ticket]],Okey!A:B,2,0),"")</f>
        <v>ok</v>
      </c>
      <c r="I638" s="11" t="s">
        <v>276</v>
      </c>
      <c r="J638" s="19" t="e">
        <f>VLOOKUP(Table2[[#This Row], [Author]],People!A:B,2,0)</f>
        <v>#N/A</v>
      </c>
      <c r="K638" s="11"/>
      <c r="L638" s="11"/>
      <c r="M638" s="20" t="s">
        <v>677</v>
      </c>
    </row>
    <row r="639" spans="1:13" ht="19.5" customHeight="1">
      <c r="A639" s="21">
        <f t="shared" si="9"/>
        <v>638</v>
      </c>
      <c r="B639" s="13" t="s">
        <v>6</v>
      </c>
      <c r="C639" s="13" t="s">
        <v>53</v>
      </c>
      <c r="D639" s="13" t="s">
        <v>1487</v>
      </c>
      <c r="E639" s="13" t="s">
        <v>1488</v>
      </c>
      <c r="F639" s="13" t="s">
        <v>1484</v>
      </c>
      <c r="G639" s="13" t="s">
        <v>16</v>
      </c>
      <c r="H639" s="22" t="str">
        <f>IFERROR(VLOOKUP(Table2[[#This Row], [Ticket]],Okey!A:B,2,0),"")</f>
        <v>ok</v>
      </c>
      <c r="I639" s="13" t="s">
        <v>276</v>
      </c>
      <c r="J639" s="22" t="e">
        <f>VLOOKUP(Table2[[#This Row], [Author]],People!A:B,2,0)</f>
        <v>#N/A</v>
      </c>
      <c r="K639" s="13"/>
      <c r="L639" s="13"/>
      <c r="M639" s="23" t="s">
        <v>677</v>
      </c>
    </row>
    <row r="640" spans="1:13" ht="19.5" customHeight="1">
      <c r="A640" s="18">
        <f t="shared" si="9"/>
        <v>639</v>
      </c>
      <c r="B640" s="11" t="s">
        <v>6</v>
      </c>
      <c r="C640" s="11" t="s">
        <v>53</v>
      </c>
      <c r="D640" s="11" t="s">
        <v>1489</v>
      </c>
      <c r="E640" s="11" t="s">
        <v>1490</v>
      </c>
      <c r="F640" s="11" t="s">
        <v>1484</v>
      </c>
      <c r="G640" s="11" t="s">
        <v>16</v>
      </c>
      <c r="H640" s="19" t="str">
        <f>IFERROR(VLOOKUP(Table2[[#This Row], [Ticket]],Okey!A:B,2,0),"")</f>
        <v>ok</v>
      </c>
      <c r="I640" s="11" t="s">
        <v>276</v>
      </c>
      <c r="J640" s="19" t="e">
        <f>VLOOKUP(Table2[[#This Row], [Author]],People!A:B,2,0)</f>
        <v>#N/A</v>
      </c>
      <c r="K640" s="11"/>
      <c r="L640" s="11"/>
      <c r="M640" s="20" t="s">
        <v>677</v>
      </c>
    </row>
    <row r="641" spans="1:13" ht="19.5" customHeight="1">
      <c r="A641" s="21">
        <f t="shared" si="9"/>
        <v>640</v>
      </c>
      <c r="B641" s="13" t="s">
        <v>6</v>
      </c>
      <c r="C641" s="13" t="s">
        <v>53</v>
      </c>
      <c r="D641" s="13" t="s">
        <v>1491</v>
      </c>
      <c r="E641" s="13" t="s">
        <v>1492</v>
      </c>
      <c r="F641" s="13" t="s">
        <v>1484</v>
      </c>
      <c r="G641" s="13" t="s">
        <v>16</v>
      </c>
      <c r="H641" s="22" t="str">
        <f>IFERROR(VLOOKUP(Table2[[#This Row], [Ticket]],Okey!A:B,2,0),"")</f>
        <v>ok</v>
      </c>
      <c r="I641" s="13" t="s">
        <v>276</v>
      </c>
      <c r="J641" s="22" t="e">
        <f>VLOOKUP(Table2[[#This Row], [Author]],People!A:B,2,0)</f>
        <v>#N/A</v>
      </c>
      <c r="K641" s="13"/>
      <c r="L641" s="13"/>
      <c r="M641" s="23" t="s">
        <v>677</v>
      </c>
    </row>
    <row r="642" spans="1:13" ht="19.5" customHeight="1">
      <c r="A642" s="18">
        <f t="shared" si="9"/>
        <v>641</v>
      </c>
      <c r="B642" s="11" t="s">
        <v>6</v>
      </c>
      <c r="C642" s="11" t="s">
        <v>53</v>
      </c>
      <c r="D642" s="11" t="s">
        <v>1493</v>
      </c>
      <c r="E642" s="11" t="s">
        <v>1494</v>
      </c>
      <c r="F642" s="11" t="s">
        <v>1489</v>
      </c>
      <c r="G642" s="11" t="s">
        <v>16</v>
      </c>
      <c r="H642" s="19" t="str">
        <f>IFERROR(VLOOKUP(Table2[[#This Row], [Ticket]],Okey!A:B,2,0),"")</f>
        <v>ok</v>
      </c>
      <c r="I642" s="11" t="s">
        <v>276</v>
      </c>
      <c r="J642" s="19" t="e">
        <f>VLOOKUP(Table2[[#This Row], [Author]],People!A:B,2,0)</f>
        <v>#N/A</v>
      </c>
      <c r="K642" s="11"/>
      <c r="L642" s="11"/>
      <c r="M642" s="20" t="s">
        <v>677</v>
      </c>
    </row>
    <row r="643" spans="1:13" ht="19.5" customHeight="1">
      <c r="A643" s="21">
        <f t="shared" ref="A643:A706" si="10">1+A642</f>
        <v>642</v>
      </c>
      <c r="B643" s="13" t="s">
        <v>6</v>
      </c>
      <c r="C643" s="13" t="s">
        <v>53</v>
      </c>
      <c r="D643" s="13" t="s">
        <v>1495</v>
      </c>
      <c r="E643" s="13" t="s">
        <v>1496</v>
      </c>
      <c r="F643" s="13" t="s">
        <v>1489</v>
      </c>
      <c r="G643" s="13" t="s">
        <v>16</v>
      </c>
      <c r="H643" s="22" t="str">
        <f>IFERROR(VLOOKUP(Table2[[#This Row], [Ticket]],Okey!A:B,2,0),"")</f>
        <v>ok</v>
      </c>
      <c r="I643" s="13" t="s">
        <v>276</v>
      </c>
      <c r="J643" s="22" t="e">
        <f>VLOOKUP(Table2[[#This Row], [Author]],People!A:B,2,0)</f>
        <v>#N/A</v>
      </c>
      <c r="K643" s="13"/>
      <c r="L643" s="13"/>
      <c r="M643" s="23" t="s">
        <v>677</v>
      </c>
    </row>
    <row r="644" spans="1:13" ht="19.5" customHeight="1">
      <c r="A644" s="18">
        <f t="shared" si="10"/>
        <v>643</v>
      </c>
      <c r="B644" s="11" t="s">
        <v>6</v>
      </c>
      <c r="C644" s="11" t="s">
        <v>53</v>
      </c>
      <c r="D644" s="11" t="s">
        <v>1497</v>
      </c>
      <c r="E644" s="11" t="s">
        <v>1498</v>
      </c>
      <c r="F644" s="11" t="s">
        <v>1491</v>
      </c>
      <c r="G644" s="11" t="s">
        <v>16</v>
      </c>
      <c r="H644" s="19" t="str">
        <f>IFERROR(VLOOKUP(Table2[[#This Row], [Ticket]],Okey!A:B,2,0),"")</f>
        <v>ok</v>
      </c>
      <c r="I644" s="11" t="s">
        <v>276</v>
      </c>
      <c r="J644" s="19" t="e">
        <f>VLOOKUP(Table2[[#This Row], [Author]],People!A:B,2,0)</f>
        <v>#N/A</v>
      </c>
      <c r="K644" s="11"/>
      <c r="L644" s="11"/>
      <c r="M644" s="20" t="s">
        <v>677</v>
      </c>
    </row>
    <row r="645" spans="1:13" ht="19.5" customHeight="1">
      <c r="A645" s="21">
        <f t="shared" si="10"/>
        <v>644</v>
      </c>
      <c r="B645" s="13" t="s">
        <v>6</v>
      </c>
      <c r="C645" s="13" t="s">
        <v>53</v>
      </c>
      <c r="D645" s="13" t="s">
        <v>1499</v>
      </c>
      <c r="E645" s="13" t="s">
        <v>1500</v>
      </c>
      <c r="F645" s="13" t="s">
        <v>1491</v>
      </c>
      <c r="G645" s="13" t="s">
        <v>16</v>
      </c>
      <c r="H645" s="22" t="str">
        <f>IFERROR(VLOOKUP(Table2[[#This Row], [Ticket]],Okey!A:B,2,0),"")</f>
        <v>ok</v>
      </c>
      <c r="I645" s="13" t="s">
        <v>276</v>
      </c>
      <c r="J645" s="22" t="e">
        <f>VLOOKUP(Table2[[#This Row], [Author]],People!A:B,2,0)</f>
        <v>#N/A</v>
      </c>
      <c r="K645" s="13"/>
      <c r="L645" s="13"/>
      <c r="M645" s="23" t="s">
        <v>677</v>
      </c>
    </row>
    <row r="646" spans="1:13" ht="19.5" customHeight="1">
      <c r="A646" s="18">
        <f t="shared" si="10"/>
        <v>645</v>
      </c>
      <c r="B646" s="11" t="s">
        <v>6</v>
      </c>
      <c r="C646" s="11" t="s">
        <v>53</v>
      </c>
      <c r="D646" s="11" t="s">
        <v>1501</v>
      </c>
      <c r="E646" s="11" t="s">
        <v>1502</v>
      </c>
      <c r="F646" s="11" t="s">
        <v>1491</v>
      </c>
      <c r="G646" s="11" t="s">
        <v>16</v>
      </c>
      <c r="H646" s="19" t="str">
        <f>IFERROR(VLOOKUP(Table2[[#This Row], [Ticket]],Okey!A:B,2,0),"")</f>
        <v>ok</v>
      </c>
      <c r="I646" s="11" t="s">
        <v>276</v>
      </c>
      <c r="J646" s="19" t="e">
        <f>VLOOKUP(Table2[[#This Row], [Author]],People!A:B,2,0)</f>
        <v>#N/A</v>
      </c>
      <c r="K646" s="11"/>
      <c r="L646" s="11"/>
      <c r="M646" s="20" t="s">
        <v>677</v>
      </c>
    </row>
    <row r="647" spans="1:13" ht="19.5" customHeight="1">
      <c r="A647" s="21">
        <f t="shared" si="10"/>
        <v>646</v>
      </c>
      <c r="B647" s="13" t="s">
        <v>6</v>
      </c>
      <c r="C647" s="13" t="s">
        <v>53</v>
      </c>
      <c r="D647" s="13" t="s">
        <v>1503</v>
      </c>
      <c r="E647" s="13" t="s">
        <v>1504</v>
      </c>
      <c r="F647" s="13" t="s">
        <v>1491</v>
      </c>
      <c r="G647" s="13" t="s">
        <v>16</v>
      </c>
      <c r="H647" s="22" t="str">
        <f>IFERROR(VLOOKUP(Table2[[#This Row], [Ticket]],Okey!A:B,2,0),"")</f>
        <v>ok</v>
      </c>
      <c r="I647" s="13" t="s">
        <v>276</v>
      </c>
      <c r="J647" s="22" t="e">
        <f>VLOOKUP(Table2[[#This Row], [Author]],People!A:B,2,0)</f>
        <v>#N/A</v>
      </c>
      <c r="K647" s="13"/>
      <c r="L647" s="13"/>
      <c r="M647" s="23" t="s">
        <v>677</v>
      </c>
    </row>
    <row r="648" spans="1:13" ht="19.5" customHeight="1">
      <c r="A648" s="18">
        <f t="shared" si="10"/>
        <v>647</v>
      </c>
      <c r="B648" s="11" t="s">
        <v>6</v>
      </c>
      <c r="C648" s="11" t="s">
        <v>53</v>
      </c>
      <c r="D648" s="11" t="s">
        <v>1505</v>
      </c>
      <c r="E648" s="11" t="s">
        <v>1506</v>
      </c>
      <c r="F648" s="11" t="s">
        <v>1497</v>
      </c>
      <c r="G648" s="11" t="s">
        <v>16</v>
      </c>
      <c r="H648" s="19" t="str">
        <f>IFERROR(VLOOKUP(Table2[[#This Row], [Ticket]],Okey!A:B,2,0),"")</f>
        <v>ok</v>
      </c>
      <c r="I648" s="11" t="s">
        <v>276</v>
      </c>
      <c r="J648" s="19" t="e">
        <f>VLOOKUP(Table2[[#This Row], [Author]],People!A:B,2,0)</f>
        <v>#N/A</v>
      </c>
      <c r="K648" s="11"/>
      <c r="L648" s="11"/>
      <c r="M648" s="20" t="s">
        <v>677</v>
      </c>
    </row>
    <row r="649" spans="1:13" ht="19.5" customHeight="1">
      <c r="A649" s="21">
        <f t="shared" si="10"/>
        <v>648</v>
      </c>
      <c r="B649" s="13" t="s">
        <v>6</v>
      </c>
      <c r="C649" s="13" t="s">
        <v>53</v>
      </c>
      <c r="D649" s="13" t="s">
        <v>1507</v>
      </c>
      <c r="E649" s="13" t="s">
        <v>1508</v>
      </c>
      <c r="F649" s="13" t="s">
        <v>1497</v>
      </c>
      <c r="G649" s="13" t="s">
        <v>16</v>
      </c>
      <c r="H649" s="22" t="str">
        <f>IFERROR(VLOOKUP(Table2[[#This Row], [Ticket]],Okey!A:B,2,0),"")</f>
        <v>ok</v>
      </c>
      <c r="I649" s="13" t="s">
        <v>276</v>
      </c>
      <c r="J649" s="22" t="e">
        <f>VLOOKUP(Table2[[#This Row], [Author]],People!A:B,2,0)</f>
        <v>#N/A</v>
      </c>
      <c r="K649" s="13"/>
      <c r="L649" s="13"/>
      <c r="M649" s="23" t="s">
        <v>677</v>
      </c>
    </row>
    <row r="650" spans="1:13" ht="19.5" customHeight="1">
      <c r="A650" s="18">
        <f t="shared" si="10"/>
        <v>649</v>
      </c>
      <c r="B650" s="11" t="s">
        <v>6</v>
      </c>
      <c r="C650" s="11" t="s">
        <v>53</v>
      </c>
      <c r="D650" s="11" t="s">
        <v>1509</v>
      </c>
      <c r="E650" s="11" t="s">
        <v>1510</v>
      </c>
      <c r="F650" s="11" t="s">
        <v>1497</v>
      </c>
      <c r="G650" s="11" t="s">
        <v>16</v>
      </c>
      <c r="H650" s="19" t="str">
        <f>IFERROR(VLOOKUP(Table2[[#This Row], [Ticket]],Okey!A:B,2,0),"")</f>
        <v>ok</v>
      </c>
      <c r="I650" s="11" t="s">
        <v>276</v>
      </c>
      <c r="J650" s="19" t="e">
        <f>VLOOKUP(Table2[[#This Row], [Author]],People!A:B,2,0)</f>
        <v>#N/A</v>
      </c>
      <c r="K650" s="11"/>
      <c r="L650" s="11"/>
      <c r="M650" s="20" t="s">
        <v>677</v>
      </c>
    </row>
    <row r="651" spans="1:13" ht="19.5" customHeight="1">
      <c r="A651" s="21">
        <f t="shared" si="10"/>
        <v>650</v>
      </c>
      <c r="B651" s="13" t="s">
        <v>6</v>
      </c>
      <c r="C651" s="13" t="s">
        <v>53</v>
      </c>
      <c r="D651" s="13" t="s">
        <v>1511</v>
      </c>
      <c r="E651" s="13" t="s">
        <v>1512</v>
      </c>
      <c r="F651" s="13" t="s">
        <v>1497</v>
      </c>
      <c r="G651" s="13" t="s">
        <v>16</v>
      </c>
      <c r="H651" s="22" t="str">
        <f>IFERROR(VLOOKUP(Table2[[#This Row], [Ticket]],Okey!A:B,2,0),"")</f>
        <v>ok</v>
      </c>
      <c r="I651" s="13" t="s">
        <v>276</v>
      </c>
      <c r="J651" s="22" t="e">
        <f>VLOOKUP(Table2[[#This Row], [Author]],People!A:B,2,0)</f>
        <v>#N/A</v>
      </c>
      <c r="K651" s="13"/>
      <c r="L651" s="13"/>
      <c r="M651" s="23" t="s">
        <v>677</v>
      </c>
    </row>
    <row r="652" spans="1:13" ht="19.5" customHeight="1">
      <c r="A652" s="18">
        <f t="shared" si="10"/>
        <v>651</v>
      </c>
      <c r="B652" s="11" t="s">
        <v>6</v>
      </c>
      <c r="C652" s="11" t="s">
        <v>53</v>
      </c>
      <c r="D652" s="11" t="s">
        <v>1513</v>
      </c>
      <c r="E652" s="11" t="s">
        <v>1514</v>
      </c>
      <c r="F652" s="11" t="s">
        <v>1511</v>
      </c>
      <c r="G652" s="11" t="s">
        <v>16</v>
      </c>
      <c r="H652" s="19" t="str">
        <f>IFERROR(VLOOKUP(Table2[[#This Row], [Ticket]],Okey!A:B,2,0),"")</f>
        <v>ok</v>
      </c>
      <c r="I652" s="11" t="s">
        <v>276</v>
      </c>
      <c r="J652" s="19" t="e">
        <f>VLOOKUP(Table2[[#This Row], [Author]],People!A:B,2,0)</f>
        <v>#N/A</v>
      </c>
      <c r="K652" s="11"/>
      <c r="L652" s="11"/>
      <c r="M652" s="20" t="s">
        <v>677</v>
      </c>
    </row>
    <row r="653" spans="1:13" ht="19.5" customHeight="1">
      <c r="A653" s="21">
        <f t="shared" si="10"/>
        <v>652</v>
      </c>
      <c r="B653" s="13" t="s">
        <v>6</v>
      </c>
      <c r="C653" s="13" t="s">
        <v>53</v>
      </c>
      <c r="D653" s="13" t="s">
        <v>1515</v>
      </c>
      <c r="E653" s="13" t="s">
        <v>1516</v>
      </c>
      <c r="F653" s="13" t="s">
        <v>1511</v>
      </c>
      <c r="G653" s="13" t="s">
        <v>16</v>
      </c>
      <c r="H653" s="22" t="str">
        <f>IFERROR(VLOOKUP(Table2[[#This Row], [Ticket]],Okey!A:B,2,0),"")</f>
        <v>ok</v>
      </c>
      <c r="I653" s="13" t="s">
        <v>276</v>
      </c>
      <c r="J653" s="22" t="e">
        <f>VLOOKUP(Table2[[#This Row], [Author]],People!A:B,2,0)</f>
        <v>#N/A</v>
      </c>
      <c r="K653" s="13"/>
      <c r="L653" s="13"/>
      <c r="M653" s="23" t="s">
        <v>677</v>
      </c>
    </row>
    <row r="654" spans="1:13" ht="19.5" customHeight="1">
      <c r="A654" s="18">
        <f t="shared" si="10"/>
        <v>653</v>
      </c>
      <c r="B654" s="11" t="s">
        <v>6</v>
      </c>
      <c r="C654" s="11" t="s">
        <v>53</v>
      </c>
      <c r="D654" s="11" t="s">
        <v>1517</v>
      </c>
      <c r="E654" s="11" t="s">
        <v>1518</v>
      </c>
      <c r="F654" s="11" t="s">
        <v>1499</v>
      </c>
      <c r="G654" s="11" t="s">
        <v>16</v>
      </c>
      <c r="H654" s="19" t="str">
        <f>IFERROR(VLOOKUP(Table2[[#This Row], [Ticket]],Okey!A:B,2,0),"")</f>
        <v>ok</v>
      </c>
      <c r="I654" s="11" t="s">
        <v>276</v>
      </c>
      <c r="J654" s="19" t="e">
        <f>VLOOKUP(Table2[[#This Row], [Author]],People!A:B,2,0)</f>
        <v>#N/A</v>
      </c>
      <c r="K654" s="11"/>
      <c r="L654" s="11"/>
      <c r="M654" s="20" t="s">
        <v>677</v>
      </c>
    </row>
    <row r="655" spans="1:13" ht="19.5" customHeight="1">
      <c r="A655" s="21">
        <f t="shared" si="10"/>
        <v>654</v>
      </c>
      <c r="B655" s="13" t="s">
        <v>6</v>
      </c>
      <c r="C655" s="13" t="s">
        <v>53</v>
      </c>
      <c r="D655" s="13" t="s">
        <v>1519</v>
      </c>
      <c r="E655" s="13" t="s">
        <v>1520</v>
      </c>
      <c r="F655" s="13" t="s">
        <v>1499</v>
      </c>
      <c r="G655" s="13" t="s">
        <v>16</v>
      </c>
      <c r="H655" s="22" t="str">
        <f>IFERROR(VLOOKUP(Table2[[#This Row], [Ticket]],Okey!A:B,2,0),"")</f>
        <v>ok</v>
      </c>
      <c r="I655" s="13" t="s">
        <v>276</v>
      </c>
      <c r="J655" s="22" t="e">
        <f>VLOOKUP(Table2[[#This Row], [Author]],People!A:B,2,0)</f>
        <v>#N/A</v>
      </c>
      <c r="K655" s="13"/>
      <c r="L655" s="13"/>
      <c r="M655" s="23" t="s">
        <v>677</v>
      </c>
    </row>
    <row r="656" spans="1:13" ht="19.5" customHeight="1">
      <c r="A656" s="18">
        <f t="shared" si="10"/>
        <v>655</v>
      </c>
      <c r="B656" s="11" t="s">
        <v>6</v>
      </c>
      <c r="C656" s="11" t="s">
        <v>53</v>
      </c>
      <c r="D656" s="11" t="s">
        <v>1521</v>
      </c>
      <c r="E656" s="11" t="s">
        <v>1522</v>
      </c>
      <c r="F656" s="11" t="s">
        <v>1499</v>
      </c>
      <c r="G656" s="11" t="s">
        <v>16</v>
      </c>
      <c r="H656" s="19" t="str">
        <f>IFERROR(VLOOKUP(Table2[[#This Row], [Ticket]],Okey!A:B,2,0),"")</f>
        <v>ok</v>
      </c>
      <c r="I656" s="11" t="s">
        <v>276</v>
      </c>
      <c r="J656" s="19" t="e">
        <f>VLOOKUP(Table2[[#This Row], [Author]],People!A:B,2,0)</f>
        <v>#N/A</v>
      </c>
      <c r="K656" s="11"/>
      <c r="L656" s="11"/>
      <c r="M656" s="20" t="s">
        <v>677</v>
      </c>
    </row>
    <row r="657" spans="1:13" ht="19.5" customHeight="1">
      <c r="A657" s="21">
        <f t="shared" si="10"/>
        <v>656</v>
      </c>
      <c r="B657" s="13" t="s">
        <v>6</v>
      </c>
      <c r="C657" s="13" t="s">
        <v>53</v>
      </c>
      <c r="D657" s="13" t="s">
        <v>1523</v>
      </c>
      <c r="E657" s="13" t="s">
        <v>1524</v>
      </c>
      <c r="F657" s="13" t="s">
        <v>1499</v>
      </c>
      <c r="G657" s="13" t="s">
        <v>16</v>
      </c>
      <c r="H657" s="22" t="str">
        <f>IFERROR(VLOOKUP(Table2[[#This Row], [Ticket]],Okey!A:B,2,0),"")</f>
        <v>ok</v>
      </c>
      <c r="I657" s="13" t="s">
        <v>276</v>
      </c>
      <c r="J657" s="22" t="e">
        <f>VLOOKUP(Table2[[#This Row], [Author]],People!A:B,2,0)</f>
        <v>#N/A</v>
      </c>
      <c r="K657" s="13"/>
      <c r="L657" s="13"/>
      <c r="M657" s="23" t="s">
        <v>677</v>
      </c>
    </row>
    <row r="658" spans="1:13" ht="19.5" customHeight="1">
      <c r="A658" s="18">
        <f t="shared" si="10"/>
        <v>657</v>
      </c>
      <c r="B658" s="11" t="s">
        <v>6</v>
      </c>
      <c r="C658" s="11" t="s">
        <v>53</v>
      </c>
      <c r="D658" s="11" t="s">
        <v>1525</v>
      </c>
      <c r="E658" s="11" t="s">
        <v>1526</v>
      </c>
      <c r="F658" s="11" t="s">
        <v>1499</v>
      </c>
      <c r="G658" s="11" t="s">
        <v>16</v>
      </c>
      <c r="H658" s="19" t="str">
        <f>IFERROR(VLOOKUP(Table2[[#This Row], [Ticket]],Okey!A:B,2,0),"")</f>
        <v>ok</v>
      </c>
      <c r="I658" s="11" t="s">
        <v>276</v>
      </c>
      <c r="J658" s="19" t="e">
        <f>VLOOKUP(Table2[[#This Row], [Author]],People!A:B,2,0)</f>
        <v>#N/A</v>
      </c>
      <c r="K658" s="11"/>
      <c r="L658" s="11"/>
      <c r="M658" s="20" t="s">
        <v>677</v>
      </c>
    </row>
    <row r="659" spans="1:13" ht="19.5" customHeight="1">
      <c r="A659" s="21">
        <f t="shared" si="10"/>
        <v>658</v>
      </c>
      <c r="B659" s="13" t="s">
        <v>6</v>
      </c>
      <c r="C659" s="13" t="s">
        <v>53</v>
      </c>
      <c r="D659" s="13" t="s">
        <v>1527</v>
      </c>
      <c r="E659" s="13" t="s">
        <v>1528</v>
      </c>
      <c r="F659" s="13" t="s">
        <v>1501</v>
      </c>
      <c r="G659" s="13" t="s">
        <v>16</v>
      </c>
      <c r="H659" s="22" t="str">
        <f>IFERROR(VLOOKUP(Table2[[#This Row], [Ticket]],Okey!A:B,2,0),"")</f>
        <v>ok</v>
      </c>
      <c r="I659" s="13" t="s">
        <v>276</v>
      </c>
      <c r="J659" s="22" t="e">
        <f>VLOOKUP(Table2[[#This Row], [Author]],People!A:B,2,0)</f>
        <v>#N/A</v>
      </c>
      <c r="K659" s="13"/>
      <c r="L659" s="13"/>
      <c r="M659" s="23" t="s">
        <v>677</v>
      </c>
    </row>
    <row r="660" spans="1:13" ht="19.5" customHeight="1">
      <c r="A660" s="18">
        <f t="shared" si="10"/>
        <v>659</v>
      </c>
      <c r="B660" s="11" t="s">
        <v>6</v>
      </c>
      <c r="C660" s="11" t="s">
        <v>53</v>
      </c>
      <c r="D660" s="11" t="s">
        <v>1529</v>
      </c>
      <c r="E660" s="11" t="s">
        <v>1530</v>
      </c>
      <c r="F660" s="11" t="s">
        <v>1501</v>
      </c>
      <c r="G660" s="11" t="s">
        <v>16</v>
      </c>
      <c r="H660" s="19" t="str">
        <f>IFERROR(VLOOKUP(Table2[[#This Row], [Ticket]],Okey!A:B,2,0),"")</f>
        <v>ok</v>
      </c>
      <c r="I660" s="11" t="s">
        <v>276</v>
      </c>
      <c r="J660" s="19" t="e">
        <f>VLOOKUP(Table2[[#This Row], [Author]],People!A:B,2,0)</f>
        <v>#N/A</v>
      </c>
      <c r="K660" s="11"/>
      <c r="L660" s="11"/>
      <c r="M660" s="20" t="s">
        <v>677</v>
      </c>
    </row>
    <row r="661" spans="1:13" ht="19.5" customHeight="1">
      <c r="A661" s="21">
        <f t="shared" si="10"/>
        <v>660</v>
      </c>
      <c r="B661" s="13" t="s">
        <v>6</v>
      </c>
      <c r="C661" s="13" t="s">
        <v>53</v>
      </c>
      <c r="D661" s="13" t="s">
        <v>1531</v>
      </c>
      <c r="E661" s="13" t="s">
        <v>1532</v>
      </c>
      <c r="F661" s="13" t="s">
        <v>1501</v>
      </c>
      <c r="G661" s="13" t="s">
        <v>16</v>
      </c>
      <c r="H661" s="22" t="str">
        <f>IFERROR(VLOOKUP(Table2[[#This Row], [Ticket]],Okey!A:B,2,0),"")</f>
        <v>ok</v>
      </c>
      <c r="I661" s="13" t="s">
        <v>276</v>
      </c>
      <c r="J661" s="22" t="e">
        <f>VLOOKUP(Table2[[#This Row], [Author]],People!A:B,2,0)</f>
        <v>#N/A</v>
      </c>
      <c r="K661" s="13"/>
      <c r="L661" s="13"/>
      <c r="M661" s="23" t="s">
        <v>677</v>
      </c>
    </row>
    <row r="662" spans="1:13" ht="19.5" customHeight="1">
      <c r="A662" s="18">
        <f t="shared" si="10"/>
        <v>661</v>
      </c>
      <c r="B662" s="11" t="s">
        <v>6</v>
      </c>
      <c r="C662" s="11" t="s">
        <v>54</v>
      </c>
      <c r="D662" s="11" t="s">
        <v>1533</v>
      </c>
      <c r="E662" s="11"/>
      <c r="F662" s="11" t="s">
        <v>1534</v>
      </c>
      <c r="G662" s="11" t="s">
        <v>13</v>
      </c>
      <c r="H662" s="19" t="str">
        <f>IFERROR(VLOOKUP(Table2[[#This Row], [Ticket]],Okey!A:B,2,0),"")</f>
        <v>ok</v>
      </c>
      <c r="I662" s="11" t="s">
        <v>276</v>
      </c>
      <c r="J662" s="19" t="e">
        <f>VLOOKUP(Table2[[#This Row], [Author]],People!A:B,2,0)</f>
        <v>#N/A</v>
      </c>
      <c r="K662" s="11"/>
      <c r="L662" s="11"/>
      <c r="M662" s="20" t="s">
        <v>1230</v>
      </c>
    </row>
    <row r="663" spans="1:13" ht="19.5" customHeight="1">
      <c r="A663" s="21">
        <f t="shared" si="10"/>
        <v>662</v>
      </c>
      <c r="B663" s="13" t="s">
        <v>6</v>
      </c>
      <c r="C663" s="13" t="s">
        <v>55</v>
      </c>
      <c r="D663" s="13" t="s">
        <v>1535</v>
      </c>
      <c r="E663" s="13" t="s">
        <v>1536</v>
      </c>
      <c r="F663" s="13" t="s">
        <v>1537</v>
      </c>
      <c r="G663" s="13" t="s">
        <v>14</v>
      </c>
      <c r="H663" s="22" t="str">
        <f>IFERROR(VLOOKUP(Table2[[#This Row], [Ticket]],Okey!A:B,2,0),"")</f>
        <v>ok</v>
      </c>
      <c r="I663" s="13" t="s">
        <v>276</v>
      </c>
      <c r="J663" s="22" t="e">
        <f>VLOOKUP(Table2[[#This Row], [Author]],People!A:B,2,0)</f>
        <v>#N/A</v>
      </c>
      <c r="K663" s="13"/>
      <c r="L663" s="13"/>
      <c r="M663" s="23" t="s">
        <v>876</v>
      </c>
    </row>
    <row r="664" spans="1:13" ht="19.5" customHeight="1">
      <c r="A664" s="18">
        <f t="shared" si="10"/>
        <v>663</v>
      </c>
      <c r="B664" s="11" t="s">
        <v>6</v>
      </c>
      <c r="C664" s="11" t="s">
        <v>55</v>
      </c>
      <c r="D664" s="11" t="s">
        <v>1538</v>
      </c>
      <c r="E664" s="11" t="s">
        <v>1539</v>
      </c>
      <c r="F664" s="11" t="s">
        <v>1537</v>
      </c>
      <c r="G664" s="11" t="s">
        <v>14</v>
      </c>
      <c r="H664" s="19" t="str">
        <f>IFERROR(VLOOKUP(Table2[[#This Row], [Ticket]],Okey!A:B,2,0),"")</f>
        <v>ok</v>
      </c>
      <c r="I664" s="11" t="s">
        <v>276</v>
      </c>
      <c r="J664" s="19" t="e">
        <f>VLOOKUP(Table2[[#This Row], [Author]],People!A:B,2,0)</f>
        <v>#N/A</v>
      </c>
      <c r="K664" s="11"/>
      <c r="L664" s="11"/>
      <c r="M664" s="20" t="s">
        <v>876</v>
      </c>
    </row>
    <row r="665" spans="1:13" ht="19.5" customHeight="1">
      <c r="A665" s="21">
        <f t="shared" si="10"/>
        <v>664</v>
      </c>
      <c r="B665" s="13" t="s">
        <v>6</v>
      </c>
      <c r="C665" s="13" t="s">
        <v>55</v>
      </c>
      <c r="D665" s="13" t="s">
        <v>1540</v>
      </c>
      <c r="E665" s="13" t="s">
        <v>1541</v>
      </c>
      <c r="F665" s="13" t="s">
        <v>1537</v>
      </c>
      <c r="G665" s="13" t="s">
        <v>14</v>
      </c>
      <c r="H665" s="22" t="str">
        <f>IFERROR(VLOOKUP(Table2[[#This Row], [Ticket]],Okey!A:B,2,0),"")</f>
        <v>ok</v>
      </c>
      <c r="I665" s="13" t="s">
        <v>276</v>
      </c>
      <c r="J665" s="22" t="e">
        <f>VLOOKUP(Table2[[#This Row], [Author]],People!A:B,2,0)</f>
        <v>#N/A</v>
      </c>
      <c r="K665" s="13"/>
      <c r="L665" s="13"/>
      <c r="M665" s="23" t="s">
        <v>876</v>
      </c>
    </row>
    <row r="666" spans="1:13" ht="19.5" customHeight="1">
      <c r="A666" s="18">
        <f t="shared" si="10"/>
        <v>665</v>
      </c>
      <c r="B666" s="11" t="s">
        <v>6</v>
      </c>
      <c r="C666" s="11" t="s">
        <v>55</v>
      </c>
      <c r="D666" s="11" t="s">
        <v>1542</v>
      </c>
      <c r="E666" s="11" t="s">
        <v>1543</v>
      </c>
      <c r="F666" s="11" t="s">
        <v>1537</v>
      </c>
      <c r="G666" s="11" t="s">
        <v>14</v>
      </c>
      <c r="H666" s="19" t="str">
        <f>IFERROR(VLOOKUP(Table2[[#This Row], [Ticket]],Okey!A:B,2,0),"")</f>
        <v>ok</v>
      </c>
      <c r="I666" s="11" t="s">
        <v>276</v>
      </c>
      <c r="J666" s="19" t="e">
        <f>VLOOKUP(Table2[[#This Row], [Author]],People!A:B,2,0)</f>
        <v>#N/A</v>
      </c>
      <c r="K666" s="11"/>
      <c r="L666" s="11"/>
      <c r="M666" s="20" t="s">
        <v>876</v>
      </c>
    </row>
    <row r="667" spans="1:13" ht="19.5" customHeight="1">
      <c r="A667" s="21">
        <f t="shared" si="10"/>
        <v>666</v>
      </c>
      <c r="B667" s="13" t="s">
        <v>6</v>
      </c>
      <c r="C667" s="13" t="s">
        <v>55</v>
      </c>
      <c r="D667" s="13" t="s">
        <v>1544</v>
      </c>
      <c r="E667" s="13" t="s">
        <v>1545</v>
      </c>
      <c r="F667" s="13" t="s">
        <v>1546</v>
      </c>
      <c r="G667" s="13" t="s">
        <v>14</v>
      </c>
      <c r="H667" s="22" t="str">
        <f>IFERROR(VLOOKUP(Table2[[#This Row], [Ticket]],Okey!A:B,2,0),"")</f>
        <v>ok</v>
      </c>
      <c r="I667" s="13" t="s">
        <v>276</v>
      </c>
      <c r="J667" s="22" t="e">
        <f>VLOOKUP(Table2[[#This Row], [Author]],People!A:B,2,0)</f>
        <v>#N/A</v>
      </c>
      <c r="K667" s="13"/>
      <c r="L667" s="13"/>
      <c r="M667" s="23" t="s">
        <v>876</v>
      </c>
    </row>
    <row r="668" spans="1:13" ht="19.5" customHeight="1">
      <c r="A668" s="18">
        <f t="shared" si="10"/>
        <v>667</v>
      </c>
      <c r="B668" s="11" t="s">
        <v>6</v>
      </c>
      <c r="C668" s="11" t="s">
        <v>55</v>
      </c>
      <c r="D668" s="11" t="s">
        <v>1547</v>
      </c>
      <c r="E668" s="11" t="s">
        <v>1548</v>
      </c>
      <c r="F668" s="11" t="s">
        <v>1546</v>
      </c>
      <c r="G668" s="11" t="s">
        <v>14</v>
      </c>
      <c r="H668" s="19" t="str">
        <f>IFERROR(VLOOKUP(Table2[[#This Row], [Ticket]],Okey!A:B,2,0),"")</f>
        <v>ok</v>
      </c>
      <c r="I668" s="11" t="s">
        <v>276</v>
      </c>
      <c r="J668" s="19" t="e">
        <f>VLOOKUP(Table2[[#This Row], [Author]],People!A:B,2,0)</f>
        <v>#N/A</v>
      </c>
      <c r="K668" s="11"/>
      <c r="L668" s="11"/>
      <c r="M668" s="20" t="s">
        <v>876</v>
      </c>
    </row>
    <row r="669" spans="1:13" ht="19.5" customHeight="1">
      <c r="A669" s="21">
        <f t="shared" si="10"/>
        <v>668</v>
      </c>
      <c r="B669" s="13" t="s">
        <v>6</v>
      </c>
      <c r="C669" s="13" t="s">
        <v>55</v>
      </c>
      <c r="D669" s="13" t="s">
        <v>1549</v>
      </c>
      <c r="E669" s="13" t="s">
        <v>1550</v>
      </c>
      <c r="F669" s="13" t="s">
        <v>1546</v>
      </c>
      <c r="G669" s="13" t="s">
        <v>14</v>
      </c>
      <c r="H669" s="22" t="str">
        <f>IFERROR(VLOOKUP(Table2[[#This Row], [Ticket]],Okey!A:B,2,0),"")</f>
        <v>ok</v>
      </c>
      <c r="I669" s="13" t="s">
        <v>276</v>
      </c>
      <c r="J669" s="22" t="e">
        <f>VLOOKUP(Table2[[#This Row], [Author]],People!A:B,2,0)</f>
        <v>#N/A</v>
      </c>
      <c r="K669" s="13"/>
      <c r="L669" s="13"/>
      <c r="M669" s="23" t="s">
        <v>876</v>
      </c>
    </row>
    <row r="670" spans="1:13" ht="19.5" customHeight="1">
      <c r="A670" s="18">
        <f t="shared" si="10"/>
        <v>669</v>
      </c>
      <c r="B670" s="11" t="s">
        <v>6</v>
      </c>
      <c r="C670" s="11" t="s">
        <v>55</v>
      </c>
      <c r="D670" s="11" t="s">
        <v>1551</v>
      </c>
      <c r="E670" s="11" t="s">
        <v>1552</v>
      </c>
      <c r="F670" s="11" t="s">
        <v>1553</v>
      </c>
      <c r="G670" s="11" t="s">
        <v>14</v>
      </c>
      <c r="H670" s="19" t="str">
        <f>IFERROR(VLOOKUP(Table2[[#This Row], [Ticket]],Okey!A:B,2,0),"")</f>
        <v>ok</v>
      </c>
      <c r="I670" s="11" t="s">
        <v>276</v>
      </c>
      <c r="J670" s="19" t="e">
        <f>VLOOKUP(Table2[[#This Row], [Author]],People!A:B,2,0)</f>
        <v>#N/A</v>
      </c>
      <c r="K670" s="11"/>
      <c r="L670" s="11"/>
      <c r="M670" s="20" t="s">
        <v>876</v>
      </c>
    </row>
    <row r="671" spans="1:13" ht="19.5" customHeight="1">
      <c r="A671" s="21">
        <f t="shared" si="10"/>
        <v>670</v>
      </c>
      <c r="B671" s="13" t="s">
        <v>6</v>
      </c>
      <c r="C671" s="13" t="s">
        <v>55</v>
      </c>
      <c r="D671" s="13" t="s">
        <v>1554</v>
      </c>
      <c r="E671" s="13" t="s">
        <v>1555</v>
      </c>
      <c r="F671" s="13" t="s">
        <v>1553</v>
      </c>
      <c r="G671" s="13" t="s">
        <v>14</v>
      </c>
      <c r="H671" s="22" t="str">
        <f>IFERROR(VLOOKUP(Table2[[#This Row], [Ticket]],Okey!A:B,2,0),"")</f>
        <v>ok</v>
      </c>
      <c r="I671" s="13" t="s">
        <v>276</v>
      </c>
      <c r="J671" s="22" t="e">
        <f>VLOOKUP(Table2[[#This Row], [Author]],People!A:B,2,0)</f>
        <v>#N/A</v>
      </c>
      <c r="K671" s="13"/>
      <c r="L671" s="13"/>
      <c r="M671" s="23" t="s">
        <v>876</v>
      </c>
    </row>
    <row r="672" spans="1:13" ht="19.5" customHeight="1">
      <c r="A672" s="18">
        <f t="shared" si="10"/>
        <v>671</v>
      </c>
      <c r="B672" s="11" t="s">
        <v>6</v>
      </c>
      <c r="C672" s="11" t="s">
        <v>55</v>
      </c>
      <c r="D672" s="11" t="s">
        <v>1556</v>
      </c>
      <c r="E672" s="11" t="s">
        <v>1557</v>
      </c>
      <c r="F672" s="11" t="s">
        <v>1553</v>
      </c>
      <c r="G672" s="11" t="s">
        <v>14</v>
      </c>
      <c r="H672" s="19" t="str">
        <f>IFERROR(VLOOKUP(Table2[[#This Row], [Ticket]],Okey!A:B,2,0),"")</f>
        <v>ok</v>
      </c>
      <c r="I672" s="11" t="s">
        <v>276</v>
      </c>
      <c r="J672" s="19" t="e">
        <f>VLOOKUP(Table2[[#This Row], [Author]],People!A:B,2,0)</f>
        <v>#N/A</v>
      </c>
      <c r="K672" s="11"/>
      <c r="L672" s="11"/>
      <c r="M672" s="20" t="s">
        <v>876</v>
      </c>
    </row>
    <row r="673" spans="1:13" ht="19.5" customHeight="1">
      <c r="A673" s="21">
        <f t="shared" si="10"/>
        <v>672</v>
      </c>
      <c r="B673" s="13" t="s">
        <v>6</v>
      </c>
      <c r="C673" s="13" t="s">
        <v>55</v>
      </c>
      <c r="D673" s="13" t="s">
        <v>1558</v>
      </c>
      <c r="E673" s="13" t="s">
        <v>1559</v>
      </c>
      <c r="F673" s="13" t="s">
        <v>1560</v>
      </c>
      <c r="G673" s="13" t="s">
        <v>14</v>
      </c>
      <c r="H673" s="22" t="str">
        <f>IFERROR(VLOOKUP(Table2[[#This Row], [Ticket]],Okey!A:B,2,0),"")</f>
        <v>ok</v>
      </c>
      <c r="I673" s="13" t="s">
        <v>276</v>
      </c>
      <c r="J673" s="22" t="e">
        <f>VLOOKUP(Table2[[#This Row], [Author]],People!A:B,2,0)</f>
        <v>#N/A</v>
      </c>
      <c r="K673" s="13"/>
      <c r="L673" s="13"/>
      <c r="M673" s="23" t="s">
        <v>876</v>
      </c>
    </row>
    <row r="674" spans="1:13" ht="19.5" customHeight="1">
      <c r="A674" s="18">
        <f t="shared" si="10"/>
        <v>673</v>
      </c>
      <c r="B674" s="11" t="s">
        <v>6</v>
      </c>
      <c r="C674" s="11" t="s">
        <v>55</v>
      </c>
      <c r="D674" s="11" t="s">
        <v>1561</v>
      </c>
      <c r="E674" s="11" t="s">
        <v>1562</v>
      </c>
      <c r="F674" s="11" t="s">
        <v>1560</v>
      </c>
      <c r="G674" s="11" t="s">
        <v>14</v>
      </c>
      <c r="H674" s="19" t="str">
        <f>IFERROR(VLOOKUP(Table2[[#This Row], [Ticket]],Okey!A:B,2,0),"")</f>
        <v>ok</v>
      </c>
      <c r="I674" s="11" t="s">
        <v>276</v>
      </c>
      <c r="J674" s="19" t="e">
        <f>VLOOKUP(Table2[[#This Row], [Author]],People!A:B,2,0)</f>
        <v>#N/A</v>
      </c>
      <c r="K674" s="11"/>
      <c r="L674" s="11"/>
      <c r="M674" s="20" t="s">
        <v>876</v>
      </c>
    </row>
    <row r="675" spans="1:13" ht="19.5" customHeight="1">
      <c r="A675" s="21">
        <f t="shared" si="10"/>
        <v>674</v>
      </c>
      <c r="B675" s="13" t="s">
        <v>6</v>
      </c>
      <c r="C675" s="13" t="s">
        <v>55</v>
      </c>
      <c r="D675" s="13" t="s">
        <v>1563</v>
      </c>
      <c r="E675" s="13" t="s">
        <v>1564</v>
      </c>
      <c r="F675" s="13" t="s">
        <v>1560</v>
      </c>
      <c r="G675" s="13" t="s">
        <v>14</v>
      </c>
      <c r="H675" s="22" t="str">
        <f>IFERROR(VLOOKUP(Table2[[#This Row], [Ticket]],Okey!A:B,2,0),"")</f>
        <v>ok</v>
      </c>
      <c r="I675" s="13" t="s">
        <v>276</v>
      </c>
      <c r="J675" s="22" t="e">
        <f>VLOOKUP(Table2[[#This Row], [Author]],People!A:B,2,0)</f>
        <v>#N/A</v>
      </c>
      <c r="K675" s="13"/>
      <c r="L675" s="13"/>
      <c r="M675" s="23" t="s">
        <v>876</v>
      </c>
    </row>
    <row r="676" spans="1:13" ht="19.5" customHeight="1">
      <c r="A676" s="18">
        <f t="shared" si="10"/>
        <v>675</v>
      </c>
      <c r="B676" s="11" t="s">
        <v>6</v>
      </c>
      <c r="C676" s="11" t="s">
        <v>55</v>
      </c>
      <c r="D676" s="11" t="s">
        <v>1565</v>
      </c>
      <c r="E676" s="11" t="s">
        <v>1566</v>
      </c>
      <c r="F676" s="11" t="s">
        <v>1560</v>
      </c>
      <c r="G676" s="11" t="s">
        <v>14</v>
      </c>
      <c r="H676" s="19" t="str">
        <f>IFERROR(VLOOKUP(Table2[[#This Row], [Ticket]],Okey!A:B,2,0),"")</f>
        <v>ok</v>
      </c>
      <c r="I676" s="11" t="s">
        <v>276</v>
      </c>
      <c r="J676" s="19" t="e">
        <f>VLOOKUP(Table2[[#This Row], [Author]],People!A:B,2,0)</f>
        <v>#N/A</v>
      </c>
      <c r="K676" s="11"/>
      <c r="L676" s="11"/>
      <c r="M676" s="20" t="s">
        <v>876</v>
      </c>
    </row>
    <row r="677" spans="1:13" ht="19.5" customHeight="1">
      <c r="A677" s="21">
        <f t="shared" si="10"/>
        <v>676</v>
      </c>
      <c r="B677" s="13" t="s">
        <v>6</v>
      </c>
      <c r="C677" s="13" t="s">
        <v>55</v>
      </c>
      <c r="D677" s="13" t="s">
        <v>1567</v>
      </c>
      <c r="E677" s="13" t="s">
        <v>1568</v>
      </c>
      <c r="F677" s="13" t="s">
        <v>1569</v>
      </c>
      <c r="G677" s="13" t="s">
        <v>14</v>
      </c>
      <c r="H677" s="22" t="str">
        <f>IFERROR(VLOOKUP(Table2[[#This Row], [Ticket]],Okey!A:B,2,0),"")</f>
        <v>ok</v>
      </c>
      <c r="I677" s="13" t="s">
        <v>276</v>
      </c>
      <c r="J677" s="22" t="e">
        <f>VLOOKUP(Table2[[#This Row], [Author]],People!A:B,2,0)</f>
        <v>#N/A</v>
      </c>
      <c r="K677" s="13"/>
      <c r="L677" s="13"/>
      <c r="M677" s="23" t="s">
        <v>876</v>
      </c>
    </row>
    <row r="678" spans="1:13" ht="19.5" customHeight="1">
      <c r="A678" s="18">
        <f t="shared" si="10"/>
        <v>677</v>
      </c>
      <c r="B678" s="11" t="s">
        <v>6</v>
      </c>
      <c r="C678" s="11" t="s">
        <v>55</v>
      </c>
      <c r="D678" s="11" t="s">
        <v>1570</v>
      </c>
      <c r="E678" s="11" t="s">
        <v>1571</v>
      </c>
      <c r="F678" s="11" t="s">
        <v>1569</v>
      </c>
      <c r="G678" s="11" t="s">
        <v>14</v>
      </c>
      <c r="H678" s="19" t="str">
        <f>IFERROR(VLOOKUP(Table2[[#This Row], [Ticket]],Okey!A:B,2,0),"")</f>
        <v>ok</v>
      </c>
      <c r="I678" s="11" t="s">
        <v>276</v>
      </c>
      <c r="J678" s="19" t="e">
        <f>VLOOKUP(Table2[[#This Row], [Author]],People!A:B,2,0)</f>
        <v>#N/A</v>
      </c>
      <c r="K678" s="11"/>
      <c r="L678" s="11"/>
      <c r="M678" s="20" t="s">
        <v>876</v>
      </c>
    </row>
    <row r="679" spans="1:13" ht="19.5" customHeight="1">
      <c r="A679" s="21">
        <f t="shared" si="10"/>
        <v>678</v>
      </c>
      <c r="B679" s="13" t="s">
        <v>6</v>
      </c>
      <c r="C679" s="13" t="s">
        <v>55</v>
      </c>
      <c r="D679" s="13" t="s">
        <v>1572</v>
      </c>
      <c r="E679" s="13" t="s">
        <v>1573</v>
      </c>
      <c r="F679" s="13" t="s">
        <v>1569</v>
      </c>
      <c r="G679" s="13" t="s">
        <v>14</v>
      </c>
      <c r="H679" s="22" t="str">
        <f>IFERROR(VLOOKUP(Table2[[#This Row], [Ticket]],Okey!A:B,2,0),"")</f>
        <v>ok</v>
      </c>
      <c r="I679" s="13" t="s">
        <v>276</v>
      </c>
      <c r="J679" s="22" t="e">
        <f>VLOOKUP(Table2[[#This Row], [Author]],People!A:B,2,0)</f>
        <v>#N/A</v>
      </c>
      <c r="K679" s="13"/>
      <c r="L679" s="13"/>
      <c r="M679" s="23" t="s">
        <v>876</v>
      </c>
    </row>
    <row r="680" spans="1:13" ht="19.5" customHeight="1">
      <c r="A680" s="18">
        <f t="shared" si="10"/>
        <v>679</v>
      </c>
      <c r="B680" s="11" t="s">
        <v>6</v>
      </c>
      <c r="C680" s="11" t="s">
        <v>55</v>
      </c>
      <c r="D680" s="11" t="s">
        <v>1574</v>
      </c>
      <c r="E680" s="11" t="s">
        <v>1575</v>
      </c>
      <c r="F680" s="11" t="s">
        <v>1569</v>
      </c>
      <c r="G680" s="11" t="s">
        <v>14</v>
      </c>
      <c r="H680" s="19" t="str">
        <f>IFERROR(VLOOKUP(Table2[[#This Row], [Ticket]],Okey!A:B,2,0),"")</f>
        <v>ok</v>
      </c>
      <c r="I680" s="11" t="s">
        <v>276</v>
      </c>
      <c r="J680" s="19" t="e">
        <f>VLOOKUP(Table2[[#This Row], [Author]],People!A:B,2,0)</f>
        <v>#N/A</v>
      </c>
      <c r="K680" s="11"/>
      <c r="L680" s="11"/>
      <c r="M680" s="20" t="s">
        <v>876</v>
      </c>
    </row>
    <row r="681" spans="1:13" ht="19.5" customHeight="1">
      <c r="A681" s="21">
        <f t="shared" si="10"/>
        <v>680</v>
      </c>
      <c r="B681" s="13" t="s">
        <v>6</v>
      </c>
      <c r="C681" s="13" t="s">
        <v>55</v>
      </c>
      <c r="D681" s="13" t="s">
        <v>1576</v>
      </c>
      <c r="E681" s="13" t="s">
        <v>1577</v>
      </c>
      <c r="F681" s="13" t="s">
        <v>1578</v>
      </c>
      <c r="G681" s="13" t="s">
        <v>14</v>
      </c>
      <c r="H681" s="22" t="str">
        <f>IFERROR(VLOOKUP(Table2[[#This Row], [Ticket]],Okey!A:B,2,0),"")</f>
        <v>ok</v>
      </c>
      <c r="I681" s="13" t="s">
        <v>276</v>
      </c>
      <c r="J681" s="22" t="e">
        <f>VLOOKUP(Table2[[#This Row], [Author]],People!A:B,2,0)</f>
        <v>#N/A</v>
      </c>
      <c r="K681" s="13"/>
      <c r="L681" s="13"/>
      <c r="M681" s="23" t="s">
        <v>876</v>
      </c>
    </row>
    <row r="682" spans="1:13" ht="19.5" customHeight="1">
      <c r="A682" s="18">
        <f t="shared" si="10"/>
        <v>681</v>
      </c>
      <c r="B682" s="11" t="s">
        <v>6</v>
      </c>
      <c r="C682" s="11" t="s">
        <v>55</v>
      </c>
      <c r="D682" s="11" t="s">
        <v>1579</v>
      </c>
      <c r="E682" s="11" t="s">
        <v>1580</v>
      </c>
      <c r="F682" s="11" t="s">
        <v>1578</v>
      </c>
      <c r="G682" s="11" t="s">
        <v>14</v>
      </c>
      <c r="H682" s="19" t="str">
        <f>IFERROR(VLOOKUP(Table2[[#This Row], [Ticket]],Okey!A:B,2,0),"")</f>
        <v>ok</v>
      </c>
      <c r="I682" s="11" t="s">
        <v>276</v>
      </c>
      <c r="J682" s="19" t="e">
        <f>VLOOKUP(Table2[[#This Row], [Author]],People!A:B,2,0)</f>
        <v>#N/A</v>
      </c>
      <c r="K682" s="11"/>
      <c r="L682" s="11"/>
      <c r="M682" s="20" t="s">
        <v>876</v>
      </c>
    </row>
    <row r="683" spans="1:13" ht="19.5" customHeight="1">
      <c r="A683" s="21">
        <f t="shared" si="10"/>
        <v>682</v>
      </c>
      <c r="B683" s="13" t="s">
        <v>6</v>
      </c>
      <c r="C683" s="13" t="s">
        <v>55</v>
      </c>
      <c r="D683" s="13" t="s">
        <v>1581</v>
      </c>
      <c r="E683" s="13" t="s">
        <v>1582</v>
      </c>
      <c r="F683" s="13" t="s">
        <v>1578</v>
      </c>
      <c r="G683" s="13" t="s">
        <v>14</v>
      </c>
      <c r="H683" s="22" t="str">
        <f>IFERROR(VLOOKUP(Table2[[#This Row], [Ticket]],Okey!A:B,2,0),"")</f>
        <v>ok</v>
      </c>
      <c r="I683" s="13" t="s">
        <v>276</v>
      </c>
      <c r="J683" s="22" t="e">
        <f>VLOOKUP(Table2[[#This Row], [Author]],People!A:B,2,0)</f>
        <v>#N/A</v>
      </c>
      <c r="K683" s="13"/>
      <c r="L683" s="13"/>
      <c r="M683" s="23" t="s">
        <v>876</v>
      </c>
    </row>
    <row r="684" spans="1:13" ht="19.5" customHeight="1">
      <c r="A684" s="18">
        <f t="shared" si="10"/>
        <v>683</v>
      </c>
      <c r="B684" s="11" t="s">
        <v>6</v>
      </c>
      <c r="C684" s="11" t="s">
        <v>55</v>
      </c>
      <c r="D684" s="11" t="s">
        <v>1583</v>
      </c>
      <c r="E684" s="11" t="s">
        <v>1584</v>
      </c>
      <c r="F684" s="11" t="s">
        <v>1585</v>
      </c>
      <c r="G684" s="11" t="s">
        <v>14</v>
      </c>
      <c r="H684" s="19" t="str">
        <f>IFERROR(VLOOKUP(Table2[[#This Row], [Ticket]],Okey!A:B,2,0),"")</f>
        <v>ok</v>
      </c>
      <c r="I684" s="11" t="s">
        <v>276</v>
      </c>
      <c r="J684" s="19" t="e">
        <f>VLOOKUP(Table2[[#This Row], [Author]],People!A:B,2,0)</f>
        <v>#N/A</v>
      </c>
      <c r="K684" s="11"/>
      <c r="L684" s="11"/>
      <c r="M684" s="20" t="s">
        <v>876</v>
      </c>
    </row>
    <row r="685" spans="1:13" ht="19.5" customHeight="1">
      <c r="A685" s="21">
        <f t="shared" si="10"/>
        <v>684</v>
      </c>
      <c r="B685" s="13" t="s">
        <v>6</v>
      </c>
      <c r="C685" s="13" t="s">
        <v>55</v>
      </c>
      <c r="D685" s="13" t="s">
        <v>1586</v>
      </c>
      <c r="E685" s="13" t="s">
        <v>1587</v>
      </c>
      <c r="F685" s="13" t="s">
        <v>1585</v>
      </c>
      <c r="G685" s="13" t="s">
        <v>14</v>
      </c>
      <c r="H685" s="22" t="str">
        <f>IFERROR(VLOOKUP(Table2[[#This Row], [Ticket]],Okey!A:B,2,0),"")</f>
        <v>ok</v>
      </c>
      <c r="I685" s="13" t="s">
        <v>276</v>
      </c>
      <c r="J685" s="22" t="e">
        <f>VLOOKUP(Table2[[#This Row], [Author]],People!A:B,2,0)</f>
        <v>#N/A</v>
      </c>
      <c r="K685" s="13"/>
      <c r="L685" s="13"/>
      <c r="M685" s="23" t="s">
        <v>876</v>
      </c>
    </row>
    <row r="686" spans="1:13" ht="19.5" customHeight="1">
      <c r="A686" s="18">
        <f t="shared" si="10"/>
        <v>685</v>
      </c>
      <c r="B686" s="11" t="s">
        <v>6</v>
      </c>
      <c r="C686" s="11" t="s">
        <v>55</v>
      </c>
      <c r="D686" s="11" t="s">
        <v>1588</v>
      </c>
      <c r="E686" s="11" t="s">
        <v>1589</v>
      </c>
      <c r="F686" s="11" t="s">
        <v>1585</v>
      </c>
      <c r="G686" s="11" t="s">
        <v>14</v>
      </c>
      <c r="H686" s="19" t="str">
        <f>IFERROR(VLOOKUP(Table2[[#This Row], [Ticket]],Okey!A:B,2,0),"")</f>
        <v>ok</v>
      </c>
      <c r="I686" s="11" t="s">
        <v>276</v>
      </c>
      <c r="J686" s="19" t="e">
        <f>VLOOKUP(Table2[[#This Row], [Author]],People!A:B,2,0)</f>
        <v>#N/A</v>
      </c>
      <c r="K686" s="11"/>
      <c r="L686" s="11"/>
      <c r="M686" s="20" t="s">
        <v>876</v>
      </c>
    </row>
    <row r="687" spans="1:13" ht="19.5" customHeight="1">
      <c r="A687" s="21">
        <f t="shared" si="10"/>
        <v>686</v>
      </c>
      <c r="B687" s="13" t="s">
        <v>6</v>
      </c>
      <c r="C687" s="13" t="s">
        <v>55</v>
      </c>
      <c r="D687" s="13" t="s">
        <v>1590</v>
      </c>
      <c r="E687" s="13" t="s">
        <v>1591</v>
      </c>
      <c r="F687" s="13" t="s">
        <v>1592</v>
      </c>
      <c r="G687" s="13" t="s">
        <v>14</v>
      </c>
      <c r="H687" s="22" t="str">
        <f>IFERROR(VLOOKUP(Table2[[#This Row], [Ticket]],Okey!A:B,2,0),"")</f>
        <v>ok</v>
      </c>
      <c r="I687" s="13" t="s">
        <v>276</v>
      </c>
      <c r="J687" s="22" t="e">
        <f>VLOOKUP(Table2[[#This Row], [Author]],People!A:B,2,0)</f>
        <v>#N/A</v>
      </c>
      <c r="K687" s="13"/>
      <c r="L687" s="13"/>
      <c r="M687" s="23" t="s">
        <v>876</v>
      </c>
    </row>
    <row r="688" spans="1:13" ht="19.5" customHeight="1">
      <c r="A688" s="18">
        <f t="shared" si="10"/>
        <v>687</v>
      </c>
      <c r="B688" s="11" t="s">
        <v>6</v>
      </c>
      <c r="C688" s="11" t="s">
        <v>55</v>
      </c>
      <c r="D688" s="11" t="s">
        <v>1593</v>
      </c>
      <c r="E688" s="11" t="s">
        <v>1594</v>
      </c>
      <c r="F688" s="11" t="s">
        <v>1592</v>
      </c>
      <c r="G688" s="11" t="s">
        <v>14</v>
      </c>
      <c r="H688" s="19" t="str">
        <f>IFERROR(VLOOKUP(Table2[[#This Row], [Ticket]],Okey!A:B,2,0),"")</f>
        <v>ok</v>
      </c>
      <c r="I688" s="11" t="s">
        <v>276</v>
      </c>
      <c r="J688" s="19" t="e">
        <f>VLOOKUP(Table2[[#This Row], [Author]],People!A:B,2,0)</f>
        <v>#N/A</v>
      </c>
      <c r="K688" s="11"/>
      <c r="L688" s="11"/>
      <c r="M688" s="20" t="s">
        <v>876</v>
      </c>
    </row>
    <row r="689" spans="1:13" ht="19.5" customHeight="1">
      <c r="A689" s="21">
        <f t="shared" si="10"/>
        <v>688</v>
      </c>
      <c r="B689" s="13" t="s">
        <v>6</v>
      </c>
      <c r="C689" s="13" t="s">
        <v>55</v>
      </c>
      <c r="D689" s="13" t="s">
        <v>1595</v>
      </c>
      <c r="E689" s="13" t="s">
        <v>1596</v>
      </c>
      <c r="F689" s="13" t="s">
        <v>1592</v>
      </c>
      <c r="G689" s="13" t="s">
        <v>14</v>
      </c>
      <c r="H689" s="22" t="str">
        <f>IFERROR(VLOOKUP(Table2[[#This Row], [Ticket]],Okey!A:B,2,0),"")</f>
        <v>ok</v>
      </c>
      <c r="I689" s="13" t="s">
        <v>276</v>
      </c>
      <c r="J689" s="22" t="e">
        <f>VLOOKUP(Table2[[#This Row], [Author]],People!A:B,2,0)</f>
        <v>#N/A</v>
      </c>
      <c r="K689" s="13"/>
      <c r="L689" s="13"/>
      <c r="M689" s="23" t="s">
        <v>876</v>
      </c>
    </row>
    <row r="690" spans="1:13" ht="19.5" customHeight="1">
      <c r="A690" s="18">
        <f t="shared" si="10"/>
        <v>689</v>
      </c>
      <c r="B690" s="11" t="s">
        <v>6</v>
      </c>
      <c r="C690" s="11" t="s">
        <v>55</v>
      </c>
      <c r="D690" s="11" t="s">
        <v>1597</v>
      </c>
      <c r="E690" s="11" t="s">
        <v>1598</v>
      </c>
      <c r="F690" s="11" t="s">
        <v>1599</v>
      </c>
      <c r="G690" s="11" t="s">
        <v>14</v>
      </c>
      <c r="H690" s="19" t="str">
        <f>IFERROR(VLOOKUP(Table2[[#This Row], [Ticket]],Okey!A:B,2,0),"")</f>
        <v>ok</v>
      </c>
      <c r="I690" s="11" t="s">
        <v>276</v>
      </c>
      <c r="J690" s="19" t="e">
        <f>VLOOKUP(Table2[[#This Row], [Author]],People!A:B,2,0)</f>
        <v>#N/A</v>
      </c>
      <c r="K690" s="11"/>
      <c r="L690" s="11"/>
      <c r="M690" s="20" t="s">
        <v>876</v>
      </c>
    </row>
    <row r="691" spans="1:13" ht="19.5" customHeight="1">
      <c r="A691" s="21">
        <f t="shared" si="10"/>
        <v>690</v>
      </c>
      <c r="B691" s="13" t="s">
        <v>6</v>
      </c>
      <c r="C691" s="13" t="s">
        <v>55</v>
      </c>
      <c r="D691" s="13" t="s">
        <v>1600</v>
      </c>
      <c r="E691" s="13" t="s">
        <v>1601</v>
      </c>
      <c r="F691" s="13" t="s">
        <v>1599</v>
      </c>
      <c r="G691" s="13" t="s">
        <v>14</v>
      </c>
      <c r="H691" s="22" t="str">
        <f>IFERROR(VLOOKUP(Table2[[#This Row], [Ticket]],Okey!A:B,2,0),"")</f>
        <v>ok</v>
      </c>
      <c r="I691" s="13" t="s">
        <v>276</v>
      </c>
      <c r="J691" s="22" t="e">
        <f>VLOOKUP(Table2[[#This Row], [Author]],People!A:B,2,0)</f>
        <v>#N/A</v>
      </c>
      <c r="K691" s="13"/>
      <c r="L691" s="13"/>
      <c r="M691" s="23" t="s">
        <v>876</v>
      </c>
    </row>
    <row r="692" spans="1:13" ht="19.5" customHeight="1">
      <c r="A692" s="18">
        <f t="shared" si="10"/>
        <v>691</v>
      </c>
      <c r="B692" s="11" t="s">
        <v>6</v>
      </c>
      <c r="C692" s="11" t="s">
        <v>55</v>
      </c>
      <c r="D692" s="11" t="s">
        <v>1602</v>
      </c>
      <c r="E692" s="11" t="s">
        <v>1603</v>
      </c>
      <c r="F692" s="11" t="s">
        <v>1599</v>
      </c>
      <c r="G692" s="11" t="s">
        <v>14</v>
      </c>
      <c r="H692" s="19" t="str">
        <f>IFERROR(VLOOKUP(Table2[[#This Row], [Ticket]],Okey!A:B,2,0),"")</f>
        <v>ok</v>
      </c>
      <c r="I692" s="11" t="s">
        <v>276</v>
      </c>
      <c r="J692" s="19" t="e">
        <f>VLOOKUP(Table2[[#This Row], [Author]],People!A:B,2,0)</f>
        <v>#N/A</v>
      </c>
      <c r="K692" s="11"/>
      <c r="L692" s="11"/>
      <c r="M692" s="20" t="s">
        <v>876</v>
      </c>
    </row>
    <row r="693" spans="1:13" ht="19.5" customHeight="1">
      <c r="A693" s="21">
        <f t="shared" si="10"/>
        <v>692</v>
      </c>
      <c r="B693" s="13" t="s">
        <v>6</v>
      </c>
      <c r="C693" s="13" t="s">
        <v>55</v>
      </c>
      <c r="D693" s="13" t="s">
        <v>1604</v>
      </c>
      <c r="E693" s="13"/>
      <c r="F693" s="13" t="s">
        <v>275</v>
      </c>
      <c r="G693" s="13" t="s">
        <v>12</v>
      </c>
      <c r="H693" s="22" t="str">
        <f>IFERROR(VLOOKUP(Table2[[#This Row], [Ticket]],Okey!A:B,2,0),"")</f>
        <v>ok</v>
      </c>
      <c r="I693" s="13" t="s">
        <v>276</v>
      </c>
      <c r="J693" s="22" t="e">
        <f>VLOOKUP(Table2[[#This Row], [Author]],People!A:B,2,0)</f>
        <v>#N/A</v>
      </c>
      <c r="K693" s="13"/>
      <c r="L693" s="13"/>
      <c r="M693" s="23" t="s">
        <v>876</v>
      </c>
    </row>
    <row r="694" spans="1:13" ht="19.5" customHeight="1">
      <c r="A694" s="18">
        <f t="shared" si="10"/>
        <v>693</v>
      </c>
      <c r="B694" s="11" t="s">
        <v>6</v>
      </c>
      <c r="C694" s="11" t="s">
        <v>55</v>
      </c>
      <c r="D694" s="11" t="s">
        <v>1605</v>
      </c>
      <c r="E694" s="11"/>
      <c r="F694" s="11" t="s">
        <v>275</v>
      </c>
      <c r="G694" s="11" t="s">
        <v>12</v>
      </c>
      <c r="H694" s="19" t="str">
        <f>IFERROR(VLOOKUP(Table2[[#This Row], [Ticket]],Okey!A:B,2,0),"")</f>
        <v>ok</v>
      </c>
      <c r="I694" s="11" t="s">
        <v>276</v>
      </c>
      <c r="J694" s="19" t="e">
        <f>VLOOKUP(Table2[[#This Row], [Author]],People!A:B,2,0)</f>
        <v>#N/A</v>
      </c>
      <c r="K694" s="11"/>
      <c r="L694" s="11"/>
      <c r="M694" s="20" t="s">
        <v>876</v>
      </c>
    </row>
    <row r="695" spans="1:13" ht="19.5" customHeight="1">
      <c r="A695" s="21">
        <f t="shared" si="10"/>
        <v>694</v>
      </c>
      <c r="B695" s="13" t="s">
        <v>6</v>
      </c>
      <c r="C695" s="13" t="s">
        <v>55</v>
      </c>
      <c r="D695" s="13" t="s">
        <v>1606</v>
      </c>
      <c r="E695" s="13"/>
      <c r="F695" s="13" t="s">
        <v>275</v>
      </c>
      <c r="G695" s="13" t="s">
        <v>12</v>
      </c>
      <c r="H695" s="22" t="str">
        <f>IFERROR(VLOOKUP(Table2[[#This Row], [Ticket]],Okey!A:B,2,0),"")</f>
        <v>ok</v>
      </c>
      <c r="I695" s="13" t="s">
        <v>276</v>
      </c>
      <c r="J695" s="22" t="e">
        <f>VLOOKUP(Table2[[#This Row], [Author]],People!A:B,2,0)</f>
        <v>#N/A</v>
      </c>
      <c r="K695" s="13"/>
      <c r="L695" s="13"/>
      <c r="M695" s="23" t="s">
        <v>876</v>
      </c>
    </row>
    <row r="696" spans="1:13" ht="19.5" customHeight="1">
      <c r="A696" s="18">
        <f t="shared" si="10"/>
        <v>695</v>
      </c>
      <c r="B696" s="11" t="s">
        <v>6</v>
      </c>
      <c r="C696" s="11" t="s">
        <v>55</v>
      </c>
      <c r="D696" s="11" t="s">
        <v>1607</v>
      </c>
      <c r="E696" s="11"/>
      <c r="F696" s="11" t="s">
        <v>275</v>
      </c>
      <c r="G696" s="11" t="s">
        <v>12</v>
      </c>
      <c r="H696" s="19" t="str">
        <f>IFERROR(VLOOKUP(Table2[[#This Row], [Ticket]],Okey!A:B,2,0),"")</f>
        <v>ok</v>
      </c>
      <c r="I696" s="11" t="s">
        <v>276</v>
      </c>
      <c r="J696" s="19" t="e">
        <f>VLOOKUP(Table2[[#This Row], [Author]],People!A:B,2,0)</f>
        <v>#N/A</v>
      </c>
      <c r="K696" s="11"/>
      <c r="L696" s="11"/>
      <c r="M696" s="20" t="s">
        <v>876</v>
      </c>
    </row>
    <row r="697" spans="1:13" ht="19.5" customHeight="1">
      <c r="A697" s="21">
        <f t="shared" si="10"/>
        <v>696</v>
      </c>
      <c r="B697" s="13" t="s">
        <v>6</v>
      </c>
      <c r="C697" s="13" t="s">
        <v>55</v>
      </c>
      <c r="D697" s="13" t="s">
        <v>1608</v>
      </c>
      <c r="E697" s="13"/>
      <c r="F697" s="13" t="s">
        <v>275</v>
      </c>
      <c r="G697" s="13" t="s">
        <v>12</v>
      </c>
      <c r="H697" s="22" t="str">
        <f>IFERROR(VLOOKUP(Table2[[#This Row], [Ticket]],Okey!A:B,2,0),"")</f>
        <v>ok</v>
      </c>
      <c r="I697" s="13" t="s">
        <v>276</v>
      </c>
      <c r="J697" s="22" t="e">
        <f>VLOOKUP(Table2[[#This Row], [Author]],People!A:B,2,0)</f>
        <v>#N/A</v>
      </c>
      <c r="K697" s="13"/>
      <c r="L697" s="13"/>
      <c r="M697" s="23" t="s">
        <v>876</v>
      </c>
    </row>
    <row r="698" spans="1:13" ht="19.5" customHeight="1">
      <c r="A698" s="18">
        <f t="shared" si="10"/>
        <v>697</v>
      </c>
      <c r="B698" s="11" t="s">
        <v>6</v>
      </c>
      <c r="C698" s="11" t="s">
        <v>55</v>
      </c>
      <c r="D698" s="11" t="s">
        <v>1609</v>
      </c>
      <c r="E698" s="11"/>
      <c r="F698" s="11" t="s">
        <v>275</v>
      </c>
      <c r="G698" s="11" t="s">
        <v>12</v>
      </c>
      <c r="H698" s="19" t="str">
        <f>IFERROR(VLOOKUP(Table2[[#This Row], [Ticket]],Okey!A:B,2,0),"")</f>
        <v>ok</v>
      </c>
      <c r="I698" s="11" t="s">
        <v>276</v>
      </c>
      <c r="J698" s="19" t="e">
        <f>VLOOKUP(Table2[[#This Row], [Author]],People!A:B,2,0)</f>
        <v>#N/A</v>
      </c>
      <c r="K698" s="11"/>
      <c r="L698" s="11"/>
      <c r="M698" s="20" t="s">
        <v>876</v>
      </c>
    </row>
    <row r="699" spans="1:13" ht="19.5" customHeight="1">
      <c r="A699" s="21">
        <f t="shared" si="10"/>
        <v>698</v>
      </c>
      <c r="B699" s="13" t="s">
        <v>6</v>
      </c>
      <c r="C699" s="13" t="s">
        <v>56</v>
      </c>
      <c r="D699" s="13" t="s">
        <v>1610</v>
      </c>
      <c r="E699" s="13" t="s">
        <v>1611</v>
      </c>
      <c r="F699" s="13" t="s">
        <v>1612</v>
      </c>
      <c r="G699" s="13" t="s">
        <v>14</v>
      </c>
      <c r="H699" s="22" t="str">
        <f>IFERROR(VLOOKUP(Table2[[#This Row], [Ticket]],Okey!A:B,2,0),"")</f>
        <v>ok</v>
      </c>
      <c r="I699" s="13" t="s">
        <v>276</v>
      </c>
      <c r="J699" s="22" t="e">
        <f>VLOOKUP(Table2[[#This Row], [Author]],People!A:B,2,0)</f>
        <v>#N/A</v>
      </c>
      <c r="K699" s="13"/>
      <c r="L699" s="13"/>
      <c r="M699" s="23" t="s">
        <v>1613</v>
      </c>
    </row>
    <row r="700" spans="1:13" ht="19.5" customHeight="1">
      <c r="A700" s="18">
        <f t="shared" si="10"/>
        <v>699</v>
      </c>
      <c r="B700" s="11" t="s">
        <v>6</v>
      </c>
      <c r="C700" s="11" t="s">
        <v>56</v>
      </c>
      <c r="D700" s="11" t="s">
        <v>1614</v>
      </c>
      <c r="E700" s="11" t="s">
        <v>1615</v>
      </c>
      <c r="F700" s="11" t="s">
        <v>1616</v>
      </c>
      <c r="G700" s="11" t="s">
        <v>14</v>
      </c>
      <c r="H700" s="19" t="str">
        <f>IFERROR(VLOOKUP(Table2[[#This Row], [Ticket]],Okey!A:B,2,0),"")</f>
        <v>ok</v>
      </c>
      <c r="I700" s="11" t="s">
        <v>276</v>
      </c>
      <c r="J700" s="19" t="e">
        <f>VLOOKUP(Table2[[#This Row], [Author]],People!A:B,2,0)</f>
        <v>#N/A</v>
      </c>
      <c r="K700" s="11"/>
      <c r="L700" s="11"/>
      <c r="M700" s="20" t="s">
        <v>1613</v>
      </c>
    </row>
    <row r="701" spans="1:13" ht="19.5" customHeight="1">
      <c r="A701" s="21">
        <f t="shared" si="10"/>
        <v>700</v>
      </c>
      <c r="B701" s="13" t="s">
        <v>6</v>
      </c>
      <c r="C701" s="13" t="s">
        <v>56</v>
      </c>
      <c r="D701" s="13" t="s">
        <v>1617</v>
      </c>
      <c r="E701" s="13" t="s">
        <v>1618</v>
      </c>
      <c r="F701" s="13" t="s">
        <v>1616</v>
      </c>
      <c r="G701" s="13" t="s">
        <v>14</v>
      </c>
      <c r="H701" s="22" t="str">
        <f>IFERROR(VLOOKUP(Table2[[#This Row], [Ticket]],Okey!A:B,2,0),"")</f>
        <v>ok</v>
      </c>
      <c r="I701" s="13" t="s">
        <v>276</v>
      </c>
      <c r="J701" s="22" t="e">
        <f>VLOOKUP(Table2[[#This Row], [Author]],People!A:B,2,0)</f>
        <v>#N/A</v>
      </c>
      <c r="K701" s="13"/>
      <c r="L701" s="13"/>
      <c r="M701" s="23" t="s">
        <v>1613</v>
      </c>
    </row>
    <row r="702" spans="1:13" ht="19.5" customHeight="1">
      <c r="A702" s="18">
        <f t="shared" si="10"/>
        <v>701</v>
      </c>
      <c r="B702" s="11" t="s">
        <v>6</v>
      </c>
      <c r="C702" s="11" t="s">
        <v>56</v>
      </c>
      <c r="D702" s="11" t="s">
        <v>1619</v>
      </c>
      <c r="E702" s="11" t="s">
        <v>1620</v>
      </c>
      <c r="F702" s="11" t="s">
        <v>1621</v>
      </c>
      <c r="G702" s="11" t="s">
        <v>14</v>
      </c>
      <c r="H702" s="19" t="str">
        <f>IFERROR(VLOOKUP(Table2[[#This Row], [Ticket]],Okey!A:B,2,0),"")</f>
        <v>ok</v>
      </c>
      <c r="I702" s="11" t="s">
        <v>276</v>
      </c>
      <c r="J702" s="19" t="e">
        <f>VLOOKUP(Table2[[#This Row], [Author]],People!A:B,2,0)</f>
        <v>#N/A</v>
      </c>
      <c r="K702" s="11"/>
      <c r="L702" s="11"/>
      <c r="M702" s="20" t="s">
        <v>1613</v>
      </c>
    </row>
    <row r="703" spans="1:13" ht="19.5" customHeight="1">
      <c r="A703" s="21">
        <f t="shared" si="10"/>
        <v>702</v>
      </c>
      <c r="B703" s="13" t="s">
        <v>6</v>
      </c>
      <c r="C703" s="13" t="s">
        <v>56</v>
      </c>
      <c r="D703" s="13" t="s">
        <v>1622</v>
      </c>
      <c r="E703" s="13" t="s">
        <v>1623</v>
      </c>
      <c r="F703" s="13" t="s">
        <v>1624</v>
      </c>
      <c r="G703" s="13" t="s">
        <v>14</v>
      </c>
      <c r="H703" s="22" t="str">
        <f>IFERROR(VLOOKUP(Table2[[#This Row], [Ticket]],Okey!A:B,2,0),"")</f>
        <v>ok</v>
      </c>
      <c r="I703" s="13" t="s">
        <v>276</v>
      </c>
      <c r="J703" s="22" t="e">
        <f>VLOOKUP(Table2[[#This Row], [Author]],People!A:B,2,0)</f>
        <v>#N/A</v>
      </c>
      <c r="K703" s="13"/>
      <c r="L703" s="13"/>
      <c r="M703" s="23" t="s">
        <v>1613</v>
      </c>
    </row>
    <row r="704" spans="1:13" ht="19.5" customHeight="1">
      <c r="A704" s="18">
        <f t="shared" si="10"/>
        <v>703</v>
      </c>
      <c r="B704" s="11" t="s">
        <v>6</v>
      </c>
      <c r="C704" s="11" t="s">
        <v>56</v>
      </c>
      <c r="D704" s="11" t="s">
        <v>1625</v>
      </c>
      <c r="E704" s="11" t="s">
        <v>1626</v>
      </c>
      <c r="F704" s="11"/>
      <c r="G704" s="11" t="s">
        <v>15</v>
      </c>
      <c r="H704" s="19" t="str">
        <f>IFERROR(VLOOKUP(Table2[[#This Row], [Ticket]],Okey!A:B,2,0),"")</f>
        <v>ok</v>
      </c>
      <c r="I704" s="11" t="s">
        <v>276</v>
      </c>
      <c r="J704" s="19" t="e">
        <f>VLOOKUP(Table2[[#This Row], [Author]],People!A:B,2,0)</f>
        <v>#N/A</v>
      </c>
      <c r="K704" s="11"/>
      <c r="L704" s="11"/>
      <c r="M704" s="20" t="s">
        <v>1613</v>
      </c>
    </row>
    <row r="705" spans="1:13" ht="19.5" customHeight="1">
      <c r="A705" s="21">
        <f t="shared" si="10"/>
        <v>704</v>
      </c>
      <c r="B705" s="13" t="s">
        <v>6</v>
      </c>
      <c r="C705" s="13" t="s">
        <v>56</v>
      </c>
      <c r="D705" s="13" t="s">
        <v>1627</v>
      </c>
      <c r="E705" s="13" t="s">
        <v>1628</v>
      </c>
      <c r="F705" s="13"/>
      <c r="G705" s="13" t="s">
        <v>15</v>
      </c>
      <c r="H705" s="22" t="str">
        <f>IFERROR(VLOOKUP(Table2[[#This Row], [Ticket]],Okey!A:B,2,0),"")</f>
        <v>ok</v>
      </c>
      <c r="I705" s="13" t="s">
        <v>276</v>
      </c>
      <c r="J705" s="22" t="e">
        <f>VLOOKUP(Table2[[#This Row], [Author]],People!A:B,2,0)</f>
        <v>#N/A</v>
      </c>
      <c r="K705" s="13"/>
      <c r="L705" s="13"/>
      <c r="M705" s="23" t="s">
        <v>1613</v>
      </c>
    </row>
    <row r="706" spans="1:13" ht="19.5" customHeight="1">
      <c r="A706" s="18">
        <f t="shared" si="10"/>
        <v>705</v>
      </c>
      <c r="B706" s="11" t="s">
        <v>6</v>
      </c>
      <c r="C706" s="11" t="s">
        <v>56</v>
      </c>
      <c r="D706" s="11" t="s">
        <v>1629</v>
      </c>
      <c r="E706" s="11" t="s">
        <v>1630</v>
      </c>
      <c r="F706" s="11"/>
      <c r="G706" s="11" t="s">
        <v>15</v>
      </c>
      <c r="H706" s="19" t="str">
        <f>IFERROR(VLOOKUP(Table2[[#This Row], [Ticket]],Okey!A:B,2,0),"")</f>
        <v>ok</v>
      </c>
      <c r="I706" s="11" t="s">
        <v>276</v>
      </c>
      <c r="J706" s="19" t="e">
        <f>VLOOKUP(Table2[[#This Row], [Author]],People!A:B,2,0)</f>
        <v>#N/A</v>
      </c>
      <c r="K706" s="11"/>
      <c r="L706" s="11"/>
      <c r="M706" s="20" t="s">
        <v>1613</v>
      </c>
    </row>
    <row r="707" spans="1:13" ht="19.5" customHeight="1">
      <c r="A707" s="21">
        <f t="shared" ref="A707:A770" si="11">1+A706</f>
        <v>706</v>
      </c>
      <c r="B707" s="13" t="s">
        <v>6</v>
      </c>
      <c r="C707" s="13" t="s">
        <v>56</v>
      </c>
      <c r="D707" s="13" t="s">
        <v>1631</v>
      </c>
      <c r="E707" s="13" t="s">
        <v>1632</v>
      </c>
      <c r="F707" s="13"/>
      <c r="G707" s="13" t="s">
        <v>15</v>
      </c>
      <c r="H707" s="22" t="str">
        <f>IFERROR(VLOOKUP(Table2[[#This Row], [Ticket]],Okey!A:B,2,0),"")</f>
        <v>ok</v>
      </c>
      <c r="I707" s="13" t="s">
        <v>276</v>
      </c>
      <c r="J707" s="22" t="e">
        <f>VLOOKUP(Table2[[#This Row], [Author]],People!A:B,2,0)</f>
        <v>#N/A</v>
      </c>
      <c r="K707" s="13"/>
      <c r="L707" s="13"/>
      <c r="M707" s="23" t="s">
        <v>1613</v>
      </c>
    </row>
    <row r="708" spans="1:13" ht="19.5" customHeight="1">
      <c r="A708" s="18">
        <f t="shared" si="11"/>
        <v>707</v>
      </c>
      <c r="B708" s="11" t="s">
        <v>6</v>
      </c>
      <c r="C708" s="11" t="s">
        <v>56</v>
      </c>
      <c r="D708" s="11" t="s">
        <v>1633</v>
      </c>
      <c r="E708" s="11" t="s">
        <v>1634</v>
      </c>
      <c r="F708" s="11"/>
      <c r="G708" s="11" t="s">
        <v>15</v>
      </c>
      <c r="H708" s="19" t="str">
        <f>IFERROR(VLOOKUP(Table2[[#This Row], [Ticket]],Okey!A:B,2,0),"")</f>
        <v>ok</v>
      </c>
      <c r="I708" s="11" t="s">
        <v>276</v>
      </c>
      <c r="J708" s="19" t="e">
        <f>VLOOKUP(Table2[[#This Row], [Author]],People!A:B,2,0)</f>
        <v>#N/A</v>
      </c>
      <c r="K708" s="11"/>
      <c r="L708" s="11"/>
      <c r="M708" s="20" t="s">
        <v>1613</v>
      </c>
    </row>
    <row r="709" spans="1:13" ht="19.5" customHeight="1">
      <c r="A709" s="21">
        <f t="shared" si="11"/>
        <v>708</v>
      </c>
      <c r="B709" s="13" t="s">
        <v>6</v>
      </c>
      <c r="C709" s="13" t="s">
        <v>56</v>
      </c>
      <c r="D709" s="13" t="s">
        <v>1635</v>
      </c>
      <c r="E709" s="13"/>
      <c r="F709" s="13" t="s">
        <v>1625</v>
      </c>
      <c r="G709" s="13" t="s">
        <v>13</v>
      </c>
      <c r="H709" s="22" t="str">
        <f>IFERROR(VLOOKUP(Table2[[#This Row], [Ticket]],Okey!A:B,2,0),"")</f>
        <v>ok</v>
      </c>
      <c r="I709" s="13" t="s">
        <v>276</v>
      </c>
      <c r="J709" s="22" t="e">
        <f>VLOOKUP(Table2[[#This Row], [Author]],People!A:B,2,0)</f>
        <v>#N/A</v>
      </c>
      <c r="K709" s="13"/>
      <c r="L709" s="13"/>
      <c r="M709" s="23" t="s">
        <v>1613</v>
      </c>
    </row>
    <row r="710" spans="1:13" ht="19.5" customHeight="1">
      <c r="A710" s="18">
        <f t="shared" si="11"/>
        <v>709</v>
      </c>
      <c r="B710" s="11" t="s">
        <v>6</v>
      </c>
      <c r="C710" s="11" t="s">
        <v>56</v>
      </c>
      <c r="D710" s="11" t="s">
        <v>1636</v>
      </c>
      <c r="E710" s="11"/>
      <c r="F710" s="11" t="s">
        <v>1625</v>
      </c>
      <c r="G710" s="11" t="s">
        <v>13</v>
      </c>
      <c r="H710" s="19" t="str">
        <f>IFERROR(VLOOKUP(Table2[[#This Row], [Ticket]],Okey!A:B,2,0),"")</f>
        <v>ok</v>
      </c>
      <c r="I710" s="11" t="s">
        <v>276</v>
      </c>
      <c r="J710" s="19" t="e">
        <f>VLOOKUP(Table2[[#This Row], [Author]],People!A:B,2,0)</f>
        <v>#N/A</v>
      </c>
      <c r="K710" s="11"/>
      <c r="L710" s="11"/>
      <c r="M710" s="20" t="s">
        <v>1613</v>
      </c>
    </row>
    <row r="711" spans="1:13" ht="19.5" customHeight="1">
      <c r="A711" s="21">
        <f t="shared" si="11"/>
        <v>710</v>
      </c>
      <c r="B711" s="13" t="s">
        <v>6</v>
      </c>
      <c r="C711" s="13" t="s">
        <v>56</v>
      </c>
      <c r="D711" s="13" t="s">
        <v>1637</v>
      </c>
      <c r="E711" s="13"/>
      <c r="F711" s="13" t="s">
        <v>1610</v>
      </c>
      <c r="G711" s="13" t="s">
        <v>13</v>
      </c>
      <c r="H711" s="22" t="str">
        <f>IFERROR(VLOOKUP(Table2[[#This Row], [Ticket]],Okey!A:B,2,0),"")</f>
        <v>ok</v>
      </c>
      <c r="I711" s="13" t="s">
        <v>276</v>
      </c>
      <c r="J711" s="22" t="e">
        <f>VLOOKUP(Table2[[#This Row], [Author]],People!A:B,2,0)</f>
        <v>#N/A</v>
      </c>
      <c r="K711" s="13"/>
      <c r="L711" s="13"/>
      <c r="M711" s="23" t="s">
        <v>1613</v>
      </c>
    </row>
    <row r="712" spans="1:13" ht="19.5" customHeight="1">
      <c r="A712" s="18">
        <f t="shared" si="11"/>
        <v>711</v>
      </c>
      <c r="B712" s="11" t="s">
        <v>6</v>
      </c>
      <c r="C712" s="11" t="s">
        <v>56</v>
      </c>
      <c r="D712" s="11" t="s">
        <v>1638</v>
      </c>
      <c r="E712" s="11"/>
      <c r="F712" s="11" t="s">
        <v>1610</v>
      </c>
      <c r="G712" s="11" t="s">
        <v>13</v>
      </c>
      <c r="H712" s="19" t="str">
        <f>IFERROR(VLOOKUP(Table2[[#This Row], [Ticket]],Okey!A:B,2,0),"")</f>
        <v>ok</v>
      </c>
      <c r="I712" s="11" t="s">
        <v>276</v>
      </c>
      <c r="J712" s="19" t="e">
        <f>VLOOKUP(Table2[[#This Row], [Author]],People!A:B,2,0)</f>
        <v>#N/A</v>
      </c>
      <c r="K712" s="11"/>
      <c r="L712" s="11"/>
      <c r="M712" s="20" t="s">
        <v>1613</v>
      </c>
    </row>
    <row r="713" spans="1:13" ht="19.5" customHeight="1">
      <c r="A713" s="21">
        <f t="shared" si="11"/>
        <v>712</v>
      </c>
      <c r="B713" s="13" t="s">
        <v>6</v>
      </c>
      <c r="C713" s="13" t="s">
        <v>56</v>
      </c>
      <c r="D713" s="13" t="s">
        <v>1639</v>
      </c>
      <c r="E713" s="13"/>
      <c r="F713" s="13" t="s">
        <v>1622</v>
      </c>
      <c r="G713" s="13" t="s">
        <v>13</v>
      </c>
      <c r="H713" s="22" t="str">
        <f>IFERROR(VLOOKUP(Table2[[#This Row], [Ticket]],Okey!A:B,2,0),"")</f>
        <v>ok</v>
      </c>
      <c r="I713" s="13" t="s">
        <v>276</v>
      </c>
      <c r="J713" s="22" t="e">
        <f>VLOOKUP(Table2[[#This Row], [Author]],People!A:B,2,0)</f>
        <v>#N/A</v>
      </c>
      <c r="K713" s="13"/>
      <c r="L713" s="13"/>
      <c r="M713" s="23" t="s">
        <v>1613</v>
      </c>
    </row>
    <row r="714" spans="1:13" ht="19.5" customHeight="1">
      <c r="A714" s="18">
        <f t="shared" si="11"/>
        <v>713</v>
      </c>
      <c r="B714" s="11" t="s">
        <v>6</v>
      </c>
      <c r="C714" s="11" t="s">
        <v>56</v>
      </c>
      <c r="D714" s="11" t="s">
        <v>1640</v>
      </c>
      <c r="E714" s="11"/>
      <c r="F714" s="11" t="s">
        <v>275</v>
      </c>
      <c r="G714" s="11" t="s">
        <v>12</v>
      </c>
      <c r="H714" s="19" t="str">
        <f>IFERROR(VLOOKUP(Table2[[#This Row], [Ticket]],Okey!A:B,2,0),"")</f>
        <v>ok</v>
      </c>
      <c r="I714" s="11" t="s">
        <v>276</v>
      </c>
      <c r="J714" s="19" t="e">
        <f>VLOOKUP(Table2[[#This Row], [Author]],People!A:B,2,0)</f>
        <v>#N/A</v>
      </c>
      <c r="K714" s="11"/>
      <c r="L714" s="11"/>
      <c r="M714" s="20" t="s">
        <v>1613</v>
      </c>
    </row>
    <row r="715" spans="1:13" ht="19.5" customHeight="1">
      <c r="A715" s="21">
        <f t="shared" si="11"/>
        <v>714</v>
      </c>
      <c r="B715" s="13" t="s">
        <v>6</v>
      </c>
      <c r="C715" s="13" t="s">
        <v>56</v>
      </c>
      <c r="D715" s="13" t="s">
        <v>1641</v>
      </c>
      <c r="E715" s="13"/>
      <c r="F715" s="13" t="s">
        <v>275</v>
      </c>
      <c r="G715" s="13" t="s">
        <v>12</v>
      </c>
      <c r="H715" s="22" t="str">
        <f>IFERROR(VLOOKUP(Table2[[#This Row], [Ticket]],Okey!A:B,2,0),"")</f>
        <v>ok</v>
      </c>
      <c r="I715" s="13" t="s">
        <v>276</v>
      </c>
      <c r="J715" s="22" t="e">
        <f>VLOOKUP(Table2[[#This Row], [Author]],People!A:B,2,0)</f>
        <v>#N/A</v>
      </c>
      <c r="K715" s="13"/>
      <c r="L715" s="13"/>
      <c r="M715" s="23" t="s">
        <v>1613</v>
      </c>
    </row>
    <row r="716" spans="1:13" ht="19.5" customHeight="1">
      <c r="A716" s="18">
        <f t="shared" si="11"/>
        <v>715</v>
      </c>
      <c r="B716" s="11" t="s">
        <v>6</v>
      </c>
      <c r="C716" s="11" t="s">
        <v>56</v>
      </c>
      <c r="D716" s="11" t="s">
        <v>1642</v>
      </c>
      <c r="E716" s="11"/>
      <c r="F716" s="11" t="s">
        <v>275</v>
      </c>
      <c r="G716" s="11" t="s">
        <v>12</v>
      </c>
      <c r="H716" s="19" t="str">
        <f>IFERROR(VLOOKUP(Table2[[#This Row], [Ticket]],Okey!A:B,2,0),"")</f>
        <v>ok</v>
      </c>
      <c r="I716" s="11" t="s">
        <v>276</v>
      </c>
      <c r="J716" s="19" t="e">
        <f>VLOOKUP(Table2[[#This Row], [Author]],People!A:B,2,0)</f>
        <v>#N/A</v>
      </c>
      <c r="K716" s="11"/>
      <c r="L716" s="11"/>
      <c r="M716" s="20" t="s">
        <v>1613</v>
      </c>
    </row>
    <row r="717" spans="1:13" ht="19.5" customHeight="1">
      <c r="A717" s="21">
        <f t="shared" si="11"/>
        <v>716</v>
      </c>
      <c r="B717" s="13" t="s">
        <v>6</v>
      </c>
      <c r="C717" s="13" t="s">
        <v>49</v>
      </c>
      <c r="D717" s="13" t="s">
        <v>1643</v>
      </c>
      <c r="E717" s="13" t="s">
        <v>1644</v>
      </c>
      <c r="F717" s="13" t="s">
        <v>1645</v>
      </c>
      <c r="G717" s="13" t="s">
        <v>14</v>
      </c>
      <c r="H717" s="22" t="str">
        <f>IFERROR(VLOOKUP(Table2[[#This Row], [Ticket]],Okey!A:B,2,0),"")</f>
        <v>ok</v>
      </c>
      <c r="I717" s="13" t="s">
        <v>276</v>
      </c>
      <c r="J717" s="22" t="e">
        <f>VLOOKUP(Table2[[#This Row], [Author]],People!A:B,2,0)</f>
        <v>#N/A</v>
      </c>
      <c r="K717" s="13"/>
      <c r="L717" s="13"/>
      <c r="M717" s="24" t="s">
        <v>1005</v>
      </c>
    </row>
    <row r="718" spans="1:13" ht="19.5" customHeight="1">
      <c r="A718" s="18">
        <f t="shared" si="11"/>
        <v>717</v>
      </c>
      <c r="B718" s="11" t="s">
        <v>6</v>
      </c>
      <c r="C718" s="11" t="s">
        <v>49</v>
      </c>
      <c r="D718" s="11" t="s">
        <v>1646</v>
      </c>
      <c r="E718" s="11" t="s">
        <v>1647</v>
      </c>
      <c r="F718" s="11" t="s">
        <v>1645</v>
      </c>
      <c r="G718" s="11" t="s">
        <v>14</v>
      </c>
      <c r="H718" s="19" t="str">
        <f>IFERROR(VLOOKUP(Table2[[#This Row], [Ticket]],Okey!A:B,2,0),"")</f>
        <v>ok</v>
      </c>
      <c r="I718" s="11" t="s">
        <v>276</v>
      </c>
      <c r="J718" s="19" t="e">
        <f>VLOOKUP(Table2[[#This Row], [Author]],People!A:B,2,0)</f>
        <v>#N/A</v>
      </c>
      <c r="K718" s="11"/>
      <c r="L718" s="11"/>
      <c r="M718" s="25" t="s">
        <v>1005</v>
      </c>
    </row>
    <row r="719" spans="1:13" ht="19.5" customHeight="1">
      <c r="A719" s="21">
        <f t="shared" si="11"/>
        <v>718</v>
      </c>
      <c r="B719" s="13" t="s">
        <v>6</v>
      </c>
      <c r="C719" s="13" t="s">
        <v>49</v>
      </c>
      <c r="D719" s="13" t="s">
        <v>1648</v>
      </c>
      <c r="E719" s="13" t="s">
        <v>1649</v>
      </c>
      <c r="F719" s="13" t="s">
        <v>1645</v>
      </c>
      <c r="G719" s="13" t="s">
        <v>14</v>
      </c>
      <c r="H719" s="22" t="str">
        <f>IFERROR(VLOOKUP(Table2[[#This Row], [Ticket]],Okey!A:B,2,0),"")</f>
        <v>ok</v>
      </c>
      <c r="I719" s="13" t="s">
        <v>276</v>
      </c>
      <c r="J719" s="22" t="e">
        <f>VLOOKUP(Table2[[#This Row], [Author]],People!A:B,2,0)</f>
        <v>#N/A</v>
      </c>
      <c r="K719" s="13"/>
      <c r="L719" s="13"/>
      <c r="M719" s="24" t="s">
        <v>1005</v>
      </c>
    </row>
    <row r="720" spans="1:13" ht="19.5" customHeight="1">
      <c r="A720" s="18">
        <f t="shared" si="11"/>
        <v>719</v>
      </c>
      <c r="B720" s="11" t="s">
        <v>6</v>
      </c>
      <c r="C720" s="11" t="s">
        <v>49</v>
      </c>
      <c r="D720" s="11" t="s">
        <v>1650</v>
      </c>
      <c r="E720" s="11" t="s">
        <v>1651</v>
      </c>
      <c r="F720" s="11" t="s">
        <v>1645</v>
      </c>
      <c r="G720" s="11" t="s">
        <v>14</v>
      </c>
      <c r="H720" s="19" t="str">
        <f>IFERROR(VLOOKUP(Table2[[#This Row], [Ticket]],Okey!A:B,2,0),"")</f>
        <v>ok</v>
      </c>
      <c r="I720" s="11" t="s">
        <v>276</v>
      </c>
      <c r="J720" s="19" t="e">
        <f>VLOOKUP(Table2[[#This Row], [Author]],People!A:B,2,0)</f>
        <v>#N/A</v>
      </c>
      <c r="K720" s="11"/>
      <c r="L720" s="11"/>
      <c r="M720" s="25" t="s">
        <v>1005</v>
      </c>
    </row>
    <row r="721" spans="1:13" ht="19.5" customHeight="1">
      <c r="A721" s="21">
        <f t="shared" si="11"/>
        <v>720</v>
      </c>
      <c r="B721" s="13" t="s">
        <v>6</v>
      </c>
      <c r="C721" s="13" t="s">
        <v>49</v>
      </c>
      <c r="D721" s="13" t="s">
        <v>1652</v>
      </c>
      <c r="E721" s="13" t="s">
        <v>1653</v>
      </c>
      <c r="F721" s="13" t="s">
        <v>1645</v>
      </c>
      <c r="G721" s="13" t="s">
        <v>14</v>
      </c>
      <c r="H721" s="22" t="str">
        <f>IFERROR(VLOOKUP(Table2[[#This Row], [Ticket]],Okey!A:B,2,0),"")</f>
        <v>ok</v>
      </c>
      <c r="I721" s="13" t="s">
        <v>276</v>
      </c>
      <c r="J721" s="22" t="e">
        <f>VLOOKUP(Table2[[#This Row], [Author]],People!A:B,2,0)</f>
        <v>#N/A</v>
      </c>
      <c r="K721" s="13"/>
      <c r="L721" s="13"/>
      <c r="M721" s="24" t="s">
        <v>1005</v>
      </c>
    </row>
    <row r="722" spans="1:13" ht="19.5" customHeight="1">
      <c r="A722" s="18">
        <f t="shared" si="11"/>
        <v>721</v>
      </c>
      <c r="B722" s="11" t="s">
        <v>8</v>
      </c>
      <c r="C722" s="11" t="s">
        <v>24</v>
      </c>
      <c r="D722" s="11" t="s">
        <v>1654</v>
      </c>
      <c r="E722" s="11" t="s">
        <v>1655</v>
      </c>
      <c r="F722" s="11" t="s">
        <v>371</v>
      </c>
      <c r="G722" s="11" t="s">
        <v>14</v>
      </c>
      <c r="H722" s="19" t="str">
        <f>IFERROR(VLOOKUP(Table2[[#This Row], [Ticket]],Okey!A:B,2,0),"")</f>
        <v>ok</v>
      </c>
      <c r="I722" s="11" t="s">
        <v>276</v>
      </c>
      <c r="J722" s="19" t="e">
        <f>VLOOKUP(Table2[[#This Row], [Author]],People!A:B,2,0)</f>
        <v>#N/A</v>
      </c>
      <c r="K722" s="11"/>
      <c r="L722" s="11"/>
      <c r="M722" s="20" t="s">
        <v>344</v>
      </c>
    </row>
    <row r="723" spans="1:13" ht="19.5" customHeight="1">
      <c r="A723" s="21">
        <f t="shared" si="11"/>
        <v>722</v>
      </c>
      <c r="B723" s="13" t="s">
        <v>8</v>
      </c>
      <c r="C723" s="13" t="s">
        <v>26</v>
      </c>
      <c r="D723" s="13" t="s">
        <v>1656</v>
      </c>
      <c r="E723" s="13" t="s">
        <v>1657</v>
      </c>
      <c r="F723" s="13"/>
      <c r="G723" s="13" t="s">
        <v>15</v>
      </c>
      <c r="H723" s="22" t="str">
        <f>IFERROR(VLOOKUP(Table2[[#This Row], [Ticket]],Okey!A:B,2,0),"")</f>
        <v>ok</v>
      </c>
      <c r="I723" s="13" t="s">
        <v>276</v>
      </c>
      <c r="J723" s="22" t="e">
        <f>VLOOKUP(Table2[[#This Row], [Author]],People!A:B,2,0)</f>
        <v>#N/A</v>
      </c>
      <c r="K723" s="13"/>
      <c r="L723" s="13"/>
      <c r="M723" s="23" t="s">
        <v>661</v>
      </c>
    </row>
    <row r="724" spans="1:13" ht="19.5" customHeight="1">
      <c r="A724" s="18">
        <f t="shared" si="11"/>
        <v>723</v>
      </c>
      <c r="B724" s="11" t="s">
        <v>8</v>
      </c>
      <c r="C724" s="11" t="s">
        <v>26</v>
      </c>
      <c r="D724" s="11" t="s">
        <v>1658</v>
      </c>
      <c r="E724" s="11" t="s">
        <v>1659</v>
      </c>
      <c r="F724" s="11"/>
      <c r="G724" s="11" t="s">
        <v>15</v>
      </c>
      <c r="H724" s="19" t="str">
        <f>IFERROR(VLOOKUP(Table2[[#This Row], [Ticket]],Okey!A:B,2,0),"")</f>
        <v>ok</v>
      </c>
      <c r="I724" s="11" t="s">
        <v>276</v>
      </c>
      <c r="J724" s="19" t="e">
        <f>VLOOKUP(Table2[[#This Row], [Author]],People!A:B,2,0)</f>
        <v>#N/A</v>
      </c>
      <c r="K724" s="11"/>
      <c r="L724" s="11"/>
      <c r="M724" s="20" t="s">
        <v>661</v>
      </c>
    </row>
    <row r="725" spans="1:13" ht="19.5" customHeight="1">
      <c r="A725" s="21">
        <f t="shared" si="11"/>
        <v>724</v>
      </c>
      <c r="B725" s="13" t="s">
        <v>8</v>
      </c>
      <c r="C725" s="13" t="s">
        <v>26</v>
      </c>
      <c r="D725" s="13" t="s">
        <v>1660</v>
      </c>
      <c r="E725" s="13" t="s">
        <v>1661</v>
      </c>
      <c r="F725" s="13"/>
      <c r="G725" s="13" t="s">
        <v>15</v>
      </c>
      <c r="H725" s="22" t="str">
        <f>IFERROR(VLOOKUP(Table2[[#This Row], [Ticket]],Okey!A:B,2,0),"")</f>
        <v>ok</v>
      </c>
      <c r="I725" s="13" t="s">
        <v>276</v>
      </c>
      <c r="J725" s="22" t="e">
        <f>VLOOKUP(Table2[[#This Row], [Author]],People!A:B,2,0)</f>
        <v>#N/A</v>
      </c>
      <c r="K725" s="13"/>
      <c r="L725" s="13"/>
      <c r="M725" s="23" t="s">
        <v>661</v>
      </c>
    </row>
    <row r="726" spans="1:13" ht="19.5" customHeight="1">
      <c r="A726" s="18">
        <f t="shared" si="11"/>
        <v>725</v>
      </c>
      <c r="B726" s="11" t="s">
        <v>8</v>
      </c>
      <c r="C726" s="11" t="s">
        <v>26</v>
      </c>
      <c r="D726" s="11" t="s">
        <v>1662</v>
      </c>
      <c r="E726" s="11" t="s">
        <v>1663</v>
      </c>
      <c r="F726" s="11"/>
      <c r="G726" s="11" t="s">
        <v>15</v>
      </c>
      <c r="H726" s="19" t="str">
        <f>IFERROR(VLOOKUP(Table2[[#This Row], [Ticket]],Okey!A:B,2,0),"")</f>
        <v>ok</v>
      </c>
      <c r="I726" s="11" t="s">
        <v>276</v>
      </c>
      <c r="J726" s="19" t="e">
        <f>VLOOKUP(Table2[[#This Row], [Author]],People!A:B,2,0)</f>
        <v>#N/A</v>
      </c>
      <c r="K726" s="11"/>
      <c r="L726" s="11"/>
      <c r="M726" s="20" t="s">
        <v>661</v>
      </c>
    </row>
    <row r="727" spans="1:13" ht="19.5" customHeight="1">
      <c r="A727" s="21">
        <f t="shared" si="11"/>
        <v>726</v>
      </c>
      <c r="B727" s="13" t="s">
        <v>8</v>
      </c>
      <c r="C727" s="13" t="s">
        <v>26</v>
      </c>
      <c r="D727" s="13" t="s">
        <v>1664</v>
      </c>
      <c r="E727" s="13" t="s">
        <v>1665</v>
      </c>
      <c r="F727" s="13"/>
      <c r="G727" s="13" t="s">
        <v>15</v>
      </c>
      <c r="H727" s="22" t="str">
        <f>IFERROR(VLOOKUP(Table2[[#This Row], [Ticket]],Okey!A:B,2,0),"")</f>
        <v>ok</v>
      </c>
      <c r="I727" s="13" t="s">
        <v>276</v>
      </c>
      <c r="J727" s="22" t="e">
        <f>VLOOKUP(Table2[[#This Row], [Author]],People!A:B,2,0)</f>
        <v>#N/A</v>
      </c>
      <c r="K727" s="13"/>
      <c r="L727" s="13"/>
      <c r="M727" s="23" t="s">
        <v>661</v>
      </c>
    </row>
    <row r="728" spans="1:13" ht="19.5" customHeight="1">
      <c r="A728" s="18">
        <f t="shared" si="11"/>
        <v>727</v>
      </c>
      <c r="B728" s="11" t="s">
        <v>8</v>
      </c>
      <c r="C728" s="11" t="s">
        <v>26</v>
      </c>
      <c r="D728" s="11" t="s">
        <v>1658</v>
      </c>
      <c r="E728" s="11" t="s">
        <v>1659</v>
      </c>
      <c r="F728" s="11"/>
      <c r="G728" s="11" t="s">
        <v>15</v>
      </c>
      <c r="H728" s="19" t="str">
        <f>IFERROR(VLOOKUP(Table2[[#This Row], [Ticket]],Okey!A:B,2,0),"")</f>
        <v>ok</v>
      </c>
      <c r="I728" s="11" t="s">
        <v>276</v>
      </c>
      <c r="J728" s="19" t="e">
        <f>VLOOKUP(Table2[[#This Row], [Author]],People!A:B,2,0)</f>
        <v>#N/A</v>
      </c>
      <c r="K728" s="11"/>
      <c r="L728" s="11"/>
      <c r="M728" s="20" t="s">
        <v>661</v>
      </c>
    </row>
    <row r="729" spans="1:13" ht="19.5" customHeight="1">
      <c r="A729" s="21">
        <f t="shared" si="11"/>
        <v>728</v>
      </c>
      <c r="B729" s="13" t="s">
        <v>8</v>
      </c>
      <c r="C729" s="13" t="s">
        <v>26</v>
      </c>
      <c r="D729" s="13" t="s">
        <v>1666</v>
      </c>
      <c r="E729" s="13" t="s">
        <v>1667</v>
      </c>
      <c r="F729" s="13" t="s">
        <v>1668</v>
      </c>
      <c r="G729" s="13" t="s">
        <v>13</v>
      </c>
      <c r="H729" s="22" t="str">
        <f>IFERROR(VLOOKUP(Table2[[#This Row], [Ticket]],Okey!A:B,2,0),"")</f>
        <v>ok</v>
      </c>
      <c r="I729" s="13" t="s">
        <v>276</v>
      </c>
      <c r="J729" s="22" t="e">
        <f>VLOOKUP(Table2[[#This Row], [Author]],People!A:B,2,0)</f>
        <v>#N/A</v>
      </c>
      <c r="K729" s="13"/>
      <c r="L729" s="13"/>
      <c r="M729" s="23" t="s">
        <v>661</v>
      </c>
    </row>
    <row r="730" spans="1:13" ht="19.5" customHeight="1">
      <c r="A730" s="18">
        <f t="shared" si="11"/>
        <v>729</v>
      </c>
      <c r="B730" s="11" t="s">
        <v>8</v>
      </c>
      <c r="C730" s="11" t="s">
        <v>26</v>
      </c>
      <c r="D730" s="11" t="s">
        <v>1669</v>
      </c>
      <c r="E730" s="11" t="s">
        <v>1670</v>
      </c>
      <c r="F730" s="11" t="s">
        <v>1668</v>
      </c>
      <c r="G730" s="11" t="s">
        <v>13</v>
      </c>
      <c r="H730" s="19" t="str">
        <f>IFERROR(VLOOKUP(Table2[[#This Row], [Ticket]],Okey!A:B,2,0),"")</f>
        <v>ok</v>
      </c>
      <c r="I730" s="11" t="s">
        <v>276</v>
      </c>
      <c r="J730" s="19" t="e">
        <f>VLOOKUP(Table2[[#This Row], [Author]],People!A:B,2,0)</f>
        <v>#N/A</v>
      </c>
      <c r="K730" s="11"/>
      <c r="L730" s="11"/>
      <c r="M730" s="20" t="s">
        <v>661</v>
      </c>
    </row>
    <row r="731" spans="1:13" ht="19.5" customHeight="1">
      <c r="A731" s="21">
        <f t="shared" si="11"/>
        <v>730</v>
      </c>
      <c r="B731" s="13" t="s">
        <v>8</v>
      </c>
      <c r="C731" s="13" t="s">
        <v>26</v>
      </c>
      <c r="D731" s="13" t="s">
        <v>1671</v>
      </c>
      <c r="E731" s="13"/>
      <c r="F731" s="13"/>
      <c r="G731" s="13" t="s">
        <v>12</v>
      </c>
      <c r="H731" s="22" t="str">
        <f>IFERROR(VLOOKUP(Table2[[#This Row], [Ticket]],Okey!A:B,2,0),"")</f>
        <v>ok</v>
      </c>
      <c r="I731" s="13" t="s">
        <v>276</v>
      </c>
      <c r="J731" s="22" t="e">
        <f>VLOOKUP(Table2[[#This Row], [Author]],People!A:B,2,0)</f>
        <v>#N/A</v>
      </c>
      <c r="K731" s="13"/>
      <c r="L731" s="13"/>
      <c r="M731" s="23" t="s">
        <v>661</v>
      </c>
    </row>
    <row r="732" spans="1:13" ht="19.5" customHeight="1">
      <c r="A732" s="18">
        <f t="shared" si="11"/>
        <v>731</v>
      </c>
      <c r="B732" s="11" t="s">
        <v>8</v>
      </c>
      <c r="C732" s="11" t="s">
        <v>27</v>
      </c>
      <c r="D732" s="11" t="s">
        <v>1672</v>
      </c>
      <c r="E732" s="11"/>
      <c r="F732" s="11" t="s">
        <v>1352</v>
      </c>
      <c r="G732" s="11" t="s">
        <v>13</v>
      </c>
      <c r="H732" s="19" t="str">
        <f>IFERROR(VLOOKUP(Table2[[#This Row], [Ticket]],Okey!A:B,2,0),"")</f>
        <v>ok</v>
      </c>
      <c r="I732" s="11" t="s">
        <v>276</v>
      </c>
      <c r="J732" s="19" t="e">
        <f>VLOOKUP(Table2[[#This Row], [Author]],People!A:B,2,0)</f>
        <v>#N/A</v>
      </c>
      <c r="K732" s="11"/>
      <c r="L732" s="11"/>
      <c r="M732" s="20" t="s">
        <v>277</v>
      </c>
    </row>
    <row r="733" spans="1:13" ht="19.5" customHeight="1">
      <c r="A733" s="21">
        <f t="shared" si="11"/>
        <v>732</v>
      </c>
      <c r="B733" s="13" t="s">
        <v>8</v>
      </c>
      <c r="C733" s="13" t="s">
        <v>27</v>
      </c>
      <c r="D733" s="13" t="s">
        <v>1673</v>
      </c>
      <c r="E733" s="13"/>
      <c r="F733" s="13" t="s">
        <v>1352</v>
      </c>
      <c r="G733" s="13" t="s">
        <v>13</v>
      </c>
      <c r="H733" s="22" t="str">
        <f>IFERROR(VLOOKUP(Table2[[#This Row], [Ticket]],Okey!A:B,2,0),"")</f>
        <v>ok</v>
      </c>
      <c r="I733" s="13" t="s">
        <v>276</v>
      </c>
      <c r="J733" s="22" t="e">
        <f>VLOOKUP(Table2[[#This Row], [Author]],People!A:B,2,0)</f>
        <v>#N/A</v>
      </c>
      <c r="K733" s="13"/>
      <c r="L733" s="13"/>
      <c r="M733" s="23" t="s">
        <v>277</v>
      </c>
    </row>
    <row r="734" spans="1:13" ht="19.5" customHeight="1">
      <c r="A734" s="18">
        <f t="shared" si="11"/>
        <v>733</v>
      </c>
      <c r="B734" s="11" t="s">
        <v>8</v>
      </c>
      <c r="C734" s="11" t="s">
        <v>27</v>
      </c>
      <c r="D734" s="11" t="s">
        <v>1674</v>
      </c>
      <c r="E734" s="11"/>
      <c r="F734" s="11" t="s">
        <v>1352</v>
      </c>
      <c r="G734" s="11" t="s">
        <v>13</v>
      </c>
      <c r="H734" s="19" t="str">
        <f>IFERROR(VLOOKUP(Table2[[#This Row], [Ticket]],Okey!A:B,2,0),"")</f>
        <v>ok</v>
      </c>
      <c r="I734" s="11" t="s">
        <v>276</v>
      </c>
      <c r="J734" s="19" t="e">
        <f>VLOOKUP(Table2[[#This Row], [Author]],People!A:B,2,0)</f>
        <v>#N/A</v>
      </c>
      <c r="K734" s="11"/>
      <c r="L734" s="11"/>
      <c r="M734" s="20" t="s">
        <v>277</v>
      </c>
    </row>
    <row r="735" spans="1:13" ht="19.5" customHeight="1">
      <c r="A735" s="21">
        <f t="shared" si="11"/>
        <v>734</v>
      </c>
      <c r="B735" s="13" t="s">
        <v>8</v>
      </c>
      <c r="C735" s="13" t="s">
        <v>27</v>
      </c>
      <c r="D735" s="13" t="s">
        <v>1675</v>
      </c>
      <c r="E735" s="13"/>
      <c r="F735" s="13" t="s">
        <v>1342</v>
      </c>
      <c r="G735" s="13" t="s">
        <v>13</v>
      </c>
      <c r="H735" s="22" t="str">
        <f>IFERROR(VLOOKUP(Table2[[#This Row], [Ticket]],Okey!A:B,2,0),"")</f>
        <v>ok</v>
      </c>
      <c r="I735" s="13" t="s">
        <v>276</v>
      </c>
      <c r="J735" s="22" t="e">
        <f>VLOOKUP(Table2[[#This Row], [Author]],People!A:B,2,0)</f>
        <v>#N/A</v>
      </c>
      <c r="K735" s="13"/>
      <c r="L735" s="13"/>
      <c r="M735" s="23" t="s">
        <v>277</v>
      </c>
    </row>
    <row r="736" spans="1:13" ht="19.5" customHeight="1">
      <c r="A736" s="18">
        <f t="shared" si="11"/>
        <v>735</v>
      </c>
      <c r="B736" s="11" t="s">
        <v>8</v>
      </c>
      <c r="C736" s="11" t="s">
        <v>27</v>
      </c>
      <c r="D736" s="11" t="s">
        <v>1676</v>
      </c>
      <c r="E736" s="11"/>
      <c r="F736" s="11" t="s">
        <v>1344</v>
      </c>
      <c r="G736" s="11" t="s">
        <v>13</v>
      </c>
      <c r="H736" s="19" t="str">
        <f>IFERROR(VLOOKUP(Table2[[#This Row], [Ticket]],Okey!A:B,2,0),"")</f>
        <v>ok</v>
      </c>
      <c r="I736" s="11" t="s">
        <v>276</v>
      </c>
      <c r="J736" s="19" t="e">
        <f>VLOOKUP(Table2[[#This Row], [Author]],People!A:B,2,0)</f>
        <v>#N/A</v>
      </c>
      <c r="K736" s="11"/>
      <c r="L736" s="11"/>
      <c r="M736" s="20" t="s">
        <v>277</v>
      </c>
    </row>
    <row r="737" spans="1:13" ht="19.5" customHeight="1">
      <c r="A737" s="21">
        <f t="shared" si="11"/>
        <v>736</v>
      </c>
      <c r="B737" s="13" t="s">
        <v>8</v>
      </c>
      <c r="C737" s="13" t="s">
        <v>27</v>
      </c>
      <c r="D737" s="13" t="s">
        <v>1677</v>
      </c>
      <c r="E737" s="13"/>
      <c r="F737" s="13" t="s">
        <v>1342</v>
      </c>
      <c r="G737" s="13" t="s">
        <v>13</v>
      </c>
      <c r="H737" s="22" t="str">
        <f>IFERROR(VLOOKUP(Table2[[#This Row], [Ticket]],Okey!A:B,2,0),"")</f>
        <v>ok</v>
      </c>
      <c r="I737" s="13" t="s">
        <v>276</v>
      </c>
      <c r="J737" s="22" t="e">
        <f>VLOOKUP(Table2[[#This Row], [Author]],People!A:B,2,0)</f>
        <v>#N/A</v>
      </c>
      <c r="K737" s="13"/>
      <c r="L737" s="13"/>
      <c r="M737" s="23" t="s">
        <v>277</v>
      </c>
    </row>
    <row r="738" spans="1:13" ht="19.5" customHeight="1">
      <c r="A738" s="18">
        <f t="shared" si="11"/>
        <v>737</v>
      </c>
      <c r="B738" s="11" t="s">
        <v>8</v>
      </c>
      <c r="C738" s="11" t="s">
        <v>27</v>
      </c>
      <c r="D738" s="11" t="s">
        <v>1678</v>
      </c>
      <c r="E738" s="11"/>
      <c r="F738" s="11" t="s">
        <v>1344</v>
      </c>
      <c r="G738" s="11" t="s">
        <v>13</v>
      </c>
      <c r="H738" s="19" t="str">
        <f>IFERROR(VLOOKUP(Table2[[#This Row], [Ticket]],Okey!A:B,2,0),"")</f>
        <v>ok</v>
      </c>
      <c r="I738" s="11" t="s">
        <v>276</v>
      </c>
      <c r="J738" s="19" t="e">
        <f>VLOOKUP(Table2[[#This Row], [Author]],People!A:B,2,0)</f>
        <v>#N/A</v>
      </c>
      <c r="K738" s="11"/>
      <c r="L738" s="11"/>
      <c r="M738" s="20" t="s">
        <v>277</v>
      </c>
    </row>
    <row r="739" spans="1:13" ht="19.5" customHeight="1">
      <c r="A739" s="21">
        <f t="shared" si="11"/>
        <v>738</v>
      </c>
      <c r="B739" s="13" t="s">
        <v>8</v>
      </c>
      <c r="C739" s="13" t="s">
        <v>27</v>
      </c>
      <c r="D739" s="13" t="s">
        <v>1679</v>
      </c>
      <c r="E739" s="13"/>
      <c r="F739" s="13" t="s">
        <v>1352</v>
      </c>
      <c r="G739" s="13" t="s">
        <v>13</v>
      </c>
      <c r="H739" s="22" t="str">
        <f>IFERROR(VLOOKUP(Table2[[#This Row], [Ticket]],Okey!A:B,2,0),"")</f>
        <v>ok</v>
      </c>
      <c r="I739" s="13" t="s">
        <v>276</v>
      </c>
      <c r="J739" s="22" t="e">
        <f>VLOOKUP(Table2[[#This Row], [Author]],People!A:B,2,0)</f>
        <v>#N/A</v>
      </c>
      <c r="K739" s="13"/>
      <c r="L739" s="13"/>
      <c r="M739" s="23" t="s">
        <v>277</v>
      </c>
    </row>
    <row r="740" spans="1:13" ht="19.5" customHeight="1">
      <c r="A740" s="18">
        <f t="shared" si="11"/>
        <v>739</v>
      </c>
      <c r="B740" s="11" t="s">
        <v>8</v>
      </c>
      <c r="C740" s="11" t="s">
        <v>27</v>
      </c>
      <c r="D740" s="11" t="s">
        <v>1680</v>
      </c>
      <c r="E740" s="11"/>
      <c r="F740" s="11" t="s">
        <v>1344</v>
      </c>
      <c r="G740" s="11" t="s">
        <v>13</v>
      </c>
      <c r="H740" s="19" t="str">
        <f>IFERROR(VLOOKUP(Table2[[#This Row], [Ticket]],Okey!A:B,2,0),"")</f>
        <v>ok</v>
      </c>
      <c r="I740" s="11" t="s">
        <v>276</v>
      </c>
      <c r="J740" s="19" t="e">
        <f>VLOOKUP(Table2[[#This Row], [Author]],People!A:B,2,0)</f>
        <v>#N/A</v>
      </c>
      <c r="K740" s="11"/>
      <c r="L740" s="11"/>
      <c r="M740" s="20" t="s">
        <v>277</v>
      </c>
    </row>
    <row r="741" spans="1:13" ht="19.5" customHeight="1">
      <c r="A741" s="21">
        <f t="shared" si="11"/>
        <v>740</v>
      </c>
      <c r="B741" s="13" t="s">
        <v>8</v>
      </c>
      <c r="C741" s="13" t="s">
        <v>27</v>
      </c>
      <c r="D741" s="13" t="s">
        <v>1681</v>
      </c>
      <c r="E741" s="13"/>
      <c r="F741" s="13" t="s">
        <v>1352</v>
      </c>
      <c r="G741" s="13" t="s">
        <v>13</v>
      </c>
      <c r="H741" s="22" t="str">
        <f>IFERROR(VLOOKUP(Table2[[#This Row], [Ticket]],Okey!A:B,2,0),"")</f>
        <v>ok</v>
      </c>
      <c r="I741" s="13" t="s">
        <v>276</v>
      </c>
      <c r="J741" s="22" t="e">
        <f>VLOOKUP(Table2[[#This Row], [Author]],People!A:B,2,0)</f>
        <v>#N/A</v>
      </c>
      <c r="K741" s="13"/>
      <c r="L741" s="13"/>
      <c r="M741" s="23" t="s">
        <v>277</v>
      </c>
    </row>
    <row r="742" spans="1:13" ht="19.5" customHeight="1">
      <c r="A742" s="18">
        <f t="shared" si="11"/>
        <v>741</v>
      </c>
      <c r="B742" s="11" t="s">
        <v>8</v>
      </c>
      <c r="C742" s="11" t="s">
        <v>28</v>
      </c>
      <c r="D742" s="11" t="s">
        <v>1682</v>
      </c>
      <c r="E742" s="11" t="s">
        <v>1683</v>
      </c>
      <c r="F742" s="11" t="s">
        <v>1684</v>
      </c>
      <c r="G742" s="11" t="s">
        <v>14</v>
      </c>
      <c r="H742" s="19" t="str">
        <f>IFERROR(VLOOKUP(Table2[[#This Row], [Ticket]],Okey!A:B,2,0),"")</f>
        <v>ok</v>
      </c>
      <c r="I742" s="11" t="s">
        <v>276</v>
      </c>
      <c r="J742" s="19" t="e">
        <f>VLOOKUP(Table2[[#This Row], [Author]],People!A:B,2,0)</f>
        <v>#N/A</v>
      </c>
      <c r="K742" s="11"/>
      <c r="L742" s="11"/>
      <c r="M742" s="20" t="s">
        <v>1230</v>
      </c>
    </row>
    <row r="743" spans="1:13" ht="19.5" customHeight="1">
      <c r="A743" s="21">
        <f t="shared" si="11"/>
        <v>742</v>
      </c>
      <c r="B743" s="13" t="s">
        <v>8</v>
      </c>
      <c r="C743" s="13" t="s">
        <v>28</v>
      </c>
      <c r="D743" s="13" t="s">
        <v>1685</v>
      </c>
      <c r="E743" s="13"/>
      <c r="F743" s="13" t="s">
        <v>1682</v>
      </c>
      <c r="G743" s="13" t="s">
        <v>14</v>
      </c>
      <c r="H743" s="22" t="str">
        <f>IFERROR(VLOOKUP(Table2[[#This Row], [Ticket]],Okey!A:B,2,0),"")</f>
        <v>ok</v>
      </c>
      <c r="I743" s="13" t="s">
        <v>276</v>
      </c>
      <c r="J743" s="22" t="e">
        <f>VLOOKUP(Table2[[#This Row], [Author]],People!A:B,2,0)</f>
        <v>#N/A</v>
      </c>
      <c r="K743" s="13"/>
      <c r="L743" s="13"/>
      <c r="M743" s="23" t="s">
        <v>1230</v>
      </c>
    </row>
    <row r="744" spans="1:13" ht="19.5" customHeight="1">
      <c r="A744" s="18">
        <f t="shared" si="11"/>
        <v>743</v>
      </c>
      <c r="B744" s="11" t="s">
        <v>8</v>
      </c>
      <c r="C744" s="11" t="s">
        <v>29</v>
      </c>
      <c r="D744" s="11" t="s">
        <v>1533</v>
      </c>
      <c r="E744" s="11"/>
      <c r="F744" s="11"/>
      <c r="G744" s="11" t="s">
        <v>12</v>
      </c>
      <c r="H744" s="19" t="str">
        <f>IFERROR(VLOOKUP(Table2[[#This Row], [Ticket]],Okey!A:B,2,0),"")</f>
        <v>ok</v>
      </c>
      <c r="I744" s="11" t="s">
        <v>276</v>
      </c>
      <c r="J744" s="19" t="e">
        <f>VLOOKUP(Table2[[#This Row], [Author]],People!A:B,2,0)</f>
        <v>#N/A</v>
      </c>
      <c r="K744" s="11"/>
      <c r="L744" s="11"/>
      <c r="M744" s="20" t="s">
        <v>1230</v>
      </c>
    </row>
    <row r="745" spans="1:13" ht="19.5" customHeight="1">
      <c r="A745" s="21">
        <f t="shared" si="11"/>
        <v>744</v>
      </c>
      <c r="B745" s="13" t="s">
        <v>8</v>
      </c>
      <c r="C745" s="26" t="s">
        <v>30</v>
      </c>
      <c r="D745" s="13" t="s">
        <v>1686</v>
      </c>
      <c r="E745" s="13" t="s">
        <v>1687</v>
      </c>
      <c r="F745" s="13" t="s">
        <v>1688</v>
      </c>
      <c r="G745" s="13" t="s">
        <v>14</v>
      </c>
      <c r="H745" s="22" t="str">
        <f>IFERROR(VLOOKUP(Table2[[#This Row], [Ticket]],Okey!A:B,2,0),"")</f>
        <v>ok</v>
      </c>
      <c r="I745" s="13" t="s">
        <v>276</v>
      </c>
      <c r="J745" s="22" t="e">
        <f>VLOOKUP(Table2[[#This Row], [Author]],People!A:B,2,0)</f>
        <v>#N/A</v>
      </c>
      <c r="K745" s="13"/>
      <c r="L745" s="13"/>
      <c r="M745" s="23" t="s">
        <v>1689</v>
      </c>
    </row>
    <row r="746" spans="1:13" ht="19.5" customHeight="1">
      <c r="A746" s="18">
        <f t="shared" si="11"/>
        <v>745</v>
      </c>
      <c r="B746" s="11" t="s">
        <v>8</v>
      </c>
      <c r="C746" s="27" t="s">
        <v>30</v>
      </c>
      <c r="D746" s="11" t="s">
        <v>1690</v>
      </c>
      <c r="E746" s="11" t="s">
        <v>1691</v>
      </c>
      <c r="F746" s="11" t="s">
        <v>1686</v>
      </c>
      <c r="G746" s="11" t="s">
        <v>14</v>
      </c>
      <c r="H746" s="19" t="str">
        <f>IFERROR(VLOOKUP(Table2[[#This Row], [Ticket]],Okey!A:B,2,0),"")</f>
        <v>ok</v>
      </c>
      <c r="I746" s="11" t="s">
        <v>276</v>
      </c>
      <c r="J746" s="19" t="e">
        <f>VLOOKUP(Table2[[#This Row], [Author]],People!A:B,2,0)</f>
        <v>#N/A</v>
      </c>
      <c r="K746" s="11"/>
      <c r="L746" s="11"/>
      <c r="M746" s="20" t="s">
        <v>1689</v>
      </c>
    </row>
    <row r="747" spans="1:13" ht="19.5" customHeight="1">
      <c r="A747" s="21">
        <f t="shared" si="11"/>
        <v>746</v>
      </c>
      <c r="B747" s="13" t="s">
        <v>8</v>
      </c>
      <c r="C747" s="26" t="s">
        <v>30</v>
      </c>
      <c r="D747" s="13" t="s">
        <v>1692</v>
      </c>
      <c r="E747" s="13" t="s">
        <v>1693</v>
      </c>
      <c r="F747" s="13" t="s">
        <v>1686</v>
      </c>
      <c r="G747" s="13" t="s">
        <v>14</v>
      </c>
      <c r="H747" s="22" t="str">
        <f>IFERROR(VLOOKUP(Table2[[#This Row], [Ticket]],Okey!A:B,2,0),"")</f>
        <v>ok</v>
      </c>
      <c r="I747" s="13" t="s">
        <v>276</v>
      </c>
      <c r="J747" s="22" t="e">
        <f>VLOOKUP(Table2[[#This Row], [Author]],People!A:B,2,0)</f>
        <v>#N/A</v>
      </c>
      <c r="K747" s="13"/>
      <c r="L747" s="13"/>
      <c r="M747" s="23" t="s">
        <v>1689</v>
      </c>
    </row>
    <row r="748" spans="1:13" ht="19.5" customHeight="1">
      <c r="A748" s="18">
        <f t="shared" si="11"/>
        <v>747</v>
      </c>
      <c r="B748" s="11" t="s">
        <v>8</v>
      </c>
      <c r="C748" s="11" t="s">
        <v>58</v>
      </c>
      <c r="D748" s="11" t="s">
        <v>359</v>
      </c>
      <c r="E748" s="11" t="s">
        <v>1694</v>
      </c>
      <c r="F748" s="11"/>
      <c r="G748" s="11" t="s">
        <v>15</v>
      </c>
      <c r="H748" s="19" t="str">
        <f>IFERROR(VLOOKUP(Table2[[#This Row], [Ticket]],Okey!A:B,2,0),"")</f>
        <v>ok</v>
      </c>
      <c r="I748" s="11" t="s">
        <v>276</v>
      </c>
      <c r="J748" s="19" t="e">
        <f>VLOOKUP(Table2[[#This Row], [Author]],People!A:B,2,0)</f>
        <v>#N/A</v>
      </c>
      <c r="K748" s="11"/>
      <c r="L748" s="11"/>
      <c r="M748" s="20" t="s">
        <v>344</v>
      </c>
    </row>
    <row r="749" spans="1:13" ht="19.5" customHeight="1">
      <c r="A749" s="21">
        <f t="shared" si="11"/>
        <v>748</v>
      </c>
      <c r="B749" s="13" t="s">
        <v>8</v>
      </c>
      <c r="C749" s="13" t="s">
        <v>59</v>
      </c>
      <c r="D749" s="13" t="s">
        <v>1695</v>
      </c>
      <c r="E749" s="13" t="s">
        <v>1696</v>
      </c>
      <c r="F749" s="13"/>
      <c r="G749" s="13" t="s">
        <v>15</v>
      </c>
      <c r="H749" s="22" t="str">
        <f>IFERROR(VLOOKUP(Table2[[#This Row], [Ticket]],Okey!A:B,2,0),"")</f>
        <v>ok</v>
      </c>
      <c r="I749" s="13" t="s">
        <v>276</v>
      </c>
      <c r="J749" s="22" t="e">
        <f>VLOOKUP(Table2[[#This Row], [Author]],People!A:B,2,0)</f>
        <v>#N/A</v>
      </c>
      <c r="K749" s="13"/>
      <c r="L749" s="13"/>
      <c r="M749" s="23" t="s">
        <v>344</v>
      </c>
    </row>
    <row r="750" spans="1:13" ht="19.5" customHeight="1">
      <c r="A750" s="18">
        <f t="shared" si="11"/>
        <v>749</v>
      </c>
      <c r="B750" s="11" t="s">
        <v>8</v>
      </c>
      <c r="C750" s="11" t="s">
        <v>59</v>
      </c>
      <c r="D750" s="11" t="s">
        <v>1697</v>
      </c>
      <c r="E750" s="11" t="s">
        <v>1698</v>
      </c>
      <c r="F750" s="11"/>
      <c r="G750" s="11" t="s">
        <v>15</v>
      </c>
      <c r="H750" s="19" t="str">
        <f>IFERROR(VLOOKUP(Table2[[#This Row], [Ticket]],Okey!A:B,2,0),"")</f>
        <v>ok</v>
      </c>
      <c r="I750" s="11" t="s">
        <v>276</v>
      </c>
      <c r="J750" s="19" t="e">
        <f>VLOOKUP(Table2[[#This Row], [Author]],People!A:B,2,0)</f>
        <v>#N/A</v>
      </c>
      <c r="K750" s="11"/>
      <c r="L750" s="11"/>
      <c r="M750" s="20" t="s">
        <v>344</v>
      </c>
    </row>
    <row r="751" spans="1:13" ht="19.5" customHeight="1">
      <c r="A751" s="21">
        <f t="shared" si="11"/>
        <v>750</v>
      </c>
      <c r="B751" s="13" t="s">
        <v>8</v>
      </c>
      <c r="C751" s="13" t="s">
        <v>59</v>
      </c>
      <c r="D751" s="13" t="s">
        <v>334</v>
      </c>
      <c r="E751" s="13" t="s">
        <v>341</v>
      </c>
      <c r="F751" s="13"/>
      <c r="G751" s="13" t="s">
        <v>15</v>
      </c>
      <c r="H751" s="22" t="str">
        <f>IFERROR(VLOOKUP(Table2[[#This Row], [Ticket]],Okey!A:B,2,0),"")</f>
        <v>ok</v>
      </c>
      <c r="I751" s="13" t="s">
        <v>276</v>
      </c>
      <c r="J751" s="22" t="e">
        <f>VLOOKUP(Table2[[#This Row], [Author]],People!A:B,2,0)</f>
        <v>#N/A</v>
      </c>
      <c r="K751" s="13"/>
      <c r="L751" s="13"/>
      <c r="M751" s="23" t="s">
        <v>344</v>
      </c>
    </row>
    <row r="752" spans="1:13" ht="19.5" customHeight="1">
      <c r="A752" s="18">
        <f t="shared" si="11"/>
        <v>751</v>
      </c>
      <c r="B752" s="11" t="s">
        <v>8</v>
      </c>
      <c r="C752" s="11" t="s">
        <v>57</v>
      </c>
      <c r="D752" s="11" t="s">
        <v>647</v>
      </c>
      <c r="E752" s="11"/>
      <c r="F752" s="11" t="s">
        <v>645</v>
      </c>
      <c r="G752" s="11" t="s">
        <v>13</v>
      </c>
      <c r="H752" s="19" t="str">
        <f>IFERROR(VLOOKUP(Table2[[#This Row], [Ticket]],Okey!A:B,2,0),"")</f>
        <v>ok</v>
      </c>
      <c r="I752" s="11" t="s">
        <v>276</v>
      </c>
      <c r="J752" s="19" t="e">
        <f>VLOOKUP(Table2[[#This Row], [Author]],People!A:B,2,0)</f>
        <v>#N/A</v>
      </c>
      <c r="K752" s="11"/>
      <c r="L752" s="11"/>
      <c r="M752" s="20" t="s">
        <v>344</v>
      </c>
    </row>
    <row r="753" spans="1:13" ht="19.5" customHeight="1">
      <c r="A753" s="21">
        <f t="shared" si="11"/>
        <v>752</v>
      </c>
      <c r="B753" s="13" t="s">
        <v>8</v>
      </c>
      <c r="C753" s="13" t="s">
        <v>57</v>
      </c>
      <c r="D753" s="13" t="s">
        <v>649</v>
      </c>
      <c r="E753" s="13"/>
      <c r="F753" s="13" t="s">
        <v>647</v>
      </c>
      <c r="G753" s="13" t="s">
        <v>13</v>
      </c>
      <c r="H753" s="22" t="str">
        <f>IFERROR(VLOOKUP(Table2[[#This Row], [Ticket]],Okey!A:B,2,0),"")</f>
        <v>ok</v>
      </c>
      <c r="I753" s="13" t="s">
        <v>276</v>
      </c>
      <c r="J753" s="22" t="e">
        <f>VLOOKUP(Table2[[#This Row], [Author]],People!A:B,2,0)</f>
        <v>#N/A</v>
      </c>
      <c r="K753" s="13"/>
      <c r="L753" s="13"/>
      <c r="M753" s="23" t="s">
        <v>344</v>
      </c>
    </row>
    <row r="754" spans="1:13" ht="19.5" customHeight="1">
      <c r="A754" s="18">
        <f t="shared" si="11"/>
        <v>753</v>
      </c>
      <c r="B754" s="11" t="s">
        <v>8</v>
      </c>
      <c r="C754" s="11" t="s">
        <v>57</v>
      </c>
      <c r="D754" s="11" t="s">
        <v>653</v>
      </c>
      <c r="E754" s="11"/>
      <c r="F754" s="11" t="s">
        <v>647</v>
      </c>
      <c r="G754" s="11" t="s">
        <v>13</v>
      </c>
      <c r="H754" s="19" t="str">
        <f>IFERROR(VLOOKUP(Table2[[#This Row], [Ticket]],Okey!A:B,2,0),"")</f>
        <v>ok</v>
      </c>
      <c r="I754" s="11" t="s">
        <v>276</v>
      </c>
      <c r="J754" s="19" t="e">
        <f>VLOOKUP(Table2[[#This Row], [Author]],People!A:B,2,0)</f>
        <v>#N/A</v>
      </c>
      <c r="K754" s="11"/>
      <c r="L754" s="11"/>
      <c r="M754" s="20" t="s">
        <v>344</v>
      </c>
    </row>
    <row r="755" spans="1:13" ht="19.5" customHeight="1">
      <c r="A755" s="21">
        <f t="shared" si="11"/>
        <v>754</v>
      </c>
      <c r="B755" s="13" t="s">
        <v>8</v>
      </c>
      <c r="C755" s="13" t="s">
        <v>57</v>
      </c>
      <c r="D755" s="13" t="s">
        <v>1699</v>
      </c>
      <c r="E755" s="13"/>
      <c r="F755" s="13" t="s">
        <v>647</v>
      </c>
      <c r="G755" s="13" t="s">
        <v>13</v>
      </c>
      <c r="H755" s="22" t="str">
        <f>IFERROR(VLOOKUP(Table2[[#This Row], [Ticket]],Okey!A:B,2,0),"")</f>
        <v>ok</v>
      </c>
      <c r="I755" s="13" t="s">
        <v>276</v>
      </c>
      <c r="J755" s="22" t="e">
        <f>VLOOKUP(Table2[[#This Row], [Author]],People!A:B,2,0)</f>
        <v>#N/A</v>
      </c>
      <c r="K755" s="13"/>
      <c r="L755" s="13"/>
      <c r="M755" s="23" t="s">
        <v>344</v>
      </c>
    </row>
    <row r="756" spans="1:13" ht="19.5" customHeight="1">
      <c r="A756" s="18">
        <f t="shared" si="11"/>
        <v>755</v>
      </c>
      <c r="B756" s="11" t="s">
        <v>8</v>
      </c>
      <c r="C756" s="11" t="s">
        <v>57</v>
      </c>
      <c r="D756" s="11" t="s">
        <v>651</v>
      </c>
      <c r="E756" s="11"/>
      <c r="F756" s="11" t="s">
        <v>649</v>
      </c>
      <c r="G756" s="11" t="s">
        <v>13</v>
      </c>
      <c r="H756" s="19" t="str">
        <f>IFERROR(VLOOKUP(Table2[[#This Row], [Ticket]],Okey!A:B,2,0),"")</f>
        <v>ok</v>
      </c>
      <c r="I756" s="11" t="s">
        <v>276</v>
      </c>
      <c r="J756" s="19" t="e">
        <f>VLOOKUP(Table2[[#This Row], [Author]],People!A:B,2,0)</f>
        <v>#N/A</v>
      </c>
      <c r="K756" s="11"/>
      <c r="L756" s="11"/>
      <c r="M756" s="20" t="s">
        <v>344</v>
      </c>
    </row>
    <row r="757" spans="1:13" ht="19.5" customHeight="1">
      <c r="A757" s="21">
        <f t="shared" si="11"/>
        <v>756</v>
      </c>
      <c r="B757" s="13" t="s">
        <v>8</v>
      </c>
      <c r="C757" s="13" t="s">
        <v>57</v>
      </c>
      <c r="D757" s="13" t="s">
        <v>1700</v>
      </c>
      <c r="E757" s="13"/>
      <c r="F757" s="13" t="s">
        <v>653</v>
      </c>
      <c r="G757" s="13" t="s">
        <v>13</v>
      </c>
      <c r="H757" s="22" t="str">
        <f>IFERROR(VLOOKUP(Table2[[#This Row], [Ticket]],Okey!A:B,2,0),"")</f>
        <v>ok</v>
      </c>
      <c r="I757" s="13" t="s">
        <v>276</v>
      </c>
      <c r="J757" s="22" t="e">
        <f>VLOOKUP(Table2[[#This Row], [Author]],People!A:B,2,0)</f>
        <v>#N/A</v>
      </c>
      <c r="K757" s="13"/>
      <c r="L757" s="13"/>
      <c r="M757" s="23" t="s">
        <v>344</v>
      </c>
    </row>
    <row r="758" spans="1:13" ht="19.5" customHeight="1">
      <c r="A758" s="18">
        <f t="shared" si="11"/>
        <v>757</v>
      </c>
      <c r="B758" s="11" t="s">
        <v>8</v>
      </c>
      <c r="C758" s="11" t="s">
        <v>57</v>
      </c>
      <c r="D758" s="11" t="s">
        <v>1701</v>
      </c>
      <c r="E758" s="11"/>
      <c r="F758" s="11" t="s">
        <v>1699</v>
      </c>
      <c r="G758" s="11" t="s">
        <v>13</v>
      </c>
      <c r="H758" s="19" t="str">
        <f>IFERROR(VLOOKUP(Table2[[#This Row], [Ticket]],Okey!A:B,2,0),"")</f>
        <v>ok</v>
      </c>
      <c r="I758" s="11" t="s">
        <v>276</v>
      </c>
      <c r="J758" s="19" t="e">
        <f>VLOOKUP(Table2[[#This Row], [Author]],People!A:B,2,0)</f>
        <v>#N/A</v>
      </c>
      <c r="K758" s="11"/>
      <c r="L758" s="11"/>
      <c r="M758" s="20" t="s">
        <v>344</v>
      </c>
    </row>
    <row r="759" spans="1:13" ht="19.5" customHeight="1">
      <c r="A759" s="21">
        <f t="shared" si="11"/>
        <v>758</v>
      </c>
      <c r="B759" s="13" t="s">
        <v>8</v>
      </c>
      <c r="C759" s="13" t="s">
        <v>57</v>
      </c>
      <c r="D759" s="13" t="s">
        <v>463</v>
      </c>
      <c r="E759" s="13"/>
      <c r="F759" s="13" t="s">
        <v>1699</v>
      </c>
      <c r="G759" s="13" t="s">
        <v>13</v>
      </c>
      <c r="H759" s="22" t="str">
        <f>IFERROR(VLOOKUP(Table2[[#This Row], [Ticket]],Okey!A:B,2,0),"")</f>
        <v>ok</v>
      </c>
      <c r="I759" s="13" t="s">
        <v>276</v>
      </c>
      <c r="J759" s="22" t="e">
        <f>VLOOKUP(Table2[[#This Row], [Author]],People!A:B,2,0)</f>
        <v>#N/A</v>
      </c>
      <c r="K759" s="13"/>
      <c r="L759" s="13"/>
      <c r="M759" s="23" t="s">
        <v>344</v>
      </c>
    </row>
    <row r="760" spans="1:13" ht="19.5" customHeight="1">
      <c r="A760" s="18">
        <f t="shared" si="11"/>
        <v>759</v>
      </c>
      <c r="B760" s="11" t="s">
        <v>8</v>
      </c>
      <c r="C760" s="11" t="s">
        <v>57</v>
      </c>
      <c r="D760" s="11" t="s">
        <v>1702</v>
      </c>
      <c r="E760" s="11"/>
      <c r="F760" s="11" t="s">
        <v>1701</v>
      </c>
      <c r="G760" s="11" t="s">
        <v>13</v>
      </c>
      <c r="H760" s="19" t="str">
        <f>IFERROR(VLOOKUP(Table2[[#This Row], [Ticket]],Okey!A:B,2,0),"")</f>
        <v>ok</v>
      </c>
      <c r="I760" s="11" t="s">
        <v>276</v>
      </c>
      <c r="J760" s="19" t="e">
        <f>VLOOKUP(Table2[[#This Row], [Author]],People!A:B,2,0)</f>
        <v>#N/A</v>
      </c>
      <c r="K760" s="11"/>
      <c r="L760" s="11"/>
      <c r="M760" s="20" t="s">
        <v>344</v>
      </c>
    </row>
    <row r="761" spans="1:13" ht="19.5" customHeight="1">
      <c r="A761" s="21">
        <f t="shared" si="11"/>
        <v>760</v>
      </c>
      <c r="B761" s="13" t="s">
        <v>8</v>
      </c>
      <c r="C761" s="13" t="s">
        <v>60</v>
      </c>
      <c r="D761" s="13" t="s">
        <v>1703</v>
      </c>
      <c r="E761" s="13" t="s">
        <v>1704</v>
      </c>
      <c r="F761" s="13" t="s">
        <v>1705</v>
      </c>
      <c r="G761" s="13" t="s">
        <v>14</v>
      </c>
      <c r="H761" s="22" t="str">
        <f>IFERROR(VLOOKUP(Table2[[#This Row], [Ticket]],Okey!A:B,2,0),"")</f>
        <v>ok</v>
      </c>
      <c r="I761" s="13" t="s">
        <v>276</v>
      </c>
      <c r="J761" s="22" t="e">
        <f>VLOOKUP(Table2[[#This Row], [Author]],People!A:B,2,0)</f>
        <v>#N/A</v>
      </c>
      <c r="K761" s="13"/>
      <c r="L761" s="13"/>
      <c r="M761" s="23" t="s">
        <v>1706</v>
      </c>
    </row>
    <row r="762" spans="1:13" ht="19.5" customHeight="1">
      <c r="A762" s="18">
        <f t="shared" si="11"/>
        <v>761</v>
      </c>
      <c r="B762" s="11" t="s">
        <v>8</v>
      </c>
      <c r="C762" s="11" t="s">
        <v>60</v>
      </c>
      <c r="D762" s="11" t="s">
        <v>1707</v>
      </c>
      <c r="E762" s="11" t="s">
        <v>1708</v>
      </c>
      <c r="F762" s="11" t="s">
        <v>1703</v>
      </c>
      <c r="G762" s="11" t="s">
        <v>14</v>
      </c>
      <c r="H762" s="19" t="str">
        <f>IFERROR(VLOOKUP(Table2[[#This Row], [Ticket]],Okey!A:B,2,0),"")</f>
        <v>ok</v>
      </c>
      <c r="I762" s="11" t="s">
        <v>276</v>
      </c>
      <c r="J762" s="19" t="e">
        <f>VLOOKUP(Table2[[#This Row], [Author]],People!A:B,2,0)</f>
        <v>#N/A</v>
      </c>
      <c r="K762" s="11"/>
      <c r="L762" s="11"/>
      <c r="M762" s="20" t="s">
        <v>1706</v>
      </c>
    </row>
    <row r="763" spans="1:13" ht="19.5" customHeight="1">
      <c r="A763" s="21">
        <f t="shared" si="11"/>
        <v>762</v>
      </c>
      <c r="B763" s="13" t="s">
        <v>8</v>
      </c>
      <c r="C763" s="13" t="s">
        <v>60</v>
      </c>
      <c r="D763" s="13" t="s">
        <v>1709</v>
      </c>
      <c r="E763" s="13" t="s">
        <v>1710</v>
      </c>
      <c r="F763" s="13" t="s">
        <v>1703</v>
      </c>
      <c r="G763" s="13" t="s">
        <v>14</v>
      </c>
      <c r="H763" s="22" t="str">
        <f>IFERROR(VLOOKUP(Table2[[#This Row], [Ticket]],Okey!A:B,2,0),"")</f>
        <v>ok</v>
      </c>
      <c r="I763" s="13" t="s">
        <v>276</v>
      </c>
      <c r="J763" s="22" t="e">
        <f>VLOOKUP(Table2[[#This Row], [Author]],People!A:B,2,0)</f>
        <v>#N/A</v>
      </c>
      <c r="K763" s="13"/>
      <c r="L763" s="13"/>
      <c r="M763" s="23" t="s">
        <v>1706</v>
      </c>
    </row>
    <row r="764" spans="1:13" ht="19.5" customHeight="1">
      <c r="A764" s="18">
        <f t="shared" si="11"/>
        <v>763</v>
      </c>
      <c r="B764" s="11" t="s">
        <v>8</v>
      </c>
      <c r="C764" s="11" t="s">
        <v>61</v>
      </c>
      <c r="D764" s="11" t="s">
        <v>1711</v>
      </c>
      <c r="E764" s="11"/>
      <c r="F764" s="11"/>
      <c r="G764" s="11" t="s">
        <v>12</v>
      </c>
      <c r="H764" s="19" t="str">
        <f>IFERROR(VLOOKUP(Table2[[#This Row], [Ticket]],Okey!A:B,2,0),"")</f>
        <v>ok</v>
      </c>
      <c r="I764" s="11" t="s">
        <v>276</v>
      </c>
      <c r="J764" s="19" t="e">
        <f>VLOOKUP(Table2[[#This Row], [Author]],People!A:B,2,0)</f>
        <v>#N/A</v>
      </c>
      <c r="K764" s="11"/>
      <c r="L764" s="11"/>
      <c r="M764" s="20" t="s">
        <v>1005</v>
      </c>
    </row>
    <row r="765" spans="1:13" ht="19.5" customHeight="1">
      <c r="A765" s="21">
        <f t="shared" si="11"/>
        <v>764</v>
      </c>
      <c r="B765" s="13" t="s">
        <v>8</v>
      </c>
      <c r="C765" s="13" t="s">
        <v>61</v>
      </c>
      <c r="D765" s="13" t="s">
        <v>1712</v>
      </c>
      <c r="E765" s="13"/>
      <c r="F765" s="13" t="s">
        <v>1713</v>
      </c>
      <c r="G765" s="13" t="s">
        <v>13</v>
      </c>
      <c r="H765" s="22" t="str">
        <f>IFERROR(VLOOKUP(Table2[[#This Row], [Ticket]],Okey!A:B,2,0),"")</f>
        <v>ok</v>
      </c>
      <c r="I765" s="13" t="s">
        <v>276</v>
      </c>
      <c r="J765" s="22" t="e">
        <f>VLOOKUP(Table2[[#This Row], [Author]],People!A:B,2,0)</f>
        <v>#N/A</v>
      </c>
      <c r="K765" s="13"/>
      <c r="L765" s="13"/>
      <c r="M765" s="23" t="s">
        <v>1005</v>
      </c>
    </row>
    <row r="766" spans="1:13" ht="19.5" customHeight="1">
      <c r="A766" s="18">
        <f t="shared" si="11"/>
        <v>765</v>
      </c>
      <c r="B766" s="11" t="s">
        <v>8</v>
      </c>
      <c r="C766" s="11" t="s">
        <v>61</v>
      </c>
      <c r="D766" s="11" t="s">
        <v>1714</v>
      </c>
      <c r="E766" s="11"/>
      <c r="F766" s="11" t="s">
        <v>1713</v>
      </c>
      <c r="G766" s="11" t="s">
        <v>13</v>
      </c>
      <c r="H766" s="19" t="str">
        <f>IFERROR(VLOOKUP(Table2[[#This Row], [Ticket]],Okey!A:B,2,0),"")</f>
        <v>ok</v>
      </c>
      <c r="I766" s="11" t="s">
        <v>276</v>
      </c>
      <c r="J766" s="19" t="e">
        <f>VLOOKUP(Table2[[#This Row], [Author]],People!A:B,2,0)</f>
        <v>#N/A</v>
      </c>
      <c r="K766" s="11"/>
      <c r="L766" s="11"/>
      <c r="M766" s="20" t="s">
        <v>1005</v>
      </c>
    </row>
    <row r="767" spans="1:13" ht="19.5" customHeight="1">
      <c r="A767" s="21">
        <f t="shared" si="11"/>
        <v>766</v>
      </c>
      <c r="B767" s="13" t="s">
        <v>8</v>
      </c>
      <c r="C767" s="13" t="s">
        <v>61</v>
      </c>
      <c r="D767" s="13" t="s">
        <v>1715</v>
      </c>
      <c r="E767" s="13"/>
      <c r="F767" s="13" t="s">
        <v>1713</v>
      </c>
      <c r="G767" s="13" t="s">
        <v>13</v>
      </c>
      <c r="H767" s="22" t="str">
        <f>IFERROR(VLOOKUP(Table2[[#This Row], [Ticket]],Okey!A:B,2,0),"")</f>
        <v>ok</v>
      </c>
      <c r="I767" s="13" t="s">
        <v>276</v>
      </c>
      <c r="J767" s="22" t="e">
        <f>VLOOKUP(Table2[[#This Row], [Author]],People!A:B,2,0)</f>
        <v>#N/A</v>
      </c>
      <c r="K767" s="13"/>
      <c r="L767" s="13"/>
      <c r="M767" s="23" t="s">
        <v>1005</v>
      </c>
    </row>
    <row r="768" spans="1:13" ht="19.5" customHeight="1">
      <c r="A768" s="18">
        <f t="shared" si="11"/>
        <v>767</v>
      </c>
      <c r="B768" s="11" t="s">
        <v>8</v>
      </c>
      <c r="C768" s="11" t="s">
        <v>61</v>
      </c>
      <c r="D768" s="11" t="s">
        <v>1716</v>
      </c>
      <c r="E768" s="11"/>
      <c r="F768" s="11" t="s">
        <v>1717</v>
      </c>
      <c r="G768" s="11" t="s">
        <v>13</v>
      </c>
      <c r="H768" s="19" t="str">
        <f>IFERROR(VLOOKUP(Table2[[#This Row], [Ticket]],Okey!A:B,2,0),"")</f>
        <v>ok</v>
      </c>
      <c r="I768" s="11" t="s">
        <v>276</v>
      </c>
      <c r="J768" s="19" t="e">
        <f>VLOOKUP(Table2[[#This Row], [Author]],People!A:B,2,0)</f>
        <v>#N/A</v>
      </c>
      <c r="K768" s="11"/>
      <c r="L768" s="11"/>
      <c r="M768" s="20" t="s">
        <v>1005</v>
      </c>
    </row>
    <row r="769" spans="1:13" ht="19.5" customHeight="1">
      <c r="A769" s="21">
        <f t="shared" si="11"/>
        <v>768</v>
      </c>
      <c r="B769" s="13" t="s">
        <v>8</v>
      </c>
      <c r="C769" s="13" t="s">
        <v>61</v>
      </c>
      <c r="D769" s="13" t="s">
        <v>1718</v>
      </c>
      <c r="E769" s="13"/>
      <c r="F769" s="13" t="s">
        <v>1717</v>
      </c>
      <c r="G769" s="13" t="s">
        <v>13</v>
      </c>
      <c r="H769" s="22" t="str">
        <f>IFERROR(VLOOKUP(Table2[[#This Row], [Ticket]],Okey!A:B,2,0),"")</f>
        <v>ok</v>
      </c>
      <c r="I769" s="13" t="s">
        <v>276</v>
      </c>
      <c r="J769" s="22" t="e">
        <f>VLOOKUP(Table2[[#This Row], [Author]],People!A:B,2,0)</f>
        <v>#N/A</v>
      </c>
      <c r="K769" s="13"/>
      <c r="L769" s="13"/>
      <c r="M769" s="23" t="s">
        <v>1005</v>
      </c>
    </row>
    <row r="770" spans="1:13" ht="19.5" customHeight="1">
      <c r="A770" s="18">
        <f t="shared" si="11"/>
        <v>769</v>
      </c>
      <c r="B770" s="11" t="s">
        <v>8</v>
      </c>
      <c r="C770" s="11" t="s">
        <v>61</v>
      </c>
      <c r="D770" s="11" t="s">
        <v>1719</v>
      </c>
      <c r="E770" s="11"/>
      <c r="F770" s="11" t="s">
        <v>1717</v>
      </c>
      <c r="G770" s="11" t="s">
        <v>13</v>
      </c>
      <c r="H770" s="19" t="str">
        <f>IFERROR(VLOOKUP(Table2[[#This Row], [Ticket]],Okey!A:B,2,0),"")</f>
        <v>ok</v>
      </c>
      <c r="I770" s="11" t="s">
        <v>276</v>
      </c>
      <c r="J770" s="19" t="e">
        <f>VLOOKUP(Table2[[#This Row], [Author]],People!A:B,2,0)</f>
        <v>#N/A</v>
      </c>
      <c r="K770" s="11"/>
      <c r="L770" s="11"/>
      <c r="M770" s="20" t="s">
        <v>1005</v>
      </c>
    </row>
    <row r="771" spans="1:13" ht="19.5" customHeight="1">
      <c r="A771" s="21">
        <f t="shared" ref="A771:A834" si="12">1+A770</f>
        <v>770</v>
      </c>
      <c r="B771" s="13" t="s">
        <v>8</v>
      </c>
      <c r="C771" s="13" t="s">
        <v>61</v>
      </c>
      <c r="D771" s="13" t="s">
        <v>1720</v>
      </c>
      <c r="E771" s="13"/>
      <c r="F771" s="13" t="s">
        <v>1717</v>
      </c>
      <c r="G771" s="13" t="s">
        <v>13</v>
      </c>
      <c r="H771" s="22" t="str">
        <f>IFERROR(VLOOKUP(Table2[[#This Row], [Ticket]],Okey!A:B,2,0),"")</f>
        <v>ok</v>
      </c>
      <c r="I771" s="13" t="s">
        <v>276</v>
      </c>
      <c r="J771" s="22" t="e">
        <f>VLOOKUP(Table2[[#This Row], [Author]],People!A:B,2,0)</f>
        <v>#N/A</v>
      </c>
      <c r="K771" s="13"/>
      <c r="L771" s="13"/>
      <c r="M771" s="23" t="s">
        <v>1005</v>
      </c>
    </row>
    <row r="772" spans="1:13" ht="19.5" customHeight="1">
      <c r="A772" s="18">
        <f t="shared" si="12"/>
        <v>771</v>
      </c>
      <c r="B772" s="11" t="s">
        <v>8</v>
      </c>
      <c r="C772" s="11" t="s">
        <v>61</v>
      </c>
      <c r="D772" s="11" t="s">
        <v>1721</v>
      </c>
      <c r="E772" s="11"/>
      <c r="F772" s="11" t="s">
        <v>1717</v>
      </c>
      <c r="G772" s="11" t="s">
        <v>13</v>
      </c>
      <c r="H772" s="19" t="str">
        <f>IFERROR(VLOOKUP(Table2[[#This Row], [Ticket]],Okey!A:B,2,0),"")</f>
        <v>ok</v>
      </c>
      <c r="I772" s="11" t="s">
        <v>276</v>
      </c>
      <c r="J772" s="19" t="e">
        <f>VLOOKUP(Table2[[#This Row], [Author]],People!A:B,2,0)</f>
        <v>#N/A</v>
      </c>
      <c r="K772" s="11"/>
      <c r="L772" s="11"/>
      <c r="M772" s="20" t="s">
        <v>1005</v>
      </c>
    </row>
    <row r="773" spans="1:13" ht="19.5" customHeight="1">
      <c r="A773" s="21">
        <f t="shared" si="12"/>
        <v>772</v>
      </c>
      <c r="B773" s="13" t="s">
        <v>8</v>
      </c>
      <c r="C773" s="13" t="s">
        <v>61</v>
      </c>
      <c r="D773" s="13" t="s">
        <v>1722</v>
      </c>
      <c r="E773" s="13"/>
      <c r="F773" s="13" t="s">
        <v>1717</v>
      </c>
      <c r="G773" s="13" t="s">
        <v>13</v>
      </c>
      <c r="H773" s="22" t="str">
        <f>IFERROR(VLOOKUP(Table2[[#This Row], [Ticket]],Okey!A:B,2,0),"")</f>
        <v>ok</v>
      </c>
      <c r="I773" s="13" t="s">
        <v>276</v>
      </c>
      <c r="J773" s="22" t="e">
        <f>VLOOKUP(Table2[[#This Row], [Author]],People!A:B,2,0)</f>
        <v>#N/A</v>
      </c>
      <c r="K773" s="13"/>
      <c r="L773" s="13"/>
      <c r="M773" s="23" t="s">
        <v>1005</v>
      </c>
    </row>
    <row r="774" spans="1:13" ht="19.5" customHeight="1">
      <c r="A774" s="18">
        <f t="shared" si="12"/>
        <v>773</v>
      </c>
      <c r="B774" s="11" t="s">
        <v>8</v>
      </c>
      <c r="C774" s="11" t="s">
        <v>62</v>
      </c>
      <c r="D774" s="11" t="s">
        <v>1723</v>
      </c>
      <c r="E774" s="11" t="s">
        <v>1724</v>
      </c>
      <c r="F774" s="11" t="s">
        <v>963</v>
      </c>
      <c r="G774" s="11" t="s">
        <v>14</v>
      </c>
      <c r="H774" s="19" t="str">
        <f>IFERROR(VLOOKUP(Table2[[#This Row], [Ticket]],Okey!A:B,2,0),"")</f>
        <v>ok</v>
      </c>
      <c r="I774" s="11" t="s">
        <v>276</v>
      </c>
      <c r="J774" s="19" t="e">
        <f>VLOOKUP(Table2[[#This Row], [Author]],People!A:B,2,0)</f>
        <v>#N/A</v>
      </c>
      <c r="K774" s="11"/>
      <c r="L774" s="11"/>
      <c r="M774" s="20" t="s">
        <v>960</v>
      </c>
    </row>
    <row r="775" spans="1:13" ht="19.5" customHeight="1">
      <c r="A775" s="21">
        <f t="shared" si="12"/>
        <v>774</v>
      </c>
      <c r="B775" s="13" t="s">
        <v>8</v>
      </c>
      <c r="C775" s="13" t="s">
        <v>62</v>
      </c>
      <c r="D775" s="13" t="s">
        <v>1725</v>
      </c>
      <c r="E775" s="13" t="s">
        <v>1726</v>
      </c>
      <c r="F775" s="13" t="s">
        <v>1002</v>
      </c>
      <c r="G775" s="13" t="s">
        <v>14</v>
      </c>
      <c r="H775" s="22" t="str">
        <f>IFERROR(VLOOKUP(Table2[[#This Row], [Ticket]],Okey!A:B,2,0),"")</f>
        <v>ok</v>
      </c>
      <c r="I775" s="13" t="s">
        <v>276</v>
      </c>
      <c r="J775" s="22" t="e">
        <f>VLOOKUP(Table2[[#This Row], [Author]],People!A:B,2,0)</f>
        <v>#N/A</v>
      </c>
      <c r="K775" s="13"/>
      <c r="L775" s="13"/>
      <c r="M775" s="23" t="s">
        <v>960</v>
      </c>
    </row>
    <row r="776" spans="1:13" ht="19.5" customHeight="1">
      <c r="A776" s="18">
        <f t="shared" si="12"/>
        <v>775</v>
      </c>
      <c r="B776" s="11" t="s">
        <v>8</v>
      </c>
      <c r="C776" s="11" t="s">
        <v>65</v>
      </c>
      <c r="D776" s="11" t="s">
        <v>1727</v>
      </c>
      <c r="E776" s="11" t="s">
        <v>1728</v>
      </c>
      <c r="F776" s="11" t="s">
        <v>1729</v>
      </c>
      <c r="G776" s="11" t="s">
        <v>14</v>
      </c>
      <c r="H776" s="19" t="str">
        <f>IFERROR(VLOOKUP(Table2[[#This Row], [Ticket]],Okey!A:B,2,0),"")</f>
        <v>ok</v>
      </c>
      <c r="I776" s="11" t="s">
        <v>276</v>
      </c>
      <c r="J776" s="19" t="e">
        <f>VLOOKUP(Table2[[#This Row], [Author]],People!A:B,2,0)</f>
        <v>#N/A</v>
      </c>
      <c r="K776" s="11"/>
      <c r="L776" s="11"/>
      <c r="M776" s="20" t="s">
        <v>277</v>
      </c>
    </row>
    <row r="777" spans="1:13" ht="19.5" customHeight="1">
      <c r="A777" s="21">
        <f t="shared" si="12"/>
        <v>776</v>
      </c>
      <c r="B777" s="13" t="s">
        <v>8</v>
      </c>
      <c r="C777" s="13" t="s">
        <v>65</v>
      </c>
      <c r="D777" s="13" t="s">
        <v>1730</v>
      </c>
      <c r="E777" s="13" t="s">
        <v>1731</v>
      </c>
      <c r="F777" s="13" t="s">
        <v>1385</v>
      </c>
      <c r="G777" s="13" t="s">
        <v>14</v>
      </c>
      <c r="H777" s="22" t="str">
        <f>IFERROR(VLOOKUP(Table2[[#This Row], [Ticket]],Okey!A:B,2,0),"")</f>
        <v>ok</v>
      </c>
      <c r="I777" s="13" t="s">
        <v>276</v>
      </c>
      <c r="J777" s="22" t="e">
        <f>VLOOKUP(Table2[[#This Row], [Author]],People!A:B,2,0)</f>
        <v>#N/A</v>
      </c>
      <c r="K777" s="13"/>
      <c r="L777" s="13"/>
      <c r="M777" s="23" t="s">
        <v>277</v>
      </c>
    </row>
    <row r="778" spans="1:13" ht="19.5" customHeight="1">
      <c r="A778" s="18">
        <f t="shared" si="12"/>
        <v>777</v>
      </c>
      <c r="B778" s="11" t="s">
        <v>8</v>
      </c>
      <c r="C778" s="11" t="s">
        <v>65</v>
      </c>
      <c r="D778" s="11" t="s">
        <v>1732</v>
      </c>
      <c r="E778" s="11" t="s">
        <v>1733</v>
      </c>
      <c r="F778" s="11" t="s">
        <v>1385</v>
      </c>
      <c r="G778" s="11" t="s">
        <v>14</v>
      </c>
      <c r="H778" s="19" t="str">
        <f>IFERROR(VLOOKUP(Table2[[#This Row], [Ticket]],Okey!A:B,2,0),"")</f>
        <v>ok</v>
      </c>
      <c r="I778" s="11" t="s">
        <v>276</v>
      </c>
      <c r="J778" s="19" t="e">
        <f>VLOOKUP(Table2[[#This Row], [Author]],People!A:B,2,0)</f>
        <v>#N/A</v>
      </c>
      <c r="K778" s="11"/>
      <c r="L778" s="11"/>
      <c r="M778" s="20" t="s">
        <v>277</v>
      </c>
    </row>
    <row r="779" spans="1:13" ht="19.5" customHeight="1">
      <c r="A779" s="21">
        <f t="shared" si="12"/>
        <v>778</v>
      </c>
      <c r="B779" s="13" t="s">
        <v>8</v>
      </c>
      <c r="C779" s="13" t="s">
        <v>65</v>
      </c>
      <c r="D779" s="13" t="s">
        <v>1734</v>
      </c>
      <c r="E779" s="13" t="s">
        <v>1735</v>
      </c>
      <c r="F779" s="13" t="s">
        <v>1736</v>
      </c>
      <c r="G779" s="13" t="s">
        <v>14</v>
      </c>
      <c r="H779" s="22" t="str">
        <f>IFERROR(VLOOKUP(Table2[[#This Row], [Ticket]],Okey!A:B,2,0),"")</f>
        <v>ok</v>
      </c>
      <c r="I779" s="13" t="s">
        <v>276</v>
      </c>
      <c r="J779" s="22" t="e">
        <f>VLOOKUP(Table2[[#This Row], [Author]],People!A:B,2,0)</f>
        <v>#N/A</v>
      </c>
      <c r="K779" s="13"/>
      <c r="L779" s="13"/>
      <c r="M779" s="23" t="s">
        <v>277</v>
      </c>
    </row>
    <row r="780" spans="1:13" ht="19.5" customHeight="1">
      <c r="A780" s="18">
        <f t="shared" si="12"/>
        <v>779</v>
      </c>
      <c r="B780" s="11" t="s">
        <v>8</v>
      </c>
      <c r="C780" s="11" t="s">
        <v>65</v>
      </c>
      <c r="D780" s="11" t="s">
        <v>1737</v>
      </c>
      <c r="E780" s="11" t="s">
        <v>1247</v>
      </c>
      <c r="F780" s="11" t="s">
        <v>1452</v>
      </c>
      <c r="G780" s="11" t="s">
        <v>14</v>
      </c>
      <c r="H780" s="19" t="str">
        <f>IFERROR(VLOOKUP(Table2[[#This Row], [Ticket]],Okey!A:B,2,0),"")</f>
        <v>ok</v>
      </c>
      <c r="I780" s="11" t="s">
        <v>276</v>
      </c>
      <c r="J780" s="19" t="e">
        <f>VLOOKUP(Table2[[#This Row], [Author]],People!A:B,2,0)</f>
        <v>#N/A</v>
      </c>
      <c r="K780" s="11"/>
      <c r="L780" s="11"/>
      <c r="M780" s="20" t="s">
        <v>277</v>
      </c>
    </row>
    <row r="781" spans="1:13" ht="19.5" customHeight="1">
      <c r="A781" s="21">
        <f t="shared" si="12"/>
        <v>780</v>
      </c>
      <c r="B781" s="13" t="s">
        <v>8</v>
      </c>
      <c r="C781" s="13" t="s">
        <v>65</v>
      </c>
      <c r="D781" s="13" t="s">
        <v>1738</v>
      </c>
      <c r="E781" s="13" t="s">
        <v>1739</v>
      </c>
      <c r="F781" s="13" t="s">
        <v>1288</v>
      </c>
      <c r="G781" s="13" t="s">
        <v>14</v>
      </c>
      <c r="H781" s="22" t="str">
        <f>IFERROR(VLOOKUP(Table2[[#This Row], [Ticket]],Okey!A:B,2,0),"")</f>
        <v>ok</v>
      </c>
      <c r="I781" s="13" t="s">
        <v>276</v>
      </c>
      <c r="J781" s="22" t="e">
        <f>VLOOKUP(Table2[[#This Row], [Author]],People!A:B,2,0)</f>
        <v>#N/A</v>
      </c>
      <c r="K781" s="13"/>
      <c r="L781" s="13"/>
      <c r="M781" s="23" t="s">
        <v>277</v>
      </c>
    </row>
    <row r="782" spans="1:13" ht="19.5" customHeight="1">
      <c r="A782" s="18">
        <f t="shared" si="12"/>
        <v>781</v>
      </c>
      <c r="B782" s="11" t="s">
        <v>8</v>
      </c>
      <c r="C782" s="11" t="s">
        <v>65</v>
      </c>
      <c r="D782" s="11" t="s">
        <v>1740</v>
      </c>
      <c r="E782" s="11" t="s">
        <v>1741</v>
      </c>
      <c r="F782" s="11" t="s">
        <v>1678</v>
      </c>
      <c r="G782" s="11" t="s">
        <v>14</v>
      </c>
      <c r="H782" s="19" t="str">
        <f>IFERROR(VLOOKUP(Table2[[#This Row], [Ticket]],Okey!A:B,2,0),"")</f>
        <v>ok</v>
      </c>
      <c r="I782" s="11" t="s">
        <v>276</v>
      </c>
      <c r="J782" s="19" t="e">
        <f>VLOOKUP(Table2[[#This Row], [Author]],People!A:B,2,0)</f>
        <v>#N/A</v>
      </c>
      <c r="K782" s="11"/>
      <c r="L782" s="11"/>
      <c r="M782" s="20" t="s">
        <v>277</v>
      </c>
    </row>
    <row r="783" spans="1:13" ht="19.5" customHeight="1">
      <c r="A783" s="21">
        <f t="shared" si="12"/>
        <v>782</v>
      </c>
      <c r="B783" s="13" t="s">
        <v>8</v>
      </c>
      <c r="C783" s="13" t="s">
        <v>65</v>
      </c>
      <c r="D783" s="13" t="s">
        <v>1742</v>
      </c>
      <c r="E783" s="13" t="s">
        <v>1743</v>
      </c>
      <c r="F783" s="13" t="s">
        <v>1678</v>
      </c>
      <c r="G783" s="13" t="s">
        <v>14</v>
      </c>
      <c r="H783" s="22" t="str">
        <f>IFERROR(VLOOKUP(Table2[[#This Row], [Ticket]],Okey!A:B,2,0),"")</f>
        <v>ok</v>
      </c>
      <c r="I783" s="13" t="s">
        <v>276</v>
      </c>
      <c r="J783" s="22" t="e">
        <f>VLOOKUP(Table2[[#This Row], [Author]],People!A:B,2,0)</f>
        <v>#N/A</v>
      </c>
      <c r="K783" s="13"/>
      <c r="L783" s="13"/>
      <c r="M783" s="23" t="s">
        <v>277</v>
      </c>
    </row>
    <row r="784" spans="1:13" ht="19.5" customHeight="1">
      <c r="A784" s="18">
        <f t="shared" si="12"/>
        <v>783</v>
      </c>
      <c r="B784" s="11" t="s">
        <v>8</v>
      </c>
      <c r="C784" s="11" t="s">
        <v>65</v>
      </c>
      <c r="D784" s="11" t="s">
        <v>1744</v>
      </c>
      <c r="E784" s="11" t="s">
        <v>1745</v>
      </c>
      <c r="F784" s="11" t="s">
        <v>1678</v>
      </c>
      <c r="G784" s="11" t="s">
        <v>14</v>
      </c>
      <c r="H784" s="19" t="str">
        <f>IFERROR(VLOOKUP(Table2[[#This Row], [Ticket]],Okey!A:B,2,0),"")</f>
        <v>ok</v>
      </c>
      <c r="I784" s="11" t="s">
        <v>276</v>
      </c>
      <c r="J784" s="19" t="e">
        <f>VLOOKUP(Table2[[#This Row], [Author]],People!A:B,2,0)</f>
        <v>#N/A</v>
      </c>
      <c r="K784" s="11"/>
      <c r="L784" s="11"/>
      <c r="M784" s="20" t="s">
        <v>277</v>
      </c>
    </row>
    <row r="785" spans="1:13" ht="19.5" customHeight="1">
      <c r="A785" s="21">
        <f t="shared" si="12"/>
        <v>784</v>
      </c>
      <c r="B785" s="13" t="s">
        <v>8</v>
      </c>
      <c r="C785" s="13" t="s">
        <v>65</v>
      </c>
      <c r="D785" s="13" t="s">
        <v>1746</v>
      </c>
      <c r="E785" s="13" t="s">
        <v>1747</v>
      </c>
      <c r="F785" s="13" t="s">
        <v>1678</v>
      </c>
      <c r="G785" s="13" t="s">
        <v>14</v>
      </c>
      <c r="H785" s="22" t="str">
        <f>IFERROR(VLOOKUP(Table2[[#This Row], [Ticket]],Okey!A:B,2,0),"")</f>
        <v>ok</v>
      </c>
      <c r="I785" s="13" t="s">
        <v>276</v>
      </c>
      <c r="J785" s="22" t="e">
        <f>VLOOKUP(Table2[[#This Row], [Author]],People!A:B,2,0)</f>
        <v>#N/A</v>
      </c>
      <c r="K785" s="13"/>
      <c r="L785" s="13"/>
      <c r="M785" s="23" t="s">
        <v>277</v>
      </c>
    </row>
    <row r="786" spans="1:13" ht="19.5" customHeight="1">
      <c r="A786" s="18">
        <f t="shared" si="12"/>
        <v>785</v>
      </c>
      <c r="B786" s="11" t="s">
        <v>8</v>
      </c>
      <c r="C786" s="11" t="s">
        <v>65</v>
      </c>
      <c r="D786" s="11" t="s">
        <v>1748</v>
      </c>
      <c r="E786" s="11" t="s">
        <v>1749</v>
      </c>
      <c r="F786" s="11" t="s">
        <v>1678</v>
      </c>
      <c r="G786" s="11" t="s">
        <v>14</v>
      </c>
      <c r="H786" s="19" t="str">
        <f>IFERROR(VLOOKUP(Table2[[#This Row], [Ticket]],Okey!A:B,2,0),"")</f>
        <v>ok</v>
      </c>
      <c r="I786" s="11" t="s">
        <v>276</v>
      </c>
      <c r="J786" s="19" t="e">
        <f>VLOOKUP(Table2[[#This Row], [Author]],People!A:B,2,0)</f>
        <v>#N/A</v>
      </c>
      <c r="K786" s="11"/>
      <c r="L786" s="11"/>
      <c r="M786" s="20" t="s">
        <v>277</v>
      </c>
    </row>
    <row r="787" spans="1:13" ht="19.5" customHeight="1">
      <c r="A787" s="21">
        <f t="shared" si="12"/>
        <v>786</v>
      </c>
      <c r="B787" s="13" t="s">
        <v>8</v>
      </c>
      <c r="C787" s="13" t="s">
        <v>65</v>
      </c>
      <c r="D787" s="13" t="s">
        <v>1750</v>
      </c>
      <c r="E787" s="13" t="s">
        <v>1751</v>
      </c>
      <c r="F787" s="13" t="s">
        <v>1678</v>
      </c>
      <c r="G787" s="13" t="s">
        <v>14</v>
      </c>
      <c r="H787" s="22" t="str">
        <f>IFERROR(VLOOKUP(Table2[[#This Row], [Ticket]],Okey!A:B,2,0),"")</f>
        <v>ok</v>
      </c>
      <c r="I787" s="13" t="s">
        <v>276</v>
      </c>
      <c r="J787" s="22" t="e">
        <f>VLOOKUP(Table2[[#This Row], [Author]],People!A:B,2,0)</f>
        <v>#N/A</v>
      </c>
      <c r="K787" s="13"/>
      <c r="L787" s="13"/>
      <c r="M787" s="23" t="s">
        <v>277</v>
      </c>
    </row>
    <row r="788" spans="1:13" ht="19.5" customHeight="1">
      <c r="A788" s="18">
        <f t="shared" si="12"/>
        <v>787</v>
      </c>
      <c r="B788" s="11" t="s">
        <v>8</v>
      </c>
      <c r="C788" s="11" t="s">
        <v>65</v>
      </c>
      <c r="D788" s="11" t="s">
        <v>1752</v>
      </c>
      <c r="E788" s="11" t="s">
        <v>1753</v>
      </c>
      <c r="F788" s="11" t="s">
        <v>1678</v>
      </c>
      <c r="G788" s="11" t="s">
        <v>14</v>
      </c>
      <c r="H788" s="19" t="str">
        <f>IFERROR(VLOOKUP(Table2[[#This Row], [Ticket]],Okey!A:B,2,0),"")</f>
        <v>ok</v>
      </c>
      <c r="I788" s="11" t="s">
        <v>276</v>
      </c>
      <c r="J788" s="19" t="e">
        <f>VLOOKUP(Table2[[#This Row], [Author]],People!A:B,2,0)</f>
        <v>#N/A</v>
      </c>
      <c r="K788" s="11"/>
      <c r="L788" s="11"/>
      <c r="M788" s="20" t="s">
        <v>277</v>
      </c>
    </row>
    <row r="789" spans="1:13" ht="19.5" customHeight="1">
      <c r="A789" s="21">
        <f t="shared" si="12"/>
        <v>788</v>
      </c>
      <c r="B789" s="13" t="s">
        <v>8</v>
      </c>
      <c r="C789" s="13" t="s">
        <v>65</v>
      </c>
      <c r="D789" s="13" t="s">
        <v>1754</v>
      </c>
      <c r="E789" s="13" t="s">
        <v>1755</v>
      </c>
      <c r="F789" s="13" t="s">
        <v>1678</v>
      </c>
      <c r="G789" s="13" t="s">
        <v>14</v>
      </c>
      <c r="H789" s="22" t="str">
        <f>IFERROR(VLOOKUP(Table2[[#This Row], [Ticket]],Okey!A:B,2,0),"")</f>
        <v>ok</v>
      </c>
      <c r="I789" s="13" t="s">
        <v>276</v>
      </c>
      <c r="J789" s="22" t="e">
        <f>VLOOKUP(Table2[[#This Row], [Author]],People!A:B,2,0)</f>
        <v>#N/A</v>
      </c>
      <c r="K789" s="13"/>
      <c r="L789" s="13"/>
      <c r="M789" s="23" t="s">
        <v>277</v>
      </c>
    </row>
    <row r="790" spans="1:13" ht="19.5" customHeight="1">
      <c r="A790" s="18">
        <f t="shared" si="12"/>
        <v>789</v>
      </c>
      <c r="B790" s="11" t="s">
        <v>8</v>
      </c>
      <c r="C790" s="11" t="s">
        <v>65</v>
      </c>
      <c r="D790" s="11" t="s">
        <v>1756</v>
      </c>
      <c r="E790" s="11" t="s">
        <v>1757</v>
      </c>
      <c r="F790" s="11" t="s">
        <v>1678</v>
      </c>
      <c r="G790" s="11" t="s">
        <v>14</v>
      </c>
      <c r="H790" s="19" t="str">
        <f>IFERROR(VLOOKUP(Table2[[#This Row], [Ticket]],Okey!A:B,2,0),"")</f>
        <v>ok</v>
      </c>
      <c r="I790" s="11" t="s">
        <v>276</v>
      </c>
      <c r="J790" s="19" t="e">
        <f>VLOOKUP(Table2[[#This Row], [Author]],People!A:B,2,0)</f>
        <v>#N/A</v>
      </c>
      <c r="K790" s="11"/>
      <c r="L790" s="11"/>
      <c r="M790" s="20" t="s">
        <v>277</v>
      </c>
    </row>
    <row r="791" spans="1:13" ht="19.5" customHeight="1">
      <c r="A791" s="21">
        <f t="shared" si="12"/>
        <v>790</v>
      </c>
      <c r="B791" s="13" t="s">
        <v>8</v>
      </c>
      <c r="C791" s="13" t="s">
        <v>65</v>
      </c>
      <c r="D791" s="13" t="s">
        <v>1758</v>
      </c>
      <c r="E791" s="13" t="s">
        <v>1759</v>
      </c>
      <c r="F791" s="13" t="s">
        <v>1678</v>
      </c>
      <c r="G791" s="13" t="s">
        <v>14</v>
      </c>
      <c r="H791" s="22" t="str">
        <f>IFERROR(VLOOKUP(Table2[[#This Row], [Ticket]],Okey!A:B,2,0),"")</f>
        <v>ok</v>
      </c>
      <c r="I791" s="13" t="s">
        <v>276</v>
      </c>
      <c r="J791" s="22" t="e">
        <f>VLOOKUP(Table2[[#This Row], [Author]],People!A:B,2,0)</f>
        <v>#N/A</v>
      </c>
      <c r="K791" s="13"/>
      <c r="L791" s="13"/>
      <c r="M791" s="23" t="s">
        <v>277</v>
      </c>
    </row>
    <row r="792" spans="1:13" ht="19.5" customHeight="1">
      <c r="A792" s="18">
        <f t="shared" si="12"/>
        <v>791</v>
      </c>
      <c r="B792" s="11" t="s">
        <v>8</v>
      </c>
      <c r="C792" s="11" t="s">
        <v>65</v>
      </c>
      <c r="D792" s="11" t="s">
        <v>1760</v>
      </c>
      <c r="E792" s="11" t="s">
        <v>1761</v>
      </c>
      <c r="F792" s="11" t="s">
        <v>1678</v>
      </c>
      <c r="G792" s="11" t="s">
        <v>14</v>
      </c>
      <c r="H792" s="19" t="str">
        <f>IFERROR(VLOOKUP(Table2[[#This Row], [Ticket]],Okey!A:B,2,0),"")</f>
        <v>ok</v>
      </c>
      <c r="I792" s="11" t="s">
        <v>276</v>
      </c>
      <c r="J792" s="19" t="e">
        <f>VLOOKUP(Table2[[#This Row], [Author]],People!A:B,2,0)</f>
        <v>#N/A</v>
      </c>
      <c r="K792" s="11"/>
      <c r="L792" s="11"/>
      <c r="M792" s="20" t="s">
        <v>277</v>
      </c>
    </row>
    <row r="793" spans="1:13" ht="19.5" customHeight="1">
      <c r="A793" s="21">
        <f t="shared" si="12"/>
        <v>792</v>
      </c>
      <c r="B793" s="13" t="s">
        <v>8</v>
      </c>
      <c r="C793" s="13" t="s">
        <v>65</v>
      </c>
      <c r="D793" s="13" t="s">
        <v>1762</v>
      </c>
      <c r="E793" s="13" t="s">
        <v>1763</v>
      </c>
      <c r="F793" s="13" t="s">
        <v>1678</v>
      </c>
      <c r="G793" s="13" t="s">
        <v>14</v>
      </c>
      <c r="H793" s="22" t="str">
        <f>IFERROR(VLOOKUP(Table2[[#This Row], [Ticket]],Okey!A:B,2,0),"")</f>
        <v>ok</v>
      </c>
      <c r="I793" s="13" t="s">
        <v>276</v>
      </c>
      <c r="J793" s="22" t="e">
        <f>VLOOKUP(Table2[[#This Row], [Author]],People!A:B,2,0)</f>
        <v>#N/A</v>
      </c>
      <c r="K793" s="13"/>
      <c r="L793" s="13"/>
      <c r="M793" s="23" t="s">
        <v>277</v>
      </c>
    </row>
    <row r="794" spans="1:13" ht="19.5" customHeight="1">
      <c r="A794" s="18">
        <f t="shared" si="12"/>
        <v>793</v>
      </c>
      <c r="B794" s="11" t="s">
        <v>8</v>
      </c>
      <c r="C794" s="11" t="s">
        <v>65</v>
      </c>
      <c r="D794" s="11" t="s">
        <v>1764</v>
      </c>
      <c r="E794" s="11" t="s">
        <v>1765</v>
      </c>
      <c r="F794" s="11" t="s">
        <v>1678</v>
      </c>
      <c r="G794" s="11" t="s">
        <v>14</v>
      </c>
      <c r="H794" s="19" t="str">
        <f>IFERROR(VLOOKUP(Table2[[#This Row], [Ticket]],Okey!A:B,2,0),"")</f>
        <v>ok</v>
      </c>
      <c r="I794" s="11" t="s">
        <v>276</v>
      </c>
      <c r="J794" s="19" t="e">
        <f>VLOOKUP(Table2[[#This Row], [Author]],People!A:B,2,0)</f>
        <v>#N/A</v>
      </c>
      <c r="K794" s="11"/>
      <c r="L794" s="11"/>
      <c r="M794" s="20" t="s">
        <v>277</v>
      </c>
    </row>
    <row r="795" spans="1:13" ht="19.5" customHeight="1">
      <c r="A795" s="21">
        <f t="shared" si="12"/>
        <v>794</v>
      </c>
      <c r="B795" s="13" t="s">
        <v>8</v>
      </c>
      <c r="C795" s="13" t="s">
        <v>65</v>
      </c>
      <c r="D795" s="13" t="s">
        <v>1766</v>
      </c>
      <c r="E795" s="13" t="s">
        <v>1767</v>
      </c>
      <c r="F795" s="13" t="s">
        <v>1678</v>
      </c>
      <c r="G795" s="13" t="s">
        <v>14</v>
      </c>
      <c r="H795" s="22" t="str">
        <f>IFERROR(VLOOKUP(Table2[[#This Row], [Ticket]],Okey!A:B,2,0),"")</f>
        <v>ok</v>
      </c>
      <c r="I795" s="13" t="s">
        <v>276</v>
      </c>
      <c r="J795" s="22" t="e">
        <f>VLOOKUP(Table2[[#This Row], [Author]],People!A:B,2,0)</f>
        <v>#N/A</v>
      </c>
      <c r="K795" s="13"/>
      <c r="L795" s="13"/>
      <c r="M795" s="23" t="s">
        <v>277</v>
      </c>
    </row>
    <row r="796" spans="1:13" ht="19.5" customHeight="1">
      <c r="A796" s="18">
        <f t="shared" si="12"/>
        <v>795</v>
      </c>
      <c r="B796" s="11" t="s">
        <v>8</v>
      </c>
      <c r="C796" s="11" t="s">
        <v>65</v>
      </c>
      <c r="D796" s="11" t="s">
        <v>1768</v>
      </c>
      <c r="E796" s="11" t="s">
        <v>1769</v>
      </c>
      <c r="F796" s="11" t="s">
        <v>1678</v>
      </c>
      <c r="G796" s="11" t="s">
        <v>14</v>
      </c>
      <c r="H796" s="19" t="str">
        <f>IFERROR(VLOOKUP(Table2[[#This Row], [Ticket]],Okey!A:B,2,0),"")</f>
        <v>ok</v>
      </c>
      <c r="I796" s="11" t="s">
        <v>276</v>
      </c>
      <c r="J796" s="19" t="e">
        <f>VLOOKUP(Table2[[#This Row], [Author]],People!A:B,2,0)</f>
        <v>#N/A</v>
      </c>
      <c r="K796" s="11"/>
      <c r="L796" s="11"/>
      <c r="M796" s="20" t="s">
        <v>277</v>
      </c>
    </row>
    <row r="797" spans="1:13" ht="19.5" customHeight="1">
      <c r="A797" s="21">
        <f t="shared" si="12"/>
        <v>796</v>
      </c>
      <c r="B797" s="13" t="s">
        <v>8</v>
      </c>
      <c r="C797" s="13" t="s">
        <v>65</v>
      </c>
      <c r="D797" s="13" t="s">
        <v>1770</v>
      </c>
      <c r="E797" s="13" t="s">
        <v>1771</v>
      </c>
      <c r="F797" s="13" t="s">
        <v>1678</v>
      </c>
      <c r="G797" s="13" t="s">
        <v>14</v>
      </c>
      <c r="H797" s="22" t="str">
        <f>IFERROR(VLOOKUP(Table2[[#This Row], [Ticket]],Okey!A:B,2,0),"")</f>
        <v>ok</v>
      </c>
      <c r="I797" s="13" t="s">
        <v>276</v>
      </c>
      <c r="J797" s="22" t="e">
        <f>VLOOKUP(Table2[[#This Row], [Author]],People!A:B,2,0)</f>
        <v>#N/A</v>
      </c>
      <c r="K797" s="13"/>
      <c r="L797" s="13"/>
      <c r="M797" s="23" t="s">
        <v>277</v>
      </c>
    </row>
    <row r="798" spans="1:13" ht="19.5" customHeight="1">
      <c r="A798" s="18">
        <f t="shared" si="12"/>
        <v>797</v>
      </c>
      <c r="B798" s="11" t="s">
        <v>8</v>
      </c>
      <c r="C798" s="11" t="s">
        <v>65</v>
      </c>
      <c r="D798" s="11" t="s">
        <v>1772</v>
      </c>
      <c r="E798" s="11" t="s">
        <v>1773</v>
      </c>
      <c r="F798" s="11" t="s">
        <v>1678</v>
      </c>
      <c r="G798" s="11" t="s">
        <v>14</v>
      </c>
      <c r="H798" s="19" t="str">
        <f>IFERROR(VLOOKUP(Table2[[#This Row], [Ticket]],Okey!A:B,2,0),"")</f>
        <v>ok</v>
      </c>
      <c r="I798" s="11" t="s">
        <v>276</v>
      </c>
      <c r="J798" s="19" t="e">
        <f>VLOOKUP(Table2[[#This Row], [Author]],People!A:B,2,0)</f>
        <v>#N/A</v>
      </c>
      <c r="K798" s="11"/>
      <c r="L798" s="11"/>
      <c r="M798" s="20" t="s">
        <v>277</v>
      </c>
    </row>
    <row r="799" spans="1:13" ht="19.5" customHeight="1">
      <c r="A799" s="21">
        <f t="shared" si="12"/>
        <v>798</v>
      </c>
      <c r="B799" s="13" t="s">
        <v>8</v>
      </c>
      <c r="C799" s="13" t="s">
        <v>65</v>
      </c>
      <c r="D799" s="13" t="s">
        <v>1774</v>
      </c>
      <c r="E799" s="13" t="s">
        <v>1775</v>
      </c>
      <c r="F799" s="13" t="s">
        <v>1678</v>
      </c>
      <c r="G799" s="13" t="s">
        <v>14</v>
      </c>
      <c r="H799" s="22" t="str">
        <f>IFERROR(VLOOKUP(Table2[[#This Row], [Ticket]],Okey!A:B,2,0),"")</f>
        <v>ok</v>
      </c>
      <c r="I799" s="13" t="s">
        <v>276</v>
      </c>
      <c r="J799" s="22" t="e">
        <f>VLOOKUP(Table2[[#This Row], [Author]],People!A:B,2,0)</f>
        <v>#N/A</v>
      </c>
      <c r="K799" s="13"/>
      <c r="L799" s="13"/>
      <c r="M799" s="23" t="s">
        <v>277</v>
      </c>
    </row>
    <row r="800" spans="1:13" ht="19.5" customHeight="1">
      <c r="A800" s="18">
        <f t="shared" si="12"/>
        <v>799</v>
      </c>
      <c r="B800" s="11" t="s">
        <v>8</v>
      </c>
      <c r="C800" s="11" t="s">
        <v>65</v>
      </c>
      <c r="D800" s="11" t="s">
        <v>1776</v>
      </c>
      <c r="E800" s="11" t="s">
        <v>1777</v>
      </c>
      <c r="F800" s="11" t="s">
        <v>1678</v>
      </c>
      <c r="G800" s="11" t="s">
        <v>14</v>
      </c>
      <c r="H800" s="19" t="str">
        <f>IFERROR(VLOOKUP(Table2[[#This Row], [Ticket]],Okey!A:B,2,0),"")</f>
        <v>ok</v>
      </c>
      <c r="I800" s="11" t="s">
        <v>276</v>
      </c>
      <c r="J800" s="19" t="e">
        <f>VLOOKUP(Table2[[#This Row], [Author]],People!A:B,2,0)</f>
        <v>#N/A</v>
      </c>
      <c r="K800" s="11"/>
      <c r="L800" s="11"/>
      <c r="M800" s="20" t="s">
        <v>277</v>
      </c>
    </row>
    <row r="801" spans="1:13" ht="19.5" customHeight="1">
      <c r="A801" s="21">
        <f t="shared" si="12"/>
        <v>800</v>
      </c>
      <c r="B801" s="13" t="s">
        <v>8</v>
      </c>
      <c r="C801" s="13" t="s">
        <v>65</v>
      </c>
      <c r="D801" s="13" t="s">
        <v>1778</v>
      </c>
      <c r="E801" s="13" t="s">
        <v>1779</v>
      </c>
      <c r="F801" s="13" t="s">
        <v>1678</v>
      </c>
      <c r="G801" s="13" t="s">
        <v>14</v>
      </c>
      <c r="H801" s="22" t="str">
        <f>IFERROR(VLOOKUP(Table2[[#This Row], [Ticket]],Okey!A:B,2,0),"")</f>
        <v>ok</v>
      </c>
      <c r="I801" s="13" t="s">
        <v>276</v>
      </c>
      <c r="J801" s="22" t="e">
        <f>VLOOKUP(Table2[[#This Row], [Author]],People!A:B,2,0)</f>
        <v>#N/A</v>
      </c>
      <c r="K801" s="13"/>
      <c r="L801" s="13"/>
      <c r="M801" s="23" t="s">
        <v>277</v>
      </c>
    </row>
    <row r="802" spans="1:13" ht="19.5" customHeight="1">
      <c r="A802" s="18">
        <f t="shared" si="12"/>
        <v>801</v>
      </c>
      <c r="B802" s="11" t="s">
        <v>8</v>
      </c>
      <c r="C802" s="11" t="s">
        <v>65</v>
      </c>
      <c r="D802" s="11" t="s">
        <v>1780</v>
      </c>
      <c r="E802" s="11" t="s">
        <v>1781</v>
      </c>
      <c r="F802" s="11" t="s">
        <v>1277</v>
      </c>
      <c r="G802" s="11" t="s">
        <v>14</v>
      </c>
      <c r="H802" s="19" t="str">
        <f>IFERROR(VLOOKUP(Table2[[#This Row], [Ticket]],Okey!A:B,2,0),"")</f>
        <v>ok</v>
      </c>
      <c r="I802" s="11" t="s">
        <v>276</v>
      </c>
      <c r="J802" s="19" t="str">
        <f>VLOOKUP(Table2[[#This Row], [Author]],People!A:B,2,0)</f>
        <v>HC</v>
      </c>
      <c r="K802" s="11"/>
      <c r="L802" s="11"/>
      <c r="M802" s="20" t="s">
        <v>277</v>
      </c>
    </row>
    <row r="803" spans="1:13" ht="19.5" customHeight="1">
      <c r="A803" s="21">
        <f t="shared" si="12"/>
        <v>802</v>
      </c>
      <c r="B803" s="13" t="s">
        <v>8</v>
      </c>
      <c r="C803" s="13" t="s">
        <v>65</v>
      </c>
      <c r="D803" s="13" t="s">
        <v>1782</v>
      </c>
      <c r="E803" s="13" t="s">
        <v>1783</v>
      </c>
      <c r="F803" s="13" t="s">
        <v>1277</v>
      </c>
      <c r="G803" s="13" t="s">
        <v>14</v>
      </c>
      <c r="H803" s="22" t="str">
        <f>IFERROR(VLOOKUP(Table2[[#This Row], [Ticket]],Okey!A:B,2,0),"")</f>
        <v>ok</v>
      </c>
      <c r="I803" s="13" t="s">
        <v>276</v>
      </c>
      <c r="J803" s="22" t="str">
        <f>VLOOKUP(Table2[[#This Row], [Author]],People!A:B,2,0)</f>
        <v>HC</v>
      </c>
      <c r="K803" s="13"/>
      <c r="L803" s="13"/>
      <c r="M803" s="23" t="s">
        <v>277</v>
      </c>
    </row>
    <row r="804" spans="1:13" ht="19.5" customHeight="1">
      <c r="A804" s="18">
        <f t="shared" si="12"/>
        <v>803</v>
      </c>
      <c r="B804" s="11" t="s">
        <v>8</v>
      </c>
      <c r="C804" s="11" t="s">
        <v>65</v>
      </c>
      <c r="D804" s="11" t="s">
        <v>1784</v>
      </c>
      <c r="E804" s="11"/>
      <c r="F804" s="11"/>
      <c r="G804" s="11" t="s">
        <v>12</v>
      </c>
      <c r="H804" s="19" t="str">
        <f>IFERROR(VLOOKUP(Table2[[#This Row], [Ticket]],Okey!A:B,2,0),"")</f>
        <v>ok</v>
      </c>
      <c r="I804" s="11" t="s">
        <v>276</v>
      </c>
      <c r="J804" s="19" t="str">
        <f>VLOOKUP(Table2[[#This Row], [Author]],People!A:B,2,0)</f>
        <v>HC</v>
      </c>
      <c r="K804" s="11"/>
      <c r="L804" s="11"/>
      <c r="M804" s="20" t="s">
        <v>277</v>
      </c>
    </row>
    <row r="805" spans="1:13" ht="19.5" customHeight="1">
      <c r="A805" s="21">
        <f t="shared" si="12"/>
        <v>804</v>
      </c>
      <c r="B805" s="13" t="s">
        <v>8</v>
      </c>
      <c r="C805" s="13" t="s">
        <v>65</v>
      </c>
      <c r="D805" s="13" t="s">
        <v>1785</v>
      </c>
      <c r="E805" s="13"/>
      <c r="F805" s="13"/>
      <c r="G805" s="13" t="s">
        <v>12</v>
      </c>
      <c r="H805" s="22" t="str">
        <f>IFERROR(VLOOKUP(Table2[[#This Row], [Ticket]],Okey!A:B,2,0),"")</f>
        <v>ok</v>
      </c>
      <c r="I805" s="13" t="s">
        <v>276</v>
      </c>
      <c r="J805" s="22" t="str">
        <f>VLOOKUP(Table2[[#This Row], [Author]],People!A:B,2,0)</f>
        <v>MGF</v>
      </c>
      <c r="K805" s="13"/>
      <c r="L805" s="13"/>
      <c r="M805" s="23" t="s">
        <v>277</v>
      </c>
    </row>
    <row r="806" spans="1:13" ht="19.5" customHeight="1">
      <c r="A806" s="18">
        <f t="shared" si="12"/>
        <v>805</v>
      </c>
      <c r="B806" s="11" t="s">
        <v>8</v>
      </c>
      <c r="C806" s="11" t="s">
        <v>65</v>
      </c>
      <c r="D806" s="11" t="s">
        <v>1786</v>
      </c>
      <c r="E806" s="11"/>
      <c r="F806" s="11"/>
      <c r="G806" s="11" t="s">
        <v>12</v>
      </c>
      <c r="H806" s="19" t="str">
        <f>IFERROR(VLOOKUP(Table2[[#This Row], [Ticket]],Okey!A:B,2,0),"")</f>
        <v>ok</v>
      </c>
      <c r="I806" s="11" t="s">
        <v>276</v>
      </c>
      <c r="J806" s="19" t="str">
        <f>VLOOKUP(Table2[[#This Row], [Author]],People!A:B,2,0)</f>
        <v>MGF</v>
      </c>
      <c r="K806" s="11"/>
      <c r="L806" s="11"/>
      <c r="M806" s="20" t="s">
        <v>277</v>
      </c>
    </row>
    <row r="807" spans="1:13" ht="19.5" customHeight="1">
      <c r="A807" s="21">
        <f t="shared" si="12"/>
        <v>806</v>
      </c>
      <c r="B807" s="13" t="s">
        <v>8</v>
      </c>
      <c r="C807" s="13" t="s">
        <v>65</v>
      </c>
      <c r="D807" s="13" t="s">
        <v>1787</v>
      </c>
      <c r="E807" s="13"/>
      <c r="F807" s="13"/>
      <c r="G807" s="13" t="s">
        <v>12</v>
      </c>
      <c r="H807" s="22" t="str">
        <f>IFERROR(VLOOKUP(Table2[[#This Row], [Ticket]],Okey!A:B,2,0),"")</f>
        <v>ok</v>
      </c>
      <c r="I807" s="13" t="s">
        <v>276</v>
      </c>
      <c r="J807" s="22" t="str">
        <f>VLOOKUP(Table2[[#This Row], [Author]],People!A:B,2,0)</f>
        <v>MGF</v>
      </c>
      <c r="K807" s="13"/>
      <c r="L807" s="13"/>
      <c r="M807" s="23" t="s">
        <v>277</v>
      </c>
    </row>
    <row r="808" spans="1:13" ht="19.5" customHeight="1">
      <c r="A808" s="18">
        <f t="shared" si="12"/>
        <v>807</v>
      </c>
      <c r="B808" s="11" t="s">
        <v>8</v>
      </c>
      <c r="C808" s="11" t="s">
        <v>65</v>
      </c>
      <c r="D808" s="11" t="s">
        <v>1788</v>
      </c>
      <c r="E808" s="11"/>
      <c r="F808" s="11"/>
      <c r="G808" s="11" t="s">
        <v>12</v>
      </c>
      <c r="H808" s="19" t="str">
        <f>IFERROR(VLOOKUP(Table2[[#This Row], [Ticket]],Okey!A:B,2,0),"")</f>
        <v>ok</v>
      </c>
      <c r="I808" s="11" t="s">
        <v>276</v>
      </c>
      <c r="J808" s="19" t="str">
        <f>VLOOKUP(Table2[[#This Row], [Author]],People!A:B,2,0)</f>
        <v>MGF</v>
      </c>
      <c r="K808" s="11"/>
      <c r="L808" s="11"/>
      <c r="M808" s="20" t="s">
        <v>277</v>
      </c>
    </row>
    <row r="809" spans="1:13" ht="19.5" customHeight="1">
      <c r="A809" s="21">
        <f t="shared" si="12"/>
        <v>808</v>
      </c>
      <c r="B809" s="13" t="s">
        <v>8</v>
      </c>
      <c r="C809" s="13" t="s">
        <v>65</v>
      </c>
      <c r="D809" s="13" t="s">
        <v>1789</v>
      </c>
      <c r="E809" s="13"/>
      <c r="F809" s="13"/>
      <c r="G809" s="13" t="s">
        <v>12</v>
      </c>
      <c r="H809" s="22" t="str">
        <f>IFERROR(VLOOKUP(Table2[[#This Row], [Ticket]],Okey!A:B,2,0),"")</f>
        <v>ok</v>
      </c>
      <c r="I809" s="13" t="s">
        <v>276</v>
      </c>
      <c r="J809" s="22" t="str">
        <f>VLOOKUP(Table2[[#This Row], [Author]],People!A:B,2,0)</f>
        <v>MGF</v>
      </c>
      <c r="K809" s="13"/>
      <c r="L809" s="13"/>
      <c r="M809" s="23" t="s">
        <v>277</v>
      </c>
    </row>
    <row r="810" spans="1:13" ht="19.5" customHeight="1">
      <c r="A810" s="18">
        <f t="shared" si="12"/>
        <v>809</v>
      </c>
      <c r="B810" s="11" t="s">
        <v>8</v>
      </c>
      <c r="C810" s="11" t="s">
        <v>65</v>
      </c>
      <c r="D810" s="11" t="s">
        <v>1790</v>
      </c>
      <c r="E810" s="11"/>
      <c r="F810" s="11"/>
      <c r="G810" s="11" t="s">
        <v>12</v>
      </c>
      <c r="H810" s="19" t="str">
        <f>IFERROR(VLOOKUP(Table2[[#This Row], [Ticket]],Okey!A:B,2,0),"")</f>
        <v>ok</v>
      </c>
      <c r="I810" s="11" t="s">
        <v>276</v>
      </c>
      <c r="J810" s="19" t="str">
        <f>VLOOKUP(Table2[[#This Row], [Author]],People!A:B,2,0)</f>
        <v>MGF</v>
      </c>
      <c r="K810" s="11"/>
      <c r="L810" s="11"/>
      <c r="M810" s="20" t="s">
        <v>277</v>
      </c>
    </row>
    <row r="811" spans="1:13" ht="19.5" customHeight="1">
      <c r="A811" s="21">
        <f t="shared" si="12"/>
        <v>810</v>
      </c>
      <c r="B811" s="13" t="s">
        <v>8</v>
      </c>
      <c r="C811" s="13" t="s">
        <v>65</v>
      </c>
      <c r="D811" s="13" t="s">
        <v>1791</v>
      </c>
      <c r="E811" s="13"/>
      <c r="F811" s="13"/>
      <c r="G811" s="13" t="s">
        <v>12</v>
      </c>
      <c r="H811" s="22" t="str">
        <f>IFERROR(VLOOKUP(Table2[[#This Row], [Ticket]],Okey!A:B,2,0),"")</f>
        <v>ok</v>
      </c>
      <c r="I811" s="13" t="s">
        <v>276</v>
      </c>
      <c r="J811" s="22" t="str">
        <f>VLOOKUP(Table2[[#This Row], [Author]],People!A:B,2,0)</f>
        <v>MGF</v>
      </c>
      <c r="K811" s="13"/>
      <c r="L811" s="13"/>
      <c r="M811" s="23" t="s">
        <v>277</v>
      </c>
    </row>
    <row r="812" spans="1:13" ht="19.5" customHeight="1">
      <c r="A812" s="18">
        <f t="shared" si="12"/>
        <v>811</v>
      </c>
      <c r="B812" s="11" t="s">
        <v>8</v>
      </c>
      <c r="C812" s="11" t="s">
        <v>65</v>
      </c>
      <c r="D812" s="11" t="s">
        <v>1792</v>
      </c>
      <c r="E812" s="11"/>
      <c r="F812" s="11"/>
      <c r="G812" s="11" t="s">
        <v>12</v>
      </c>
      <c r="H812" s="19" t="str">
        <f>IFERROR(VLOOKUP(Table2[[#This Row], [Ticket]],Okey!A:B,2,0),"")</f>
        <v>ok</v>
      </c>
      <c r="I812" s="11" t="s">
        <v>276</v>
      </c>
      <c r="J812" s="19" t="str">
        <f>VLOOKUP(Table2[[#This Row], [Author]],People!A:B,2,0)</f>
        <v>MGF</v>
      </c>
      <c r="K812" s="11"/>
      <c r="L812" s="11"/>
      <c r="M812" s="20" t="s">
        <v>277</v>
      </c>
    </row>
    <row r="813" spans="1:13" ht="19.5" customHeight="1">
      <c r="A813" s="21">
        <f t="shared" si="12"/>
        <v>812</v>
      </c>
      <c r="B813" s="13" t="s">
        <v>8</v>
      </c>
      <c r="C813" s="13" t="s">
        <v>65</v>
      </c>
      <c r="D813" s="13" t="s">
        <v>1793</v>
      </c>
      <c r="E813" s="13"/>
      <c r="F813" s="13"/>
      <c r="G813" s="13" t="s">
        <v>12</v>
      </c>
      <c r="H813" s="22" t="str">
        <f>IFERROR(VLOOKUP(Table2[[#This Row], [Ticket]],Okey!A:B,2,0),"")</f>
        <v>ok</v>
      </c>
      <c r="I813" s="13" t="s">
        <v>276</v>
      </c>
      <c r="J813" s="22" t="str">
        <f>VLOOKUP(Table2[[#This Row], [Author]],People!A:B,2,0)</f>
        <v>MGF</v>
      </c>
      <c r="K813" s="13"/>
      <c r="L813" s="13"/>
      <c r="M813" s="23" t="s">
        <v>277</v>
      </c>
    </row>
    <row r="814" spans="1:13" ht="19.5" customHeight="1">
      <c r="A814" s="18">
        <f t="shared" si="12"/>
        <v>813</v>
      </c>
      <c r="B814" s="11" t="s">
        <v>8</v>
      </c>
      <c r="C814" s="11" t="s">
        <v>65</v>
      </c>
      <c r="D814" s="11" t="s">
        <v>1794</v>
      </c>
      <c r="E814" s="11"/>
      <c r="F814" s="11"/>
      <c r="G814" s="11" t="s">
        <v>12</v>
      </c>
      <c r="H814" s="19" t="str">
        <f>IFERROR(VLOOKUP(Table2[[#This Row], [Ticket]],Okey!A:B,2,0),"")</f>
        <v>ok</v>
      </c>
      <c r="I814" s="11" t="s">
        <v>276</v>
      </c>
      <c r="J814" s="19" t="str">
        <f>VLOOKUP(Table2[[#This Row], [Author]],People!A:B,2,0)</f>
        <v>MGF</v>
      </c>
      <c r="K814" s="11"/>
      <c r="L814" s="11"/>
      <c r="M814" s="20" t="s">
        <v>277</v>
      </c>
    </row>
    <row r="815" spans="1:13" ht="19.5" customHeight="1">
      <c r="A815" s="21">
        <f t="shared" si="12"/>
        <v>814</v>
      </c>
      <c r="B815" s="13" t="s">
        <v>8</v>
      </c>
      <c r="C815" s="13" t="s">
        <v>65</v>
      </c>
      <c r="D815" s="13" t="s">
        <v>1795</v>
      </c>
      <c r="E815" s="13"/>
      <c r="F815" s="13"/>
      <c r="G815" s="13" t="s">
        <v>12</v>
      </c>
      <c r="H815" s="22" t="str">
        <f>IFERROR(VLOOKUP(Table2[[#This Row], [Ticket]],Okey!A:B,2,0),"")</f>
        <v>ok</v>
      </c>
      <c r="I815" s="13" t="s">
        <v>276</v>
      </c>
      <c r="J815" s="22" t="str">
        <f>VLOOKUP(Table2[[#This Row], [Author]],People!A:B,2,0)</f>
        <v>MGF</v>
      </c>
      <c r="K815" s="13"/>
      <c r="L815" s="13"/>
      <c r="M815" s="23" t="s">
        <v>277</v>
      </c>
    </row>
    <row r="816" spans="1:13" ht="19.5" customHeight="1">
      <c r="A816" s="18">
        <f t="shared" si="12"/>
        <v>815</v>
      </c>
      <c r="B816" s="11" t="s">
        <v>8</v>
      </c>
      <c r="C816" s="11" t="s">
        <v>65</v>
      </c>
      <c r="D816" s="11" t="s">
        <v>1796</v>
      </c>
      <c r="E816" s="11"/>
      <c r="F816" s="11"/>
      <c r="G816" s="11" t="s">
        <v>12</v>
      </c>
      <c r="H816" s="19" t="str">
        <f>IFERROR(VLOOKUP(Table2[[#This Row], [Ticket]],Okey!A:B,2,0),"")</f>
        <v>ok</v>
      </c>
      <c r="I816" s="11" t="s">
        <v>276</v>
      </c>
      <c r="J816" s="19" t="str">
        <f>VLOOKUP(Table2[[#This Row], [Author]],People!A:B,2,0)</f>
        <v>MGF</v>
      </c>
      <c r="K816" s="11"/>
      <c r="L816" s="11"/>
      <c r="M816" s="20" t="s">
        <v>277</v>
      </c>
    </row>
    <row r="817" spans="1:13" ht="19.5" customHeight="1">
      <c r="A817" s="21">
        <f t="shared" si="12"/>
        <v>816</v>
      </c>
      <c r="B817" s="13" t="s">
        <v>8</v>
      </c>
      <c r="C817" s="13" t="s">
        <v>65</v>
      </c>
      <c r="D817" s="13" t="s">
        <v>1797</v>
      </c>
      <c r="E817" s="13"/>
      <c r="F817" s="13"/>
      <c r="G817" s="13" t="s">
        <v>12</v>
      </c>
      <c r="H817" s="22" t="str">
        <f>IFERROR(VLOOKUP(Table2[[#This Row], [Ticket]],Okey!A:B,2,0),"")</f>
        <v>ok</v>
      </c>
      <c r="I817" s="13" t="s">
        <v>276</v>
      </c>
      <c r="J817" s="22" t="str">
        <f>VLOOKUP(Table2[[#This Row], [Author]],People!A:B,2,0)</f>
        <v>MGF</v>
      </c>
      <c r="K817" s="13"/>
      <c r="L817" s="13"/>
      <c r="M817" s="23" t="s">
        <v>277</v>
      </c>
    </row>
    <row r="818" spans="1:13" ht="19.5" customHeight="1">
      <c r="A818" s="18">
        <f t="shared" si="12"/>
        <v>817</v>
      </c>
      <c r="B818" s="11" t="s">
        <v>8</v>
      </c>
      <c r="C818" s="11" t="s">
        <v>65</v>
      </c>
      <c r="D818" s="11" t="s">
        <v>1798</v>
      </c>
      <c r="E818" s="11"/>
      <c r="F818" s="11"/>
      <c r="G818" s="11" t="s">
        <v>12</v>
      </c>
      <c r="H818" s="19" t="str">
        <f>IFERROR(VLOOKUP(Table2[[#This Row], [Ticket]],Okey!A:B,2,0),"")</f>
        <v>ok</v>
      </c>
      <c r="I818" s="11" t="s">
        <v>276</v>
      </c>
      <c r="J818" s="19" t="str">
        <f>VLOOKUP(Table2[[#This Row], [Author]],People!A:B,2,0)</f>
        <v>MGF</v>
      </c>
      <c r="K818" s="11"/>
      <c r="L818" s="11"/>
      <c r="M818" s="20" t="s">
        <v>277</v>
      </c>
    </row>
    <row r="819" spans="1:13" ht="19.5" customHeight="1">
      <c r="A819" s="21">
        <f t="shared" si="12"/>
        <v>818</v>
      </c>
      <c r="B819" s="13" t="s">
        <v>8</v>
      </c>
      <c r="C819" s="13" t="s">
        <v>65</v>
      </c>
      <c r="D819" s="13" t="s">
        <v>1799</v>
      </c>
      <c r="E819" s="13"/>
      <c r="F819" s="13"/>
      <c r="G819" s="13" t="s">
        <v>12</v>
      </c>
      <c r="H819" s="22" t="str">
        <f>IFERROR(VLOOKUP(Table2[[#This Row], [Ticket]],Okey!A:B,2,0),"")</f>
        <v>ok</v>
      </c>
      <c r="I819" s="13" t="s">
        <v>276</v>
      </c>
      <c r="J819" s="22" t="str">
        <f>VLOOKUP(Table2[[#This Row], [Author]],People!A:B,2,0)</f>
        <v>MGF</v>
      </c>
      <c r="K819" s="13"/>
      <c r="L819" s="13"/>
      <c r="M819" s="23" t="s">
        <v>277</v>
      </c>
    </row>
    <row r="820" spans="1:13" ht="19.5" customHeight="1">
      <c r="A820" s="18">
        <f t="shared" si="12"/>
        <v>819</v>
      </c>
      <c r="B820" s="11" t="s">
        <v>8</v>
      </c>
      <c r="C820" s="11" t="s">
        <v>65</v>
      </c>
      <c r="D820" s="11" t="s">
        <v>1800</v>
      </c>
      <c r="E820" s="11"/>
      <c r="F820" s="11"/>
      <c r="G820" s="11" t="s">
        <v>12</v>
      </c>
      <c r="H820" s="19" t="str">
        <f>IFERROR(VLOOKUP(Table2[[#This Row], [Ticket]],Okey!A:B,2,0),"")</f>
        <v>ok</v>
      </c>
      <c r="I820" s="11" t="s">
        <v>276</v>
      </c>
      <c r="J820" s="19" t="str">
        <f>VLOOKUP(Table2[[#This Row], [Author]],People!A:B,2,0)</f>
        <v>MGF</v>
      </c>
      <c r="K820" s="11"/>
      <c r="L820" s="11"/>
      <c r="M820" s="20" t="s">
        <v>277</v>
      </c>
    </row>
    <row r="821" spans="1:13" ht="19.5" customHeight="1">
      <c r="A821" s="21">
        <f t="shared" si="12"/>
        <v>820</v>
      </c>
      <c r="B821" s="13" t="s">
        <v>8</v>
      </c>
      <c r="C821" s="13" t="s">
        <v>65</v>
      </c>
      <c r="D821" s="13" t="s">
        <v>1801</v>
      </c>
      <c r="E821" s="13"/>
      <c r="F821" s="13"/>
      <c r="G821" s="13" t="s">
        <v>12</v>
      </c>
      <c r="H821" s="22" t="str">
        <f>IFERROR(VLOOKUP(Table2[[#This Row], [Ticket]],Okey!A:B,2,0),"")</f>
        <v>ok</v>
      </c>
      <c r="I821" s="13" t="s">
        <v>276</v>
      </c>
      <c r="J821" s="22" t="str">
        <f>VLOOKUP(Table2[[#This Row], [Author]],People!A:B,2,0)</f>
        <v>MGF</v>
      </c>
      <c r="K821" s="13"/>
      <c r="L821" s="13"/>
      <c r="M821" s="23" t="s">
        <v>277</v>
      </c>
    </row>
    <row r="822" spans="1:13" ht="19.5" customHeight="1">
      <c r="A822" s="18">
        <f t="shared" si="12"/>
        <v>821</v>
      </c>
      <c r="B822" s="11" t="s">
        <v>8</v>
      </c>
      <c r="C822" s="11" t="s">
        <v>65</v>
      </c>
      <c r="D822" s="11" t="s">
        <v>1802</v>
      </c>
      <c r="E822" s="11"/>
      <c r="F822" s="11"/>
      <c r="G822" s="11" t="s">
        <v>12</v>
      </c>
      <c r="H822" s="19" t="str">
        <f>IFERROR(VLOOKUP(Table2[[#This Row], [Ticket]],Okey!A:B,2,0),"")</f>
        <v>ok</v>
      </c>
      <c r="I822" s="11" t="s">
        <v>276</v>
      </c>
      <c r="J822" s="19" t="str">
        <f>VLOOKUP(Table2[[#This Row], [Author]],People!A:B,2,0)</f>
        <v>MGF</v>
      </c>
      <c r="K822" s="11"/>
      <c r="L822" s="11"/>
      <c r="M822" s="20" t="s">
        <v>277</v>
      </c>
    </row>
    <row r="823" spans="1:13" ht="19.5" customHeight="1">
      <c r="A823" s="21">
        <f t="shared" si="12"/>
        <v>822</v>
      </c>
      <c r="B823" s="13" t="s">
        <v>8</v>
      </c>
      <c r="C823" s="13" t="s">
        <v>65</v>
      </c>
      <c r="D823" s="13" t="s">
        <v>1803</v>
      </c>
      <c r="E823" s="13"/>
      <c r="F823" s="13"/>
      <c r="G823" s="13" t="s">
        <v>12</v>
      </c>
      <c r="H823" s="22" t="str">
        <f>IFERROR(VLOOKUP(Table2[[#This Row], [Ticket]],Okey!A:B,2,0),"")</f>
        <v>ok</v>
      </c>
      <c r="I823" s="13" t="s">
        <v>276</v>
      </c>
      <c r="J823" s="22" t="str">
        <f>VLOOKUP(Table2[[#This Row], [Author]],People!A:B,2,0)</f>
        <v>MGF</v>
      </c>
      <c r="K823" s="13"/>
      <c r="L823" s="13"/>
      <c r="M823" s="23" t="s">
        <v>277</v>
      </c>
    </row>
    <row r="824" spans="1:13" ht="19.5" customHeight="1">
      <c r="A824" s="18">
        <f t="shared" si="12"/>
        <v>823</v>
      </c>
      <c r="B824" s="11" t="s">
        <v>8</v>
      </c>
      <c r="C824" s="11" t="s">
        <v>65</v>
      </c>
      <c r="D824" s="11" t="s">
        <v>1804</v>
      </c>
      <c r="E824" s="11"/>
      <c r="F824" s="11"/>
      <c r="G824" s="11" t="s">
        <v>12</v>
      </c>
      <c r="H824" s="19" t="str">
        <f>IFERROR(VLOOKUP(Table2[[#This Row], [Ticket]],Okey!A:B,2,0),"")</f>
        <v>ok</v>
      </c>
      <c r="I824" s="11" t="s">
        <v>276</v>
      </c>
      <c r="J824" s="19" t="str">
        <f>VLOOKUP(Table2[[#This Row], [Author]],People!A:B,2,0)</f>
        <v>MGF</v>
      </c>
      <c r="K824" s="11"/>
      <c r="L824" s="11"/>
      <c r="M824" s="20" t="s">
        <v>277</v>
      </c>
    </row>
    <row r="825" spans="1:13" ht="19.5" customHeight="1">
      <c r="A825" s="21">
        <f t="shared" si="12"/>
        <v>824</v>
      </c>
      <c r="B825" s="13" t="s">
        <v>8</v>
      </c>
      <c r="C825" s="13" t="s">
        <v>65</v>
      </c>
      <c r="D825" s="13" t="s">
        <v>1805</v>
      </c>
      <c r="E825" s="13"/>
      <c r="F825" s="13"/>
      <c r="G825" s="13" t="s">
        <v>12</v>
      </c>
      <c r="H825" s="22" t="str">
        <f>IFERROR(VLOOKUP(Table2[[#This Row], [Ticket]],Okey!A:B,2,0),"")</f>
        <v>ok</v>
      </c>
      <c r="I825" s="13" t="s">
        <v>276</v>
      </c>
      <c r="J825" s="22" t="str">
        <f>VLOOKUP(Table2[[#This Row], [Author]],People!A:B,2,0)</f>
        <v>LS</v>
      </c>
      <c r="K825" s="13"/>
      <c r="L825" s="13"/>
      <c r="M825" s="23" t="s">
        <v>277</v>
      </c>
    </row>
    <row r="826" spans="1:13" ht="19.5" customHeight="1">
      <c r="A826" s="18">
        <f t="shared" si="12"/>
        <v>825</v>
      </c>
      <c r="B826" s="11" t="s">
        <v>8</v>
      </c>
      <c r="C826" s="11" t="s">
        <v>65</v>
      </c>
      <c r="D826" s="11" t="s">
        <v>1806</v>
      </c>
      <c r="E826" s="11"/>
      <c r="F826" s="11"/>
      <c r="G826" s="11" t="s">
        <v>12</v>
      </c>
      <c r="H826" s="19" t="str">
        <f>IFERROR(VLOOKUP(Table2[[#This Row], [Ticket]],Okey!A:B,2,0),"")</f>
        <v>ok</v>
      </c>
      <c r="I826" s="11" t="s">
        <v>276</v>
      </c>
      <c r="J826" s="19" t="str">
        <f>VLOOKUP(Table2[[#This Row], [Author]],People!A:B,2,0)</f>
        <v>LS</v>
      </c>
      <c r="K826" s="11"/>
      <c r="L826" s="11"/>
      <c r="M826" s="20" t="s">
        <v>277</v>
      </c>
    </row>
    <row r="827" spans="1:13" ht="19.5" customHeight="1">
      <c r="A827" s="21">
        <f t="shared" si="12"/>
        <v>826</v>
      </c>
      <c r="B827" s="13" t="s">
        <v>8</v>
      </c>
      <c r="C827" s="13" t="s">
        <v>65</v>
      </c>
      <c r="D827" s="13" t="s">
        <v>1807</v>
      </c>
      <c r="E827" s="13"/>
      <c r="F827" s="13"/>
      <c r="G827" s="13" t="s">
        <v>12</v>
      </c>
      <c r="H827" s="22" t="str">
        <f>IFERROR(VLOOKUP(Table2[[#This Row], [Ticket]],Okey!A:B,2,0),"")</f>
        <v>ok</v>
      </c>
      <c r="I827" s="13" t="s">
        <v>276</v>
      </c>
      <c r="J827" s="22" t="str">
        <f>VLOOKUP(Table2[[#This Row], [Author]],People!A:B,2,0)</f>
        <v>LS</v>
      </c>
      <c r="K827" s="13"/>
      <c r="L827" s="13"/>
      <c r="M827" s="23" t="s">
        <v>277</v>
      </c>
    </row>
    <row r="828" spans="1:13" ht="19.5" customHeight="1">
      <c r="A828" s="18">
        <f t="shared" si="12"/>
        <v>827</v>
      </c>
      <c r="B828" s="11" t="s">
        <v>8</v>
      </c>
      <c r="C828" s="11" t="s">
        <v>65</v>
      </c>
      <c r="D828" s="11" t="s">
        <v>1808</v>
      </c>
      <c r="E828" s="11"/>
      <c r="F828" s="11"/>
      <c r="G828" s="11" t="s">
        <v>12</v>
      </c>
      <c r="H828" s="19" t="str">
        <f>IFERROR(VLOOKUP(Table2[[#This Row], [Ticket]],Okey!A:B,2,0),"")</f>
        <v>ok</v>
      </c>
      <c r="I828" s="11" t="s">
        <v>276</v>
      </c>
      <c r="J828" s="19" t="str">
        <f>VLOOKUP(Table2[[#This Row], [Author]],People!A:B,2,0)</f>
        <v>LS</v>
      </c>
      <c r="K828" s="11"/>
      <c r="L828" s="11"/>
      <c r="M828" s="20" t="s">
        <v>277</v>
      </c>
    </row>
    <row r="829" spans="1:13" ht="19.5" customHeight="1">
      <c r="A829" s="21">
        <f t="shared" si="12"/>
        <v>828</v>
      </c>
      <c r="B829" s="13" t="s">
        <v>8</v>
      </c>
      <c r="C829" s="13" t="s">
        <v>65</v>
      </c>
      <c r="D829" s="13" t="s">
        <v>1809</v>
      </c>
      <c r="E829" s="13"/>
      <c r="F829" s="13"/>
      <c r="G829" s="13" t="s">
        <v>12</v>
      </c>
      <c r="H829" s="22" t="str">
        <f>IFERROR(VLOOKUP(Table2[[#This Row], [Ticket]],Okey!A:B,2,0),"")</f>
        <v>ok</v>
      </c>
      <c r="I829" s="13" t="s">
        <v>276</v>
      </c>
      <c r="J829" s="22" t="str">
        <f>VLOOKUP(Table2[[#This Row], [Author]],People!A:B,2,0)</f>
        <v>LS</v>
      </c>
      <c r="K829" s="13"/>
      <c r="L829" s="13"/>
      <c r="M829" s="23" t="s">
        <v>277</v>
      </c>
    </row>
    <row r="830" spans="1:13" ht="19.5" customHeight="1">
      <c r="A830" s="18">
        <f t="shared" si="12"/>
        <v>829</v>
      </c>
      <c r="B830" s="11" t="s">
        <v>8</v>
      </c>
      <c r="C830" s="11" t="s">
        <v>65</v>
      </c>
      <c r="D830" s="11" t="s">
        <v>1810</v>
      </c>
      <c r="E830" s="11" t="s">
        <v>1811</v>
      </c>
      <c r="F830" s="11"/>
      <c r="G830" s="11" t="s">
        <v>15</v>
      </c>
      <c r="H830" s="19" t="str">
        <f>IFERROR(VLOOKUP(Table2[[#This Row], [Ticket]],Okey!A:B,2,0),"")</f>
        <v>ok</v>
      </c>
      <c r="I830" s="11" t="s">
        <v>276</v>
      </c>
      <c r="J830" s="19" t="str">
        <f>VLOOKUP(Table2[[#This Row], [Author]],People!A:B,2,0)</f>
        <v>LS</v>
      </c>
      <c r="K830" s="11"/>
      <c r="L830" s="11"/>
      <c r="M830" s="20" t="s">
        <v>277</v>
      </c>
    </row>
    <row r="831" spans="1:13" ht="19.5" customHeight="1">
      <c r="A831" s="21">
        <f t="shared" si="12"/>
        <v>830</v>
      </c>
      <c r="B831" s="13" t="s">
        <v>8</v>
      </c>
      <c r="C831" s="13" t="s">
        <v>65</v>
      </c>
      <c r="D831" s="13" t="s">
        <v>1476</v>
      </c>
      <c r="E831" s="13" t="s">
        <v>1812</v>
      </c>
      <c r="F831" s="13"/>
      <c r="G831" s="13" t="s">
        <v>15</v>
      </c>
      <c r="H831" s="22" t="str">
        <f>IFERROR(VLOOKUP(Table2[[#This Row], [Ticket]],Okey!A:B,2,0),"")</f>
        <v>ok</v>
      </c>
      <c r="I831" s="13" t="s">
        <v>276</v>
      </c>
      <c r="J831" s="22" t="str">
        <f>VLOOKUP(Table2[[#This Row], [Author]],People!A:B,2,0)</f>
        <v>MGF</v>
      </c>
      <c r="K831" s="13"/>
      <c r="L831" s="13"/>
      <c r="M831" s="23" t="s">
        <v>277</v>
      </c>
    </row>
    <row r="832" spans="1:13" ht="19.5" customHeight="1">
      <c r="A832" s="18">
        <f t="shared" si="12"/>
        <v>831</v>
      </c>
      <c r="B832" s="11" t="s">
        <v>8</v>
      </c>
      <c r="C832" s="11" t="s">
        <v>65</v>
      </c>
      <c r="D832" s="11" t="s">
        <v>1387</v>
      </c>
      <c r="E832" s="11" t="s">
        <v>1813</v>
      </c>
      <c r="F832" s="11"/>
      <c r="G832" s="11" t="s">
        <v>15</v>
      </c>
      <c r="H832" s="19" t="str">
        <f>IFERROR(VLOOKUP(Table2[[#This Row], [Ticket]],Okey!A:B,2,0),"")</f>
        <v>ok</v>
      </c>
      <c r="I832" s="11" t="s">
        <v>276</v>
      </c>
      <c r="J832" s="19" t="str">
        <f>VLOOKUP(Table2[[#This Row], [Author]],People!A:B,2,0)</f>
        <v>MGF</v>
      </c>
      <c r="K832" s="11"/>
      <c r="L832" s="11"/>
      <c r="M832" s="20" t="s">
        <v>277</v>
      </c>
    </row>
    <row r="833" spans="1:13" ht="19.5" customHeight="1">
      <c r="A833" s="21">
        <f t="shared" si="12"/>
        <v>832</v>
      </c>
      <c r="B833" s="13" t="s">
        <v>8</v>
      </c>
      <c r="C833" s="13" t="s">
        <v>65</v>
      </c>
      <c r="D833" s="13" t="s">
        <v>1389</v>
      </c>
      <c r="E833" s="13" t="s">
        <v>1814</v>
      </c>
      <c r="F833" s="13"/>
      <c r="G833" s="13" t="s">
        <v>15</v>
      </c>
      <c r="H833" s="22" t="str">
        <f>IFERROR(VLOOKUP(Table2[[#This Row], [Ticket]],Okey!A:B,2,0),"")</f>
        <v>ok</v>
      </c>
      <c r="I833" s="13" t="s">
        <v>276</v>
      </c>
      <c r="J833" s="22" t="str">
        <f>VLOOKUP(Table2[[#This Row], [Author]],People!A:B,2,0)</f>
        <v>MGF</v>
      </c>
      <c r="K833" s="13"/>
      <c r="L833" s="13"/>
      <c r="M833" s="23" t="s">
        <v>277</v>
      </c>
    </row>
    <row r="834" spans="1:13" ht="19.5" customHeight="1">
      <c r="A834" s="18">
        <f t="shared" si="12"/>
        <v>833</v>
      </c>
      <c r="B834" s="11" t="s">
        <v>8</v>
      </c>
      <c r="C834" s="11" t="s">
        <v>65</v>
      </c>
      <c r="D834" s="11" t="s">
        <v>1391</v>
      </c>
      <c r="E834" s="11" t="s">
        <v>1815</v>
      </c>
      <c r="F834" s="11"/>
      <c r="G834" s="11" t="s">
        <v>15</v>
      </c>
      <c r="H834" s="19" t="str">
        <f>IFERROR(VLOOKUP(Table2[[#This Row], [Ticket]],Okey!A:B,2,0),"")</f>
        <v>ok</v>
      </c>
      <c r="I834" s="11" t="s">
        <v>276</v>
      </c>
      <c r="J834" s="19" t="str">
        <f>VLOOKUP(Table2[[#This Row], [Author]],People!A:B,2,0)</f>
        <v>MGF</v>
      </c>
      <c r="K834" s="11"/>
      <c r="L834" s="11"/>
      <c r="M834" s="20" t="s">
        <v>277</v>
      </c>
    </row>
    <row r="835" spans="1:13" ht="19.5" customHeight="1">
      <c r="A835" s="21">
        <f t="shared" ref="A835:A898" si="13">1+A834</f>
        <v>834</v>
      </c>
      <c r="B835" s="13" t="s">
        <v>8</v>
      </c>
      <c r="C835" s="13" t="s">
        <v>65</v>
      </c>
      <c r="D835" s="13" t="s">
        <v>1816</v>
      </c>
      <c r="E835" s="13" t="s">
        <v>1817</v>
      </c>
      <c r="F835" s="13"/>
      <c r="G835" s="13" t="s">
        <v>15</v>
      </c>
      <c r="H835" s="22" t="str">
        <f>IFERROR(VLOOKUP(Table2[[#This Row], [Ticket]],Okey!A:B,2,0),"")</f>
        <v>ok</v>
      </c>
      <c r="I835" s="13" t="s">
        <v>276</v>
      </c>
      <c r="J835" s="22" t="str">
        <f>VLOOKUP(Table2[[#This Row], [Author]],People!A:B,2,0)</f>
        <v>MGF</v>
      </c>
      <c r="K835" s="13"/>
      <c r="L835" s="13"/>
      <c r="M835" s="23" t="s">
        <v>277</v>
      </c>
    </row>
    <row r="836" spans="1:13" ht="19.5" customHeight="1">
      <c r="A836" s="18">
        <f t="shared" si="13"/>
        <v>835</v>
      </c>
      <c r="B836" s="11" t="s">
        <v>8</v>
      </c>
      <c r="C836" s="11" t="s">
        <v>65</v>
      </c>
      <c r="D836" s="11" t="s">
        <v>1818</v>
      </c>
      <c r="E836" s="11" t="s">
        <v>1819</v>
      </c>
      <c r="F836" s="11"/>
      <c r="G836" s="11" t="s">
        <v>15</v>
      </c>
      <c r="H836" s="19" t="str">
        <f>IFERROR(VLOOKUP(Table2[[#This Row], [Ticket]],Okey!A:B,2,0),"")</f>
        <v>ok</v>
      </c>
      <c r="I836" s="11" t="s">
        <v>276</v>
      </c>
      <c r="J836" s="19" t="str">
        <f>VLOOKUP(Table2[[#This Row], [Author]],People!A:B,2,0)</f>
        <v>MGF</v>
      </c>
      <c r="K836" s="11"/>
      <c r="L836" s="11"/>
      <c r="M836" s="20" t="s">
        <v>277</v>
      </c>
    </row>
    <row r="837" spans="1:13" ht="19.5" customHeight="1">
      <c r="A837" s="21">
        <f t="shared" si="13"/>
        <v>836</v>
      </c>
      <c r="B837" s="13" t="s">
        <v>8</v>
      </c>
      <c r="C837" s="13" t="s">
        <v>65</v>
      </c>
      <c r="D837" s="13" t="s">
        <v>1820</v>
      </c>
      <c r="E837" s="13" t="s">
        <v>1821</v>
      </c>
      <c r="F837" s="13"/>
      <c r="G837" s="13" t="s">
        <v>15</v>
      </c>
      <c r="H837" s="22" t="str">
        <f>IFERROR(VLOOKUP(Table2[[#This Row], [Ticket]],Okey!A:B,2,0),"")</f>
        <v>ok</v>
      </c>
      <c r="I837" s="13" t="s">
        <v>276</v>
      </c>
      <c r="J837" s="22" t="str">
        <f>VLOOKUP(Table2[[#This Row], [Author]],People!A:B,2,0)</f>
        <v>LS</v>
      </c>
      <c r="K837" s="13"/>
      <c r="L837" s="13"/>
      <c r="M837" s="23" t="s">
        <v>277</v>
      </c>
    </row>
    <row r="838" spans="1:13" ht="19.5" customHeight="1">
      <c r="A838" s="18">
        <f t="shared" si="13"/>
        <v>837</v>
      </c>
      <c r="B838" s="11" t="s">
        <v>8</v>
      </c>
      <c r="C838" s="11" t="s">
        <v>65</v>
      </c>
      <c r="D838" s="11" t="s">
        <v>1822</v>
      </c>
      <c r="E838" s="11" t="s">
        <v>1823</v>
      </c>
      <c r="F838" s="11"/>
      <c r="G838" s="11" t="s">
        <v>15</v>
      </c>
      <c r="H838" s="19" t="str">
        <f>IFERROR(VLOOKUP(Table2[[#This Row], [Ticket]],Okey!A:B,2,0),"")</f>
        <v>ok</v>
      </c>
      <c r="I838" s="11" t="s">
        <v>276</v>
      </c>
      <c r="J838" s="19" t="str">
        <f>VLOOKUP(Table2[[#This Row], [Author]],People!A:B,2,0)</f>
        <v>LS</v>
      </c>
      <c r="K838" s="11"/>
      <c r="L838" s="11"/>
      <c r="M838" s="20" t="s">
        <v>277</v>
      </c>
    </row>
    <row r="839" spans="1:13" ht="19.5" customHeight="1">
      <c r="A839" s="21">
        <f t="shared" si="13"/>
        <v>838</v>
      </c>
      <c r="B839" s="13" t="s">
        <v>8</v>
      </c>
      <c r="C839" s="13" t="s">
        <v>65</v>
      </c>
      <c r="D839" s="13" t="s">
        <v>1824</v>
      </c>
      <c r="E839" s="13" t="s">
        <v>1825</v>
      </c>
      <c r="F839" s="13"/>
      <c r="G839" s="13" t="s">
        <v>15</v>
      </c>
      <c r="H839" s="22" t="str">
        <f>IFERROR(VLOOKUP(Table2[[#This Row], [Ticket]],Okey!A:B,2,0),"")</f>
        <v>ok</v>
      </c>
      <c r="I839" s="13" t="s">
        <v>276</v>
      </c>
      <c r="J839" s="22" t="str">
        <f>VLOOKUP(Table2[[#This Row], [Author]],People!A:B,2,0)</f>
        <v>LS</v>
      </c>
      <c r="K839" s="13"/>
      <c r="L839" s="13"/>
      <c r="M839" s="23" t="s">
        <v>277</v>
      </c>
    </row>
    <row r="840" spans="1:13" ht="19.5" customHeight="1">
      <c r="A840" s="18">
        <f t="shared" si="13"/>
        <v>839</v>
      </c>
      <c r="B840" s="11" t="s">
        <v>8</v>
      </c>
      <c r="C840" s="11" t="s">
        <v>65</v>
      </c>
      <c r="D840" s="11" t="s">
        <v>1826</v>
      </c>
      <c r="E840" s="11" t="s">
        <v>1827</v>
      </c>
      <c r="F840" s="11"/>
      <c r="G840" s="11" t="s">
        <v>15</v>
      </c>
      <c r="H840" s="19" t="str">
        <f>IFERROR(VLOOKUP(Table2[[#This Row], [Ticket]],Okey!A:B,2,0),"")</f>
        <v>ok</v>
      </c>
      <c r="I840" s="11" t="s">
        <v>276</v>
      </c>
      <c r="J840" s="19" t="str">
        <f>VLOOKUP(Table2[[#This Row], [Author]],People!A:B,2,0)</f>
        <v>HC</v>
      </c>
      <c r="K840" s="11"/>
      <c r="L840" s="11"/>
      <c r="M840" s="20" t="s">
        <v>277</v>
      </c>
    </row>
    <row r="841" spans="1:13" ht="19.5" customHeight="1">
      <c r="A841" s="21">
        <f t="shared" si="13"/>
        <v>840</v>
      </c>
      <c r="B841" s="13" t="s">
        <v>8</v>
      </c>
      <c r="C841" s="13" t="s">
        <v>65</v>
      </c>
      <c r="D841" s="13" t="s">
        <v>1828</v>
      </c>
      <c r="E841" s="13" t="s">
        <v>1829</v>
      </c>
      <c r="F841" s="13"/>
      <c r="G841" s="13" t="s">
        <v>15</v>
      </c>
      <c r="H841" s="22" t="str">
        <f>IFERROR(VLOOKUP(Table2[[#This Row], [Ticket]],Okey!A:B,2,0),"")</f>
        <v>ok</v>
      </c>
      <c r="I841" s="13" t="s">
        <v>276</v>
      </c>
      <c r="J841" s="22" t="str">
        <f>VLOOKUP(Table2[[#This Row], [Author]],People!A:B,2,0)</f>
        <v>HC</v>
      </c>
      <c r="K841" s="13"/>
      <c r="L841" s="13"/>
      <c r="M841" s="23" t="s">
        <v>277</v>
      </c>
    </row>
    <row r="842" spans="1:13" ht="19.5" customHeight="1">
      <c r="A842" s="18">
        <f t="shared" si="13"/>
        <v>841</v>
      </c>
      <c r="B842" s="11" t="s">
        <v>8</v>
      </c>
      <c r="C842" s="11" t="s">
        <v>65</v>
      </c>
      <c r="D842" s="11" t="s">
        <v>1830</v>
      </c>
      <c r="E842" s="11" t="s">
        <v>1831</v>
      </c>
      <c r="F842" s="11"/>
      <c r="G842" s="11" t="s">
        <v>15</v>
      </c>
      <c r="H842" s="19" t="str">
        <f>IFERROR(VLOOKUP(Table2[[#This Row], [Ticket]],Okey!A:B,2,0),"")</f>
        <v>ok</v>
      </c>
      <c r="I842" s="11" t="s">
        <v>276</v>
      </c>
      <c r="J842" s="19" t="str">
        <f>VLOOKUP(Table2[[#This Row], [Author]],People!A:B,2,0)</f>
        <v>HC</v>
      </c>
      <c r="K842" s="11"/>
      <c r="L842" s="11"/>
      <c r="M842" s="20" t="s">
        <v>277</v>
      </c>
    </row>
    <row r="843" spans="1:13" ht="19.5" customHeight="1">
      <c r="A843" s="21">
        <f t="shared" si="13"/>
        <v>842</v>
      </c>
      <c r="B843" s="13" t="s">
        <v>8</v>
      </c>
      <c r="C843" s="13" t="s">
        <v>65</v>
      </c>
      <c r="D843" s="13" t="s">
        <v>1832</v>
      </c>
      <c r="E843" s="13" t="s">
        <v>1833</v>
      </c>
      <c r="F843" s="13"/>
      <c r="G843" s="13" t="s">
        <v>15</v>
      </c>
      <c r="H843" s="22" t="str">
        <f>IFERROR(VLOOKUP(Table2[[#This Row], [Ticket]],Okey!A:B,2,0),"")</f>
        <v>ok</v>
      </c>
      <c r="I843" s="13" t="s">
        <v>276</v>
      </c>
      <c r="J843" s="22" t="str">
        <f>VLOOKUP(Table2[[#This Row], [Author]],People!A:B,2,0)</f>
        <v>HC</v>
      </c>
      <c r="K843" s="13"/>
      <c r="L843" s="13"/>
      <c r="M843" s="23" t="s">
        <v>277</v>
      </c>
    </row>
    <row r="844" spans="1:13" ht="19.5" customHeight="1">
      <c r="A844" s="18">
        <f t="shared" si="13"/>
        <v>843</v>
      </c>
      <c r="B844" s="11" t="s">
        <v>8</v>
      </c>
      <c r="C844" s="11" t="s">
        <v>65</v>
      </c>
      <c r="D844" s="11" t="s">
        <v>1834</v>
      </c>
      <c r="E844" s="11" t="s">
        <v>1835</v>
      </c>
      <c r="F844" s="11"/>
      <c r="G844" s="11" t="s">
        <v>15</v>
      </c>
      <c r="H844" s="19" t="str">
        <f>IFERROR(VLOOKUP(Table2[[#This Row], [Ticket]],Okey!A:B,2,0),"")</f>
        <v>ok</v>
      </c>
      <c r="I844" s="11" t="s">
        <v>276</v>
      </c>
      <c r="J844" s="19" t="str">
        <f>VLOOKUP(Table2[[#This Row], [Author]],People!A:B,2,0)</f>
        <v>HC</v>
      </c>
      <c r="K844" s="11"/>
      <c r="L844" s="11"/>
      <c r="M844" s="20" t="s">
        <v>277</v>
      </c>
    </row>
    <row r="845" spans="1:13" ht="19.5" customHeight="1">
      <c r="A845" s="21">
        <f t="shared" si="13"/>
        <v>844</v>
      </c>
      <c r="B845" s="13" t="s">
        <v>8</v>
      </c>
      <c r="C845" s="13" t="s">
        <v>65</v>
      </c>
      <c r="D845" s="13" t="s">
        <v>1836</v>
      </c>
      <c r="E845" s="13" t="s">
        <v>1837</v>
      </c>
      <c r="F845" s="13"/>
      <c r="G845" s="13" t="s">
        <v>15</v>
      </c>
      <c r="H845" s="22" t="str">
        <f>IFERROR(VLOOKUP(Table2[[#This Row], [Ticket]],Okey!A:B,2,0),"")</f>
        <v>ok</v>
      </c>
      <c r="I845" s="13" t="s">
        <v>276</v>
      </c>
      <c r="J845" s="22" t="str">
        <f>VLOOKUP(Table2[[#This Row], [Author]],People!A:B,2,0)</f>
        <v>HC</v>
      </c>
      <c r="K845" s="13"/>
      <c r="L845" s="13"/>
      <c r="M845" s="23" t="s">
        <v>277</v>
      </c>
    </row>
    <row r="846" spans="1:13" ht="19.5" customHeight="1">
      <c r="A846" s="18">
        <f t="shared" si="13"/>
        <v>845</v>
      </c>
      <c r="B846" s="11" t="s">
        <v>8</v>
      </c>
      <c r="C846" s="11" t="s">
        <v>65</v>
      </c>
      <c r="D846" s="11" t="s">
        <v>1838</v>
      </c>
      <c r="E846" s="11" t="s">
        <v>1839</v>
      </c>
      <c r="F846" s="11"/>
      <c r="G846" s="11" t="s">
        <v>15</v>
      </c>
      <c r="H846" s="19" t="str">
        <f>IFERROR(VLOOKUP(Table2[[#This Row], [Ticket]],Okey!A:B,2,0),"")</f>
        <v>ok</v>
      </c>
      <c r="I846" s="11" t="s">
        <v>276</v>
      </c>
      <c r="J846" s="19" t="e">
        <f>VLOOKUP(Table2[[#This Row], [Author]],People!A:B,2,0)</f>
        <v>#N/A</v>
      </c>
      <c r="K846" s="11"/>
      <c r="L846" s="11"/>
      <c r="M846" s="20" t="s">
        <v>277</v>
      </c>
    </row>
    <row r="847" spans="1:13" ht="19.5" customHeight="1">
      <c r="A847" s="21">
        <f t="shared" si="13"/>
        <v>846</v>
      </c>
      <c r="B847" s="13" t="s">
        <v>8</v>
      </c>
      <c r="C847" s="13" t="s">
        <v>65</v>
      </c>
      <c r="D847" s="13" t="s">
        <v>1840</v>
      </c>
      <c r="E847" s="13" t="s">
        <v>1841</v>
      </c>
      <c r="F847" s="13"/>
      <c r="G847" s="13" t="s">
        <v>15</v>
      </c>
      <c r="H847" s="22" t="str">
        <f>IFERROR(VLOOKUP(Table2[[#This Row], [Ticket]],Okey!A:B,2,0),"")</f>
        <v>ok</v>
      </c>
      <c r="I847" s="13" t="s">
        <v>276</v>
      </c>
      <c r="J847" s="22" t="e">
        <f>VLOOKUP(Table2[[#This Row], [Author]],People!A:B,2,0)</f>
        <v>#N/A</v>
      </c>
      <c r="K847" s="13"/>
      <c r="L847" s="13"/>
      <c r="M847" s="23" t="s">
        <v>277</v>
      </c>
    </row>
    <row r="848" spans="1:13" ht="19.5" customHeight="1">
      <c r="A848" s="18">
        <f t="shared" si="13"/>
        <v>847</v>
      </c>
      <c r="B848" s="11" t="s">
        <v>8</v>
      </c>
      <c r="C848" s="11" t="s">
        <v>65</v>
      </c>
      <c r="D848" s="11" t="s">
        <v>1842</v>
      </c>
      <c r="E848" s="11" t="s">
        <v>1843</v>
      </c>
      <c r="F848" s="11"/>
      <c r="G848" s="11" t="s">
        <v>15</v>
      </c>
      <c r="H848" s="19" t="str">
        <f>IFERROR(VLOOKUP(Table2[[#This Row], [Ticket]],Okey!A:B,2,0),"")</f>
        <v>ok</v>
      </c>
      <c r="I848" s="11" t="s">
        <v>276</v>
      </c>
      <c r="J848" s="19" t="str">
        <f>VLOOKUP(Table2[[#This Row], [Author]],People!A:B,2,0)</f>
        <v>LS</v>
      </c>
      <c r="K848" s="11"/>
      <c r="L848" s="11"/>
      <c r="M848" s="20" t="s">
        <v>277</v>
      </c>
    </row>
    <row r="849" spans="1:13" ht="19.5" customHeight="1">
      <c r="A849" s="21">
        <f t="shared" si="13"/>
        <v>848</v>
      </c>
      <c r="B849" s="13" t="s">
        <v>8</v>
      </c>
      <c r="C849" s="13" t="s">
        <v>65</v>
      </c>
      <c r="D849" s="13" t="s">
        <v>1844</v>
      </c>
      <c r="E849" s="13" t="s">
        <v>1845</v>
      </c>
      <c r="F849" s="13"/>
      <c r="G849" s="13" t="s">
        <v>15</v>
      </c>
      <c r="H849" s="22" t="str">
        <f>IFERROR(VLOOKUP(Table2[[#This Row], [Ticket]],Okey!A:B,2,0),"")</f>
        <v>ok</v>
      </c>
      <c r="I849" s="13" t="s">
        <v>276</v>
      </c>
      <c r="J849" s="22" t="e">
        <f>VLOOKUP(Table2[[#This Row], [Author]],People!A:B,2,0)</f>
        <v>#N/A</v>
      </c>
      <c r="K849" s="13"/>
      <c r="L849" s="13"/>
      <c r="M849" s="23" t="s">
        <v>277</v>
      </c>
    </row>
    <row r="850" spans="1:13" ht="19.5" customHeight="1">
      <c r="A850" s="18">
        <f t="shared" si="13"/>
        <v>849</v>
      </c>
      <c r="B850" s="11" t="s">
        <v>8</v>
      </c>
      <c r="C850" s="11" t="s">
        <v>65</v>
      </c>
      <c r="D850" s="11" t="s">
        <v>1846</v>
      </c>
      <c r="E850" s="11" t="s">
        <v>1847</v>
      </c>
      <c r="F850" s="11"/>
      <c r="G850" s="11" t="s">
        <v>15</v>
      </c>
      <c r="H850" s="19" t="str">
        <f>IFERROR(VLOOKUP(Table2[[#This Row], [Ticket]],Okey!A:B,2,0),"")</f>
        <v>ok</v>
      </c>
      <c r="I850" s="11" t="s">
        <v>276</v>
      </c>
      <c r="J850" s="19" t="e">
        <f>VLOOKUP(Table2[[#This Row], [Author]],People!A:B,2,0)</f>
        <v>#N/A</v>
      </c>
      <c r="K850" s="11"/>
      <c r="L850" s="11"/>
      <c r="M850" s="20" t="s">
        <v>277</v>
      </c>
    </row>
    <row r="851" spans="1:13" ht="19.5" customHeight="1">
      <c r="A851" s="21">
        <f t="shared" si="13"/>
        <v>850</v>
      </c>
      <c r="B851" s="13" t="s">
        <v>8</v>
      </c>
      <c r="C851" s="13" t="s">
        <v>65</v>
      </c>
      <c r="D851" s="13" t="s">
        <v>1848</v>
      </c>
      <c r="E851" s="13" t="s">
        <v>1849</v>
      </c>
      <c r="F851" s="13"/>
      <c r="G851" s="13" t="s">
        <v>15</v>
      </c>
      <c r="H851" s="22" t="str">
        <f>IFERROR(VLOOKUP(Table2[[#This Row], [Ticket]],Okey!A:B,2,0),"")</f>
        <v>ok</v>
      </c>
      <c r="I851" s="13" t="s">
        <v>276</v>
      </c>
      <c r="J851" s="22" t="e">
        <f>VLOOKUP(Table2[[#This Row], [Author]],People!A:B,2,0)</f>
        <v>#N/A</v>
      </c>
      <c r="K851" s="13"/>
      <c r="L851" s="13"/>
      <c r="M851" s="23" t="s">
        <v>277</v>
      </c>
    </row>
    <row r="852" spans="1:13" ht="19.5" customHeight="1">
      <c r="A852" s="18">
        <f t="shared" si="13"/>
        <v>851</v>
      </c>
      <c r="B852" s="11" t="s">
        <v>8</v>
      </c>
      <c r="C852" s="11" t="s">
        <v>65</v>
      </c>
      <c r="D852" s="11" t="s">
        <v>1850</v>
      </c>
      <c r="E852" s="11" t="s">
        <v>1851</v>
      </c>
      <c r="F852" s="11"/>
      <c r="G852" s="11" t="s">
        <v>15</v>
      </c>
      <c r="H852" s="19" t="str">
        <f>IFERROR(VLOOKUP(Table2[[#This Row], [Ticket]],Okey!A:B,2,0),"")</f>
        <v>ok</v>
      </c>
      <c r="I852" s="11" t="s">
        <v>276</v>
      </c>
      <c r="J852" s="19" t="e">
        <f>VLOOKUP(Table2[[#This Row], [Author]],People!A:B,2,0)</f>
        <v>#N/A</v>
      </c>
      <c r="K852" s="11"/>
      <c r="L852" s="11"/>
      <c r="M852" s="20" t="s">
        <v>277</v>
      </c>
    </row>
    <row r="853" spans="1:13" ht="19.5" customHeight="1">
      <c r="A853" s="21">
        <f t="shared" si="13"/>
        <v>852</v>
      </c>
      <c r="B853" s="13" t="s">
        <v>8</v>
      </c>
      <c r="C853" s="13" t="s">
        <v>65</v>
      </c>
      <c r="D853" s="13" t="s">
        <v>1852</v>
      </c>
      <c r="E853" s="13" t="s">
        <v>1853</v>
      </c>
      <c r="F853" s="13"/>
      <c r="G853" s="13" t="s">
        <v>15</v>
      </c>
      <c r="H853" s="22" t="str">
        <f>IFERROR(VLOOKUP(Table2[[#This Row], [Ticket]],Okey!A:B,2,0),"")</f>
        <v>ok</v>
      </c>
      <c r="I853" s="13" t="s">
        <v>276</v>
      </c>
      <c r="J853" s="22" t="e">
        <f>VLOOKUP(Table2[[#This Row], [Author]],People!A:B,2,0)</f>
        <v>#N/A</v>
      </c>
      <c r="K853" s="13"/>
      <c r="L853" s="13"/>
      <c r="M853" s="23" t="s">
        <v>277</v>
      </c>
    </row>
    <row r="854" spans="1:13" ht="19.5" customHeight="1">
      <c r="A854" s="18">
        <f t="shared" si="13"/>
        <v>853</v>
      </c>
      <c r="B854" s="11" t="s">
        <v>8</v>
      </c>
      <c r="C854" s="11" t="s">
        <v>65</v>
      </c>
      <c r="D854" s="11" t="s">
        <v>1854</v>
      </c>
      <c r="E854" s="11" t="s">
        <v>1855</v>
      </c>
      <c r="F854" s="11"/>
      <c r="G854" s="11" t="s">
        <v>15</v>
      </c>
      <c r="H854" s="19" t="str">
        <f>IFERROR(VLOOKUP(Table2[[#This Row], [Ticket]],Okey!A:B,2,0),"")</f>
        <v>ok</v>
      </c>
      <c r="I854" s="11" t="s">
        <v>276</v>
      </c>
      <c r="J854" s="19" t="e">
        <f>VLOOKUP(Table2[[#This Row], [Author]],People!A:B,2,0)</f>
        <v>#N/A</v>
      </c>
      <c r="K854" s="11"/>
      <c r="L854" s="11"/>
      <c r="M854" s="20" t="s">
        <v>277</v>
      </c>
    </row>
    <row r="855" spans="1:13" ht="19.5" customHeight="1">
      <c r="A855" s="21">
        <f t="shared" si="13"/>
        <v>854</v>
      </c>
      <c r="B855" s="13" t="s">
        <v>8</v>
      </c>
      <c r="C855" s="13" t="s">
        <v>65</v>
      </c>
      <c r="D855" s="13" t="s">
        <v>1856</v>
      </c>
      <c r="E855" s="13" t="s">
        <v>1857</v>
      </c>
      <c r="F855" s="13"/>
      <c r="G855" s="13" t="s">
        <v>15</v>
      </c>
      <c r="H855" s="22" t="str">
        <f>IFERROR(VLOOKUP(Table2[[#This Row], [Ticket]],Okey!A:B,2,0),"")</f>
        <v>ok</v>
      </c>
      <c r="I855" s="13" t="s">
        <v>276</v>
      </c>
      <c r="J855" s="22" t="e">
        <f>VLOOKUP(Table2[[#This Row], [Author]],People!A:B,2,0)</f>
        <v>#N/A</v>
      </c>
      <c r="K855" s="13"/>
      <c r="L855" s="13"/>
      <c r="M855" s="23" t="s">
        <v>277</v>
      </c>
    </row>
    <row r="856" spans="1:13" ht="19.5" customHeight="1">
      <c r="A856" s="18">
        <f t="shared" si="13"/>
        <v>855</v>
      </c>
      <c r="B856" s="11" t="s">
        <v>8</v>
      </c>
      <c r="C856" s="11" t="s">
        <v>65</v>
      </c>
      <c r="D856" s="11" t="s">
        <v>1858</v>
      </c>
      <c r="E856" s="11" t="s">
        <v>1859</v>
      </c>
      <c r="F856" s="11"/>
      <c r="G856" s="11" t="s">
        <v>15</v>
      </c>
      <c r="H856" s="19" t="str">
        <f>IFERROR(VLOOKUP(Table2[[#This Row], [Ticket]],Okey!A:B,2,0),"")</f>
        <v>ok</v>
      </c>
      <c r="I856" s="11" t="s">
        <v>276</v>
      </c>
      <c r="J856" s="19" t="e">
        <f>VLOOKUP(Table2[[#This Row], [Author]],People!A:B,2,0)</f>
        <v>#N/A</v>
      </c>
      <c r="K856" s="11"/>
      <c r="L856" s="11"/>
      <c r="M856" s="20" t="s">
        <v>277</v>
      </c>
    </row>
    <row r="857" spans="1:13" ht="19.5" customHeight="1">
      <c r="A857" s="21">
        <f t="shared" si="13"/>
        <v>856</v>
      </c>
      <c r="B857" s="13" t="s">
        <v>8</v>
      </c>
      <c r="C857" s="13" t="s">
        <v>65</v>
      </c>
      <c r="D857" s="13" t="s">
        <v>1860</v>
      </c>
      <c r="E857" s="13" t="s">
        <v>1861</v>
      </c>
      <c r="F857" s="13"/>
      <c r="G857" s="13" t="s">
        <v>15</v>
      </c>
      <c r="H857" s="22" t="str">
        <f>IFERROR(VLOOKUP(Table2[[#This Row], [Ticket]],Okey!A:B,2,0),"")</f>
        <v>ok</v>
      </c>
      <c r="I857" s="13" t="s">
        <v>276</v>
      </c>
      <c r="J857" s="22" t="e">
        <f>VLOOKUP(Table2[[#This Row], [Author]],People!A:B,2,0)</f>
        <v>#N/A</v>
      </c>
      <c r="K857" s="13"/>
      <c r="L857" s="13"/>
      <c r="M857" s="23" t="s">
        <v>277</v>
      </c>
    </row>
    <row r="858" spans="1:13" ht="19.5" customHeight="1">
      <c r="A858" s="18">
        <f t="shared" si="13"/>
        <v>857</v>
      </c>
      <c r="B858" s="11" t="s">
        <v>8</v>
      </c>
      <c r="C858" s="11" t="s">
        <v>65</v>
      </c>
      <c r="D858" s="11" t="s">
        <v>1862</v>
      </c>
      <c r="E858" s="11" t="s">
        <v>1863</v>
      </c>
      <c r="F858" s="11"/>
      <c r="G858" s="11" t="s">
        <v>15</v>
      </c>
      <c r="H858" s="19" t="str">
        <f>IFERROR(VLOOKUP(Table2[[#This Row], [Ticket]],Okey!A:B,2,0),"")</f>
        <v>ok</v>
      </c>
      <c r="I858" s="11" t="s">
        <v>276</v>
      </c>
      <c r="J858" s="19" t="str">
        <f>VLOOKUP(Table2[[#This Row], [Author]],People!A:B,2,0)</f>
        <v>MGF</v>
      </c>
      <c r="K858" s="11"/>
      <c r="L858" s="11"/>
      <c r="M858" s="20" t="s">
        <v>277</v>
      </c>
    </row>
    <row r="859" spans="1:13" ht="19.5" customHeight="1">
      <c r="A859" s="21">
        <f t="shared" si="13"/>
        <v>858</v>
      </c>
      <c r="B859" s="13" t="s">
        <v>8</v>
      </c>
      <c r="C859" s="13" t="s">
        <v>65</v>
      </c>
      <c r="D859" s="13" t="s">
        <v>1864</v>
      </c>
      <c r="E859" s="13" t="s">
        <v>1865</v>
      </c>
      <c r="F859" s="13"/>
      <c r="G859" s="13" t="s">
        <v>15</v>
      </c>
      <c r="H859" s="22" t="str">
        <f>IFERROR(VLOOKUP(Table2[[#This Row], [Ticket]],Okey!A:B,2,0),"")</f>
        <v>ok</v>
      </c>
      <c r="I859" s="13" t="s">
        <v>276</v>
      </c>
      <c r="J859" s="22" t="e">
        <f>VLOOKUP(Table2[[#This Row], [Author]],People!A:B,2,0)</f>
        <v>#N/A</v>
      </c>
      <c r="K859" s="13"/>
      <c r="L859" s="13"/>
      <c r="M859" s="23" t="s">
        <v>277</v>
      </c>
    </row>
    <row r="860" spans="1:13" ht="19.5" customHeight="1">
      <c r="A860" s="18">
        <f t="shared" si="13"/>
        <v>859</v>
      </c>
      <c r="B860" s="11" t="s">
        <v>8</v>
      </c>
      <c r="C860" s="11" t="s">
        <v>65</v>
      </c>
      <c r="D860" s="11" t="s">
        <v>1866</v>
      </c>
      <c r="E860" s="11" t="s">
        <v>1867</v>
      </c>
      <c r="F860" s="11"/>
      <c r="G860" s="11" t="s">
        <v>15</v>
      </c>
      <c r="H860" s="19" t="str">
        <f>IFERROR(VLOOKUP(Table2[[#This Row], [Ticket]],Okey!A:B,2,0),"")</f>
        <v>ok</v>
      </c>
      <c r="I860" s="11" t="s">
        <v>276</v>
      </c>
      <c r="J860" s="19" t="str">
        <f>VLOOKUP(Table2[[#This Row], [Author]],People!A:B,2,0)</f>
        <v>MGF</v>
      </c>
      <c r="K860" s="11"/>
      <c r="L860" s="11"/>
      <c r="M860" s="20" t="s">
        <v>277</v>
      </c>
    </row>
    <row r="861" spans="1:13" ht="19.5" customHeight="1">
      <c r="A861" s="21">
        <f t="shared" si="13"/>
        <v>860</v>
      </c>
      <c r="B861" s="13" t="s">
        <v>8</v>
      </c>
      <c r="C861" s="13" t="s">
        <v>65</v>
      </c>
      <c r="D861" s="13" t="s">
        <v>1868</v>
      </c>
      <c r="E861" s="13" t="s">
        <v>1869</v>
      </c>
      <c r="F861" s="13"/>
      <c r="G861" s="13" t="s">
        <v>15</v>
      </c>
      <c r="H861" s="22" t="str">
        <f>IFERROR(VLOOKUP(Table2[[#This Row], [Ticket]],Okey!A:B,2,0),"")</f>
        <v>ok</v>
      </c>
      <c r="I861" s="13" t="s">
        <v>276</v>
      </c>
      <c r="J861" s="22" t="e">
        <f>VLOOKUP(Table2[[#This Row], [Author]],People!A:B,2,0)</f>
        <v>#N/A</v>
      </c>
      <c r="K861" s="13"/>
      <c r="L861" s="13"/>
      <c r="M861" s="23" t="s">
        <v>277</v>
      </c>
    </row>
    <row r="862" spans="1:13" ht="19.5" customHeight="1">
      <c r="A862" s="18">
        <f t="shared" si="13"/>
        <v>861</v>
      </c>
      <c r="B862" s="11" t="s">
        <v>8</v>
      </c>
      <c r="C862" s="11" t="s">
        <v>65</v>
      </c>
      <c r="D862" s="11" t="s">
        <v>1870</v>
      </c>
      <c r="E862" s="11" t="s">
        <v>1871</v>
      </c>
      <c r="F862" s="11"/>
      <c r="G862" s="11" t="s">
        <v>15</v>
      </c>
      <c r="H862" s="19" t="str">
        <f>IFERROR(VLOOKUP(Table2[[#This Row], [Ticket]],Okey!A:B,2,0),"")</f>
        <v>ok</v>
      </c>
      <c r="I862" s="11" t="s">
        <v>276</v>
      </c>
      <c r="J862" s="19" t="e">
        <f>VLOOKUP(Table2[[#This Row], [Author]],People!A:B,2,0)</f>
        <v>#N/A</v>
      </c>
      <c r="K862" s="11"/>
      <c r="L862" s="11"/>
      <c r="M862" s="20" t="s">
        <v>277</v>
      </c>
    </row>
    <row r="863" spans="1:13" ht="19.5" customHeight="1">
      <c r="A863" s="21">
        <f t="shared" si="13"/>
        <v>862</v>
      </c>
      <c r="B863" s="13" t="s">
        <v>8</v>
      </c>
      <c r="C863" s="13" t="s">
        <v>65</v>
      </c>
      <c r="D863" s="13" t="s">
        <v>1872</v>
      </c>
      <c r="E863" s="13" t="s">
        <v>1873</v>
      </c>
      <c r="F863" s="13"/>
      <c r="G863" s="13" t="s">
        <v>15</v>
      </c>
      <c r="H863" s="22" t="str">
        <f>IFERROR(VLOOKUP(Table2[[#This Row], [Ticket]],Okey!A:B,2,0),"")</f>
        <v>ok</v>
      </c>
      <c r="I863" s="13" t="s">
        <v>276</v>
      </c>
      <c r="J863" s="22" t="e">
        <f>VLOOKUP(Table2[[#This Row], [Author]],People!A:B,2,0)</f>
        <v>#N/A</v>
      </c>
      <c r="K863" s="13"/>
      <c r="L863" s="13"/>
      <c r="M863" s="23" t="s">
        <v>277</v>
      </c>
    </row>
    <row r="864" spans="1:13" ht="19.5" customHeight="1">
      <c r="A864" s="18">
        <f t="shared" si="13"/>
        <v>863</v>
      </c>
      <c r="B864" s="11" t="s">
        <v>8</v>
      </c>
      <c r="C864" s="11" t="s">
        <v>65</v>
      </c>
      <c r="D864" s="11" t="s">
        <v>1874</v>
      </c>
      <c r="E864" s="11" t="s">
        <v>1875</v>
      </c>
      <c r="F864" s="11"/>
      <c r="G864" s="11" t="s">
        <v>15</v>
      </c>
      <c r="H864" s="19" t="str">
        <f>IFERROR(VLOOKUP(Table2[[#This Row], [Ticket]],Okey!A:B,2,0),"")</f>
        <v>ok</v>
      </c>
      <c r="I864" s="11" t="s">
        <v>276</v>
      </c>
      <c r="J864" s="19" t="e">
        <f>VLOOKUP(Table2[[#This Row], [Author]],People!A:B,2,0)</f>
        <v>#N/A</v>
      </c>
      <c r="K864" s="11"/>
      <c r="L864" s="11"/>
      <c r="M864" s="20" t="s">
        <v>277</v>
      </c>
    </row>
    <row r="865" spans="1:13" ht="19.5" customHeight="1">
      <c r="A865" s="21">
        <f t="shared" si="13"/>
        <v>864</v>
      </c>
      <c r="B865" s="13" t="s">
        <v>8</v>
      </c>
      <c r="C865" s="13" t="s">
        <v>65</v>
      </c>
      <c r="D865" s="13" t="s">
        <v>1876</v>
      </c>
      <c r="E865" s="13" t="s">
        <v>1877</v>
      </c>
      <c r="F865" s="13"/>
      <c r="G865" s="13" t="s">
        <v>15</v>
      </c>
      <c r="H865" s="22" t="str">
        <f>IFERROR(VLOOKUP(Table2[[#This Row], [Ticket]],Okey!A:B,2,0),"")</f>
        <v>ok</v>
      </c>
      <c r="I865" s="13" t="s">
        <v>276</v>
      </c>
      <c r="J865" s="22" t="e">
        <f>VLOOKUP(Table2[[#This Row], [Author]],People!A:B,2,0)</f>
        <v>#N/A</v>
      </c>
      <c r="K865" s="13"/>
      <c r="L865" s="13"/>
      <c r="M865" s="23" t="s">
        <v>277</v>
      </c>
    </row>
    <row r="866" spans="1:13" ht="19.5" customHeight="1">
      <c r="A866" s="18">
        <f t="shared" si="13"/>
        <v>865</v>
      </c>
      <c r="B866" s="11" t="s">
        <v>8</v>
      </c>
      <c r="C866" s="11" t="s">
        <v>65</v>
      </c>
      <c r="D866" s="11" t="s">
        <v>1878</v>
      </c>
      <c r="E866" s="11" t="s">
        <v>1879</v>
      </c>
      <c r="F866" s="11"/>
      <c r="G866" s="11" t="s">
        <v>15</v>
      </c>
      <c r="H866" s="19" t="str">
        <f>IFERROR(VLOOKUP(Table2[[#This Row], [Ticket]],Okey!A:B,2,0),"")</f>
        <v>ok</v>
      </c>
      <c r="I866" s="11" t="s">
        <v>276</v>
      </c>
      <c r="J866" s="19" t="e">
        <f>VLOOKUP(Table2[[#This Row], [Author]],People!A:B,2,0)</f>
        <v>#N/A</v>
      </c>
      <c r="K866" s="11"/>
      <c r="L866" s="11"/>
      <c r="M866" s="20" t="s">
        <v>277</v>
      </c>
    </row>
    <row r="867" spans="1:13" ht="19.5" customHeight="1">
      <c r="A867" s="21">
        <f t="shared" si="13"/>
        <v>866</v>
      </c>
      <c r="B867" s="13" t="s">
        <v>8</v>
      </c>
      <c r="C867" s="13" t="s">
        <v>65</v>
      </c>
      <c r="D867" s="13" t="s">
        <v>1880</v>
      </c>
      <c r="E867" s="13" t="s">
        <v>1881</v>
      </c>
      <c r="F867" s="13"/>
      <c r="G867" s="13" t="s">
        <v>15</v>
      </c>
      <c r="H867" s="22" t="str">
        <f>IFERROR(VLOOKUP(Table2[[#This Row], [Ticket]],Okey!A:B,2,0),"")</f>
        <v>ok</v>
      </c>
      <c r="I867" s="13" t="s">
        <v>276</v>
      </c>
      <c r="J867" s="22" t="e">
        <f>VLOOKUP(Table2[[#This Row], [Author]],People!A:B,2,0)</f>
        <v>#N/A</v>
      </c>
      <c r="K867" s="13"/>
      <c r="L867" s="13"/>
      <c r="M867" s="23" t="s">
        <v>277</v>
      </c>
    </row>
    <row r="868" spans="1:13" ht="19.5" customHeight="1">
      <c r="A868" s="18">
        <f t="shared" si="13"/>
        <v>867</v>
      </c>
      <c r="B868" s="11" t="s">
        <v>8</v>
      </c>
      <c r="C868" s="11" t="s">
        <v>65</v>
      </c>
      <c r="D868" s="11" t="s">
        <v>1882</v>
      </c>
      <c r="E868" s="11" t="s">
        <v>1883</v>
      </c>
      <c r="F868" s="11"/>
      <c r="G868" s="11" t="s">
        <v>15</v>
      </c>
      <c r="H868" s="19" t="str">
        <f>IFERROR(VLOOKUP(Table2[[#This Row], [Ticket]],Okey!A:B,2,0),"")</f>
        <v>ok</v>
      </c>
      <c r="I868" s="11" t="s">
        <v>276</v>
      </c>
      <c r="J868" s="19" t="e">
        <f>VLOOKUP(Table2[[#This Row], [Author]],People!A:B,2,0)</f>
        <v>#N/A</v>
      </c>
      <c r="K868" s="11"/>
      <c r="L868" s="11"/>
      <c r="M868" s="20" t="s">
        <v>277</v>
      </c>
    </row>
    <row r="869" spans="1:13" ht="19.5" customHeight="1">
      <c r="A869" s="21">
        <f t="shared" si="13"/>
        <v>868</v>
      </c>
      <c r="B869" s="13" t="s">
        <v>8</v>
      </c>
      <c r="C869" s="13" t="s">
        <v>65</v>
      </c>
      <c r="D869" s="13" t="s">
        <v>1884</v>
      </c>
      <c r="E869" s="13" t="s">
        <v>1885</v>
      </c>
      <c r="F869" s="13"/>
      <c r="G869" s="13" t="s">
        <v>15</v>
      </c>
      <c r="H869" s="22" t="str">
        <f>IFERROR(VLOOKUP(Table2[[#This Row], [Ticket]],Okey!A:B,2,0),"")</f>
        <v>ok</v>
      </c>
      <c r="I869" s="13" t="s">
        <v>276</v>
      </c>
      <c r="J869" s="22" t="e">
        <f>VLOOKUP(Table2[[#This Row], [Author]],People!A:B,2,0)</f>
        <v>#N/A</v>
      </c>
      <c r="K869" s="13"/>
      <c r="L869" s="13"/>
      <c r="M869" s="23" t="s">
        <v>277</v>
      </c>
    </row>
    <row r="870" spans="1:13" ht="19.5" customHeight="1">
      <c r="A870" s="18">
        <f t="shared" si="13"/>
        <v>869</v>
      </c>
      <c r="B870" s="11" t="s">
        <v>8</v>
      </c>
      <c r="C870" s="11" t="s">
        <v>65</v>
      </c>
      <c r="D870" s="11" t="s">
        <v>1886</v>
      </c>
      <c r="E870" s="11" t="s">
        <v>1887</v>
      </c>
      <c r="F870" s="11"/>
      <c r="G870" s="11" t="s">
        <v>15</v>
      </c>
      <c r="H870" s="19" t="str">
        <f>IFERROR(VLOOKUP(Table2[[#This Row], [Ticket]],Okey!A:B,2,0),"")</f>
        <v>ok</v>
      </c>
      <c r="I870" s="11" t="s">
        <v>276</v>
      </c>
      <c r="J870" s="19" t="e">
        <f>VLOOKUP(Table2[[#This Row], [Author]],People!A:B,2,0)</f>
        <v>#N/A</v>
      </c>
      <c r="K870" s="11"/>
      <c r="L870" s="11"/>
      <c r="M870" s="20" t="s">
        <v>277</v>
      </c>
    </row>
    <row r="871" spans="1:13" ht="19.5" customHeight="1">
      <c r="A871" s="21">
        <f t="shared" si="13"/>
        <v>870</v>
      </c>
      <c r="B871" s="13" t="s">
        <v>8</v>
      </c>
      <c r="C871" s="13" t="s">
        <v>65</v>
      </c>
      <c r="D871" s="13" t="s">
        <v>1888</v>
      </c>
      <c r="E871" s="13" t="s">
        <v>1889</v>
      </c>
      <c r="F871" s="13"/>
      <c r="G871" s="13" t="s">
        <v>15</v>
      </c>
      <c r="H871" s="22" t="str">
        <f>IFERROR(VLOOKUP(Table2[[#This Row], [Ticket]],Okey!A:B,2,0),"")</f>
        <v>ok</v>
      </c>
      <c r="I871" s="13" t="s">
        <v>276</v>
      </c>
      <c r="J871" s="22" t="e">
        <f>VLOOKUP(Table2[[#This Row], [Author]],People!A:B,2,0)</f>
        <v>#N/A</v>
      </c>
      <c r="K871" s="13"/>
      <c r="L871" s="13"/>
      <c r="M871" s="23" t="s">
        <v>277</v>
      </c>
    </row>
    <row r="872" spans="1:13" ht="19.5" customHeight="1">
      <c r="A872" s="18">
        <f t="shared" si="13"/>
        <v>871</v>
      </c>
      <c r="B872" s="11" t="s">
        <v>8</v>
      </c>
      <c r="C872" s="11" t="s">
        <v>65</v>
      </c>
      <c r="D872" s="11" t="s">
        <v>1890</v>
      </c>
      <c r="E872" s="11" t="s">
        <v>1891</v>
      </c>
      <c r="F872" s="11"/>
      <c r="G872" s="11" t="s">
        <v>15</v>
      </c>
      <c r="H872" s="19" t="str">
        <f>IFERROR(VLOOKUP(Table2[[#This Row], [Ticket]],Okey!A:B,2,0),"")</f>
        <v>ok</v>
      </c>
      <c r="I872" s="11" t="s">
        <v>276</v>
      </c>
      <c r="J872" s="19" t="e">
        <f>VLOOKUP(Table2[[#This Row], [Author]],People!A:B,2,0)</f>
        <v>#N/A</v>
      </c>
      <c r="K872" s="11"/>
      <c r="L872" s="11"/>
      <c r="M872" s="20" t="s">
        <v>277</v>
      </c>
    </row>
    <row r="873" spans="1:13" ht="19.5" customHeight="1">
      <c r="A873" s="21">
        <f t="shared" si="13"/>
        <v>872</v>
      </c>
      <c r="B873" s="13" t="s">
        <v>8</v>
      </c>
      <c r="C873" s="13" t="s">
        <v>65</v>
      </c>
      <c r="D873" s="13" t="s">
        <v>1892</v>
      </c>
      <c r="E873" s="13" t="s">
        <v>1893</v>
      </c>
      <c r="F873" s="13"/>
      <c r="G873" s="13" t="s">
        <v>15</v>
      </c>
      <c r="H873" s="22" t="str">
        <f>IFERROR(VLOOKUP(Table2[[#This Row], [Ticket]],Okey!A:B,2,0),"")</f>
        <v>ok</v>
      </c>
      <c r="I873" s="13" t="s">
        <v>276</v>
      </c>
      <c r="J873" s="22" t="e">
        <f>VLOOKUP(Table2[[#This Row], [Author]],People!A:B,2,0)</f>
        <v>#N/A</v>
      </c>
      <c r="K873" s="13"/>
      <c r="L873" s="13"/>
      <c r="M873" s="23" t="s">
        <v>277</v>
      </c>
    </row>
    <row r="874" spans="1:13" ht="19.5" customHeight="1">
      <c r="A874" s="18">
        <f t="shared" si="13"/>
        <v>873</v>
      </c>
      <c r="B874" s="11" t="s">
        <v>8</v>
      </c>
      <c r="C874" s="11" t="s">
        <v>65</v>
      </c>
      <c r="D874" s="11" t="s">
        <v>1894</v>
      </c>
      <c r="E874" s="11" t="s">
        <v>1895</v>
      </c>
      <c r="F874" s="11"/>
      <c r="G874" s="11" t="s">
        <v>15</v>
      </c>
      <c r="H874" s="19" t="str">
        <f>IFERROR(VLOOKUP(Table2[[#This Row], [Ticket]],Okey!A:B,2,0),"")</f>
        <v>ok</v>
      </c>
      <c r="I874" s="11" t="s">
        <v>276</v>
      </c>
      <c r="J874" s="19" t="e">
        <f>VLOOKUP(Table2[[#This Row], [Author]],People!A:B,2,0)</f>
        <v>#N/A</v>
      </c>
      <c r="K874" s="11"/>
      <c r="L874" s="11"/>
      <c r="M874" s="20" t="s">
        <v>277</v>
      </c>
    </row>
    <row r="875" spans="1:13" ht="19.5" customHeight="1">
      <c r="A875" s="21">
        <f t="shared" si="13"/>
        <v>874</v>
      </c>
      <c r="B875" s="13" t="s">
        <v>8</v>
      </c>
      <c r="C875" s="13" t="s">
        <v>65</v>
      </c>
      <c r="D875" s="13" t="s">
        <v>1896</v>
      </c>
      <c r="E875" s="13" t="s">
        <v>1897</v>
      </c>
      <c r="F875" s="13"/>
      <c r="G875" s="13" t="s">
        <v>15</v>
      </c>
      <c r="H875" s="22" t="str">
        <f>IFERROR(VLOOKUP(Table2[[#This Row], [Ticket]],Okey!A:B,2,0),"")</f>
        <v>ok</v>
      </c>
      <c r="I875" s="13" t="s">
        <v>276</v>
      </c>
      <c r="J875" s="22" t="e">
        <f>VLOOKUP(Table2[[#This Row], [Author]],People!A:B,2,0)</f>
        <v>#N/A</v>
      </c>
      <c r="K875" s="13"/>
      <c r="L875" s="13"/>
      <c r="M875" s="23" t="s">
        <v>277</v>
      </c>
    </row>
    <row r="876" spans="1:13" ht="19.5" customHeight="1">
      <c r="A876" s="18">
        <f t="shared" si="13"/>
        <v>875</v>
      </c>
      <c r="B876" s="11" t="s">
        <v>8</v>
      </c>
      <c r="C876" s="11" t="s">
        <v>65</v>
      </c>
      <c r="D876" s="11" t="s">
        <v>1898</v>
      </c>
      <c r="E876" s="11" t="s">
        <v>1899</v>
      </c>
      <c r="F876" s="11"/>
      <c r="G876" s="11" t="s">
        <v>15</v>
      </c>
      <c r="H876" s="19" t="str">
        <f>IFERROR(VLOOKUP(Table2[[#This Row], [Ticket]],Okey!A:B,2,0),"")</f>
        <v>ok</v>
      </c>
      <c r="I876" s="11" t="s">
        <v>276</v>
      </c>
      <c r="J876" s="19" t="e">
        <f>VLOOKUP(Table2[[#This Row], [Author]],People!A:B,2,0)</f>
        <v>#N/A</v>
      </c>
      <c r="K876" s="11"/>
      <c r="L876" s="11"/>
      <c r="M876" s="20" t="s">
        <v>277</v>
      </c>
    </row>
    <row r="877" spans="1:13" ht="19.5" customHeight="1">
      <c r="A877" s="21">
        <f t="shared" si="13"/>
        <v>876</v>
      </c>
      <c r="B877" s="13" t="s">
        <v>8</v>
      </c>
      <c r="C877" s="13" t="s">
        <v>65</v>
      </c>
      <c r="D877" s="13" t="s">
        <v>1900</v>
      </c>
      <c r="E877" s="13" t="s">
        <v>1901</v>
      </c>
      <c r="F877" s="13"/>
      <c r="G877" s="13" t="s">
        <v>15</v>
      </c>
      <c r="H877" s="22" t="str">
        <f>IFERROR(VLOOKUP(Table2[[#This Row], [Ticket]],Okey!A:B,2,0),"")</f>
        <v>ok</v>
      </c>
      <c r="I877" s="13" t="s">
        <v>276</v>
      </c>
      <c r="J877" s="22" t="e">
        <f>VLOOKUP(Table2[[#This Row], [Author]],People!A:B,2,0)</f>
        <v>#N/A</v>
      </c>
      <c r="K877" s="13"/>
      <c r="L877" s="13"/>
      <c r="M877" s="23" t="s">
        <v>277</v>
      </c>
    </row>
    <row r="878" spans="1:13" ht="19.5" customHeight="1">
      <c r="A878" s="18">
        <f t="shared" si="13"/>
        <v>877</v>
      </c>
      <c r="B878" s="11" t="s">
        <v>8</v>
      </c>
      <c r="C878" s="11" t="s">
        <v>65</v>
      </c>
      <c r="D878" s="11" t="s">
        <v>278</v>
      </c>
      <c r="E878" s="11" t="s">
        <v>1902</v>
      </c>
      <c r="F878" s="11"/>
      <c r="G878" s="11" t="s">
        <v>15</v>
      </c>
      <c r="H878" s="19" t="str">
        <f>IFERROR(VLOOKUP(Table2[[#This Row], [Ticket]],Okey!A:B,2,0),"")</f>
        <v>ok</v>
      </c>
      <c r="I878" s="11" t="s">
        <v>276</v>
      </c>
      <c r="J878" s="19" t="e">
        <f>VLOOKUP(Table2[[#This Row], [Author]],People!A:B,2,0)</f>
        <v>#N/A</v>
      </c>
      <c r="K878" s="11"/>
      <c r="L878" s="11"/>
      <c r="M878" s="20" t="s">
        <v>277</v>
      </c>
    </row>
    <row r="879" spans="1:13" ht="19.5" customHeight="1">
      <c r="A879" s="21">
        <f t="shared" si="13"/>
        <v>878</v>
      </c>
      <c r="B879" s="13" t="s">
        <v>8</v>
      </c>
      <c r="C879" s="13" t="s">
        <v>65</v>
      </c>
      <c r="D879" s="13" t="s">
        <v>1319</v>
      </c>
      <c r="E879" s="13" t="s">
        <v>1903</v>
      </c>
      <c r="F879" s="13"/>
      <c r="G879" s="13" t="s">
        <v>15</v>
      </c>
      <c r="H879" s="22" t="str">
        <f>IFERROR(VLOOKUP(Table2[[#This Row], [Ticket]],Okey!A:B,2,0),"")</f>
        <v>ok</v>
      </c>
      <c r="I879" s="13" t="s">
        <v>276</v>
      </c>
      <c r="J879" s="22" t="e">
        <f>VLOOKUP(Table2[[#This Row], [Author]],People!A:B,2,0)</f>
        <v>#N/A</v>
      </c>
      <c r="K879" s="13"/>
      <c r="L879" s="13"/>
      <c r="M879" s="23" t="s">
        <v>277</v>
      </c>
    </row>
    <row r="880" spans="1:13" ht="19.5" customHeight="1">
      <c r="A880" s="18">
        <f t="shared" si="13"/>
        <v>879</v>
      </c>
      <c r="B880" s="11" t="s">
        <v>8</v>
      </c>
      <c r="C880" s="11" t="s">
        <v>65</v>
      </c>
      <c r="D880" s="11" t="s">
        <v>1307</v>
      </c>
      <c r="E880" s="11" t="s">
        <v>1904</v>
      </c>
      <c r="F880" s="11"/>
      <c r="G880" s="11" t="s">
        <v>15</v>
      </c>
      <c r="H880" s="19" t="str">
        <f>IFERROR(VLOOKUP(Table2[[#This Row], [Ticket]],Okey!A:B,2,0),"")</f>
        <v>ok</v>
      </c>
      <c r="I880" s="11" t="s">
        <v>276</v>
      </c>
      <c r="J880" s="19" t="e">
        <f>VLOOKUP(Table2[[#This Row], [Author]],People!A:B,2,0)</f>
        <v>#N/A</v>
      </c>
      <c r="K880" s="11"/>
      <c r="L880" s="11"/>
      <c r="M880" s="20" t="s">
        <v>277</v>
      </c>
    </row>
    <row r="881" spans="1:13" ht="19.5" customHeight="1">
      <c r="A881" s="21">
        <f t="shared" si="13"/>
        <v>880</v>
      </c>
      <c r="B881" s="13" t="s">
        <v>8</v>
      </c>
      <c r="C881" s="13" t="s">
        <v>65</v>
      </c>
      <c r="D881" s="13" t="s">
        <v>1315</v>
      </c>
      <c r="E881" s="13" t="s">
        <v>1905</v>
      </c>
      <c r="F881" s="13"/>
      <c r="G881" s="13" t="s">
        <v>15</v>
      </c>
      <c r="H881" s="22" t="str">
        <f>IFERROR(VLOOKUP(Table2[[#This Row], [Ticket]],Okey!A:B,2,0),"")</f>
        <v>ok</v>
      </c>
      <c r="I881" s="13" t="s">
        <v>276</v>
      </c>
      <c r="J881" s="22" t="e">
        <f>VLOOKUP(Table2[[#This Row], [Author]],People!A:B,2,0)</f>
        <v>#N/A</v>
      </c>
      <c r="K881" s="13"/>
      <c r="L881" s="13"/>
      <c r="M881" s="23" t="s">
        <v>277</v>
      </c>
    </row>
    <row r="882" spans="1:13" ht="19.5" customHeight="1">
      <c r="A882" s="18">
        <f t="shared" si="13"/>
        <v>881</v>
      </c>
      <c r="B882" s="11" t="s">
        <v>8</v>
      </c>
      <c r="C882" s="11" t="s">
        <v>65</v>
      </c>
      <c r="D882" s="11" t="s">
        <v>1906</v>
      </c>
      <c r="E882" s="11" t="s">
        <v>1907</v>
      </c>
      <c r="F882" s="11"/>
      <c r="G882" s="11" t="s">
        <v>15</v>
      </c>
      <c r="H882" s="19" t="str">
        <f>IFERROR(VLOOKUP(Table2[[#This Row], [Ticket]],Okey!A:B,2,0),"")</f>
        <v>ok</v>
      </c>
      <c r="I882" s="11" t="s">
        <v>276</v>
      </c>
      <c r="J882" s="19" t="e">
        <f>VLOOKUP(Table2[[#This Row], [Author]],People!A:B,2,0)</f>
        <v>#N/A</v>
      </c>
      <c r="K882" s="11"/>
      <c r="L882" s="11"/>
      <c r="M882" s="20" t="s">
        <v>277</v>
      </c>
    </row>
    <row r="883" spans="1:13" ht="19.5" customHeight="1">
      <c r="A883" s="21">
        <f t="shared" si="13"/>
        <v>882</v>
      </c>
      <c r="B883" s="13" t="s">
        <v>8</v>
      </c>
      <c r="C883" s="13" t="s">
        <v>65</v>
      </c>
      <c r="D883" s="13" t="s">
        <v>1908</v>
      </c>
      <c r="E883" s="13" t="s">
        <v>1909</v>
      </c>
      <c r="F883" s="13"/>
      <c r="G883" s="13" t="s">
        <v>15</v>
      </c>
      <c r="H883" s="22" t="str">
        <f>IFERROR(VLOOKUP(Table2[[#This Row], [Ticket]],Okey!A:B,2,0),"")</f>
        <v>ok</v>
      </c>
      <c r="I883" s="13" t="s">
        <v>276</v>
      </c>
      <c r="J883" s="22" t="e">
        <f>VLOOKUP(Table2[[#This Row], [Author]],People!A:B,2,0)</f>
        <v>#N/A</v>
      </c>
      <c r="K883" s="13"/>
      <c r="L883" s="13"/>
      <c r="M883" s="23" t="s">
        <v>277</v>
      </c>
    </row>
    <row r="884" spans="1:13" ht="19.5" customHeight="1">
      <c r="A884" s="18">
        <f t="shared" si="13"/>
        <v>883</v>
      </c>
      <c r="B884" s="11" t="s">
        <v>8</v>
      </c>
      <c r="C884" s="11" t="s">
        <v>65</v>
      </c>
      <c r="D884" s="11" t="s">
        <v>1910</v>
      </c>
      <c r="E884" s="11" t="s">
        <v>1911</v>
      </c>
      <c r="F884" s="11"/>
      <c r="G884" s="11" t="s">
        <v>15</v>
      </c>
      <c r="H884" s="19" t="str">
        <f>IFERROR(VLOOKUP(Table2[[#This Row], [Ticket]],Okey!A:B,2,0),"")</f>
        <v>ok</v>
      </c>
      <c r="I884" s="11" t="s">
        <v>276</v>
      </c>
      <c r="J884" s="19" t="e">
        <f>VLOOKUP(Table2[[#This Row], [Author]],People!A:B,2,0)</f>
        <v>#N/A</v>
      </c>
      <c r="K884" s="11"/>
      <c r="L884" s="11"/>
      <c r="M884" s="20" t="s">
        <v>277</v>
      </c>
    </row>
    <row r="885" spans="1:13" ht="19.5" customHeight="1">
      <c r="A885" s="21">
        <f t="shared" si="13"/>
        <v>884</v>
      </c>
      <c r="B885" s="13" t="s">
        <v>8</v>
      </c>
      <c r="C885" s="13" t="s">
        <v>65</v>
      </c>
      <c r="D885" s="13" t="s">
        <v>1319</v>
      </c>
      <c r="E885" s="13" t="s">
        <v>1912</v>
      </c>
      <c r="F885" s="13"/>
      <c r="G885" s="13" t="s">
        <v>15</v>
      </c>
      <c r="H885" s="22" t="str">
        <f>IFERROR(VLOOKUP(Table2[[#This Row], [Ticket]],Okey!A:B,2,0),"")</f>
        <v>ok</v>
      </c>
      <c r="I885" s="13" t="s">
        <v>276</v>
      </c>
      <c r="J885" s="22" t="e">
        <f>VLOOKUP(Table2[[#This Row], [Author]],People!A:B,2,0)</f>
        <v>#N/A</v>
      </c>
      <c r="K885" s="13"/>
      <c r="L885" s="13"/>
      <c r="M885" s="23" t="s">
        <v>277</v>
      </c>
    </row>
    <row r="886" spans="1:13" ht="19.5" customHeight="1">
      <c r="A886" s="18">
        <f t="shared" si="13"/>
        <v>885</v>
      </c>
      <c r="B886" s="11" t="s">
        <v>8</v>
      </c>
      <c r="C886" s="11" t="s">
        <v>65</v>
      </c>
      <c r="D886" s="11" t="s">
        <v>1913</v>
      </c>
      <c r="E886" s="11"/>
      <c r="F886" s="11" t="s">
        <v>1317</v>
      </c>
      <c r="G886" s="11" t="s">
        <v>13</v>
      </c>
      <c r="H886" s="19" t="str">
        <f>IFERROR(VLOOKUP(Table2[[#This Row], [Ticket]],Okey!A:B,2,0),"")</f>
        <v>ok</v>
      </c>
      <c r="I886" s="11" t="s">
        <v>276</v>
      </c>
      <c r="J886" s="19" t="e">
        <f>VLOOKUP(Table2[[#This Row], [Author]],People!A:B,2,0)</f>
        <v>#N/A</v>
      </c>
      <c r="K886" s="11"/>
      <c r="L886" s="11"/>
      <c r="M886" s="20" t="s">
        <v>277</v>
      </c>
    </row>
    <row r="887" spans="1:13" ht="19.5" customHeight="1">
      <c r="A887" s="21">
        <f t="shared" si="13"/>
        <v>886</v>
      </c>
      <c r="B887" s="13" t="s">
        <v>8</v>
      </c>
      <c r="C887" s="13" t="s">
        <v>65</v>
      </c>
      <c r="D887" s="13" t="s">
        <v>1914</v>
      </c>
      <c r="E887" s="13"/>
      <c r="F887" s="13" t="s">
        <v>1910</v>
      </c>
      <c r="G887" s="13" t="s">
        <v>13</v>
      </c>
      <c r="H887" s="22" t="str">
        <f>IFERROR(VLOOKUP(Table2[[#This Row], [Ticket]],Okey!A:B,2,0),"")</f>
        <v>ok</v>
      </c>
      <c r="I887" s="13" t="s">
        <v>276</v>
      </c>
      <c r="J887" s="22" t="e">
        <f>VLOOKUP(Table2[[#This Row], [Author]],People!A:B,2,0)</f>
        <v>#N/A</v>
      </c>
      <c r="K887" s="13"/>
      <c r="L887" s="13"/>
      <c r="M887" s="23" t="s">
        <v>277</v>
      </c>
    </row>
    <row r="888" spans="1:13" ht="19.5" customHeight="1">
      <c r="A888" s="18">
        <f t="shared" si="13"/>
        <v>887</v>
      </c>
      <c r="B888" s="11" t="s">
        <v>8</v>
      </c>
      <c r="C888" s="11" t="s">
        <v>65</v>
      </c>
      <c r="D888" s="11" t="s">
        <v>1672</v>
      </c>
      <c r="E888" s="11"/>
      <c r="F888" s="11" t="s">
        <v>1352</v>
      </c>
      <c r="G888" s="11" t="s">
        <v>13</v>
      </c>
      <c r="H888" s="19" t="str">
        <f>IFERROR(VLOOKUP(Table2[[#This Row], [Ticket]],Okey!A:B,2,0),"")</f>
        <v>ok</v>
      </c>
      <c r="I888" s="11" t="s">
        <v>276</v>
      </c>
      <c r="J888" s="19" t="e">
        <f>VLOOKUP(Table2[[#This Row], [Author]],People!A:B,2,0)</f>
        <v>#N/A</v>
      </c>
      <c r="K888" s="11"/>
      <c r="L888" s="11"/>
      <c r="M888" s="20" t="s">
        <v>277</v>
      </c>
    </row>
    <row r="889" spans="1:13" ht="19.5" customHeight="1">
      <c r="A889" s="21">
        <f t="shared" si="13"/>
        <v>888</v>
      </c>
      <c r="B889" s="13" t="s">
        <v>8</v>
      </c>
      <c r="C889" s="13" t="s">
        <v>65</v>
      </c>
      <c r="D889" s="13" t="s">
        <v>1673</v>
      </c>
      <c r="E889" s="13"/>
      <c r="F889" s="13" t="s">
        <v>1352</v>
      </c>
      <c r="G889" s="13" t="s">
        <v>13</v>
      </c>
      <c r="H889" s="22" t="str">
        <f>IFERROR(VLOOKUP(Table2[[#This Row], [Ticket]],Okey!A:B,2,0),"")</f>
        <v>ok</v>
      </c>
      <c r="I889" s="13" t="s">
        <v>276</v>
      </c>
      <c r="J889" s="22" t="e">
        <f>VLOOKUP(Table2[[#This Row], [Author]],People!A:B,2,0)</f>
        <v>#N/A</v>
      </c>
      <c r="K889" s="13"/>
      <c r="L889" s="13"/>
      <c r="M889" s="23" t="s">
        <v>277</v>
      </c>
    </row>
    <row r="890" spans="1:13" ht="19.5" customHeight="1">
      <c r="A890" s="18">
        <f t="shared" si="13"/>
        <v>889</v>
      </c>
      <c r="B890" s="11" t="s">
        <v>8</v>
      </c>
      <c r="C890" s="11" t="s">
        <v>65</v>
      </c>
      <c r="D890" s="11" t="s">
        <v>1674</v>
      </c>
      <c r="E890" s="11"/>
      <c r="F890" s="11" t="s">
        <v>1352</v>
      </c>
      <c r="G890" s="11" t="s">
        <v>13</v>
      </c>
      <c r="H890" s="19" t="str">
        <f>IFERROR(VLOOKUP(Table2[[#This Row], [Ticket]],Okey!A:B,2,0),"")</f>
        <v>ok</v>
      </c>
      <c r="I890" s="11" t="s">
        <v>276</v>
      </c>
      <c r="J890" s="19" t="e">
        <f>VLOOKUP(Table2[[#This Row], [Author]],People!A:B,2,0)</f>
        <v>#N/A</v>
      </c>
      <c r="K890" s="11"/>
      <c r="L890" s="11"/>
      <c r="M890" s="20" t="s">
        <v>277</v>
      </c>
    </row>
    <row r="891" spans="1:13" ht="19.5" customHeight="1">
      <c r="A891" s="21">
        <f t="shared" si="13"/>
        <v>890</v>
      </c>
      <c r="B891" s="13" t="s">
        <v>8</v>
      </c>
      <c r="C891" s="13" t="s">
        <v>65</v>
      </c>
      <c r="D891" s="13" t="s">
        <v>1675</v>
      </c>
      <c r="E891" s="13"/>
      <c r="F891" s="13" t="s">
        <v>1342</v>
      </c>
      <c r="G891" s="13" t="s">
        <v>13</v>
      </c>
      <c r="H891" s="22" t="str">
        <f>IFERROR(VLOOKUP(Table2[[#This Row], [Ticket]],Okey!A:B,2,0),"")</f>
        <v>ok</v>
      </c>
      <c r="I891" s="13" t="s">
        <v>276</v>
      </c>
      <c r="J891" s="22" t="e">
        <f>VLOOKUP(Table2[[#This Row], [Author]],People!A:B,2,0)</f>
        <v>#N/A</v>
      </c>
      <c r="K891" s="13"/>
      <c r="L891" s="13"/>
      <c r="M891" s="23" t="s">
        <v>277</v>
      </c>
    </row>
    <row r="892" spans="1:13" ht="19.5" customHeight="1">
      <c r="A892" s="18">
        <f t="shared" si="13"/>
        <v>891</v>
      </c>
      <c r="B892" s="11" t="s">
        <v>8</v>
      </c>
      <c r="C892" s="11" t="s">
        <v>65</v>
      </c>
      <c r="D892" s="11" t="s">
        <v>1676</v>
      </c>
      <c r="E892" s="11"/>
      <c r="F892" s="11" t="s">
        <v>1344</v>
      </c>
      <c r="G892" s="11" t="s">
        <v>13</v>
      </c>
      <c r="H892" s="19" t="str">
        <f>IFERROR(VLOOKUP(Table2[[#This Row], [Ticket]],Okey!A:B,2,0),"")</f>
        <v>ok</v>
      </c>
      <c r="I892" s="11" t="s">
        <v>276</v>
      </c>
      <c r="J892" s="19" t="e">
        <f>VLOOKUP(Table2[[#This Row], [Author]],People!A:B,2,0)</f>
        <v>#N/A</v>
      </c>
      <c r="K892" s="11"/>
      <c r="L892" s="11"/>
      <c r="M892" s="20" t="s">
        <v>277</v>
      </c>
    </row>
    <row r="893" spans="1:13" ht="19.5" customHeight="1">
      <c r="A893" s="21">
        <f t="shared" si="13"/>
        <v>892</v>
      </c>
      <c r="B893" s="13" t="s">
        <v>8</v>
      </c>
      <c r="C893" s="13" t="s">
        <v>65</v>
      </c>
      <c r="D893" s="13" t="s">
        <v>1677</v>
      </c>
      <c r="E893" s="13"/>
      <c r="F893" s="13" t="s">
        <v>1342</v>
      </c>
      <c r="G893" s="13" t="s">
        <v>13</v>
      </c>
      <c r="H893" s="22" t="str">
        <f>IFERROR(VLOOKUP(Table2[[#This Row], [Ticket]],Okey!A:B,2,0),"")</f>
        <v>ok</v>
      </c>
      <c r="I893" s="13" t="s">
        <v>276</v>
      </c>
      <c r="J893" s="22" t="e">
        <f>VLOOKUP(Table2[[#This Row], [Author]],People!A:B,2,0)</f>
        <v>#N/A</v>
      </c>
      <c r="K893" s="13"/>
      <c r="L893" s="13"/>
      <c r="M893" s="23" t="s">
        <v>277</v>
      </c>
    </row>
    <row r="894" spans="1:13" ht="19.5" customHeight="1">
      <c r="A894" s="18">
        <f t="shared" si="13"/>
        <v>893</v>
      </c>
      <c r="B894" s="11" t="s">
        <v>8</v>
      </c>
      <c r="C894" s="11" t="s">
        <v>65</v>
      </c>
      <c r="D894" s="11" t="s">
        <v>1678</v>
      </c>
      <c r="E894" s="11"/>
      <c r="F894" s="11" t="s">
        <v>1344</v>
      </c>
      <c r="G894" s="11" t="s">
        <v>13</v>
      </c>
      <c r="H894" s="19" t="str">
        <f>IFERROR(VLOOKUP(Table2[[#This Row], [Ticket]],Okey!A:B,2,0),"")</f>
        <v>ok</v>
      </c>
      <c r="I894" s="11" t="s">
        <v>276</v>
      </c>
      <c r="J894" s="19" t="e">
        <f>VLOOKUP(Table2[[#This Row], [Author]],People!A:B,2,0)</f>
        <v>#N/A</v>
      </c>
      <c r="K894" s="11"/>
      <c r="L894" s="11"/>
      <c r="M894" s="20" t="s">
        <v>277</v>
      </c>
    </row>
    <row r="895" spans="1:13" ht="19.5" customHeight="1">
      <c r="A895" s="21">
        <f t="shared" si="13"/>
        <v>894</v>
      </c>
      <c r="B895" s="13" t="s">
        <v>8</v>
      </c>
      <c r="C895" s="13" t="s">
        <v>65</v>
      </c>
      <c r="D895" s="13" t="s">
        <v>1679</v>
      </c>
      <c r="E895" s="13"/>
      <c r="F895" s="13" t="s">
        <v>1352</v>
      </c>
      <c r="G895" s="13" t="s">
        <v>13</v>
      </c>
      <c r="H895" s="22" t="str">
        <f>IFERROR(VLOOKUP(Table2[[#This Row], [Ticket]],Okey!A:B,2,0),"")</f>
        <v>ok</v>
      </c>
      <c r="I895" s="13" t="s">
        <v>276</v>
      </c>
      <c r="J895" s="22" t="e">
        <f>VLOOKUP(Table2[[#This Row], [Author]],People!A:B,2,0)</f>
        <v>#N/A</v>
      </c>
      <c r="K895" s="13"/>
      <c r="L895" s="13"/>
      <c r="M895" s="23" t="s">
        <v>277</v>
      </c>
    </row>
    <row r="896" spans="1:13" ht="19.5" customHeight="1">
      <c r="A896" s="18">
        <f t="shared" si="13"/>
        <v>895</v>
      </c>
      <c r="B896" s="11" t="s">
        <v>8</v>
      </c>
      <c r="C896" s="11" t="s">
        <v>65</v>
      </c>
      <c r="D896" s="11" t="s">
        <v>1680</v>
      </c>
      <c r="E896" s="11"/>
      <c r="F896" s="11" t="s">
        <v>1344</v>
      </c>
      <c r="G896" s="11" t="s">
        <v>13</v>
      </c>
      <c r="H896" s="19" t="str">
        <f>IFERROR(VLOOKUP(Table2[[#This Row], [Ticket]],Okey!A:B,2,0),"")</f>
        <v>ok</v>
      </c>
      <c r="I896" s="11" t="s">
        <v>276</v>
      </c>
      <c r="J896" s="19" t="e">
        <f>VLOOKUP(Table2[[#This Row], [Author]],People!A:B,2,0)</f>
        <v>#N/A</v>
      </c>
      <c r="K896" s="11"/>
      <c r="L896" s="11"/>
      <c r="M896" s="20" t="s">
        <v>277</v>
      </c>
    </row>
    <row r="897" spans="1:13" ht="19.5" customHeight="1">
      <c r="A897" s="21">
        <f t="shared" si="13"/>
        <v>896</v>
      </c>
      <c r="B897" s="13" t="s">
        <v>8</v>
      </c>
      <c r="C897" s="13" t="s">
        <v>65</v>
      </c>
      <c r="D897" s="13" t="s">
        <v>1681</v>
      </c>
      <c r="E897" s="13"/>
      <c r="F897" s="13" t="s">
        <v>1352</v>
      </c>
      <c r="G897" s="13" t="s">
        <v>13</v>
      </c>
      <c r="H897" s="22" t="str">
        <f>IFERROR(VLOOKUP(Table2[[#This Row], [Ticket]],Okey!A:B,2,0),"")</f>
        <v>ok</v>
      </c>
      <c r="I897" s="13" t="s">
        <v>276</v>
      </c>
      <c r="J897" s="22" t="e">
        <f>VLOOKUP(Table2[[#This Row], [Author]],People!A:B,2,0)</f>
        <v>#N/A</v>
      </c>
      <c r="K897" s="13"/>
      <c r="L897" s="13"/>
      <c r="M897" s="23" t="s">
        <v>277</v>
      </c>
    </row>
    <row r="898" spans="1:13" ht="19.5" customHeight="1">
      <c r="A898" s="18">
        <f t="shared" si="13"/>
        <v>897</v>
      </c>
      <c r="B898" s="11" t="s">
        <v>8</v>
      </c>
      <c r="C898" s="11" t="s">
        <v>65</v>
      </c>
      <c r="D898" s="11" t="s">
        <v>1915</v>
      </c>
      <c r="E898" s="11"/>
      <c r="F898" s="11" t="s">
        <v>1678</v>
      </c>
      <c r="G898" s="11" t="s">
        <v>13</v>
      </c>
      <c r="H898" s="19" t="str">
        <f>IFERROR(VLOOKUP(Table2[[#This Row], [Ticket]],Okey!A:B,2,0),"")</f>
        <v>ok</v>
      </c>
      <c r="I898" s="11" t="s">
        <v>276</v>
      </c>
      <c r="J898" s="19" t="e">
        <f>VLOOKUP(Table2[[#This Row], [Author]],People!A:B,2,0)</f>
        <v>#N/A</v>
      </c>
      <c r="K898" s="11"/>
      <c r="L898" s="11"/>
      <c r="M898" s="20" t="s">
        <v>277</v>
      </c>
    </row>
    <row r="899" spans="1:13" ht="19.5" customHeight="1">
      <c r="A899" s="21">
        <f t="shared" ref="A899:A962" si="14">1+A898</f>
        <v>898</v>
      </c>
      <c r="B899" s="13" t="s">
        <v>8</v>
      </c>
      <c r="C899" s="13" t="s">
        <v>65</v>
      </c>
      <c r="D899" s="13" t="s">
        <v>1916</v>
      </c>
      <c r="E899" s="13"/>
      <c r="F899" s="13" t="s">
        <v>1917</v>
      </c>
      <c r="G899" s="13" t="s">
        <v>13</v>
      </c>
      <c r="H899" s="22" t="str">
        <f>IFERROR(VLOOKUP(Table2[[#This Row], [Ticket]],Okey!A:B,2,0),"")</f>
        <v>ok</v>
      </c>
      <c r="I899" s="13" t="s">
        <v>276</v>
      </c>
      <c r="J899" s="22" t="e">
        <f>VLOOKUP(Table2[[#This Row], [Author]],People!A:B,2,0)</f>
        <v>#N/A</v>
      </c>
      <c r="K899" s="13"/>
      <c r="L899" s="13"/>
      <c r="M899" s="23" t="s">
        <v>277</v>
      </c>
    </row>
    <row r="900" spans="1:13" ht="19.5" customHeight="1">
      <c r="A900" s="18">
        <f t="shared" si="14"/>
        <v>899</v>
      </c>
      <c r="B900" s="11" t="s">
        <v>8</v>
      </c>
      <c r="C900" s="11" t="s">
        <v>65</v>
      </c>
      <c r="D900" s="11" t="s">
        <v>1918</v>
      </c>
      <c r="E900" s="11"/>
      <c r="F900" s="11" t="s">
        <v>1919</v>
      </c>
      <c r="G900" s="11" t="s">
        <v>13</v>
      </c>
      <c r="H900" s="19" t="str">
        <f>IFERROR(VLOOKUP(Table2[[#This Row], [Ticket]],Okey!A:B,2,0),"")</f>
        <v>ok</v>
      </c>
      <c r="I900" s="11" t="s">
        <v>276</v>
      </c>
      <c r="J900" s="19" t="e">
        <f>VLOOKUP(Table2[[#This Row], [Author]],People!A:B,2,0)</f>
        <v>#N/A</v>
      </c>
      <c r="K900" s="11"/>
      <c r="L900" s="11"/>
      <c r="M900" s="20" t="s">
        <v>277</v>
      </c>
    </row>
    <row r="901" spans="1:13" ht="19.5" customHeight="1">
      <c r="A901" s="21">
        <f t="shared" si="14"/>
        <v>900</v>
      </c>
      <c r="B901" s="13" t="s">
        <v>8</v>
      </c>
      <c r="C901" s="13" t="s">
        <v>65</v>
      </c>
      <c r="D901" s="13" t="s">
        <v>1920</v>
      </c>
      <c r="E901" s="13"/>
      <c r="F901" s="13" t="s">
        <v>1862</v>
      </c>
      <c r="G901" s="13" t="s">
        <v>13</v>
      </c>
      <c r="H901" s="22" t="str">
        <f>IFERROR(VLOOKUP(Table2[[#This Row], [Ticket]],Okey!A:B,2,0),"")</f>
        <v>ok</v>
      </c>
      <c r="I901" s="13" t="s">
        <v>276</v>
      </c>
      <c r="J901" s="22" t="e">
        <f>VLOOKUP(Table2[[#This Row], [Author]],People!A:B,2,0)</f>
        <v>#N/A</v>
      </c>
      <c r="K901" s="13"/>
      <c r="L901" s="13"/>
      <c r="M901" s="23" t="s">
        <v>277</v>
      </c>
    </row>
    <row r="902" spans="1:13" ht="19.5" customHeight="1">
      <c r="A902" s="18">
        <f t="shared" si="14"/>
        <v>901</v>
      </c>
      <c r="B902" s="11" t="s">
        <v>8</v>
      </c>
      <c r="C902" s="11" t="s">
        <v>65</v>
      </c>
      <c r="D902" s="11" t="s">
        <v>1921</v>
      </c>
      <c r="E902" s="11"/>
      <c r="F902" s="11" t="s">
        <v>1862</v>
      </c>
      <c r="G902" s="11" t="s">
        <v>13</v>
      </c>
      <c r="H902" s="19" t="str">
        <f>IFERROR(VLOOKUP(Table2[[#This Row], [Ticket]],Okey!A:B,2,0),"")</f>
        <v>ok</v>
      </c>
      <c r="I902" s="11" t="s">
        <v>276</v>
      </c>
      <c r="J902" s="19" t="e">
        <f>VLOOKUP(Table2[[#This Row], [Author]],People!A:B,2,0)</f>
        <v>#N/A</v>
      </c>
      <c r="K902" s="11"/>
      <c r="L902" s="11"/>
      <c r="M902" s="20" t="s">
        <v>277</v>
      </c>
    </row>
    <row r="903" spans="1:13" ht="19.5" customHeight="1">
      <c r="A903" s="21">
        <f t="shared" si="14"/>
        <v>902</v>
      </c>
      <c r="B903" s="13" t="s">
        <v>8</v>
      </c>
      <c r="C903" s="13" t="s">
        <v>65</v>
      </c>
      <c r="D903" s="13" t="s">
        <v>1922</v>
      </c>
      <c r="E903" s="13"/>
      <c r="F903" s="13" t="s">
        <v>1864</v>
      </c>
      <c r="G903" s="13" t="s">
        <v>13</v>
      </c>
      <c r="H903" s="22" t="str">
        <f>IFERROR(VLOOKUP(Table2[[#This Row], [Ticket]],Okey!A:B,2,0),"")</f>
        <v>ok</v>
      </c>
      <c r="I903" s="13" t="s">
        <v>276</v>
      </c>
      <c r="J903" s="22" t="e">
        <f>VLOOKUP(Table2[[#This Row], [Author]],People!A:B,2,0)</f>
        <v>#N/A</v>
      </c>
      <c r="K903" s="13"/>
      <c r="L903" s="13"/>
      <c r="M903" s="23" t="s">
        <v>277</v>
      </c>
    </row>
    <row r="904" spans="1:13" ht="19.5" customHeight="1">
      <c r="A904" s="18">
        <f t="shared" si="14"/>
        <v>903</v>
      </c>
      <c r="B904" s="11" t="s">
        <v>8</v>
      </c>
      <c r="C904" s="11" t="s">
        <v>65</v>
      </c>
      <c r="D904" s="11" t="s">
        <v>1923</v>
      </c>
      <c r="E904" s="11"/>
      <c r="F904" s="11" t="s">
        <v>1864</v>
      </c>
      <c r="G904" s="11" t="s">
        <v>13</v>
      </c>
      <c r="H904" s="19" t="str">
        <f>IFERROR(VLOOKUP(Table2[[#This Row], [Ticket]],Okey!A:B,2,0),"")</f>
        <v>ok</v>
      </c>
      <c r="I904" s="11" t="s">
        <v>276</v>
      </c>
      <c r="J904" s="19" t="e">
        <f>VLOOKUP(Table2[[#This Row], [Author]],People!A:B,2,0)</f>
        <v>#N/A</v>
      </c>
      <c r="K904" s="11"/>
      <c r="L904" s="11"/>
      <c r="M904" s="20" t="s">
        <v>277</v>
      </c>
    </row>
    <row r="905" spans="1:13" ht="19.5" customHeight="1">
      <c r="A905" s="21">
        <f t="shared" si="14"/>
        <v>904</v>
      </c>
      <c r="B905" s="13" t="s">
        <v>8</v>
      </c>
      <c r="C905" s="13" t="s">
        <v>65</v>
      </c>
      <c r="D905" s="13" t="s">
        <v>1924</v>
      </c>
      <c r="E905" s="13"/>
      <c r="F905" s="13" t="s">
        <v>1850</v>
      </c>
      <c r="G905" s="13" t="s">
        <v>13</v>
      </c>
      <c r="H905" s="22" t="str">
        <f>IFERROR(VLOOKUP(Table2[[#This Row], [Ticket]],Okey!A:B,2,0),"")</f>
        <v>ok</v>
      </c>
      <c r="I905" s="13" t="s">
        <v>276</v>
      </c>
      <c r="J905" s="22" t="e">
        <f>VLOOKUP(Table2[[#This Row], [Author]],People!A:B,2,0)</f>
        <v>#N/A</v>
      </c>
      <c r="K905" s="13"/>
      <c r="L905" s="13"/>
      <c r="M905" s="23" t="s">
        <v>277</v>
      </c>
    </row>
    <row r="906" spans="1:13" ht="19.5" customHeight="1">
      <c r="A906" s="18">
        <f t="shared" si="14"/>
        <v>905</v>
      </c>
      <c r="B906" s="11" t="s">
        <v>8</v>
      </c>
      <c r="C906" s="11" t="s">
        <v>65</v>
      </c>
      <c r="D906" s="11" t="s">
        <v>1925</v>
      </c>
      <c r="E906" s="11"/>
      <c r="F906" s="11" t="s">
        <v>1864</v>
      </c>
      <c r="G906" s="11" t="s">
        <v>13</v>
      </c>
      <c r="H906" s="19" t="str">
        <f>IFERROR(VLOOKUP(Table2[[#This Row], [Ticket]],Okey!A:B,2,0),"")</f>
        <v>ok</v>
      </c>
      <c r="I906" s="11" t="s">
        <v>276</v>
      </c>
      <c r="J906" s="19" t="e">
        <f>VLOOKUP(Table2[[#This Row], [Author]],People!A:B,2,0)</f>
        <v>#N/A</v>
      </c>
      <c r="K906" s="11"/>
      <c r="L906" s="11"/>
      <c r="M906" s="20" t="s">
        <v>277</v>
      </c>
    </row>
    <row r="907" spans="1:13" ht="19.5" customHeight="1">
      <c r="A907" s="21">
        <f t="shared" si="14"/>
        <v>906</v>
      </c>
      <c r="B907" s="13" t="s">
        <v>8</v>
      </c>
      <c r="C907" s="13" t="s">
        <v>65</v>
      </c>
      <c r="D907" s="13" t="s">
        <v>1926</v>
      </c>
      <c r="E907" s="13"/>
      <c r="F907" s="13" t="s">
        <v>1864</v>
      </c>
      <c r="G907" s="13" t="s">
        <v>13</v>
      </c>
      <c r="H907" s="22" t="str">
        <f>IFERROR(VLOOKUP(Table2[[#This Row], [Ticket]],Okey!A:B,2,0),"")</f>
        <v>ok</v>
      </c>
      <c r="I907" s="13" t="s">
        <v>276</v>
      </c>
      <c r="J907" s="22" t="e">
        <f>VLOOKUP(Table2[[#This Row], [Author]],People!A:B,2,0)</f>
        <v>#N/A</v>
      </c>
      <c r="K907" s="13"/>
      <c r="L907" s="13"/>
      <c r="M907" s="23" t="s">
        <v>277</v>
      </c>
    </row>
    <row r="908" spans="1:13" ht="19.5" customHeight="1">
      <c r="A908" s="18">
        <f t="shared" si="14"/>
        <v>907</v>
      </c>
      <c r="B908" s="11" t="s">
        <v>8</v>
      </c>
      <c r="C908" s="11" t="s">
        <v>65</v>
      </c>
      <c r="D908" s="11" t="s">
        <v>1927</v>
      </c>
      <c r="E908" s="11"/>
      <c r="F908" s="11" t="s">
        <v>1864</v>
      </c>
      <c r="G908" s="11" t="s">
        <v>13</v>
      </c>
      <c r="H908" s="19" t="str">
        <f>IFERROR(VLOOKUP(Table2[[#This Row], [Ticket]],Okey!A:B,2,0),"")</f>
        <v>ok</v>
      </c>
      <c r="I908" s="11" t="s">
        <v>276</v>
      </c>
      <c r="J908" s="19" t="e">
        <f>VLOOKUP(Table2[[#This Row], [Author]],People!A:B,2,0)</f>
        <v>#N/A</v>
      </c>
      <c r="K908" s="11"/>
      <c r="L908" s="11"/>
      <c r="M908" s="20" t="s">
        <v>277</v>
      </c>
    </row>
    <row r="909" spans="1:13" ht="19.5" customHeight="1">
      <c r="A909" s="21">
        <f t="shared" si="14"/>
        <v>908</v>
      </c>
      <c r="B909" s="13" t="s">
        <v>8</v>
      </c>
      <c r="C909" s="13" t="s">
        <v>65</v>
      </c>
      <c r="D909" s="13" t="s">
        <v>1928</v>
      </c>
      <c r="E909" s="13"/>
      <c r="F909" s="13" t="s">
        <v>1864</v>
      </c>
      <c r="G909" s="13" t="s">
        <v>13</v>
      </c>
      <c r="H909" s="22" t="str">
        <f>IFERROR(VLOOKUP(Table2[[#This Row], [Ticket]],Okey!A:B,2,0),"")</f>
        <v>ok</v>
      </c>
      <c r="I909" s="13" t="s">
        <v>276</v>
      </c>
      <c r="J909" s="22" t="e">
        <f>VLOOKUP(Table2[[#This Row], [Author]],People!A:B,2,0)</f>
        <v>#N/A</v>
      </c>
      <c r="K909" s="13"/>
      <c r="L909" s="13"/>
      <c r="M909" s="23" t="s">
        <v>277</v>
      </c>
    </row>
    <row r="910" spans="1:13" ht="19.5" customHeight="1">
      <c r="A910" s="18">
        <f t="shared" si="14"/>
        <v>909</v>
      </c>
      <c r="B910" s="11" t="s">
        <v>8</v>
      </c>
      <c r="C910" s="11" t="s">
        <v>65</v>
      </c>
      <c r="D910" s="11" t="s">
        <v>1929</v>
      </c>
      <c r="E910" s="11"/>
      <c r="F910" s="11" t="s">
        <v>1864</v>
      </c>
      <c r="G910" s="11" t="s">
        <v>13</v>
      </c>
      <c r="H910" s="19" t="str">
        <f>IFERROR(VLOOKUP(Table2[[#This Row], [Ticket]],Okey!A:B,2,0),"")</f>
        <v>ok</v>
      </c>
      <c r="I910" s="11" t="s">
        <v>276</v>
      </c>
      <c r="J910" s="19" t="e">
        <f>VLOOKUP(Table2[[#This Row], [Author]],People!A:B,2,0)</f>
        <v>#N/A</v>
      </c>
      <c r="K910" s="11"/>
      <c r="L910" s="11"/>
      <c r="M910" s="20" t="s">
        <v>277</v>
      </c>
    </row>
    <row r="911" spans="1:13" ht="19.5" customHeight="1">
      <c r="A911" s="21">
        <f t="shared" si="14"/>
        <v>910</v>
      </c>
      <c r="B911" s="13" t="s">
        <v>8</v>
      </c>
      <c r="C911" s="13" t="s">
        <v>65</v>
      </c>
      <c r="D911" s="13" t="s">
        <v>1930</v>
      </c>
      <c r="E911" s="13"/>
      <c r="F911" s="13" t="s">
        <v>1862</v>
      </c>
      <c r="G911" s="13" t="s">
        <v>13</v>
      </c>
      <c r="H911" s="22" t="str">
        <f>IFERROR(VLOOKUP(Table2[[#This Row], [Ticket]],Okey!A:B,2,0),"")</f>
        <v>ok</v>
      </c>
      <c r="I911" s="13" t="s">
        <v>276</v>
      </c>
      <c r="J911" s="22" t="e">
        <f>VLOOKUP(Table2[[#This Row], [Author]],People!A:B,2,0)</f>
        <v>#N/A</v>
      </c>
      <c r="K911" s="13"/>
      <c r="L911" s="13"/>
      <c r="M911" s="23" t="s">
        <v>277</v>
      </c>
    </row>
    <row r="912" spans="1:13" ht="19.5" customHeight="1">
      <c r="A912" s="18">
        <f t="shared" si="14"/>
        <v>911</v>
      </c>
      <c r="B912" s="11" t="s">
        <v>8</v>
      </c>
      <c r="C912" s="11" t="s">
        <v>65</v>
      </c>
      <c r="D912" s="11" t="s">
        <v>1931</v>
      </c>
      <c r="E912" s="11"/>
      <c r="F912" s="11" t="s">
        <v>1862</v>
      </c>
      <c r="G912" s="11" t="s">
        <v>13</v>
      </c>
      <c r="H912" s="19" t="str">
        <f>IFERROR(VLOOKUP(Table2[[#This Row], [Ticket]],Okey!A:B,2,0),"")</f>
        <v>ok</v>
      </c>
      <c r="I912" s="11" t="s">
        <v>276</v>
      </c>
      <c r="J912" s="19" t="e">
        <f>VLOOKUP(Table2[[#This Row], [Author]],People!A:B,2,0)</f>
        <v>#N/A</v>
      </c>
      <c r="K912" s="11"/>
      <c r="L912" s="11"/>
      <c r="M912" s="20" t="s">
        <v>277</v>
      </c>
    </row>
    <row r="913" spans="1:13" ht="19.5" customHeight="1">
      <c r="A913" s="21">
        <f t="shared" si="14"/>
        <v>912</v>
      </c>
      <c r="B913" s="13" t="s">
        <v>8</v>
      </c>
      <c r="C913" s="13" t="s">
        <v>65</v>
      </c>
      <c r="D913" s="13" t="s">
        <v>1932</v>
      </c>
      <c r="E913" s="13"/>
      <c r="F913" s="13" t="s">
        <v>1854</v>
      </c>
      <c r="G913" s="13" t="s">
        <v>13</v>
      </c>
      <c r="H913" s="22" t="str">
        <f>IFERROR(VLOOKUP(Table2[[#This Row], [Ticket]],Okey!A:B,2,0),"")</f>
        <v>ok</v>
      </c>
      <c r="I913" s="13" t="s">
        <v>276</v>
      </c>
      <c r="J913" s="22" t="e">
        <f>VLOOKUP(Table2[[#This Row], [Author]],People!A:B,2,0)</f>
        <v>#N/A</v>
      </c>
      <c r="K913" s="13"/>
      <c r="L913" s="13"/>
      <c r="M913" s="23" t="s">
        <v>277</v>
      </c>
    </row>
    <row r="914" spans="1:13" ht="19.5" customHeight="1">
      <c r="A914" s="18">
        <f t="shared" si="14"/>
        <v>913</v>
      </c>
      <c r="B914" s="11" t="s">
        <v>8</v>
      </c>
      <c r="C914" s="11" t="s">
        <v>65</v>
      </c>
      <c r="D914" s="11" t="s">
        <v>1933</v>
      </c>
      <c r="E914" s="11"/>
      <c r="F914" s="11" t="s">
        <v>1850</v>
      </c>
      <c r="G914" s="11" t="s">
        <v>13</v>
      </c>
      <c r="H914" s="19" t="str">
        <f>IFERROR(VLOOKUP(Table2[[#This Row], [Ticket]],Okey!A:B,2,0),"")</f>
        <v>ok</v>
      </c>
      <c r="I914" s="11" t="s">
        <v>276</v>
      </c>
      <c r="J914" s="19" t="e">
        <f>VLOOKUP(Table2[[#This Row], [Author]],People!A:B,2,0)</f>
        <v>#N/A</v>
      </c>
      <c r="K914" s="11"/>
      <c r="L914" s="11"/>
      <c r="M914" s="20" t="s">
        <v>277</v>
      </c>
    </row>
    <row r="915" spans="1:13" ht="19.5" customHeight="1">
      <c r="A915" s="21">
        <f t="shared" si="14"/>
        <v>914</v>
      </c>
      <c r="B915" s="13" t="s">
        <v>8</v>
      </c>
      <c r="C915" s="13" t="s">
        <v>65</v>
      </c>
      <c r="D915" s="13" t="s">
        <v>1934</v>
      </c>
      <c r="E915" s="13"/>
      <c r="F915" s="13" t="s">
        <v>1850</v>
      </c>
      <c r="G915" s="13" t="s">
        <v>13</v>
      </c>
      <c r="H915" s="22" t="str">
        <f>IFERROR(VLOOKUP(Table2[[#This Row], [Ticket]],Okey!A:B,2,0),"")</f>
        <v>ok</v>
      </c>
      <c r="I915" s="13" t="s">
        <v>276</v>
      </c>
      <c r="J915" s="22" t="e">
        <f>VLOOKUP(Table2[[#This Row], [Author]],People!A:B,2,0)</f>
        <v>#N/A</v>
      </c>
      <c r="K915" s="13"/>
      <c r="L915" s="13"/>
      <c r="M915" s="23" t="s">
        <v>277</v>
      </c>
    </row>
    <row r="916" spans="1:13" ht="19.5" customHeight="1">
      <c r="A916" s="18">
        <f t="shared" si="14"/>
        <v>915</v>
      </c>
      <c r="B916" s="11" t="s">
        <v>8</v>
      </c>
      <c r="C916" s="11" t="s">
        <v>65</v>
      </c>
      <c r="D916" s="11" t="s">
        <v>1935</v>
      </c>
      <c r="E916" s="11"/>
      <c r="F916" s="11" t="s">
        <v>1780</v>
      </c>
      <c r="G916" s="11" t="s">
        <v>13</v>
      </c>
      <c r="H916" s="19" t="str">
        <f>IFERROR(VLOOKUP(Table2[[#This Row], [Ticket]],Okey!A:B,2,0),"")</f>
        <v>ok</v>
      </c>
      <c r="I916" s="11" t="s">
        <v>276</v>
      </c>
      <c r="J916" s="19" t="e">
        <f>VLOOKUP(Table2[[#This Row], [Author]],People!A:B,2,0)</f>
        <v>#N/A</v>
      </c>
      <c r="K916" s="11"/>
      <c r="L916" s="11"/>
      <c r="M916" s="20" t="s">
        <v>277</v>
      </c>
    </row>
    <row r="917" spans="1:13" ht="19.5" customHeight="1">
      <c r="A917" s="21">
        <f t="shared" si="14"/>
        <v>916</v>
      </c>
      <c r="B917" s="13" t="s">
        <v>8</v>
      </c>
      <c r="C917" s="13" t="s">
        <v>65</v>
      </c>
      <c r="D917" s="13" t="s">
        <v>1936</v>
      </c>
      <c r="E917" s="13"/>
      <c r="F917" s="13" t="s">
        <v>1937</v>
      </c>
      <c r="G917" s="13" t="s">
        <v>13</v>
      </c>
      <c r="H917" s="22" t="str">
        <f>IFERROR(VLOOKUP(Table2[[#This Row], [Ticket]],Okey!A:B,2,0),"")</f>
        <v>ok</v>
      </c>
      <c r="I917" s="13" t="s">
        <v>276</v>
      </c>
      <c r="J917" s="22" t="e">
        <f>VLOOKUP(Table2[[#This Row], [Author]],People!A:B,2,0)</f>
        <v>#N/A</v>
      </c>
      <c r="K917" s="13"/>
      <c r="L917" s="13"/>
      <c r="M917" s="23" t="s">
        <v>277</v>
      </c>
    </row>
    <row r="918" spans="1:13" ht="19.5" customHeight="1">
      <c r="A918" s="18">
        <f t="shared" si="14"/>
        <v>917</v>
      </c>
      <c r="B918" s="11" t="s">
        <v>8</v>
      </c>
      <c r="C918" s="11" t="s">
        <v>65</v>
      </c>
      <c r="D918" s="11" t="s">
        <v>1938</v>
      </c>
      <c r="E918" s="11"/>
      <c r="F918" s="11" t="s">
        <v>1354</v>
      </c>
      <c r="G918" s="11" t="s">
        <v>13</v>
      </c>
      <c r="H918" s="19" t="str">
        <f>IFERROR(VLOOKUP(Table2[[#This Row], [Ticket]],Okey!A:B,2,0),"")</f>
        <v>ok</v>
      </c>
      <c r="I918" s="11" t="s">
        <v>276</v>
      </c>
      <c r="J918" s="19" t="e">
        <f>VLOOKUP(Table2[[#This Row], [Author]],People!A:B,2,0)</f>
        <v>#N/A</v>
      </c>
      <c r="K918" s="11"/>
      <c r="L918" s="11"/>
      <c r="M918" s="20" t="s">
        <v>277</v>
      </c>
    </row>
    <row r="919" spans="1:13" ht="19.5" customHeight="1">
      <c r="A919" s="21">
        <f t="shared" si="14"/>
        <v>918</v>
      </c>
      <c r="B919" s="13" t="s">
        <v>8</v>
      </c>
      <c r="C919" s="13" t="s">
        <v>65</v>
      </c>
      <c r="D919" s="13" t="s">
        <v>1939</v>
      </c>
      <c r="E919" s="13"/>
      <c r="F919" s="13" t="s">
        <v>1681</v>
      </c>
      <c r="G919" s="13" t="s">
        <v>13</v>
      </c>
      <c r="H919" s="22" t="str">
        <f>IFERROR(VLOOKUP(Table2[[#This Row], [Ticket]],Okey!A:B,2,0),"")</f>
        <v>ok</v>
      </c>
      <c r="I919" s="13" t="s">
        <v>276</v>
      </c>
      <c r="J919" s="22" t="e">
        <f>VLOOKUP(Table2[[#This Row], [Author]],People!A:B,2,0)</f>
        <v>#N/A</v>
      </c>
      <c r="K919" s="13"/>
      <c r="L919" s="13"/>
      <c r="M919" s="23" t="s">
        <v>277</v>
      </c>
    </row>
    <row r="920" spans="1:13" ht="19.5" customHeight="1">
      <c r="A920" s="18">
        <f t="shared" si="14"/>
        <v>919</v>
      </c>
      <c r="B920" s="11" t="s">
        <v>8</v>
      </c>
      <c r="C920" s="11" t="s">
        <v>65</v>
      </c>
      <c r="D920" s="11" t="s">
        <v>1940</v>
      </c>
      <c r="E920" s="11"/>
      <c r="F920" s="11" t="s">
        <v>1937</v>
      </c>
      <c r="G920" s="11" t="s">
        <v>13</v>
      </c>
      <c r="H920" s="19" t="str">
        <f>IFERROR(VLOOKUP(Table2[[#This Row], [Ticket]],Okey!A:B,2,0),"")</f>
        <v>ok</v>
      </c>
      <c r="I920" s="11" t="s">
        <v>276</v>
      </c>
      <c r="J920" s="19" t="e">
        <f>VLOOKUP(Table2[[#This Row], [Author]],People!A:B,2,0)</f>
        <v>#N/A</v>
      </c>
      <c r="K920" s="11"/>
      <c r="L920" s="11"/>
      <c r="M920" s="20" t="s">
        <v>277</v>
      </c>
    </row>
    <row r="921" spans="1:13" ht="19.5" customHeight="1">
      <c r="A921" s="21">
        <f t="shared" si="14"/>
        <v>920</v>
      </c>
      <c r="B921" s="13" t="s">
        <v>8</v>
      </c>
      <c r="C921" s="13" t="s">
        <v>65</v>
      </c>
      <c r="D921" s="13" t="s">
        <v>1941</v>
      </c>
      <c r="E921" s="13"/>
      <c r="F921" s="13" t="s">
        <v>1942</v>
      </c>
      <c r="G921" s="13" t="s">
        <v>13</v>
      </c>
      <c r="H921" s="22" t="str">
        <f>IFERROR(VLOOKUP(Table2[[#This Row], [Ticket]],Okey!A:B,2,0),"")</f>
        <v>ok</v>
      </c>
      <c r="I921" s="13" t="s">
        <v>276</v>
      </c>
      <c r="J921" s="22" t="e">
        <f>VLOOKUP(Table2[[#This Row], [Author]],People!A:B,2,0)</f>
        <v>#N/A</v>
      </c>
      <c r="K921" s="13"/>
      <c r="L921" s="13"/>
      <c r="M921" s="23" t="s">
        <v>277</v>
      </c>
    </row>
    <row r="922" spans="1:13" ht="19.5" customHeight="1">
      <c r="A922" s="18">
        <f t="shared" si="14"/>
        <v>921</v>
      </c>
      <c r="B922" s="11" t="s">
        <v>8</v>
      </c>
      <c r="C922" s="11" t="s">
        <v>65</v>
      </c>
      <c r="D922" s="11" t="s">
        <v>1943</v>
      </c>
      <c r="E922" s="11"/>
      <c r="F922" s="11" t="s">
        <v>1942</v>
      </c>
      <c r="G922" s="11" t="s">
        <v>13</v>
      </c>
      <c r="H922" s="19" t="str">
        <f>IFERROR(VLOOKUP(Table2[[#This Row], [Ticket]],Okey!A:B,2,0),"")</f>
        <v>ok</v>
      </c>
      <c r="I922" s="11" t="s">
        <v>276</v>
      </c>
      <c r="J922" s="19" t="e">
        <f>VLOOKUP(Table2[[#This Row], [Author]],People!A:B,2,0)</f>
        <v>#N/A</v>
      </c>
      <c r="K922" s="11"/>
      <c r="L922" s="11"/>
      <c r="M922" s="20" t="s">
        <v>277</v>
      </c>
    </row>
    <row r="923" spans="1:13" ht="19.5" customHeight="1">
      <c r="A923" s="21">
        <f t="shared" si="14"/>
        <v>922</v>
      </c>
      <c r="B923" s="13" t="s">
        <v>8</v>
      </c>
      <c r="C923" s="13" t="s">
        <v>65</v>
      </c>
      <c r="D923" s="13" t="s">
        <v>1944</v>
      </c>
      <c r="E923" s="13"/>
      <c r="F923" s="13" t="s">
        <v>1330</v>
      </c>
      <c r="G923" s="13" t="s">
        <v>13</v>
      </c>
      <c r="H923" s="22" t="str">
        <f>IFERROR(VLOOKUP(Table2[[#This Row], [Ticket]],Okey!A:B,2,0),"")</f>
        <v>ok</v>
      </c>
      <c r="I923" s="13" t="s">
        <v>276</v>
      </c>
      <c r="J923" s="22" t="e">
        <f>VLOOKUP(Table2[[#This Row], [Author]],People!A:B,2,0)</f>
        <v>#N/A</v>
      </c>
      <c r="K923" s="13"/>
      <c r="L923" s="13"/>
      <c r="M923" s="23" t="s">
        <v>277</v>
      </c>
    </row>
    <row r="924" spans="1:13" ht="19.5" customHeight="1">
      <c r="A924" s="18">
        <f t="shared" si="14"/>
        <v>923</v>
      </c>
      <c r="B924" s="11" t="s">
        <v>8</v>
      </c>
      <c r="C924" s="11" t="s">
        <v>65</v>
      </c>
      <c r="D924" s="11" t="s">
        <v>1945</v>
      </c>
      <c r="E924" s="11"/>
      <c r="F924" s="11" t="s">
        <v>1946</v>
      </c>
      <c r="G924" s="11" t="s">
        <v>13</v>
      </c>
      <c r="H924" s="19" t="str">
        <f>IFERROR(VLOOKUP(Table2[[#This Row], [Ticket]],Okey!A:B,2,0),"")</f>
        <v>ok</v>
      </c>
      <c r="I924" s="11" t="s">
        <v>276</v>
      </c>
      <c r="J924" s="19" t="e">
        <f>VLOOKUP(Table2[[#This Row], [Author]],People!A:B,2,0)</f>
        <v>#N/A</v>
      </c>
      <c r="K924" s="11"/>
      <c r="L924" s="11"/>
      <c r="M924" s="20" t="s">
        <v>277</v>
      </c>
    </row>
    <row r="925" spans="1:13" ht="19.5" customHeight="1">
      <c r="A925" s="21">
        <f t="shared" si="14"/>
        <v>924</v>
      </c>
      <c r="B925" s="13" t="s">
        <v>8</v>
      </c>
      <c r="C925" s="13" t="s">
        <v>65</v>
      </c>
      <c r="D925" s="13" t="s">
        <v>1947</v>
      </c>
      <c r="E925" s="13"/>
      <c r="F925" s="13" t="s">
        <v>1782</v>
      </c>
      <c r="G925" s="13" t="s">
        <v>13</v>
      </c>
      <c r="H925" s="22" t="str">
        <f>IFERROR(VLOOKUP(Table2[[#This Row], [Ticket]],Okey!A:B,2,0),"")</f>
        <v>ok</v>
      </c>
      <c r="I925" s="13" t="s">
        <v>276</v>
      </c>
      <c r="J925" s="22" t="e">
        <f>VLOOKUP(Table2[[#This Row], [Author]],People!A:B,2,0)</f>
        <v>#N/A</v>
      </c>
      <c r="K925" s="13"/>
      <c r="L925" s="13"/>
      <c r="M925" s="23" t="s">
        <v>277</v>
      </c>
    </row>
    <row r="926" spans="1:13" ht="19.5" customHeight="1">
      <c r="A926" s="18">
        <f t="shared" si="14"/>
        <v>925</v>
      </c>
      <c r="B926" s="11" t="s">
        <v>8</v>
      </c>
      <c r="C926" s="11" t="s">
        <v>65</v>
      </c>
      <c r="D926" s="11" t="s">
        <v>1948</v>
      </c>
      <c r="E926" s="11"/>
      <c r="F926" s="11" t="s">
        <v>1782</v>
      </c>
      <c r="G926" s="11" t="s">
        <v>13</v>
      </c>
      <c r="H926" s="19" t="str">
        <f>IFERROR(VLOOKUP(Table2[[#This Row], [Ticket]],Okey!A:B,2,0),"")</f>
        <v>ok</v>
      </c>
      <c r="I926" s="11" t="s">
        <v>276</v>
      </c>
      <c r="J926" s="19" t="e">
        <f>VLOOKUP(Table2[[#This Row], [Author]],People!A:B,2,0)</f>
        <v>#N/A</v>
      </c>
      <c r="K926" s="11"/>
      <c r="L926" s="11"/>
      <c r="M926" s="20" t="s">
        <v>277</v>
      </c>
    </row>
    <row r="927" spans="1:13" ht="19.5" customHeight="1">
      <c r="A927" s="21">
        <f t="shared" si="14"/>
        <v>926</v>
      </c>
      <c r="B927" s="13" t="s">
        <v>8</v>
      </c>
      <c r="C927" s="13" t="s">
        <v>65</v>
      </c>
      <c r="D927" s="13" t="s">
        <v>1393</v>
      </c>
      <c r="E927" s="13" t="s">
        <v>1949</v>
      </c>
      <c r="F927" s="13" t="s">
        <v>1391</v>
      </c>
      <c r="G927" s="13" t="s">
        <v>16</v>
      </c>
      <c r="H927" s="22" t="str">
        <f>IFERROR(VLOOKUP(Table2[[#This Row], [Ticket]],Okey!A:B,2,0),"")</f>
        <v>ok</v>
      </c>
      <c r="I927" s="13" t="s">
        <v>276</v>
      </c>
      <c r="J927" s="22" t="e">
        <f>VLOOKUP(Table2[[#This Row], [Author]],People!A:B,2,0)</f>
        <v>#N/A</v>
      </c>
      <c r="K927" s="13"/>
      <c r="L927" s="13"/>
      <c r="M927" s="23" t="s">
        <v>277</v>
      </c>
    </row>
    <row r="928" spans="1:13" ht="19.5" customHeight="1">
      <c r="A928" s="18">
        <f t="shared" si="14"/>
        <v>927</v>
      </c>
      <c r="B928" s="11" t="s">
        <v>8</v>
      </c>
      <c r="C928" s="11" t="s">
        <v>65</v>
      </c>
      <c r="D928" s="11" t="s">
        <v>1950</v>
      </c>
      <c r="E928" s="11" t="s">
        <v>1951</v>
      </c>
      <c r="F928" s="11" t="s">
        <v>1850</v>
      </c>
      <c r="G928" s="11" t="s">
        <v>16</v>
      </c>
      <c r="H928" s="19" t="str">
        <f>IFERROR(VLOOKUP(Table2[[#This Row], [Ticket]],Okey!A:B,2,0),"")</f>
        <v>ok</v>
      </c>
      <c r="I928" s="11" t="s">
        <v>276</v>
      </c>
      <c r="J928" s="19" t="e">
        <f>VLOOKUP(Table2[[#This Row], [Author]],People!A:B,2,0)</f>
        <v>#N/A</v>
      </c>
      <c r="K928" s="11"/>
      <c r="L928" s="11"/>
      <c r="M928" s="20" t="s">
        <v>277</v>
      </c>
    </row>
    <row r="929" spans="1:13" ht="19.5" customHeight="1">
      <c r="A929" s="21">
        <f t="shared" si="14"/>
        <v>928</v>
      </c>
      <c r="B929" s="13" t="s">
        <v>8</v>
      </c>
      <c r="C929" s="13" t="s">
        <v>65</v>
      </c>
      <c r="D929" s="13" t="s">
        <v>1952</v>
      </c>
      <c r="E929" s="13" t="s">
        <v>1953</v>
      </c>
      <c r="F929" s="13" t="s">
        <v>1850</v>
      </c>
      <c r="G929" s="13" t="s">
        <v>16</v>
      </c>
      <c r="H929" s="22" t="str">
        <f>IFERROR(VLOOKUP(Table2[[#This Row], [Ticket]],Okey!A:B,2,0),"")</f>
        <v>ok</v>
      </c>
      <c r="I929" s="13" t="s">
        <v>276</v>
      </c>
      <c r="J929" s="22" t="e">
        <f>VLOOKUP(Table2[[#This Row], [Author]],People!A:B,2,0)</f>
        <v>#N/A</v>
      </c>
      <c r="K929" s="13"/>
      <c r="L929" s="13"/>
      <c r="M929" s="23" t="s">
        <v>277</v>
      </c>
    </row>
    <row r="930" spans="1:13" ht="19.5" customHeight="1">
      <c r="A930" s="18">
        <f t="shared" si="14"/>
        <v>929</v>
      </c>
      <c r="B930" s="11" t="s">
        <v>8</v>
      </c>
      <c r="C930" s="11" t="s">
        <v>65</v>
      </c>
      <c r="D930" s="11" t="s">
        <v>1954</v>
      </c>
      <c r="E930" s="11" t="s">
        <v>1955</v>
      </c>
      <c r="F930" s="11" t="s">
        <v>1870</v>
      </c>
      <c r="G930" s="11" t="s">
        <v>16</v>
      </c>
      <c r="H930" s="19" t="str">
        <f>IFERROR(VLOOKUP(Table2[[#This Row], [Ticket]],Okey!A:B,2,0),"")</f>
        <v>ok</v>
      </c>
      <c r="I930" s="11" t="s">
        <v>276</v>
      </c>
      <c r="J930" s="19" t="e">
        <f>VLOOKUP(Table2[[#This Row], [Author]],People!A:B,2,0)</f>
        <v>#N/A</v>
      </c>
      <c r="K930" s="11"/>
      <c r="L930" s="11"/>
      <c r="M930" s="20" t="s">
        <v>277</v>
      </c>
    </row>
    <row r="931" spans="1:13" ht="19.5" customHeight="1">
      <c r="A931" s="21">
        <f t="shared" si="14"/>
        <v>930</v>
      </c>
      <c r="B931" s="13" t="s">
        <v>8</v>
      </c>
      <c r="C931" s="13" t="s">
        <v>65</v>
      </c>
      <c r="D931" s="13" t="s">
        <v>1956</v>
      </c>
      <c r="E931" s="13" t="s">
        <v>1957</v>
      </c>
      <c r="F931" s="13" t="s">
        <v>1850</v>
      </c>
      <c r="G931" s="13" t="s">
        <v>16</v>
      </c>
      <c r="H931" s="22" t="str">
        <f>IFERROR(VLOOKUP(Table2[[#This Row], [Ticket]],Okey!A:B,2,0),"")</f>
        <v>ok</v>
      </c>
      <c r="I931" s="13" t="s">
        <v>276</v>
      </c>
      <c r="J931" s="22" t="e">
        <f>VLOOKUP(Table2[[#This Row], [Author]],People!A:B,2,0)</f>
        <v>#N/A</v>
      </c>
      <c r="K931" s="13"/>
      <c r="L931" s="13"/>
      <c r="M931" s="23" t="s">
        <v>277</v>
      </c>
    </row>
    <row r="932" spans="1:13" ht="19.5" customHeight="1">
      <c r="A932" s="18">
        <f t="shared" si="14"/>
        <v>931</v>
      </c>
      <c r="B932" s="11" t="s">
        <v>8</v>
      </c>
      <c r="C932" s="11" t="s">
        <v>65</v>
      </c>
      <c r="D932" s="11" t="s">
        <v>1958</v>
      </c>
      <c r="E932" s="11" t="s">
        <v>1959</v>
      </c>
      <c r="F932" s="11" t="s">
        <v>1862</v>
      </c>
      <c r="G932" s="11" t="s">
        <v>16</v>
      </c>
      <c r="H932" s="19" t="str">
        <f>IFERROR(VLOOKUP(Table2[[#This Row], [Ticket]],Okey!A:B,2,0),"")</f>
        <v>ok</v>
      </c>
      <c r="I932" s="11" t="s">
        <v>276</v>
      </c>
      <c r="J932" s="19" t="e">
        <f>VLOOKUP(Table2[[#This Row], [Author]],People!A:B,2,0)</f>
        <v>#N/A</v>
      </c>
      <c r="K932" s="11"/>
      <c r="L932" s="11"/>
      <c r="M932" s="20" t="s">
        <v>277</v>
      </c>
    </row>
    <row r="933" spans="1:13" ht="19.5" customHeight="1">
      <c r="A933" s="21">
        <f t="shared" si="14"/>
        <v>932</v>
      </c>
      <c r="B933" s="13" t="s">
        <v>8</v>
      </c>
      <c r="C933" s="13" t="s">
        <v>65</v>
      </c>
      <c r="D933" s="13" t="s">
        <v>1960</v>
      </c>
      <c r="E933" s="13" t="s">
        <v>1961</v>
      </c>
      <c r="F933" s="13" t="s">
        <v>1870</v>
      </c>
      <c r="G933" s="13" t="s">
        <v>16</v>
      </c>
      <c r="H933" s="22" t="str">
        <f>IFERROR(VLOOKUP(Table2[[#This Row], [Ticket]],Okey!A:B,2,0),"")</f>
        <v>ok</v>
      </c>
      <c r="I933" s="13" t="s">
        <v>276</v>
      </c>
      <c r="J933" s="22" t="e">
        <f>VLOOKUP(Table2[[#This Row], [Author]],People!A:B,2,0)</f>
        <v>#N/A</v>
      </c>
      <c r="K933" s="13"/>
      <c r="L933" s="13"/>
      <c r="M933" s="23" t="s">
        <v>277</v>
      </c>
    </row>
    <row r="934" spans="1:13" ht="19.5" customHeight="1">
      <c r="A934" s="18">
        <f t="shared" si="14"/>
        <v>933</v>
      </c>
      <c r="B934" s="11" t="s">
        <v>8</v>
      </c>
      <c r="C934" s="11" t="s">
        <v>65</v>
      </c>
      <c r="D934" s="11" t="s">
        <v>1962</v>
      </c>
      <c r="E934" s="11" t="s">
        <v>1963</v>
      </c>
      <c r="F934" s="11" t="s">
        <v>1888</v>
      </c>
      <c r="G934" s="11" t="s">
        <v>16</v>
      </c>
      <c r="H934" s="19" t="str">
        <f>IFERROR(VLOOKUP(Table2[[#This Row], [Ticket]],Okey!A:B,2,0),"")</f>
        <v>ok</v>
      </c>
      <c r="I934" s="11" t="s">
        <v>276</v>
      </c>
      <c r="J934" s="19" t="e">
        <f>VLOOKUP(Table2[[#This Row], [Author]],People!A:B,2,0)</f>
        <v>#N/A</v>
      </c>
      <c r="K934" s="11"/>
      <c r="L934" s="11"/>
      <c r="M934" s="20" t="s">
        <v>277</v>
      </c>
    </row>
    <row r="935" spans="1:13" ht="19.5" customHeight="1">
      <c r="A935" s="21">
        <f t="shared" si="14"/>
        <v>934</v>
      </c>
      <c r="B935" s="13" t="s">
        <v>8</v>
      </c>
      <c r="C935" s="13" t="s">
        <v>65</v>
      </c>
      <c r="D935" s="13" t="s">
        <v>1964</v>
      </c>
      <c r="E935" s="13" t="s">
        <v>1965</v>
      </c>
      <c r="F935" s="13" t="s">
        <v>1890</v>
      </c>
      <c r="G935" s="13" t="s">
        <v>16</v>
      </c>
      <c r="H935" s="22" t="str">
        <f>IFERROR(VLOOKUP(Table2[[#This Row], [Ticket]],Okey!A:B,2,0),"")</f>
        <v>ok</v>
      </c>
      <c r="I935" s="13" t="s">
        <v>276</v>
      </c>
      <c r="J935" s="22" t="e">
        <f>VLOOKUP(Table2[[#This Row], [Author]],People!A:B,2,0)</f>
        <v>#N/A</v>
      </c>
      <c r="K935" s="13"/>
      <c r="L935" s="13"/>
      <c r="M935" s="23" t="s">
        <v>277</v>
      </c>
    </row>
    <row r="936" spans="1:13" ht="19.5" customHeight="1">
      <c r="A936" s="18">
        <f t="shared" si="14"/>
        <v>935</v>
      </c>
      <c r="B936" s="11" t="s">
        <v>8</v>
      </c>
      <c r="C936" s="11" t="s">
        <v>65</v>
      </c>
      <c r="D936" s="11" t="s">
        <v>1966</v>
      </c>
      <c r="E936" s="11" t="s">
        <v>1967</v>
      </c>
      <c r="F936" s="11" t="s">
        <v>1890</v>
      </c>
      <c r="G936" s="11" t="s">
        <v>16</v>
      </c>
      <c r="H936" s="19" t="str">
        <f>IFERROR(VLOOKUP(Table2[[#This Row], [Ticket]],Okey!A:B,2,0),"")</f>
        <v>ok</v>
      </c>
      <c r="I936" s="11" t="s">
        <v>276</v>
      </c>
      <c r="J936" s="19" t="e">
        <f>VLOOKUP(Table2[[#This Row], [Author]],People!A:B,2,0)</f>
        <v>#N/A</v>
      </c>
      <c r="K936" s="11"/>
      <c r="L936" s="11"/>
      <c r="M936" s="20" t="s">
        <v>277</v>
      </c>
    </row>
    <row r="937" spans="1:13" ht="19.5" customHeight="1">
      <c r="A937" s="21">
        <f t="shared" si="14"/>
        <v>936</v>
      </c>
      <c r="B937" s="13" t="s">
        <v>8</v>
      </c>
      <c r="C937" s="13" t="s">
        <v>65</v>
      </c>
      <c r="D937" s="13" t="s">
        <v>1968</v>
      </c>
      <c r="E937" s="13" t="s">
        <v>1969</v>
      </c>
      <c r="F937" s="13" t="s">
        <v>1970</v>
      </c>
      <c r="G937" s="13" t="s">
        <v>16</v>
      </c>
      <c r="H937" s="22" t="str">
        <f>IFERROR(VLOOKUP(Table2[[#This Row], [Ticket]],Okey!A:B,2,0),"")</f>
        <v>ok</v>
      </c>
      <c r="I937" s="13" t="s">
        <v>276</v>
      </c>
      <c r="J937" s="22" t="e">
        <f>VLOOKUP(Table2[[#This Row], [Author]],People!A:B,2,0)</f>
        <v>#N/A</v>
      </c>
      <c r="K937" s="13"/>
      <c r="L937" s="13"/>
      <c r="M937" s="23" t="s">
        <v>277</v>
      </c>
    </row>
    <row r="938" spans="1:13" ht="19.5" customHeight="1">
      <c r="A938" s="18">
        <f t="shared" si="14"/>
        <v>937</v>
      </c>
      <c r="B938" s="11" t="s">
        <v>8</v>
      </c>
      <c r="C938" s="11" t="s">
        <v>65</v>
      </c>
      <c r="D938" s="11" t="s">
        <v>1971</v>
      </c>
      <c r="E938" s="11" t="s">
        <v>1972</v>
      </c>
      <c r="F938" s="11" t="s">
        <v>1973</v>
      </c>
      <c r="G938" s="11" t="s">
        <v>16</v>
      </c>
      <c r="H938" s="19" t="str">
        <f>IFERROR(VLOOKUP(Table2[[#This Row], [Ticket]],Okey!A:B,2,0),"")</f>
        <v>ok</v>
      </c>
      <c r="I938" s="11" t="s">
        <v>276</v>
      </c>
      <c r="J938" s="19" t="e">
        <f>VLOOKUP(Table2[[#This Row], [Author]],People!A:B,2,0)</f>
        <v>#N/A</v>
      </c>
      <c r="K938" s="11"/>
      <c r="L938" s="11"/>
      <c r="M938" s="20" t="s">
        <v>277</v>
      </c>
    </row>
    <row r="939" spans="1:13" ht="19.5" customHeight="1">
      <c r="A939" s="21">
        <f t="shared" si="14"/>
        <v>938</v>
      </c>
      <c r="B939" s="13" t="s">
        <v>8</v>
      </c>
      <c r="C939" s="13" t="s">
        <v>65</v>
      </c>
      <c r="D939" s="13" t="s">
        <v>1974</v>
      </c>
      <c r="E939" s="13" t="s">
        <v>1975</v>
      </c>
      <c r="F939" s="13" t="s">
        <v>1973</v>
      </c>
      <c r="G939" s="13" t="s">
        <v>16</v>
      </c>
      <c r="H939" s="22" t="str">
        <f>IFERROR(VLOOKUP(Table2[[#This Row], [Ticket]],Okey!A:B,2,0),"")</f>
        <v>ok</v>
      </c>
      <c r="I939" s="13" t="s">
        <v>276</v>
      </c>
      <c r="J939" s="22" t="e">
        <f>VLOOKUP(Table2[[#This Row], [Author]],People!A:B,2,0)</f>
        <v>#N/A</v>
      </c>
      <c r="K939" s="13"/>
      <c r="L939" s="13"/>
      <c r="M939" s="23" t="s">
        <v>277</v>
      </c>
    </row>
    <row r="940" spans="1:13" ht="19.5" customHeight="1">
      <c r="A940" s="18">
        <f t="shared" si="14"/>
        <v>939</v>
      </c>
      <c r="B940" s="11" t="s">
        <v>8</v>
      </c>
      <c r="C940" s="11" t="s">
        <v>65</v>
      </c>
      <c r="D940" s="11" t="s">
        <v>1976</v>
      </c>
      <c r="E940" s="11" t="s">
        <v>1977</v>
      </c>
      <c r="F940" s="11" t="s">
        <v>1890</v>
      </c>
      <c r="G940" s="11" t="s">
        <v>16</v>
      </c>
      <c r="H940" s="19" t="str">
        <f>IFERROR(VLOOKUP(Table2[[#This Row], [Ticket]],Okey!A:B,2,0),"")</f>
        <v>ok</v>
      </c>
      <c r="I940" s="11" t="s">
        <v>276</v>
      </c>
      <c r="J940" s="19" t="e">
        <f>VLOOKUP(Table2[[#This Row], [Author]],People!A:B,2,0)</f>
        <v>#N/A</v>
      </c>
      <c r="K940" s="11"/>
      <c r="L940" s="11"/>
      <c r="M940" s="20" t="s">
        <v>277</v>
      </c>
    </row>
    <row r="941" spans="1:13" ht="19.5" customHeight="1">
      <c r="A941" s="21">
        <f t="shared" si="14"/>
        <v>940</v>
      </c>
      <c r="B941" s="13" t="s">
        <v>8</v>
      </c>
      <c r="C941" s="13" t="s">
        <v>65</v>
      </c>
      <c r="D941" s="13" t="s">
        <v>1978</v>
      </c>
      <c r="E941" s="13" t="s">
        <v>1979</v>
      </c>
      <c r="F941" s="13" t="s">
        <v>1890</v>
      </c>
      <c r="G941" s="13" t="s">
        <v>16</v>
      </c>
      <c r="H941" s="22" t="str">
        <f>IFERROR(VLOOKUP(Table2[[#This Row], [Ticket]],Okey!A:B,2,0),"")</f>
        <v>ok</v>
      </c>
      <c r="I941" s="13" t="s">
        <v>276</v>
      </c>
      <c r="J941" s="22" t="e">
        <f>VLOOKUP(Table2[[#This Row], [Author]],People!A:B,2,0)</f>
        <v>#N/A</v>
      </c>
      <c r="K941" s="13"/>
      <c r="L941" s="13"/>
      <c r="M941" s="23" t="s">
        <v>277</v>
      </c>
    </row>
    <row r="942" spans="1:13" ht="19.5" customHeight="1">
      <c r="A942" s="18">
        <f t="shared" si="14"/>
        <v>941</v>
      </c>
      <c r="B942" s="11" t="s">
        <v>8</v>
      </c>
      <c r="C942" s="11" t="s">
        <v>65</v>
      </c>
      <c r="D942" s="11" t="s">
        <v>1980</v>
      </c>
      <c r="E942" s="11" t="s">
        <v>1981</v>
      </c>
      <c r="F942" s="11" t="s">
        <v>1890</v>
      </c>
      <c r="G942" s="11" t="s">
        <v>16</v>
      </c>
      <c r="H942" s="19" t="str">
        <f>IFERROR(VLOOKUP(Table2[[#This Row], [Ticket]],Okey!A:B,2,0),"")</f>
        <v>ok</v>
      </c>
      <c r="I942" s="11" t="s">
        <v>276</v>
      </c>
      <c r="J942" s="19" t="e">
        <f>VLOOKUP(Table2[[#This Row], [Author]],People!A:B,2,0)</f>
        <v>#N/A</v>
      </c>
      <c r="K942" s="11"/>
      <c r="L942" s="11"/>
      <c r="M942" s="20" t="s">
        <v>277</v>
      </c>
    </row>
    <row r="943" spans="1:13" ht="19.5" customHeight="1">
      <c r="A943" s="21">
        <f t="shared" si="14"/>
        <v>942</v>
      </c>
      <c r="B943" s="13" t="s">
        <v>8</v>
      </c>
      <c r="C943" s="13" t="s">
        <v>65</v>
      </c>
      <c r="D943" s="13" t="s">
        <v>1982</v>
      </c>
      <c r="E943" s="13" t="s">
        <v>1983</v>
      </c>
      <c r="F943" s="13" t="s">
        <v>1973</v>
      </c>
      <c r="G943" s="13" t="s">
        <v>16</v>
      </c>
      <c r="H943" s="22" t="str">
        <f>IFERROR(VLOOKUP(Table2[[#This Row], [Ticket]],Okey!A:B,2,0),"")</f>
        <v>ok</v>
      </c>
      <c r="I943" s="13" t="s">
        <v>276</v>
      </c>
      <c r="J943" s="22" t="e">
        <f>VLOOKUP(Table2[[#This Row], [Author]],People!A:B,2,0)</f>
        <v>#N/A</v>
      </c>
      <c r="K943" s="13"/>
      <c r="L943" s="13"/>
      <c r="M943" s="23" t="s">
        <v>277</v>
      </c>
    </row>
    <row r="944" spans="1:13" ht="19.5" customHeight="1">
      <c r="A944" s="18">
        <f t="shared" si="14"/>
        <v>943</v>
      </c>
      <c r="B944" s="11" t="s">
        <v>8</v>
      </c>
      <c r="C944" s="11" t="s">
        <v>65</v>
      </c>
      <c r="D944" s="11" t="s">
        <v>1984</v>
      </c>
      <c r="E944" s="11" t="s">
        <v>1985</v>
      </c>
      <c r="F944" s="11" t="s">
        <v>1973</v>
      </c>
      <c r="G944" s="11" t="s">
        <v>16</v>
      </c>
      <c r="H944" s="19" t="str">
        <f>IFERROR(VLOOKUP(Table2[[#This Row], [Ticket]],Okey!A:B,2,0),"")</f>
        <v>ok</v>
      </c>
      <c r="I944" s="11" t="s">
        <v>276</v>
      </c>
      <c r="J944" s="19" t="e">
        <f>VLOOKUP(Table2[[#This Row], [Author]],People!A:B,2,0)</f>
        <v>#N/A</v>
      </c>
      <c r="K944" s="11"/>
      <c r="L944" s="11"/>
      <c r="M944" s="20" t="s">
        <v>277</v>
      </c>
    </row>
    <row r="945" spans="1:13" ht="19.5" customHeight="1">
      <c r="A945" s="21">
        <f t="shared" si="14"/>
        <v>944</v>
      </c>
      <c r="B945" s="13" t="s">
        <v>8</v>
      </c>
      <c r="C945" s="13" t="s">
        <v>65</v>
      </c>
      <c r="D945" s="13" t="s">
        <v>1986</v>
      </c>
      <c r="E945" s="13" t="s">
        <v>1987</v>
      </c>
      <c r="F945" s="13" t="s">
        <v>1970</v>
      </c>
      <c r="G945" s="13" t="s">
        <v>16</v>
      </c>
      <c r="H945" s="22" t="str">
        <f>IFERROR(VLOOKUP(Table2[[#This Row], [Ticket]],Okey!A:B,2,0),"")</f>
        <v>ok</v>
      </c>
      <c r="I945" s="13" t="s">
        <v>276</v>
      </c>
      <c r="J945" s="22" t="e">
        <f>VLOOKUP(Table2[[#This Row], [Author]],People!A:B,2,0)</f>
        <v>#N/A</v>
      </c>
      <c r="K945" s="13"/>
      <c r="L945" s="13"/>
      <c r="M945" s="23" t="s">
        <v>277</v>
      </c>
    </row>
    <row r="946" spans="1:13" ht="19.5" customHeight="1">
      <c r="A946" s="18">
        <f t="shared" si="14"/>
        <v>945</v>
      </c>
      <c r="B946" s="11" t="s">
        <v>8</v>
      </c>
      <c r="C946" s="11" t="s">
        <v>65</v>
      </c>
      <c r="D946" s="11" t="s">
        <v>1988</v>
      </c>
      <c r="E946" s="11" t="s">
        <v>1989</v>
      </c>
      <c r="F946" s="11" t="s">
        <v>1890</v>
      </c>
      <c r="G946" s="11" t="s">
        <v>16</v>
      </c>
      <c r="H946" s="19" t="str">
        <f>IFERROR(VLOOKUP(Table2[[#This Row], [Ticket]],Okey!A:B,2,0),"")</f>
        <v>ok</v>
      </c>
      <c r="I946" s="11" t="s">
        <v>276</v>
      </c>
      <c r="J946" s="19" t="e">
        <f>VLOOKUP(Table2[[#This Row], [Author]],People!A:B,2,0)</f>
        <v>#N/A</v>
      </c>
      <c r="K946" s="11"/>
      <c r="L946" s="11"/>
      <c r="M946" s="20" t="s">
        <v>277</v>
      </c>
    </row>
    <row r="947" spans="1:13" ht="19.5" customHeight="1">
      <c r="A947" s="21">
        <f t="shared" si="14"/>
        <v>946</v>
      </c>
      <c r="B947" s="13" t="s">
        <v>8</v>
      </c>
      <c r="C947" s="13" t="s">
        <v>65</v>
      </c>
      <c r="D947" s="13" t="s">
        <v>1990</v>
      </c>
      <c r="E947" s="13" t="s">
        <v>1991</v>
      </c>
      <c r="F947" s="13" t="s">
        <v>280</v>
      </c>
      <c r="G947" s="13" t="s">
        <v>16</v>
      </c>
      <c r="H947" s="22" t="str">
        <f>IFERROR(VLOOKUP(Table2[[#This Row], [Ticket]],Okey!A:B,2,0),"")</f>
        <v>ok</v>
      </c>
      <c r="I947" s="13" t="s">
        <v>276</v>
      </c>
      <c r="J947" s="22" t="e">
        <f>VLOOKUP(Table2[[#This Row], [Author]],People!A:B,2,0)</f>
        <v>#N/A</v>
      </c>
      <c r="K947" s="13"/>
      <c r="L947" s="13"/>
      <c r="M947" s="23" t="s">
        <v>277</v>
      </c>
    </row>
    <row r="948" spans="1:13" ht="19.5" customHeight="1">
      <c r="A948" s="18">
        <f t="shared" si="14"/>
        <v>947</v>
      </c>
      <c r="B948" s="11" t="s">
        <v>8</v>
      </c>
      <c r="C948" s="11" t="s">
        <v>65</v>
      </c>
      <c r="D948" s="11" t="s">
        <v>1992</v>
      </c>
      <c r="E948" s="11" t="s">
        <v>1993</v>
      </c>
      <c r="F948" s="11" t="s">
        <v>1994</v>
      </c>
      <c r="G948" s="11" t="s">
        <v>16</v>
      </c>
      <c r="H948" s="19" t="str">
        <f>IFERROR(VLOOKUP(Table2[[#This Row], [Ticket]],Okey!A:B,2,0),"")</f>
        <v>ok</v>
      </c>
      <c r="I948" s="11" t="s">
        <v>276</v>
      </c>
      <c r="J948" s="19" t="e">
        <f>VLOOKUP(Table2[[#This Row], [Author]],People!A:B,2,0)</f>
        <v>#N/A</v>
      </c>
      <c r="K948" s="11"/>
      <c r="L948" s="11"/>
      <c r="M948" s="20" t="s">
        <v>277</v>
      </c>
    </row>
    <row r="949" spans="1:13" ht="19.5" customHeight="1">
      <c r="A949" s="21">
        <f t="shared" si="14"/>
        <v>948</v>
      </c>
      <c r="B949" s="13" t="s">
        <v>8</v>
      </c>
      <c r="C949" s="13" t="s">
        <v>65</v>
      </c>
      <c r="D949" s="13" t="s">
        <v>1995</v>
      </c>
      <c r="E949" s="13"/>
      <c r="F949" s="13" t="s">
        <v>1996</v>
      </c>
      <c r="G949" s="13" t="s">
        <v>13</v>
      </c>
      <c r="H949" s="22" t="str">
        <f>IFERROR(VLOOKUP(Table2[[#This Row], [Ticket]],Okey!A:B,2,0),"")</f>
        <v>ok</v>
      </c>
      <c r="I949" s="13" t="s">
        <v>276</v>
      </c>
      <c r="J949" s="22" t="e">
        <f>VLOOKUP(Table2[[#This Row], [Author]],People!A:B,2,0)</f>
        <v>#N/A</v>
      </c>
      <c r="K949" s="13"/>
      <c r="L949" s="13"/>
      <c r="M949" s="23" t="s">
        <v>277</v>
      </c>
    </row>
    <row r="950" spans="1:13" ht="19.5" customHeight="1">
      <c r="A950" s="18">
        <f t="shared" si="14"/>
        <v>949</v>
      </c>
      <c r="B950" s="11" t="s">
        <v>8</v>
      </c>
      <c r="C950" s="11" t="s">
        <v>65</v>
      </c>
      <c r="D950" s="11" t="s">
        <v>1997</v>
      </c>
      <c r="E950" s="11"/>
      <c r="F950" s="11" t="s">
        <v>1998</v>
      </c>
      <c r="G950" s="11" t="s">
        <v>13</v>
      </c>
      <c r="H950" s="19" t="str">
        <f>IFERROR(VLOOKUP(Table2[[#This Row], [Ticket]],Okey!A:B,2,0),"")</f>
        <v>ok</v>
      </c>
      <c r="I950" s="11" t="s">
        <v>276</v>
      </c>
      <c r="J950" s="19" t="e">
        <f>VLOOKUP(Table2[[#This Row], [Author]],People!A:B,2,0)</f>
        <v>#N/A</v>
      </c>
      <c r="K950" s="11"/>
      <c r="L950" s="11"/>
      <c r="M950" s="20" t="s">
        <v>277</v>
      </c>
    </row>
    <row r="951" spans="1:13" ht="19.5" customHeight="1">
      <c r="A951" s="21">
        <f t="shared" si="14"/>
        <v>950</v>
      </c>
      <c r="B951" s="13" t="s">
        <v>8</v>
      </c>
      <c r="C951" s="13" t="s">
        <v>65</v>
      </c>
      <c r="D951" s="13" t="s">
        <v>1999</v>
      </c>
      <c r="E951" s="13"/>
      <c r="F951" s="13" t="s">
        <v>2000</v>
      </c>
      <c r="G951" s="13" t="s">
        <v>13</v>
      </c>
      <c r="H951" s="22" t="str">
        <f>IFERROR(VLOOKUP(Table2[[#This Row], [Ticket]],Okey!A:B,2,0),"")</f>
        <v>ok</v>
      </c>
      <c r="I951" s="13" t="s">
        <v>276</v>
      </c>
      <c r="J951" s="22" t="e">
        <f>VLOOKUP(Table2[[#This Row], [Author]],People!A:B,2,0)</f>
        <v>#N/A</v>
      </c>
      <c r="K951" s="13"/>
      <c r="L951" s="13"/>
      <c r="M951" s="23" t="s">
        <v>277</v>
      </c>
    </row>
    <row r="952" spans="1:13" ht="19.5" customHeight="1">
      <c r="A952" s="18">
        <f t="shared" si="14"/>
        <v>951</v>
      </c>
      <c r="B952" s="11" t="s">
        <v>8</v>
      </c>
      <c r="C952" s="11" t="s">
        <v>65</v>
      </c>
      <c r="D952" s="11" t="s">
        <v>1914</v>
      </c>
      <c r="E952" s="11"/>
      <c r="F952" s="11" t="s">
        <v>1910</v>
      </c>
      <c r="G952" s="11" t="s">
        <v>13</v>
      </c>
      <c r="H952" s="19" t="str">
        <f>IFERROR(VLOOKUP(Table2[[#This Row], [Ticket]],Okey!A:B,2,0),"")</f>
        <v>ok</v>
      </c>
      <c r="I952" s="11" t="s">
        <v>276</v>
      </c>
      <c r="J952" s="19" t="e">
        <f>VLOOKUP(Table2[[#This Row], [Author]],People!A:B,2,0)</f>
        <v>#N/A</v>
      </c>
      <c r="K952" s="11"/>
      <c r="L952" s="11"/>
      <c r="M952" s="20" t="s">
        <v>277</v>
      </c>
    </row>
    <row r="953" spans="1:13" ht="19.5" customHeight="1">
      <c r="A953" s="21">
        <f t="shared" si="14"/>
        <v>952</v>
      </c>
      <c r="B953" s="13" t="s">
        <v>8</v>
      </c>
      <c r="C953" s="13" t="s">
        <v>65</v>
      </c>
      <c r="D953" s="13" t="s">
        <v>2001</v>
      </c>
      <c r="E953" s="13" t="s">
        <v>2002</v>
      </c>
      <c r="F953" s="28" t="s">
        <v>1288</v>
      </c>
      <c r="G953" s="13" t="s">
        <v>14</v>
      </c>
      <c r="H953" s="22" t="str">
        <f>IFERROR(VLOOKUP(Table2[[#This Row], [Ticket]],Okey!A:B,2,0),"")</f>
        <v>ok</v>
      </c>
      <c r="I953" s="13" t="s">
        <v>276</v>
      </c>
      <c r="J953" s="22" t="e">
        <f>VLOOKUP(Table2[[#This Row], [Author]],People!A:B,2,0)</f>
        <v>#N/A</v>
      </c>
      <c r="K953" s="13"/>
      <c r="L953" s="13"/>
      <c r="M953" s="23" t="s">
        <v>277</v>
      </c>
    </row>
    <row r="954" spans="1:13" ht="19.5" customHeight="1">
      <c r="A954" s="18">
        <f t="shared" si="14"/>
        <v>953</v>
      </c>
      <c r="B954" s="11" t="s">
        <v>8</v>
      </c>
      <c r="C954" s="11" t="s">
        <v>63</v>
      </c>
      <c r="D954" s="11" t="s">
        <v>2003</v>
      </c>
      <c r="E954" s="11"/>
      <c r="F954" s="11" t="s">
        <v>2004</v>
      </c>
      <c r="G954" s="11" t="s">
        <v>13</v>
      </c>
      <c r="H954" s="19" t="str">
        <f>IFERROR(VLOOKUP(Table2[[#This Row], [Ticket]],Okey!A:B,2,0),"")</f>
        <v>ok</v>
      </c>
      <c r="I954" s="11" t="s">
        <v>276</v>
      </c>
      <c r="J954" s="19" t="e">
        <f>VLOOKUP(Table2[[#This Row], [Author]],People!A:B,2,0)</f>
        <v>#N/A</v>
      </c>
      <c r="K954" s="11"/>
      <c r="L954" s="11"/>
      <c r="M954" s="20" t="s">
        <v>277</v>
      </c>
    </row>
    <row r="955" spans="1:13" ht="19.5" customHeight="1">
      <c r="A955" s="21">
        <f t="shared" si="14"/>
        <v>954</v>
      </c>
      <c r="B955" s="13" t="s">
        <v>8</v>
      </c>
      <c r="C955" s="13" t="s">
        <v>63</v>
      </c>
      <c r="D955" s="13" t="s">
        <v>2005</v>
      </c>
      <c r="E955" s="13"/>
      <c r="F955" s="13" t="s">
        <v>2006</v>
      </c>
      <c r="G955" s="13" t="s">
        <v>13</v>
      </c>
      <c r="H955" s="22" t="str">
        <f>IFERROR(VLOOKUP(Table2[[#This Row], [Ticket]],Okey!A:B,2,0),"")</f>
        <v>ok</v>
      </c>
      <c r="I955" s="13" t="s">
        <v>276</v>
      </c>
      <c r="J955" s="22" t="e">
        <f>VLOOKUP(Table2[[#This Row], [Author]],People!A:B,2,0)</f>
        <v>#N/A</v>
      </c>
      <c r="K955" s="13"/>
      <c r="L955" s="13"/>
      <c r="M955" s="23" t="s">
        <v>277</v>
      </c>
    </row>
    <row r="956" spans="1:13" ht="19.5" customHeight="1">
      <c r="A956" s="18">
        <f t="shared" si="14"/>
        <v>955</v>
      </c>
      <c r="B956" s="11" t="s">
        <v>8</v>
      </c>
      <c r="C956" s="11" t="s">
        <v>64</v>
      </c>
      <c r="D956" s="11" t="s">
        <v>2007</v>
      </c>
      <c r="E956" s="11"/>
      <c r="F956" s="11" t="s">
        <v>993</v>
      </c>
      <c r="G956" s="11" t="s">
        <v>13</v>
      </c>
      <c r="H956" s="19" t="str">
        <f>IFERROR(VLOOKUP(Table2[[#This Row], [Ticket]],Okey!A:B,2,0),"")</f>
        <v>ok</v>
      </c>
      <c r="I956" s="11" t="s">
        <v>276</v>
      </c>
      <c r="J956" s="19" t="e">
        <f>VLOOKUP(Table2[[#This Row], [Author]],People!A:B,2,0)</f>
        <v>#N/A</v>
      </c>
      <c r="K956" s="11"/>
      <c r="L956" s="11"/>
      <c r="M956" s="20" t="s">
        <v>661</v>
      </c>
    </row>
    <row r="957" spans="1:13" ht="19.5" customHeight="1">
      <c r="A957" s="21">
        <f t="shared" si="14"/>
        <v>956</v>
      </c>
      <c r="B957" s="13" t="s">
        <v>8</v>
      </c>
      <c r="C957" s="13" t="s">
        <v>66</v>
      </c>
      <c r="D957" s="13" t="s">
        <v>2008</v>
      </c>
      <c r="E957" s="13" t="s">
        <v>2009</v>
      </c>
      <c r="F957" s="13" t="s">
        <v>507</v>
      </c>
      <c r="G957" s="13" t="s">
        <v>14</v>
      </c>
      <c r="H957" s="22" t="str">
        <f>IFERROR(VLOOKUP(Table2[[#This Row], [Ticket]],Okey!A:B,2,0),"")</f>
        <v>ok</v>
      </c>
      <c r="I957" s="13" t="s">
        <v>276</v>
      </c>
      <c r="J957" s="22" t="e">
        <f>VLOOKUP(Table2[[#This Row], [Author]],People!A:B,2,0)</f>
        <v>#N/A</v>
      </c>
      <c r="K957" s="13"/>
      <c r="L957" s="13"/>
      <c r="M957" s="23" t="s">
        <v>344</v>
      </c>
    </row>
    <row r="958" spans="1:13" ht="19.5" customHeight="1">
      <c r="A958" s="18">
        <f t="shared" si="14"/>
        <v>957</v>
      </c>
      <c r="B958" s="11" t="s">
        <v>8</v>
      </c>
      <c r="C958" s="11" t="s">
        <v>67</v>
      </c>
      <c r="D958" s="11" t="s">
        <v>2010</v>
      </c>
      <c r="E958" s="11"/>
      <c r="F958" s="11" t="s">
        <v>2011</v>
      </c>
      <c r="G958" s="11" t="s">
        <v>13</v>
      </c>
      <c r="H958" s="19" t="str">
        <f>IFERROR(VLOOKUP(Table2[[#This Row], [Ticket]],Okey!A:B,2,0),"")</f>
        <v>ok</v>
      </c>
      <c r="I958" s="11" t="s">
        <v>276</v>
      </c>
      <c r="J958" s="19" t="e">
        <f>VLOOKUP(Table2[[#This Row], [Author]],People!A:B,2,0)</f>
        <v>#N/A</v>
      </c>
      <c r="K958" s="11"/>
      <c r="L958" s="11"/>
      <c r="M958" s="20" t="s">
        <v>2012</v>
      </c>
    </row>
    <row r="959" spans="1:13" ht="19.5" customHeight="1">
      <c r="A959" s="21">
        <f t="shared" si="14"/>
        <v>958</v>
      </c>
      <c r="B959" s="13" t="s">
        <v>8</v>
      </c>
      <c r="C959" s="13" t="s">
        <v>68</v>
      </c>
      <c r="D959" s="13" t="s">
        <v>2013</v>
      </c>
      <c r="E959" s="13" t="s">
        <v>2014</v>
      </c>
      <c r="F959" s="13" t="s">
        <v>2015</v>
      </c>
      <c r="G959" s="13" t="s">
        <v>14</v>
      </c>
      <c r="H959" s="22" t="str">
        <f>IFERROR(VLOOKUP(Table2[[#This Row], [Ticket]],Okey!A:B,2,0),"")</f>
        <v>ok</v>
      </c>
      <c r="I959" s="13" t="s">
        <v>276</v>
      </c>
      <c r="J959" s="22" t="e">
        <f>VLOOKUP(Table2[[#This Row], [Author]],People!A:B,2,0)</f>
        <v>#N/A</v>
      </c>
      <c r="K959" s="13"/>
      <c r="L959" s="13"/>
      <c r="M959" s="23" t="s">
        <v>1613</v>
      </c>
    </row>
    <row r="960" spans="1:13" ht="19.5" customHeight="1">
      <c r="A960" s="18">
        <f t="shared" si="14"/>
        <v>959</v>
      </c>
      <c r="B960" s="11" t="s">
        <v>8</v>
      </c>
      <c r="C960" s="11" t="s">
        <v>68</v>
      </c>
      <c r="D960" s="11" t="s">
        <v>2016</v>
      </c>
      <c r="E960" s="11" t="s">
        <v>2017</v>
      </c>
      <c r="F960" s="11" t="s">
        <v>2015</v>
      </c>
      <c r="G960" s="11" t="s">
        <v>14</v>
      </c>
      <c r="H960" s="19" t="str">
        <f>IFERROR(VLOOKUP(Table2[[#This Row], [Ticket]],Okey!A:B,2,0),"")</f>
        <v>ok</v>
      </c>
      <c r="I960" s="11" t="s">
        <v>276</v>
      </c>
      <c r="J960" s="19" t="e">
        <f>VLOOKUP(Table2[[#This Row], [Author]],People!A:B,2,0)</f>
        <v>#N/A</v>
      </c>
      <c r="K960" s="11"/>
      <c r="L960" s="11"/>
      <c r="M960" s="20" t="s">
        <v>1613</v>
      </c>
    </row>
    <row r="961" spans="1:13" ht="19.5" customHeight="1">
      <c r="A961" s="21">
        <f t="shared" si="14"/>
        <v>960</v>
      </c>
      <c r="B961" s="13" t="s">
        <v>8</v>
      </c>
      <c r="C961" s="13" t="s">
        <v>68</v>
      </c>
      <c r="D961" s="13" t="s">
        <v>2018</v>
      </c>
      <c r="E961" s="13" t="s">
        <v>2019</v>
      </c>
      <c r="F961" s="13" t="s">
        <v>2020</v>
      </c>
      <c r="G961" s="13" t="s">
        <v>14</v>
      </c>
      <c r="H961" s="22" t="str">
        <f>IFERROR(VLOOKUP(Table2[[#This Row], [Ticket]],Okey!A:B,2,0),"")</f>
        <v>ok</v>
      </c>
      <c r="I961" s="13" t="s">
        <v>276</v>
      </c>
      <c r="J961" s="22" t="e">
        <f>VLOOKUP(Table2[[#This Row], [Author]],People!A:B,2,0)</f>
        <v>#N/A</v>
      </c>
      <c r="K961" s="13"/>
      <c r="L961" s="13"/>
      <c r="M961" s="23" t="s">
        <v>1613</v>
      </c>
    </row>
    <row r="962" spans="1:13" ht="19.5" customHeight="1">
      <c r="A962" s="18">
        <f t="shared" si="14"/>
        <v>961</v>
      </c>
      <c r="B962" s="11" t="s">
        <v>8</v>
      </c>
      <c r="C962" s="11" t="s">
        <v>68</v>
      </c>
      <c r="D962" s="11" t="s">
        <v>2021</v>
      </c>
      <c r="E962" s="11" t="s">
        <v>2022</v>
      </c>
      <c r="F962" s="11" t="s">
        <v>2020</v>
      </c>
      <c r="G962" s="11" t="s">
        <v>14</v>
      </c>
      <c r="H962" s="19" t="str">
        <f>IFERROR(VLOOKUP(Table2[[#This Row], [Ticket]],Okey!A:B,2,0),"")</f>
        <v>ok</v>
      </c>
      <c r="I962" s="11" t="s">
        <v>276</v>
      </c>
      <c r="J962" s="19" t="e">
        <f>VLOOKUP(Table2[[#This Row], [Author]],People!A:B,2,0)</f>
        <v>#N/A</v>
      </c>
      <c r="K962" s="11"/>
      <c r="L962" s="11"/>
      <c r="M962" s="20" t="s">
        <v>1613</v>
      </c>
    </row>
    <row r="963" spans="1:13" ht="19.5" customHeight="1">
      <c r="A963" s="21">
        <f t="shared" ref="A963:A1026" si="15">1+A962</f>
        <v>962</v>
      </c>
      <c r="B963" s="13" t="s">
        <v>8</v>
      </c>
      <c r="C963" s="13" t="s">
        <v>68</v>
      </c>
      <c r="D963" s="13" t="s">
        <v>2023</v>
      </c>
      <c r="E963" s="13" t="s">
        <v>2024</v>
      </c>
      <c r="F963" s="13" t="s">
        <v>2025</v>
      </c>
      <c r="G963" s="13" t="s">
        <v>14</v>
      </c>
      <c r="H963" s="22" t="str">
        <f>IFERROR(VLOOKUP(Table2[[#This Row], [Ticket]],Okey!A:B,2,0),"")</f>
        <v>ok</v>
      </c>
      <c r="I963" s="13" t="s">
        <v>276</v>
      </c>
      <c r="J963" s="22" t="e">
        <f>VLOOKUP(Table2[[#This Row], [Author]],People!A:B,2,0)</f>
        <v>#N/A</v>
      </c>
      <c r="K963" s="13"/>
      <c r="L963" s="13"/>
      <c r="M963" s="23" t="s">
        <v>1613</v>
      </c>
    </row>
    <row r="964" spans="1:13" ht="19.5" customHeight="1">
      <c r="A964" s="18">
        <f t="shared" si="15"/>
        <v>963</v>
      </c>
      <c r="B964" s="11" t="s">
        <v>8</v>
      </c>
      <c r="C964" s="11" t="s">
        <v>68</v>
      </c>
      <c r="D964" s="11" t="s">
        <v>2026</v>
      </c>
      <c r="E964" s="11" t="s">
        <v>2027</v>
      </c>
      <c r="F964" s="11" t="s">
        <v>2020</v>
      </c>
      <c r="G964" s="11" t="s">
        <v>14</v>
      </c>
      <c r="H964" s="19" t="str">
        <f>IFERROR(VLOOKUP(Table2[[#This Row], [Ticket]],Okey!A:B,2,0),"")</f>
        <v>ok</v>
      </c>
      <c r="I964" s="11" t="s">
        <v>276</v>
      </c>
      <c r="J964" s="19" t="e">
        <f>VLOOKUP(Table2[[#This Row], [Author]],People!A:B,2,0)</f>
        <v>#N/A</v>
      </c>
      <c r="K964" s="11"/>
      <c r="L964" s="11"/>
      <c r="M964" s="20" t="s">
        <v>1613</v>
      </c>
    </row>
    <row r="965" spans="1:13" ht="19.5" customHeight="1">
      <c r="A965" s="21">
        <f t="shared" si="15"/>
        <v>964</v>
      </c>
      <c r="B965" s="13" t="s">
        <v>8</v>
      </c>
      <c r="C965" s="13" t="s">
        <v>68</v>
      </c>
      <c r="D965" s="13" t="s">
        <v>2028</v>
      </c>
      <c r="E965" s="13" t="s">
        <v>2029</v>
      </c>
      <c r="F965" s="13" t="s">
        <v>2030</v>
      </c>
      <c r="G965" s="13" t="s">
        <v>14</v>
      </c>
      <c r="H965" s="22" t="str">
        <f>IFERROR(VLOOKUP(Table2[[#This Row], [Ticket]],Okey!A:B,2,0),"")</f>
        <v>ok</v>
      </c>
      <c r="I965" s="13" t="s">
        <v>276</v>
      </c>
      <c r="J965" s="22" t="e">
        <f>VLOOKUP(Table2[[#This Row], [Author]],People!A:B,2,0)</f>
        <v>#N/A</v>
      </c>
      <c r="K965" s="13"/>
      <c r="L965" s="13"/>
      <c r="M965" s="23" t="s">
        <v>1613</v>
      </c>
    </row>
    <row r="966" spans="1:13" ht="19.5" customHeight="1">
      <c r="A966" s="18">
        <f t="shared" si="15"/>
        <v>965</v>
      </c>
      <c r="B966" s="11" t="s">
        <v>8</v>
      </c>
      <c r="C966" s="11" t="s">
        <v>68</v>
      </c>
      <c r="D966" s="11" t="s">
        <v>2031</v>
      </c>
      <c r="E966" s="11" t="s">
        <v>2032</v>
      </c>
      <c r="F966" s="11" t="s">
        <v>2030</v>
      </c>
      <c r="G966" s="11" t="s">
        <v>14</v>
      </c>
      <c r="H966" s="19" t="str">
        <f>IFERROR(VLOOKUP(Table2[[#This Row], [Ticket]],Okey!A:B,2,0),"")</f>
        <v>ok</v>
      </c>
      <c r="I966" s="11" t="s">
        <v>276</v>
      </c>
      <c r="J966" s="19" t="e">
        <f>VLOOKUP(Table2[[#This Row], [Author]],People!A:B,2,0)</f>
        <v>#N/A</v>
      </c>
      <c r="K966" s="11"/>
      <c r="L966" s="11"/>
      <c r="M966" s="20" t="s">
        <v>1613</v>
      </c>
    </row>
    <row r="967" spans="1:13" ht="19.5" customHeight="1">
      <c r="A967" s="21">
        <f t="shared" si="15"/>
        <v>966</v>
      </c>
      <c r="B967" s="13" t="s">
        <v>8</v>
      </c>
      <c r="C967" s="13" t="s">
        <v>68</v>
      </c>
      <c r="D967" s="13" t="s">
        <v>2033</v>
      </c>
      <c r="E967" s="13" t="s">
        <v>2034</v>
      </c>
      <c r="F967" s="13" t="s">
        <v>2035</v>
      </c>
      <c r="G967" s="13" t="s">
        <v>14</v>
      </c>
      <c r="H967" s="22" t="str">
        <f>IFERROR(VLOOKUP(Table2[[#This Row], [Ticket]],Okey!A:B,2,0),"")</f>
        <v>ok</v>
      </c>
      <c r="I967" s="13" t="s">
        <v>276</v>
      </c>
      <c r="J967" s="22" t="e">
        <f>VLOOKUP(Table2[[#This Row], [Author]],People!A:B,2,0)</f>
        <v>#N/A</v>
      </c>
      <c r="K967" s="13"/>
      <c r="L967" s="13"/>
      <c r="M967" s="23" t="s">
        <v>1613</v>
      </c>
    </row>
    <row r="968" spans="1:13" ht="19.5" customHeight="1">
      <c r="A968" s="18">
        <f t="shared" si="15"/>
        <v>967</v>
      </c>
      <c r="B968" s="11" t="s">
        <v>8</v>
      </c>
      <c r="C968" s="11" t="s">
        <v>68</v>
      </c>
      <c r="D968" s="11" t="s">
        <v>2036</v>
      </c>
      <c r="E968" s="11" t="s">
        <v>2037</v>
      </c>
      <c r="F968" s="11" t="s">
        <v>2035</v>
      </c>
      <c r="G968" s="11" t="s">
        <v>14</v>
      </c>
      <c r="H968" s="19" t="str">
        <f>IFERROR(VLOOKUP(Table2[[#This Row], [Ticket]],Okey!A:B,2,0),"")</f>
        <v>ok</v>
      </c>
      <c r="I968" s="11" t="s">
        <v>276</v>
      </c>
      <c r="J968" s="19" t="e">
        <f>VLOOKUP(Table2[[#This Row], [Author]],People!A:B,2,0)</f>
        <v>#N/A</v>
      </c>
      <c r="K968" s="11"/>
      <c r="L968" s="11"/>
      <c r="M968" s="20" t="s">
        <v>1613</v>
      </c>
    </row>
    <row r="969" spans="1:13" ht="19.5" customHeight="1">
      <c r="A969" s="21">
        <f t="shared" si="15"/>
        <v>968</v>
      </c>
      <c r="B969" s="13" t="s">
        <v>8</v>
      </c>
      <c r="C969" s="13" t="s">
        <v>68</v>
      </c>
      <c r="D969" s="13" t="s">
        <v>2038</v>
      </c>
      <c r="E969" s="13" t="s">
        <v>2039</v>
      </c>
      <c r="F969" s="13" t="s">
        <v>2040</v>
      </c>
      <c r="G969" s="13" t="s">
        <v>14</v>
      </c>
      <c r="H969" s="22" t="str">
        <f>IFERROR(VLOOKUP(Table2[[#This Row], [Ticket]],Okey!A:B,2,0),"")</f>
        <v>ok</v>
      </c>
      <c r="I969" s="13" t="s">
        <v>276</v>
      </c>
      <c r="J969" s="22" t="e">
        <f>VLOOKUP(Table2[[#This Row], [Author]],People!A:B,2,0)</f>
        <v>#N/A</v>
      </c>
      <c r="K969" s="13"/>
      <c r="L969" s="13"/>
      <c r="M969" s="23" t="s">
        <v>1613</v>
      </c>
    </row>
    <row r="970" spans="1:13" ht="19.5" customHeight="1">
      <c r="A970" s="18">
        <f t="shared" si="15"/>
        <v>969</v>
      </c>
      <c r="B970" s="11" t="s">
        <v>8</v>
      </c>
      <c r="C970" s="11" t="s">
        <v>68</v>
      </c>
      <c r="D970" s="11" t="s">
        <v>2041</v>
      </c>
      <c r="E970" s="11" t="s">
        <v>2042</v>
      </c>
      <c r="F970" s="11" t="s">
        <v>2040</v>
      </c>
      <c r="G970" s="11" t="s">
        <v>14</v>
      </c>
      <c r="H970" s="19" t="str">
        <f>IFERROR(VLOOKUP(Table2[[#This Row], [Ticket]],Okey!A:B,2,0),"")</f>
        <v>ok</v>
      </c>
      <c r="I970" s="11" t="s">
        <v>276</v>
      </c>
      <c r="J970" s="19" t="e">
        <f>VLOOKUP(Table2[[#This Row], [Author]],People!A:B,2,0)</f>
        <v>#N/A</v>
      </c>
      <c r="K970" s="11"/>
      <c r="L970" s="11"/>
      <c r="M970" s="20" t="s">
        <v>1613</v>
      </c>
    </row>
    <row r="971" spans="1:13" ht="19.5" customHeight="1">
      <c r="A971" s="21">
        <f t="shared" si="15"/>
        <v>970</v>
      </c>
      <c r="B971" s="13" t="s">
        <v>8</v>
      </c>
      <c r="C971" s="13" t="s">
        <v>68</v>
      </c>
      <c r="D971" s="13" t="s">
        <v>2043</v>
      </c>
      <c r="E971" s="13" t="s">
        <v>2044</v>
      </c>
      <c r="F971" s="13" t="s">
        <v>2045</v>
      </c>
      <c r="G971" s="13" t="s">
        <v>14</v>
      </c>
      <c r="H971" s="22" t="str">
        <f>IFERROR(VLOOKUP(Table2[[#This Row], [Ticket]],Okey!A:B,2,0),"")</f>
        <v>ok</v>
      </c>
      <c r="I971" s="13" t="s">
        <v>276</v>
      </c>
      <c r="J971" s="22" t="e">
        <f>VLOOKUP(Table2[[#This Row], [Author]],People!A:B,2,0)</f>
        <v>#N/A</v>
      </c>
      <c r="K971" s="13"/>
      <c r="L971" s="13"/>
      <c r="M971" s="23" t="s">
        <v>1613</v>
      </c>
    </row>
    <row r="972" spans="1:13" ht="19.5" customHeight="1">
      <c r="A972" s="18">
        <f t="shared" si="15"/>
        <v>971</v>
      </c>
      <c r="B972" s="11" t="s">
        <v>8</v>
      </c>
      <c r="C972" s="11" t="s">
        <v>68</v>
      </c>
      <c r="D972" s="11" t="s">
        <v>2046</v>
      </c>
      <c r="E972" s="11" t="s">
        <v>2047</v>
      </c>
      <c r="F972" s="11" t="s">
        <v>2045</v>
      </c>
      <c r="G972" s="11" t="s">
        <v>14</v>
      </c>
      <c r="H972" s="19" t="str">
        <f>IFERROR(VLOOKUP(Table2[[#This Row], [Ticket]],Okey!A:B,2,0),"")</f>
        <v>ok</v>
      </c>
      <c r="I972" s="11" t="s">
        <v>276</v>
      </c>
      <c r="J972" s="19" t="e">
        <f>VLOOKUP(Table2[[#This Row], [Author]],People!A:B,2,0)</f>
        <v>#N/A</v>
      </c>
      <c r="K972" s="11"/>
      <c r="L972" s="11"/>
      <c r="M972" s="20" t="s">
        <v>1613</v>
      </c>
    </row>
    <row r="973" spans="1:13" ht="19.5" customHeight="1">
      <c r="A973" s="21">
        <f t="shared" si="15"/>
        <v>972</v>
      </c>
      <c r="B973" s="13" t="s">
        <v>8</v>
      </c>
      <c r="C973" s="13" t="s">
        <v>68</v>
      </c>
      <c r="D973" s="13" t="s">
        <v>2048</v>
      </c>
      <c r="E973" s="13" t="s">
        <v>2049</v>
      </c>
      <c r="F973" s="13" t="s">
        <v>2050</v>
      </c>
      <c r="G973" s="13" t="s">
        <v>14</v>
      </c>
      <c r="H973" s="22" t="str">
        <f>IFERROR(VLOOKUP(Table2[[#This Row], [Ticket]],Okey!A:B,2,0),"")</f>
        <v>ok</v>
      </c>
      <c r="I973" s="13" t="s">
        <v>276</v>
      </c>
      <c r="J973" s="22" t="e">
        <f>VLOOKUP(Table2[[#This Row], [Author]],People!A:B,2,0)</f>
        <v>#N/A</v>
      </c>
      <c r="K973" s="13"/>
      <c r="L973" s="13"/>
      <c r="M973" s="23" t="s">
        <v>1613</v>
      </c>
    </row>
    <row r="974" spans="1:13" ht="19.5" customHeight="1">
      <c r="A974" s="18">
        <f t="shared" si="15"/>
        <v>973</v>
      </c>
      <c r="B974" s="11" t="s">
        <v>8</v>
      </c>
      <c r="C974" s="11" t="s">
        <v>68</v>
      </c>
      <c r="D974" s="11" t="s">
        <v>2051</v>
      </c>
      <c r="E974" s="11" t="s">
        <v>2052</v>
      </c>
      <c r="F974" s="11" t="s">
        <v>2053</v>
      </c>
      <c r="G974" s="11" t="s">
        <v>14</v>
      </c>
      <c r="H974" s="19" t="str">
        <f>IFERROR(VLOOKUP(Table2[[#This Row], [Ticket]],Okey!A:B,2,0),"")</f>
        <v>ok</v>
      </c>
      <c r="I974" s="11" t="s">
        <v>276</v>
      </c>
      <c r="J974" s="19" t="e">
        <f>VLOOKUP(Table2[[#This Row], [Author]],People!A:B,2,0)</f>
        <v>#N/A</v>
      </c>
      <c r="K974" s="11"/>
      <c r="L974" s="11"/>
      <c r="M974" s="20" t="s">
        <v>1613</v>
      </c>
    </row>
    <row r="975" spans="1:13" ht="19.5" customHeight="1">
      <c r="A975" s="21">
        <f t="shared" si="15"/>
        <v>974</v>
      </c>
      <c r="B975" s="13" t="s">
        <v>8</v>
      </c>
      <c r="C975" s="13" t="s">
        <v>68</v>
      </c>
      <c r="D975" s="13" t="s">
        <v>2054</v>
      </c>
      <c r="E975" s="13" t="s">
        <v>2055</v>
      </c>
      <c r="F975" s="13" t="s">
        <v>2053</v>
      </c>
      <c r="G975" s="13" t="s">
        <v>14</v>
      </c>
      <c r="H975" s="22" t="str">
        <f>IFERROR(VLOOKUP(Table2[[#This Row], [Ticket]],Okey!A:B,2,0),"")</f>
        <v>ok</v>
      </c>
      <c r="I975" s="13" t="s">
        <v>276</v>
      </c>
      <c r="J975" s="22" t="e">
        <f>VLOOKUP(Table2[[#This Row], [Author]],People!A:B,2,0)</f>
        <v>#N/A</v>
      </c>
      <c r="K975" s="13"/>
      <c r="L975" s="13"/>
      <c r="M975" s="23" t="s">
        <v>1613</v>
      </c>
    </row>
    <row r="976" spans="1:13" ht="19.5" customHeight="1">
      <c r="A976" s="18">
        <f t="shared" si="15"/>
        <v>975</v>
      </c>
      <c r="B976" s="11" t="s">
        <v>8</v>
      </c>
      <c r="C976" s="11" t="s">
        <v>68</v>
      </c>
      <c r="D976" s="11" t="s">
        <v>2056</v>
      </c>
      <c r="E976" s="11" t="s">
        <v>2057</v>
      </c>
      <c r="F976" s="11" t="s">
        <v>2058</v>
      </c>
      <c r="G976" s="11" t="s">
        <v>14</v>
      </c>
      <c r="H976" s="19" t="str">
        <f>IFERROR(VLOOKUP(Table2[[#This Row], [Ticket]],Okey!A:B,2,0),"")</f>
        <v>ok</v>
      </c>
      <c r="I976" s="11" t="s">
        <v>276</v>
      </c>
      <c r="J976" s="19" t="e">
        <f>VLOOKUP(Table2[[#This Row], [Author]],People!A:B,2,0)</f>
        <v>#N/A</v>
      </c>
      <c r="K976" s="11"/>
      <c r="L976" s="11"/>
      <c r="M976" s="20" t="s">
        <v>1613</v>
      </c>
    </row>
    <row r="977" spans="1:13" ht="19.5" customHeight="1">
      <c r="A977" s="21">
        <f t="shared" si="15"/>
        <v>976</v>
      </c>
      <c r="B977" s="13" t="s">
        <v>8</v>
      </c>
      <c r="C977" s="13" t="s">
        <v>68</v>
      </c>
      <c r="D977" s="13" t="s">
        <v>2059</v>
      </c>
      <c r="E977" s="13" t="s">
        <v>2060</v>
      </c>
      <c r="F977" s="13" t="s">
        <v>2058</v>
      </c>
      <c r="G977" s="13" t="s">
        <v>14</v>
      </c>
      <c r="H977" s="22" t="str">
        <f>IFERROR(VLOOKUP(Table2[[#This Row], [Ticket]],Okey!A:B,2,0),"")</f>
        <v>ok</v>
      </c>
      <c r="I977" s="13" t="s">
        <v>276</v>
      </c>
      <c r="J977" s="22" t="e">
        <f>VLOOKUP(Table2[[#This Row], [Author]],People!A:B,2,0)</f>
        <v>#N/A</v>
      </c>
      <c r="K977" s="13"/>
      <c r="L977" s="13"/>
      <c r="M977" s="23" t="s">
        <v>1613</v>
      </c>
    </row>
    <row r="978" spans="1:13" ht="19.5" customHeight="1">
      <c r="A978" s="18">
        <f t="shared" si="15"/>
        <v>977</v>
      </c>
      <c r="B978" s="11" t="s">
        <v>8</v>
      </c>
      <c r="C978" s="11" t="s">
        <v>68</v>
      </c>
      <c r="D978" s="11" t="s">
        <v>2061</v>
      </c>
      <c r="E978" s="11" t="s">
        <v>2062</v>
      </c>
      <c r="F978" s="11" t="s">
        <v>2063</v>
      </c>
      <c r="G978" s="11" t="s">
        <v>14</v>
      </c>
      <c r="H978" s="19" t="str">
        <f>IFERROR(VLOOKUP(Table2[[#This Row], [Ticket]],Okey!A:B,2,0),"")</f>
        <v>ok</v>
      </c>
      <c r="I978" s="11" t="s">
        <v>276</v>
      </c>
      <c r="J978" s="19" t="e">
        <f>VLOOKUP(Table2[[#This Row], [Author]],People!A:B,2,0)</f>
        <v>#N/A</v>
      </c>
      <c r="K978" s="11"/>
      <c r="L978" s="11"/>
      <c r="M978" s="20" t="s">
        <v>1613</v>
      </c>
    </row>
    <row r="979" spans="1:13" ht="19.5" customHeight="1">
      <c r="A979" s="21">
        <f t="shared" si="15"/>
        <v>978</v>
      </c>
      <c r="B979" s="13" t="s">
        <v>8</v>
      </c>
      <c r="C979" s="13" t="s">
        <v>68</v>
      </c>
      <c r="D979" s="13" t="s">
        <v>2064</v>
      </c>
      <c r="E979" s="13" t="s">
        <v>2065</v>
      </c>
      <c r="F979" s="13" t="s">
        <v>2063</v>
      </c>
      <c r="G979" s="13" t="s">
        <v>14</v>
      </c>
      <c r="H979" s="22" t="str">
        <f>IFERROR(VLOOKUP(Table2[[#This Row], [Ticket]],Okey!A:B,2,0),"")</f>
        <v>ok</v>
      </c>
      <c r="I979" s="13" t="s">
        <v>276</v>
      </c>
      <c r="J979" s="22" t="e">
        <f>VLOOKUP(Table2[[#This Row], [Author]],People!A:B,2,0)</f>
        <v>#N/A</v>
      </c>
      <c r="K979" s="13"/>
      <c r="L979" s="13"/>
      <c r="M979" s="23" t="s">
        <v>1613</v>
      </c>
    </row>
    <row r="980" spans="1:13" ht="19.5" customHeight="1">
      <c r="A980" s="18">
        <f t="shared" si="15"/>
        <v>979</v>
      </c>
      <c r="B980" s="11" t="s">
        <v>8</v>
      </c>
      <c r="C980" s="11" t="s">
        <v>68</v>
      </c>
      <c r="D980" s="11" t="s">
        <v>2066</v>
      </c>
      <c r="E980" s="11" t="s">
        <v>2067</v>
      </c>
      <c r="F980" s="11" t="s">
        <v>2068</v>
      </c>
      <c r="G980" s="11" t="s">
        <v>14</v>
      </c>
      <c r="H980" s="19" t="str">
        <f>IFERROR(VLOOKUP(Table2[[#This Row], [Ticket]],Okey!A:B,2,0),"")</f>
        <v>ok</v>
      </c>
      <c r="I980" s="11" t="s">
        <v>276</v>
      </c>
      <c r="J980" s="19" t="e">
        <f>VLOOKUP(Table2[[#This Row], [Author]],People!A:B,2,0)</f>
        <v>#N/A</v>
      </c>
      <c r="K980" s="11"/>
      <c r="L980" s="11"/>
      <c r="M980" s="20" t="s">
        <v>1613</v>
      </c>
    </row>
    <row r="981" spans="1:13" ht="19.5" customHeight="1">
      <c r="A981" s="21">
        <f t="shared" si="15"/>
        <v>980</v>
      </c>
      <c r="B981" s="13" t="s">
        <v>8</v>
      </c>
      <c r="C981" s="13" t="s">
        <v>68</v>
      </c>
      <c r="D981" s="13" t="s">
        <v>2069</v>
      </c>
      <c r="E981" s="13" t="s">
        <v>2070</v>
      </c>
      <c r="F981" s="13" t="s">
        <v>2071</v>
      </c>
      <c r="G981" s="13" t="s">
        <v>14</v>
      </c>
      <c r="H981" s="22" t="str">
        <f>IFERROR(VLOOKUP(Table2[[#This Row], [Ticket]],Okey!A:B,2,0),"")</f>
        <v>ok</v>
      </c>
      <c r="I981" s="13" t="s">
        <v>276</v>
      </c>
      <c r="J981" s="22" t="e">
        <f>VLOOKUP(Table2[[#This Row], [Author]],People!A:B,2,0)</f>
        <v>#N/A</v>
      </c>
      <c r="K981" s="13"/>
      <c r="L981" s="13"/>
      <c r="M981" s="23" t="s">
        <v>1613</v>
      </c>
    </row>
    <row r="982" spans="1:13" ht="19.5" customHeight="1">
      <c r="A982" s="18">
        <f t="shared" si="15"/>
        <v>981</v>
      </c>
      <c r="B982" s="11" t="s">
        <v>8</v>
      </c>
      <c r="C982" s="11" t="s">
        <v>68</v>
      </c>
      <c r="D982" s="11" t="s">
        <v>2072</v>
      </c>
      <c r="E982" s="11" t="s">
        <v>2073</v>
      </c>
      <c r="F982" s="11" t="s">
        <v>2071</v>
      </c>
      <c r="G982" s="11" t="s">
        <v>14</v>
      </c>
      <c r="H982" s="19" t="str">
        <f>IFERROR(VLOOKUP(Table2[[#This Row], [Ticket]],Okey!A:B,2,0),"")</f>
        <v>ok</v>
      </c>
      <c r="I982" s="11" t="s">
        <v>276</v>
      </c>
      <c r="J982" s="19" t="e">
        <f>VLOOKUP(Table2[[#This Row], [Author]],People!A:B,2,0)</f>
        <v>#N/A</v>
      </c>
      <c r="K982" s="11"/>
      <c r="L982" s="11"/>
      <c r="M982" s="20" t="s">
        <v>1613</v>
      </c>
    </row>
    <row r="983" spans="1:13" ht="19.5" customHeight="1">
      <c r="A983" s="21">
        <f t="shared" si="15"/>
        <v>982</v>
      </c>
      <c r="B983" s="13" t="s">
        <v>8</v>
      </c>
      <c r="C983" s="13" t="s">
        <v>68</v>
      </c>
      <c r="D983" s="13" t="s">
        <v>2074</v>
      </c>
      <c r="E983" s="13" t="s">
        <v>2075</v>
      </c>
      <c r="F983" s="13" t="s">
        <v>2076</v>
      </c>
      <c r="G983" s="13" t="s">
        <v>14</v>
      </c>
      <c r="H983" s="22" t="str">
        <f>IFERROR(VLOOKUP(Table2[[#This Row], [Ticket]],Okey!A:B,2,0),"")</f>
        <v>ok</v>
      </c>
      <c r="I983" s="13" t="s">
        <v>276</v>
      </c>
      <c r="J983" s="22" t="e">
        <f>VLOOKUP(Table2[[#This Row], [Author]],People!A:B,2,0)</f>
        <v>#N/A</v>
      </c>
      <c r="K983" s="13"/>
      <c r="L983" s="13"/>
      <c r="M983" s="23" t="s">
        <v>1613</v>
      </c>
    </row>
    <row r="984" spans="1:13" ht="19.5" customHeight="1">
      <c r="A984" s="18">
        <f t="shared" si="15"/>
        <v>983</v>
      </c>
      <c r="B984" s="11" t="s">
        <v>8</v>
      </c>
      <c r="C984" s="11" t="s">
        <v>68</v>
      </c>
      <c r="D984" s="11" t="s">
        <v>2077</v>
      </c>
      <c r="E984" s="11" t="s">
        <v>2078</v>
      </c>
      <c r="F984" s="11" t="s">
        <v>2076</v>
      </c>
      <c r="G984" s="11" t="s">
        <v>14</v>
      </c>
      <c r="H984" s="19" t="str">
        <f>IFERROR(VLOOKUP(Table2[[#This Row], [Ticket]],Okey!A:B,2,0),"")</f>
        <v>ok</v>
      </c>
      <c r="I984" s="11" t="s">
        <v>276</v>
      </c>
      <c r="J984" s="19" t="e">
        <f>VLOOKUP(Table2[[#This Row], [Author]],People!A:B,2,0)</f>
        <v>#N/A</v>
      </c>
      <c r="K984" s="11"/>
      <c r="L984" s="11"/>
      <c r="M984" s="20" t="s">
        <v>1613</v>
      </c>
    </row>
    <row r="985" spans="1:13" ht="19.5" customHeight="1">
      <c r="A985" s="21">
        <f t="shared" si="15"/>
        <v>984</v>
      </c>
      <c r="B985" s="13" t="s">
        <v>8</v>
      </c>
      <c r="C985" s="13" t="s">
        <v>68</v>
      </c>
      <c r="D985" s="13" t="s">
        <v>2079</v>
      </c>
      <c r="E985" s="13" t="s">
        <v>2080</v>
      </c>
      <c r="F985" s="13" t="s">
        <v>2081</v>
      </c>
      <c r="G985" s="13" t="s">
        <v>14</v>
      </c>
      <c r="H985" s="22" t="str">
        <f>IFERROR(VLOOKUP(Table2[[#This Row], [Ticket]],Okey!A:B,2,0),"")</f>
        <v>ok</v>
      </c>
      <c r="I985" s="13" t="s">
        <v>276</v>
      </c>
      <c r="J985" s="22" t="e">
        <f>VLOOKUP(Table2[[#This Row], [Author]],People!A:B,2,0)</f>
        <v>#N/A</v>
      </c>
      <c r="K985" s="13"/>
      <c r="L985" s="13"/>
      <c r="M985" s="23" t="s">
        <v>1613</v>
      </c>
    </row>
    <row r="986" spans="1:13" ht="19.5" customHeight="1">
      <c r="A986" s="18">
        <f t="shared" si="15"/>
        <v>985</v>
      </c>
      <c r="B986" s="11" t="s">
        <v>8</v>
      </c>
      <c r="C986" s="11" t="s">
        <v>68</v>
      </c>
      <c r="D986" s="11" t="s">
        <v>2082</v>
      </c>
      <c r="E986" s="11" t="s">
        <v>2083</v>
      </c>
      <c r="F986" s="11" t="s">
        <v>2081</v>
      </c>
      <c r="G986" s="11" t="s">
        <v>14</v>
      </c>
      <c r="H986" s="19" t="str">
        <f>IFERROR(VLOOKUP(Table2[[#This Row], [Ticket]],Okey!A:B,2,0),"")</f>
        <v>ok</v>
      </c>
      <c r="I986" s="11" t="s">
        <v>276</v>
      </c>
      <c r="J986" s="19" t="e">
        <f>VLOOKUP(Table2[[#This Row], [Author]],People!A:B,2,0)</f>
        <v>#N/A</v>
      </c>
      <c r="K986" s="11"/>
      <c r="L986" s="11"/>
      <c r="M986" s="20" t="s">
        <v>1613</v>
      </c>
    </row>
    <row r="987" spans="1:13" ht="19.5" customHeight="1">
      <c r="A987" s="21">
        <f t="shared" si="15"/>
        <v>986</v>
      </c>
      <c r="B987" s="13" t="s">
        <v>8</v>
      </c>
      <c r="C987" s="13" t="s">
        <v>68</v>
      </c>
      <c r="D987" s="13" t="s">
        <v>2084</v>
      </c>
      <c r="E987" s="13" t="s">
        <v>2085</v>
      </c>
      <c r="F987" s="13" t="s">
        <v>2082</v>
      </c>
      <c r="G987" s="13" t="s">
        <v>14</v>
      </c>
      <c r="H987" s="22" t="str">
        <f>IFERROR(VLOOKUP(Table2[[#This Row], [Ticket]],Okey!A:B,2,0),"")</f>
        <v>ok</v>
      </c>
      <c r="I987" s="13" t="s">
        <v>276</v>
      </c>
      <c r="J987" s="22" t="e">
        <f>VLOOKUP(Table2[[#This Row], [Author]],People!A:B,2,0)</f>
        <v>#N/A</v>
      </c>
      <c r="K987" s="13"/>
      <c r="L987" s="13"/>
      <c r="M987" s="23" t="s">
        <v>1613</v>
      </c>
    </row>
    <row r="988" spans="1:13" ht="19.5" customHeight="1">
      <c r="A988" s="18">
        <f t="shared" si="15"/>
        <v>987</v>
      </c>
      <c r="B988" s="11" t="s">
        <v>8</v>
      </c>
      <c r="C988" s="11" t="s">
        <v>68</v>
      </c>
      <c r="D988" s="11" t="s">
        <v>2086</v>
      </c>
      <c r="E988" s="11" t="s">
        <v>2087</v>
      </c>
      <c r="F988" s="11" t="s">
        <v>2082</v>
      </c>
      <c r="G988" s="11" t="s">
        <v>14</v>
      </c>
      <c r="H988" s="19" t="str">
        <f>IFERROR(VLOOKUP(Table2[[#This Row], [Ticket]],Okey!A:B,2,0),"")</f>
        <v>ok</v>
      </c>
      <c r="I988" s="11" t="s">
        <v>276</v>
      </c>
      <c r="J988" s="19" t="e">
        <f>VLOOKUP(Table2[[#This Row], [Author]],People!A:B,2,0)</f>
        <v>#N/A</v>
      </c>
      <c r="K988" s="11"/>
      <c r="L988" s="11"/>
      <c r="M988" s="20" t="s">
        <v>1613</v>
      </c>
    </row>
    <row r="989" spans="1:13" ht="19.5" customHeight="1">
      <c r="A989" s="21">
        <f t="shared" si="15"/>
        <v>988</v>
      </c>
      <c r="B989" s="13" t="s">
        <v>8</v>
      </c>
      <c r="C989" s="13" t="s">
        <v>68</v>
      </c>
      <c r="D989" s="13" t="s">
        <v>2088</v>
      </c>
      <c r="E989" s="13" t="s">
        <v>2089</v>
      </c>
      <c r="F989" s="13" t="s">
        <v>2082</v>
      </c>
      <c r="G989" s="13" t="s">
        <v>14</v>
      </c>
      <c r="H989" s="22" t="str">
        <f>IFERROR(VLOOKUP(Table2[[#This Row], [Ticket]],Okey!A:B,2,0),"")</f>
        <v>ok</v>
      </c>
      <c r="I989" s="13" t="s">
        <v>276</v>
      </c>
      <c r="J989" s="22" t="e">
        <f>VLOOKUP(Table2[[#This Row], [Author]],People!A:B,2,0)</f>
        <v>#N/A</v>
      </c>
      <c r="K989" s="13"/>
      <c r="L989" s="13"/>
      <c r="M989" s="23" t="s">
        <v>1613</v>
      </c>
    </row>
    <row r="990" spans="1:13" ht="19.5" customHeight="1">
      <c r="A990" s="18">
        <f t="shared" si="15"/>
        <v>989</v>
      </c>
      <c r="B990" s="11" t="s">
        <v>8</v>
      </c>
      <c r="C990" s="11" t="s">
        <v>68</v>
      </c>
      <c r="D990" s="11" t="s">
        <v>2090</v>
      </c>
      <c r="E990" s="11" t="s">
        <v>2091</v>
      </c>
      <c r="F990" s="11" t="s">
        <v>2088</v>
      </c>
      <c r="G990" s="11" t="s">
        <v>14</v>
      </c>
      <c r="H990" s="19" t="str">
        <f>IFERROR(VLOOKUP(Table2[[#This Row], [Ticket]],Okey!A:B,2,0),"")</f>
        <v>ok</v>
      </c>
      <c r="I990" s="11" t="s">
        <v>276</v>
      </c>
      <c r="J990" s="19" t="e">
        <f>VLOOKUP(Table2[[#This Row], [Author]],People!A:B,2,0)</f>
        <v>#N/A</v>
      </c>
      <c r="K990" s="11"/>
      <c r="L990" s="11"/>
      <c r="M990" s="20" t="s">
        <v>1613</v>
      </c>
    </row>
    <row r="991" spans="1:13" ht="19.5" customHeight="1">
      <c r="A991" s="21">
        <f t="shared" si="15"/>
        <v>990</v>
      </c>
      <c r="B991" s="13" t="s">
        <v>8</v>
      </c>
      <c r="C991" s="13" t="s">
        <v>68</v>
      </c>
      <c r="D991" s="13" t="s">
        <v>2092</v>
      </c>
      <c r="E991" s="13" t="s">
        <v>2093</v>
      </c>
      <c r="F991" s="13" t="s">
        <v>2090</v>
      </c>
      <c r="G991" s="13" t="s">
        <v>14</v>
      </c>
      <c r="H991" s="22" t="str">
        <f>IFERROR(VLOOKUP(Table2[[#This Row], [Ticket]],Okey!A:B,2,0),"")</f>
        <v>ok</v>
      </c>
      <c r="I991" s="13" t="s">
        <v>276</v>
      </c>
      <c r="J991" s="22" t="e">
        <f>VLOOKUP(Table2[[#This Row], [Author]],People!A:B,2,0)</f>
        <v>#N/A</v>
      </c>
      <c r="K991" s="13"/>
      <c r="L991" s="13"/>
      <c r="M991" s="23" t="s">
        <v>1613</v>
      </c>
    </row>
    <row r="992" spans="1:13" ht="19.5" customHeight="1">
      <c r="A992" s="18">
        <f t="shared" si="15"/>
        <v>991</v>
      </c>
      <c r="B992" s="11" t="s">
        <v>8</v>
      </c>
      <c r="C992" s="11" t="s">
        <v>68</v>
      </c>
      <c r="D992" s="11" t="s">
        <v>2094</v>
      </c>
      <c r="E992" s="11" t="s">
        <v>2095</v>
      </c>
      <c r="F992" s="11" t="s">
        <v>2090</v>
      </c>
      <c r="G992" s="11" t="s">
        <v>14</v>
      </c>
      <c r="H992" s="19" t="str">
        <f>IFERROR(VLOOKUP(Table2[[#This Row], [Ticket]],Okey!A:B,2,0),"")</f>
        <v>ok</v>
      </c>
      <c r="I992" s="11" t="s">
        <v>276</v>
      </c>
      <c r="J992" s="19" t="e">
        <f>VLOOKUP(Table2[[#This Row], [Author]],People!A:B,2,0)</f>
        <v>#N/A</v>
      </c>
      <c r="K992" s="11"/>
      <c r="L992" s="11"/>
      <c r="M992" s="20" t="s">
        <v>1613</v>
      </c>
    </row>
    <row r="993" spans="1:13" ht="19.5" customHeight="1">
      <c r="A993" s="21">
        <f t="shared" si="15"/>
        <v>992</v>
      </c>
      <c r="B993" s="13" t="s">
        <v>8</v>
      </c>
      <c r="C993" s="13" t="s">
        <v>68</v>
      </c>
      <c r="D993" s="13" t="s">
        <v>2096</v>
      </c>
      <c r="E993" s="13" t="s">
        <v>2097</v>
      </c>
      <c r="F993" s="13" t="s">
        <v>2088</v>
      </c>
      <c r="G993" s="13" t="s">
        <v>14</v>
      </c>
      <c r="H993" s="22" t="str">
        <f>IFERROR(VLOOKUP(Table2[[#This Row], [Ticket]],Okey!A:B,2,0),"")</f>
        <v>ok</v>
      </c>
      <c r="I993" s="13" t="s">
        <v>276</v>
      </c>
      <c r="J993" s="22" t="e">
        <f>VLOOKUP(Table2[[#This Row], [Author]],People!A:B,2,0)</f>
        <v>#N/A</v>
      </c>
      <c r="K993" s="13"/>
      <c r="L993" s="13"/>
      <c r="M993" s="23" t="s">
        <v>1613</v>
      </c>
    </row>
    <row r="994" spans="1:13" ht="19.5" customHeight="1">
      <c r="A994" s="18">
        <f t="shared" si="15"/>
        <v>993</v>
      </c>
      <c r="B994" s="11" t="s">
        <v>8</v>
      </c>
      <c r="C994" s="11" t="s">
        <v>68</v>
      </c>
      <c r="D994" s="11" t="s">
        <v>2098</v>
      </c>
      <c r="E994" s="11" t="s">
        <v>2099</v>
      </c>
      <c r="F994" s="11" t="s">
        <v>2100</v>
      </c>
      <c r="G994" s="11" t="s">
        <v>14</v>
      </c>
      <c r="H994" s="19" t="str">
        <f>IFERROR(VLOOKUP(Table2[[#This Row], [Ticket]],Okey!A:B,2,0),"")</f>
        <v>ok</v>
      </c>
      <c r="I994" s="11" t="s">
        <v>276</v>
      </c>
      <c r="J994" s="19" t="e">
        <f>VLOOKUP(Table2[[#This Row], [Author]],People!A:B,2,0)</f>
        <v>#N/A</v>
      </c>
      <c r="K994" s="11"/>
      <c r="L994" s="11"/>
      <c r="M994" s="20" t="s">
        <v>1613</v>
      </c>
    </row>
    <row r="995" spans="1:13" ht="19.5" customHeight="1">
      <c r="A995" s="21">
        <f t="shared" si="15"/>
        <v>994</v>
      </c>
      <c r="B995" s="13" t="s">
        <v>8</v>
      </c>
      <c r="C995" s="13" t="s">
        <v>68</v>
      </c>
      <c r="D995" s="13" t="s">
        <v>2101</v>
      </c>
      <c r="E995" s="13" t="s">
        <v>2102</v>
      </c>
      <c r="F995" s="13" t="s">
        <v>2100</v>
      </c>
      <c r="G995" s="13" t="s">
        <v>14</v>
      </c>
      <c r="H995" s="22" t="str">
        <f>IFERROR(VLOOKUP(Table2[[#This Row], [Ticket]],Okey!A:B,2,0),"")</f>
        <v>ok</v>
      </c>
      <c r="I995" s="13" t="s">
        <v>276</v>
      </c>
      <c r="J995" s="22" t="e">
        <f>VLOOKUP(Table2[[#This Row], [Author]],People!A:B,2,0)</f>
        <v>#N/A</v>
      </c>
      <c r="K995" s="13"/>
      <c r="L995" s="13"/>
      <c r="M995" s="23" t="s">
        <v>1613</v>
      </c>
    </row>
    <row r="996" spans="1:13" ht="19.5" customHeight="1">
      <c r="A996" s="18">
        <f t="shared" si="15"/>
        <v>995</v>
      </c>
      <c r="B996" s="11" t="s">
        <v>8</v>
      </c>
      <c r="C996" s="11" t="s">
        <v>68</v>
      </c>
      <c r="D996" s="11" t="s">
        <v>2103</v>
      </c>
      <c r="E996" s="11" t="s">
        <v>2104</v>
      </c>
      <c r="F996" s="11" t="s">
        <v>2105</v>
      </c>
      <c r="G996" s="11" t="s">
        <v>14</v>
      </c>
      <c r="H996" s="19" t="str">
        <f>IFERROR(VLOOKUP(Table2[[#This Row], [Ticket]],Okey!A:B,2,0),"")</f>
        <v>ok</v>
      </c>
      <c r="I996" s="11" t="s">
        <v>276</v>
      </c>
      <c r="J996" s="19" t="e">
        <f>VLOOKUP(Table2[[#This Row], [Author]],People!A:B,2,0)</f>
        <v>#N/A</v>
      </c>
      <c r="K996" s="11"/>
      <c r="L996" s="11"/>
      <c r="M996" s="20" t="s">
        <v>1613</v>
      </c>
    </row>
    <row r="997" spans="1:13" ht="19.5" customHeight="1">
      <c r="A997" s="21">
        <f t="shared" si="15"/>
        <v>996</v>
      </c>
      <c r="B997" s="13" t="s">
        <v>8</v>
      </c>
      <c r="C997" s="13" t="s">
        <v>68</v>
      </c>
      <c r="D997" s="13" t="s">
        <v>2106</v>
      </c>
      <c r="E997" s="13" t="s">
        <v>2107</v>
      </c>
      <c r="F997" s="13" t="s">
        <v>2105</v>
      </c>
      <c r="G997" s="13" t="s">
        <v>14</v>
      </c>
      <c r="H997" s="22" t="str">
        <f>IFERROR(VLOOKUP(Table2[[#This Row], [Ticket]],Okey!A:B,2,0),"")</f>
        <v>ok</v>
      </c>
      <c r="I997" s="13" t="s">
        <v>276</v>
      </c>
      <c r="J997" s="22" t="e">
        <f>VLOOKUP(Table2[[#This Row], [Author]],People!A:B,2,0)</f>
        <v>#N/A</v>
      </c>
      <c r="K997" s="13"/>
      <c r="L997" s="13"/>
      <c r="M997" s="23" t="s">
        <v>1613</v>
      </c>
    </row>
    <row r="998" spans="1:13" ht="19.5" customHeight="1">
      <c r="A998" s="18">
        <f t="shared" si="15"/>
        <v>997</v>
      </c>
      <c r="B998" s="11" t="s">
        <v>8</v>
      </c>
      <c r="C998" s="11" t="s">
        <v>68</v>
      </c>
      <c r="D998" s="11" t="s">
        <v>2108</v>
      </c>
      <c r="E998" s="11" t="s">
        <v>2109</v>
      </c>
      <c r="F998" s="11" t="s">
        <v>2110</v>
      </c>
      <c r="G998" s="11" t="s">
        <v>14</v>
      </c>
      <c r="H998" s="19" t="str">
        <f>IFERROR(VLOOKUP(Table2[[#This Row], [Ticket]],Okey!A:B,2,0),"")</f>
        <v>ok</v>
      </c>
      <c r="I998" s="11" t="s">
        <v>276</v>
      </c>
      <c r="J998" s="19" t="e">
        <f>VLOOKUP(Table2[[#This Row], [Author]],People!A:B,2,0)</f>
        <v>#N/A</v>
      </c>
      <c r="K998" s="11"/>
      <c r="L998" s="11"/>
      <c r="M998" s="20" t="s">
        <v>1613</v>
      </c>
    </row>
    <row r="999" spans="1:13" ht="19.5" customHeight="1">
      <c r="A999" s="21">
        <f t="shared" si="15"/>
        <v>998</v>
      </c>
      <c r="B999" s="13" t="s">
        <v>8</v>
      </c>
      <c r="C999" s="13" t="s">
        <v>68</v>
      </c>
      <c r="D999" s="13" t="s">
        <v>2111</v>
      </c>
      <c r="E999" s="13" t="s">
        <v>2112</v>
      </c>
      <c r="F999" s="13" t="s">
        <v>2108</v>
      </c>
      <c r="G999" s="13" t="s">
        <v>14</v>
      </c>
      <c r="H999" s="22" t="str">
        <f>IFERROR(VLOOKUP(Table2[[#This Row], [Ticket]],Okey!A:B,2,0),"")</f>
        <v>ok</v>
      </c>
      <c r="I999" s="13" t="s">
        <v>276</v>
      </c>
      <c r="J999" s="22" t="e">
        <f>VLOOKUP(Table2[[#This Row], [Author]],People!A:B,2,0)</f>
        <v>#N/A</v>
      </c>
      <c r="K999" s="13"/>
      <c r="L999" s="13"/>
      <c r="M999" s="23" t="s">
        <v>1613</v>
      </c>
    </row>
    <row r="1000" spans="1:13" ht="19.5" customHeight="1">
      <c r="A1000" s="18">
        <f t="shared" si="15"/>
        <v>999</v>
      </c>
      <c r="B1000" s="11" t="s">
        <v>8</v>
      </c>
      <c r="C1000" s="11" t="s">
        <v>68</v>
      </c>
      <c r="D1000" s="11" t="s">
        <v>2113</v>
      </c>
      <c r="E1000" s="11" t="s">
        <v>2114</v>
      </c>
      <c r="F1000" s="11" t="s">
        <v>2108</v>
      </c>
      <c r="G1000" s="11" t="s">
        <v>14</v>
      </c>
      <c r="H1000" s="19" t="str">
        <f>IFERROR(VLOOKUP(Table2[[#This Row], [Ticket]],Okey!A:B,2,0),"")</f>
        <v>ok</v>
      </c>
      <c r="I1000" s="11" t="s">
        <v>276</v>
      </c>
      <c r="J1000" s="19" t="e">
        <f>VLOOKUP(Table2[[#This Row], [Author]],People!A:B,2,0)</f>
        <v>#N/A</v>
      </c>
      <c r="K1000" s="11"/>
      <c r="L1000" s="11"/>
      <c r="M1000" s="20" t="s">
        <v>1613</v>
      </c>
    </row>
    <row r="1001" spans="1:13" ht="19.5" customHeight="1">
      <c r="A1001" s="21">
        <f t="shared" si="15"/>
        <v>1000</v>
      </c>
      <c r="B1001" s="13" t="s">
        <v>8</v>
      </c>
      <c r="C1001" s="13" t="s">
        <v>68</v>
      </c>
      <c r="D1001" s="13" t="s">
        <v>2115</v>
      </c>
      <c r="E1001" s="13" t="s">
        <v>2116</v>
      </c>
      <c r="F1001" s="13" t="s">
        <v>2113</v>
      </c>
      <c r="G1001" s="13" t="s">
        <v>14</v>
      </c>
      <c r="H1001" s="22" t="str">
        <f>IFERROR(VLOOKUP(Table2[[#This Row], [Ticket]],Okey!A:B,2,0),"")</f>
        <v>ok</v>
      </c>
      <c r="I1001" s="13" t="s">
        <v>276</v>
      </c>
      <c r="J1001" s="22" t="e">
        <f>VLOOKUP(Table2[[#This Row], [Author]],People!A:B,2,0)</f>
        <v>#N/A</v>
      </c>
      <c r="K1001" s="13"/>
      <c r="L1001" s="13"/>
      <c r="M1001" s="23" t="s">
        <v>1613</v>
      </c>
    </row>
    <row r="1002" spans="1:13" ht="19.5" customHeight="1">
      <c r="A1002" s="18">
        <f t="shared" si="15"/>
        <v>1001</v>
      </c>
      <c r="B1002" s="11" t="s">
        <v>8</v>
      </c>
      <c r="C1002" s="11" t="s">
        <v>68</v>
      </c>
      <c r="D1002" s="11" t="s">
        <v>2117</v>
      </c>
      <c r="E1002" s="11" t="s">
        <v>2118</v>
      </c>
      <c r="F1002" s="11" t="s">
        <v>2113</v>
      </c>
      <c r="G1002" s="11" t="s">
        <v>14</v>
      </c>
      <c r="H1002" s="19" t="str">
        <f>IFERROR(VLOOKUP(Table2[[#This Row], [Ticket]],Okey!A:B,2,0),"")</f>
        <v>ok</v>
      </c>
      <c r="I1002" s="11" t="s">
        <v>276</v>
      </c>
      <c r="J1002" s="19" t="e">
        <f>VLOOKUP(Table2[[#This Row], [Author]],People!A:B,2,0)</f>
        <v>#N/A</v>
      </c>
      <c r="K1002" s="11"/>
      <c r="L1002" s="11"/>
      <c r="M1002" s="20" t="s">
        <v>1613</v>
      </c>
    </row>
    <row r="1003" spans="1:13" ht="19.5" customHeight="1">
      <c r="A1003" s="21">
        <f t="shared" si="15"/>
        <v>1002</v>
      </c>
      <c r="B1003" s="13" t="s">
        <v>8</v>
      </c>
      <c r="C1003" s="13" t="s">
        <v>68</v>
      </c>
      <c r="D1003" s="13" t="s">
        <v>2119</v>
      </c>
      <c r="E1003" s="13" t="s">
        <v>2120</v>
      </c>
      <c r="F1003" s="13" t="s">
        <v>2113</v>
      </c>
      <c r="G1003" s="13" t="s">
        <v>14</v>
      </c>
      <c r="H1003" s="22" t="str">
        <f>IFERROR(VLOOKUP(Table2[[#This Row], [Ticket]],Okey!A:B,2,0),"")</f>
        <v>ok</v>
      </c>
      <c r="I1003" s="13" t="s">
        <v>276</v>
      </c>
      <c r="J1003" s="22" t="e">
        <f>VLOOKUP(Table2[[#This Row], [Author]],People!A:B,2,0)</f>
        <v>#N/A</v>
      </c>
      <c r="K1003" s="13"/>
      <c r="L1003" s="13"/>
      <c r="M1003" s="23" t="s">
        <v>1613</v>
      </c>
    </row>
    <row r="1004" spans="1:13" ht="19.5" customHeight="1">
      <c r="A1004" s="18">
        <f t="shared" si="15"/>
        <v>1003</v>
      </c>
      <c r="B1004" s="11" t="s">
        <v>8</v>
      </c>
      <c r="C1004" s="11" t="s">
        <v>68</v>
      </c>
      <c r="D1004" s="11" t="s">
        <v>2121</v>
      </c>
      <c r="E1004" s="11" t="s">
        <v>2122</v>
      </c>
      <c r="F1004" s="11" t="s">
        <v>2110</v>
      </c>
      <c r="G1004" s="11" t="s">
        <v>14</v>
      </c>
      <c r="H1004" s="19" t="str">
        <f>IFERROR(VLOOKUP(Table2[[#This Row], [Ticket]],Okey!A:B,2,0),"")</f>
        <v>ok</v>
      </c>
      <c r="I1004" s="11" t="s">
        <v>276</v>
      </c>
      <c r="J1004" s="19" t="e">
        <f>VLOOKUP(Table2[[#This Row], [Author]],People!A:B,2,0)</f>
        <v>#N/A</v>
      </c>
      <c r="K1004" s="11"/>
      <c r="L1004" s="11"/>
      <c r="M1004" s="20" t="s">
        <v>1613</v>
      </c>
    </row>
    <row r="1005" spans="1:13" ht="19.5" customHeight="1">
      <c r="A1005" s="21">
        <f t="shared" si="15"/>
        <v>1004</v>
      </c>
      <c r="B1005" s="13" t="s">
        <v>8</v>
      </c>
      <c r="C1005" s="13" t="s">
        <v>68</v>
      </c>
      <c r="D1005" s="13" t="s">
        <v>2123</v>
      </c>
      <c r="E1005" s="13" t="s">
        <v>2124</v>
      </c>
      <c r="F1005" s="13" t="s">
        <v>2125</v>
      </c>
      <c r="G1005" s="13" t="s">
        <v>14</v>
      </c>
      <c r="H1005" s="22" t="str">
        <f>IFERROR(VLOOKUP(Table2[[#This Row], [Ticket]],Okey!A:B,2,0),"")</f>
        <v>ok</v>
      </c>
      <c r="I1005" s="13" t="s">
        <v>276</v>
      </c>
      <c r="J1005" s="22" t="e">
        <f>VLOOKUP(Table2[[#This Row], [Author]],People!A:B,2,0)</f>
        <v>#N/A</v>
      </c>
      <c r="K1005" s="13"/>
      <c r="L1005" s="13"/>
      <c r="M1005" s="23" t="s">
        <v>1613</v>
      </c>
    </row>
    <row r="1006" spans="1:13" ht="19.5" customHeight="1">
      <c r="A1006" s="18">
        <f t="shared" si="15"/>
        <v>1005</v>
      </c>
      <c r="B1006" s="11" t="s">
        <v>8</v>
      </c>
      <c r="C1006" s="11" t="s">
        <v>68</v>
      </c>
      <c r="D1006" s="11" t="s">
        <v>2126</v>
      </c>
      <c r="E1006" s="11" t="s">
        <v>2127</v>
      </c>
      <c r="F1006" s="11" t="s">
        <v>2123</v>
      </c>
      <c r="G1006" s="11" t="s">
        <v>14</v>
      </c>
      <c r="H1006" s="19" t="str">
        <f>IFERROR(VLOOKUP(Table2[[#This Row], [Ticket]],Okey!A:B,2,0),"")</f>
        <v>ok</v>
      </c>
      <c r="I1006" s="11" t="s">
        <v>276</v>
      </c>
      <c r="J1006" s="19" t="e">
        <f>VLOOKUP(Table2[[#This Row], [Author]],People!A:B,2,0)</f>
        <v>#N/A</v>
      </c>
      <c r="K1006" s="11"/>
      <c r="L1006" s="11"/>
      <c r="M1006" s="20" t="s">
        <v>1613</v>
      </c>
    </row>
    <row r="1007" spans="1:13" ht="19.5" customHeight="1">
      <c r="A1007" s="21">
        <f t="shared" si="15"/>
        <v>1006</v>
      </c>
      <c r="B1007" s="13" t="s">
        <v>8</v>
      </c>
      <c r="C1007" s="13" t="s">
        <v>68</v>
      </c>
      <c r="D1007" s="13" t="s">
        <v>2128</v>
      </c>
      <c r="E1007" s="13" t="s">
        <v>2129</v>
      </c>
      <c r="F1007" s="13" t="s">
        <v>2126</v>
      </c>
      <c r="G1007" s="13" t="s">
        <v>14</v>
      </c>
      <c r="H1007" s="22" t="str">
        <f>IFERROR(VLOOKUP(Table2[[#This Row], [Ticket]],Okey!A:B,2,0),"")</f>
        <v>ok</v>
      </c>
      <c r="I1007" s="13" t="s">
        <v>276</v>
      </c>
      <c r="J1007" s="22" t="e">
        <f>VLOOKUP(Table2[[#This Row], [Author]],People!A:B,2,0)</f>
        <v>#N/A</v>
      </c>
      <c r="K1007" s="13"/>
      <c r="L1007" s="13"/>
      <c r="M1007" s="23" t="s">
        <v>1613</v>
      </c>
    </row>
    <row r="1008" spans="1:13" ht="19.5" customHeight="1">
      <c r="A1008" s="18">
        <f t="shared" si="15"/>
        <v>1007</v>
      </c>
      <c r="B1008" s="11" t="s">
        <v>8</v>
      </c>
      <c r="C1008" s="11" t="s">
        <v>68</v>
      </c>
      <c r="D1008" s="11" t="s">
        <v>2130</v>
      </c>
      <c r="E1008" s="11" t="s">
        <v>2131</v>
      </c>
      <c r="F1008" s="11" t="s">
        <v>2126</v>
      </c>
      <c r="G1008" s="11" t="s">
        <v>14</v>
      </c>
      <c r="H1008" s="19" t="str">
        <f>IFERROR(VLOOKUP(Table2[[#This Row], [Ticket]],Okey!A:B,2,0),"")</f>
        <v>ok</v>
      </c>
      <c r="I1008" s="11" t="s">
        <v>276</v>
      </c>
      <c r="J1008" s="19" t="e">
        <f>VLOOKUP(Table2[[#This Row], [Author]],People!A:B,2,0)</f>
        <v>#N/A</v>
      </c>
      <c r="K1008" s="11"/>
      <c r="L1008" s="11"/>
      <c r="M1008" s="20" t="s">
        <v>1613</v>
      </c>
    </row>
    <row r="1009" spans="1:13" ht="19.5" customHeight="1">
      <c r="A1009" s="21">
        <f t="shared" si="15"/>
        <v>1008</v>
      </c>
      <c r="B1009" s="13" t="s">
        <v>8</v>
      </c>
      <c r="C1009" s="13" t="s">
        <v>68</v>
      </c>
      <c r="D1009" s="13" t="s">
        <v>2132</v>
      </c>
      <c r="E1009" s="13" t="s">
        <v>2133</v>
      </c>
      <c r="F1009" s="13" t="s">
        <v>2123</v>
      </c>
      <c r="G1009" s="13" t="s">
        <v>14</v>
      </c>
      <c r="H1009" s="22" t="str">
        <f>IFERROR(VLOOKUP(Table2[[#This Row], [Ticket]],Okey!A:B,2,0),"")</f>
        <v>ok</v>
      </c>
      <c r="I1009" s="13" t="s">
        <v>276</v>
      </c>
      <c r="J1009" s="22" t="e">
        <f>VLOOKUP(Table2[[#This Row], [Author]],People!A:B,2,0)</f>
        <v>#N/A</v>
      </c>
      <c r="K1009" s="13"/>
      <c r="L1009" s="13"/>
      <c r="M1009" s="23" t="s">
        <v>1613</v>
      </c>
    </row>
    <row r="1010" spans="1:13" ht="19.5" customHeight="1">
      <c r="A1010" s="18">
        <f t="shared" si="15"/>
        <v>1009</v>
      </c>
      <c r="B1010" s="11" t="s">
        <v>8</v>
      </c>
      <c r="C1010" s="11" t="s">
        <v>68</v>
      </c>
      <c r="D1010" s="11" t="s">
        <v>2134</v>
      </c>
      <c r="E1010" s="11" t="s">
        <v>2135</v>
      </c>
      <c r="F1010" s="11" t="s">
        <v>2132</v>
      </c>
      <c r="G1010" s="11" t="s">
        <v>14</v>
      </c>
      <c r="H1010" s="19" t="str">
        <f>IFERROR(VLOOKUP(Table2[[#This Row], [Ticket]],Okey!A:B,2,0),"")</f>
        <v>ok</v>
      </c>
      <c r="I1010" s="11" t="s">
        <v>276</v>
      </c>
      <c r="J1010" s="19" t="e">
        <f>VLOOKUP(Table2[[#This Row], [Author]],People!A:B,2,0)</f>
        <v>#N/A</v>
      </c>
      <c r="K1010" s="11"/>
      <c r="L1010" s="11"/>
      <c r="M1010" s="20" t="s">
        <v>1613</v>
      </c>
    </row>
    <row r="1011" spans="1:13" ht="19.5" customHeight="1">
      <c r="A1011" s="21">
        <f t="shared" si="15"/>
        <v>1010</v>
      </c>
      <c r="B1011" s="13" t="s">
        <v>8</v>
      </c>
      <c r="C1011" s="13" t="s">
        <v>68</v>
      </c>
      <c r="D1011" s="13" t="s">
        <v>2136</v>
      </c>
      <c r="E1011" s="13" t="s">
        <v>2137</v>
      </c>
      <c r="F1011" s="13" t="s">
        <v>2132</v>
      </c>
      <c r="G1011" s="13" t="s">
        <v>14</v>
      </c>
      <c r="H1011" s="22" t="str">
        <f>IFERROR(VLOOKUP(Table2[[#This Row], [Ticket]],Okey!A:B,2,0),"")</f>
        <v>ok</v>
      </c>
      <c r="I1011" s="13" t="s">
        <v>276</v>
      </c>
      <c r="J1011" s="22" t="e">
        <f>VLOOKUP(Table2[[#This Row], [Author]],People!A:B,2,0)</f>
        <v>#N/A</v>
      </c>
      <c r="K1011" s="13"/>
      <c r="L1011" s="13"/>
      <c r="M1011" s="23" t="s">
        <v>1613</v>
      </c>
    </row>
    <row r="1012" spans="1:13" ht="19.5" customHeight="1">
      <c r="A1012" s="18">
        <f t="shared" si="15"/>
        <v>1011</v>
      </c>
      <c r="B1012" s="11" t="s">
        <v>8</v>
      </c>
      <c r="C1012" s="11" t="s">
        <v>68</v>
      </c>
      <c r="D1012" s="11" t="s">
        <v>2138</v>
      </c>
      <c r="E1012" s="11" t="s">
        <v>2139</v>
      </c>
      <c r="F1012" s="11" t="s">
        <v>2132</v>
      </c>
      <c r="G1012" s="11" t="s">
        <v>14</v>
      </c>
      <c r="H1012" s="19" t="str">
        <f>IFERROR(VLOOKUP(Table2[[#This Row], [Ticket]],Okey!A:B,2,0),"")</f>
        <v>ok</v>
      </c>
      <c r="I1012" s="11" t="s">
        <v>276</v>
      </c>
      <c r="J1012" s="19" t="e">
        <f>VLOOKUP(Table2[[#This Row], [Author]],People!A:B,2,0)</f>
        <v>#N/A</v>
      </c>
      <c r="K1012" s="11"/>
      <c r="L1012" s="11"/>
      <c r="M1012" s="20" t="s">
        <v>1613</v>
      </c>
    </row>
    <row r="1013" spans="1:13" ht="19.5" customHeight="1">
      <c r="A1013" s="21">
        <f t="shared" si="15"/>
        <v>1012</v>
      </c>
      <c r="B1013" s="13" t="s">
        <v>8</v>
      </c>
      <c r="C1013" s="13" t="s">
        <v>68</v>
      </c>
      <c r="D1013" s="13" t="s">
        <v>2140</v>
      </c>
      <c r="E1013" s="13" t="s">
        <v>2141</v>
      </c>
      <c r="F1013" s="13" t="s">
        <v>2125</v>
      </c>
      <c r="G1013" s="13" t="s">
        <v>14</v>
      </c>
      <c r="H1013" s="22" t="str">
        <f>IFERROR(VLOOKUP(Table2[[#This Row], [Ticket]],Okey!A:B,2,0),"")</f>
        <v>ok</v>
      </c>
      <c r="I1013" s="13" t="s">
        <v>276</v>
      </c>
      <c r="J1013" s="22" t="e">
        <f>VLOOKUP(Table2[[#This Row], [Author]],People!A:B,2,0)</f>
        <v>#N/A</v>
      </c>
      <c r="K1013" s="13"/>
      <c r="L1013" s="13"/>
      <c r="M1013" s="23" t="s">
        <v>1613</v>
      </c>
    </row>
    <row r="1014" spans="1:13" ht="19.5" customHeight="1">
      <c r="A1014" s="18">
        <f t="shared" si="15"/>
        <v>1013</v>
      </c>
      <c r="B1014" s="11" t="s">
        <v>8</v>
      </c>
      <c r="C1014" s="11" t="s">
        <v>68</v>
      </c>
      <c r="D1014" s="11" t="s">
        <v>2142</v>
      </c>
      <c r="E1014" s="11" t="s">
        <v>2143</v>
      </c>
      <c r="F1014" s="11" t="s">
        <v>2144</v>
      </c>
      <c r="G1014" s="11" t="s">
        <v>14</v>
      </c>
      <c r="H1014" s="19" t="str">
        <f>IFERROR(VLOOKUP(Table2[[#This Row], [Ticket]],Okey!A:B,2,0),"")</f>
        <v>ok</v>
      </c>
      <c r="I1014" s="11" t="s">
        <v>276</v>
      </c>
      <c r="J1014" s="19" t="e">
        <f>VLOOKUP(Table2[[#This Row], [Author]],People!A:B,2,0)</f>
        <v>#N/A</v>
      </c>
      <c r="K1014" s="11"/>
      <c r="L1014" s="11"/>
      <c r="M1014" s="20" t="s">
        <v>1613</v>
      </c>
    </row>
    <row r="1015" spans="1:13" ht="19.5" customHeight="1">
      <c r="A1015" s="21">
        <f t="shared" si="15"/>
        <v>1014</v>
      </c>
      <c r="B1015" s="13" t="s">
        <v>8</v>
      </c>
      <c r="C1015" s="13" t="s">
        <v>68</v>
      </c>
      <c r="D1015" s="13" t="s">
        <v>2145</v>
      </c>
      <c r="E1015" s="13" t="s">
        <v>2146</v>
      </c>
      <c r="F1015" s="13" t="s">
        <v>2144</v>
      </c>
      <c r="G1015" s="13" t="s">
        <v>14</v>
      </c>
      <c r="H1015" s="22" t="str">
        <f>IFERROR(VLOOKUP(Table2[[#This Row], [Ticket]],Okey!A:B,2,0),"")</f>
        <v>ok</v>
      </c>
      <c r="I1015" s="13" t="s">
        <v>276</v>
      </c>
      <c r="J1015" s="22" t="e">
        <f>VLOOKUP(Table2[[#This Row], [Author]],People!A:B,2,0)</f>
        <v>#N/A</v>
      </c>
      <c r="K1015" s="13"/>
      <c r="L1015" s="13"/>
      <c r="M1015" s="23" t="s">
        <v>1613</v>
      </c>
    </row>
    <row r="1016" spans="1:13" ht="19.5" customHeight="1">
      <c r="A1016" s="18">
        <f t="shared" si="15"/>
        <v>1015</v>
      </c>
      <c r="B1016" s="11" t="s">
        <v>8</v>
      </c>
      <c r="C1016" s="11" t="s">
        <v>68</v>
      </c>
      <c r="D1016" s="11" t="s">
        <v>2147</v>
      </c>
      <c r="E1016" s="11" t="s">
        <v>2148</v>
      </c>
      <c r="F1016" s="11" t="s">
        <v>2144</v>
      </c>
      <c r="G1016" s="11" t="s">
        <v>14</v>
      </c>
      <c r="H1016" s="19" t="str">
        <f>IFERROR(VLOOKUP(Table2[[#This Row], [Ticket]],Okey!A:B,2,0),"")</f>
        <v>ok</v>
      </c>
      <c r="I1016" s="11" t="s">
        <v>276</v>
      </c>
      <c r="J1016" s="19" t="e">
        <f>VLOOKUP(Table2[[#This Row], [Author]],People!A:B,2,0)</f>
        <v>#N/A</v>
      </c>
      <c r="K1016" s="11"/>
      <c r="L1016" s="11"/>
      <c r="M1016" s="20" t="s">
        <v>1613</v>
      </c>
    </row>
    <row r="1017" spans="1:13" ht="19.5" customHeight="1">
      <c r="A1017" s="21">
        <f t="shared" si="15"/>
        <v>1016</v>
      </c>
      <c r="B1017" s="13" t="s">
        <v>8</v>
      </c>
      <c r="C1017" s="13" t="s">
        <v>68</v>
      </c>
      <c r="D1017" s="13" t="s">
        <v>2149</v>
      </c>
      <c r="E1017" s="13" t="s">
        <v>2150</v>
      </c>
      <c r="F1017" s="13" t="s">
        <v>2147</v>
      </c>
      <c r="G1017" s="13" t="s">
        <v>14</v>
      </c>
      <c r="H1017" s="22" t="str">
        <f>IFERROR(VLOOKUP(Table2[[#This Row], [Ticket]],Okey!A:B,2,0),"")</f>
        <v>ok</v>
      </c>
      <c r="I1017" s="13" t="s">
        <v>276</v>
      </c>
      <c r="J1017" s="22" t="e">
        <f>VLOOKUP(Table2[[#This Row], [Author]],People!A:B,2,0)</f>
        <v>#N/A</v>
      </c>
      <c r="K1017" s="13"/>
      <c r="L1017" s="13"/>
      <c r="M1017" s="23" t="s">
        <v>1613</v>
      </c>
    </row>
    <row r="1018" spans="1:13" ht="19.5" customHeight="1">
      <c r="A1018" s="18">
        <f t="shared" si="15"/>
        <v>1017</v>
      </c>
      <c r="B1018" s="11" t="s">
        <v>8</v>
      </c>
      <c r="C1018" s="11" t="s">
        <v>68</v>
      </c>
      <c r="D1018" s="11" t="s">
        <v>2151</v>
      </c>
      <c r="E1018" s="11" t="s">
        <v>2152</v>
      </c>
      <c r="F1018" s="11" t="s">
        <v>2147</v>
      </c>
      <c r="G1018" s="11" t="s">
        <v>14</v>
      </c>
      <c r="H1018" s="19" t="str">
        <f>IFERROR(VLOOKUP(Table2[[#This Row], [Ticket]],Okey!A:B,2,0),"")</f>
        <v>ok</v>
      </c>
      <c r="I1018" s="11" t="s">
        <v>276</v>
      </c>
      <c r="J1018" s="19" t="e">
        <f>VLOOKUP(Table2[[#This Row], [Author]],People!A:B,2,0)</f>
        <v>#N/A</v>
      </c>
      <c r="K1018" s="11"/>
      <c r="L1018" s="11"/>
      <c r="M1018" s="20" t="s">
        <v>1613</v>
      </c>
    </row>
    <row r="1019" spans="1:13" ht="19.5" customHeight="1">
      <c r="A1019" s="21">
        <f t="shared" si="15"/>
        <v>1018</v>
      </c>
      <c r="B1019" s="13" t="s">
        <v>8</v>
      </c>
      <c r="C1019" s="13" t="s">
        <v>68</v>
      </c>
      <c r="D1019" s="13" t="s">
        <v>2153</v>
      </c>
      <c r="E1019" s="13" t="s">
        <v>2154</v>
      </c>
      <c r="F1019" s="13" t="s">
        <v>2147</v>
      </c>
      <c r="G1019" s="13" t="s">
        <v>14</v>
      </c>
      <c r="H1019" s="22" t="str">
        <f>IFERROR(VLOOKUP(Table2[[#This Row], [Ticket]],Okey!A:B,2,0),"")</f>
        <v>ok</v>
      </c>
      <c r="I1019" s="13" t="s">
        <v>276</v>
      </c>
      <c r="J1019" s="22" t="e">
        <f>VLOOKUP(Table2[[#This Row], [Author]],People!A:B,2,0)</f>
        <v>#N/A</v>
      </c>
      <c r="K1019" s="13"/>
      <c r="L1019" s="13"/>
      <c r="M1019" s="23" t="s">
        <v>1613</v>
      </c>
    </row>
    <row r="1020" spans="1:13" ht="19.5" customHeight="1">
      <c r="A1020" s="18">
        <f t="shared" si="15"/>
        <v>1019</v>
      </c>
      <c r="B1020" s="11" t="s">
        <v>8</v>
      </c>
      <c r="C1020" s="11" t="s">
        <v>68</v>
      </c>
      <c r="D1020" s="11" t="s">
        <v>2155</v>
      </c>
      <c r="E1020" s="11" t="s">
        <v>2156</v>
      </c>
      <c r="F1020" s="11" t="s">
        <v>2144</v>
      </c>
      <c r="G1020" s="11" t="s">
        <v>14</v>
      </c>
      <c r="H1020" s="19" t="str">
        <f>IFERROR(VLOOKUP(Table2[[#This Row], [Ticket]],Okey!A:B,2,0),"")</f>
        <v>ok</v>
      </c>
      <c r="I1020" s="11" t="s">
        <v>276</v>
      </c>
      <c r="J1020" s="19" t="e">
        <f>VLOOKUP(Table2[[#This Row], [Author]],People!A:B,2,0)</f>
        <v>#N/A</v>
      </c>
      <c r="K1020" s="11"/>
      <c r="L1020" s="11"/>
      <c r="M1020" s="20" t="s">
        <v>1613</v>
      </c>
    </row>
    <row r="1021" spans="1:13" ht="19.5" customHeight="1">
      <c r="A1021" s="21">
        <f t="shared" si="15"/>
        <v>1020</v>
      </c>
      <c r="B1021" s="13" t="s">
        <v>8</v>
      </c>
      <c r="C1021" s="13" t="s">
        <v>68</v>
      </c>
      <c r="D1021" s="13" t="s">
        <v>2157</v>
      </c>
      <c r="E1021" s="13" t="s">
        <v>2158</v>
      </c>
      <c r="F1021" s="13" t="s">
        <v>2144</v>
      </c>
      <c r="G1021" s="13" t="s">
        <v>14</v>
      </c>
      <c r="H1021" s="22" t="str">
        <f>IFERROR(VLOOKUP(Table2[[#This Row], [Ticket]],Okey!A:B,2,0),"")</f>
        <v>ok</v>
      </c>
      <c r="I1021" s="13" t="s">
        <v>276</v>
      </c>
      <c r="J1021" s="22" t="e">
        <f>VLOOKUP(Table2[[#This Row], [Author]],People!A:B,2,0)</f>
        <v>#N/A</v>
      </c>
      <c r="K1021" s="13"/>
      <c r="L1021" s="13"/>
      <c r="M1021" s="23" t="s">
        <v>1613</v>
      </c>
    </row>
    <row r="1022" spans="1:13" ht="19.5" customHeight="1">
      <c r="A1022" s="18">
        <f t="shared" si="15"/>
        <v>1021</v>
      </c>
      <c r="B1022" s="11" t="s">
        <v>8</v>
      </c>
      <c r="C1022" s="11" t="s">
        <v>68</v>
      </c>
      <c r="D1022" s="11" t="s">
        <v>2159</v>
      </c>
      <c r="E1022" s="11" t="s">
        <v>2160</v>
      </c>
      <c r="F1022" s="11" t="s">
        <v>2161</v>
      </c>
      <c r="G1022" s="11" t="s">
        <v>14</v>
      </c>
      <c r="H1022" s="19" t="str">
        <f>IFERROR(VLOOKUP(Table2[[#This Row], [Ticket]],Okey!A:B,2,0),"")</f>
        <v>ok</v>
      </c>
      <c r="I1022" s="11" t="s">
        <v>276</v>
      </c>
      <c r="J1022" s="19" t="e">
        <f>VLOOKUP(Table2[[#This Row], [Author]],People!A:B,2,0)</f>
        <v>#N/A</v>
      </c>
      <c r="K1022" s="11"/>
      <c r="L1022" s="11"/>
      <c r="M1022" s="20" t="s">
        <v>1613</v>
      </c>
    </row>
    <row r="1023" spans="1:13" ht="19.5" customHeight="1">
      <c r="A1023" s="21">
        <f t="shared" si="15"/>
        <v>1022</v>
      </c>
      <c r="B1023" s="13" t="s">
        <v>8</v>
      </c>
      <c r="C1023" s="13" t="s">
        <v>68</v>
      </c>
      <c r="D1023" s="13" t="s">
        <v>2162</v>
      </c>
      <c r="E1023" s="13" t="s">
        <v>2163</v>
      </c>
      <c r="F1023" s="13" t="s">
        <v>2161</v>
      </c>
      <c r="G1023" s="13" t="s">
        <v>14</v>
      </c>
      <c r="H1023" s="22" t="str">
        <f>IFERROR(VLOOKUP(Table2[[#This Row], [Ticket]],Okey!A:B,2,0),"")</f>
        <v>ok</v>
      </c>
      <c r="I1023" s="13" t="s">
        <v>276</v>
      </c>
      <c r="J1023" s="22" t="e">
        <f>VLOOKUP(Table2[[#This Row], [Author]],People!A:B,2,0)</f>
        <v>#N/A</v>
      </c>
      <c r="K1023" s="13"/>
      <c r="L1023" s="13"/>
      <c r="M1023" s="23" t="s">
        <v>1613</v>
      </c>
    </row>
    <row r="1024" spans="1:13" ht="19.5" customHeight="1">
      <c r="A1024" s="18">
        <f t="shared" si="15"/>
        <v>1023</v>
      </c>
      <c r="B1024" s="11" t="s">
        <v>8</v>
      </c>
      <c r="C1024" s="11" t="s">
        <v>68</v>
      </c>
      <c r="D1024" s="11" t="s">
        <v>2164</v>
      </c>
      <c r="E1024" s="11" t="s">
        <v>2165</v>
      </c>
      <c r="F1024" s="11" t="s">
        <v>2162</v>
      </c>
      <c r="G1024" s="11" t="s">
        <v>14</v>
      </c>
      <c r="H1024" s="19" t="str">
        <f>IFERROR(VLOOKUP(Table2[[#This Row], [Ticket]],Okey!A:B,2,0),"")</f>
        <v>ok</v>
      </c>
      <c r="I1024" s="11" t="s">
        <v>276</v>
      </c>
      <c r="J1024" s="19" t="e">
        <f>VLOOKUP(Table2[[#This Row], [Author]],People!A:B,2,0)</f>
        <v>#N/A</v>
      </c>
      <c r="K1024" s="11"/>
      <c r="L1024" s="11"/>
      <c r="M1024" s="20" t="s">
        <v>1613</v>
      </c>
    </row>
    <row r="1025" spans="1:13" ht="19.5" customHeight="1">
      <c r="A1025" s="21">
        <f t="shared" si="15"/>
        <v>1024</v>
      </c>
      <c r="B1025" s="13" t="s">
        <v>8</v>
      </c>
      <c r="C1025" s="13" t="s">
        <v>68</v>
      </c>
      <c r="D1025" s="13" t="s">
        <v>2166</v>
      </c>
      <c r="E1025" s="13" t="s">
        <v>2167</v>
      </c>
      <c r="F1025" s="13" t="s">
        <v>2162</v>
      </c>
      <c r="G1025" s="13" t="s">
        <v>14</v>
      </c>
      <c r="H1025" s="22" t="str">
        <f>IFERROR(VLOOKUP(Table2[[#This Row], [Ticket]],Okey!A:B,2,0),"")</f>
        <v>ok</v>
      </c>
      <c r="I1025" s="13" t="s">
        <v>276</v>
      </c>
      <c r="J1025" s="22" t="e">
        <f>VLOOKUP(Table2[[#This Row], [Author]],People!A:B,2,0)</f>
        <v>#N/A</v>
      </c>
      <c r="K1025" s="13"/>
      <c r="L1025" s="13"/>
      <c r="M1025" s="23" t="s">
        <v>1613</v>
      </c>
    </row>
    <row r="1026" spans="1:13" ht="19.5" customHeight="1">
      <c r="A1026" s="18">
        <f t="shared" si="15"/>
        <v>1025</v>
      </c>
      <c r="B1026" s="11" t="s">
        <v>8</v>
      </c>
      <c r="C1026" s="11" t="s">
        <v>68</v>
      </c>
      <c r="D1026" s="11" t="s">
        <v>2168</v>
      </c>
      <c r="E1026" s="11" t="s">
        <v>2169</v>
      </c>
      <c r="F1026" s="11" t="s">
        <v>2162</v>
      </c>
      <c r="G1026" s="11" t="s">
        <v>14</v>
      </c>
      <c r="H1026" s="19" t="str">
        <f>IFERROR(VLOOKUP(Table2[[#This Row], [Ticket]],Okey!A:B,2,0),"")</f>
        <v>ok</v>
      </c>
      <c r="I1026" s="11" t="s">
        <v>276</v>
      </c>
      <c r="J1026" s="19" t="e">
        <f>VLOOKUP(Table2[[#This Row], [Author]],People!A:B,2,0)</f>
        <v>#N/A</v>
      </c>
      <c r="K1026" s="11"/>
      <c r="L1026" s="11"/>
      <c r="M1026" s="20" t="s">
        <v>1613</v>
      </c>
    </row>
    <row r="1027" spans="1:13" ht="19.5" customHeight="1">
      <c r="A1027" s="21">
        <f t="shared" ref="A1027:A1090" si="16">1+A1026</f>
        <v>1026</v>
      </c>
      <c r="B1027" s="13" t="s">
        <v>8</v>
      </c>
      <c r="C1027" s="13" t="s">
        <v>68</v>
      </c>
      <c r="D1027" s="13" t="s">
        <v>2170</v>
      </c>
      <c r="E1027" s="13" t="s">
        <v>2171</v>
      </c>
      <c r="F1027" s="13" t="s">
        <v>2172</v>
      </c>
      <c r="G1027" s="13" t="s">
        <v>14</v>
      </c>
      <c r="H1027" s="22" t="str">
        <f>IFERROR(VLOOKUP(Table2[[#This Row], [Ticket]],Okey!A:B,2,0),"")</f>
        <v>ok</v>
      </c>
      <c r="I1027" s="13" t="s">
        <v>276</v>
      </c>
      <c r="J1027" s="22" t="e">
        <f>VLOOKUP(Table2[[#This Row], [Author]],People!A:B,2,0)</f>
        <v>#N/A</v>
      </c>
      <c r="K1027" s="13"/>
      <c r="L1027" s="13"/>
      <c r="M1027" s="23" t="s">
        <v>1613</v>
      </c>
    </row>
    <row r="1028" spans="1:13" ht="19.5" customHeight="1">
      <c r="A1028" s="18">
        <f t="shared" si="16"/>
        <v>1027</v>
      </c>
      <c r="B1028" s="11" t="s">
        <v>8</v>
      </c>
      <c r="C1028" s="11" t="s">
        <v>68</v>
      </c>
      <c r="D1028" s="11" t="s">
        <v>2173</v>
      </c>
      <c r="E1028" s="11" t="s">
        <v>2174</v>
      </c>
      <c r="F1028" s="11" t="s">
        <v>2172</v>
      </c>
      <c r="G1028" s="11" t="s">
        <v>14</v>
      </c>
      <c r="H1028" s="19" t="str">
        <f>IFERROR(VLOOKUP(Table2[[#This Row], [Ticket]],Okey!A:B,2,0),"")</f>
        <v>ok</v>
      </c>
      <c r="I1028" s="11" t="s">
        <v>276</v>
      </c>
      <c r="J1028" s="19" t="e">
        <f>VLOOKUP(Table2[[#This Row], [Author]],People!A:B,2,0)</f>
        <v>#N/A</v>
      </c>
      <c r="K1028" s="11"/>
      <c r="L1028" s="11"/>
      <c r="M1028" s="20" t="s">
        <v>1613</v>
      </c>
    </row>
    <row r="1029" spans="1:13" ht="19.5" customHeight="1">
      <c r="A1029" s="21">
        <f t="shared" si="16"/>
        <v>1028</v>
      </c>
      <c r="B1029" s="13" t="s">
        <v>8</v>
      </c>
      <c r="C1029" s="13" t="s">
        <v>68</v>
      </c>
      <c r="D1029" s="13" t="s">
        <v>2175</v>
      </c>
      <c r="E1029" s="13" t="s">
        <v>2176</v>
      </c>
      <c r="F1029" s="13" t="s">
        <v>2177</v>
      </c>
      <c r="G1029" s="13" t="s">
        <v>14</v>
      </c>
      <c r="H1029" s="22" t="str">
        <f>IFERROR(VLOOKUP(Table2[[#This Row], [Ticket]],Okey!A:B,2,0),"")</f>
        <v>ok</v>
      </c>
      <c r="I1029" s="13" t="s">
        <v>276</v>
      </c>
      <c r="J1029" s="22" t="e">
        <f>VLOOKUP(Table2[[#This Row], [Author]],People!A:B,2,0)</f>
        <v>#N/A</v>
      </c>
      <c r="K1029" s="13"/>
      <c r="L1029" s="13"/>
      <c r="M1029" s="23" t="s">
        <v>1613</v>
      </c>
    </row>
    <row r="1030" spans="1:13" ht="19.5" customHeight="1">
      <c r="A1030" s="18">
        <f t="shared" si="16"/>
        <v>1029</v>
      </c>
      <c r="B1030" s="11" t="s">
        <v>8</v>
      </c>
      <c r="C1030" s="11" t="s">
        <v>68</v>
      </c>
      <c r="D1030" s="11" t="s">
        <v>2178</v>
      </c>
      <c r="E1030" s="11" t="s">
        <v>2179</v>
      </c>
      <c r="F1030" s="11" t="s">
        <v>2177</v>
      </c>
      <c r="G1030" s="11" t="s">
        <v>14</v>
      </c>
      <c r="H1030" s="19" t="str">
        <f>IFERROR(VLOOKUP(Table2[[#This Row], [Ticket]],Okey!A:B,2,0),"")</f>
        <v>ok</v>
      </c>
      <c r="I1030" s="11" t="s">
        <v>276</v>
      </c>
      <c r="J1030" s="19" t="e">
        <f>VLOOKUP(Table2[[#This Row], [Author]],People!A:B,2,0)</f>
        <v>#N/A</v>
      </c>
      <c r="K1030" s="11"/>
      <c r="L1030" s="11"/>
      <c r="M1030" s="20" t="s">
        <v>1613</v>
      </c>
    </row>
    <row r="1031" spans="1:13" ht="19.5" customHeight="1">
      <c r="A1031" s="21">
        <f t="shared" si="16"/>
        <v>1030</v>
      </c>
      <c r="B1031" s="13" t="s">
        <v>8</v>
      </c>
      <c r="C1031" s="13" t="s">
        <v>68</v>
      </c>
      <c r="D1031" s="13" t="s">
        <v>2180</v>
      </c>
      <c r="E1031" s="13" t="s">
        <v>2181</v>
      </c>
      <c r="F1031" s="13" t="s">
        <v>2182</v>
      </c>
      <c r="G1031" s="13" t="s">
        <v>14</v>
      </c>
      <c r="H1031" s="22" t="str">
        <f>IFERROR(VLOOKUP(Table2[[#This Row], [Ticket]],Okey!A:B,2,0),"")</f>
        <v>ok</v>
      </c>
      <c r="I1031" s="13" t="s">
        <v>276</v>
      </c>
      <c r="J1031" s="22" t="e">
        <f>VLOOKUP(Table2[[#This Row], [Author]],People!A:B,2,0)</f>
        <v>#N/A</v>
      </c>
      <c r="K1031" s="13"/>
      <c r="L1031" s="13"/>
      <c r="M1031" s="23" t="s">
        <v>1613</v>
      </c>
    </row>
    <row r="1032" spans="1:13" ht="19.5" customHeight="1">
      <c r="A1032" s="18">
        <f t="shared" si="16"/>
        <v>1031</v>
      </c>
      <c r="B1032" s="11" t="s">
        <v>8</v>
      </c>
      <c r="C1032" s="11" t="s">
        <v>68</v>
      </c>
      <c r="D1032" s="11" t="s">
        <v>2183</v>
      </c>
      <c r="E1032" s="11" t="s">
        <v>2184</v>
      </c>
      <c r="F1032" s="11" t="s">
        <v>2182</v>
      </c>
      <c r="G1032" s="11" t="s">
        <v>14</v>
      </c>
      <c r="H1032" s="19" t="str">
        <f>IFERROR(VLOOKUP(Table2[[#This Row], [Ticket]],Okey!A:B,2,0),"")</f>
        <v>ok</v>
      </c>
      <c r="I1032" s="11" t="s">
        <v>276</v>
      </c>
      <c r="J1032" s="19" t="e">
        <f>VLOOKUP(Table2[[#This Row], [Author]],People!A:B,2,0)</f>
        <v>#N/A</v>
      </c>
      <c r="K1032" s="11"/>
      <c r="L1032" s="11"/>
      <c r="M1032" s="20" t="s">
        <v>1613</v>
      </c>
    </row>
    <row r="1033" spans="1:13" ht="19.5" customHeight="1">
      <c r="A1033" s="21">
        <f t="shared" si="16"/>
        <v>1032</v>
      </c>
      <c r="B1033" s="13" t="s">
        <v>8</v>
      </c>
      <c r="C1033" s="13" t="s">
        <v>68</v>
      </c>
      <c r="D1033" s="13" t="s">
        <v>2185</v>
      </c>
      <c r="E1033" s="13" t="s">
        <v>2186</v>
      </c>
      <c r="F1033" s="13" t="s">
        <v>2187</v>
      </c>
      <c r="G1033" s="13" t="s">
        <v>14</v>
      </c>
      <c r="H1033" s="22" t="str">
        <f>IFERROR(VLOOKUP(Table2[[#This Row], [Ticket]],Okey!A:B,2,0),"")</f>
        <v>ok</v>
      </c>
      <c r="I1033" s="13" t="s">
        <v>276</v>
      </c>
      <c r="J1033" s="22" t="e">
        <f>VLOOKUP(Table2[[#This Row], [Author]],People!A:B,2,0)</f>
        <v>#N/A</v>
      </c>
      <c r="K1033" s="13"/>
      <c r="L1033" s="13"/>
      <c r="M1033" s="23" t="s">
        <v>1613</v>
      </c>
    </row>
    <row r="1034" spans="1:13" ht="19.5" customHeight="1">
      <c r="A1034" s="18">
        <f t="shared" si="16"/>
        <v>1033</v>
      </c>
      <c r="B1034" s="11" t="s">
        <v>8</v>
      </c>
      <c r="C1034" s="11" t="s">
        <v>68</v>
      </c>
      <c r="D1034" s="11" t="s">
        <v>2188</v>
      </c>
      <c r="E1034" s="11" t="s">
        <v>2189</v>
      </c>
      <c r="F1034" s="11" t="s">
        <v>2187</v>
      </c>
      <c r="G1034" s="11" t="s">
        <v>14</v>
      </c>
      <c r="H1034" s="19" t="str">
        <f>IFERROR(VLOOKUP(Table2[[#This Row], [Ticket]],Okey!A:B,2,0),"")</f>
        <v>ok</v>
      </c>
      <c r="I1034" s="11" t="s">
        <v>276</v>
      </c>
      <c r="J1034" s="19" t="e">
        <f>VLOOKUP(Table2[[#This Row], [Author]],People!A:B,2,0)</f>
        <v>#N/A</v>
      </c>
      <c r="K1034" s="11"/>
      <c r="L1034" s="11"/>
      <c r="M1034" s="20" t="s">
        <v>1613</v>
      </c>
    </row>
    <row r="1035" spans="1:13" ht="19.5" customHeight="1">
      <c r="A1035" s="21">
        <f t="shared" si="16"/>
        <v>1034</v>
      </c>
      <c r="B1035" s="13" t="s">
        <v>8</v>
      </c>
      <c r="C1035" s="13" t="s">
        <v>68</v>
      </c>
      <c r="D1035" s="13" t="s">
        <v>2190</v>
      </c>
      <c r="E1035" s="13" t="s">
        <v>2191</v>
      </c>
      <c r="F1035" s="13" t="s">
        <v>2192</v>
      </c>
      <c r="G1035" s="13" t="s">
        <v>14</v>
      </c>
      <c r="H1035" s="22" t="str">
        <f>IFERROR(VLOOKUP(Table2[[#This Row], [Ticket]],Okey!A:B,2,0),"")</f>
        <v>ok</v>
      </c>
      <c r="I1035" s="13" t="s">
        <v>276</v>
      </c>
      <c r="J1035" s="22" t="e">
        <f>VLOOKUP(Table2[[#This Row], [Author]],People!A:B,2,0)</f>
        <v>#N/A</v>
      </c>
      <c r="K1035" s="13"/>
      <c r="L1035" s="13"/>
      <c r="M1035" s="23" t="s">
        <v>1613</v>
      </c>
    </row>
    <row r="1036" spans="1:13" ht="19.5" customHeight="1">
      <c r="A1036" s="18">
        <f t="shared" si="16"/>
        <v>1035</v>
      </c>
      <c r="B1036" s="11" t="s">
        <v>8</v>
      </c>
      <c r="C1036" s="11" t="s">
        <v>68</v>
      </c>
      <c r="D1036" s="11" t="s">
        <v>2193</v>
      </c>
      <c r="E1036" s="11" t="s">
        <v>2194</v>
      </c>
      <c r="F1036" s="11" t="s">
        <v>2190</v>
      </c>
      <c r="G1036" s="11" t="s">
        <v>14</v>
      </c>
      <c r="H1036" s="19" t="str">
        <f>IFERROR(VLOOKUP(Table2[[#This Row], [Ticket]],Okey!A:B,2,0),"")</f>
        <v>ok</v>
      </c>
      <c r="I1036" s="11" t="s">
        <v>276</v>
      </c>
      <c r="J1036" s="19" t="e">
        <f>VLOOKUP(Table2[[#This Row], [Author]],People!A:B,2,0)</f>
        <v>#N/A</v>
      </c>
      <c r="K1036" s="11"/>
      <c r="L1036" s="11"/>
      <c r="M1036" s="20" t="s">
        <v>1613</v>
      </c>
    </row>
    <row r="1037" spans="1:13" ht="19.5" customHeight="1">
      <c r="A1037" s="21">
        <f t="shared" si="16"/>
        <v>1036</v>
      </c>
      <c r="B1037" s="13" t="s">
        <v>8</v>
      </c>
      <c r="C1037" s="13" t="s">
        <v>68</v>
      </c>
      <c r="D1037" s="13" t="s">
        <v>2195</v>
      </c>
      <c r="E1037" s="13" t="s">
        <v>2196</v>
      </c>
      <c r="F1037" s="13" t="s">
        <v>2192</v>
      </c>
      <c r="G1037" s="13" t="s">
        <v>14</v>
      </c>
      <c r="H1037" s="22" t="str">
        <f>IFERROR(VLOOKUP(Table2[[#This Row], [Ticket]],Okey!A:B,2,0),"")</f>
        <v>ok</v>
      </c>
      <c r="I1037" s="13" t="s">
        <v>276</v>
      </c>
      <c r="J1037" s="22" t="e">
        <f>VLOOKUP(Table2[[#This Row], [Author]],People!A:B,2,0)</f>
        <v>#N/A</v>
      </c>
      <c r="K1037" s="13"/>
      <c r="L1037" s="13"/>
      <c r="M1037" s="23" t="s">
        <v>1613</v>
      </c>
    </row>
    <row r="1038" spans="1:13" ht="19.5" customHeight="1">
      <c r="A1038" s="18">
        <f t="shared" si="16"/>
        <v>1037</v>
      </c>
      <c r="B1038" s="11" t="s">
        <v>8</v>
      </c>
      <c r="C1038" s="11" t="s">
        <v>68</v>
      </c>
      <c r="D1038" s="11" t="s">
        <v>2197</v>
      </c>
      <c r="E1038" s="11" t="s">
        <v>2198</v>
      </c>
      <c r="F1038" s="11" t="s">
        <v>2192</v>
      </c>
      <c r="G1038" s="11" t="s">
        <v>14</v>
      </c>
      <c r="H1038" s="19" t="str">
        <f>IFERROR(VLOOKUP(Table2[[#This Row], [Ticket]],Okey!A:B,2,0),"")</f>
        <v>ok</v>
      </c>
      <c r="I1038" s="11" t="s">
        <v>276</v>
      </c>
      <c r="J1038" s="19" t="e">
        <f>VLOOKUP(Table2[[#This Row], [Author]],People!A:B,2,0)</f>
        <v>#N/A</v>
      </c>
      <c r="K1038" s="11"/>
      <c r="L1038" s="11"/>
      <c r="M1038" s="20" t="s">
        <v>1613</v>
      </c>
    </row>
    <row r="1039" spans="1:13" ht="19.5" customHeight="1">
      <c r="A1039" s="21">
        <f t="shared" si="16"/>
        <v>1038</v>
      </c>
      <c r="B1039" s="13" t="s">
        <v>8</v>
      </c>
      <c r="C1039" s="13" t="s">
        <v>68</v>
      </c>
      <c r="D1039" s="13" t="s">
        <v>2199</v>
      </c>
      <c r="E1039" s="13" t="s">
        <v>2200</v>
      </c>
      <c r="F1039" s="13" t="s">
        <v>2192</v>
      </c>
      <c r="G1039" s="13" t="s">
        <v>14</v>
      </c>
      <c r="H1039" s="22" t="str">
        <f>IFERROR(VLOOKUP(Table2[[#This Row], [Ticket]],Okey!A:B,2,0),"")</f>
        <v>ok</v>
      </c>
      <c r="I1039" s="13" t="s">
        <v>276</v>
      </c>
      <c r="J1039" s="22" t="e">
        <f>VLOOKUP(Table2[[#This Row], [Author]],People!A:B,2,0)</f>
        <v>#N/A</v>
      </c>
      <c r="K1039" s="13"/>
      <c r="L1039" s="13"/>
      <c r="M1039" s="23" t="s">
        <v>1613</v>
      </c>
    </row>
    <row r="1040" spans="1:13" ht="19.5" customHeight="1">
      <c r="A1040" s="18">
        <f t="shared" si="16"/>
        <v>1039</v>
      </c>
      <c r="B1040" s="11" t="s">
        <v>8</v>
      </c>
      <c r="C1040" s="11" t="s">
        <v>68</v>
      </c>
      <c r="D1040" s="11" t="s">
        <v>2201</v>
      </c>
      <c r="E1040" s="11" t="s">
        <v>2202</v>
      </c>
      <c r="F1040" s="11" t="s">
        <v>2192</v>
      </c>
      <c r="G1040" s="11" t="s">
        <v>14</v>
      </c>
      <c r="H1040" s="19" t="str">
        <f>IFERROR(VLOOKUP(Table2[[#This Row], [Ticket]],Okey!A:B,2,0),"")</f>
        <v>ok</v>
      </c>
      <c r="I1040" s="11" t="s">
        <v>276</v>
      </c>
      <c r="J1040" s="19" t="e">
        <f>VLOOKUP(Table2[[#This Row], [Author]],People!A:B,2,0)</f>
        <v>#N/A</v>
      </c>
      <c r="K1040" s="11"/>
      <c r="L1040" s="11"/>
      <c r="M1040" s="20" t="s">
        <v>1613</v>
      </c>
    </row>
    <row r="1041" spans="1:13" ht="19.5" customHeight="1">
      <c r="A1041" s="21">
        <f t="shared" si="16"/>
        <v>1040</v>
      </c>
      <c r="B1041" s="13" t="s">
        <v>8</v>
      </c>
      <c r="C1041" s="13" t="s">
        <v>68</v>
      </c>
      <c r="D1041" s="13" t="s">
        <v>2203</v>
      </c>
      <c r="E1041" s="13" t="s">
        <v>2204</v>
      </c>
      <c r="F1041" s="13" t="s">
        <v>2192</v>
      </c>
      <c r="G1041" s="13" t="s">
        <v>14</v>
      </c>
      <c r="H1041" s="22" t="str">
        <f>IFERROR(VLOOKUP(Table2[[#This Row], [Ticket]],Okey!A:B,2,0),"")</f>
        <v>ok</v>
      </c>
      <c r="I1041" s="13" t="s">
        <v>276</v>
      </c>
      <c r="J1041" s="22" t="e">
        <f>VLOOKUP(Table2[[#This Row], [Author]],People!A:B,2,0)</f>
        <v>#N/A</v>
      </c>
      <c r="K1041" s="13"/>
      <c r="L1041" s="13"/>
      <c r="M1041" s="23" t="s">
        <v>1613</v>
      </c>
    </row>
    <row r="1042" spans="1:13" ht="19.5" customHeight="1">
      <c r="A1042" s="18">
        <f t="shared" si="16"/>
        <v>1041</v>
      </c>
      <c r="B1042" s="11" t="s">
        <v>8</v>
      </c>
      <c r="C1042" s="11" t="s">
        <v>68</v>
      </c>
      <c r="D1042" s="11" t="s">
        <v>2205</v>
      </c>
      <c r="E1042" s="11" t="s">
        <v>2206</v>
      </c>
      <c r="F1042" s="11" t="s">
        <v>2203</v>
      </c>
      <c r="G1042" s="11" t="s">
        <v>14</v>
      </c>
      <c r="H1042" s="19" t="str">
        <f>IFERROR(VLOOKUP(Table2[[#This Row], [Ticket]],Okey!A:B,2,0),"")</f>
        <v>ok</v>
      </c>
      <c r="I1042" s="11" t="s">
        <v>276</v>
      </c>
      <c r="J1042" s="19" t="e">
        <f>VLOOKUP(Table2[[#This Row], [Author]],People!A:B,2,0)</f>
        <v>#N/A</v>
      </c>
      <c r="K1042" s="11"/>
      <c r="L1042" s="11"/>
      <c r="M1042" s="20" t="s">
        <v>1613</v>
      </c>
    </row>
    <row r="1043" spans="1:13" ht="19.5" customHeight="1">
      <c r="A1043" s="21">
        <f t="shared" si="16"/>
        <v>1042</v>
      </c>
      <c r="B1043" s="13" t="s">
        <v>8</v>
      </c>
      <c r="C1043" s="13" t="s">
        <v>68</v>
      </c>
      <c r="D1043" s="13" t="s">
        <v>2207</v>
      </c>
      <c r="E1043" s="13" t="s">
        <v>2208</v>
      </c>
      <c r="F1043" s="13" t="s">
        <v>2203</v>
      </c>
      <c r="G1043" s="13" t="s">
        <v>14</v>
      </c>
      <c r="H1043" s="22" t="str">
        <f>IFERROR(VLOOKUP(Table2[[#This Row], [Ticket]],Okey!A:B,2,0),"")</f>
        <v>ok</v>
      </c>
      <c r="I1043" s="13" t="s">
        <v>276</v>
      </c>
      <c r="J1043" s="22" t="e">
        <f>VLOOKUP(Table2[[#This Row], [Author]],People!A:B,2,0)</f>
        <v>#N/A</v>
      </c>
      <c r="K1043" s="13"/>
      <c r="L1043" s="13"/>
      <c r="M1043" s="23" t="s">
        <v>1613</v>
      </c>
    </row>
    <row r="1044" spans="1:13" ht="19.5" customHeight="1">
      <c r="A1044" s="18">
        <f t="shared" si="16"/>
        <v>1043</v>
      </c>
      <c r="B1044" s="11" t="s">
        <v>8</v>
      </c>
      <c r="C1044" s="11" t="s">
        <v>68</v>
      </c>
      <c r="D1044" s="11" t="s">
        <v>2209</v>
      </c>
      <c r="E1044" s="11" t="s">
        <v>2210</v>
      </c>
      <c r="F1044" s="11" t="s">
        <v>2207</v>
      </c>
      <c r="G1044" s="11" t="s">
        <v>14</v>
      </c>
      <c r="H1044" s="19" t="str">
        <f>IFERROR(VLOOKUP(Table2[[#This Row], [Ticket]],Okey!A:B,2,0),"")</f>
        <v>ok</v>
      </c>
      <c r="I1044" s="11" t="s">
        <v>276</v>
      </c>
      <c r="J1044" s="19" t="e">
        <f>VLOOKUP(Table2[[#This Row], [Author]],People!A:B,2,0)</f>
        <v>#N/A</v>
      </c>
      <c r="K1044" s="11"/>
      <c r="L1044" s="11"/>
      <c r="M1044" s="20" t="s">
        <v>1613</v>
      </c>
    </row>
    <row r="1045" spans="1:13" ht="19.5" customHeight="1">
      <c r="A1045" s="21">
        <f t="shared" si="16"/>
        <v>1044</v>
      </c>
      <c r="B1045" s="13" t="s">
        <v>8</v>
      </c>
      <c r="C1045" s="13" t="s">
        <v>68</v>
      </c>
      <c r="D1045" s="13" t="s">
        <v>2211</v>
      </c>
      <c r="E1045" s="13" t="s">
        <v>2212</v>
      </c>
      <c r="F1045" s="13" t="s">
        <v>2207</v>
      </c>
      <c r="G1045" s="13" t="s">
        <v>14</v>
      </c>
      <c r="H1045" s="22" t="str">
        <f>IFERROR(VLOOKUP(Table2[[#This Row], [Ticket]],Okey!A:B,2,0),"")</f>
        <v>ok</v>
      </c>
      <c r="I1045" s="13" t="s">
        <v>276</v>
      </c>
      <c r="J1045" s="22" t="e">
        <f>VLOOKUP(Table2[[#This Row], [Author]],People!A:B,2,0)</f>
        <v>#N/A</v>
      </c>
      <c r="K1045" s="13"/>
      <c r="L1045" s="13"/>
      <c r="M1045" s="23" t="s">
        <v>1613</v>
      </c>
    </row>
    <row r="1046" spans="1:13" ht="19.5" customHeight="1">
      <c r="A1046" s="18">
        <f t="shared" si="16"/>
        <v>1045</v>
      </c>
      <c r="B1046" s="11" t="s">
        <v>8</v>
      </c>
      <c r="C1046" s="11" t="s">
        <v>68</v>
      </c>
      <c r="D1046" s="11" t="s">
        <v>2213</v>
      </c>
      <c r="E1046" s="11" t="s">
        <v>2214</v>
      </c>
      <c r="F1046" s="11" t="s">
        <v>2211</v>
      </c>
      <c r="G1046" s="11" t="s">
        <v>14</v>
      </c>
      <c r="H1046" s="19" t="str">
        <f>IFERROR(VLOOKUP(Table2[[#This Row], [Ticket]],Okey!A:B,2,0),"")</f>
        <v>ok</v>
      </c>
      <c r="I1046" s="11" t="s">
        <v>276</v>
      </c>
      <c r="J1046" s="19" t="e">
        <f>VLOOKUP(Table2[[#This Row], [Author]],People!A:B,2,0)</f>
        <v>#N/A</v>
      </c>
      <c r="K1046" s="11"/>
      <c r="L1046" s="11"/>
      <c r="M1046" s="20" t="s">
        <v>1613</v>
      </c>
    </row>
    <row r="1047" spans="1:13" ht="19.5" customHeight="1">
      <c r="A1047" s="21">
        <f t="shared" si="16"/>
        <v>1046</v>
      </c>
      <c r="B1047" s="13" t="s">
        <v>8</v>
      </c>
      <c r="C1047" s="13" t="s">
        <v>68</v>
      </c>
      <c r="D1047" s="13" t="s">
        <v>2215</v>
      </c>
      <c r="E1047" s="13" t="s">
        <v>2216</v>
      </c>
      <c r="F1047" s="13" t="s">
        <v>2211</v>
      </c>
      <c r="G1047" s="13" t="s">
        <v>14</v>
      </c>
      <c r="H1047" s="22" t="str">
        <f>IFERROR(VLOOKUP(Table2[[#This Row], [Ticket]],Okey!A:B,2,0),"")</f>
        <v>ok</v>
      </c>
      <c r="I1047" s="13" t="s">
        <v>276</v>
      </c>
      <c r="J1047" s="22" t="e">
        <f>VLOOKUP(Table2[[#This Row], [Author]],People!A:B,2,0)</f>
        <v>#N/A</v>
      </c>
      <c r="K1047" s="13"/>
      <c r="L1047" s="13"/>
      <c r="M1047" s="23" t="s">
        <v>1613</v>
      </c>
    </row>
    <row r="1048" spans="1:13" ht="19.5" customHeight="1">
      <c r="A1048" s="18">
        <f t="shared" si="16"/>
        <v>1047</v>
      </c>
      <c r="B1048" s="11" t="s">
        <v>8</v>
      </c>
      <c r="C1048" s="11" t="s">
        <v>68</v>
      </c>
      <c r="D1048" s="11" t="s">
        <v>2217</v>
      </c>
      <c r="E1048" s="11" t="s">
        <v>2218</v>
      </c>
      <c r="F1048" s="11" t="s">
        <v>2207</v>
      </c>
      <c r="G1048" s="11" t="s">
        <v>14</v>
      </c>
      <c r="H1048" s="19" t="str">
        <f>IFERROR(VLOOKUP(Table2[[#This Row], [Ticket]],Okey!A:B,2,0),"")</f>
        <v>ok</v>
      </c>
      <c r="I1048" s="11" t="s">
        <v>276</v>
      </c>
      <c r="J1048" s="19" t="e">
        <f>VLOOKUP(Table2[[#This Row], [Author]],People!A:B,2,0)</f>
        <v>#N/A</v>
      </c>
      <c r="K1048" s="11"/>
      <c r="L1048" s="11"/>
      <c r="M1048" s="20" t="s">
        <v>1613</v>
      </c>
    </row>
    <row r="1049" spans="1:13" ht="19.5" customHeight="1">
      <c r="A1049" s="21">
        <f t="shared" si="16"/>
        <v>1048</v>
      </c>
      <c r="B1049" s="13" t="s">
        <v>8</v>
      </c>
      <c r="C1049" s="13" t="s">
        <v>68</v>
      </c>
      <c r="D1049" s="13" t="s">
        <v>2219</v>
      </c>
      <c r="E1049" s="13" t="s">
        <v>2220</v>
      </c>
      <c r="F1049" s="13" t="s">
        <v>2207</v>
      </c>
      <c r="G1049" s="13" t="s">
        <v>14</v>
      </c>
      <c r="H1049" s="22" t="str">
        <f>IFERROR(VLOOKUP(Table2[[#This Row], [Ticket]],Okey!A:B,2,0),"")</f>
        <v>ok</v>
      </c>
      <c r="I1049" s="13" t="s">
        <v>276</v>
      </c>
      <c r="J1049" s="22" t="e">
        <f>VLOOKUP(Table2[[#This Row], [Author]],People!A:B,2,0)</f>
        <v>#N/A</v>
      </c>
      <c r="K1049" s="13"/>
      <c r="L1049" s="13"/>
      <c r="M1049" s="23" t="s">
        <v>1613</v>
      </c>
    </row>
    <row r="1050" spans="1:13" ht="19.5" customHeight="1">
      <c r="A1050" s="18">
        <f t="shared" si="16"/>
        <v>1049</v>
      </c>
      <c r="B1050" s="11" t="s">
        <v>8</v>
      </c>
      <c r="C1050" s="11" t="s">
        <v>68</v>
      </c>
      <c r="D1050" s="11" t="s">
        <v>2221</v>
      </c>
      <c r="E1050" s="11" t="s">
        <v>2222</v>
      </c>
      <c r="F1050" s="11" t="s">
        <v>2223</v>
      </c>
      <c r="G1050" s="11" t="s">
        <v>14</v>
      </c>
      <c r="H1050" s="19" t="str">
        <f>IFERROR(VLOOKUP(Table2[[#This Row], [Ticket]],Okey!A:B,2,0),"")</f>
        <v>ok</v>
      </c>
      <c r="I1050" s="11" t="s">
        <v>276</v>
      </c>
      <c r="J1050" s="19" t="e">
        <f>VLOOKUP(Table2[[#This Row], [Author]],People!A:B,2,0)</f>
        <v>#N/A</v>
      </c>
      <c r="K1050" s="11"/>
      <c r="L1050" s="11"/>
      <c r="M1050" s="20" t="s">
        <v>1613</v>
      </c>
    </row>
    <row r="1051" spans="1:13" ht="19.5" customHeight="1">
      <c r="A1051" s="21">
        <f t="shared" si="16"/>
        <v>1050</v>
      </c>
      <c r="B1051" s="13" t="s">
        <v>8</v>
      </c>
      <c r="C1051" s="13" t="s">
        <v>68</v>
      </c>
      <c r="D1051" s="13" t="s">
        <v>2224</v>
      </c>
      <c r="E1051" s="13" t="s">
        <v>2225</v>
      </c>
      <c r="F1051" s="13" t="s">
        <v>2223</v>
      </c>
      <c r="G1051" s="13" t="s">
        <v>14</v>
      </c>
      <c r="H1051" s="22" t="str">
        <f>IFERROR(VLOOKUP(Table2[[#This Row], [Ticket]],Okey!A:B,2,0),"")</f>
        <v>ok</v>
      </c>
      <c r="I1051" s="13" t="s">
        <v>276</v>
      </c>
      <c r="J1051" s="22" t="e">
        <f>VLOOKUP(Table2[[#This Row], [Author]],People!A:B,2,0)</f>
        <v>#N/A</v>
      </c>
      <c r="K1051" s="13"/>
      <c r="L1051" s="13"/>
      <c r="M1051" s="23" t="s">
        <v>1613</v>
      </c>
    </row>
    <row r="1052" spans="1:13" ht="19.5" customHeight="1">
      <c r="A1052" s="18">
        <f t="shared" si="16"/>
        <v>1051</v>
      </c>
      <c r="B1052" s="11" t="s">
        <v>8</v>
      </c>
      <c r="C1052" s="11" t="s">
        <v>68</v>
      </c>
      <c r="D1052" s="11" t="s">
        <v>2226</v>
      </c>
      <c r="E1052" s="11" t="s">
        <v>2227</v>
      </c>
      <c r="F1052" s="11" t="s">
        <v>2224</v>
      </c>
      <c r="G1052" s="11" t="s">
        <v>14</v>
      </c>
      <c r="H1052" s="19" t="str">
        <f>IFERROR(VLOOKUP(Table2[[#This Row], [Ticket]],Okey!A:B,2,0),"")</f>
        <v>ok</v>
      </c>
      <c r="I1052" s="11" t="s">
        <v>276</v>
      </c>
      <c r="J1052" s="19" t="e">
        <f>VLOOKUP(Table2[[#This Row], [Author]],People!A:B,2,0)</f>
        <v>#N/A</v>
      </c>
      <c r="K1052" s="11"/>
      <c r="L1052" s="11"/>
      <c r="M1052" s="20" t="s">
        <v>1613</v>
      </c>
    </row>
    <row r="1053" spans="1:13" ht="19.5" customHeight="1">
      <c r="A1053" s="21">
        <f t="shared" si="16"/>
        <v>1052</v>
      </c>
      <c r="B1053" s="13" t="s">
        <v>8</v>
      </c>
      <c r="C1053" s="13" t="s">
        <v>68</v>
      </c>
      <c r="D1053" s="13" t="s">
        <v>2228</v>
      </c>
      <c r="E1053" s="13" t="s">
        <v>2229</v>
      </c>
      <c r="F1053" s="13" t="s">
        <v>2224</v>
      </c>
      <c r="G1053" s="13" t="s">
        <v>14</v>
      </c>
      <c r="H1053" s="22" t="str">
        <f>IFERROR(VLOOKUP(Table2[[#This Row], [Ticket]],Okey!A:B,2,0),"")</f>
        <v>ok</v>
      </c>
      <c r="I1053" s="13" t="s">
        <v>276</v>
      </c>
      <c r="J1053" s="22" t="e">
        <f>VLOOKUP(Table2[[#This Row], [Author]],People!A:B,2,0)</f>
        <v>#N/A</v>
      </c>
      <c r="K1053" s="13"/>
      <c r="L1053" s="13"/>
      <c r="M1053" s="23" t="s">
        <v>1613</v>
      </c>
    </row>
    <row r="1054" spans="1:13" ht="19.5" customHeight="1">
      <c r="A1054" s="18">
        <f t="shared" si="16"/>
        <v>1053</v>
      </c>
      <c r="B1054" s="11" t="s">
        <v>8</v>
      </c>
      <c r="C1054" s="11" t="s">
        <v>68</v>
      </c>
      <c r="D1054" s="11" t="s">
        <v>2230</v>
      </c>
      <c r="E1054" s="11" t="s">
        <v>2231</v>
      </c>
      <c r="F1054" s="11" t="s">
        <v>2224</v>
      </c>
      <c r="G1054" s="11" t="s">
        <v>14</v>
      </c>
      <c r="H1054" s="19" t="str">
        <f>IFERROR(VLOOKUP(Table2[[#This Row], [Ticket]],Okey!A:B,2,0),"")</f>
        <v>ok</v>
      </c>
      <c r="I1054" s="11" t="s">
        <v>276</v>
      </c>
      <c r="J1054" s="19" t="e">
        <f>VLOOKUP(Table2[[#This Row], [Author]],People!A:B,2,0)</f>
        <v>#N/A</v>
      </c>
      <c r="K1054" s="11"/>
      <c r="L1054" s="11"/>
      <c r="M1054" s="20" t="s">
        <v>1613</v>
      </c>
    </row>
    <row r="1055" spans="1:13" ht="19.5" customHeight="1">
      <c r="A1055" s="21">
        <f t="shared" si="16"/>
        <v>1054</v>
      </c>
      <c r="B1055" s="13" t="s">
        <v>8</v>
      </c>
      <c r="C1055" s="13" t="s">
        <v>68</v>
      </c>
      <c r="D1055" s="13" t="s">
        <v>2232</v>
      </c>
      <c r="E1055" s="13" t="s">
        <v>2233</v>
      </c>
      <c r="F1055" s="13" t="s">
        <v>2234</v>
      </c>
      <c r="G1055" s="13" t="s">
        <v>14</v>
      </c>
      <c r="H1055" s="22" t="str">
        <f>IFERROR(VLOOKUP(Table2[[#This Row], [Ticket]],Okey!A:B,2,0),"")</f>
        <v>ok</v>
      </c>
      <c r="I1055" s="13" t="s">
        <v>276</v>
      </c>
      <c r="J1055" s="22" t="e">
        <f>VLOOKUP(Table2[[#This Row], [Author]],People!A:B,2,0)</f>
        <v>#N/A</v>
      </c>
      <c r="K1055" s="13"/>
      <c r="L1055" s="13"/>
      <c r="M1055" s="23" t="s">
        <v>1613</v>
      </c>
    </row>
    <row r="1056" spans="1:13" ht="19.5" customHeight="1">
      <c r="A1056" s="18">
        <f t="shared" si="16"/>
        <v>1055</v>
      </c>
      <c r="B1056" s="11" t="s">
        <v>8</v>
      </c>
      <c r="C1056" s="11" t="s">
        <v>68</v>
      </c>
      <c r="D1056" s="11" t="s">
        <v>2235</v>
      </c>
      <c r="E1056" s="11" t="s">
        <v>2236</v>
      </c>
      <c r="F1056" s="11" t="s">
        <v>2232</v>
      </c>
      <c r="G1056" s="11" t="s">
        <v>14</v>
      </c>
      <c r="H1056" s="19" t="str">
        <f>IFERROR(VLOOKUP(Table2[[#This Row], [Ticket]],Okey!A:B,2,0),"")</f>
        <v>ok</v>
      </c>
      <c r="I1056" s="11" t="s">
        <v>276</v>
      </c>
      <c r="J1056" s="19" t="e">
        <f>VLOOKUP(Table2[[#This Row], [Author]],People!A:B,2,0)</f>
        <v>#N/A</v>
      </c>
      <c r="K1056" s="11"/>
      <c r="L1056" s="11"/>
      <c r="M1056" s="20" t="s">
        <v>1613</v>
      </c>
    </row>
    <row r="1057" spans="1:13" ht="19.5" customHeight="1">
      <c r="A1057" s="21">
        <f t="shared" si="16"/>
        <v>1056</v>
      </c>
      <c r="B1057" s="13" t="s">
        <v>8</v>
      </c>
      <c r="C1057" s="13" t="s">
        <v>68</v>
      </c>
      <c r="D1057" s="13" t="s">
        <v>2237</v>
      </c>
      <c r="E1057" s="13" t="s">
        <v>2238</v>
      </c>
      <c r="F1057" s="13" t="s">
        <v>2232</v>
      </c>
      <c r="G1057" s="13" t="s">
        <v>14</v>
      </c>
      <c r="H1057" s="22" t="str">
        <f>IFERROR(VLOOKUP(Table2[[#This Row], [Ticket]],Okey!A:B,2,0),"")</f>
        <v>ok</v>
      </c>
      <c r="I1057" s="13" t="s">
        <v>276</v>
      </c>
      <c r="J1057" s="22" t="e">
        <f>VLOOKUP(Table2[[#This Row], [Author]],People!A:B,2,0)</f>
        <v>#N/A</v>
      </c>
      <c r="K1057" s="13"/>
      <c r="L1057" s="13"/>
      <c r="M1057" s="23" t="s">
        <v>1613</v>
      </c>
    </row>
    <row r="1058" spans="1:13" ht="19.5" customHeight="1">
      <c r="A1058" s="18">
        <f t="shared" si="16"/>
        <v>1057</v>
      </c>
      <c r="B1058" s="11" t="s">
        <v>8</v>
      </c>
      <c r="C1058" s="11" t="s">
        <v>68</v>
      </c>
      <c r="D1058" s="11" t="s">
        <v>2239</v>
      </c>
      <c r="E1058" s="11" t="s">
        <v>2240</v>
      </c>
      <c r="F1058" s="11" t="s">
        <v>2232</v>
      </c>
      <c r="G1058" s="11" t="s">
        <v>14</v>
      </c>
      <c r="H1058" s="19" t="str">
        <f>IFERROR(VLOOKUP(Table2[[#This Row], [Ticket]],Okey!A:B,2,0),"")</f>
        <v>ok</v>
      </c>
      <c r="I1058" s="11" t="s">
        <v>276</v>
      </c>
      <c r="J1058" s="19" t="e">
        <f>VLOOKUP(Table2[[#This Row], [Author]],People!A:B,2,0)</f>
        <v>#N/A</v>
      </c>
      <c r="K1058" s="11"/>
      <c r="L1058" s="11"/>
      <c r="M1058" s="20" t="s">
        <v>1613</v>
      </c>
    </row>
    <row r="1059" spans="1:13" ht="19.5" customHeight="1">
      <c r="A1059" s="21">
        <f t="shared" si="16"/>
        <v>1058</v>
      </c>
      <c r="B1059" s="13" t="s">
        <v>8</v>
      </c>
      <c r="C1059" s="13" t="s">
        <v>68</v>
      </c>
      <c r="D1059" s="13" t="s">
        <v>2241</v>
      </c>
      <c r="E1059" s="13" t="s">
        <v>2242</v>
      </c>
      <c r="F1059" s="13" t="s">
        <v>2232</v>
      </c>
      <c r="G1059" s="13" t="s">
        <v>14</v>
      </c>
      <c r="H1059" s="22" t="str">
        <f>IFERROR(VLOOKUP(Table2[[#This Row], [Ticket]],Okey!A:B,2,0),"")</f>
        <v>ok</v>
      </c>
      <c r="I1059" s="13" t="s">
        <v>276</v>
      </c>
      <c r="J1059" s="22" t="e">
        <f>VLOOKUP(Table2[[#This Row], [Author]],People!A:B,2,0)</f>
        <v>#N/A</v>
      </c>
      <c r="K1059" s="13"/>
      <c r="L1059" s="13"/>
      <c r="M1059" s="23" t="s">
        <v>1613</v>
      </c>
    </row>
    <row r="1060" spans="1:13" ht="19.5" customHeight="1">
      <c r="A1060" s="18">
        <f t="shared" si="16"/>
        <v>1059</v>
      </c>
      <c r="B1060" s="11" t="s">
        <v>8</v>
      </c>
      <c r="C1060" s="11" t="s">
        <v>68</v>
      </c>
      <c r="D1060" s="11" t="s">
        <v>2243</v>
      </c>
      <c r="E1060" s="11" t="s">
        <v>2244</v>
      </c>
      <c r="F1060" s="11" t="s">
        <v>2245</v>
      </c>
      <c r="G1060" s="11" t="s">
        <v>14</v>
      </c>
      <c r="H1060" s="19" t="str">
        <f>IFERROR(VLOOKUP(Table2[[#This Row], [Ticket]],Okey!A:B,2,0),"")</f>
        <v>ok</v>
      </c>
      <c r="I1060" s="11" t="s">
        <v>276</v>
      </c>
      <c r="J1060" s="19" t="e">
        <f>VLOOKUP(Table2[[#This Row], [Author]],People!A:B,2,0)</f>
        <v>#N/A</v>
      </c>
      <c r="K1060" s="11"/>
      <c r="L1060" s="11"/>
      <c r="M1060" s="20" t="s">
        <v>1613</v>
      </c>
    </row>
    <row r="1061" spans="1:13" ht="19.5" customHeight="1">
      <c r="A1061" s="21">
        <f t="shared" si="16"/>
        <v>1060</v>
      </c>
      <c r="B1061" s="13" t="s">
        <v>8</v>
      </c>
      <c r="C1061" s="13" t="s">
        <v>68</v>
      </c>
      <c r="D1061" s="13" t="s">
        <v>2246</v>
      </c>
      <c r="E1061" s="13" t="s">
        <v>2247</v>
      </c>
      <c r="F1061" s="13" t="s">
        <v>2245</v>
      </c>
      <c r="G1061" s="13" t="s">
        <v>14</v>
      </c>
      <c r="H1061" s="22" t="str">
        <f>IFERROR(VLOOKUP(Table2[[#This Row], [Ticket]],Okey!A:B,2,0),"")</f>
        <v>ok</v>
      </c>
      <c r="I1061" s="13" t="s">
        <v>276</v>
      </c>
      <c r="J1061" s="22" t="e">
        <f>VLOOKUP(Table2[[#This Row], [Author]],People!A:B,2,0)</f>
        <v>#N/A</v>
      </c>
      <c r="K1061" s="13"/>
      <c r="L1061" s="13"/>
      <c r="M1061" s="23" t="s">
        <v>1613</v>
      </c>
    </row>
    <row r="1062" spans="1:13" ht="19.5" customHeight="1">
      <c r="A1062" s="18">
        <f t="shared" si="16"/>
        <v>1061</v>
      </c>
      <c r="B1062" s="11" t="s">
        <v>8</v>
      </c>
      <c r="C1062" s="11" t="s">
        <v>68</v>
      </c>
      <c r="D1062" s="11" t="s">
        <v>2248</v>
      </c>
      <c r="E1062" s="11" t="s">
        <v>2249</v>
      </c>
      <c r="F1062" s="11" t="s">
        <v>2250</v>
      </c>
      <c r="G1062" s="11" t="s">
        <v>14</v>
      </c>
      <c r="H1062" s="19" t="str">
        <f>IFERROR(VLOOKUP(Table2[[#This Row], [Ticket]],Okey!A:B,2,0),"")</f>
        <v>ok</v>
      </c>
      <c r="I1062" s="11" t="s">
        <v>276</v>
      </c>
      <c r="J1062" s="19" t="e">
        <f>VLOOKUP(Table2[[#This Row], [Author]],People!A:B,2,0)</f>
        <v>#N/A</v>
      </c>
      <c r="K1062" s="11"/>
      <c r="L1062" s="11"/>
      <c r="M1062" s="20" t="s">
        <v>1613</v>
      </c>
    </row>
    <row r="1063" spans="1:13" ht="19.5" customHeight="1">
      <c r="A1063" s="21">
        <f t="shared" si="16"/>
        <v>1062</v>
      </c>
      <c r="B1063" s="13" t="s">
        <v>8</v>
      </c>
      <c r="C1063" s="13" t="s">
        <v>68</v>
      </c>
      <c r="D1063" s="13" t="s">
        <v>2251</v>
      </c>
      <c r="E1063" s="13" t="s">
        <v>2252</v>
      </c>
      <c r="F1063" s="13" t="s">
        <v>2250</v>
      </c>
      <c r="G1063" s="13" t="s">
        <v>14</v>
      </c>
      <c r="H1063" s="22" t="str">
        <f>IFERROR(VLOOKUP(Table2[[#This Row], [Ticket]],Okey!A:B,2,0),"")</f>
        <v>ok</v>
      </c>
      <c r="I1063" s="13" t="s">
        <v>276</v>
      </c>
      <c r="J1063" s="22" t="e">
        <f>VLOOKUP(Table2[[#This Row], [Author]],People!A:B,2,0)</f>
        <v>#N/A</v>
      </c>
      <c r="K1063" s="13"/>
      <c r="L1063" s="13"/>
      <c r="M1063" s="23" t="s">
        <v>1613</v>
      </c>
    </row>
    <row r="1064" spans="1:13" ht="19.5" customHeight="1">
      <c r="A1064" s="18">
        <f t="shared" si="16"/>
        <v>1063</v>
      </c>
      <c r="B1064" s="11" t="s">
        <v>8</v>
      </c>
      <c r="C1064" s="11" t="s">
        <v>68</v>
      </c>
      <c r="D1064" s="11" t="s">
        <v>2253</v>
      </c>
      <c r="E1064" s="11" t="s">
        <v>2254</v>
      </c>
      <c r="F1064" s="11" t="s">
        <v>2255</v>
      </c>
      <c r="G1064" s="11" t="s">
        <v>14</v>
      </c>
      <c r="H1064" s="19" t="str">
        <f>IFERROR(VLOOKUP(Table2[[#This Row], [Ticket]],Okey!A:B,2,0),"")</f>
        <v>ok</v>
      </c>
      <c r="I1064" s="11" t="s">
        <v>276</v>
      </c>
      <c r="J1064" s="19" t="e">
        <f>VLOOKUP(Table2[[#This Row], [Author]],People!A:B,2,0)</f>
        <v>#N/A</v>
      </c>
      <c r="K1064" s="11"/>
      <c r="L1064" s="11"/>
      <c r="M1064" s="20" t="s">
        <v>1613</v>
      </c>
    </row>
    <row r="1065" spans="1:13" ht="19.5" customHeight="1">
      <c r="A1065" s="21">
        <f t="shared" si="16"/>
        <v>1064</v>
      </c>
      <c r="B1065" s="13" t="s">
        <v>8</v>
      </c>
      <c r="C1065" s="13" t="s">
        <v>68</v>
      </c>
      <c r="D1065" s="13" t="s">
        <v>2256</v>
      </c>
      <c r="E1065" s="13" t="s">
        <v>2257</v>
      </c>
      <c r="F1065" s="13" t="s">
        <v>2253</v>
      </c>
      <c r="G1065" s="13" t="s">
        <v>14</v>
      </c>
      <c r="H1065" s="22" t="str">
        <f>IFERROR(VLOOKUP(Table2[[#This Row], [Ticket]],Okey!A:B,2,0),"")</f>
        <v>ok</v>
      </c>
      <c r="I1065" s="13" t="s">
        <v>276</v>
      </c>
      <c r="J1065" s="22" t="e">
        <f>VLOOKUP(Table2[[#This Row], [Author]],People!A:B,2,0)</f>
        <v>#N/A</v>
      </c>
      <c r="K1065" s="13"/>
      <c r="L1065" s="13"/>
      <c r="M1065" s="23" t="s">
        <v>1613</v>
      </c>
    </row>
    <row r="1066" spans="1:13" ht="19.5" customHeight="1">
      <c r="A1066" s="18">
        <f t="shared" si="16"/>
        <v>1065</v>
      </c>
      <c r="B1066" s="11" t="s">
        <v>8</v>
      </c>
      <c r="C1066" s="11" t="s">
        <v>68</v>
      </c>
      <c r="D1066" s="11" t="s">
        <v>2258</v>
      </c>
      <c r="E1066" s="11" t="s">
        <v>2259</v>
      </c>
      <c r="F1066" s="11" t="s">
        <v>2260</v>
      </c>
      <c r="G1066" s="11" t="s">
        <v>14</v>
      </c>
      <c r="H1066" s="19" t="str">
        <f>IFERROR(VLOOKUP(Table2[[#This Row], [Ticket]],Okey!A:B,2,0),"")</f>
        <v>ok</v>
      </c>
      <c r="I1066" s="11" t="s">
        <v>276</v>
      </c>
      <c r="J1066" s="19" t="e">
        <f>VLOOKUP(Table2[[#This Row], [Author]],People!A:B,2,0)</f>
        <v>#N/A</v>
      </c>
      <c r="K1066" s="11"/>
      <c r="L1066" s="11"/>
      <c r="M1066" s="20" t="s">
        <v>1613</v>
      </c>
    </row>
    <row r="1067" spans="1:13" ht="19.5" customHeight="1">
      <c r="A1067" s="21">
        <f t="shared" si="16"/>
        <v>1066</v>
      </c>
      <c r="B1067" s="13" t="s">
        <v>8</v>
      </c>
      <c r="C1067" s="13" t="s">
        <v>68</v>
      </c>
      <c r="D1067" s="13" t="s">
        <v>2261</v>
      </c>
      <c r="E1067" s="13" t="s">
        <v>2262</v>
      </c>
      <c r="F1067" s="13" t="s">
        <v>2260</v>
      </c>
      <c r="G1067" s="13" t="s">
        <v>14</v>
      </c>
      <c r="H1067" s="22" t="str">
        <f>IFERROR(VLOOKUP(Table2[[#This Row], [Ticket]],Okey!A:B,2,0),"")</f>
        <v>ok</v>
      </c>
      <c r="I1067" s="13" t="s">
        <v>276</v>
      </c>
      <c r="J1067" s="22" t="e">
        <f>VLOOKUP(Table2[[#This Row], [Author]],People!A:B,2,0)</f>
        <v>#N/A</v>
      </c>
      <c r="K1067" s="13"/>
      <c r="L1067" s="13"/>
      <c r="M1067" s="23" t="s">
        <v>1613</v>
      </c>
    </row>
    <row r="1068" spans="1:13" ht="19.5" customHeight="1">
      <c r="A1068" s="18">
        <f t="shared" si="16"/>
        <v>1067</v>
      </c>
      <c r="B1068" s="11" t="s">
        <v>8</v>
      </c>
      <c r="C1068" s="11" t="s">
        <v>68</v>
      </c>
      <c r="D1068" s="11" t="s">
        <v>2263</v>
      </c>
      <c r="E1068" s="11" t="s">
        <v>2264</v>
      </c>
      <c r="F1068" s="11" t="s">
        <v>2253</v>
      </c>
      <c r="G1068" s="11" t="s">
        <v>14</v>
      </c>
      <c r="H1068" s="19" t="str">
        <f>IFERROR(VLOOKUP(Table2[[#This Row], [Ticket]],Okey!A:B,2,0),"")</f>
        <v>ok</v>
      </c>
      <c r="I1068" s="11" t="s">
        <v>276</v>
      </c>
      <c r="J1068" s="19" t="e">
        <f>VLOOKUP(Table2[[#This Row], [Author]],People!A:B,2,0)</f>
        <v>#N/A</v>
      </c>
      <c r="K1068" s="11"/>
      <c r="L1068" s="11"/>
      <c r="M1068" s="20" t="s">
        <v>1613</v>
      </c>
    </row>
    <row r="1069" spans="1:13" ht="19.5" customHeight="1">
      <c r="A1069" s="21">
        <f t="shared" si="16"/>
        <v>1068</v>
      </c>
      <c r="B1069" s="13" t="s">
        <v>8</v>
      </c>
      <c r="C1069" s="13" t="s">
        <v>68</v>
      </c>
      <c r="D1069" s="13" t="s">
        <v>2265</v>
      </c>
      <c r="E1069" s="13" t="s">
        <v>2266</v>
      </c>
      <c r="F1069" s="13" t="s">
        <v>2260</v>
      </c>
      <c r="G1069" s="13" t="s">
        <v>14</v>
      </c>
      <c r="H1069" s="22" t="str">
        <f>IFERROR(VLOOKUP(Table2[[#This Row], [Ticket]],Okey!A:B,2,0),"")</f>
        <v>ok</v>
      </c>
      <c r="I1069" s="13" t="s">
        <v>276</v>
      </c>
      <c r="J1069" s="22" t="e">
        <f>VLOOKUP(Table2[[#This Row], [Author]],People!A:B,2,0)</f>
        <v>#N/A</v>
      </c>
      <c r="K1069" s="13"/>
      <c r="L1069" s="13"/>
      <c r="M1069" s="23" t="s">
        <v>1613</v>
      </c>
    </row>
    <row r="1070" spans="1:13" ht="19.5" customHeight="1">
      <c r="A1070" s="18">
        <f t="shared" si="16"/>
        <v>1069</v>
      </c>
      <c r="B1070" s="11" t="s">
        <v>8</v>
      </c>
      <c r="C1070" s="11" t="s">
        <v>68</v>
      </c>
      <c r="D1070" s="11" t="s">
        <v>2267</v>
      </c>
      <c r="E1070" s="11" t="s">
        <v>2268</v>
      </c>
      <c r="F1070" s="11" t="s">
        <v>2260</v>
      </c>
      <c r="G1070" s="11" t="s">
        <v>14</v>
      </c>
      <c r="H1070" s="19" t="str">
        <f>IFERROR(VLOOKUP(Table2[[#This Row], [Ticket]],Okey!A:B,2,0),"")</f>
        <v>ok</v>
      </c>
      <c r="I1070" s="11" t="s">
        <v>276</v>
      </c>
      <c r="J1070" s="19" t="e">
        <f>VLOOKUP(Table2[[#This Row], [Author]],People!A:B,2,0)</f>
        <v>#N/A</v>
      </c>
      <c r="K1070" s="11"/>
      <c r="L1070" s="11"/>
      <c r="M1070" s="20" t="s">
        <v>1613</v>
      </c>
    </row>
    <row r="1071" spans="1:13" ht="19.5" customHeight="1">
      <c r="A1071" s="21">
        <f t="shared" si="16"/>
        <v>1070</v>
      </c>
      <c r="B1071" s="13" t="s">
        <v>8</v>
      </c>
      <c r="C1071" s="13" t="s">
        <v>68</v>
      </c>
      <c r="D1071" s="13" t="s">
        <v>2269</v>
      </c>
      <c r="E1071" s="13" t="s">
        <v>2270</v>
      </c>
      <c r="F1071" s="13" t="s">
        <v>2255</v>
      </c>
      <c r="G1071" s="13" t="s">
        <v>14</v>
      </c>
      <c r="H1071" s="22" t="str">
        <f>IFERROR(VLOOKUP(Table2[[#This Row], [Ticket]],Okey!A:B,2,0),"")</f>
        <v>ok</v>
      </c>
      <c r="I1071" s="13" t="s">
        <v>276</v>
      </c>
      <c r="J1071" s="22" t="e">
        <f>VLOOKUP(Table2[[#This Row], [Author]],People!A:B,2,0)</f>
        <v>#N/A</v>
      </c>
      <c r="K1071" s="13"/>
      <c r="L1071" s="13"/>
      <c r="M1071" s="23" t="s">
        <v>1613</v>
      </c>
    </row>
    <row r="1072" spans="1:13" ht="19.5" customHeight="1">
      <c r="A1072" s="18">
        <f t="shared" si="16"/>
        <v>1071</v>
      </c>
      <c r="B1072" s="11" t="s">
        <v>8</v>
      </c>
      <c r="C1072" s="11" t="s">
        <v>68</v>
      </c>
      <c r="D1072" s="11" t="s">
        <v>2271</v>
      </c>
      <c r="E1072" s="11" t="s">
        <v>2272</v>
      </c>
      <c r="F1072" s="11" t="s">
        <v>2273</v>
      </c>
      <c r="G1072" s="11" t="s">
        <v>14</v>
      </c>
      <c r="H1072" s="19" t="str">
        <f>IFERROR(VLOOKUP(Table2[[#This Row], [Ticket]],Okey!A:B,2,0),"")</f>
        <v>ok</v>
      </c>
      <c r="I1072" s="11" t="s">
        <v>276</v>
      </c>
      <c r="J1072" s="19" t="e">
        <f>VLOOKUP(Table2[[#This Row], [Author]],People!A:B,2,0)</f>
        <v>#N/A</v>
      </c>
      <c r="K1072" s="11"/>
      <c r="L1072" s="11"/>
      <c r="M1072" s="20" t="s">
        <v>1613</v>
      </c>
    </row>
    <row r="1073" spans="1:13" ht="19.5" customHeight="1">
      <c r="A1073" s="21">
        <f t="shared" si="16"/>
        <v>1072</v>
      </c>
      <c r="B1073" s="13" t="s">
        <v>8</v>
      </c>
      <c r="C1073" s="13" t="s">
        <v>68</v>
      </c>
      <c r="D1073" s="13" t="s">
        <v>2274</v>
      </c>
      <c r="E1073" s="13" t="s">
        <v>2275</v>
      </c>
      <c r="F1073" s="13" t="s">
        <v>2271</v>
      </c>
      <c r="G1073" s="13" t="s">
        <v>14</v>
      </c>
      <c r="H1073" s="22" t="str">
        <f>IFERROR(VLOOKUP(Table2[[#This Row], [Ticket]],Okey!A:B,2,0),"")</f>
        <v>ok</v>
      </c>
      <c r="I1073" s="13" t="s">
        <v>276</v>
      </c>
      <c r="J1073" s="22" t="e">
        <f>VLOOKUP(Table2[[#This Row], [Author]],People!A:B,2,0)</f>
        <v>#N/A</v>
      </c>
      <c r="K1073" s="13"/>
      <c r="L1073" s="13"/>
      <c r="M1073" s="23" t="s">
        <v>1613</v>
      </c>
    </row>
    <row r="1074" spans="1:13" ht="19.5" customHeight="1">
      <c r="A1074" s="18">
        <f t="shared" si="16"/>
        <v>1073</v>
      </c>
      <c r="B1074" s="11" t="s">
        <v>8</v>
      </c>
      <c r="C1074" s="11" t="s">
        <v>68</v>
      </c>
      <c r="D1074" s="11" t="s">
        <v>2276</v>
      </c>
      <c r="E1074" s="11" t="s">
        <v>2277</v>
      </c>
      <c r="F1074" s="11" t="s">
        <v>2271</v>
      </c>
      <c r="G1074" s="11" t="s">
        <v>14</v>
      </c>
      <c r="H1074" s="19" t="str">
        <f>IFERROR(VLOOKUP(Table2[[#This Row], [Ticket]],Okey!A:B,2,0),"")</f>
        <v>ok</v>
      </c>
      <c r="I1074" s="11" t="s">
        <v>276</v>
      </c>
      <c r="J1074" s="19" t="e">
        <f>VLOOKUP(Table2[[#This Row], [Author]],People!A:B,2,0)</f>
        <v>#N/A</v>
      </c>
      <c r="K1074" s="11"/>
      <c r="L1074" s="11"/>
      <c r="M1074" s="20" t="s">
        <v>1613</v>
      </c>
    </row>
    <row r="1075" spans="1:13" ht="19.5" customHeight="1">
      <c r="A1075" s="21">
        <f t="shared" si="16"/>
        <v>1074</v>
      </c>
      <c r="B1075" s="13" t="s">
        <v>8</v>
      </c>
      <c r="C1075" s="13" t="s">
        <v>68</v>
      </c>
      <c r="D1075" s="13" t="s">
        <v>2278</v>
      </c>
      <c r="E1075" s="13" t="s">
        <v>2279</v>
      </c>
      <c r="F1075" s="13" t="s">
        <v>2280</v>
      </c>
      <c r="G1075" s="13" t="s">
        <v>14</v>
      </c>
      <c r="H1075" s="22" t="str">
        <f>IFERROR(VLOOKUP(Table2[[#This Row], [Ticket]],Okey!A:B,2,0),"")</f>
        <v>ok</v>
      </c>
      <c r="I1075" s="13" t="s">
        <v>276</v>
      </c>
      <c r="J1075" s="22" t="e">
        <f>VLOOKUP(Table2[[#This Row], [Author]],People!A:B,2,0)</f>
        <v>#N/A</v>
      </c>
      <c r="K1075" s="13"/>
      <c r="L1075" s="13"/>
      <c r="M1075" s="23" t="s">
        <v>1613</v>
      </c>
    </row>
    <row r="1076" spans="1:13" ht="19.5" customHeight="1">
      <c r="A1076" s="18">
        <f t="shared" si="16"/>
        <v>1075</v>
      </c>
      <c r="B1076" s="11" t="s">
        <v>8</v>
      </c>
      <c r="C1076" s="11" t="s">
        <v>68</v>
      </c>
      <c r="D1076" s="11" t="s">
        <v>2281</v>
      </c>
      <c r="E1076" s="11" t="s">
        <v>2282</v>
      </c>
      <c r="F1076" s="11" t="s">
        <v>2280</v>
      </c>
      <c r="G1076" s="11" t="s">
        <v>14</v>
      </c>
      <c r="H1076" s="19" t="str">
        <f>IFERROR(VLOOKUP(Table2[[#This Row], [Ticket]],Okey!A:B,2,0),"")</f>
        <v>ok</v>
      </c>
      <c r="I1076" s="11" t="s">
        <v>276</v>
      </c>
      <c r="J1076" s="19" t="e">
        <f>VLOOKUP(Table2[[#This Row], [Author]],People!A:B,2,0)</f>
        <v>#N/A</v>
      </c>
      <c r="K1076" s="11"/>
      <c r="L1076" s="11"/>
      <c r="M1076" s="20" t="s">
        <v>1613</v>
      </c>
    </row>
    <row r="1077" spans="1:13" ht="19.5" customHeight="1">
      <c r="A1077" s="21">
        <f t="shared" si="16"/>
        <v>1076</v>
      </c>
      <c r="B1077" s="13" t="s">
        <v>8</v>
      </c>
      <c r="C1077" s="13" t="s">
        <v>68</v>
      </c>
      <c r="D1077" s="13" t="s">
        <v>2283</v>
      </c>
      <c r="E1077" s="13" t="s">
        <v>2284</v>
      </c>
      <c r="F1077" s="13" t="s">
        <v>2273</v>
      </c>
      <c r="G1077" s="13" t="s">
        <v>14</v>
      </c>
      <c r="H1077" s="22" t="str">
        <f>IFERROR(VLOOKUP(Table2[[#This Row], [Ticket]],Okey!A:B,2,0),"")</f>
        <v>ok</v>
      </c>
      <c r="I1077" s="13" t="s">
        <v>276</v>
      </c>
      <c r="J1077" s="22" t="e">
        <f>VLOOKUP(Table2[[#This Row], [Author]],People!A:B,2,0)</f>
        <v>#N/A</v>
      </c>
      <c r="K1077" s="13"/>
      <c r="L1077" s="13"/>
      <c r="M1077" s="23" t="s">
        <v>1613</v>
      </c>
    </row>
    <row r="1078" spans="1:13" ht="19.5" customHeight="1">
      <c r="A1078" s="18">
        <f t="shared" si="16"/>
        <v>1077</v>
      </c>
      <c r="B1078" s="11" t="s">
        <v>8</v>
      </c>
      <c r="C1078" s="11" t="s">
        <v>68</v>
      </c>
      <c r="D1078" s="11" t="s">
        <v>2285</v>
      </c>
      <c r="E1078" s="11" t="s">
        <v>2286</v>
      </c>
      <c r="F1078" s="11" t="s">
        <v>2287</v>
      </c>
      <c r="G1078" s="11" t="s">
        <v>14</v>
      </c>
      <c r="H1078" s="19" t="str">
        <f>IFERROR(VLOOKUP(Table2[[#This Row], [Ticket]],Okey!A:B,2,0),"")</f>
        <v>ok</v>
      </c>
      <c r="I1078" s="11" t="s">
        <v>276</v>
      </c>
      <c r="J1078" s="19" t="e">
        <f>VLOOKUP(Table2[[#This Row], [Author]],People!A:B,2,0)</f>
        <v>#N/A</v>
      </c>
      <c r="K1078" s="11"/>
      <c r="L1078" s="11"/>
      <c r="M1078" s="20" t="s">
        <v>1613</v>
      </c>
    </row>
    <row r="1079" spans="1:13" ht="19.5" customHeight="1">
      <c r="A1079" s="21">
        <f t="shared" si="16"/>
        <v>1078</v>
      </c>
      <c r="B1079" s="13" t="s">
        <v>8</v>
      </c>
      <c r="C1079" s="13" t="s">
        <v>68</v>
      </c>
      <c r="D1079" s="13" t="s">
        <v>2288</v>
      </c>
      <c r="E1079" s="13" t="s">
        <v>2289</v>
      </c>
      <c r="F1079" s="13" t="s">
        <v>2285</v>
      </c>
      <c r="G1079" s="13" t="s">
        <v>14</v>
      </c>
      <c r="H1079" s="22" t="str">
        <f>IFERROR(VLOOKUP(Table2[[#This Row], [Ticket]],Okey!A:B,2,0),"")</f>
        <v>ok</v>
      </c>
      <c r="I1079" s="13" t="s">
        <v>276</v>
      </c>
      <c r="J1079" s="22" t="e">
        <f>VLOOKUP(Table2[[#This Row], [Author]],People!A:B,2,0)</f>
        <v>#N/A</v>
      </c>
      <c r="K1079" s="13"/>
      <c r="L1079" s="13"/>
      <c r="M1079" s="23" t="s">
        <v>1613</v>
      </c>
    </row>
    <row r="1080" spans="1:13" ht="19.5" customHeight="1">
      <c r="A1080" s="18">
        <f t="shared" si="16"/>
        <v>1079</v>
      </c>
      <c r="B1080" s="11" t="s">
        <v>8</v>
      </c>
      <c r="C1080" s="11" t="s">
        <v>68</v>
      </c>
      <c r="D1080" s="11" t="s">
        <v>2290</v>
      </c>
      <c r="E1080" s="11" t="s">
        <v>2291</v>
      </c>
      <c r="F1080" s="11" t="s">
        <v>2292</v>
      </c>
      <c r="G1080" s="11" t="s">
        <v>14</v>
      </c>
      <c r="H1080" s="19" t="str">
        <f>IFERROR(VLOOKUP(Table2[[#This Row], [Ticket]],Okey!A:B,2,0),"")</f>
        <v>ok</v>
      </c>
      <c r="I1080" s="11" t="s">
        <v>276</v>
      </c>
      <c r="J1080" s="19" t="e">
        <f>VLOOKUP(Table2[[#This Row], [Author]],People!A:B,2,0)</f>
        <v>#N/A</v>
      </c>
      <c r="K1080" s="11"/>
      <c r="L1080" s="11"/>
      <c r="M1080" s="20" t="s">
        <v>1613</v>
      </c>
    </row>
    <row r="1081" spans="1:13" ht="19.5" customHeight="1">
      <c r="A1081" s="21">
        <f t="shared" si="16"/>
        <v>1080</v>
      </c>
      <c r="B1081" s="13" t="s">
        <v>8</v>
      </c>
      <c r="C1081" s="13" t="s">
        <v>68</v>
      </c>
      <c r="D1081" s="13" t="s">
        <v>2293</v>
      </c>
      <c r="E1081" s="13" t="s">
        <v>2294</v>
      </c>
      <c r="F1081" s="13" t="s">
        <v>2292</v>
      </c>
      <c r="G1081" s="13" t="s">
        <v>14</v>
      </c>
      <c r="H1081" s="22" t="str">
        <f>IFERROR(VLOOKUP(Table2[[#This Row], [Ticket]],Okey!A:B,2,0),"")</f>
        <v>ok</v>
      </c>
      <c r="I1081" s="13" t="s">
        <v>276</v>
      </c>
      <c r="J1081" s="22" t="e">
        <f>VLOOKUP(Table2[[#This Row], [Author]],People!A:B,2,0)</f>
        <v>#N/A</v>
      </c>
      <c r="K1081" s="13"/>
      <c r="L1081" s="13"/>
      <c r="M1081" s="23" t="s">
        <v>1613</v>
      </c>
    </row>
    <row r="1082" spans="1:13" ht="19.5" customHeight="1">
      <c r="A1082" s="18">
        <f t="shared" si="16"/>
        <v>1081</v>
      </c>
      <c r="B1082" s="11" t="s">
        <v>8</v>
      </c>
      <c r="C1082" s="11" t="s">
        <v>68</v>
      </c>
      <c r="D1082" s="11" t="s">
        <v>2295</v>
      </c>
      <c r="E1082" s="11" t="s">
        <v>2296</v>
      </c>
      <c r="F1082" s="11" t="s">
        <v>2285</v>
      </c>
      <c r="G1082" s="11" t="s">
        <v>14</v>
      </c>
      <c r="H1082" s="19" t="str">
        <f>IFERROR(VLOOKUP(Table2[[#This Row], [Ticket]],Okey!A:B,2,0),"")</f>
        <v>ok</v>
      </c>
      <c r="I1082" s="11" t="s">
        <v>276</v>
      </c>
      <c r="J1082" s="19" t="e">
        <f>VLOOKUP(Table2[[#This Row], [Author]],People!A:B,2,0)</f>
        <v>#N/A</v>
      </c>
      <c r="K1082" s="11"/>
      <c r="L1082" s="11"/>
      <c r="M1082" s="20" t="s">
        <v>1613</v>
      </c>
    </row>
    <row r="1083" spans="1:13" ht="19.5" customHeight="1">
      <c r="A1083" s="21">
        <f t="shared" si="16"/>
        <v>1082</v>
      </c>
      <c r="B1083" s="13" t="s">
        <v>8</v>
      </c>
      <c r="C1083" s="13" t="s">
        <v>68</v>
      </c>
      <c r="D1083" s="13" t="s">
        <v>2297</v>
      </c>
      <c r="E1083" s="13" t="s">
        <v>2298</v>
      </c>
      <c r="F1083" s="13" t="s">
        <v>2292</v>
      </c>
      <c r="G1083" s="13" t="s">
        <v>14</v>
      </c>
      <c r="H1083" s="22" t="str">
        <f>IFERROR(VLOOKUP(Table2[[#This Row], [Ticket]],Okey!A:B,2,0),"")</f>
        <v>ok</v>
      </c>
      <c r="I1083" s="13" t="s">
        <v>276</v>
      </c>
      <c r="J1083" s="22" t="e">
        <f>VLOOKUP(Table2[[#This Row], [Author]],People!A:B,2,0)</f>
        <v>#N/A</v>
      </c>
      <c r="K1083" s="13"/>
      <c r="L1083" s="13"/>
      <c r="M1083" s="23" t="s">
        <v>1613</v>
      </c>
    </row>
    <row r="1084" spans="1:13" ht="19.5" customHeight="1">
      <c r="A1084" s="18">
        <f t="shared" si="16"/>
        <v>1083</v>
      </c>
      <c r="B1084" s="11" t="s">
        <v>8</v>
      </c>
      <c r="C1084" s="11" t="s">
        <v>68</v>
      </c>
      <c r="D1084" s="11" t="s">
        <v>2299</v>
      </c>
      <c r="E1084" s="11" t="s">
        <v>2300</v>
      </c>
      <c r="F1084" s="11" t="s">
        <v>2292</v>
      </c>
      <c r="G1084" s="11" t="s">
        <v>14</v>
      </c>
      <c r="H1084" s="19" t="str">
        <f>IFERROR(VLOOKUP(Table2[[#This Row], [Ticket]],Okey!A:B,2,0),"")</f>
        <v>ok</v>
      </c>
      <c r="I1084" s="11" t="s">
        <v>276</v>
      </c>
      <c r="J1084" s="19" t="e">
        <f>VLOOKUP(Table2[[#This Row], [Author]],People!A:B,2,0)</f>
        <v>#N/A</v>
      </c>
      <c r="K1084" s="11"/>
      <c r="L1084" s="11"/>
      <c r="M1084" s="20" t="s">
        <v>1613</v>
      </c>
    </row>
    <row r="1085" spans="1:13" ht="19.5" customHeight="1">
      <c r="A1085" s="21">
        <f t="shared" si="16"/>
        <v>1084</v>
      </c>
      <c r="B1085" s="13" t="s">
        <v>8</v>
      </c>
      <c r="C1085" s="13" t="s">
        <v>68</v>
      </c>
      <c r="D1085" s="13" t="s">
        <v>2301</v>
      </c>
      <c r="E1085" s="13" t="s">
        <v>2302</v>
      </c>
      <c r="F1085" s="13" t="s">
        <v>2287</v>
      </c>
      <c r="G1085" s="13" t="s">
        <v>14</v>
      </c>
      <c r="H1085" s="22" t="str">
        <f>IFERROR(VLOOKUP(Table2[[#This Row], [Ticket]],Okey!A:B,2,0),"")</f>
        <v>ok</v>
      </c>
      <c r="I1085" s="13" t="s">
        <v>276</v>
      </c>
      <c r="J1085" s="22" t="e">
        <f>VLOOKUP(Table2[[#This Row], [Author]],People!A:B,2,0)</f>
        <v>#N/A</v>
      </c>
      <c r="K1085" s="13"/>
      <c r="L1085" s="13"/>
      <c r="M1085" s="23" t="s">
        <v>1613</v>
      </c>
    </row>
    <row r="1086" spans="1:13" ht="19.5" customHeight="1">
      <c r="A1086" s="18">
        <f t="shared" si="16"/>
        <v>1085</v>
      </c>
      <c r="B1086" s="11" t="s">
        <v>8</v>
      </c>
      <c r="C1086" s="11" t="s">
        <v>68</v>
      </c>
      <c r="D1086" s="11" t="s">
        <v>2303</v>
      </c>
      <c r="E1086" s="11" t="s">
        <v>2304</v>
      </c>
      <c r="F1086" s="11" t="s">
        <v>2305</v>
      </c>
      <c r="G1086" s="11" t="s">
        <v>14</v>
      </c>
      <c r="H1086" s="19" t="str">
        <f>IFERROR(VLOOKUP(Table2[[#This Row], [Ticket]],Okey!A:B,2,0),"")</f>
        <v>ok</v>
      </c>
      <c r="I1086" s="11" t="s">
        <v>276</v>
      </c>
      <c r="J1086" s="19" t="e">
        <f>VLOOKUP(Table2[[#This Row], [Author]],People!A:B,2,0)</f>
        <v>#N/A</v>
      </c>
      <c r="K1086" s="11"/>
      <c r="L1086" s="11"/>
      <c r="M1086" s="20" t="s">
        <v>1613</v>
      </c>
    </row>
    <row r="1087" spans="1:13" ht="19.5" customHeight="1">
      <c r="A1087" s="21">
        <f t="shared" si="16"/>
        <v>1086</v>
      </c>
      <c r="B1087" s="13" t="s">
        <v>8</v>
      </c>
      <c r="C1087" s="13" t="s">
        <v>68</v>
      </c>
      <c r="D1087" s="13" t="s">
        <v>2306</v>
      </c>
      <c r="E1087" s="13" t="s">
        <v>2307</v>
      </c>
      <c r="F1087" s="13" t="s">
        <v>2305</v>
      </c>
      <c r="G1087" s="13" t="s">
        <v>14</v>
      </c>
      <c r="H1087" s="22" t="str">
        <f>IFERROR(VLOOKUP(Table2[[#This Row], [Ticket]],Okey!A:B,2,0),"")</f>
        <v>ok</v>
      </c>
      <c r="I1087" s="13" t="s">
        <v>276</v>
      </c>
      <c r="J1087" s="22" t="e">
        <f>VLOOKUP(Table2[[#This Row], [Author]],People!A:B,2,0)</f>
        <v>#N/A</v>
      </c>
      <c r="K1087" s="13"/>
      <c r="L1087" s="13"/>
      <c r="M1087" s="23" t="s">
        <v>1613</v>
      </c>
    </row>
    <row r="1088" spans="1:13" ht="19.5" customHeight="1">
      <c r="A1088" s="18">
        <f t="shared" si="16"/>
        <v>1087</v>
      </c>
      <c r="B1088" s="11" t="s">
        <v>8</v>
      </c>
      <c r="C1088" s="11" t="s">
        <v>68</v>
      </c>
      <c r="D1088" s="11" t="s">
        <v>2308</v>
      </c>
      <c r="E1088" s="11" t="s">
        <v>2309</v>
      </c>
      <c r="F1088" s="11" t="s">
        <v>2305</v>
      </c>
      <c r="G1088" s="11" t="s">
        <v>14</v>
      </c>
      <c r="H1088" s="19" t="str">
        <f>IFERROR(VLOOKUP(Table2[[#This Row], [Ticket]],Okey!A:B,2,0),"")</f>
        <v>ok</v>
      </c>
      <c r="I1088" s="11" t="s">
        <v>276</v>
      </c>
      <c r="J1088" s="19" t="e">
        <f>VLOOKUP(Table2[[#This Row], [Author]],People!A:B,2,0)</f>
        <v>#N/A</v>
      </c>
      <c r="K1088" s="11"/>
      <c r="L1088" s="11"/>
      <c r="M1088" s="20" t="s">
        <v>1613</v>
      </c>
    </row>
    <row r="1089" spans="1:13" ht="19.5" customHeight="1">
      <c r="A1089" s="21">
        <f t="shared" si="16"/>
        <v>1088</v>
      </c>
      <c r="B1089" s="13" t="s">
        <v>8</v>
      </c>
      <c r="C1089" s="13" t="s">
        <v>68</v>
      </c>
      <c r="D1089" s="13" t="s">
        <v>2310</v>
      </c>
      <c r="E1089" s="13" t="s">
        <v>2311</v>
      </c>
      <c r="F1089" s="13" t="s">
        <v>2312</v>
      </c>
      <c r="G1089" s="13" t="s">
        <v>14</v>
      </c>
      <c r="H1089" s="22" t="str">
        <f>IFERROR(VLOOKUP(Table2[[#This Row], [Ticket]],Okey!A:B,2,0),"")</f>
        <v>ok</v>
      </c>
      <c r="I1089" s="13" t="s">
        <v>276</v>
      </c>
      <c r="J1089" s="22" t="e">
        <f>VLOOKUP(Table2[[#This Row], [Author]],People!A:B,2,0)</f>
        <v>#N/A</v>
      </c>
      <c r="K1089" s="13"/>
      <c r="L1089" s="13"/>
      <c r="M1089" s="23" t="s">
        <v>1613</v>
      </c>
    </row>
    <row r="1090" spans="1:13" ht="19.5" customHeight="1">
      <c r="A1090" s="18">
        <f t="shared" si="16"/>
        <v>1089</v>
      </c>
      <c r="B1090" s="11" t="s">
        <v>8</v>
      </c>
      <c r="C1090" s="11" t="s">
        <v>68</v>
      </c>
      <c r="D1090" s="11" t="s">
        <v>2313</v>
      </c>
      <c r="E1090" s="11" t="s">
        <v>2314</v>
      </c>
      <c r="F1090" s="11" t="s">
        <v>2312</v>
      </c>
      <c r="G1090" s="11" t="s">
        <v>14</v>
      </c>
      <c r="H1090" s="19" t="str">
        <f>IFERROR(VLOOKUP(Table2[[#This Row], [Ticket]],Okey!A:B,2,0),"")</f>
        <v>ok</v>
      </c>
      <c r="I1090" s="11" t="s">
        <v>276</v>
      </c>
      <c r="J1090" s="19" t="e">
        <f>VLOOKUP(Table2[[#This Row], [Author]],People!A:B,2,0)</f>
        <v>#N/A</v>
      </c>
      <c r="K1090" s="11"/>
      <c r="L1090" s="11"/>
      <c r="M1090" s="20" t="s">
        <v>1613</v>
      </c>
    </row>
    <row r="1091" spans="1:13" ht="19.5" customHeight="1">
      <c r="A1091" s="21">
        <f t="shared" ref="A1091:A1154" si="17">1+A1090</f>
        <v>1090</v>
      </c>
      <c r="B1091" s="13" t="s">
        <v>8</v>
      </c>
      <c r="C1091" s="13" t="s">
        <v>68</v>
      </c>
      <c r="D1091" s="13" t="s">
        <v>2315</v>
      </c>
      <c r="E1091" s="13" t="s">
        <v>2316</v>
      </c>
      <c r="F1091" s="13" t="s">
        <v>2313</v>
      </c>
      <c r="G1091" s="13" t="s">
        <v>14</v>
      </c>
      <c r="H1091" s="22" t="str">
        <f>IFERROR(VLOOKUP(Table2[[#This Row], [Ticket]],Okey!A:B,2,0),"")</f>
        <v>ok</v>
      </c>
      <c r="I1091" s="13" t="s">
        <v>276</v>
      </c>
      <c r="J1091" s="22" t="e">
        <f>VLOOKUP(Table2[[#This Row], [Author]],People!A:B,2,0)</f>
        <v>#N/A</v>
      </c>
      <c r="K1091" s="13"/>
      <c r="L1091" s="13"/>
      <c r="M1091" s="23" t="s">
        <v>1613</v>
      </c>
    </row>
    <row r="1092" spans="1:13" ht="19.5" customHeight="1">
      <c r="A1092" s="18">
        <f t="shared" si="17"/>
        <v>1091</v>
      </c>
      <c r="B1092" s="11" t="s">
        <v>8</v>
      </c>
      <c r="C1092" s="11" t="s">
        <v>68</v>
      </c>
      <c r="D1092" s="11" t="s">
        <v>2317</v>
      </c>
      <c r="E1092" s="11" t="s">
        <v>2318</v>
      </c>
      <c r="F1092" s="11" t="s">
        <v>2313</v>
      </c>
      <c r="G1092" s="11" t="s">
        <v>14</v>
      </c>
      <c r="H1092" s="19" t="str">
        <f>IFERROR(VLOOKUP(Table2[[#This Row], [Ticket]],Okey!A:B,2,0),"")</f>
        <v>ok</v>
      </c>
      <c r="I1092" s="11" t="s">
        <v>276</v>
      </c>
      <c r="J1092" s="19" t="e">
        <f>VLOOKUP(Table2[[#This Row], [Author]],People!A:B,2,0)</f>
        <v>#N/A</v>
      </c>
      <c r="K1092" s="11"/>
      <c r="L1092" s="11"/>
      <c r="M1092" s="20" t="s">
        <v>1613</v>
      </c>
    </row>
    <row r="1093" spans="1:13" ht="19.5" customHeight="1">
      <c r="A1093" s="21">
        <f t="shared" si="17"/>
        <v>1092</v>
      </c>
      <c r="B1093" s="13" t="s">
        <v>8</v>
      </c>
      <c r="C1093" s="13" t="s">
        <v>68</v>
      </c>
      <c r="D1093" s="13" t="s">
        <v>2319</v>
      </c>
      <c r="E1093" s="13" t="s">
        <v>2320</v>
      </c>
      <c r="F1093" s="13" t="s">
        <v>2313</v>
      </c>
      <c r="G1093" s="13" t="s">
        <v>14</v>
      </c>
      <c r="H1093" s="22" t="str">
        <f>IFERROR(VLOOKUP(Table2[[#This Row], [Ticket]],Okey!A:B,2,0),"")</f>
        <v>ok</v>
      </c>
      <c r="I1093" s="13" t="s">
        <v>276</v>
      </c>
      <c r="J1093" s="22" t="e">
        <f>VLOOKUP(Table2[[#This Row], [Author]],People!A:B,2,0)</f>
        <v>#N/A</v>
      </c>
      <c r="K1093" s="13"/>
      <c r="L1093" s="13"/>
      <c r="M1093" s="23" t="s">
        <v>1613</v>
      </c>
    </row>
    <row r="1094" spans="1:13" ht="19.5" customHeight="1">
      <c r="A1094" s="18">
        <f t="shared" si="17"/>
        <v>1093</v>
      </c>
      <c r="B1094" s="11" t="s">
        <v>8</v>
      </c>
      <c r="C1094" s="11" t="s">
        <v>68</v>
      </c>
      <c r="D1094" s="11" t="s">
        <v>2321</v>
      </c>
      <c r="E1094" s="11" t="s">
        <v>2322</v>
      </c>
      <c r="F1094" s="11" t="s">
        <v>2319</v>
      </c>
      <c r="G1094" s="11" t="s">
        <v>14</v>
      </c>
      <c r="H1094" s="19" t="str">
        <f>IFERROR(VLOOKUP(Table2[[#This Row], [Ticket]],Okey!A:B,2,0),"")</f>
        <v>ok</v>
      </c>
      <c r="I1094" s="11" t="s">
        <v>276</v>
      </c>
      <c r="J1094" s="19" t="e">
        <f>VLOOKUP(Table2[[#This Row], [Author]],People!A:B,2,0)</f>
        <v>#N/A</v>
      </c>
      <c r="K1094" s="11"/>
      <c r="L1094" s="11"/>
      <c r="M1094" s="20" t="s">
        <v>1613</v>
      </c>
    </row>
    <row r="1095" spans="1:13" ht="19.5" customHeight="1">
      <c r="A1095" s="21">
        <f t="shared" si="17"/>
        <v>1094</v>
      </c>
      <c r="B1095" s="13" t="s">
        <v>8</v>
      </c>
      <c r="C1095" s="13" t="s">
        <v>68</v>
      </c>
      <c r="D1095" s="13" t="s">
        <v>2323</v>
      </c>
      <c r="E1095" s="13" t="s">
        <v>2324</v>
      </c>
      <c r="F1095" s="13" t="s">
        <v>2325</v>
      </c>
      <c r="G1095" s="13" t="s">
        <v>14</v>
      </c>
      <c r="H1095" s="22" t="str">
        <f>IFERROR(VLOOKUP(Table2[[#This Row], [Ticket]],Okey!A:B,2,0),"")</f>
        <v>ok</v>
      </c>
      <c r="I1095" s="13" t="s">
        <v>276</v>
      </c>
      <c r="J1095" s="22" t="e">
        <f>VLOOKUP(Table2[[#This Row], [Author]],People!A:B,2,0)</f>
        <v>#N/A</v>
      </c>
      <c r="K1095" s="13"/>
      <c r="L1095" s="13"/>
      <c r="M1095" s="23" t="s">
        <v>1613</v>
      </c>
    </row>
    <row r="1096" spans="1:13" ht="19.5" customHeight="1">
      <c r="A1096" s="18">
        <f t="shared" si="17"/>
        <v>1095</v>
      </c>
      <c r="B1096" s="11" t="s">
        <v>8</v>
      </c>
      <c r="C1096" s="11" t="s">
        <v>68</v>
      </c>
      <c r="D1096" s="11" t="s">
        <v>2326</v>
      </c>
      <c r="E1096" s="11" t="s">
        <v>2327</v>
      </c>
      <c r="F1096" s="11" t="s">
        <v>2323</v>
      </c>
      <c r="G1096" s="11" t="s">
        <v>14</v>
      </c>
      <c r="H1096" s="19" t="str">
        <f>IFERROR(VLOOKUP(Table2[[#This Row], [Ticket]],Okey!A:B,2,0),"")</f>
        <v>ok</v>
      </c>
      <c r="I1096" s="11" t="s">
        <v>276</v>
      </c>
      <c r="J1096" s="19" t="e">
        <f>VLOOKUP(Table2[[#This Row], [Author]],People!A:B,2,0)</f>
        <v>#N/A</v>
      </c>
      <c r="K1096" s="11"/>
      <c r="L1096" s="11"/>
      <c r="M1096" s="20" t="s">
        <v>1613</v>
      </c>
    </row>
    <row r="1097" spans="1:13" ht="19.5" customHeight="1">
      <c r="A1097" s="21">
        <f t="shared" si="17"/>
        <v>1096</v>
      </c>
      <c r="B1097" s="13" t="s">
        <v>8</v>
      </c>
      <c r="C1097" s="13" t="s">
        <v>68</v>
      </c>
      <c r="D1097" s="13" t="s">
        <v>2328</v>
      </c>
      <c r="E1097" s="13" t="s">
        <v>2329</v>
      </c>
      <c r="F1097" s="13" t="s">
        <v>2323</v>
      </c>
      <c r="G1097" s="13" t="s">
        <v>14</v>
      </c>
      <c r="H1097" s="22" t="str">
        <f>IFERROR(VLOOKUP(Table2[[#This Row], [Ticket]],Okey!A:B,2,0),"")</f>
        <v>ok</v>
      </c>
      <c r="I1097" s="13" t="s">
        <v>276</v>
      </c>
      <c r="J1097" s="22" t="e">
        <f>VLOOKUP(Table2[[#This Row], [Author]],People!A:B,2,0)</f>
        <v>#N/A</v>
      </c>
      <c r="K1097" s="13"/>
      <c r="L1097" s="13"/>
      <c r="M1097" s="23" t="s">
        <v>1613</v>
      </c>
    </row>
    <row r="1098" spans="1:13" ht="19.5" customHeight="1">
      <c r="A1098" s="18">
        <f t="shared" si="17"/>
        <v>1097</v>
      </c>
      <c r="B1098" s="11" t="s">
        <v>8</v>
      </c>
      <c r="C1098" s="11" t="s">
        <v>68</v>
      </c>
      <c r="D1098" s="11" t="s">
        <v>2330</v>
      </c>
      <c r="E1098" s="11" t="s">
        <v>2331</v>
      </c>
      <c r="F1098" s="11" t="s">
        <v>2328</v>
      </c>
      <c r="G1098" s="11" t="s">
        <v>14</v>
      </c>
      <c r="H1098" s="19" t="str">
        <f>IFERROR(VLOOKUP(Table2[[#This Row], [Ticket]],Okey!A:B,2,0),"")</f>
        <v>ok</v>
      </c>
      <c r="I1098" s="11" t="s">
        <v>276</v>
      </c>
      <c r="J1098" s="19" t="e">
        <f>VLOOKUP(Table2[[#This Row], [Author]],People!A:B,2,0)</f>
        <v>#N/A</v>
      </c>
      <c r="K1098" s="11"/>
      <c r="L1098" s="11"/>
      <c r="M1098" s="20" t="s">
        <v>1613</v>
      </c>
    </row>
    <row r="1099" spans="1:13" ht="19.5" customHeight="1">
      <c r="A1099" s="21">
        <f t="shared" si="17"/>
        <v>1098</v>
      </c>
      <c r="B1099" s="13" t="s">
        <v>8</v>
      </c>
      <c r="C1099" s="13" t="s">
        <v>68</v>
      </c>
      <c r="D1099" s="13" t="s">
        <v>2332</v>
      </c>
      <c r="E1099" s="13" t="s">
        <v>2333</v>
      </c>
      <c r="F1099" s="13" t="s">
        <v>2328</v>
      </c>
      <c r="G1099" s="13" t="s">
        <v>14</v>
      </c>
      <c r="H1099" s="22" t="str">
        <f>IFERROR(VLOOKUP(Table2[[#This Row], [Ticket]],Okey!A:B,2,0),"")</f>
        <v>ok</v>
      </c>
      <c r="I1099" s="13" t="s">
        <v>276</v>
      </c>
      <c r="J1099" s="22" t="e">
        <f>VLOOKUP(Table2[[#This Row], [Author]],People!A:B,2,0)</f>
        <v>#N/A</v>
      </c>
      <c r="K1099" s="13"/>
      <c r="L1099" s="13"/>
      <c r="M1099" s="23" t="s">
        <v>1613</v>
      </c>
    </row>
    <row r="1100" spans="1:13" ht="19.5" customHeight="1">
      <c r="A1100" s="18">
        <f t="shared" si="17"/>
        <v>1099</v>
      </c>
      <c r="B1100" s="11" t="s">
        <v>8</v>
      </c>
      <c r="C1100" s="11" t="s">
        <v>68</v>
      </c>
      <c r="D1100" s="11" t="s">
        <v>2334</v>
      </c>
      <c r="E1100" s="11" t="s">
        <v>2335</v>
      </c>
      <c r="F1100" s="11" t="s">
        <v>2328</v>
      </c>
      <c r="G1100" s="11" t="s">
        <v>14</v>
      </c>
      <c r="H1100" s="19" t="str">
        <f>IFERROR(VLOOKUP(Table2[[#This Row], [Ticket]],Okey!A:B,2,0),"")</f>
        <v>ok</v>
      </c>
      <c r="I1100" s="11" t="s">
        <v>276</v>
      </c>
      <c r="J1100" s="19" t="e">
        <f>VLOOKUP(Table2[[#This Row], [Author]],People!A:B,2,0)</f>
        <v>#N/A</v>
      </c>
      <c r="K1100" s="11"/>
      <c r="L1100" s="11"/>
      <c r="M1100" s="20" t="s">
        <v>1613</v>
      </c>
    </row>
    <row r="1101" spans="1:13" ht="19.5" customHeight="1">
      <c r="A1101" s="21">
        <f t="shared" si="17"/>
        <v>1100</v>
      </c>
      <c r="B1101" s="13" t="s">
        <v>8</v>
      </c>
      <c r="C1101" s="13" t="s">
        <v>68</v>
      </c>
      <c r="D1101" s="13" t="s">
        <v>2336</v>
      </c>
      <c r="E1101" s="13" t="s">
        <v>2337</v>
      </c>
      <c r="F1101" s="13" t="s">
        <v>2325</v>
      </c>
      <c r="G1101" s="13" t="s">
        <v>14</v>
      </c>
      <c r="H1101" s="22" t="str">
        <f>IFERROR(VLOOKUP(Table2[[#This Row], [Ticket]],Okey!A:B,2,0),"")</f>
        <v>ok</v>
      </c>
      <c r="I1101" s="13" t="s">
        <v>276</v>
      </c>
      <c r="J1101" s="22" t="e">
        <f>VLOOKUP(Table2[[#This Row], [Author]],People!A:B,2,0)</f>
        <v>#N/A</v>
      </c>
      <c r="K1101" s="13"/>
      <c r="L1101" s="13"/>
      <c r="M1101" s="23" t="s">
        <v>1613</v>
      </c>
    </row>
    <row r="1102" spans="1:13" ht="19.5" customHeight="1">
      <c r="A1102" s="18">
        <f t="shared" si="17"/>
        <v>1101</v>
      </c>
      <c r="B1102" s="11" t="s">
        <v>8</v>
      </c>
      <c r="C1102" s="11" t="s">
        <v>68</v>
      </c>
      <c r="D1102" s="11" t="s">
        <v>2338</v>
      </c>
      <c r="E1102" s="11" t="s">
        <v>2339</v>
      </c>
      <c r="F1102" s="11" t="s">
        <v>2340</v>
      </c>
      <c r="G1102" s="11" t="s">
        <v>14</v>
      </c>
      <c r="H1102" s="19" t="str">
        <f>IFERROR(VLOOKUP(Table2[[#This Row], [Ticket]],Okey!A:B,2,0),"")</f>
        <v>ok</v>
      </c>
      <c r="I1102" s="11" t="s">
        <v>276</v>
      </c>
      <c r="J1102" s="19" t="e">
        <f>VLOOKUP(Table2[[#This Row], [Author]],People!A:B,2,0)</f>
        <v>#N/A</v>
      </c>
      <c r="K1102" s="11"/>
      <c r="L1102" s="11"/>
      <c r="M1102" s="20" t="s">
        <v>1613</v>
      </c>
    </row>
    <row r="1103" spans="1:13" ht="19.5" customHeight="1">
      <c r="A1103" s="21">
        <f t="shared" si="17"/>
        <v>1102</v>
      </c>
      <c r="B1103" s="13" t="s">
        <v>8</v>
      </c>
      <c r="C1103" s="13" t="s">
        <v>68</v>
      </c>
      <c r="D1103" s="13" t="s">
        <v>2341</v>
      </c>
      <c r="E1103" s="13" t="s">
        <v>2342</v>
      </c>
      <c r="F1103" s="13" t="s">
        <v>2338</v>
      </c>
      <c r="G1103" s="13" t="s">
        <v>14</v>
      </c>
      <c r="H1103" s="22" t="str">
        <f>IFERROR(VLOOKUP(Table2[[#This Row], [Ticket]],Okey!A:B,2,0),"")</f>
        <v>ok</v>
      </c>
      <c r="I1103" s="13" t="s">
        <v>276</v>
      </c>
      <c r="J1103" s="22" t="e">
        <f>VLOOKUP(Table2[[#This Row], [Author]],People!A:B,2,0)</f>
        <v>#N/A</v>
      </c>
      <c r="K1103" s="13"/>
      <c r="L1103" s="13"/>
      <c r="M1103" s="23" t="s">
        <v>1613</v>
      </c>
    </row>
    <row r="1104" spans="1:13" ht="19.5" customHeight="1">
      <c r="A1104" s="18">
        <f t="shared" si="17"/>
        <v>1103</v>
      </c>
      <c r="B1104" s="11" t="s">
        <v>8</v>
      </c>
      <c r="C1104" s="11" t="s">
        <v>68</v>
      </c>
      <c r="D1104" s="11" t="s">
        <v>2343</v>
      </c>
      <c r="E1104" s="11" t="s">
        <v>2344</v>
      </c>
      <c r="F1104" s="11" t="s">
        <v>2341</v>
      </c>
      <c r="G1104" s="11" t="s">
        <v>14</v>
      </c>
      <c r="H1104" s="19" t="str">
        <f>IFERROR(VLOOKUP(Table2[[#This Row], [Ticket]],Okey!A:B,2,0),"")</f>
        <v>ok</v>
      </c>
      <c r="I1104" s="11" t="s">
        <v>276</v>
      </c>
      <c r="J1104" s="19" t="e">
        <f>VLOOKUP(Table2[[#This Row], [Author]],People!A:B,2,0)</f>
        <v>#N/A</v>
      </c>
      <c r="K1104" s="11"/>
      <c r="L1104" s="11"/>
      <c r="M1104" s="20" t="s">
        <v>1613</v>
      </c>
    </row>
    <row r="1105" spans="1:13" ht="19.5" customHeight="1">
      <c r="A1105" s="21">
        <f t="shared" si="17"/>
        <v>1104</v>
      </c>
      <c r="B1105" s="13" t="s">
        <v>8</v>
      </c>
      <c r="C1105" s="13" t="s">
        <v>68</v>
      </c>
      <c r="D1105" s="13" t="s">
        <v>2345</v>
      </c>
      <c r="E1105" s="13" t="s">
        <v>2346</v>
      </c>
      <c r="F1105" s="13" t="s">
        <v>2341</v>
      </c>
      <c r="G1105" s="13" t="s">
        <v>14</v>
      </c>
      <c r="H1105" s="22" t="str">
        <f>IFERROR(VLOOKUP(Table2[[#This Row], [Ticket]],Okey!A:B,2,0),"")</f>
        <v>ok</v>
      </c>
      <c r="I1105" s="13" t="s">
        <v>276</v>
      </c>
      <c r="J1105" s="22" t="e">
        <f>VLOOKUP(Table2[[#This Row], [Author]],People!A:B,2,0)</f>
        <v>#N/A</v>
      </c>
      <c r="K1105" s="13"/>
      <c r="L1105" s="13"/>
      <c r="M1105" s="23" t="s">
        <v>1613</v>
      </c>
    </row>
    <row r="1106" spans="1:13" ht="19.5" customHeight="1">
      <c r="A1106" s="18">
        <f t="shared" si="17"/>
        <v>1105</v>
      </c>
      <c r="B1106" s="11" t="s">
        <v>8</v>
      </c>
      <c r="C1106" s="11" t="s">
        <v>68</v>
      </c>
      <c r="D1106" s="11" t="s">
        <v>2347</v>
      </c>
      <c r="E1106" s="11" t="s">
        <v>2348</v>
      </c>
      <c r="F1106" s="11" t="s">
        <v>2338</v>
      </c>
      <c r="G1106" s="11" t="s">
        <v>14</v>
      </c>
      <c r="H1106" s="19" t="str">
        <f>IFERROR(VLOOKUP(Table2[[#This Row], [Ticket]],Okey!A:B,2,0),"")</f>
        <v>ok</v>
      </c>
      <c r="I1106" s="11" t="s">
        <v>276</v>
      </c>
      <c r="J1106" s="19" t="e">
        <f>VLOOKUP(Table2[[#This Row], [Author]],People!A:B,2,0)</f>
        <v>#N/A</v>
      </c>
      <c r="K1106" s="11"/>
      <c r="L1106" s="11"/>
      <c r="M1106" s="20" t="s">
        <v>1613</v>
      </c>
    </row>
    <row r="1107" spans="1:13" ht="19.5" customHeight="1">
      <c r="A1107" s="21">
        <f t="shared" si="17"/>
        <v>1106</v>
      </c>
      <c r="B1107" s="13" t="s">
        <v>8</v>
      </c>
      <c r="C1107" s="13" t="s">
        <v>68</v>
      </c>
      <c r="D1107" s="13" t="s">
        <v>2349</v>
      </c>
      <c r="E1107" s="13" t="s">
        <v>2350</v>
      </c>
      <c r="F1107" s="13" t="s">
        <v>2347</v>
      </c>
      <c r="G1107" s="13" t="s">
        <v>14</v>
      </c>
      <c r="H1107" s="22" t="str">
        <f>IFERROR(VLOOKUP(Table2[[#This Row], [Ticket]],Okey!A:B,2,0),"")</f>
        <v>ok</v>
      </c>
      <c r="I1107" s="13" t="s">
        <v>276</v>
      </c>
      <c r="J1107" s="22" t="e">
        <f>VLOOKUP(Table2[[#This Row], [Author]],People!A:B,2,0)</f>
        <v>#N/A</v>
      </c>
      <c r="K1107" s="13"/>
      <c r="L1107" s="13"/>
      <c r="M1107" s="23" t="s">
        <v>1613</v>
      </c>
    </row>
    <row r="1108" spans="1:13" ht="19.5" customHeight="1">
      <c r="A1108" s="18">
        <f t="shared" si="17"/>
        <v>1107</v>
      </c>
      <c r="B1108" s="11" t="s">
        <v>8</v>
      </c>
      <c r="C1108" s="11" t="s">
        <v>68</v>
      </c>
      <c r="D1108" s="11" t="s">
        <v>2351</v>
      </c>
      <c r="E1108" s="11" t="s">
        <v>2352</v>
      </c>
      <c r="F1108" s="11" t="s">
        <v>2347</v>
      </c>
      <c r="G1108" s="11" t="s">
        <v>14</v>
      </c>
      <c r="H1108" s="19" t="str">
        <f>IFERROR(VLOOKUP(Table2[[#This Row], [Ticket]],Okey!A:B,2,0),"")</f>
        <v>ok</v>
      </c>
      <c r="I1108" s="11" t="s">
        <v>276</v>
      </c>
      <c r="J1108" s="19" t="e">
        <f>VLOOKUP(Table2[[#This Row], [Author]],People!A:B,2,0)</f>
        <v>#N/A</v>
      </c>
      <c r="K1108" s="11"/>
      <c r="L1108" s="11"/>
      <c r="M1108" s="20" t="s">
        <v>1613</v>
      </c>
    </row>
    <row r="1109" spans="1:13" ht="19.5" customHeight="1">
      <c r="A1109" s="21">
        <f t="shared" si="17"/>
        <v>1108</v>
      </c>
      <c r="B1109" s="13" t="s">
        <v>8</v>
      </c>
      <c r="C1109" s="13" t="s">
        <v>68</v>
      </c>
      <c r="D1109" s="13" t="s">
        <v>2353</v>
      </c>
      <c r="E1109" s="13" t="s">
        <v>2354</v>
      </c>
      <c r="F1109" s="13" t="s">
        <v>2347</v>
      </c>
      <c r="G1109" s="13" t="s">
        <v>14</v>
      </c>
      <c r="H1109" s="22" t="str">
        <f>IFERROR(VLOOKUP(Table2[[#This Row], [Ticket]],Okey!A:B,2,0),"")</f>
        <v>ok</v>
      </c>
      <c r="I1109" s="13" t="s">
        <v>276</v>
      </c>
      <c r="J1109" s="22" t="e">
        <f>VLOOKUP(Table2[[#This Row], [Author]],People!A:B,2,0)</f>
        <v>#N/A</v>
      </c>
      <c r="K1109" s="13"/>
      <c r="L1109" s="13"/>
      <c r="M1109" s="23" t="s">
        <v>1613</v>
      </c>
    </row>
    <row r="1110" spans="1:13" ht="19.5" customHeight="1">
      <c r="A1110" s="18">
        <f t="shared" si="17"/>
        <v>1109</v>
      </c>
      <c r="B1110" s="11" t="s">
        <v>8</v>
      </c>
      <c r="C1110" s="11" t="s">
        <v>68</v>
      </c>
      <c r="D1110" s="11" t="s">
        <v>2355</v>
      </c>
      <c r="E1110" s="11" t="s">
        <v>2356</v>
      </c>
      <c r="F1110" s="11" t="s">
        <v>2340</v>
      </c>
      <c r="G1110" s="11" t="s">
        <v>14</v>
      </c>
      <c r="H1110" s="19" t="str">
        <f>IFERROR(VLOOKUP(Table2[[#This Row], [Ticket]],Okey!A:B,2,0),"")</f>
        <v>ok</v>
      </c>
      <c r="I1110" s="11" t="s">
        <v>276</v>
      </c>
      <c r="J1110" s="19" t="e">
        <f>VLOOKUP(Table2[[#This Row], [Author]],People!A:B,2,0)</f>
        <v>#N/A</v>
      </c>
      <c r="K1110" s="11"/>
      <c r="L1110" s="11"/>
      <c r="M1110" s="20" t="s">
        <v>1613</v>
      </c>
    </row>
    <row r="1111" spans="1:13" ht="19.5" customHeight="1">
      <c r="A1111" s="21">
        <f t="shared" si="17"/>
        <v>1110</v>
      </c>
      <c r="B1111" s="13" t="s">
        <v>8</v>
      </c>
      <c r="C1111" s="13" t="s">
        <v>68</v>
      </c>
      <c r="D1111" s="13" t="s">
        <v>2357</v>
      </c>
      <c r="E1111" s="13" t="s">
        <v>2358</v>
      </c>
      <c r="F1111" s="13" t="s">
        <v>2359</v>
      </c>
      <c r="G1111" s="13" t="s">
        <v>14</v>
      </c>
      <c r="H1111" s="22" t="str">
        <f>IFERROR(VLOOKUP(Table2[[#This Row], [Ticket]],Okey!A:B,2,0),"")</f>
        <v>ok</v>
      </c>
      <c r="I1111" s="13" t="s">
        <v>276</v>
      </c>
      <c r="J1111" s="22" t="e">
        <f>VLOOKUP(Table2[[#This Row], [Author]],People!A:B,2,0)</f>
        <v>#N/A</v>
      </c>
      <c r="K1111" s="13"/>
      <c r="L1111" s="13"/>
      <c r="M1111" s="23" t="s">
        <v>1613</v>
      </c>
    </row>
    <row r="1112" spans="1:13" ht="19.5" customHeight="1">
      <c r="A1112" s="18">
        <f t="shared" si="17"/>
        <v>1111</v>
      </c>
      <c r="B1112" s="11" t="s">
        <v>8</v>
      </c>
      <c r="C1112" s="11" t="s">
        <v>68</v>
      </c>
      <c r="D1112" s="11" t="s">
        <v>2360</v>
      </c>
      <c r="E1112" s="11" t="s">
        <v>2361</v>
      </c>
      <c r="F1112" s="11" t="s">
        <v>2357</v>
      </c>
      <c r="G1112" s="11" t="s">
        <v>14</v>
      </c>
      <c r="H1112" s="19" t="str">
        <f>IFERROR(VLOOKUP(Table2[[#This Row], [Ticket]],Okey!A:B,2,0),"")</f>
        <v>ok</v>
      </c>
      <c r="I1112" s="11" t="s">
        <v>276</v>
      </c>
      <c r="J1112" s="19" t="e">
        <f>VLOOKUP(Table2[[#This Row], [Author]],People!A:B,2,0)</f>
        <v>#N/A</v>
      </c>
      <c r="K1112" s="11"/>
      <c r="L1112" s="11"/>
      <c r="M1112" s="20" t="s">
        <v>1613</v>
      </c>
    </row>
    <row r="1113" spans="1:13" ht="19.5" customHeight="1">
      <c r="A1113" s="21">
        <f t="shared" si="17"/>
        <v>1112</v>
      </c>
      <c r="B1113" s="13" t="s">
        <v>8</v>
      </c>
      <c r="C1113" s="13" t="s">
        <v>68</v>
      </c>
      <c r="D1113" s="13" t="s">
        <v>2362</v>
      </c>
      <c r="E1113" s="13" t="s">
        <v>2363</v>
      </c>
      <c r="F1113" s="13" t="s">
        <v>2360</v>
      </c>
      <c r="G1113" s="13" t="s">
        <v>14</v>
      </c>
      <c r="H1113" s="22" t="str">
        <f>IFERROR(VLOOKUP(Table2[[#This Row], [Ticket]],Okey!A:B,2,0),"")</f>
        <v>ok</v>
      </c>
      <c r="I1113" s="13" t="s">
        <v>276</v>
      </c>
      <c r="J1113" s="22" t="e">
        <f>VLOOKUP(Table2[[#This Row], [Author]],People!A:B,2,0)</f>
        <v>#N/A</v>
      </c>
      <c r="K1113" s="13"/>
      <c r="L1113" s="13"/>
      <c r="M1113" s="23" t="s">
        <v>1613</v>
      </c>
    </row>
    <row r="1114" spans="1:13" ht="19.5" customHeight="1">
      <c r="A1114" s="18">
        <f t="shared" si="17"/>
        <v>1113</v>
      </c>
      <c r="B1114" s="11" t="s">
        <v>8</v>
      </c>
      <c r="C1114" s="11" t="s">
        <v>68</v>
      </c>
      <c r="D1114" s="11" t="s">
        <v>2364</v>
      </c>
      <c r="E1114" s="11" t="s">
        <v>2365</v>
      </c>
      <c r="F1114" s="11" t="s">
        <v>2360</v>
      </c>
      <c r="G1114" s="11" t="s">
        <v>14</v>
      </c>
      <c r="H1114" s="19" t="str">
        <f>IFERROR(VLOOKUP(Table2[[#This Row], [Ticket]],Okey!A:B,2,0),"")</f>
        <v>ok</v>
      </c>
      <c r="I1114" s="11" t="s">
        <v>276</v>
      </c>
      <c r="J1114" s="19" t="e">
        <f>VLOOKUP(Table2[[#This Row], [Author]],People!A:B,2,0)</f>
        <v>#N/A</v>
      </c>
      <c r="K1114" s="11"/>
      <c r="L1114" s="11"/>
      <c r="M1114" s="20" t="s">
        <v>1613</v>
      </c>
    </row>
    <row r="1115" spans="1:13" ht="19.5" customHeight="1">
      <c r="A1115" s="21">
        <f t="shared" si="17"/>
        <v>1114</v>
      </c>
      <c r="B1115" s="13" t="s">
        <v>8</v>
      </c>
      <c r="C1115" s="13" t="s">
        <v>68</v>
      </c>
      <c r="D1115" s="13" t="s">
        <v>2366</v>
      </c>
      <c r="E1115" s="13" t="s">
        <v>2367</v>
      </c>
      <c r="F1115" s="13" t="s">
        <v>2357</v>
      </c>
      <c r="G1115" s="13" t="s">
        <v>14</v>
      </c>
      <c r="H1115" s="22" t="str">
        <f>IFERROR(VLOOKUP(Table2[[#This Row], [Ticket]],Okey!A:B,2,0),"")</f>
        <v>ok</v>
      </c>
      <c r="I1115" s="13" t="s">
        <v>276</v>
      </c>
      <c r="J1115" s="22" t="e">
        <f>VLOOKUP(Table2[[#This Row], [Author]],People!A:B,2,0)</f>
        <v>#N/A</v>
      </c>
      <c r="K1115" s="13"/>
      <c r="L1115" s="13"/>
      <c r="M1115" s="23" t="s">
        <v>1613</v>
      </c>
    </row>
    <row r="1116" spans="1:13" ht="19.5" customHeight="1">
      <c r="A1116" s="18">
        <f t="shared" si="17"/>
        <v>1115</v>
      </c>
      <c r="B1116" s="11" t="s">
        <v>8</v>
      </c>
      <c r="C1116" s="11" t="s">
        <v>68</v>
      </c>
      <c r="D1116" s="11" t="s">
        <v>2368</v>
      </c>
      <c r="E1116" s="11" t="s">
        <v>2369</v>
      </c>
      <c r="F1116" s="11" t="s">
        <v>2366</v>
      </c>
      <c r="G1116" s="11" t="s">
        <v>14</v>
      </c>
      <c r="H1116" s="19" t="str">
        <f>IFERROR(VLOOKUP(Table2[[#This Row], [Ticket]],Okey!A:B,2,0),"")</f>
        <v>ok</v>
      </c>
      <c r="I1116" s="11" t="s">
        <v>276</v>
      </c>
      <c r="J1116" s="19" t="e">
        <f>VLOOKUP(Table2[[#This Row], [Author]],People!A:B,2,0)</f>
        <v>#N/A</v>
      </c>
      <c r="K1116" s="11"/>
      <c r="L1116" s="11"/>
      <c r="M1116" s="20" t="s">
        <v>1613</v>
      </c>
    </row>
    <row r="1117" spans="1:13" ht="19.5" customHeight="1">
      <c r="A1117" s="21">
        <f t="shared" si="17"/>
        <v>1116</v>
      </c>
      <c r="B1117" s="13" t="s">
        <v>8</v>
      </c>
      <c r="C1117" s="13" t="s">
        <v>68</v>
      </c>
      <c r="D1117" s="13" t="s">
        <v>2370</v>
      </c>
      <c r="E1117" s="13" t="s">
        <v>2371</v>
      </c>
      <c r="F1117" s="13" t="s">
        <v>2366</v>
      </c>
      <c r="G1117" s="13" t="s">
        <v>14</v>
      </c>
      <c r="H1117" s="22" t="str">
        <f>IFERROR(VLOOKUP(Table2[[#This Row], [Ticket]],Okey!A:B,2,0),"")</f>
        <v>ok</v>
      </c>
      <c r="I1117" s="13" t="s">
        <v>276</v>
      </c>
      <c r="J1117" s="22" t="e">
        <f>VLOOKUP(Table2[[#This Row], [Author]],People!A:B,2,0)</f>
        <v>#N/A</v>
      </c>
      <c r="K1117" s="13"/>
      <c r="L1117" s="13"/>
      <c r="M1117" s="23" t="s">
        <v>1613</v>
      </c>
    </row>
    <row r="1118" spans="1:13" ht="19.5" customHeight="1">
      <c r="A1118" s="18">
        <f t="shared" si="17"/>
        <v>1117</v>
      </c>
      <c r="B1118" s="11" t="s">
        <v>8</v>
      </c>
      <c r="C1118" s="11" t="s">
        <v>68</v>
      </c>
      <c r="D1118" s="11" t="s">
        <v>2372</v>
      </c>
      <c r="E1118" s="11" t="s">
        <v>2373</v>
      </c>
      <c r="F1118" s="11" t="s">
        <v>2366</v>
      </c>
      <c r="G1118" s="11" t="s">
        <v>14</v>
      </c>
      <c r="H1118" s="19" t="str">
        <f>IFERROR(VLOOKUP(Table2[[#This Row], [Ticket]],Okey!A:B,2,0),"")</f>
        <v>ok</v>
      </c>
      <c r="I1118" s="11" t="s">
        <v>276</v>
      </c>
      <c r="J1118" s="19" t="e">
        <f>VLOOKUP(Table2[[#This Row], [Author]],People!A:B,2,0)</f>
        <v>#N/A</v>
      </c>
      <c r="K1118" s="11"/>
      <c r="L1118" s="11"/>
      <c r="M1118" s="20" t="s">
        <v>1613</v>
      </c>
    </row>
    <row r="1119" spans="1:13" ht="19.5" customHeight="1">
      <c r="A1119" s="21">
        <f t="shared" si="17"/>
        <v>1118</v>
      </c>
      <c r="B1119" s="13" t="s">
        <v>8</v>
      </c>
      <c r="C1119" s="13" t="s">
        <v>68</v>
      </c>
      <c r="D1119" s="13" t="s">
        <v>2374</v>
      </c>
      <c r="E1119" s="13" t="s">
        <v>2375</v>
      </c>
      <c r="F1119" s="13" t="s">
        <v>2366</v>
      </c>
      <c r="G1119" s="13" t="s">
        <v>14</v>
      </c>
      <c r="H1119" s="22" t="str">
        <f>IFERROR(VLOOKUP(Table2[[#This Row], [Ticket]],Okey!A:B,2,0),"")</f>
        <v>ok</v>
      </c>
      <c r="I1119" s="13" t="s">
        <v>276</v>
      </c>
      <c r="J1119" s="22" t="e">
        <f>VLOOKUP(Table2[[#This Row], [Author]],People!A:B,2,0)</f>
        <v>#N/A</v>
      </c>
      <c r="K1119" s="13"/>
      <c r="L1119" s="13"/>
      <c r="M1119" s="23" t="s">
        <v>1613</v>
      </c>
    </row>
    <row r="1120" spans="1:13" ht="19.5" customHeight="1">
      <c r="A1120" s="18">
        <f t="shared" si="17"/>
        <v>1119</v>
      </c>
      <c r="B1120" s="11" t="s">
        <v>8</v>
      </c>
      <c r="C1120" s="11" t="s">
        <v>68</v>
      </c>
      <c r="D1120" s="11" t="s">
        <v>2376</v>
      </c>
      <c r="E1120" s="11" t="s">
        <v>2377</v>
      </c>
      <c r="F1120" s="11" t="s">
        <v>2366</v>
      </c>
      <c r="G1120" s="11" t="s">
        <v>14</v>
      </c>
      <c r="H1120" s="19" t="str">
        <f>IFERROR(VLOOKUP(Table2[[#This Row], [Ticket]],Okey!A:B,2,0),"")</f>
        <v>ok</v>
      </c>
      <c r="I1120" s="11" t="s">
        <v>276</v>
      </c>
      <c r="J1120" s="19" t="e">
        <f>VLOOKUP(Table2[[#This Row], [Author]],People!A:B,2,0)</f>
        <v>#N/A</v>
      </c>
      <c r="K1120" s="11"/>
      <c r="L1120" s="11"/>
      <c r="M1120" s="20" t="s">
        <v>1613</v>
      </c>
    </row>
    <row r="1121" spans="1:13" ht="19.5" customHeight="1">
      <c r="A1121" s="21">
        <f t="shared" si="17"/>
        <v>1120</v>
      </c>
      <c r="B1121" s="13" t="s">
        <v>8</v>
      </c>
      <c r="C1121" s="13" t="s">
        <v>68</v>
      </c>
      <c r="D1121" s="13" t="s">
        <v>2378</v>
      </c>
      <c r="E1121" s="13" t="s">
        <v>2379</v>
      </c>
      <c r="F1121" s="13" t="s">
        <v>2359</v>
      </c>
      <c r="G1121" s="13" t="s">
        <v>14</v>
      </c>
      <c r="H1121" s="22" t="str">
        <f>IFERROR(VLOOKUP(Table2[[#This Row], [Ticket]],Okey!A:B,2,0),"")</f>
        <v>ok</v>
      </c>
      <c r="I1121" s="13" t="s">
        <v>276</v>
      </c>
      <c r="J1121" s="22" t="e">
        <f>VLOOKUP(Table2[[#This Row], [Author]],People!A:B,2,0)</f>
        <v>#N/A</v>
      </c>
      <c r="K1121" s="13"/>
      <c r="L1121" s="13"/>
      <c r="M1121" s="23" t="s">
        <v>1613</v>
      </c>
    </row>
    <row r="1122" spans="1:13" ht="19.5" customHeight="1">
      <c r="A1122" s="18">
        <f t="shared" si="17"/>
        <v>1121</v>
      </c>
      <c r="B1122" s="11" t="s">
        <v>8</v>
      </c>
      <c r="C1122" s="11" t="s">
        <v>68</v>
      </c>
      <c r="D1122" s="11" t="s">
        <v>2380</v>
      </c>
      <c r="E1122" s="11" t="s">
        <v>2381</v>
      </c>
      <c r="F1122" s="11" t="s">
        <v>2382</v>
      </c>
      <c r="G1122" s="11" t="s">
        <v>14</v>
      </c>
      <c r="H1122" s="19" t="str">
        <f>IFERROR(VLOOKUP(Table2[[#This Row], [Ticket]],Okey!A:B,2,0),"")</f>
        <v>ok</v>
      </c>
      <c r="I1122" s="11" t="s">
        <v>276</v>
      </c>
      <c r="J1122" s="19" t="e">
        <f>VLOOKUP(Table2[[#This Row], [Author]],People!A:B,2,0)</f>
        <v>#N/A</v>
      </c>
      <c r="K1122" s="11"/>
      <c r="L1122" s="11"/>
      <c r="M1122" s="20" t="s">
        <v>1613</v>
      </c>
    </row>
    <row r="1123" spans="1:13" ht="19.5" customHeight="1">
      <c r="A1123" s="21">
        <f t="shared" si="17"/>
        <v>1122</v>
      </c>
      <c r="B1123" s="13" t="s">
        <v>8</v>
      </c>
      <c r="C1123" s="13" t="s">
        <v>68</v>
      </c>
      <c r="D1123" s="13" t="s">
        <v>2383</v>
      </c>
      <c r="E1123" s="13" t="s">
        <v>2384</v>
      </c>
      <c r="F1123" s="13" t="s">
        <v>2380</v>
      </c>
      <c r="G1123" s="13" t="s">
        <v>14</v>
      </c>
      <c r="H1123" s="22" t="str">
        <f>IFERROR(VLOOKUP(Table2[[#This Row], [Ticket]],Okey!A:B,2,0),"")</f>
        <v>ok</v>
      </c>
      <c r="I1123" s="13" t="s">
        <v>276</v>
      </c>
      <c r="J1123" s="22" t="e">
        <f>VLOOKUP(Table2[[#This Row], [Author]],People!A:B,2,0)</f>
        <v>#N/A</v>
      </c>
      <c r="K1123" s="13"/>
      <c r="L1123" s="13"/>
      <c r="M1123" s="23" t="s">
        <v>1613</v>
      </c>
    </row>
    <row r="1124" spans="1:13" ht="19.5" customHeight="1">
      <c r="A1124" s="18">
        <f t="shared" si="17"/>
        <v>1123</v>
      </c>
      <c r="B1124" s="11" t="s">
        <v>8</v>
      </c>
      <c r="C1124" s="11" t="s">
        <v>68</v>
      </c>
      <c r="D1124" s="11" t="s">
        <v>2385</v>
      </c>
      <c r="E1124" s="11" t="s">
        <v>2386</v>
      </c>
      <c r="F1124" s="11" t="s">
        <v>2383</v>
      </c>
      <c r="G1124" s="11" t="s">
        <v>14</v>
      </c>
      <c r="H1124" s="19" t="str">
        <f>IFERROR(VLOOKUP(Table2[[#This Row], [Ticket]],Okey!A:B,2,0),"")</f>
        <v>ok</v>
      </c>
      <c r="I1124" s="11" t="s">
        <v>276</v>
      </c>
      <c r="J1124" s="19" t="e">
        <f>VLOOKUP(Table2[[#This Row], [Author]],People!A:B,2,0)</f>
        <v>#N/A</v>
      </c>
      <c r="K1124" s="11"/>
      <c r="L1124" s="11"/>
      <c r="M1124" s="20" t="s">
        <v>1613</v>
      </c>
    </row>
    <row r="1125" spans="1:13" ht="19.5" customHeight="1">
      <c r="A1125" s="21">
        <f t="shared" si="17"/>
        <v>1124</v>
      </c>
      <c r="B1125" s="13" t="s">
        <v>8</v>
      </c>
      <c r="C1125" s="13" t="s">
        <v>68</v>
      </c>
      <c r="D1125" s="13" t="s">
        <v>2387</v>
      </c>
      <c r="E1125" s="13" t="s">
        <v>2388</v>
      </c>
      <c r="F1125" s="13" t="s">
        <v>2383</v>
      </c>
      <c r="G1125" s="13" t="s">
        <v>14</v>
      </c>
      <c r="H1125" s="22" t="str">
        <f>IFERROR(VLOOKUP(Table2[[#This Row], [Ticket]],Okey!A:B,2,0),"")</f>
        <v>ok</v>
      </c>
      <c r="I1125" s="13" t="s">
        <v>276</v>
      </c>
      <c r="J1125" s="22" t="e">
        <f>VLOOKUP(Table2[[#This Row], [Author]],People!A:B,2,0)</f>
        <v>#N/A</v>
      </c>
      <c r="K1125" s="13"/>
      <c r="L1125" s="13"/>
      <c r="M1125" s="23" t="s">
        <v>1613</v>
      </c>
    </row>
    <row r="1126" spans="1:13" ht="19.5" customHeight="1">
      <c r="A1126" s="18">
        <f t="shared" si="17"/>
        <v>1125</v>
      </c>
      <c r="B1126" s="11" t="s">
        <v>8</v>
      </c>
      <c r="C1126" s="11" t="s">
        <v>68</v>
      </c>
      <c r="D1126" s="11" t="s">
        <v>2389</v>
      </c>
      <c r="E1126" s="11" t="s">
        <v>2390</v>
      </c>
      <c r="F1126" s="11" t="s">
        <v>2380</v>
      </c>
      <c r="G1126" s="11" t="s">
        <v>14</v>
      </c>
      <c r="H1126" s="19" t="str">
        <f>IFERROR(VLOOKUP(Table2[[#This Row], [Ticket]],Okey!A:B,2,0),"")</f>
        <v>ok</v>
      </c>
      <c r="I1126" s="11" t="s">
        <v>276</v>
      </c>
      <c r="J1126" s="19" t="e">
        <f>VLOOKUP(Table2[[#This Row], [Author]],People!A:B,2,0)</f>
        <v>#N/A</v>
      </c>
      <c r="K1126" s="11"/>
      <c r="L1126" s="11"/>
      <c r="M1126" s="20" t="s">
        <v>1613</v>
      </c>
    </row>
    <row r="1127" spans="1:13" ht="19.5" customHeight="1">
      <c r="A1127" s="21">
        <f t="shared" si="17"/>
        <v>1126</v>
      </c>
      <c r="B1127" s="13" t="s">
        <v>8</v>
      </c>
      <c r="C1127" s="13" t="s">
        <v>68</v>
      </c>
      <c r="D1127" s="13" t="s">
        <v>2391</v>
      </c>
      <c r="E1127" s="13" t="s">
        <v>2392</v>
      </c>
      <c r="F1127" s="13" t="s">
        <v>2389</v>
      </c>
      <c r="G1127" s="13" t="s">
        <v>14</v>
      </c>
      <c r="H1127" s="22" t="str">
        <f>IFERROR(VLOOKUP(Table2[[#This Row], [Ticket]],Okey!A:B,2,0),"")</f>
        <v>ok</v>
      </c>
      <c r="I1127" s="13" t="s">
        <v>276</v>
      </c>
      <c r="J1127" s="22" t="e">
        <f>VLOOKUP(Table2[[#This Row], [Author]],People!A:B,2,0)</f>
        <v>#N/A</v>
      </c>
      <c r="K1127" s="13"/>
      <c r="L1127" s="13"/>
      <c r="M1127" s="23" t="s">
        <v>1613</v>
      </c>
    </row>
    <row r="1128" spans="1:13" ht="19.5" customHeight="1">
      <c r="A1128" s="18">
        <f t="shared" si="17"/>
        <v>1127</v>
      </c>
      <c r="B1128" s="11" t="s">
        <v>8</v>
      </c>
      <c r="C1128" s="11" t="s">
        <v>68</v>
      </c>
      <c r="D1128" s="11" t="s">
        <v>2393</v>
      </c>
      <c r="E1128" s="11" t="s">
        <v>2394</v>
      </c>
      <c r="F1128" s="11" t="s">
        <v>2389</v>
      </c>
      <c r="G1128" s="11" t="s">
        <v>14</v>
      </c>
      <c r="H1128" s="19" t="str">
        <f>IFERROR(VLOOKUP(Table2[[#This Row], [Ticket]],Okey!A:B,2,0),"")</f>
        <v>ok</v>
      </c>
      <c r="I1128" s="11" t="s">
        <v>276</v>
      </c>
      <c r="J1128" s="19" t="e">
        <f>VLOOKUP(Table2[[#This Row], [Author]],People!A:B,2,0)</f>
        <v>#N/A</v>
      </c>
      <c r="K1128" s="11"/>
      <c r="L1128" s="11"/>
      <c r="M1128" s="20" t="s">
        <v>1613</v>
      </c>
    </row>
    <row r="1129" spans="1:13" ht="19.5" customHeight="1">
      <c r="A1129" s="21">
        <f t="shared" si="17"/>
        <v>1128</v>
      </c>
      <c r="B1129" s="13" t="s">
        <v>8</v>
      </c>
      <c r="C1129" s="13" t="s">
        <v>68</v>
      </c>
      <c r="D1129" s="13" t="s">
        <v>2395</v>
      </c>
      <c r="E1129" s="13" t="s">
        <v>2396</v>
      </c>
      <c r="F1129" s="13" t="s">
        <v>2389</v>
      </c>
      <c r="G1129" s="13" t="s">
        <v>14</v>
      </c>
      <c r="H1129" s="22" t="str">
        <f>IFERROR(VLOOKUP(Table2[[#This Row], [Ticket]],Okey!A:B,2,0),"")</f>
        <v>ok</v>
      </c>
      <c r="I1129" s="13" t="s">
        <v>276</v>
      </c>
      <c r="J1129" s="22" t="e">
        <f>VLOOKUP(Table2[[#This Row], [Author]],People!A:B,2,0)</f>
        <v>#N/A</v>
      </c>
      <c r="K1129" s="13"/>
      <c r="L1129" s="13"/>
      <c r="M1129" s="23" t="s">
        <v>1613</v>
      </c>
    </row>
    <row r="1130" spans="1:13" ht="19.5" customHeight="1">
      <c r="A1130" s="18">
        <f t="shared" si="17"/>
        <v>1129</v>
      </c>
      <c r="B1130" s="11" t="s">
        <v>8</v>
      </c>
      <c r="C1130" s="11" t="s">
        <v>68</v>
      </c>
      <c r="D1130" s="11" t="s">
        <v>2397</v>
      </c>
      <c r="E1130" s="11" t="s">
        <v>2398</v>
      </c>
      <c r="F1130" s="11" t="s">
        <v>2382</v>
      </c>
      <c r="G1130" s="11" t="s">
        <v>14</v>
      </c>
      <c r="H1130" s="19" t="str">
        <f>IFERROR(VLOOKUP(Table2[[#This Row], [Ticket]],Okey!A:B,2,0),"")</f>
        <v>ok</v>
      </c>
      <c r="I1130" s="11" t="s">
        <v>276</v>
      </c>
      <c r="J1130" s="19" t="e">
        <f>VLOOKUP(Table2[[#This Row], [Author]],People!A:B,2,0)</f>
        <v>#N/A</v>
      </c>
      <c r="K1130" s="11"/>
      <c r="L1130" s="11"/>
      <c r="M1130" s="20" t="s">
        <v>1613</v>
      </c>
    </row>
    <row r="1131" spans="1:13" ht="19.5" customHeight="1">
      <c r="A1131" s="21">
        <f t="shared" si="17"/>
        <v>1130</v>
      </c>
      <c r="B1131" s="13" t="s">
        <v>8</v>
      </c>
      <c r="C1131" s="13" t="s">
        <v>68</v>
      </c>
      <c r="D1131" s="13" t="s">
        <v>2399</v>
      </c>
      <c r="E1131" s="13" t="s">
        <v>2400</v>
      </c>
      <c r="F1131" s="13" t="s">
        <v>2401</v>
      </c>
      <c r="G1131" s="13" t="s">
        <v>14</v>
      </c>
      <c r="H1131" s="22" t="str">
        <f>IFERROR(VLOOKUP(Table2[[#This Row], [Ticket]],Okey!A:B,2,0),"")</f>
        <v>ok</v>
      </c>
      <c r="I1131" s="13" t="s">
        <v>276</v>
      </c>
      <c r="J1131" s="22" t="e">
        <f>VLOOKUP(Table2[[#This Row], [Author]],People!A:B,2,0)</f>
        <v>#N/A</v>
      </c>
      <c r="K1131" s="13"/>
      <c r="L1131" s="13"/>
      <c r="M1131" s="23" t="s">
        <v>1613</v>
      </c>
    </row>
    <row r="1132" spans="1:13" ht="19.5" customHeight="1">
      <c r="A1132" s="18">
        <f t="shared" si="17"/>
        <v>1131</v>
      </c>
      <c r="B1132" s="11" t="s">
        <v>8</v>
      </c>
      <c r="C1132" s="11" t="s">
        <v>68</v>
      </c>
      <c r="D1132" s="11" t="s">
        <v>2402</v>
      </c>
      <c r="E1132" s="11" t="s">
        <v>2403</v>
      </c>
      <c r="F1132" s="11" t="s">
        <v>2399</v>
      </c>
      <c r="G1132" s="11" t="s">
        <v>14</v>
      </c>
      <c r="H1132" s="19" t="str">
        <f>IFERROR(VLOOKUP(Table2[[#This Row], [Ticket]],Okey!A:B,2,0),"")</f>
        <v>ok</v>
      </c>
      <c r="I1132" s="11" t="s">
        <v>276</v>
      </c>
      <c r="J1132" s="19" t="e">
        <f>VLOOKUP(Table2[[#This Row], [Author]],People!A:B,2,0)</f>
        <v>#N/A</v>
      </c>
      <c r="K1132" s="11"/>
      <c r="L1132" s="11"/>
      <c r="M1132" s="20" t="s">
        <v>1613</v>
      </c>
    </row>
    <row r="1133" spans="1:13" ht="19.5" customHeight="1">
      <c r="A1133" s="21">
        <f t="shared" si="17"/>
        <v>1132</v>
      </c>
      <c r="B1133" s="13" t="s">
        <v>8</v>
      </c>
      <c r="C1133" s="13" t="s">
        <v>68</v>
      </c>
      <c r="D1133" s="13" t="s">
        <v>2404</v>
      </c>
      <c r="E1133" s="13" t="s">
        <v>2405</v>
      </c>
      <c r="F1133" s="13" t="s">
        <v>2402</v>
      </c>
      <c r="G1133" s="13" t="s">
        <v>14</v>
      </c>
      <c r="H1133" s="22" t="str">
        <f>IFERROR(VLOOKUP(Table2[[#This Row], [Ticket]],Okey!A:B,2,0),"")</f>
        <v>ok</v>
      </c>
      <c r="I1133" s="13" t="s">
        <v>276</v>
      </c>
      <c r="J1133" s="22" t="e">
        <f>VLOOKUP(Table2[[#This Row], [Author]],People!A:B,2,0)</f>
        <v>#N/A</v>
      </c>
      <c r="K1133" s="13"/>
      <c r="L1133" s="13"/>
      <c r="M1133" s="23" t="s">
        <v>1613</v>
      </c>
    </row>
    <row r="1134" spans="1:13" ht="19.5" customHeight="1">
      <c r="A1134" s="18">
        <f t="shared" si="17"/>
        <v>1133</v>
      </c>
      <c r="B1134" s="11" t="s">
        <v>8</v>
      </c>
      <c r="C1134" s="11" t="s">
        <v>68</v>
      </c>
      <c r="D1134" s="11" t="s">
        <v>2406</v>
      </c>
      <c r="E1134" s="11" t="s">
        <v>2407</v>
      </c>
      <c r="F1134" s="11" t="s">
        <v>2402</v>
      </c>
      <c r="G1134" s="11" t="s">
        <v>14</v>
      </c>
      <c r="H1134" s="19" t="str">
        <f>IFERROR(VLOOKUP(Table2[[#This Row], [Ticket]],Okey!A:B,2,0),"")</f>
        <v>ok</v>
      </c>
      <c r="I1134" s="11" t="s">
        <v>276</v>
      </c>
      <c r="J1134" s="19" t="e">
        <f>VLOOKUP(Table2[[#This Row], [Author]],People!A:B,2,0)</f>
        <v>#N/A</v>
      </c>
      <c r="K1134" s="11"/>
      <c r="L1134" s="11"/>
      <c r="M1134" s="20" t="s">
        <v>1613</v>
      </c>
    </row>
    <row r="1135" spans="1:13" ht="19.5" customHeight="1">
      <c r="A1135" s="21">
        <f t="shared" si="17"/>
        <v>1134</v>
      </c>
      <c r="B1135" s="13" t="s">
        <v>8</v>
      </c>
      <c r="C1135" s="13" t="s">
        <v>68</v>
      </c>
      <c r="D1135" s="13" t="s">
        <v>2408</v>
      </c>
      <c r="E1135" s="13" t="s">
        <v>2409</v>
      </c>
      <c r="F1135" s="13" t="s">
        <v>2399</v>
      </c>
      <c r="G1135" s="13" t="s">
        <v>14</v>
      </c>
      <c r="H1135" s="22" t="str">
        <f>IFERROR(VLOOKUP(Table2[[#This Row], [Ticket]],Okey!A:B,2,0),"")</f>
        <v>ok</v>
      </c>
      <c r="I1135" s="13" t="s">
        <v>276</v>
      </c>
      <c r="J1135" s="22" t="e">
        <f>VLOOKUP(Table2[[#This Row], [Author]],People!A:B,2,0)</f>
        <v>#N/A</v>
      </c>
      <c r="K1135" s="13"/>
      <c r="L1135" s="13"/>
      <c r="M1135" s="23" t="s">
        <v>1613</v>
      </c>
    </row>
    <row r="1136" spans="1:13" ht="19.5" customHeight="1">
      <c r="A1136" s="18">
        <f t="shared" si="17"/>
        <v>1135</v>
      </c>
      <c r="B1136" s="11" t="s">
        <v>8</v>
      </c>
      <c r="C1136" s="11" t="s">
        <v>68</v>
      </c>
      <c r="D1136" s="11" t="s">
        <v>2410</v>
      </c>
      <c r="E1136" s="11" t="s">
        <v>2411</v>
      </c>
      <c r="F1136" s="11" t="s">
        <v>2408</v>
      </c>
      <c r="G1136" s="11" t="s">
        <v>14</v>
      </c>
      <c r="H1136" s="19" t="str">
        <f>IFERROR(VLOOKUP(Table2[[#This Row], [Ticket]],Okey!A:B,2,0),"")</f>
        <v>ok</v>
      </c>
      <c r="I1136" s="11" t="s">
        <v>276</v>
      </c>
      <c r="J1136" s="19" t="e">
        <f>VLOOKUP(Table2[[#This Row], [Author]],People!A:B,2,0)</f>
        <v>#N/A</v>
      </c>
      <c r="K1136" s="11"/>
      <c r="L1136" s="11"/>
      <c r="M1136" s="20" t="s">
        <v>1613</v>
      </c>
    </row>
    <row r="1137" spans="1:13" ht="19.5" customHeight="1">
      <c r="A1137" s="21">
        <f t="shared" si="17"/>
        <v>1136</v>
      </c>
      <c r="B1137" s="13" t="s">
        <v>8</v>
      </c>
      <c r="C1137" s="13" t="s">
        <v>68</v>
      </c>
      <c r="D1137" s="13" t="s">
        <v>2412</v>
      </c>
      <c r="E1137" s="13" t="s">
        <v>2413</v>
      </c>
      <c r="F1137" s="13" t="s">
        <v>2408</v>
      </c>
      <c r="G1137" s="13" t="s">
        <v>14</v>
      </c>
      <c r="H1137" s="22" t="str">
        <f>IFERROR(VLOOKUP(Table2[[#This Row], [Ticket]],Okey!A:B,2,0),"")</f>
        <v>ok</v>
      </c>
      <c r="I1137" s="13" t="s">
        <v>276</v>
      </c>
      <c r="J1137" s="22" t="e">
        <f>VLOOKUP(Table2[[#This Row], [Author]],People!A:B,2,0)</f>
        <v>#N/A</v>
      </c>
      <c r="K1137" s="13"/>
      <c r="L1137" s="13"/>
      <c r="M1137" s="23" t="s">
        <v>1613</v>
      </c>
    </row>
    <row r="1138" spans="1:13" ht="19.5" customHeight="1">
      <c r="A1138" s="18">
        <f t="shared" si="17"/>
        <v>1137</v>
      </c>
      <c r="B1138" s="11" t="s">
        <v>8</v>
      </c>
      <c r="C1138" s="11" t="s">
        <v>68</v>
      </c>
      <c r="D1138" s="11" t="s">
        <v>2414</v>
      </c>
      <c r="E1138" s="11" t="s">
        <v>2415</v>
      </c>
      <c r="F1138" s="11" t="s">
        <v>2401</v>
      </c>
      <c r="G1138" s="11" t="s">
        <v>14</v>
      </c>
      <c r="H1138" s="19" t="str">
        <f>IFERROR(VLOOKUP(Table2[[#This Row], [Ticket]],Okey!A:B,2,0),"")</f>
        <v>ok</v>
      </c>
      <c r="I1138" s="11" t="s">
        <v>276</v>
      </c>
      <c r="J1138" s="19" t="e">
        <f>VLOOKUP(Table2[[#This Row], [Author]],People!A:B,2,0)</f>
        <v>#N/A</v>
      </c>
      <c r="K1138" s="11"/>
      <c r="L1138" s="11"/>
      <c r="M1138" s="20" t="s">
        <v>1613</v>
      </c>
    </row>
    <row r="1139" spans="1:13" ht="19.5" customHeight="1">
      <c r="A1139" s="21">
        <f t="shared" si="17"/>
        <v>1138</v>
      </c>
      <c r="B1139" s="13" t="s">
        <v>8</v>
      </c>
      <c r="C1139" s="13" t="s">
        <v>68</v>
      </c>
      <c r="D1139" s="13" t="s">
        <v>2416</v>
      </c>
      <c r="E1139" s="13" t="s">
        <v>2417</v>
      </c>
      <c r="F1139" s="13" t="s">
        <v>2418</v>
      </c>
      <c r="G1139" s="13" t="s">
        <v>14</v>
      </c>
      <c r="H1139" s="22" t="str">
        <f>IFERROR(VLOOKUP(Table2[[#This Row], [Ticket]],Okey!A:B,2,0),"")</f>
        <v>ok</v>
      </c>
      <c r="I1139" s="13" t="s">
        <v>276</v>
      </c>
      <c r="J1139" s="22" t="e">
        <f>VLOOKUP(Table2[[#This Row], [Author]],People!A:B,2,0)</f>
        <v>#N/A</v>
      </c>
      <c r="K1139" s="13"/>
      <c r="L1139" s="13"/>
      <c r="M1139" s="23" t="s">
        <v>1613</v>
      </c>
    </row>
    <row r="1140" spans="1:13" ht="19.5" customHeight="1">
      <c r="A1140" s="18">
        <f t="shared" si="17"/>
        <v>1139</v>
      </c>
      <c r="B1140" s="11" t="s">
        <v>8</v>
      </c>
      <c r="C1140" s="11" t="s">
        <v>68</v>
      </c>
      <c r="D1140" s="11" t="s">
        <v>2419</v>
      </c>
      <c r="E1140" s="11" t="s">
        <v>2420</v>
      </c>
      <c r="F1140" s="11" t="s">
        <v>2418</v>
      </c>
      <c r="G1140" s="11" t="s">
        <v>14</v>
      </c>
      <c r="H1140" s="19" t="str">
        <f>IFERROR(VLOOKUP(Table2[[#This Row], [Ticket]],Okey!A:B,2,0),"")</f>
        <v>ok</v>
      </c>
      <c r="I1140" s="11" t="s">
        <v>276</v>
      </c>
      <c r="J1140" s="19" t="e">
        <f>VLOOKUP(Table2[[#This Row], [Author]],People!A:B,2,0)</f>
        <v>#N/A</v>
      </c>
      <c r="K1140" s="11"/>
      <c r="L1140" s="11"/>
      <c r="M1140" s="20" t="s">
        <v>1613</v>
      </c>
    </row>
    <row r="1141" spans="1:13" ht="19.5" customHeight="1">
      <c r="A1141" s="21">
        <f t="shared" si="17"/>
        <v>1140</v>
      </c>
      <c r="B1141" s="13" t="s">
        <v>8</v>
      </c>
      <c r="C1141" s="13" t="s">
        <v>68</v>
      </c>
      <c r="D1141" s="13" t="s">
        <v>2421</v>
      </c>
      <c r="E1141" s="13" t="s">
        <v>2422</v>
      </c>
      <c r="F1141" s="13" t="s">
        <v>2418</v>
      </c>
      <c r="G1141" s="13" t="s">
        <v>14</v>
      </c>
      <c r="H1141" s="22" t="str">
        <f>IFERROR(VLOOKUP(Table2[[#This Row], [Ticket]],Okey!A:B,2,0),"")</f>
        <v>ok</v>
      </c>
      <c r="I1141" s="13" t="s">
        <v>276</v>
      </c>
      <c r="J1141" s="22" t="e">
        <f>VLOOKUP(Table2[[#This Row], [Author]],People!A:B,2,0)</f>
        <v>#N/A</v>
      </c>
      <c r="K1141" s="13"/>
      <c r="L1141" s="13"/>
      <c r="M1141" s="23" t="s">
        <v>1613</v>
      </c>
    </row>
    <row r="1142" spans="1:13" ht="19.5" customHeight="1">
      <c r="A1142" s="18">
        <f t="shared" si="17"/>
        <v>1141</v>
      </c>
      <c r="B1142" s="11" t="s">
        <v>8</v>
      </c>
      <c r="C1142" s="11" t="s">
        <v>68</v>
      </c>
      <c r="D1142" s="11" t="s">
        <v>2423</v>
      </c>
      <c r="E1142" s="11" t="s">
        <v>2424</v>
      </c>
      <c r="F1142" s="11" t="s">
        <v>1622</v>
      </c>
      <c r="G1142" s="11" t="s">
        <v>14</v>
      </c>
      <c r="H1142" s="19" t="str">
        <f>IFERROR(VLOOKUP(Table2[[#This Row], [Ticket]],Okey!A:B,2,0),"")</f>
        <v>ok</v>
      </c>
      <c r="I1142" s="11" t="s">
        <v>276</v>
      </c>
      <c r="J1142" s="19" t="e">
        <f>VLOOKUP(Table2[[#This Row], [Author]],People!A:B,2,0)</f>
        <v>#N/A</v>
      </c>
      <c r="K1142" s="11"/>
      <c r="L1142" s="11"/>
      <c r="M1142" s="20" t="s">
        <v>1613</v>
      </c>
    </row>
    <row r="1143" spans="1:13" ht="19.5" customHeight="1">
      <c r="A1143" s="21">
        <f t="shared" si="17"/>
        <v>1142</v>
      </c>
      <c r="B1143" s="13" t="s">
        <v>8</v>
      </c>
      <c r="C1143" s="13" t="s">
        <v>68</v>
      </c>
      <c r="D1143" s="13" t="s">
        <v>2425</v>
      </c>
      <c r="E1143" s="13" t="s">
        <v>2426</v>
      </c>
      <c r="F1143" s="13" t="s">
        <v>1622</v>
      </c>
      <c r="G1143" s="13" t="s">
        <v>14</v>
      </c>
      <c r="H1143" s="22" t="str">
        <f>IFERROR(VLOOKUP(Table2[[#This Row], [Ticket]],Okey!A:B,2,0),"")</f>
        <v>ok</v>
      </c>
      <c r="I1143" s="13" t="s">
        <v>276</v>
      </c>
      <c r="J1143" s="22" t="e">
        <f>VLOOKUP(Table2[[#This Row], [Author]],People!A:B,2,0)</f>
        <v>#N/A</v>
      </c>
      <c r="K1143" s="13"/>
      <c r="L1143" s="13"/>
      <c r="M1143" s="23" t="s">
        <v>1613</v>
      </c>
    </row>
    <row r="1144" spans="1:13" ht="19.5" customHeight="1">
      <c r="A1144" s="18">
        <f t="shared" si="17"/>
        <v>1143</v>
      </c>
      <c r="B1144" s="11" t="s">
        <v>8</v>
      </c>
      <c r="C1144" s="11" t="s">
        <v>68</v>
      </c>
      <c r="D1144" s="11" t="s">
        <v>2427</v>
      </c>
      <c r="E1144" s="11" t="s">
        <v>2428</v>
      </c>
      <c r="F1144" s="11" t="s">
        <v>1622</v>
      </c>
      <c r="G1144" s="11" t="s">
        <v>14</v>
      </c>
      <c r="H1144" s="19" t="str">
        <f>IFERROR(VLOOKUP(Table2[[#This Row], [Ticket]],Okey!A:B,2,0),"")</f>
        <v>ok</v>
      </c>
      <c r="I1144" s="11" t="s">
        <v>276</v>
      </c>
      <c r="J1144" s="19" t="e">
        <f>VLOOKUP(Table2[[#This Row], [Author]],People!A:B,2,0)</f>
        <v>#N/A</v>
      </c>
      <c r="K1144" s="11"/>
      <c r="L1144" s="11"/>
      <c r="M1144" s="20" t="s">
        <v>1613</v>
      </c>
    </row>
    <row r="1145" spans="1:13" ht="19.5" customHeight="1">
      <c r="A1145" s="21">
        <f t="shared" si="17"/>
        <v>1144</v>
      </c>
      <c r="B1145" s="13" t="s">
        <v>8</v>
      </c>
      <c r="C1145" s="13" t="s">
        <v>68</v>
      </c>
      <c r="D1145" s="13" t="s">
        <v>2429</v>
      </c>
      <c r="E1145" s="13" t="s">
        <v>2430</v>
      </c>
      <c r="F1145" s="13" t="s">
        <v>1622</v>
      </c>
      <c r="G1145" s="13" t="s">
        <v>14</v>
      </c>
      <c r="H1145" s="22" t="str">
        <f>IFERROR(VLOOKUP(Table2[[#This Row], [Ticket]],Okey!A:B,2,0),"")</f>
        <v>ok</v>
      </c>
      <c r="I1145" s="13" t="s">
        <v>276</v>
      </c>
      <c r="J1145" s="22" t="e">
        <f>VLOOKUP(Table2[[#This Row], [Author]],People!A:B,2,0)</f>
        <v>#N/A</v>
      </c>
      <c r="K1145" s="13"/>
      <c r="L1145" s="13"/>
      <c r="M1145" s="23" t="s">
        <v>1613</v>
      </c>
    </row>
    <row r="1146" spans="1:13" ht="19.5" customHeight="1">
      <c r="A1146" s="18">
        <f t="shared" si="17"/>
        <v>1145</v>
      </c>
      <c r="B1146" s="11" t="s">
        <v>8</v>
      </c>
      <c r="C1146" s="11" t="s">
        <v>68</v>
      </c>
      <c r="D1146" s="11" t="s">
        <v>2431</v>
      </c>
      <c r="E1146" s="11" t="s">
        <v>2432</v>
      </c>
      <c r="F1146" s="11" t="s">
        <v>1622</v>
      </c>
      <c r="G1146" s="11" t="s">
        <v>14</v>
      </c>
      <c r="H1146" s="19" t="str">
        <f>IFERROR(VLOOKUP(Table2[[#This Row], [Ticket]],Okey!A:B,2,0),"")</f>
        <v>ok</v>
      </c>
      <c r="I1146" s="11" t="s">
        <v>276</v>
      </c>
      <c r="J1146" s="19" t="e">
        <f>VLOOKUP(Table2[[#This Row], [Author]],People!A:B,2,0)</f>
        <v>#N/A</v>
      </c>
      <c r="K1146" s="11"/>
      <c r="L1146" s="11"/>
      <c r="M1146" s="20" t="s">
        <v>1613</v>
      </c>
    </row>
    <row r="1147" spans="1:13" ht="19.5" customHeight="1">
      <c r="A1147" s="21">
        <f t="shared" si="17"/>
        <v>1146</v>
      </c>
      <c r="B1147" s="13" t="s">
        <v>8</v>
      </c>
      <c r="C1147" s="13" t="s">
        <v>68</v>
      </c>
      <c r="D1147" s="13" t="s">
        <v>2433</v>
      </c>
      <c r="E1147" s="13" t="s">
        <v>2434</v>
      </c>
      <c r="F1147" s="13" t="s">
        <v>2435</v>
      </c>
      <c r="G1147" s="13" t="s">
        <v>14</v>
      </c>
      <c r="H1147" s="22" t="str">
        <f>IFERROR(VLOOKUP(Table2[[#This Row], [Ticket]],Okey!A:B,2,0),"")</f>
        <v>ok</v>
      </c>
      <c r="I1147" s="13" t="s">
        <v>276</v>
      </c>
      <c r="J1147" s="22" t="e">
        <f>VLOOKUP(Table2[[#This Row], [Author]],People!A:B,2,0)</f>
        <v>#N/A</v>
      </c>
      <c r="K1147" s="13"/>
      <c r="L1147" s="13"/>
      <c r="M1147" s="23" t="s">
        <v>1613</v>
      </c>
    </row>
    <row r="1148" spans="1:13" ht="19.5" customHeight="1">
      <c r="A1148" s="18">
        <f t="shared" si="17"/>
        <v>1147</v>
      </c>
      <c r="B1148" s="11" t="s">
        <v>8</v>
      </c>
      <c r="C1148" s="11" t="s">
        <v>68</v>
      </c>
      <c r="D1148" s="11" t="s">
        <v>2436</v>
      </c>
      <c r="E1148" s="11" t="s">
        <v>2437</v>
      </c>
      <c r="F1148" s="11" t="s">
        <v>2438</v>
      </c>
      <c r="G1148" s="11" t="s">
        <v>14</v>
      </c>
      <c r="H1148" s="19" t="str">
        <f>IFERROR(VLOOKUP(Table2[[#This Row], [Ticket]],Okey!A:B,2,0),"")</f>
        <v>ok</v>
      </c>
      <c r="I1148" s="11" t="s">
        <v>276</v>
      </c>
      <c r="J1148" s="19" t="e">
        <f>VLOOKUP(Table2[[#This Row], [Author]],People!A:B,2,0)</f>
        <v>#N/A</v>
      </c>
      <c r="K1148" s="11"/>
      <c r="L1148" s="11"/>
      <c r="M1148" s="20" t="s">
        <v>1613</v>
      </c>
    </row>
    <row r="1149" spans="1:13" ht="19.5" customHeight="1">
      <c r="A1149" s="21">
        <f t="shared" si="17"/>
        <v>1148</v>
      </c>
      <c r="B1149" s="13" t="s">
        <v>8</v>
      </c>
      <c r="C1149" s="13" t="s">
        <v>68</v>
      </c>
      <c r="D1149" s="13" t="s">
        <v>2439</v>
      </c>
      <c r="E1149" s="13" t="s">
        <v>2440</v>
      </c>
      <c r="F1149" s="13" t="s">
        <v>2438</v>
      </c>
      <c r="G1149" s="13" t="s">
        <v>14</v>
      </c>
      <c r="H1149" s="22" t="str">
        <f>IFERROR(VLOOKUP(Table2[[#This Row], [Ticket]],Okey!A:B,2,0),"")</f>
        <v>ok</v>
      </c>
      <c r="I1149" s="13" t="s">
        <v>276</v>
      </c>
      <c r="J1149" s="22" t="e">
        <f>VLOOKUP(Table2[[#This Row], [Author]],People!A:B,2,0)</f>
        <v>#N/A</v>
      </c>
      <c r="K1149" s="13"/>
      <c r="L1149" s="13"/>
      <c r="M1149" s="23" t="s">
        <v>1613</v>
      </c>
    </row>
    <row r="1150" spans="1:13" ht="19.5" customHeight="1">
      <c r="A1150" s="18">
        <f t="shared" si="17"/>
        <v>1149</v>
      </c>
      <c r="B1150" s="11" t="s">
        <v>8</v>
      </c>
      <c r="C1150" s="11" t="s">
        <v>68</v>
      </c>
      <c r="D1150" s="11" t="s">
        <v>2441</v>
      </c>
      <c r="E1150" s="11" t="s">
        <v>2442</v>
      </c>
      <c r="F1150" s="11" t="s">
        <v>2438</v>
      </c>
      <c r="G1150" s="11" t="s">
        <v>14</v>
      </c>
      <c r="H1150" s="19" t="str">
        <f>IFERROR(VLOOKUP(Table2[[#This Row], [Ticket]],Okey!A:B,2,0),"")</f>
        <v>ok</v>
      </c>
      <c r="I1150" s="11" t="s">
        <v>276</v>
      </c>
      <c r="J1150" s="19" t="e">
        <f>VLOOKUP(Table2[[#This Row], [Author]],People!A:B,2,0)</f>
        <v>#N/A</v>
      </c>
      <c r="K1150" s="11"/>
      <c r="L1150" s="11"/>
      <c r="M1150" s="20" t="s">
        <v>1613</v>
      </c>
    </row>
    <row r="1151" spans="1:13" ht="19.5" customHeight="1">
      <c r="A1151" s="21">
        <f t="shared" si="17"/>
        <v>1150</v>
      </c>
      <c r="B1151" s="13" t="s">
        <v>8</v>
      </c>
      <c r="C1151" s="13" t="s">
        <v>68</v>
      </c>
      <c r="D1151" s="13" t="s">
        <v>2443</v>
      </c>
      <c r="E1151" s="13" t="s">
        <v>2444</v>
      </c>
      <c r="F1151" s="13" t="s">
        <v>2445</v>
      </c>
      <c r="G1151" s="13" t="s">
        <v>14</v>
      </c>
      <c r="H1151" s="22" t="str">
        <f>IFERROR(VLOOKUP(Table2[[#This Row], [Ticket]],Okey!A:B,2,0),"")</f>
        <v>ok</v>
      </c>
      <c r="I1151" s="13" t="s">
        <v>276</v>
      </c>
      <c r="J1151" s="22" t="e">
        <f>VLOOKUP(Table2[[#This Row], [Author]],People!A:B,2,0)</f>
        <v>#N/A</v>
      </c>
      <c r="K1151" s="13"/>
      <c r="L1151" s="13"/>
      <c r="M1151" s="23" t="s">
        <v>1613</v>
      </c>
    </row>
    <row r="1152" spans="1:13" ht="19.5" customHeight="1">
      <c r="A1152" s="18">
        <f t="shared" si="17"/>
        <v>1151</v>
      </c>
      <c r="B1152" s="11" t="s">
        <v>8</v>
      </c>
      <c r="C1152" s="11" t="s">
        <v>68</v>
      </c>
      <c r="D1152" s="11" t="s">
        <v>2446</v>
      </c>
      <c r="E1152" s="11" t="s">
        <v>2447</v>
      </c>
      <c r="F1152" s="11" t="s">
        <v>2443</v>
      </c>
      <c r="G1152" s="11" t="s">
        <v>14</v>
      </c>
      <c r="H1152" s="19" t="str">
        <f>IFERROR(VLOOKUP(Table2[[#This Row], [Ticket]],Okey!A:B,2,0),"")</f>
        <v>ok</v>
      </c>
      <c r="I1152" s="11" t="s">
        <v>276</v>
      </c>
      <c r="J1152" s="19" t="e">
        <f>VLOOKUP(Table2[[#This Row], [Author]],People!A:B,2,0)</f>
        <v>#N/A</v>
      </c>
      <c r="K1152" s="11"/>
      <c r="L1152" s="11"/>
      <c r="M1152" s="20" t="s">
        <v>1613</v>
      </c>
    </row>
    <row r="1153" spans="1:13" ht="19.5" customHeight="1">
      <c r="A1153" s="21">
        <f t="shared" si="17"/>
        <v>1152</v>
      </c>
      <c r="B1153" s="13" t="s">
        <v>8</v>
      </c>
      <c r="C1153" s="13" t="s">
        <v>68</v>
      </c>
      <c r="D1153" s="13" t="s">
        <v>2448</v>
      </c>
      <c r="E1153" s="13" t="s">
        <v>2449</v>
      </c>
      <c r="F1153" s="13" t="s">
        <v>2446</v>
      </c>
      <c r="G1153" s="13" t="s">
        <v>14</v>
      </c>
      <c r="H1153" s="22" t="str">
        <f>IFERROR(VLOOKUP(Table2[[#This Row], [Ticket]],Okey!A:B,2,0),"")</f>
        <v>ok</v>
      </c>
      <c r="I1153" s="13" t="s">
        <v>276</v>
      </c>
      <c r="J1153" s="22" t="e">
        <f>VLOOKUP(Table2[[#This Row], [Author]],People!A:B,2,0)</f>
        <v>#N/A</v>
      </c>
      <c r="K1153" s="13"/>
      <c r="L1153" s="13"/>
      <c r="M1153" s="23" t="s">
        <v>1613</v>
      </c>
    </row>
    <row r="1154" spans="1:13" ht="19.5" customHeight="1">
      <c r="A1154" s="18">
        <f t="shared" si="17"/>
        <v>1153</v>
      </c>
      <c r="B1154" s="11" t="s">
        <v>8</v>
      </c>
      <c r="C1154" s="11" t="s">
        <v>68</v>
      </c>
      <c r="D1154" s="11" t="s">
        <v>2450</v>
      </c>
      <c r="E1154" s="11" t="s">
        <v>2451</v>
      </c>
      <c r="F1154" s="11" t="s">
        <v>2448</v>
      </c>
      <c r="G1154" s="11" t="s">
        <v>14</v>
      </c>
      <c r="H1154" s="19" t="str">
        <f>IFERROR(VLOOKUP(Table2[[#This Row], [Ticket]],Okey!A:B,2,0),"")</f>
        <v>ok</v>
      </c>
      <c r="I1154" s="11" t="s">
        <v>276</v>
      </c>
      <c r="J1154" s="19" t="e">
        <f>VLOOKUP(Table2[[#This Row], [Author]],People!A:B,2,0)</f>
        <v>#N/A</v>
      </c>
      <c r="K1154" s="11"/>
      <c r="L1154" s="11"/>
      <c r="M1154" s="20" t="s">
        <v>1613</v>
      </c>
    </row>
    <row r="1155" spans="1:13" ht="19.5" customHeight="1">
      <c r="A1155" s="21">
        <f t="shared" ref="A1155:A1218" si="18">1+A1154</f>
        <v>1154</v>
      </c>
      <c r="B1155" s="13" t="s">
        <v>8</v>
      </c>
      <c r="C1155" s="13" t="s">
        <v>68</v>
      </c>
      <c r="D1155" s="13" t="s">
        <v>2452</v>
      </c>
      <c r="E1155" s="13" t="s">
        <v>2453</v>
      </c>
      <c r="F1155" s="13" t="s">
        <v>2448</v>
      </c>
      <c r="G1155" s="13" t="s">
        <v>14</v>
      </c>
      <c r="H1155" s="22" t="str">
        <f>IFERROR(VLOOKUP(Table2[[#This Row], [Ticket]],Okey!A:B,2,0),"")</f>
        <v>ok</v>
      </c>
      <c r="I1155" s="13" t="s">
        <v>276</v>
      </c>
      <c r="J1155" s="22" t="e">
        <f>VLOOKUP(Table2[[#This Row], [Author]],People!A:B,2,0)</f>
        <v>#N/A</v>
      </c>
      <c r="K1155" s="13"/>
      <c r="L1155" s="13"/>
      <c r="M1155" s="23" t="s">
        <v>1613</v>
      </c>
    </row>
    <row r="1156" spans="1:13" ht="19.5" customHeight="1">
      <c r="A1156" s="18">
        <f t="shared" si="18"/>
        <v>1155</v>
      </c>
      <c r="B1156" s="11" t="s">
        <v>8</v>
      </c>
      <c r="C1156" s="11" t="s">
        <v>68</v>
      </c>
      <c r="D1156" s="11" t="s">
        <v>2454</v>
      </c>
      <c r="E1156" s="11" t="s">
        <v>2455</v>
      </c>
      <c r="F1156" s="11" t="s">
        <v>2446</v>
      </c>
      <c r="G1156" s="11" t="s">
        <v>14</v>
      </c>
      <c r="H1156" s="19" t="str">
        <f>IFERROR(VLOOKUP(Table2[[#This Row], [Ticket]],Okey!A:B,2,0),"")</f>
        <v>ok</v>
      </c>
      <c r="I1156" s="11" t="s">
        <v>276</v>
      </c>
      <c r="J1156" s="19" t="e">
        <f>VLOOKUP(Table2[[#This Row], [Author]],People!A:B,2,0)</f>
        <v>#N/A</v>
      </c>
      <c r="K1156" s="11"/>
      <c r="L1156" s="11"/>
      <c r="M1156" s="20" t="s">
        <v>1613</v>
      </c>
    </row>
    <row r="1157" spans="1:13" ht="19.5" customHeight="1">
      <c r="A1157" s="21">
        <f t="shared" si="18"/>
        <v>1156</v>
      </c>
      <c r="B1157" s="13" t="s">
        <v>8</v>
      </c>
      <c r="C1157" s="13" t="s">
        <v>68</v>
      </c>
      <c r="D1157" s="13" t="s">
        <v>2456</v>
      </c>
      <c r="E1157" s="13" t="s">
        <v>2457</v>
      </c>
      <c r="F1157" s="13" t="s">
        <v>2443</v>
      </c>
      <c r="G1157" s="13" t="s">
        <v>14</v>
      </c>
      <c r="H1157" s="22" t="str">
        <f>IFERROR(VLOOKUP(Table2[[#This Row], [Ticket]],Okey!A:B,2,0),"")</f>
        <v>ok</v>
      </c>
      <c r="I1157" s="13" t="s">
        <v>276</v>
      </c>
      <c r="J1157" s="22" t="e">
        <f>VLOOKUP(Table2[[#This Row], [Author]],People!A:B,2,0)</f>
        <v>#N/A</v>
      </c>
      <c r="K1157" s="13"/>
      <c r="L1157" s="13"/>
      <c r="M1157" s="23" t="s">
        <v>1613</v>
      </c>
    </row>
    <row r="1158" spans="1:13" ht="19.5" customHeight="1">
      <c r="A1158" s="18">
        <f t="shared" si="18"/>
        <v>1157</v>
      </c>
      <c r="B1158" s="11" t="s">
        <v>8</v>
      </c>
      <c r="C1158" s="11" t="s">
        <v>68</v>
      </c>
      <c r="D1158" s="11" t="s">
        <v>2458</v>
      </c>
      <c r="E1158" s="11" t="s">
        <v>2459</v>
      </c>
      <c r="F1158" s="11" t="s">
        <v>2456</v>
      </c>
      <c r="G1158" s="11" t="s">
        <v>14</v>
      </c>
      <c r="H1158" s="19" t="str">
        <f>IFERROR(VLOOKUP(Table2[[#This Row], [Ticket]],Okey!A:B,2,0),"")</f>
        <v>ok</v>
      </c>
      <c r="I1158" s="11" t="s">
        <v>276</v>
      </c>
      <c r="J1158" s="19" t="e">
        <f>VLOOKUP(Table2[[#This Row], [Author]],People!A:B,2,0)</f>
        <v>#N/A</v>
      </c>
      <c r="K1158" s="11"/>
      <c r="L1158" s="11"/>
      <c r="M1158" s="20" t="s">
        <v>1613</v>
      </c>
    </row>
    <row r="1159" spans="1:13" ht="19.5" customHeight="1">
      <c r="A1159" s="21">
        <f t="shared" si="18"/>
        <v>1158</v>
      </c>
      <c r="B1159" s="13" t="s">
        <v>8</v>
      </c>
      <c r="C1159" s="13" t="s">
        <v>68</v>
      </c>
      <c r="D1159" s="13" t="s">
        <v>2460</v>
      </c>
      <c r="E1159" s="13" t="s">
        <v>2461</v>
      </c>
      <c r="F1159" s="13" t="s">
        <v>2458</v>
      </c>
      <c r="G1159" s="13" t="s">
        <v>14</v>
      </c>
      <c r="H1159" s="22" t="str">
        <f>IFERROR(VLOOKUP(Table2[[#This Row], [Ticket]],Okey!A:B,2,0),"")</f>
        <v>ok</v>
      </c>
      <c r="I1159" s="13" t="s">
        <v>276</v>
      </c>
      <c r="J1159" s="22" t="e">
        <f>VLOOKUP(Table2[[#This Row], [Author]],People!A:B,2,0)</f>
        <v>#N/A</v>
      </c>
      <c r="K1159" s="13"/>
      <c r="L1159" s="13"/>
      <c r="M1159" s="23" t="s">
        <v>1613</v>
      </c>
    </row>
    <row r="1160" spans="1:13" ht="19.5" customHeight="1">
      <c r="A1160" s="18">
        <f t="shared" si="18"/>
        <v>1159</v>
      </c>
      <c r="B1160" s="11" t="s">
        <v>8</v>
      </c>
      <c r="C1160" s="11" t="s">
        <v>68</v>
      </c>
      <c r="D1160" s="11" t="s">
        <v>2462</v>
      </c>
      <c r="E1160" s="11" t="s">
        <v>2463</v>
      </c>
      <c r="F1160" s="11" t="s">
        <v>2458</v>
      </c>
      <c r="G1160" s="11" t="s">
        <v>14</v>
      </c>
      <c r="H1160" s="19" t="str">
        <f>IFERROR(VLOOKUP(Table2[[#This Row], [Ticket]],Okey!A:B,2,0),"")</f>
        <v>ok</v>
      </c>
      <c r="I1160" s="11" t="s">
        <v>276</v>
      </c>
      <c r="J1160" s="19" t="e">
        <f>VLOOKUP(Table2[[#This Row], [Author]],People!A:B,2,0)</f>
        <v>#N/A</v>
      </c>
      <c r="K1160" s="11"/>
      <c r="L1160" s="11"/>
      <c r="M1160" s="20" t="s">
        <v>1613</v>
      </c>
    </row>
    <row r="1161" spans="1:13" ht="19.5" customHeight="1">
      <c r="A1161" s="21">
        <f t="shared" si="18"/>
        <v>1160</v>
      </c>
      <c r="B1161" s="13" t="s">
        <v>8</v>
      </c>
      <c r="C1161" s="13" t="s">
        <v>68</v>
      </c>
      <c r="D1161" s="13" t="s">
        <v>2464</v>
      </c>
      <c r="E1161" s="13" t="s">
        <v>2465</v>
      </c>
      <c r="F1161" s="13" t="s">
        <v>2456</v>
      </c>
      <c r="G1161" s="13" t="s">
        <v>14</v>
      </c>
      <c r="H1161" s="22" t="str">
        <f>IFERROR(VLOOKUP(Table2[[#This Row], [Ticket]],Okey!A:B,2,0),"")</f>
        <v>ok</v>
      </c>
      <c r="I1161" s="13" t="s">
        <v>276</v>
      </c>
      <c r="J1161" s="22" t="e">
        <f>VLOOKUP(Table2[[#This Row], [Author]],People!A:B,2,0)</f>
        <v>#N/A</v>
      </c>
      <c r="K1161" s="13"/>
      <c r="L1161" s="13"/>
      <c r="M1161" s="23" t="s">
        <v>1613</v>
      </c>
    </row>
    <row r="1162" spans="1:13" ht="19.5" customHeight="1">
      <c r="A1162" s="18">
        <f t="shared" si="18"/>
        <v>1161</v>
      </c>
      <c r="B1162" s="11" t="s">
        <v>8</v>
      </c>
      <c r="C1162" s="11" t="s">
        <v>68</v>
      </c>
      <c r="D1162" s="11" t="s">
        <v>2466</v>
      </c>
      <c r="E1162" s="11" t="s">
        <v>2467</v>
      </c>
      <c r="F1162" s="11" t="s">
        <v>2445</v>
      </c>
      <c r="G1162" s="11" t="s">
        <v>14</v>
      </c>
      <c r="H1162" s="19" t="str">
        <f>IFERROR(VLOOKUP(Table2[[#This Row], [Ticket]],Okey!A:B,2,0),"")</f>
        <v>ok</v>
      </c>
      <c r="I1162" s="11" t="s">
        <v>276</v>
      </c>
      <c r="J1162" s="19" t="e">
        <f>VLOOKUP(Table2[[#This Row], [Author]],People!A:B,2,0)</f>
        <v>#N/A</v>
      </c>
      <c r="K1162" s="11"/>
      <c r="L1162" s="11"/>
      <c r="M1162" s="20" t="s">
        <v>1613</v>
      </c>
    </row>
    <row r="1163" spans="1:13" ht="19.5" customHeight="1">
      <c r="A1163" s="21">
        <f t="shared" si="18"/>
        <v>1162</v>
      </c>
      <c r="B1163" s="13" t="s">
        <v>8</v>
      </c>
      <c r="C1163" s="13" t="s">
        <v>68</v>
      </c>
      <c r="D1163" s="13" t="s">
        <v>2468</v>
      </c>
      <c r="E1163" s="13" t="s">
        <v>2469</v>
      </c>
      <c r="F1163" s="13" t="s">
        <v>2445</v>
      </c>
      <c r="G1163" s="13" t="s">
        <v>14</v>
      </c>
      <c r="H1163" s="22" t="str">
        <f>IFERROR(VLOOKUP(Table2[[#This Row], [Ticket]],Okey!A:B,2,0),"")</f>
        <v>ok</v>
      </c>
      <c r="I1163" s="13" t="s">
        <v>276</v>
      </c>
      <c r="J1163" s="22" t="e">
        <f>VLOOKUP(Table2[[#This Row], [Author]],People!A:B,2,0)</f>
        <v>#N/A</v>
      </c>
      <c r="K1163" s="13"/>
      <c r="L1163" s="13"/>
      <c r="M1163" s="23" t="s">
        <v>1613</v>
      </c>
    </row>
    <row r="1164" spans="1:13" ht="19.5" customHeight="1">
      <c r="A1164" s="18">
        <f t="shared" si="18"/>
        <v>1163</v>
      </c>
      <c r="B1164" s="11" t="s">
        <v>8</v>
      </c>
      <c r="C1164" s="11" t="s">
        <v>68</v>
      </c>
      <c r="D1164" s="11" t="s">
        <v>2470</v>
      </c>
      <c r="E1164" s="11" t="s">
        <v>2471</v>
      </c>
      <c r="F1164" s="11" t="s">
        <v>2445</v>
      </c>
      <c r="G1164" s="11" t="s">
        <v>14</v>
      </c>
      <c r="H1164" s="19" t="str">
        <f>IFERROR(VLOOKUP(Table2[[#This Row], [Ticket]],Okey!A:B,2,0),"")</f>
        <v>ok</v>
      </c>
      <c r="I1164" s="11" t="s">
        <v>276</v>
      </c>
      <c r="J1164" s="19" t="e">
        <f>VLOOKUP(Table2[[#This Row], [Author]],People!A:B,2,0)</f>
        <v>#N/A</v>
      </c>
      <c r="K1164" s="11"/>
      <c r="L1164" s="11"/>
      <c r="M1164" s="20" t="s">
        <v>1613</v>
      </c>
    </row>
    <row r="1165" spans="1:13" ht="19.5" customHeight="1">
      <c r="A1165" s="21">
        <f t="shared" si="18"/>
        <v>1164</v>
      </c>
      <c r="B1165" s="13" t="s">
        <v>8</v>
      </c>
      <c r="C1165" s="13" t="s">
        <v>68</v>
      </c>
      <c r="D1165" s="13" t="s">
        <v>2472</v>
      </c>
      <c r="E1165" s="13" t="s">
        <v>2473</v>
      </c>
      <c r="F1165" s="13" t="s">
        <v>1621</v>
      </c>
      <c r="G1165" s="13" t="s">
        <v>14</v>
      </c>
      <c r="H1165" s="22" t="str">
        <f>IFERROR(VLOOKUP(Table2[[#This Row], [Ticket]],Okey!A:B,2,0),"")</f>
        <v>ok</v>
      </c>
      <c r="I1165" s="13" t="s">
        <v>276</v>
      </c>
      <c r="J1165" s="22" t="e">
        <f>VLOOKUP(Table2[[#This Row], [Author]],People!A:B,2,0)</f>
        <v>#N/A</v>
      </c>
      <c r="K1165" s="13"/>
      <c r="L1165" s="13"/>
      <c r="M1165" s="23" t="s">
        <v>1613</v>
      </c>
    </row>
    <row r="1166" spans="1:13" ht="19.5" customHeight="1">
      <c r="A1166" s="18">
        <f t="shared" si="18"/>
        <v>1165</v>
      </c>
      <c r="B1166" s="11" t="s">
        <v>8</v>
      </c>
      <c r="C1166" s="11" t="s">
        <v>68</v>
      </c>
      <c r="D1166" s="11" t="s">
        <v>2474</v>
      </c>
      <c r="E1166" s="11" t="s">
        <v>2475</v>
      </c>
      <c r="F1166" s="11" t="s">
        <v>2472</v>
      </c>
      <c r="G1166" s="11" t="s">
        <v>14</v>
      </c>
      <c r="H1166" s="19" t="str">
        <f>IFERROR(VLOOKUP(Table2[[#This Row], [Ticket]],Okey!A:B,2,0),"")</f>
        <v>ok</v>
      </c>
      <c r="I1166" s="11" t="s">
        <v>276</v>
      </c>
      <c r="J1166" s="19" t="e">
        <f>VLOOKUP(Table2[[#This Row], [Author]],People!A:B,2,0)</f>
        <v>#N/A</v>
      </c>
      <c r="K1166" s="11"/>
      <c r="L1166" s="11"/>
      <c r="M1166" s="20" t="s">
        <v>1613</v>
      </c>
    </row>
    <row r="1167" spans="1:13" ht="19.5" customHeight="1">
      <c r="A1167" s="21">
        <f t="shared" si="18"/>
        <v>1166</v>
      </c>
      <c r="B1167" s="13" t="s">
        <v>8</v>
      </c>
      <c r="C1167" s="13" t="s">
        <v>68</v>
      </c>
      <c r="D1167" s="13" t="s">
        <v>2476</v>
      </c>
      <c r="E1167" s="13" t="s">
        <v>2477</v>
      </c>
      <c r="F1167" s="13" t="s">
        <v>2474</v>
      </c>
      <c r="G1167" s="13" t="s">
        <v>14</v>
      </c>
      <c r="H1167" s="22" t="str">
        <f>IFERROR(VLOOKUP(Table2[[#This Row], [Ticket]],Okey!A:B,2,0),"")</f>
        <v>ok</v>
      </c>
      <c r="I1167" s="13" t="s">
        <v>276</v>
      </c>
      <c r="J1167" s="22" t="e">
        <f>VLOOKUP(Table2[[#This Row], [Author]],People!A:B,2,0)</f>
        <v>#N/A</v>
      </c>
      <c r="K1167" s="13"/>
      <c r="L1167" s="13"/>
      <c r="M1167" s="23" t="s">
        <v>1613</v>
      </c>
    </row>
    <row r="1168" spans="1:13" ht="19.5" customHeight="1">
      <c r="A1168" s="18">
        <f t="shared" si="18"/>
        <v>1167</v>
      </c>
      <c r="B1168" s="11" t="s">
        <v>8</v>
      </c>
      <c r="C1168" s="11" t="s">
        <v>68</v>
      </c>
      <c r="D1168" s="11" t="s">
        <v>2478</v>
      </c>
      <c r="E1168" s="11" t="s">
        <v>2479</v>
      </c>
      <c r="F1168" s="11" t="s">
        <v>2476</v>
      </c>
      <c r="G1168" s="11" t="s">
        <v>14</v>
      </c>
      <c r="H1168" s="19" t="str">
        <f>IFERROR(VLOOKUP(Table2[[#This Row], [Ticket]],Okey!A:B,2,0),"")</f>
        <v>ok</v>
      </c>
      <c r="I1168" s="11" t="s">
        <v>276</v>
      </c>
      <c r="J1168" s="19" t="e">
        <f>VLOOKUP(Table2[[#This Row], [Author]],People!A:B,2,0)</f>
        <v>#N/A</v>
      </c>
      <c r="K1168" s="11"/>
      <c r="L1168" s="11"/>
      <c r="M1168" s="20" t="s">
        <v>1613</v>
      </c>
    </row>
    <row r="1169" spans="1:13" ht="19.5" customHeight="1">
      <c r="A1169" s="21">
        <f t="shared" si="18"/>
        <v>1168</v>
      </c>
      <c r="B1169" s="13" t="s">
        <v>8</v>
      </c>
      <c r="C1169" s="13" t="s">
        <v>68</v>
      </c>
      <c r="D1169" s="13" t="s">
        <v>2480</v>
      </c>
      <c r="E1169" s="13" t="s">
        <v>2481</v>
      </c>
      <c r="F1169" s="13" t="s">
        <v>2476</v>
      </c>
      <c r="G1169" s="13" t="s">
        <v>14</v>
      </c>
      <c r="H1169" s="22" t="str">
        <f>IFERROR(VLOOKUP(Table2[[#This Row], [Ticket]],Okey!A:B,2,0),"")</f>
        <v>ok</v>
      </c>
      <c r="I1169" s="13" t="s">
        <v>276</v>
      </c>
      <c r="J1169" s="22" t="e">
        <f>VLOOKUP(Table2[[#This Row], [Author]],People!A:B,2,0)</f>
        <v>#N/A</v>
      </c>
      <c r="K1169" s="13"/>
      <c r="L1169" s="13"/>
      <c r="M1169" s="23" t="s">
        <v>1613</v>
      </c>
    </row>
    <row r="1170" spans="1:13" ht="19.5" customHeight="1">
      <c r="A1170" s="18">
        <f t="shared" si="18"/>
        <v>1169</v>
      </c>
      <c r="B1170" s="11" t="s">
        <v>8</v>
      </c>
      <c r="C1170" s="11" t="s">
        <v>68</v>
      </c>
      <c r="D1170" s="11" t="s">
        <v>2482</v>
      </c>
      <c r="E1170" s="11" t="s">
        <v>2483</v>
      </c>
      <c r="F1170" s="11" t="s">
        <v>2474</v>
      </c>
      <c r="G1170" s="11" t="s">
        <v>14</v>
      </c>
      <c r="H1170" s="19" t="str">
        <f>IFERROR(VLOOKUP(Table2[[#This Row], [Ticket]],Okey!A:B,2,0),"")</f>
        <v>ok</v>
      </c>
      <c r="I1170" s="11" t="s">
        <v>276</v>
      </c>
      <c r="J1170" s="19" t="e">
        <f>VLOOKUP(Table2[[#This Row], [Author]],People!A:B,2,0)</f>
        <v>#N/A</v>
      </c>
      <c r="K1170" s="11"/>
      <c r="L1170" s="11"/>
      <c r="M1170" s="20" t="s">
        <v>1613</v>
      </c>
    </row>
    <row r="1171" spans="1:13" ht="19.5" customHeight="1">
      <c r="A1171" s="21">
        <f t="shared" si="18"/>
        <v>1170</v>
      </c>
      <c r="B1171" s="13" t="s">
        <v>8</v>
      </c>
      <c r="C1171" s="13" t="s">
        <v>68</v>
      </c>
      <c r="D1171" s="13" t="s">
        <v>2484</v>
      </c>
      <c r="E1171" s="13" t="s">
        <v>2485</v>
      </c>
      <c r="F1171" s="13" t="s">
        <v>2472</v>
      </c>
      <c r="G1171" s="13" t="s">
        <v>14</v>
      </c>
      <c r="H1171" s="22" t="str">
        <f>IFERROR(VLOOKUP(Table2[[#This Row], [Ticket]],Okey!A:B,2,0),"")</f>
        <v>ok</v>
      </c>
      <c r="I1171" s="13" t="s">
        <v>276</v>
      </c>
      <c r="J1171" s="22" t="e">
        <f>VLOOKUP(Table2[[#This Row], [Author]],People!A:B,2,0)</f>
        <v>#N/A</v>
      </c>
      <c r="K1171" s="13"/>
      <c r="L1171" s="13"/>
      <c r="M1171" s="23" t="s">
        <v>1613</v>
      </c>
    </row>
    <row r="1172" spans="1:13" ht="19.5" customHeight="1">
      <c r="A1172" s="18">
        <f t="shared" si="18"/>
        <v>1171</v>
      </c>
      <c r="B1172" s="11" t="s">
        <v>8</v>
      </c>
      <c r="C1172" s="11" t="s">
        <v>68</v>
      </c>
      <c r="D1172" s="11" t="s">
        <v>2486</v>
      </c>
      <c r="E1172" s="11" t="s">
        <v>2487</v>
      </c>
      <c r="F1172" s="11" t="s">
        <v>2484</v>
      </c>
      <c r="G1172" s="11" t="s">
        <v>14</v>
      </c>
      <c r="H1172" s="19" t="str">
        <f>IFERROR(VLOOKUP(Table2[[#This Row], [Ticket]],Okey!A:B,2,0),"")</f>
        <v>ok</v>
      </c>
      <c r="I1172" s="11" t="s">
        <v>276</v>
      </c>
      <c r="J1172" s="19" t="e">
        <f>VLOOKUP(Table2[[#This Row], [Author]],People!A:B,2,0)</f>
        <v>#N/A</v>
      </c>
      <c r="K1172" s="11"/>
      <c r="L1172" s="11"/>
      <c r="M1172" s="20" t="s">
        <v>1613</v>
      </c>
    </row>
    <row r="1173" spans="1:13" ht="19.5" customHeight="1">
      <c r="A1173" s="21">
        <f t="shared" si="18"/>
        <v>1172</v>
      </c>
      <c r="B1173" s="13" t="s">
        <v>8</v>
      </c>
      <c r="C1173" s="13" t="s">
        <v>68</v>
      </c>
      <c r="D1173" s="13" t="s">
        <v>2488</v>
      </c>
      <c r="E1173" s="13" t="s">
        <v>2489</v>
      </c>
      <c r="F1173" s="13" t="s">
        <v>2486</v>
      </c>
      <c r="G1173" s="13" t="s">
        <v>14</v>
      </c>
      <c r="H1173" s="22" t="str">
        <f>IFERROR(VLOOKUP(Table2[[#This Row], [Ticket]],Okey!A:B,2,0),"")</f>
        <v>ok</v>
      </c>
      <c r="I1173" s="13" t="s">
        <v>276</v>
      </c>
      <c r="J1173" s="22" t="e">
        <f>VLOOKUP(Table2[[#This Row], [Author]],People!A:B,2,0)</f>
        <v>#N/A</v>
      </c>
      <c r="K1173" s="13"/>
      <c r="L1173" s="13"/>
      <c r="M1173" s="23" t="s">
        <v>1613</v>
      </c>
    </row>
    <row r="1174" spans="1:13" ht="19.5" customHeight="1">
      <c r="A1174" s="18">
        <f t="shared" si="18"/>
        <v>1173</v>
      </c>
      <c r="B1174" s="11" t="s">
        <v>8</v>
      </c>
      <c r="C1174" s="11" t="s">
        <v>68</v>
      </c>
      <c r="D1174" s="11" t="s">
        <v>2490</v>
      </c>
      <c r="E1174" s="11" t="s">
        <v>2491</v>
      </c>
      <c r="F1174" s="11" t="s">
        <v>2486</v>
      </c>
      <c r="G1174" s="11" t="s">
        <v>14</v>
      </c>
      <c r="H1174" s="19" t="str">
        <f>IFERROR(VLOOKUP(Table2[[#This Row], [Ticket]],Okey!A:B,2,0),"")</f>
        <v>ok</v>
      </c>
      <c r="I1174" s="11" t="s">
        <v>276</v>
      </c>
      <c r="J1174" s="19" t="e">
        <f>VLOOKUP(Table2[[#This Row], [Author]],People!A:B,2,0)</f>
        <v>#N/A</v>
      </c>
      <c r="K1174" s="11"/>
      <c r="L1174" s="11"/>
      <c r="M1174" s="20" t="s">
        <v>1613</v>
      </c>
    </row>
    <row r="1175" spans="1:13" ht="19.5" customHeight="1">
      <c r="A1175" s="21">
        <f t="shared" si="18"/>
        <v>1174</v>
      </c>
      <c r="B1175" s="13" t="s">
        <v>8</v>
      </c>
      <c r="C1175" s="13" t="s">
        <v>68</v>
      </c>
      <c r="D1175" s="13" t="s">
        <v>2492</v>
      </c>
      <c r="E1175" s="13" t="s">
        <v>2493</v>
      </c>
      <c r="F1175" s="13" t="s">
        <v>2484</v>
      </c>
      <c r="G1175" s="13" t="s">
        <v>14</v>
      </c>
      <c r="H1175" s="22" t="str">
        <f>IFERROR(VLOOKUP(Table2[[#This Row], [Ticket]],Okey!A:B,2,0),"")</f>
        <v>ok</v>
      </c>
      <c r="I1175" s="13" t="s">
        <v>276</v>
      </c>
      <c r="J1175" s="22" t="e">
        <f>VLOOKUP(Table2[[#This Row], [Author]],People!A:B,2,0)</f>
        <v>#N/A</v>
      </c>
      <c r="K1175" s="13"/>
      <c r="L1175" s="13"/>
      <c r="M1175" s="23" t="s">
        <v>1613</v>
      </c>
    </row>
    <row r="1176" spans="1:13" ht="19.5" customHeight="1">
      <c r="A1176" s="18">
        <f t="shared" si="18"/>
        <v>1175</v>
      </c>
      <c r="B1176" s="11" t="s">
        <v>8</v>
      </c>
      <c r="C1176" s="11" t="s">
        <v>68</v>
      </c>
      <c r="D1176" s="11" t="s">
        <v>2494</v>
      </c>
      <c r="E1176" s="11" t="s">
        <v>2495</v>
      </c>
      <c r="F1176" s="11" t="s">
        <v>1621</v>
      </c>
      <c r="G1176" s="11" t="s">
        <v>14</v>
      </c>
      <c r="H1176" s="19" t="str">
        <f>IFERROR(VLOOKUP(Table2[[#This Row], [Ticket]],Okey!A:B,2,0),"")</f>
        <v>ok</v>
      </c>
      <c r="I1176" s="11" t="s">
        <v>276</v>
      </c>
      <c r="J1176" s="19" t="e">
        <f>VLOOKUP(Table2[[#This Row], [Author]],People!A:B,2,0)</f>
        <v>#N/A</v>
      </c>
      <c r="K1176" s="11"/>
      <c r="L1176" s="11"/>
      <c r="M1176" s="20" t="s">
        <v>1613</v>
      </c>
    </row>
    <row r="1177" spans="1:13" ht="19.5" customHeight="1">
      <c r="A1177" s="21">
        <f t="shared" si="18"/>
        <v>1176</v>
      </c>
      <c r="B1177" s="13" t="s">
        <v>8</v>
      </c>
      <c r="C1177" s="13" t="s">
        <v>68</v>
      </c>
      <c r="D1177" s="13" t="s">
        <v>2496</v>
      </c>
      <c r="E1177" s="13" t="s">
        <v>2497</v>
      </c>
      <c r="F1177" s="13" t="s">
        <v>1621</v>
      </c>
      <c r="G1177" s="13" t="s">
        <v>14</v>
      </c>
      <c r="H1177" s="22" t="str">
        <f>IFERROR(VLOOKUP(Table2[[#This Row], [Ticket]],Okey!A:B,2,0),"")</f>
        <v>ok</v>
      </c>
      <c r="I1177" s="13" t="s">
        <v>276</v>
      </c>
      <c r="J1177" s="22" t="e">
        <f>VLOOKUP(Table2[[#This Row], [Author]],People!A:B,2,0)</f>
        <v>#N/A</v>
      </c>
      <c r="K1177" s="13"/>
      <c r="L1177" s="13"/>
      <c r="M1177" s="23" t="s">
        <v>1613</v>
      </c>
    </row>
    <row r="1178" spans="1:13" ht="19.5" customHeight="1">
      <c r="A1178" s="18">
        <f t="shared" si="18"/>
        <v>1177</v>
      </c>
      <c r="B1178" s="11" t="s">
        <v>8</v>
      </c>
      <c r="C1178" s="11" t="s">
        <v>68</v>
      </c>
      <c r="D1178" s="11" t="s">
        <v>2498</v>
      </c>
      <c r="E1178" s="11" t="s">
        <v>2499</v>
      </c>
      <c r="F1178" s="11" t="s">
        <v>2500</v>
      </c>
      <c r="G1178" s="11" t="s">
        <v>14</v>
      </c>
      <c r="H1178" s="19" t="str">
        <f>IFERROR(VLOOKUP(Table2[[#This Row], [Ticket]],Okey!A:B,2,0),"")</f>
        <v>ok</v>
      </c>
      <c r="I1178" s="11" t="s">
        <v>276</v>
      </c>
      <c r="J1178" s="19" t="e">
        <f>VLOOKUP(Table2[[#This Row], [Author]],People!A:B,2,0)</f>
        <v>#N/A</v>
      </c>
      <c r="K1178" s="11"/>
      <c r="L1178" s="11"/>
      <c r="M1178" s="20" t="s">
        <v>1613</v>
      </c>
    </row>
    <row r="1179" spans="1:13" ht="19.5" customHeight="1">
      <c r="A1179" s="21">
        <f t="shared" si="18"/>
        <v>1178</v>
      </c>
      <c r="B1179" s="13" t="s">
        <v>8</v>
      </c>
      <c r="C1179" s="13" t="s">
        <v>68</v>
      </c>
      <c r="D1179" s="13" t="s">
        <v>2501</v>
      </c>
      <c r="E1179" s="13" t="s">
        <v>2502</v>
      </c>
      <c r="F1179" s="13" t="s">
        <v>2498</v>
      </c>
      <c r="G1179" s="13" t="s">
        <v>14</v>
      </c>
      <c r="H1179" s="22" t="str">
        <f>IFERROR(VLOOKUP(Table2[[#This Row], [Ticket]],Okey!A:B,2,0),"")</f>
        <v>ok</v>
      </c>
      <c r="I1179" s="13" t="s">
        <v>276</v>
      </c>
      <c r="J1179" s="22" t="e">
        <f>VLOOKUP(Table2[[#This Row], [Author]],People!A:B,2,0)</f>
        <v>#N/A</v>
      </c>
      <c r="K1179" s="13"/>
      <c r="L1179" s="13"/>
      <c r="M1179" s="23" t="s">
        <v>1613</v>
      </c>
    </row>
    <row r="1180" spans="1:13" ht="19.5" customHeight="1">
      <c r="A1180" s="18">
        <f t="shared" si="18"/>
        <v>1179</v>
      </c>
      <c r="B1180" s="11" t="s">
        <v>8</v>
      </c>
      <c r="C1180" s="11" t="s">
        <v>68</v>
      </c>
      <c r="D1180" s="11" t="s">
        <v>2503</v>
      </c>
      <c r="E1180" s="11" t="s">
        <v>2504</v>
      </c>
      <c r="F1180" s="11" t="s">
        <v>2501</v>
      </c>
      <c r="G1180" s="11" t="s">
        <v>14</v>
      </c>
      <c r="H1180" s="19" t="str">
        <f>IFERROR(VLOOKUP(Table2[[#This Row], [Ticket]],Okey!A:B,2,0),"")</f>
        <v>ok</v>
      </c>
      <c r="I1180" s="11" t="s">
        <v>276</v>
      </c>
      <c r="J1180" s="19" t="e">
        <f>VLOOKUP(Table2[[#This Row], [Author]],People!A:B,2,0)</f>
        <v>#N/A</v>
      </c>
      <c r="K1180" s="11"/>
      <c r="L1180" s="11"/>
      <c r="M1180" s="20" t="s">
        <v>1613</v>
      </c>
    </row>
    <row r="1181" spans="1:13" ht="19.5" customHeight="1">
      <c r="A1181" s="21">
        <f t="shared" si="18"/>
        <v>1180</v>
      </c>
      <c r="B1181" s="13" t="s">
        <v>8</v>
      </c>
      <c r="C1181" s="13" t="s">
        <v>68</v>
      </c>
      <c r="D1181" s="13" t="s">
        <v>2505</v>
      </c>
      <c r="E1181" s="13" t="s">
        <v>2506</v>
      </c>
      <c r="F1181" s="13" t="s">
        <v>2503</v>
      </c>
      <c r="G1181" s="13" t="s">
        <v>14</v>
      </c>
      <c r="H1181" s="22" t="str">
        <f>IFERROR(VLOOKUP(Table2[[#This Row], [Ticket]],Okey!A:B,2,0),"")</f>
        <v>ok</v>
      </c>
      <c r="I1181" s="13" t="s">
        <v>276</v>
      </c>
      <c r="J1181" s="22" t="e">
        <f>VLOOKUP(Table2[[#This Row], [Author]],People!A:B,2,0)</f>
        <v>#N/A</v>
      </c>
      <c r="K1181" s="13"/>
      <c r="L1181" s="13"/>
      <c r="M1181" s="23" t="s">
        <v>1613</v>
      </c>
    </row>
    <row r="1182" spans="1:13" ht="19.5" customHeight="1">
      <c r="A1182" s="18">
        <f t="shared" si="18"/>
        <v>1181</v>
      </c>
      <c r="B1182" s="11" t="s">
        <v>8</v>
      </c>
      <c r="C1182" s="11" t="s">
        <v>68</v>
      </c>
      <c r="D1182" s="11" t="s">
        <v>2507</v>
      </c>
      <c r="E1182" s="11" t="s">
        <v>2508</v>
      </c>
      <c r="F1182" s="11" t="s">
        <v>2503</v>
      </c>
      <c r="G1182" s="11" t="s">
        <v>14</v>
      </c>
      <c r="H1182" s="19" t="str">
        <f>IFERROR(VLOOKUP(Table2[[#This Row], [Ticket]],Okey!A:B,2,0),"")</f>
        <v>ok</v>
      </c>
      <c r="I1182" s="11" t="s">
        <v>276</v>
      </c>
      <c r="J1182" s="19" t="e">
        <f>VLOOKUP(Table2[[#This Row], [Author]],People!A:B,2,0)</f>
        <v>#N/A</v>
      </c>
      <c r="K1182" s="11"/>
      <c r="L1182" s="11"/>
      <c r="M1182" s="20" t="s">
        <v>1613</v>
      </c>
    </row>
    <row r="1183" spans="1:13" ht="19.5" customHeight="1">
      <c r="A1183" s="21">
        <f t="shared" si="18"/>
        <v>1182</v>
      </c>
      <c r="B1183" s="13" t="s">
        <v>8</v>
      </c>
      <c r="C1183" s="13" t="s">
        <v>68</v>
      </c>
      <c r="D1183" s="13" t="s">
        <v>2509</v>
      </c>
      <c r="E1183" s="13" t="s">
        <v>2510</v>
      </c>
      <c r="F1183" s="13" t="s">
        <v>2498</v>
      </c>
      <c r="G1183" s="13" t="s">
        <v>14</v>
      </c>
      <c r="H1183" s="22" t="str">
        <f>IFERROR(VLOOKUP(Table2[[#This Row], [Ticket]],Okey!A:B,2,0),"")</f>
        <v>ok</v>
      </c>
      <c r="I1183" s="13" t="s">
        <v>276</v>
      </c>
      <c r="J1183" s="22" t="e">
        <f>VLOOKUP(Table2[[#This Row], [Author]],People!A:B,2,0)</f>
        <v>#N/A</v>
      </c>
      <c r="K1183" s="13"/>
      <c r="L1183" s="13"/>
      <c r="M1183" s="23" t="s">
        <v>1613</v>
      </c>
    </row>
    <row r="1184" spans="1:13" ht="19.5" customHeight="1">
      <c r="A1184" s="18">
        <f t="shared" si="18"/>
        <v>1183</v>
      </c>
      <c r="B1184" s="11" t="s">
        <v>8</v>
      </c>
      <c r="C1184" s="11" t="s">
        <v>68</v>
      </c>
      <c r="D1184" s="11" t="s">
        <v>2511</v>
      </c>
      <c r="E1184" s="11" t="s">
        <v>2512</v>
      </c>
      <c r="F1184" s="11" t="s">
        <v>2500</v>
      </c>
      <c r="G1184" s="11" t="s">
        <v>14</v>
      </c>
      <c r="H1184" s="19" t="str">
        <f>IFERROR(VLOOKUP(Table2[[#This Row], [Ticket]],Okey!A:B,2,0),"")</f>
        <v>ok</v>
      </c>
      <c r="I1184" s="11" t="s">
        <v>276</v>
      </c>
      <c r="J1184" s="19" t="e">
        <f>VLOOKUP(Table2[[#This Row], [Author]],People!A:B,2,0)</f>
        <v>#N/A</v>
      </c>
      <c r="K1184" s="11"/>
      <c r="L1184" s="11"/>
      <c r="M1184" s="20" t="s">
        <v>1613</v>
      </c>
    </row>
    <row r="1185" spans="1:13" ht="19.5" customHeight="1">
      <c r="A1185" s="21">
        <f t="shared" si="18"/>
        <v>1184</v>
      </c>
      <c r="B1185" s="13" t="s">
        <v>8</v>
      </c>
      <c r="C1185" s="13" t="s">
        <v>68</v>
      </c>
      <c r="D1185" s="13" t="s">
        <v>2513</v>
      </c>
      <c r="E1185" s="13" t="s">
        <v>2514</v>
      </c>
      <c r="F1185" s="13" t="s">
        <v>2515</v>
      </c>
      <c r="G1185" s="13" t="s">
        <v>14</v>
      </c>
      <c r="H1185" s="22" t="str">
        <f>IFERROR(VLOOKUP(Table2[[#This Row], [Ticket]],Okey!A:B,2,0),"")</f>
        <v>ok</v>
      </c>
      <c r="I1185" s="13" t="s">
        <v>276</v>
      </c>
      <c r="J1185" s="22" t="e">
        <f>VLOOKUP(Table2[[#This Row], [Author]],People!A:B,2,0)</f>
        <v>#N/A</v>
      </c>
      <c r="K1185" s="13"/>
      <c r="L1185" s="13"/>
      <c r="M1185" s="23" t="s">
        <v>1613</v>
      </c>
    </row>
    <row r="1186" spans="1:13" ht="19.5" customHeight="1">
      <c r="A1186" s="18">
        <f t="shared" si="18"/>
        <v>1185</v>
      </c>
      <c r="B1186" s="11" t="s">
        <v>8</v>
      </c>
      <c r="C1186" s="11" t="s">
        <v>68</v>
      </c>
      <c r="D1186" s="11" t="s">
        <v>2516</v>
      </c>
      <c r="E1186" s="11" t="s">
        <v>2517</v>
      </c>
      <c r="F1186" s="11" t="s">
        <v>2518</v>
      </c>
      <c r="G1186" s="11" t="s">
        <v>14</v>
      </c>
      <c r="H1186" s="19" t="str">
        <f>IFERROR(VLOOKUP(Table2[[#This Row], [Ticket]],Okey!A:B,2,0),"")</f>
        <v>ok</v>
      </c>
      <c r="I1186" s="11" t="s">
        <v>276</v>
      </c>
      <c r="J1186" s="19" t="e">
        <f>VLOOKUP(Table2[[#This Row], [Author]],People!A:B,2,0)</f>
        <v>#N/A</v>
      </c>
      <c r="K1186" s="11"/>
      <c r="L1186" s="11"/>
      <c r="M1186" s="20" t="s">
        <v>1613</v>
      </c>
    </row>
    <row r="1187" spans="1:13" ht="19.5" customHeight="1">
      <c r="A1187" s="21">
        <f t="shared" si="18"/>
        <v>1186</v>
      </c>
      <c r="B1187" s="13" t="s">
        <v>8</v>
      </c>
      <c r="C1187" s="13" t="s">
        <v>68</v>
      </c>
      <c r="D1187" s="13" t="s">
        <v>2519</v>
      </c>
      <c r="E1187" s="13" t="s">
        <v>2520</v>
      </c>
      <c r="F1187" s="13" t="s">
        <v>2518</v>
      </c>
      <c r="G1187" s="13" t="s">
        <v>14</v>
      </c>
      <c r="H1187" s="22" t="str">
        <f>IFERROR(VLOOKUP(Table2[[#This Row], [Ticket]],Okey!A:B,2,0),"")</f>
        <v>ok</v>
      </c>
      <c r="I1187" s="13" t="s">
        <v>276</v>
      </c>
      <c r="J1187" s="22" t="e">
        <f>VLOOKUP(Table2[[#This Row], [Author]],People!A:B,2,0)</f>
        <v>#N/A</v>
      </c>
      <c r="K1187" s="13"/>
      <c r="L1187" s="13"/>
      <c r="M1187" s="23" t="s">
        <v>1613</v>
      </c>
    </row>
    <row r="1188" spans="1:13" ht="19.5" customHeight="1">
      <c r="A1188" s="18">
        <f t="shared" si="18"/>
        <v>1187</v>
      </c>
      <c r="B1188" s="11" t="s">
        <v>8</v>
      </c>
      <c r="C1188" s="11" t="s">
        <v>68</v>
      </c>
      <c r="D1188" s="11" t="s">
        <v>2521</v>
      </c>
      <c r="E1188" s="11" t="s">
        <v>2522</v>
      </c>
      <c r="F1188" s="11" t="s">
        <v>2144</v>
      </c>
      <c r="G1188" s="11" t="s">
        <v>14</v>
      </c>
      <c r="H1188" s="19" t="str">
        <f>IFERROR(VLOOKUP(Table2[[#This Row], [Ticket]],Okey!A:B,2,0),"")</f>
        <v>ok</v>
      </c>
      <c r="I1188" s="11" t="s">
        <v>276</v>
      </c>
      <c r="J1188" s="19" t="e">
        <f>VLOOKUP(Table2[[#This Row], [Author]],People!A:B,2,0)</f>
        <v>#N/A</v>
      </c>
      <c r="K1188" s="11"/>
      <c r="L1188" s="11"/>
      <c r="M1188" s="20" t="s">
        <v>1613</v>
      </c>
    </row>
    <row r="1189" spans="1:13" ht="19.5" customHeight="1">
      <c r="A1189" s="21">
        <f t="shared" si="18"/>
        <v>1188</v>
      </c>
      <c r="B1189" s="13" t="s">
        <v>8</v>
      </c>
      <c r="C1189" s="13" t="s">
        <v>68</v>
      </c>
      <c r="D1189" s="13" t="s">
        <v>2523</v>
      </c>
      <c r="E1189" s="13" t="s">
        <v>2524</v>
      </c>
      <c r="F1189" s="13" t="s">
        <v>2144</v>
      </c>
      <c r="G1189" s="13" t="s">
        <v>14</v>
      </c>
      <c r="H1189" s="22" t="str">
        <f>IFERROR(VLOOKUP(Table2[[#This Row], [Ticket]],Okey!A:B,2,0),"")</f>
        <v>ok</v>
      </c>
      <c r="I1189" s="13" t="s">
        <v>276</v>
      </c>
      <c r="J1189" s="22" t="e">
        <f>VLOOKUP(Table2[[#This Row], [Author]],People!A:B,2,0)</f>
        <v>#N/A</v>
      </c>
      <c r="K1189" s="13"/>
      <c r="L1189" s="13"/>
      <c r="M1189" s="23" t="s">
        <v>1613</v>
      </c>
    </row>
    <row r="1190" spans="1:13" ht="19.5" customHeight="1">
      <c r="A1190" s="18">
        <f t="shared" si="18"/>
        <v>1189</v>
      </c>
      <c r="B1190" s="11" t="s">
        <v>8</v>
      </c>
      <c r="C1190" s="11" t="s">
        <v>68</v>
      </c>
      <c r="D1190" s="11" t="s">
        <v>2525</v>
      </c>
      <c r="E1190" s="11" t="s">
        <v>2526</v>
      </c>
      <c r="F1190" s="11" t="s">
        <v>2144</v>
      </c>
      <c r="G1190" s="11" t="s">
        <v>14</v>
      </c>
      <c r="H1190" s="19" t="str">
        <f>IFERROR(VLOOKUP(Table2[[#This Row], [Ticket]],Okey!A:B,2,0),"")</f>
        <v>ok</v>
      </c>
      <c r="I1190" s="11" t="s">
        <v>276</v>
      </c>
      <c r="J1190" s="19" t="e">
        <f>VLOOKUP(Table2[[#This Row], [Author]],People!A:B,2,0)</f>
        <v>#N/A</v>
      </c>
      <c r="K1190" s="11"/>
      <c r="L1190" s="11"/>
      <c r="M1190" s="20" t="s">
        <v>1613</v>
      </c>
    </row>
    <row r="1191" spans="1:13" ht="19.5" customHeight="1">
      <c r="A1191" s="21">
        <f t="shared" si="18"/>
        <v>1190</v>
      </c>
      <c r="B1191" s="13" t="s">
        <v>8</v>
      </c>
      <c r="C1191" s="13" t="s">
        <v>68</v>
      </c>
      <c r="D1191" s="13" t="s">
        <v>2527</v>
      </c>
      <c r="E1191" s="13" t="s">
        <v>2528</v>
      </c>
      <c r="F1191" s="13" t="s">
        <v>2144</v>
      </c>
      <c r="G1191" s="13" t="s">
        <v>14</v>
      </c>
      <c r="H1191" s="22" t="str">
        <f>IFERROR(VLOOKUP(Table2[[#This Row], [Ticket]],Okey!A:B,2,0),"")</f>
        <v>ok</v>
      </c>
      <c r="I1191" s="13" t="s">
        <v>276</v>
      </c>
      <c r="J1191" s="22" t="e">
        <f>VLOOKUP(Table2[[#This Row], [Author]],People!A:B,2,0)</f>
        <v>#N/A</v>
      </c>
      <c r="K1191" s="13"/>
      <c r="L1191" s="13"/>
      <c r="M1191" s="23" t="s">
        <v>1613</v>
      </c>
    </row>
    <row r="1192" spans="1:13" ht="19.5" customHeight="1">
      <c r="A1192" s="18">
        <f t="shared" si="18"/>
        <v>1191</v>
      </c>
      <c r="B1192" s="11" t="s">
        <v>8</v>
      </c>
      <c r="C1192" s="11" t="s">
        <v>68</v>
      </c>
      <c r="D1192" s="11" t="s">
        <v>2529</v>
      </c>
      <c r="E1192" s="11" t="s">
        <v>2530</v>
      </c>
      <c r="F1192" s="11" t="s">
        <v>2144</v>
      </c>
      <c r="G1192" s="11" t="s">
        <v>14</v>
      </c>
      <c r="H1192" s="19" t="str">
        <f>IFERROR(VLOOKUP(Table2[[#This Row], [Ticket]],Okey!A:B,2,0),"")</f>
        <v>ok</v>
      </c>
      <c r="I1192" s="11" t="s">
        <v>276</v>
      </c>
      <c r="J1192" s="19" t="e">
        <f>VLOOKUP(Table2[[#This Row], [Author]],People!A:B,2,0)</f>
        <v>#N/A</v>
      </c>
      <c r="K1192" s="11"/>
      <c r="L1192" s="11"/>
      <c r="M1192" s="20" t="s">
        <v>1613</v>
      </c>
    </row>
    <row r="1193" spans="1:13" ht="19.5" customHeight="1">
      <c r="A1193" s="21">
        <f t="shared" si="18"/>
        <v>1192</v>
      </c>
      <c r="B1193" s="13" t="s">
        <v>8</v>
      </c>
      <c r="C1193" s="13" t="s">
        <v>68</v>
      </c>
      <c r="D1193" s="13" t="s">
        <v>2531</v>
      </c>
      <c r="E1193" s="13" t="s">
        <v>2532</v>
      </c>
      <c r="F1193" s="13" t="s">
        <v>2144</v>
      </c>
      <c r="G1193" s="13" t="s">
        <v>14</v>
      </c>
      <c r="H1193" s="22" t="str">
        <f>IFERROR(VLOOKUP(Table2[[#This Row], [Ticket]],Okey!A:B,2,0),"")</f>
        <v>ok</v>
      </c>
      <c r="I1193" s="13" t="s">
        <v>276</v>
      </c>
      <c r="J1193" s="22" t="e">
        <f>VLOOKUP(Table2[[#This Row], [Author]],People!A:B,2,0)</f>
        <v>#N/A</v>
      </c>
      <c r="K1193" s="13"/>
      <c r="L1193" s="13"/>
      <c r="M1193" s="23" t="s">
        <v>1613</v>
      </c>
    </row>
    <row r="1194" spans="1:13" ht="19.5" customHeight="1">
      <c r="A1194" s="18">
        <f t="shared" si="18"/>
        <v>1193</v>
      </c>
      <c r="B1194" s="11" t="s">
        <v>8</v>
      </c>
      <c r="C1194" s="11" t="s">
        <v>68</v>
      </c>
      <c r="D1194" s="11" t="s">
        <v>2533</v>
      </c>
      <c r="E1194" s="11" t="s">
        <v>2534</v>
      </c>
      <c r="F1194" s="11" t="s">
        <v>2144</v>
      </c>
      <c r="G1194" s="11" t="s">
        <v>14</v>
      </c>
      <c r="H1194" s="19" t="str">
        <f>IFERROR(VLOOKUP(Table2[[#This Row], [Ticket]],Okey!A:B,2,0),"")</f>
        <v>ok</v>
      </c>
      <c r="I1194" s="11" t="s">
        <v>276</v>
      </c>
      <c r="J1194" s="19" t="e">
        <f>VLOOKUP(Table2[[#This Row], [Author]],People!A:B,2,0)</f>
        <v>#N/A</v>
      </c>
      <c r="K1194" s="11"/>
      <c r="L1194" s="11"/>
      <c r="M1194" s="20" t="s">
        <v>1613</v>
      </c>
    </row>
    <row r="1195" spans="1:13" ht="19.5" customHeight="1">
      <c r="A1195" s="21">
        <f t="shared" si="18"/>
        <v>1194</v>
      </c>
      <c r="B1195" s="13" t="s">
        <v>8</v>
      </c>
      <c r="C1195" s="13" t="s">
        <v>68</v>
      </c>
      <c r="D1195" s="13" t="s">
        <v>2535</v>
      </c>
      <c r="E1195" s="13" t="s">
        <v>2536</v>
      </c>
      <c r="F1195" s="13" t="s">
        <v>2537</v>
      </c>
      <c r="G1195" s="13" t="s">
        <v>14</v>
      </c>
      <c r="H1195" s="22" t="str">
        <f>IFERROR(VLOOKUP(Table2[[#This Row], [Ticket]],Okey!A:B,2,0),"")</f>
        <v>ok</v>
      </c>
      <c r="I1195" s="13" t="s">
        <v>276</v>
      </c>
      <c r="J1195" s="22" t="e">
        <f>VLOOKUP(Table2[[#This Row], [Author]],People!A:B,2,0)</f>
        <v>#N/A</v>
      </c>
      <c r="K1195" s="13"/>
      <c r="L1195" s="13"/>
      <c r="M1195" s="23" t="s">
        <v>1613</v>
      </c>
    </row>
    <row r="1196" spans="1:13" ht="19.5" customHeight="1">
      <c r="A1196" s="18">
        <f t="shared" si="18"/>
        <v>1195</v>
      </c>
      <c r="B1196" s="11" t="s">
        <v>8</v>
      </c>
      <c r="C1196" s="11" t="s">
        <v>68</v>
      </c>
      <c r="D1196" s="11" t="s">
        <v>2538</v>
      </c>
      <c r="E1196" s="11" t="s">
        <v>2539</v>
      </c>
      <c r="F1196" s="11" t="s">
        <v>2537</v>
      </c>
      <c r="G1196" s="11" t="s">
        <v>14</v>
      </c>
      <c r="H1196" s="19" t="str">
        <f>IFERROR(VLOOKUP(Table2[[#This Row], [Ticket]],Okey!A:B,2,0),"")</f>
        <v>ok</v>
      </c>
      <c r="I1196" s="11" t="s">
        <v>276</v>
      </c>
      <c r="J1196" s="19" t="e">
        <f>VLOOKUP(Table2[[#This Row], [Author]],People!A:B,2,0)</f>
        <v>#N/A</v>
      </c>
      <c r="K1196" s="11"/>
      <c r="L1196" s="11"/>
      <c r="M1196" s="20" t="s">
        <v>1613</v>
      </c>
    </row>
    <row r="1197" spans="1:13" ht="19.5" customHeight="1">
      <c r="A1197" s="21">
        <f t="shared" si="18"/>
        <v>1196</v>
      </c>
      <c r="B1197" s="13" t="s">
        <v>8</v>
      </c>
      <c r="C1197" s="13" t="s">
        <v>68</v>
      </c>
      <c r="D1197" s="13" t="s">
        <v>2540</v>
      </c>
      <c r="E1197" s="13" t="s">
        <v>2541</v>
      </c>
      <c r="F1197" s="13" t="s">
        <v>2537</v>
      </c>
      <c r="G1197" s="13" t="s">
        <v>14</v>
      </c>
      <c r="H1197" s="22" t="str">
        <f>IFERROR(VLOOKUP(Table2[[#This Row], [Ticket]],Okey!A:B,2,0),"")</f>
        <v>ok</v>
      </c>
      <c r="I1197" s="13" t="s">
        <v>276</v>
      </c>
      <c r="J1197" s="22" t="e">
        <f>VLOOKUP(Table2[[#This Row], [Author]],People!A:B,2,0)</f>
        <v>#N/A</v>
      </c>
      <c r="K1197" s="13"/>
      <c r="L1197" s="13"/>
      <c r="M1197" s="23" t="s">
        <v>1613</v>
      </c>
    </row>
    <row r="1198" spans="1:13" ht="19.5" customHeight="1">
      <c r="A1198" s="18">
        <f t="shared" si="18"/>
        <v>1197</v>
      </c>
      <c r="B1198" s="11" t="s">
        <v>8</v>
      </c>
      <c r="C1198" s="11" t="s">
        <v>68</v>
      </c>
      <c r="D1198" s="11" t="s">
        <v>2542</v>
      </c>
      <c r="E1198" s="11" t="s">
        <v>2543</v>
      </c>
      <c r="F1198" s="11" t="s">
        <v>2544</v>
      </c>
      <c r="G1198" s="11" t="s">
        <v>14</v>
      </c>
      <c r="H1198" s="19" t="str">
        <f>IFERROR(VLOOKUP(Table2[[#This Row], [Ticket]],Okey!A:B,2,0),"")</f>
        <v>ok</v>
      </c>
      <c r="I1198" s="11" t="s">
        <v>276</v>
      </c>
      <c r="J1198" s="19" t="e">
        <f>VLOOKUP(Table2[[#This Row], [Author]],People!A:B,2,0)</f>
        <v>#N/A</v>
      </c>
      <c r="K1198" s="11"/>
      <c r="L1198" s="11"/>
      <c r="M1198" s="20" t="s">
        <v>1613</v>
      </c>
    </row>
    <row r="1199" spans="1:13" ht="19.5" customHeight="1">
      <c r="A1199" s="21">
        <f t="shared" si="18"/>
        <v>1198</v>
      </c>
      <c r="B1199" s="13" t="s">
        <v>8</v>
      </c>
      <c r="C1199" s="13" t="s">
        <v>68</v>
      </c>
      <c r="D1199" s="13" t="s">
        <v>2545</v>
      </c>
      <c r="E1199" s="13" t="s">
        <v>2546</v>
      </c>
      <c r="F1199" s="13" t="s">
        <v>2544</v>
      </c>
      <c r="G1199" s="13" t="s">
        <v>14</v>
      </c>
      <c r="H1199" s="22" t="str">
        <f>IFERROR(VLOOKUP(Table2[[#This Row], [Ticket]],Okey!A:B,2,0),"")</f>
        <v>ok</v>
      </c>
      <c r="I1199" s="13" t="s">
        <v>276</v>
      </c>
      <c r="J1199" s="22" t="e">
        <f>VLOOKUP(Table2[[#This Row], [Author]],People!A:B,2,0)</f>
        <v>#N/A</v>
      </c>
      <c r="K1199" s="13"/>
      <c r="L1199" s="13"/>
      <c r="M1199" s="23" t="s">
        <v>1613</v>
      </c>
    </row>
    <row r="1200" spans="1:13" ht="19.5" customHeight="1">
      <c r="A1200" s="18">
        <f t="shared" si="18"/>
        <v>1199</v>
      </c>
      <c r="B1200" s="11" t="s">
        <v>8</v>
      </c>
      <c r="C1200" s="11" t="s">
        <v>68</v>
      </c>
      <c r="D1200" s="11" t="s">
        <v>2547</v>
      </c>
      <c r="E1200" s="11" t="s">
        <v>2548</v>
      </c>
      <c r="F1200" s="11" t="s">
        <v>2544</v>
      </c>
      <c r="G1200" s="11" t="s">
        <v>14</v>
      </c>
      <c r="H1200" s="19" t="str">
        <f>IFERROR(VLOOKUP(Table2[[#This Row], [Ticket]],Okey!A:B,2,0),"")</f>
        <v>ok</v>
      </c>
      <c r="I1200" s="11" t="s">
        <v>276</v>
      </c>
      <c r="J1200" s="19" t="e">
        <f>VLOOKUP(Table2[[#This Row], [Author]],People!A:B,2,0)</f>
        <v>#N/A</v>
      </c>
      <c r="K1200" s="11"/>
      <c r="L1200" s="11"/>
      <c r="M1200" s="20" t="s">
        <v>1613</v>
      </c>
    </row>
    <row r="1201" spans="1:13" ht="19.5" customHeight="1">
      <c r="A1201" s="21">
        <f t="shared" si="18"/>
        <v>1200</v>
      </c>
      <c r="B1201" s="13" t="s">
        <v>8</v>
      </c>
      <c r="C1201" s="13" t="s">
        <v>68</v>
      </c>
      <c r="D1201" s="13" t="s">
        <v>2549</v>
      </c>
      <c r="E1201" s="13" t="s">
        <v>2550</v>
      </c>
      <c r="F1201" s="13" t="s">
        <v>2551</v>
      </c>
      <c r="G1201" s="13" t="s">
        <v>14</v>
      </c>
      <c r="H1201" s="22" t="str">
        <f>IFERROR(VLOOKUP(Table2[[#This Row], [Ticket]],Okey!A:B,2,0),"")</f>
        <v>ok</v>
      </c>
      <c r="I1201" s="13" t="s">
        <v>276</v>
      </c>
      <c r="J1201" s="22" t="e">
        <f>VLOOKUP(Table2[[#This Row], [Author]],People!A:B,2,0)</f>
        <v>#N/A</v>
      </c>
      <c r="K1201" s="13"/>
      <c r="L1201" s="13"/>
      <c r="M1201" s="23" t="s">
        <v>1613</v>
      </c>
    </row>
    <row r="1202" spans="1:13" ht="19.5" customHeight="1">
      <c r="A1202" s="18">
        <f t="shared" si="18"/>
        <v>1201</v>
      </c>
      <c r="B1202" s="11" t="s">
        <v>8</v>
      </c>
      <c r="C1202" s="11" t="s">
        <v>68</v>
      </c>
      <c r="D1202" s="11" t="s">
        <v>2552</v>
      </c>
      <c r="E1202" s="11" t="s">
        <v>2553</v>
      </c>
      <c r="F1202" s="11" t="s">
        <v>2551</v>
      </c>
      <c r="G1202" s="11" t="s">
        <v>14</v>
      </c>
      <c r="H1202" s="19" t="str">
        <f>IFERROR(VLOOKUP(Table2[[#This Row], [Ticket]],Okey!A:B,2,0),"")</f>
        <v>ok</v>
      </c>
      <c r="I1202" s="11" t="s">
        <v>276</v>
      </c>
      <c r="J1202" s="19" t="e">
        <f>VLOOKUP(Table2[[#This Row], [Author]],People!A:B,2,0)</f>
        <v>#N/A</v>
      </c>
      <c r="K1202" s="11"/>
      <c r="L1202" s="11"/>
      <c r="M1202" s="20" t="s">
        <v>1613</v>
      </c>
    </row>
    <row r="1203" spans="1:13" ht="19.5" customHeight="1">
      <c r="A1203" s="21">
        <f t="shared" si="18"/>
        <v>1202</v>
      </c>
      <c r="B1203" s="13" t="s">
        <v>8</v>
      </c>
      <c r="C1203" s="13" t="s">
        <v>68</v>
      </c>
      <c r="D1203" s="13" t="s">
        <v>2554</v>
      </c>
      <c r="E1203" s="13" t="s">
        <v>2555</v>
      </c>
      <c r="F1203" s="13" t="s">
        <v>2551</v>
      </c>
      <c r="G1203" s="13" t="s">
        <v>14</v>
      </c>
      <c r="H1203" s="22" t="str">
        <f>IFERROR(VLOOKUP(Table2[[#This Row], [Ticket]],Okey!A:B,2,0),"")</f>
        <v>ok</v>
      </c>
      <c r="I1203" s="13" t="s">
        <v>276</v>
      </c>
      <c r="J1203" s="22" t="e">
        <f>VLOOKUP(Table2[[#This Row], [Author]],People!A:B,2,0)</f>
        <v>#N/A</v>
      </c>
      <c r="K1203" s="13"/>
      <c r="L1203" s="13"/>
      <c r="M1203" s="23" t="s">
        <v>1613</v>
      </c>
    </row>
    <row r="1204" spans="1:13" ht="19.5" customHeight="1">
      <c r="A1204" s="18">
        <f t="shared" si="18"/>
        <v>1203</v>
      </c>
      <c r="B1204" s="11" t="s">
        <v>8</v>
      </c>
      <c r="C1204" s="11" t="s">
        <v>68</v>
      </c>
      <c r="D1204" s="11" t="s">
        <v>2556</v>
      </c>
      <c r="E1204" s="11" t="s">
        <v>2557</v>
      </c>
      <c r="F1204" s="11" t="s">
        <v>2558</v>
      </c>
      <c r="G1204" s="11" t="s">
        <v>14</v>
      </c>
      <c r="H1204" s="19" t="str">
        <f>IFERROR(VLOOKUP(Table2[[#This Row], [Ticket]],Okey!A:B,2,0),"")</f>
        <v>ok</v>
      </c>
      <c r="I1204" s="11" t="s">
        <v>276</v>
      </c>
      <c r="J1204" s="19" t="e">
        <f>VLOOKUP(Table2[[#This Row], [Author]],People!A:B,2,0)</f>
        <v>#N/A</v>
      </c>
      <c r="K1204" s="11"/>
      <c r="L1204" s="11"/>
      <c r="M1204" s="20" t="s">
        <v>1613</v>
      </c>
    </row>
    <row r="1205" spans="1:13" ht="19.5" customHeight="1">
      <c r="A1205" s="21">
        <f t="shared" si="18"/>
        <v>1204</v>
      </c>
      <c r="B1205" s="13" t="s">
        <v>8</v>
      </c>
      <c r="C1205" s="13" t="s">
        <v>68</v>
      </c>
      <c r="D1205" s="13" t="s">
        <v>2559</v>
      </c>
      <c r="E1205" s="13" t="s">
        <v>2560</v>
      </c>
      <c r="F1205" s="13" t="s">
        <v>2558</v>
      </c>
      <c r="G1205" s="13" t="s">
        <v>14</v>
      </c>
      <c r="H1205" s="22" t="str">
        <f>IFERROR(VLOOKUP(Table2[[#This Row], [Ticket]],Okey!A:B,2,0),"")</f>
        <v>ok</v>
      </c>
      <c r="I1205" s="13" t="s">
        <v>276</v>
      </c>
      <c r="J1205" s="22" t="e">
        <f>VLOOKUP(Table2[[#This Row], [Author]],People!A:B,2,0)</f>
        <v>#N/A</v>
      </c>
      <c r="K1205" s="13"/>
      <c r="L1205" s="13"/>
      <c r="M1205" s="23" t="s">
        <v>1613</v>
      </c>
    </row>
    <row r="1206" spans="1:13" ht="19.5" customHeight="1">
      <c r="A1206" s="18">
        <f t="shared" si="18"/>
        <v>1205</v>
      </c>
      <c r="B1206" s="11" t="s">
        <v>8</v>
      </c>
      <c r="C1206" s="11" t="s">
        <v>68</v>
      </c>
      <c r="D1206" s="11" t="s">
        <v>2561</v>
      </c>
      <c r="E1206" s="11" t="s">
        <v>2562</v>
      </c>
      <c r="F1206" s="11" t="s">
        <v>2558</v>
      </c>
      <c r="G1206" s="11" t="s">
        <v>14</v>
      </c>
      <c r="H1206" s="19" t="str">
        <f>IFERROR(VLOOKUP(Table2[[#This Row], [Ticket]],Okey!A:B,2,0),"")</f>
        <v>ok</v>
      </c>
      <c r="I1206" s="11" t="s">
        <v>276</v>
      </c>
      <c r="J1206" s="19" t="e">
        <f>VLOOKUP(Table2[[#This Row], [Author]],People!A:B,2,0)</f>
        <v>#N/A</v>
      </c>
      <c r="K1206" s="11"/>
      <c r="L1206" s="11"/>
      <c r="M1206" s="20" t="s">
        <v>1613</v>
      </c>
    </row>
    <row r="1207" spans="1:13" ht="19.5" customHeight="1">
      <c r="A1207" s="21">
        <f t="shared" si="18"/>
        <v>1206</v>
      </c>
      <c r="B1207" s="13" t="s">
        <v>8</v>
      </c>
      <c r="C1207" s="13" t="s">
        <v>68</v>
      </c>
      <c r="D1207" s="13" t="s">
        <v>2563</v>
      </c>
      <c r="E1207" s="13" t="s">
        <v>2564</v>
      </c>
      <c r="F1207" s="13" t="s">
        <v>2192</v>
      </c>
      <c r="G1207" s="13" t="s">
        <v>14</v>
      </c>
      <c r="H1207" s="22" t="str">
        <f>IFERROR(VLOOKUP(Table2[[#This Row], [Ticket]],Okey!A:B,2,0),"")</f>
        <v>ok</v>
      </c>
      <c r="I1207" s="13" t="s">
        <v>276</v>
      </c>
      <c r="J1207" s="22" t="e">
        <f>VLOOKUP(Table2[[#This Row], [Author]],People!A:B,2,0)</f>
        <v>#N/A</v>
      </c>
      <c r="K1207" s="13"/>
      <c r="L1207" s="13"/>
      <c r="M1207" s="23" t="s">
        <v>1613</v>
      </c>
    </row>
    <row r="1208" spans="1:13" ht="19.5" customHeight="1">
      <c r="A1208" s="18">
        <f t="shared" si="18"/>
        <v>1207</v>
      </c>
      <c r="B1208" s="11" t="s">
        <v>8</v>
      </c>
      <c r="C1208" s="11" t="s">
        <v>68</v>
      </c>
      <c r="D1208" s="11" t="s">
        <v>2565</v>
      </c>
      <c r="E1208" s="11" t="s">
        <v>2566</v>
      </c>
      <c r="F1208" s="11" t="s">
        <v>2192</v>
      </c>
      <c r="G1208" s="11" t="s">
        <v>14</v>
      </c>
      <c r="H1208" s="19" t="str">
        <f>IFERROR(VLOOKUP(Table2[[#This Row], [Ticket]],Okey!A:B,2,0),"")</f>
        <v>ok</v>
      </c>
      <c r="I1208" s="11" t="s">
        <v>276</v>
      </c>
      <c r="J1208" s="19" t="e">
        <f>VLOOKUP(Table2[[#This Row], [Author]],People!A:B,2,0)</f>
        <v>#N/A</v>
      </c>
      <c r="K1208" s="11"/>
      <c r="L1208" s="11"/>
      <c r="M1208" s="20" t="s">
        <v>1613</v>
      </c>
    </row>
    <row r="1209" spans="1:13" ht="19.5" customHeight="1">
      <c r="A1209" s="21">
        <f t="shared" si="18"/>
        <v>1208</v>
      </c>
      <c r="B1209" s="13" t="s">
        <v>8</v>
      </c>
      <c r="C1209" s="13" t="s">
        <v>68</v>
      </c>
      <c r="D1209" s="13" t="s">
        <v>2567</v>
      </c>
      <c r="E1209" s="13" t="s">
        <v>2568</v>
      </c>
      <c r="F1209" s="13" t="s">
        <v>2192</v>
      </c>
      <c r="G1209" s="13" t="s">
        <v>14</v>
      </c>
      <c r="H1209" s="22" t="str">
        <f>IFERROR(VLOOKUP(Table2[[#This Row], [Ticket]],Okey!A:B,2,0),"")</f>
        <v>ok</v>
      </c>
      <c r="I1209" s="13" t="s">
        <v>276</v>
      </c>
      <c r="J1209" s="22" t="e">
        <f>VLOOKUP(Table2[[#This Row], [Author]],People!A:B,2,0)</f>
        <v>#N/A</v>
      </c>
      <c r="K1209" s="13"/>
      <c r="L1209" s="13"/>
      <c r="M1209" s="23" t="s">
        <v>1613</v>
      </c>
    </row>
    <row r="1210" spans="1:13" ht="19.5" customHeight="1">
      <c r="A1210" s="18">
        <f t="shared" si="18"/>
        <v>1209</v>
      </c>
      <c r="B1210" s="11" t="s">
        <v>8</v>
      </c>
      <c r="C1210" s="11" t="s">
        <v>68</v>
      </c>
      <c r="D1210" s="11" t="s">
        <v>2569</v>
      </c>
      <c r="E1210" s="11" t="s">
        <v>2570</v>
      </c>
      <c r="F1210" s="11" t="s">
        <v>2192</v>
      </c>
      <c r="G1210" s="11" t="s">
        <v>14</v>
      </c>
      <c r="H1210" s="19" t="str">
        <f>IFERROR(VLOOKUP(Table2[[#This Row], [Ticket]],Okey!A:B,2,0),"")</f>
        <v>ok</v>
      </c>
      <c r="I1210" s="11" t="s">
        <v>276</v>
      </c>
      <c r="J1210" s="19" t="e">
        <f>VLOOKUP(Table2[[#This Row], [Author]],People!A:B,2,0)</f>
        <v>#N/A</v>
      </c>
      <c r="K1210" s="11"/>
      <c r="L1210" s="11"/>
      <c r="M1210" s="20" t="s">
        <v>1613</v>
      </c>
    </row>
    <row r="1211" spans="1:13" ht="19.5" customHeight="1">
      <c r="A1211" s="21">
        <f t="shared" si="18"/>
        <v>1210</v>
      </c>
      <c r="B1211" s="13" t="s">
        <v>8</v>
      </c>
      <c r="C1211" s="13" t="s">
        <v>68</v>
      </c>
      <c r="D1211" s="13" t="s">
        <v>2571</v>
      </c>
      <c r="E1211" s="13" t="s">
        <v>2572</v>
      </c>
      <c r="F1211" s="13" t="s">
        <v>2192</v>
      </c>
      <c r="G1211" s="13" t="s">
        <v>14</v>
      </c>
      <c r="H1211" s="22" t="str">
        <f>IFERROR(VLOOKUP(Table2[[#This Row], [Ticket]],Okey!A:B,2,0),"")</f>
        <v>ok</v>
      </c>
      <c r="I1211" s="13" t="s">
        <v>276</v>
      </c>
      <c r="J1211" s="22" t="e">
        <f>VLOOKUP(Table2[[#This Row], [Author]],People!A:B,2,0)</f>
        <v>#N/A</v>
      </c>
      <c r="K1211" s="13"/>
      <c r="L1211" s="13"/>
      <c r="M1211" s="23" t="s">
        <v>1613</v>
      </c>
    </row>
    <row r="1212" spans="1:13" ht="19.5" customHeight="1">
      <c r="A1212" s="18">
        <f t="shared" si="18"/>
        <v>1211</v>
      </c>
      <c r="B1212" s="11" t="s">
        <v>8</v>
      </c>
      <c r="C1212" s="11" t="s">
        <v>68</v>
      </c>
      <c r="D1212" s="11" t="s">
        <v>2573</v>
      </c>
      <c r="E1212" s="11" t="s">
        <v>2574</v>
      </c>
      <c r="F1212" s="11" t="s">
        <v>2192</v>
      </c>
      <c r="G1212" s="11" t="s">
        <v>14</v>
      </c>
      <c r="H1212" s="19" t="str">
        <f>IFERROR(VLOOKUP(Table2[[#This Row], [Ticket]],Okey!A:B,2,0),"")</f>
        <v>ok</v>
      </c>
      <c r="I1212" s="11" t="s">
        <v>276</v>
      </c>
      <c r="J1212" s="19" t="e">
        <f>VLOOKUP(Table2[[#This Row], [Author]],People!A:B,2,0)</f>
        <v>#N/A</v>
      </c>
      <c r="K1212" s="11"/>
      <c r="L1212" s="11"/>
      <c r="M1212" s="20" t="s">
        <v>1613</v>
      </c>
    </row>
    <row r="1213" spans="1:13" ht="19.5" customHeight="1">
      <c r="A1213" s="21">
        <f t="shared" si="18"/>
        <v>1212</v>
      </c>
      <c r="B1213" s="13" t="s">
        <v>8</v>
      </c>
      <c r="C1213" s="13" t="s">
        <v>68</v>
      </c>
      <c r="D1213" s="13" t="s">
        <v>2575</v>
      </c>
      <c r="E1213" s="13" t="s">
        <v>2576</v>
      </c>
      <c r="F1213" s="13" t="s">
        <v>2192</v>
      </c>
      <c r="G1213" s="13" t="s">
        <v>14</v>
      </c>
      <c r="H1213" s="22" t="str">
        <f>IFERROR(VLOOKUP(Table2[[#This Row], [Ticket]],Okey!A:B,2,0),"")</f>
        <v>ok</v>
      </c>
      <c r="I1213" s="13" t="s">
        <v>276</v>
      </c>
      <c r="J1213" s="22" t="e">
        <f>VLOOKUP(Table2[[#This Row], [Author]],People!A:B,2,0)</f>
        <v>#N/A</v>
      </c>
      <c r="K1213" s="13"/>
      <c r="L1213" s="13"/>
      <c r="M1213" s="23" t="s">
        <v>1613</v>
      </c>
    </row>
    <row r="1214" spans="1:13" ht="19.5" customHeight="1">
      <c r="A1214" s="18">
        <f t="shared" si="18"/>
        <v>1213</v>
      </c>
      <c r="B1214" s="11" t="s">
        <v>8</v>
      </c>
      <c r="C1214" s="11" t="s">
        <v>68</v>
      </c>
      <c r="D1214" s="11" t="s">
        <v>2577</v>
      </c>
      <c r="E1214" s="11" t="s">
        <v>2578</v>
      </c>
      <c r="F1214" s="11" t="s">
        <v>2565</v>
      </c>
      <c r="G1214" s="11" t="s">
        <v>14</v>
      </c>
      <c r="H1214" s="19" t="str">
        <f>IFERROR(VLOOKUP(Table2[[#This Row], [Ticket]],Okey!A:B,2,0),"")</f>
        <v>ok</v>
      </c>
      <c r="I1214" s="11" t="s">
        <v>276</v>
      </c>
      <c r="J1214" s="19" t="e">
        <f>VLOOKUP(Table2[[#This Row], [Author]],People!A:B,2,0)</f>
        <v>#N/A</v>
      </c>
      <c r="K1214" s="11"/>
      <c r="L1214" s="11"/>
      <c r="M1214" s="20" t="s">
        <v>1613</v>
      </c>
    </row>
    <row r="1215" spans="1:13" ht="19.5" customHeight="1">
      <c r="A1215" s="21">
        <f t="shared" si="18"/>
        <v>1214</v>
      </c>
      <c r="B1215" s="13" t="s">
        <v>8</v>
      </c>
      <c r="C1215" s="13" t="s">
        <v>68</v>
      </c>
      <c r="D1215" s="13" t="s">
        <v>2579</v>
      </c>
      <c r="E1215" s="13" t="s">
        <v>2580</v>
      </c>
      <c r="F1215" s="13" t="s">
        <v>2565</v>
      </c>
      <c r="G1215" s="13" t="s">
        <v>14</v>
      </c>
      <c r="H1215" s="22" t="str">
        <f>IFERROR(VLOOKUP(Table2[[#This Row], [Ticket]],Okey!A:B,2,0),"")</f>
        <v>ok</v>
      </c>
      <c r="I1215" s="13" t="s">
        <v>276</v>
      </c>
      <c r="J1215" s="22" t="e">
        <f>VLOOKUP(Table2[[#This Row], [Author]],People!A:B,2,0)</f>
        <v>#N/A</v>
      </c>
      <c r="K1215" s="13"/>
      <c r="L1215" s="13"/>
      <c r="M1215" s="23" t="s">
        <v>1613</v>
      </c>
    </row>
    <row r="1216" spans="1:13" ht="19.5" customHeight="1">
      <c r="A1216" s="18">
        <f t="shared" si="18"/>
        <v>1215</v>
      </c>
      <c r="B1216" s="11" t="s">
        <v>8</v>
      </c>
      <c r="C1216" s="11" t="s">
        <v>68</v>
      </c>
      <c r="D1216" s="11" t="s">
        <v>2581</v>
      </c>
      <c r="E1216" s="11" t="s">
        <v>2582</v>
      </c>
      <c r="F1216" s="11" t="s">
        <v>2579</v>
      </c>
      <c r="G1216" s="11" t="s">
        <v>14</v>
      </c>
      <c r="H1216" s="19" t="str">
        <f>IFERROR(VLOOKUP(Table2[[#This Row], [Ticket]],Okey!A:B,2,0),"")</f>
        <v>ok</v>
      </c>
      <c r="I1216" s="11" t="s">
        <v>276</v>
      </c>
      <c r="J1216" s="19" t="e">
        <f>VLOOKUP(Table2[[#This Row], [Author]],People!A:B,2,0)</f>
        <v>#N/A</v>
      </c>
      <c r="K1216" s="11"/>
      <c r="L1216" s="11"/>
      <c r="M1216" s="20" t="s">
        <v>1613</v>
      </c>
    </row>
    <row r="1217" spans="1:13" ht="19.5" customHeight="1">
      <c r="A1217" s="21">
        <f t="shared" si="18"/>
        <v>1216</v>
      </c>
      <c r="B1217" s="13" t="s">
        <v>8</v>
      </c>
      <c r="C1217" s="13" t="s">
        <v>68</v>
      </c>
      <c r="D1217" s="13" t="s">
        <v>2583</v>
      </c>
      <c r="E1217" s="13" t="s">
        <v>2584</v>
      </c>
      <c r="F1217" s="13" t="s">
        <v>2579</v>
      </c>
      <c r="G1217" s="13" t="s">
        <v>14</v>
      </c>
      <c r="H1217" s="22" t="str">
        <f>IFERROR(VLOOKUP(Table2[[#This Row], [Ticket]],Okey!A:B,2,0),"")</f>
        <v>ok</v>
      </c>
      <c r="I1217" s="13" t="s">
        <v>276</v>
      </c>
      <c r="J1217" s="22" t="e">
        <f>VLOOKUP(Table2[[#This Row], [Author]],People!A:B,2,0)</f>
        <v>#N/A</v>
      </c>
      <c r="K1217" s="13"/>
      <c r="L1217" s="13"/>
      <c r="M1217" s="23" t="s">
        <v>1613</v>
      </c>
    </row>
    <row r="1218" spans="1:13" ht="19.5" customHeight="1">
      <c r="A1218" s="18">
        <f t="shared" si="18"/>
        <v>1217</v>
      </c>
      <c r="B1218" s="11" t="s">
        <v>8</v>
      </c>
      <c r="C1218" s="11" t="s">
        <v>68</v>
      </c>
      <c r="D1218" s="11" t="s">
        <v>2585</v>
      </c>
      <c r="E1218" s="11" t="s">
        <v>2586</v>
      </c>
      <c r="F1218" s="11" t="s">
        <v>2579</v>
      </c>
      <c r="G1218" s="11" t="s">
        <v>14</v>
      </c>
      <c r="H1218" s="19" t="str">
        <f>IFERROR(VLOOKUP(Table2[[#This Row], [Ticket]],Okey!A:B,2,0),"")</f>
        <v>ok</v>
      </c>
      <c r="I1218" s="11" t="s">
        <v>276</v>
      </c>
      <c r="J1218" s="19" t="e">
        <f>VLOOKUP(Table2[[#This Row], [Author]],People!A:B,2,0)</f>
        <v>#N/A</v>
      </c>
      <c r="K1218" s="11"/>
      <c r="L1218" s="11"/>
      <c r="M1218" s="20" t="s">
        <v>1613</v>
      </c>
    </row>
    <row r="1219" spans="1:13" ht="19.5" customHeight="1">
      <c r="A1219" s="21">
        <f t="shared" ref="A1219:A1282" si="19">1+A1218</f>
        <v>1218</v>
      </c>
      <c r="B1219" s="13" t="s">
        <v>8</v>
      </c>
      <c r="C1219" s="13" t="s">
        <v>68</v>
      </c>
      <c r="D1219" s="13" t="s">
        <v>2587</v>
      </c>
      <c r="E1219" s="13" t="s">
        <v>2588</v>
      </c>
      <c r="F1219" s="13" t="s">
        <v>2579</v>
      </c>
      <c r="G1219" s="13" t="s">
        <v>14</v>
      </c>
      <c r="H1219" s="22" t="str">
        <f>IFERROR(VLOOKUP(Table2[[#This Row], [Ticket]],Okey!A:B,2,0),"")</f>
        <v>ok</v>
      </c>
      <c r="I1219" s="13" t="s">
        <v>276</v>
      </c>
      <c r="J1219" s="22" t="e">
        <f>VLOOKUP(Table2[[#This Row], [Author]],People!A:B,2,0)</f>
        <v>#N/A</v>
      </c>
      <c r="K1219" s="13"/>
      <c r="L1219" s="13"/>
      <c r="M1219" s="23" t="s">
        <v>1613</v>
      </c>
    </row>
    <row r="1220" spans="1:13" ht="19.5" customHeight="1">
      <c r="A1220" s="18">
        <f t="shared" si="19"/>
        <v>1219</v>
      </c>
      <c r="B1220" s="11" t="s">
        <v>8</v>
      </c>
      <c r="C1220" s="11" t="s">
        <v>68</v>
      </c>
      <c r="D1220" s="11" t="s">
        <v>2589</v>
      </c>
      <c r="E1220" s="11" t="s">
        <v>2590</v>
      </c>
      <c r="F1220" s="11" t="s">
        <v>2583</v>
      </c>
      <c r="G1220" s="11" t="s">
        <v>14</v>
      </c>
      <c r="H1220" s="19" t="str">
        <f>IFERROR(VLOOKUP(Table2[[#This Row], [Ticket]],Okey!A:B,2,0),"")</f>
        <v>ok</v>
      </c>
      <c r="I1220" s="11" t="s">
        <v>276</v>
      </c>
      <c r="J1220" s="19" t="e">
        <f>VLOOKUP(Table2[[#This Row], [Author]],People!A:B,2,0)</f>
        <v>#N/A</v>
      </c>
      <c r="K1220" s="11"/>
      <c r="L1220" s="11"/>
      <c r="M1220" s="20" t="s">
        <v>1613</v>
      </c>
    </row>
    <row r="1221" spans="1:13" ht="19.5" customHeight="1">
      <c r="A1221" s="21">
        <f t="shared" si="19"/>
        <v>1220</v>
      </c>
      <c r="B1221" s="13" t="s">
        <v>8</v>
      </c>
      <c r="C1221" s="13" t="s">
        <v>68</v>
      </c>
      <c r="D1221" s="13" t="s">
        <v>2591</v>
      </c>
      <c r="E1221" s="13" t="s">
        <v>2592</v>
      </c>
      <c r="F1221" s="13" t="s">
        <v>2583</v>
      </c>
      <c r="G1221" s="13" t="s">
        <v>14</v>
      </c>
      <c r="H1221" s="22" t="str">
        <f>IFERROR(VLOOKUP(Table2[[#This Row], [Ticket]],Okey!A:B,2,0),"")</f>
        <v>ok</v>
      </c>
      <c r="I1221" s="13" t="s">
        <v>276</v>
      </c>
      <c r="J1221" s="22" t="e">
        <f>VLOOKUP(Table2[[#This Row], [Author]],People!A:B,2,0)</f>
        <v>#N/A</v>
      </c>
      <c r="K1221" s="13"/>
      <c r="L1221" s="13"/>
      <c r="M1221" s="23" t="s">
        <v>1613</v>
      </c>
    </row>
    <row r="1222" spans="1:13" ht="19.5" customHeight="1">
      <c r="A1222" s="18">
        <f t="shared" si="19"/>
        <v>1221</v>
      </c>
      <c r="B1222" s="11" t="s">
        <v>8</v>
      </c>
      <c r="C1222" s="11" t="s">
        <v>68</v>
      </c>
      <c r="D1222" s="11" t="s">
        <v>2593</v>
      </c>
      <c r="E1222" s="11" t="s">
        <v>2594</v>
      </c>
      <c r="F1222" s="11" t="s">
        <v>2533</v>
      </c>
      <c r="G1222" s="11" t="s">
        <v>14</v>
      </c>
      <c r="H1222" s="19" t="str">
        <f>IFERROR(VLOOKUP(Table2[[#This Row], [Ticket]],Okey!A:B,2,0),"")</f>
        <v>ok</v>
      </c>
      <c r="I1222" s="11" t="s">
        <v>276</v>
      </c>
      <c r="J1222" s="19" t="e">
        <f>VLOOKUP(Table2[[#This Row], [Author]],People!A:B,2,0)</f>
        <v>#N/A</v>
      </c>
      <c r="K1222" s="11"/>
      <c r="L1222" s="11"/>
      <c r="M1222" s="20" t="s">
        <v>1613</v>
      </c>
    </row>
    <row r="1223" spans="1:13" ht="19.5" customHeight="1">
      <c r="A1223" s="21">
        <f t="shared" si="19"/>
        <v>1222</v>
      </c>
      <c r="B1223" s="13" t="s">
        <v>8</v>
      </c>
      <c r="C1223" s="13" t="s">
        <v>68</v>
      </c>
      <c r="D1223" s="13" t="s">
        <v>2595</v>
      </c>
      <c r="E1223" s="13" t="s">
        <v>2596</v>
      </c>
      <c r="F1223" s="13" t="s">
        <v>2533</v>
      </c>
      <c r="G1223" s="13" t="s">
        <v>14</v>
      </c>
      <c r="H1223" s="22" t="str">
        <f>IFERROR(VLOOKUP(Table2[[#This Row], [Ticket]],Okey!A:B,2,0),"")</f>
        <v>ok</v>
      </c>
      <c r="I1223" s="13" t="s">
        <v>276</v>
      </c>
      <c r="J1223" s="22" t="e">
        <f>VLOOKUP(Table2[[#This Row], [Author]],People!A:B,2,0)</f>
        <v>#N/A</v>
      </c>
      <c r="K1223" s="13"/>
      <c r="L1223" s="13"/>
      <c r="M1223" s="23" t="s">
        <v>1613</v>
      </c>
    </row>
    <row r="1224" spans="1:13" ht="19.5" customHeight="1">
      <c r="A1224" s="18">
        <f t="shared" si="19"/>
        <v>1223</v>
      </c>
      <c r="B1224" s="11" t="s">
        <v>8</v>
      </c>
      <c r="C1224" s="11" t="s">
        <v>68</v>
      </c>
      <c r="D1224" s="11" t="s">
        <v>2597</v>
      </c>
      <c r="E1224" s="11" t="s">
        <v>2598</v>
      </c>
      <c r="F1224" s="11" t="s">
        <v>2533</v>
      </c>
      <c r="G1224" s="11" t="s">
        <v>14</v>
      </c>
      <c r="H1224" s="19" t="str">
        <f>IFERROR(VLOOKUP(Table2[[#This Row], [Ticket]],Okey!A:B,2,0),"")</f>
        <v>ok</v>
      </c>
      <c r="I1224" s="11" t="s">
        <v>276</v>
      </c>
      <c r="J1224" s="19" t="e">
        <f>VLOOKUP(Table2[[#This Row], [Author]],People!A:B,2,0)</f>
        <v>#N/A</v>
      </c>
      <c r="K1224" s="11"/>
      <c r="L1224" s="11"/>
      <c r="M1224" s="20" t="s">
        <v>1613</v>
      </c>
    </row>
    <row r="1225" spans="1:13" ht="19.5" customHeight="1">
      <c r="A1225" s="21">
        <f t="shared" si="19"/>
        <v>1224</v>
      </c>
      <c r="B1225" s="13" t="s">
        <v>8</v>
      </c>
      <c r="C1225" s="13" t="s">
        <v>68</v>
      </c>
      <c r="D1225" s="13" t="s">
        <v>2599</v>
      </c>
      <c r="E1225" s="13" t="s">
        <v>2600</v>
      </c>
      <c r="F1225" s="13" t="s">
        <v>2418</v>
      </c>
      <c r="G1225" s="13" t="s">
        <v>14</v>
      </c>
      <c r="H1225" s="22" t="str">
        <f>IFERROR(VLOOKUP(Table2[[#This Row], [Ticket]],Okey!A:B,2,0),"")</f>
        <v>ok</v>
      </c>
      <c r="I1225" s="13" t="s">
        <v>276</v>
      </c>
      <c r="J1225" s="22" t="e">
        <f>VLOOKUP(Table2[[#This Row], [Author]],People!A:B,2,0)</f>
        <v>#N/A</v>
      </c>
      <c r="K1225" s="13"/>
      <c r="L1225" s="13"/>
      <c r="M1225" s="23" t="s">
        <v>1613</v>
      </c>
    </row>
    <row r="1226" spans="1:13" ht="19.5" customHeight="1">
      <c r="A1226" s="18">
        <f t="shared" si="19"/>
        <v>1225</v>
      </c>
      <c r="B1226" s="11" t="s">
        <v>8</v>
      </c>
      <c r="C1226" s="11" t="s">
        <v>68</v>
      </c>
      <c r="D1226" s="11" t="s">
        <v>2601</v>
      </c>
      <c r="E1226" s="11" t="s">
        <v>2602</v>
      </c>
      <c r="F1226" s="11" t="s">
        <v>2418</v>
      </c>
      <c r="G1226" s="11" t="s">
        <v>14</v>
      </c>
      <c r="H1226" s="19" t="str">
        <f>IFERROR(VLOOKUP(Table2[[#This Row], [Ticket]],Okey!A:B,2,0),"")</f>
        <v>ok</v>
      </c>
      <c r="I1226" s="11" t="s">
        <v>276</v>
      </c>
      <c r="J1226" s="19" t="e">
        <f>VLOOKUP(Table2[[#This Row], [Author]],People!A:B,2,0)</f>
        <v>#N/A</v>
      </c>
      <c r="K1226" s="11"/>
      <c r="L1226" s="11"/>
      <c r="M1226" s="20" t="s">
        <v>1613</v>
      </c>
    </row>
    <row r="1227" spans="1:13" ht="19.5" customHeight="1">
      <c r="A1227" s="21">
        <f t="shared" si="19"/>
        <v>1226</v>
      </c>
      <c r="B1227" s="13" t="s">
        <v>8</v>
      </c>
      <c r="C1227" s="13" t="s">
        <v>68</v>
      </c>
      <c r="D1227" s="13" t="s">
        <v>2603</v>
      </c>
      <c r="E1227" s="13" t="s">
        <v>2604</v>
      </c>
      <c r="F1227" s="13" t="s">
        <v>2418</v>
      </c>
      <c r="G1227" s="13" t="s">
        <v>14</v>
      </c>
      <c r="H1227" s="22" t="str">
        <f>IFERROR(VLOOKUP(Table2[[#This Row], [Ticket]],Okey!A:B,2,0),"")</f>
        <v>ok</v>
      </c>
      <c r="I1227" s="13" t="s">
        <v>276</v>
      </c>
      <c r="J1227" s="22" t="e">
        <f>VLOOKUP(Table2[[#This Row], [Author]],People!A:B,2,0)</f>
        <v>#N/A</v>
      </c>
      <c r="K1227" s="13"/>
      <c r="L1227" s="13"/>
      <c r="M1227" s="23" t="s">
        <v>1613</v>
      </c>
    </row>
    <row r="1228" spans="1:13" ht="19.5" customHeight="1">
      <c r="A1228" s="18">
        <f t="shared" si="19"/>
        <v>1227</v>
      </c>
      <c r="B1228" s="11" t="s">
        <v>8</v>
      </c>
      <c r="C1228" s="11" t="s">
        <v>68</v>
      </c>
      <c r="D1228" s="11" t="s">
        <v>2605</v>
      </c>
      <c r="E1228" s="11" t="s">
        <v>2606</v>
      </c>
      <c r="F1228" s="11" t="s">
        <v>2607</v>
      </c>
      <c r="G1228" s="11" t="s">
        <v>14</v>
      </c>
      <c r="H1228" s="19" t="str">
        <f>IFERROR(VLOOKUP(Table2[[#This Row], [Ticket]],Okey!A:B,2,0),"")</f>
        <v>ok</v>
      </c>
      <c r="I1228" s="11" t="s">
        <v>276</v>
      </c>
      <c r="J1228" s="19" t="e">
        <f>VLOOKUP(Table2[[#This Row], [Author]],People!A:B,2,0)</f>
        <v>#N/A</v>
      </c>
      <c r="K1228" s="11"/>
      <c r="L1228" s="11"/>
      <c r="M1228" s="20" t="s">
        <v>1613</v>
      </c>
    </row>
    <row r="1229" spans="1:13" ht="19.5" customHeight="1">
      <c r="A1229" s="21">
        <f t="shared" si="19"/>
        <v>1228</v>
      </c>
      <c r="B1229" s="13" t="s">
        <v>8</v>
      </c>
      <c r="C1229" s="13" t="s">
        <v>68</v>
      </c>
      <c r="D1229" s="13" t="s">
        <v>2608</v>
      </c>
      <c r="E1229" s="13" t="s">
        <v>1023</v>
      </c>
      <c r="F1229" s="13" t="s">
        <v>2438</v>
      </c>
      <c r="G1229" s="13" t="s">
        <v>14</v>
      </c>
      <c r="H1229" s="22" t="str">
        <f>IFERROR(VLOOKUP(Table2[[#This Row], [Ticket]],Okey!A:B,2,0),"")</f>
        <v>ok</v>
      </c>
      <c r="I1229" s="13" t="s">
        <v>276</v>
      </c>
      <c r="J1229" s="22" t="e">
        <f>VLOOKUP(Table2[[#This Row], [Author]],People!A:B,2,0)</f>
        <v>#N/A</v>
      </c>
      <c r="K1229" s="13"/>
      <c r="L1229" s="13"/>
      <c r="M1229" s="23" t="s">
        <v>1613</v>
      </c>
    </row>
    <row r="1230" spans="1:13" ht="19.5" customHeight="1">
      <c r="A1230" s="18">
        <f t="shared" si="19"/>
        <v>1229</v>
      </c>
      <c r="B1230" s="11" t="s">
        <v>8</v>
      </c>
      <c r="C1230" s="11" t="s">
        <v>68</v>
      </c>
      <c r="D1230" s="11" t="s">
        <v>2609</v>
      </c>
      <c r="E1230" s="11" t="s">
        <v>2610</v>
      </c>
      <c r="F1230" s="11" t="s">
        <v>2438</v>
      </c>
      <c r="G1230" s="11" t="s">
        <v>14</v>
      </c>
      <c r="H1230" s="19" t="str">
        <f>IFERROR(VLOOKUP(Table2[[#This Row], [Ticket]],Okey!A:B,2,0),"")</f>
        <v>ok</v>
      </c>
      <c r="I1230" s="11" t="s">
        <v>276</v>
      </c>
      <c r="J1230" s="19" t="e">
        <f>VLOOKUP(Table2[[#This Row], [Author]],People!A:B,2,0)</f>
        <v>#N/A</v>
      </c>
      <c r="K1230" s="11"/>
      <c r="L1230" s="11"/>
      <c r="M1230" s="20" t="s">
        <v>1613</v>
      </c>
    </row>
    <row r="1231" spans="1:13" ht="19.5" customHeight="1">
      <c r="A1231" s="21">
        <f t="shared" si="19"/>
        <v>1230</v>
      </c>
      <c r="B1231" s="13" t="s">
        <v>8</v>
      </c>
      <c r="C1231" s="13" t="s">
        <v>68</v>
      </c>
      <c r="D1231" s="13" t="s">
        <v>2611</v>
      </c>
      <c r="E1231" s="13" t="s">
        <v>2612</v>
      </c>
      <c r="F1231" s="13" t="s">
        <v>2438</v>
      </c>
      <c r="G1231" s="13" t="s">
        <v>14</v>
      </c>
      <c r="H1231" s="22" t="str">
        <f>IFERROR(VLOOKUP(Table2[[#This Row], [Ticket]],Okey!A:B,2,0),"")</f>
        <v>ok</v>
      </c>
      <c r="I1231" s="13" t="s">
        <v>276</v>
      </c>
      <c r="J1231" s="22" t="e">
        <f>VLOOKUP(Table2[[#This Row], [Author]],People!A:B,2,0)</f>
        <v>#N/A</v>
      </c>
      <c r="K1231" s="13"/>
      <c r="L1231" s="13"/>
      <c r="M1231" s="23" t="s">
        <v>1613</v>
      </c>
    </row>
    <row r="1232" spans="1:13" ht="19.5" customHeight="1">
      <c r="A1232" s="18">
        <f t="shared" si="19"/>
        <v>1231</v>
      </c>
      <c r="B1232" s="11" t="s">
        <v>8</v>
      </c>
      <c r="C1232" s="11" t="s">
        <v>68</v>
      </c>
      <c r="D1232" s="11" t="s">
        <v>2613</v>
      </c>
      <c r="E1232" s="11" t="s">
        <v>2614</v>
      </c>
      <c r="F1232" s="11" t="s">
        <v>2438</v>
      </c>
      <c r="G1232" s="11" t="s">
        <v>14</v>
      </c>
      <c r="H1232" s="19" t="str">
        <f>IFERROR(VLOOKUP(Table2[[#This Row], [Ticket]],Okey!A:B,2,0),"")</f>
        <v>ok</v>
      </c>
      <c r="I1232" s="11" t="s">
        <v>276</v>
      </c>
      <c r="J1232" s="19" t="e">
        <f>VLOOKUP(Table2[[#This Row], [Author]],People!A:B,2,0)</f>
        <v>#N/A</v>
      </c>
      <c r="K1232" s="11"/>
      <c r="L1232" s="11"/>
      <c r="M1232" s="20" t="s">
        <v>1613</v>
      </c>
    </row>
    <row r="1233" spans="1:13" ht="19.5" customHeight="1">
      <c r="A1233" s="21">
        <f t="shared" si="19"/>
        <v>1232</v>
      </c>
      <c r="B1233" s="13" t="s">
        <v>8</v>
      </c>
      <c r="C1233" s="13" t="s">
        <v>68</v>
      </c>
      <c r="D1233" s="13" t="s">
        <v>2615</v>
      </c>
      <c r="E1233" s="13" t="s">
        <v>2616</v>
      </c>
      <c r="F1233" s="13" t="s">
        <v>2438</v>
      </c>
      <c r="G1233" s="13" t="s">
        <v>14</v>
      </c>
      <c r="H1233" s="22" t="str">
        <f>IFERROR(VLOOKUP(Table2[[#This Row], [Ticket]],Okey!A:B,2,0),"")</f>
        <v>ok</v>
      </c>
      <c r="I1233" s="13" t="s">
        <v>276</v>
      </c>
      <c r="J1233" s="22" t="e">
        <f>VLOOKUP(Table2[[#This Row], [Author]],People!A:B,2,0)</f>
        <v>#N/A</v>
      </c>
      <c r="K1233" s="13"/>
      <c r="L1233" s="13"/>
      <c r="M1233" s="23" t="s">
        <v>1613</v>
      </c>
    </row>
    <row r="1234" spans="1:13" ht="19.5" customHeight="1">
      <c r="A1234" s="18">
        <f t="shared" si="19"/>
        <v>1233</v>
      </c>
      <c r="B1234" s="11" t="s">
        <v>8</v>
      </c>
      <c r="C1234" s="11" t="s">
        <v>68</v>
      </c>
      <c r="D1234" s="11" t="s">
        <v>2617</v>
      </c>
      <c r="E1234" s="11" t="s">
        <v>2618</v>
      </c>
      <c r="F1234" s="11" t="s">
        <v>2438</v>
      </c>
      <c r="G1234" s="11" t="s">
        <v>14</v>
      </c>
      <c r="H1234" s="19" t="str">
        <f>IFERROR(VLOOKUP(Table2[[#This Row], [Ticket]],Okey!A:B,2,0),"")</f>
        <v>ok</v>
      </c>
      <c r="I1234" s="11" t="s">
        <v>276</v>
      </c>
      <c r="J1234" s="19" t="e">
        <f>VLOOKUP(Table2[[#This Row], [Author]],People!A:B,2,0)</f>
        <v>#N/A</v>
      </c>
      <c r="K1234" s="11"/>
      <c r="L1234" s="11"/>
      <c r="M1234" s="20" t="s">
        <v>1613</v>
      </c>
    </row>
    <row r="1235" spans="1:13" ht="19.5" customHeight="1">
      <c r="A1235" s="21">
        <f t="shared" si="19"/>
        <v>1234</v>
      </c>
      <c r="B1235" s="13" t="s">
        <v>8</v>
      </c>
      <c r="C1235" s="13" t="s">
        <v>68</v>
      </c>
      <c r="D1235" s="13" t="s">
        <v>2619</v>
      </c>
      <c r="E1235" s="13" t="s">
        <v>2620</v>
      </c>
      <c r="F1235" s="13" t="s">
        <v>2438</v>
      </c>
      <c r="G1235" s="13" t="s">
        <v>14</v>
      </c>
      <c r="H1235" s="22" t="str">
        <f>IFERROR(VLOOKUP(Table2[[#This Row], [Ticket]],Okey!A:B,2,0),"")</f>
        <v>ok</v>
      </c>
      <c r="I1235" s="13" t="s">
        <v>276</v>
      </c>
      <c r="J1235" s="22" t="e">
        <f>VLOOKUP(Table2[[#This Row], [Author]],People!A:B,2,0)</f>
        <v>#N/A</v>
      </c>
      <c r="K1235" s="13"/>
      <c r="L1235" s="13"/>
      <c r="M1235" s="23" t="s">
        <v>1613</v>
      </c>
    </row>
    <row r="1236" spans="1:13" ht="19.5" customHeight="1">
      <c r="A1236" s="18">
        <f t="shared" si="19"/>
        <v>1235</v>
      </c>
      <c r="B1236" s="11" t="s">
        <v>8</v>
      </c>
      <c r="C1236" s="11" t="s">
        <v>68</v>
      </c>
      <c r="D1236" s="11" t="s">
        <v>2621</v>
      </c>
      <c r="E1236" s="11" t="s">
        <v>2622</v>
      </c>
      <c r="F1236" s="11" t="s">
        <v>2438</v>
      </c>
      <c r="G1236" s="11" t="s">
        <v>14</v>
      </c>
      <c r="H1236" s="19" t="str">
        <f>IFERROR(VLOOKUP(Table2[[#This Row], [Ticket]],Okey!A:B,2,0),"")</f>
        <v>ok</v>
      </c>
      <c r="I1236" s="11" t="s">
        <v>276</v>
      </c>
      <c r="J1236" s="19" t="e">
        <f>VLOOKUP(Table2[[#This Row], [Author]],People!A:B,2,0)</f>
        <v>#N/A</v>
      </c>
      <c r="K1236" s="11"/>
      <c r="L1236" s="11"/>
      <c r="M1236" s="20" t="s">
        <v>1613</v>
      </c>
    </row>
    <row r="1237" spans="1:13" ht="19.5" customHeight="1">
      <c r="A1237" s="21">
        <f t="shared" si="19"/>
        <v>1236</v>
      </c>
      <c r="B1237" s="13" t="s">
        <v>8</v>
      </c>
      <c r="C1237" s="13" t="s">
        <v>68</v>
      </c>
      <c r="D1237" s="13" t="s">
        <v>2623</v>
      </c>
      <c r="E1237" s="13" t="s">
        <v>2624</v>
      </c>
      <c r="F1237" s="13" t="s">
        <v>2625</v>
      </c>
      <c r="G1237" s="13" t="s">
        <v>14</v>
      </c>
      <c r="H1237" s="22" t="str">
        <f>IFERROR(VLOOKUP(Table2[[#This Row], [Ticket]],Okey!A:B,2,0),"")</f>
        <v>ok</v>
      </c>
      <c r="I1237" s="13" t="s">
        <v>276</v>
      </c>
      <c r="J1237" s="22" t="e">
        <f>VLOOKUP(Table2[[#This Row], [Author]],People!A:B,2,0)</f>
        <v>#N/A</v>
      </c>
      <c r="K1237" s="13"/>
      <c r="L1237" s="13"/>
      <c r="M1237" s="23" t="s">
        <v>1613</v>
      </c>
    </row>
    <row r="1238" spans="1:13" ht="19.5" customHeight="1">
      <c r="A1238" s="18">
        <f t="shared" si="19"/>
        <v>1237</v>
      </c>
      <c r="B1238" s="11" t="s">
        <v>8</v>
      </c>
      <c r="C1238" s="11" t="s">
        <v>68</v>
      </c>
      <c r="D1238" s="11" t="s">
        <v>2626</v>
      </c>
      <c r="E1238" s="11" t="s">
        <v>2627</v>
      </c>
      <c r="F1238" s="11" t="s">
        <v>2625</v>
      </c>
      <c r="G1238" s="11" t="s">
        <v>14</v>
      </c>
      <c r="H1238" s="19" t="str">
        <f>IFERROR(VLOOKUP(Table2[[#This Row], [Ticket]],Okey!A:B,2,0),"")</f>
        <v>ok</v>
      </c>
      <c r="I1238" s="11" t="s">
        <v>276</v>
      </c>
      <c r="J1238" s="19" t="e">
        <f>VLOOKUP(Table2[[#This Row], [Author]],People!A:B,2,0)</f>
        <v>#N/A</v>
      </c>
      <c r="K1238" s="11"/>
      <c r="L1238" s="11"/>
      <c r="M1238" s="20" t="s">
        <v>1613</v>
      </c>
    </row>
    <row r="1239" spans="1:13" ht="19.5" customHeight="1">
      <c r="A1239" s="21">
        <f t="shared" si="19"/>
        <v>1238</v>
      </c>
      <c r="B1239" s="13" t="s">
        <v>8</v>
      </c>
      <c r="C1239" s="13" t="s">
        <v>68</v>
      </c>
      <c r="D1239" s="13" t="s">
        <v>2628</v>
      </c>
      <c r="E1239" s="13" t="s">
        <v>2629</v>
      </c>
      <c r="F1239" s="13" t="s">
        <v>2625</v>
      </c>
      <c r="G1239" s="13" t="s">
        <v>14</v>
      </c>
      <c r="H1239" s="22" t="str">
        <f>IFERROR(VLOOKUP(Table2[[#This Row], [Ticket]],Okey!A:B,2,0),"")</f>
        <v>ok</v>
      </c>
      <c r="I1239" s="13" t="s">
        <v>276</v>
      </c>
      <c r="J1239" s="22" t="e">
        <f>VLOOKUP(Table2[[#This Row], [Author]],People!A:B,2,0)</f>
        <v>#N/A</v>
      </c>
      <c r="K1239" s="13"/>
      <c r="L1239" s="13"/>
      <c r="M1239" s="23" t="s">
        <v>1613</v>
      </c>
    </row>
    <row r="1240" spans="1:13" ht="19.5" customHeight="1">
      <c r="A1240" s="18">
        <f t="shared" si="19"/>
        <v>1239</v>
      </c>
      <c r="B1240" s="11" t="s">
        <v>8</v>
      </c>
      <c r="C1240" s="11" t="s">
        <v>68</v>
      </c>
      <c r="D1240" s="11" t="s">
        <v>2630</v>
      </c>
      <c r="E1240" s="11" t="s">
        <v>2631</v>
      </c>
      <c r="F1240" s="11" t="s">
        <v>2625</v>
      </c>
      <c r="G1240" s="11" t="s">
        <v>14</v>
      </c>
      <c r="H1240" s="19" t="str">
        <f>IFERROR(VLOOKUP(Table2[[#This Row], [Ticket]],Okey!A:B,2,0),"")</f>
        <v>ok</v>
      </c>
      <c r="I1240" s="11" t="s">
        <v>276</v>
      </c>
      <c r="J1240" s="19" t="e">
        <f>VLOOKUP(Table2[[#This Row], [Author]],People!A:B,2,0)</f>
        <v>#N/A</v>
      </c>
      <c r="K1240" s="11"/>
      <c r="L1240" s="11"/>
      <c r="M1240" s="20" t="s">
        <v>1613</v>
      </c>
    </row>
    <row r="1241" spans="1:13" ht="19.5" customHeight="1">
      <c r="A1241" s="21">
        <f t="shared" si="19"/>
        <v>1240</v>
      </c>
      <c r="B1241" s="13" t="s">
        <v>8</v>
      </c>
      <c r="C1241" s="13" t="s">
        <v>68</v>
      </c>
      <c r="D1241" s="13" t="s">
        <v>2632</v>
      </c>
      <c r="E1241" s="13" t="s">
        <v>2633</v>
      </c>
      <c r="F1241" s="13" t="s">
        <v>2625</v>
      </c>
      <c r="G1241" s="13" t="s">
        <v>14</v>
      </c>
      <c r="H1241" s="22" t="str">
        <f>IFERROR(VLOOKUP(Table2[[#This Row], [Ticket]],Okey!A:B,2,0),"")</f>
        <v>ok</v>
      </c>
      <c r="I1241" s="13" t="s">
        <v>276</v>
      </c>
      <c r="J1241" s="22" t="e">
        <f>VLOOKUP(Table2[[#This Row], [Author]],People!A:B,2,0)</f>
        <v>#N/A</v>
      </c>
      <c r="K1241" s="13"/>
      <c r="L1241" s="13"/>
      <c r="M1241" s="23" t="s">
        <v>1613</v>
      </c>
    </row>
    <row r="1242" spans="1:13" ht="19.5" customHeight="1">
      <c r="A1242" s="18">
        <f t="shared" si="19"/>
        <v>1241</v>
      </c>
      <c r="B1242" s="11" t="s">
        <v>8</v>
      </c>
      <c r="C1242" s="11" t="s">
        <v>68</v>
      </c>
      <c r="D1242" s="11" t="s">
        <v>2634</v>
      </c>
      <c r="E1242" s="11" t="s">
        <v>2635</v>
      </c>
      <c r="F1242" s="11" t="s">
        <v>2625</v>
      </c>
      <c r="G1242" s="11" t="s">
        <v>14</v>
      </c>
      <c r="H1242" s="19" t="str">
        <f>IFERROR(VLOOKUP(Table2[[#This Row], [Ticket]],Okey!A:B,2,0),"")</f>
        <v>ok</v>
      </c>
      <c r="I1242" s="11" t="s">
        <v>276</v>
      </c>
      <c r="J1242" s="19" t="e">
        <f>VLOOKUP(Table2[[#This Row], [Author]],People!A:B,2,0)</f>
        <v>#N/A</v>
      </c>
      <c r="K1242" s="11"/>
      <c r="L1242" s="11"/>
      <c r="M1242" s="20" t="s">
        <v>1613</v>
      </c>
    </row>
    <row r="1243" spans="1:13" ht="19.5" customHeight="1">
      <c r="A1243" s="21">
        <f t="shared" si="19"/>
        <v>1242</v>
      </c>
      <c r="B1243" s="13" t="s">
        <v>8</v>
      </c>
      <c r="C1243" s="13" t="s">
        <v>68</v>
      </c>
      <c r="D1243" s="13" t="s">
        <v>2636</v>
      </c>
      <c r="E1243" s="13" t="s">
        <v>2637</v>
      </c>
      <c r="F1243" s="13" t="s">
        <v>2625</v>
      </c>
      <c r="G1243" s="13" t="s">
        <v>14</v>
      </c>
      <c r="H1243" s="22" t="str">
        <f>IFERROR(VLOOKUP(Table2[[#This Row], [Ticket]],Okey!A:B,2,0),"")</f>
        <v>ok</v>
      </c>
      <c r="I1243" s="13" t="s">
        <v>276</v>
      </c>
      <c r="J1243" s="22" t="e">
        <f>VLOOKUP(Table2[[#This Row], [Author]],People!A:B,2,0)</f>
        <v>#N/A</v>
      </c>
      <c r="K1243" s="13"/>
      <c r="L1243" s="13"/>
      <c r="M1243" s="23" t="s">
        <v>1613</v>
      </c>
    </row>
    <row r="1244" spans="1:13" ht="19.5" customHeight="1">
      <c r="A1244" s="18">
        <f t="shared" si="19"/>
        <v>1243</v>
      </c>
      <c r="B1244" s="11" t="s">
        <v>8</v>
      </c>
      <c r="C1244" s="11" t="s">
        <v>68</v>
      </c>
      <c r="D1244" s="11" t="s">
        <v>2638</v>
      </c>
      <c r="E1244" s="11" t="s">
        <v>2639</v>
      </c>
      <c r="F1244" s="11" t="s">
        <v>2625</v>
      </c>
      <c r="G1244" s="11" t="s">
        <v>14</v>
      </c>
      <c r="H1244" s="19" t="str">
        <f>IFERROR(VLOOKUP(Table2[[#This Row], [Ticket]],Okey!A:B,2,0),"")</f>
        <v>ok</v>
      </c>
      <c r="I1244" s="11" t="s">
        <v>276</v>
      </c>
      <c r="J1244" s="19" t="e">
        <f>VLOOKUP(Table2[[#This Row], [Author]],People!A:B,2,0)</f>
        <v>#N/A</v>
      </c>
      <c r="K1244" s="11"/>
      <c r="L1244" s="11"/>
      <c r="M1244" s="20" t="s">
        <v>1613</v>
      </c>
    </row>
    <row r="1245" spans="1:13" ht="19.5" customHeight="1">
      <c r="A1245" s="21">
        <f t="shared" si="19"/>
        <v>1244</v>
      </c>
      <c r="B1245" s="13" t="s">
        <v>8</v>
      </c>
      <c r="C1245" s="13" t="s">
        <v>68</v>
      </c>
      <c r="D1245" s="13" t="s">
        <v>2640</v>
      </c>
      <c r="E1245" s="13" t="s">
        <v>2641</v>
      </c>
      <c r="F1245" s="13"/>
      <c r="G1245" s="13" t="s">
        <v>15</v>
      </c>
      <c r="H1245" s="22" t="str">
        <f>IFERROR(VLOOKUP(Table2[[#This Row], [Ticket]],Okey!A:B,2,0),"")</f>
        <v>ok</v>
      </c>
      <c r="I1245" s="13" t="s">
        <v>276</v>
      </c>
      <c r="J1245" s="22" t="e">
        <f>VLOOKUP(Table2[[#This Row], [Author]],People!A:B,2,0)</f>
        <v>#N/A</v>
      </c>
      <c r="K1245" s="13"/>
      <c r="L1245" s="13"/>
      <c r="M1245" s="23" t="s">
        <v>1613</v>
      </c>
    </row>
    <row r="1246" spans="1:13" ht="19.5" customHeight="1">
      <c r="A1246" s="18">
        <f t="shared" si="19"/>
        <v>1245</v>
      </c>
      <c r="B1246" s="11" t="s">
        <v>8</v>
      </c>
      <c r="C1246" s="11" t="s">
        <v>68</v>
      </c>
      <c r="D1246" s="11" t="s">
        <v>2015</v>
      </c>
      <c r="E1246" s="11" t="s">
        <v>2642</v>
      </c>
      <c r="F1246" s="11"/>
      <c r="G1246" s="11" t="s">
        <v>15</v>
      </c>
      <c r="H1246" s="19" t="str">
        <f>IFERROR(VLOOKUP(Table2[[#This Row], [Ticket]],Okey!A:B,2,0),"")</f>
        <v>ok</v>
      </c>
      <c r="I1246" s="11" t="s">
        <v>276</v>
      </c>
      <c r="J1246" s="19" t="e">
        <f>VLOOKUP(Table2[[#This Row], [Author]],People!A:B,2,0)</f>
        <v>#N/A</v>
      </c>
      <c r="K1246" s="11"/>
      <c r="L1246" s="11"/>
      <c r="M1246" s="20" t="s">
        <v>1613</v>
      </c>
    </row>
    <row r="1247" spans="1:13" ht="19.5" customHeight="1">
      <c r="A1247" s="21">
        <f t="shared" si="19"/>
        <v>1246</v>
      </c>
      <c r="B1247" s="13" t="s">
        <v>8</v>
      </c>
      <c r="C1247" s="13" t="s">
        <v>68</v>
      </c>
      <c r="D1247" s="13" t="s">
        <v>2020</v>
      </c>
      <c r="E1247" s="13" t="s">
        <v>2643</v>
      </c>
      <c r="F1247" s="13"/>
      <c r="G1247" s="13" t="s">
        <v>15</v>
      </c>
      <c r="H1247" s="22" t="str">
        <f>IFERROR(VLOOKUP(Table2[[#This Row], [Ticket]],Okey!A:B,2,0),"")</f>
        <v>ok</v>
      </c>
      <c r="I1247" s="13" t="s">
        <v>276</v>
      </c>
      <c r="J1247" s="22" t="e">
        <f>VLOOKUP(Table2[[#This Row], [Author]],People!A:B,2,0)</f>
        <v>#N/A</v>
      </c>
      <c r="K1247" s="13"/>
      <c r="L1247" s="13"/>
      <c r="M1247" s="23" t="s">
        <v>1613</v>
      </c>
    </row>
    <row r="1248" spans="1:13" ht="19.5" customHeight="1">
      <c r="A1248" s="18">
        <f t="shared" si="19"/>
        <v>1247</v>
      </c>
      <c r="B1248" s="11" t="s">
        <v>8</v>
      </c>
      <c r="C1248" s="11" t="s">
        <v>68</v>
      </c>
      <c r="D1248" s="11" t="s">
        <v>2025</v>
      </c>
      <c r="E1248" s="11" t="s">
        <v>2644</v>
      </c>
      <c r="F1248" s="11"/>
      <c r="G1248" s="11" t="s">
        <v>15</v>
      </c>
      <c r="H1248" s="19" t="str">
        <f>IFERROR(VLOOKUP(Table2[[#This Row], [Ticket]],Okey!A:B,2,0),"")</f>
        <v>ok</v>
      </c>
      <c r="I1248" s="11" t="s">
        <v>276</v>
      </c>
      <c r="J1248" s="19" t="e">
        <f>VLOOKUP(Table2[[#This Row], [Author]],People!A:B,2,0)</f>
        <v>#N/A</v>
      </c>
      <c r="K1248" s="11"/>
      <c r="L1248" s="11"/>
      <c r="M1248" s="20" t="s">
        <v>1613</v>
      </c>
    </row>
    <row r="1249" spans="1:13" ht="19.5" customHeight="1">
      <c r="A1249" s="21">
        <f t="shared" si="19"/>
        <v>1248</v>
      </c>
      <c r="B1249" s="13" t="s">
        <v>8</v>
      </c>
      <c r="C1249" s="13" t="s">
        <v>68</v>
      </c>
      <c r="D1249" s="13" t="s">
        <v>2030</v>
      </c>
      <c r="E1249" s="13" t="s">
        <v>2645</v>
      </c>
      <c r="F1249" s="13"/>
      <c r="G1249" s="13" t="s">
        <v>15</v>
      </c>
      <c r="H1249" s="22" t="str">
        <f>IFERROR(VLOOKUP(Table2[[#This Row], [Ticket]],Okey!A:B,2,0),"")</f>
        <v>ok</v>
      </c>
      <c r="I1249" s="13" t="s">
        <v>276</v>
      </c>
      <c r="J1249" s="22" t="e">
        <f>VLOOKUP(Table2[[#This Row], [Author]],People!A:B,2,0)</f>
        <v>#N/A</v>
      </c>
      <c r="K1249" s="13"/>
      <c r="L1249" s="13"/>
      <c r="M1249" s="23" t="s">
        <v>1613</v>
      </c>
    </row>
    <row r="1250" spans="1:13" ht="19.5" customHeight="1">
      <c r="A1250" s="18">
        <f t="shared" si="19"/>
        <v>1249</v>
      </c>
      <c r="B1250" s="11" t="s">
        <v>8</v>
      </c>
      <c r="C1250" s="11" t="s">
        <v>68</v>
      </c>
      <c r="D1250" s="11" t="s">
        <v>2035</v>
      </c>
      <c r="E1250" s="11" t="s">
        <v>2646</v>
      </c>
      <c r="F1250" s="11"/>
      <c r="G1250" s="11" t="s">
        <v>15</v>
      </c>
      <c r="H1250" s="19" t="str">
        <f>IFERROR(VLOOKUP(Table2[[#This Row], [Ticket]],Okey!A:B,2,0),"")</f>
        <v>ok</v>
      </c>
      <c r="I1250" s="11" t="s">
        <v>276</v>
      </c>
      <c r="J1250" s="19" t="e">
        <f>VLOOKUP(Table2[[#This Row], [Author]],People!A:B,2,0)</f>
        <v>#N/A</v>
      </c>
      <c r="K1250" s="11"/>
      <c r="L1250" s="11"/>
      <c r="M1250" s="20" t="s">
        <v>1613</v>
      </c>
    </row>
    <row r="1251" spans="1:13" ht="19.5" customHeight="1">
      <c r="A1251" s="21">
        <f t="shared" si="19"/>
        <v>1250</v>
      </c>
      <c r="B1251" s="13" t="s">
        <v>8</v>
      </c>
      <c r="C1251" s="13" t="s">
        <v>68</v>
      </c>
      <c r="D1251" s="13" t="s">
        <v>2040</v>
      </c>
      <c r="E1251" s="13" t="s">
        <v>2647</v>
      </c>
      <c r="F1251" s="13"/>
      <c r="G1251" s="13" t="s">
        <v>15</v>
      </c>
      <c r="H1251" s="22" t="str">
        <f>IFERROR(VLOOKUP(Table2[[#This Row], [Ticket]],Okey!A:B,2,0),"")</f>
        <v>ok</v>
      </c>
      <c r="I1251" s="13" t="s">
        <v>276</v>
      </c>
      <c r="J1251" s="22" t="e">
        <f>VLOOKUP(Table2[[#This Row], [Author]],People!A:B,2,0)</f>
        <v>#N/A</v>
      </c>
      <c r="K1251" s="13"/>
      <c r="L1251" s="13"/>
      <c r="M1251" s="23" t="s">
        <v>1613</v>
      </c>
    </row>
    <row r="1252" spans="1:13" ht="19.5" customHeight="1">
      <c r="A1252" s="18">
        <f t="shared" si="19"/>
        <v>1251</v>
      </c>
      <c r="B1252" s="11" t="s">
        <v>8</v>
      </c>
      <c r="C1252" s="11" t="s">
        <v>68</v>
      </c>
      <c r="D1252" s="11" t="s">
        <v>2045</v>
      </c>
      <c r="E1252" s="11" t="s">
        <v>2648</v>
      </c>
      <c r="F1252" s="11"/>
      <c r="G1252" s="11" t="s">
        <v>15</v>
      </c>
      <c r="H1252" s="19" t="str">
        <f>IFERROR(VLOOKUP(Table2[[#This Row], [Ticket]],Okey!A:B,2,0),"")</f>
        <v>ok</v>
      </c>
      <c r="I1252" s="11" t="s">
        <v>276</v>
      </c>
      <c r="J1252" s="19" t="e">
        <f>VLOOKUP(Table2[[#This Row], [Author]],People!A:B,2,0)</f>
        <v>#N/A</v>
      </c>
      <c r="K1252" s="11"/>
      <c r="L1252" s="11"/>
      <c r="M1252" s="20" t="s">
        <v>1613</v>
      </c>
    </row>
    <row r="1253" spans="1:13" ht="19.5" customHeight="1">
      <c r="A1253" s="21">
        <f t="shared" si="19"/>
        <v>1252</v>
      </c>
      <c r="B1253" s="13" t="s">
        <v>8</v>
      </c>
      <c r="C1253" s="13" t="s">
        <v>68</v>
      </c>
      <c r="D1253" s="13" t="s">
        <v>2649</v>
      </c>
      <c r="E1253" s="13" t="s">
        <v>2650</v>
      </c>
      <c r="F1253" s="13"/>
      <c r="G1253" s="13" t="s">
        <v>15</v>
      </c>
      <c r="H1253" s="22" t="str">
        <f>IFERROR(VLOOKUP(Table2[[#This Row], [Ticket]],Okey!A:B,2,0),"")</f>
        <v>ok</v>
      </c>
      <c r="I1253" s="13" t="s">
        <v>276</v>
      </c>
      <c r="J1253" s="22" t="e">
        <f>VLOOKUP(Table2[[#This Row], [Author]],People!A:B,2,0)</f>
        <v>#N/A</v>
      </c>
      <c r="K1253" s="13"/>
      <c r="L1253" s="13"/>
      <c r="M1253" s="23" t="s">
        <v>1613</v>
      </c>
    </row>
    <row r="1254" spans="1:13" ht="19.5" customHeight="1">
      <c r="A1254" s="18">
        <f t="shared" si="19"/>
        <v>1253</v>
      </c>
      <c r="B1254" s="11" t="s">
        <v>8</v>
      </c>
      <c r="C1254" s="11" t="s">
        <v>68</v>
      </c>
      <c r="D1254" s="11" t="s">
        <v>2651</v>
      </c>
      <c r="E1254" s="11" t="s">
        <v>2652</v>
      </c>
      <c r="F1254" s="11"/>
      <c r="G1254" s="11" t="s">
        <v>15</v>
      </c>
      <c r="H1254" s="19" t="str">
        <f>IFERROR(VLOOKUP(Table2[[#This Row], [Ticket]],Okey!A:B,2,0),"")</f>
        <v>ok</v>
      </c>
      <c r="I1254" s="11" t="s">
        <v>276</v>
      </c>
      <c r="J1254" s="19" t="e">
        <f>VLOOKUP(Table2[[#This Row], [Author]],People!A:B,2,0)</f>
        <v>#N/A</v>
      </c>
      <c r="K1254" s="11"/>
      <c r="L1254" s="11"/>
      <c r="M1254" s="20" t="s">
        <v>1613</v>
      </c>
    </row>
    <row r="1255" spans="1:13" ht="19.5" customHeight="1">
      <c r="A1255" s="21">
        <f t="shared" si="19"/>
        <v>1254</v>
      </c>
      <c r="B1255" s="13" t="s">
        <v>8</v>
      </c>
      <c r="C1255" s="13" t="s">
        <v>68</v>
      </c>
      <c r="D1255" s="13" t="s">
        <v>2653</v>
      </c>
      <c r="E1255" s="13" t="s">
        <v>2654</v>
      </c>
      <c r="F1255" s="13"/>
      <c r="G1255" s="13" t="s">
        <v>15</v>
      </c>
      <c r="H1255" s="22" t="str">
        <f>IFERROR(VLOOKUP(Table2[[#This Row], [Ticket]],Okey!A:B,2,0),"")</f>
        <v>ok</v>
      </c>
      <c r="I1255" s="13" t="s">
        <v>276</v>
      </c>
      <c r="J1255" s="22" t="e">
        <f>VLOOKUP(Table2[[#This Row], [Author]],People!A:B,2,0)</f>
        <v>#N/A</v>
      </c>
      <c r="K1255" s="13"/>
      <c r="L1255" s="13"/>
      <c r="M1255" s="23" t="s">
        <v>1613</v>
      </c>
    </row>
    <row r="1256" spans="1:13" ht="19.5" customHeight="1">
      <c r="A1256" s="18">
        <f t="shared" si="19"/>
        <v>1255</v>
      </c>
      <c r="B1256" s="11" t="s">
        <v>8</v>
      </c>
      <c r="C1256" s="11" t="s">
        <v>68</v>
      </c>
      <c r="D1256" s="11" t="s">
        <v>2081</v>
      </c>
      <c r="E1256" s="11" t="s">
        <v>2655</v>
      </c>
      <c r="F1256" s="11"/>
      <c r="G1256" s="11" t="s">
        <v>15</v>
      </c>
      <c r="H1256" s="19" t="str">
        <f>IFERROR(VLOOKUP(Table2[[#This Row], [Ticket]],Okey!A:B,2,0),"")</f>
        <v>ok</v>
      </c>
      <c r="I1256" s="11" t="s">
        <v>276</v>
      </c>
      <c r="J1256" s="19" t="e">
        <f>VLOOKUP(Table2[[#This Row], [Author]],People!A:B,2,0)</f>
        <v>#N/A</v>
      </c>
      <c r="K1256" s="11"/>
      <c r="L1256" s="11"/>
      <c r="M1256" s="20" t="s">
        <v>1613</v>
      </c>
    </row>
    <row r="1257" spans="1:13" ht="19.5" customHeight="1">
      <c r="A1257" s="21">
        <f t="shared" si="19"/>
        <v>1256</v>
      </c>
      <c r="B1257" s="13" t="s">
        <v>8</v>
      </c>
      <c r="C1257" s="13" t="s">
        <v>68</v>
      </c>
      <c r="D1257" s="13" t="s">
        <v>2537</v>
      </c>
      <c r="E1257" s="13" t="s">
        <v>2656</v>
      </c>
      <c r="F1257" s="13"/>
      <c r="G1257" s="13" t="s">
        <v>15</v>
      </c>
      <c r="H1257" s="22" t="str">
        <f>IFERROR(VLOOKUP(Table2[[#This Row], [Ticket]],Okey!A:B,2,0),"")</f>
        <v>ok</v>
      </c>
      <c r="I1257" s="13" t="s">
        <v>276</v>
      </c>
      <c r="J1257" s="22" t="e">
        <f>VLOOKUP(Table2[[#This Row], [Author]],People!A:B,2,0)</f>
        <v>#N/A</v>
      </c>
      <c r="K1257" s="13"/>
      <c r="L1257" s="13"/>
      <c r="M1257" s="23" t="s">
        <v>1613</v>
      </c>
    </row>
    <row r="1258" spans="1:13" ht="19.5" customHeight="1">
      <c r="A1258" s="18">
        <f t="shared" si="19"/>
        <v>1257</v>
      </c>
      <c r="B1258" s="11" t="s">
        <v>8</v>
      </c>
      <c r="C1258" s="11" t="s">
        <v>68</v>
      </c>
      <c r="D1258" s="11" t="s">
        <v>2161</v>
      </c>
      <c r="E1258" s="11" t="s">
        <v>2657</v>
      </c>
      <c r="F1258" s="11"/>
      <c r="G1258" s="11" t="s">
        <v>15</v>
      </c>
      <c r="H1258" s="19" t="str">
        <f>IFERROR(VLOOKUP(Table2[[#This Row], [Ticket]],Okey!A:B,2,0),"")</f>
        <v>ok</v>
      </c>
      <c r="I1258" s="11" t="s">
        <v>276</v>
      </c>
      <c r="J1258" s="19" t="e">
        <f>VLOOKUP(Table2[[#This Row], [Author]],People!A:B,2,0)</f>
        <v>#N/A</v>
      </c>
      <c r="K1258" s="11"/>
      <c r="L1258" s="11"/>
      <c r="M1258" s="20" t="s">
        <v>1613</v>
      </c>
    </row>
    <row r="1259" spans="1:13" ht="19.5" customHeight="1">
      <c r="A1259" s="21">
        <f t="shared" si="19"/>
        <v>1258</v>
      </c>
      <c r="B1259" s="13" t="s">
        <v>8</v>
      </c>
      <c r="C1259" s="13" t="s">
        <v>68</v>
      </c>
      <c r="D1259" s="13" t="s">
        <v>2544</v>
      </c>
      <c r="E1259" s="13" t="s">
        <v>2658</v>
      </c>
      <c r="F1259" s="13"/>
      <c r="G1259" s="13" t="s">
        <v>15</v>
      </c>
      <c r="H1259" s="22" t="str">
        <f>IFERROR(VLOOKUP(Table2[[#This Row], [Ticket]],Okey!A:B,2,0),"")</f>
        <v>ok</v>
      </c>
      <c r="I1259" s="13" t="s">
        <v>276</v>
      </c>
      <c r="J1259" s="22" t="e">
        <f>VLOOKUP(Table2[[#This Row], [Author]],People!A:B,2,0)</f>
        <v>#N/A</v>
      </c>
      <c r="K1259" s="13"/>
      <c r="L1259" s="13"/>
      <c r="M1259" s="23" t="s">
        <v>1613</v>
      </c>
    </row>
    <row r="1260" spans="1:13" ht="19.5" customHeight="1">
      <c r="A1260" s="18">
        <f t="shared" si="19"/>
        <v>1259</v>
      </c>
      <c r="B1260" s="11" t="s">
        <v>8</v>
      </c>
      <c r="C1260" s="11" t="s">
        <v>68</v>
      </c>
      <c r="D1260" s="11" t="s">
        <v>2223</v>
      </c>
      <c r="E1260" s="11" t="s">
        <v>2659</v>
      </c>
      <c r="F1260" s="11"/>
      <c r="G1260" s="11" t="s">
        <v>15</v>
      </c>
      <c r="H1260" s="19" t="str">
        <f>IFERROR(VLOOKUP(Table2[[#This Row], [Ticket]],Okey!A:B,2,0),"")</f>
        <v>ok</v>
      </c>
      <c r="I1260" s="11" t="s">
        <v>276</v>
      </c>
      <c r="J1260" s="19" t="e">
        <f>VLOOKUP(Table2[[#This Row], [Author]],People!A:B,2,0)</f>
        <v>#N/A</v>
      </c>
      <c r="K1260" s="11"/>
      <c r="L1260" s="11"/>
      <c r="M1260" s="20" t="s">
        <v>1613</v>
      </c>
    </row>
    <row r="1261" spans="1:13" ht="19.5" customHeight="1">
      <c r="A1261" s="21">
        <f t="shared" si="19"/>
        <v>1260</v>
      </c>
      <c r="B1261" s="13" t="s">
        <v>8</v>
      </c>
      <c r="C1261" s="13" t="s">
        <v>68</v>
      </c>
      <c r="D1261" s="13" t="s">
        <v>2551</v>
      </c>
      <c r="E1261" s="13" t="s">
        <v>2660</v>
      </c>
      <c r="F1261" s="13"/>
      <c r="G1261" s="13" t="s">
        <v>15</v>
      </c>
      <c r="H1261" s="22" t="str">
        <f>IFERROR(VLOOKUP(Table2[[#This Row], [Ticket]],Okey!A:B,2,0),"")</f>
        <v>ok</v>
      </c>
      <c r="I1261" s="13" t="s">
        <v>276</v>
      </c>
      <c r="J1261" s="22" t="e">
        <f>VLOOKUP(Table2[[#This Row], [Author]],People!A:B,2,0)</f>
        <v>#N/A</v>
      </c>
      <c r="K1261" s="13"/>
      <c r="L1261" s="13"/>
      <c r="M1261" s="23" t="s">
        <v>1613</v>
      </c>
    </row>
    <row r="1262" spans="1:13" ht="19.5" customHeight="1">
      <c r="A1262" s="18">
        <f t="shared" si="19"/>
        <v>1261</v>
      </c>
      <c r="B1262" s="11" t="s">
        <v>8</v>
      </c>
      <c r="C1262" s="11" t="s">
        <v>68</v>
      </c>
      <c r="D1262" s="11" t="s">
        <v>2312</v>
      </c>
      <c r="E1262" s="11" t="s">
        <v>2661</v>
      </c>
      <c r="F1262" s="11"/>
      <c r="G1262" s="11" t="s">
        <v>15</v>
      </c>
      <c r="H1262" s="19" t="str">
        <f>IFERROR(VLOOKUP(Table2[[#This Row], [Ticket]],Okey!A:B,2,0),"")</f>
        <v>ok</v>
      </c>
      <c r="I1262" s="11" t="s">
        <v>276</v>
      </c>
      <c r="J1262" s="19" t="e">
        <f>VLOOKUP(Table2[[#This Row], [Author]],People!A:B,2,0)</f>
        <v>#N/A</v>
      </c>
      <c r="K1262" s="11"/>
      <c r="L1262" s="11"/>
      <c r="M1262" s="20" t="s">
        <v>1613</v>
      </c>
    </row>
    <row r="1263" spans="1:13" ht="19.5" customHeight="1">
      <c r="A1263" s="21">
        <f t="shared" si="19"/>
        <v>1262</v>
      </c>
      <c r="B1263" s="13" t="s">
        <v>8</v>
      </c>
      <c r="C1263" s="13" t="s">
        <v>68</v>
      </c>
      <c r="D1263" s="13" t="s">
        <v>2558</v>
      </c>
      <c r="E1263" s="13" t="s">
        <v>2662</v>
      </c>
      <c r="F1263" s="13"/>
      <c r="G1263" s="13" t="s">
        <v>15</v>
      </c>
      <c r="H1263" s="22" t="str">
        <f>IFERROR(VLOOKUP(Table2[[#This Row], [Ticket]],Okey!A:B,2,0),"")</f>
        <v>ok</v>
      </c>
      <c r="I1263" s="13" t="s">
        <v>276</v>
      </c>
      <c r="J1263" s="22" t="e">
        <f>VLOOKUP(Table2[[#This Row], [Author]],People!A:B,2,0)</f>
        <v>#N/A</v>
      </c>
      <c r="K1263" s="13"/>
      <c r="L1263" s="13"/>
      <c r="M1263" s="23" t="s">
        <v>1613</v>
      </c>
    </row>
    <row r="1264" spans="1:13" ht="19.5" customHeight="1">
      <c r="A1264" s="18">
        <f t="shared" si="19"/>
        <v>1263</v>
      </c>
      <c r="B1264" s="11" t="s">
        <v>8</v>
      </c>
      <c r="C1264" s="11" t="s">
        <v>68</v>
      </c>
      <c r="D1264" s="11" t="s">
        <v>1622</v>
      </c>
      <c r="E1264" s="11" t="s">
        <v>2663</v>
      </c>
      <c r="F1264" s="11"/>
      <c r="G1264" s="11" t="s">
        <v>15</v>
      </c>
      <c r="H1264" s="19" t="str">
        <f>IFERROR(VLOOKUP(Table2[[#This Row], [Ticket]],Okey!A:B,2,0),"")</f>
        <v>ok</v>
      </c>
      <c r="I1264" s="11" t="s">
        <v>276</v>
      </c>
      <c r="J1264" s="19" t="e">
        <f>VLOOKUP(Table2[[#This Row], [Author]],People!A:B,2,0)</f>
        <v>#N/A</v>
      </c>
      <c r="K1264" s="11"/>
      <c r="L1264" s="11"/>
      <c r="M1264" s="20" t="s">
        <v>1613</v>
      </c>
    </row>
    <row r="1265" spans="1:13" ht="19.5" customHeight="1">
      <c r="A1265" s="21">
        <f t="shared" si="19"/>
        <v>1264</v>
      </c>
      <c r="B1265" s="13" t="s">
        <v>8</v>
      </c>
      <c r="C1265" s="13" t="s">
        <v>68</v>
      </c>
      <c r="D1265" s="13" t="s">
        <v>2664</v>
      </c>
      <c r="E1265" s="13" t="s">
        <v>2665</v>
      </c>
      <c r="F1265" s="13"/>
      <c r="G1265" s="13" t="s">
        <v>15</v>
      </c>
      <c r="H1265" s="22" t="str">
        <f>IFERROR(VLOOKUP(Table2[[#This Row], [Ticket]],Okey!A:B,2,0),"")</f>
        <v>ok</v>
      </c>
      <c r="I1265" s="13" t="s">
        <v>276</v>
      </c>
      <c r="J1265" s="22" t="e">
        <f>VLOOKUP(Table2[[#This Row], [Author]],People!A:B,2,0)</f>
        <v>#N/A</v>
      </c>
      <c r="K1265" s="13"/>
      <c r="L1265" s="13"/>
      <c r="M1265" s="23" t="s">
        <v>1613</v>
      </c>
    </row>
    <row r="1266" spans="1:13" ht="19.5" customHeight="1">
      <c r="A1266" s="18">
        <f t="shared" si="19"/>
        <v>1265</v>
      </c>
      <c r="B1266" s="11" t="s">
        <v>8</v>
      </c>
      <c r="C1266" s="11" t="s">
        <v>68</v>
      </c>
      <c r="D1266" s="11" t="s">
        <v>2666</v>
      </c>
      <c r="E1266" s="11" t="s">
        <v>2667</v>
      </c>
      <c r="F1266" s="11"/>
      <c r="G1266" s="11" t="s">
        <v>15</v>
      </c>
      <c r="H1266" s="19" t="str">
        <f>IFERROR(VLOOKUP(Table2[[#This Row], [Ticket]],Okey!A:B,2,0),"")</f>
        <v>ok</v>
      </c>
      <c r="I1266" s="11" t="s">
        <v>276</v>
      </c>
      <c r="J1266" s="19" t="e">
        <f>VLOOKUP(Table2[[#This Row], [Author]],People!A:B,2,0)</f>
        <v>#N/A</v>
      </c>
      <c r="K1266" s="11"/>
      <c r="L1266" s="11"/>
      <c r="M1266" s="20" t="s">
        <v>1613</v>
      </c>
    </row>
    <row r="1267" spans="1:13" ht="19.5" customHeight="1">
      <c r="A1267" s="21">
        <f t="shared" si="19"/>
        <v>1266</v>
      </c>
      <c r="B1267" s="13" t="s">
        <v>8</v>
      </c>
      <c r="C1267" s="13" t="s">
        <v>68</v>
      </c>
      <c r="D1267" s="13" t="s">
        <v>2668</v>
      </c>
      <c r="E1267" s="13" t="s">
        <v>2669</v>
      </c>
      <c r="F1267" s="13"/>
      <c r="G1267" s="13" t="s">
        <v>15</v>
      </c>
      <c r="H1267" s="22" t="str">
        <f>IFERROR(VLOOKUP(Table2[[#This Row], [Ticket]],Okey!A:B,2,0),"")</f>
        <v>ok</v>
      </c>
      <c r="I1267" s="13" t="s">
        <v>276</v>
      </c>
      <c r="J1267" s="22" t="e">
        <f>VLOOKUP(Table2[[#This Row], [Author]],People!A:B,2,0)</f>
        <v>#N/A</v>
      </c>
      <c r="K1267" s="13"/>
      <c r="L1267" s="13"/>
      <c r="M1267" s="23" t="s">
        <v>1613</v>
      </c>
    </row>
    <row r="1268" spans="1:13" ht="19.5" customHeight="1">
      <c r="A1268" s="18">
        <f t="shared" si="19"/>
        <v>1267</v>
      </c>
      <c r="B1268" s="11" t="s">
        <v>8</v>
      </c>
      <c r="C1268" s="11" t="s">
        <v>68</v>
      </c>
      <c r="D1268" s="11" t="s">
        <v>2670</v>
      </c>
      <c r="E1268" s="11" t="s">
        <v>2671</v>
      </c>
      <c r="F1268" s="11"/>
      <c r="G1268" s="11" t="s">
        <v>15</v>
      </c>
      <c r="H1268" s="19" t="str">
        <f>IFERROR(VLOOKUP(Table2[[#This Row], [Ticket]],Okey!A:B,2,0),"")</f>
        <v>ok</v>
      </c>
      <c r="I1268" s="11" t="s">
        <v>276</v>
      </c>
      <c r="J1268" s="19" t="e">
        <f>VLOOKUP(Table2[[#This Row], [Author]],People!A:B,2,0)</f>
        <v>#N/A</v>
      </c>
      <c r="K1268" s="11"/>
      <c r="L1268" s="11"/>
      <c r="M1268" s="20" t="s">
        <v>1613</v>
      </c>
    </row>
    <row r="1269" spans="1:13" ht="19.5" customHeight="1">
      <c r="A1269" s="21">
        <f t="shared" si="19"/>
        <v>1268</v>
      </c>
      <c r="B1269" s="13" t="s">
        <v>8</v>
      </c>
      <c r="C1269" s="13" t="s">
        <v>68</v>
      </c>
      <c r="D1269" s="13" t="s">
        <v>2672</v>
      </c>
      <c r="E1269" s="13" t="s">
        <v>2673</v>
      </c>
      <c r="F1269" s="13"/>
      <c r="G1269" s="13" t="s">
        <v>15</v>
      </c>
      <c r="H1269" s="22" t="str">
        <f>IFERROR(VLOOKUP(Table2[[#This Row], [Ticket]],Okey!A:B,2,0),"")</f>
        <v>ok</v>
      </c>
      <c r="I1269" s="13" t="s">
        <v>276</v>
      </c>
      <c r="J1269" s="22" t="e">
        <f>VLOOKUP(Table2[[#This Row], [Author]],People!A:B,2,0)</f>
        <v>#N/A</v>
      </c>
      <c r="K1269" s="13"/>
      <c r="L1269" s="13"/>
      <c r="M1269" s="23" t="s">
        <v>1613</v>
      </c>
    </row>
    <row r="1270" spans="1:13" ht="19.5" customHeight="1">
      <c r="A1270" s="18">
        <f t="shared" si="19"/>
        <v>1269</v>
      </c>
      <c r="B1270" s="11" t="s">
        <v>8</v>
      </c>
      <c r="C1270" s="11" t="s">
        <v>68</v>
      </c>
      <c r="D1270" s="11" t="s">
        <v>2674</v>
      </c>
      <c r="E1270" s="11" t="s">
        <v>2675</v>
      </c>
      <c r="F1270" s="11"/>
      <c r="G1270" s="11" t="s">
        <v>15</v>
      </c>
      <c r="H1270" s="19" t="str">
        <f>IFERROR(VLOOKUP(Table2[[#This Row], [Ticket]],Okey!A:B,2,0),"")</f>
        <v>ok</v>
      </c>
      <c r="I1270" s="11" t="s">
        <v>276</v>
      </c>
      <c r="J1270" s="19" t="e">
        <f>VLOOKUP(Table2[[#This Row], [Author]],People!A:B,2,0)</f>
        <v>#N/A</v>
      </c>
      <c r="K1270" s="11"/>
      <c r="L1270" s="11"/>
      <c r="M1270" s="20" t="s">
        <v>1613</v>
      </c>
    </row>
    <row r="1271" spans="1:13" ht="19.5" customHeight="1">
      <c r="A1271" s="21">
        <f t="shared" si="19"/>
        <v>1270</v>
      </c>
      <c r="B1271" s="13" t="s">
        <v>8</v>
      </c>
      <c r="C1271" s="13" t="s">
        <v>68</v>
      </c>
      <c r="D1271" s="13" t="s">
        <v>2676</v>
      </c>
      <c r="E1271" s="13" t="s">
        <v>2677</v>
      </c>
      <c r="F1271" s="13"/>
      <c r="G1271" s="13" t="s">
        <v>15</v>
      </c>
      <c r="H1271" s="22" t="str">
        <f>IFERROR(VLOOKUP(Table2[[#This Row], [Ticket]],Okey!A:B,2,0),"")</f>
        <v>ok</v>
      </c>
      <c r="I1271" s="13" t="s">
        <v>276</v>
      </c>
      <c r="J1271" s="22" t="e">
        <f>VLOOKUP(Table2[[#This Row], [Author]],People!A:B,2,0)</f>
        <v>#N/A</v>
      </c>
      <c r="K1271" s="13"/>
      <c r="L1271" s="13"/>
      <c r="M1271" s="23" t="s">
        <v>1613</v>
      </c>
    </row>
    <row r="1272" spans="1:13" ht="19.5" customHeight="1">
      <c r="A1272" s="18">
        <f t="shared" si="19"/>
        <v>1271</v>
      </c>
      <c r="B1272" s="11" t="s">
        <v>8</v>
      </c>
      <c r="C1272" s="11" t="s">
        <v>68</v>
      </c>
      <c r="D1272" s="11" t="s">
        <v>2678</v>
      </c>
      <c r="E1272" s="11" t="s">
        <v>2679</v>
      </c>
      <c r="F1272" s="11"/>
      <c r="G1272" s="11" t="s">
        <v>15</v>
      </c>
      <c r="H1272" s="19" t="str">
        <f>IFERROR(VLOOKUP(Table2[[#This Row], [Ticket]],Okey!A:B,2,0),"")</f>
        <v>ok</v>
      </c>
      <c r="I1272" s="11" t="s">
        <v>276</v>
      </c>
      <c r="J1272" s="19" t="e">
        <f>VLOOKUP(Table2[[#This Row], [Author]],People!A:B,2,0)</f>
        <v>#N/A</v>
      </c>
      <c r="K1272" s="11"/>
      <c r="L1272" s="11"/>
      <c r="M1272" s="20" t="s">
        <v>1613</v>
      </c>
    </row>
    <row r="1273" spans="1:13" ht="19.5" customHeight="1">
      <c r="A1273" s="21">
        <f t="shared" si="19"/>
        <v>1272</v>
      </c>
      <c r="B1273" s="13" t="s">
        <v>8</v>
      </c>
      <c r="C1273" s="13" t="s">
        <v>68</v>
      </c>
      <c r="D1273" s="13" t="s">
        <v>2680</v>
      </c>
      <c r="E1273" s="13" t="s">
        <v>2681</v>
      </c>
      <c r="F1273" s="13"/>
      <c r="G1273" s="13" t="s">
        <v>15</v>
      </c>
      <c r="H1273" s="22" t="str">
        <f>IFERROR(VLOOKUP(Table2[[#This Row], [Ticket]],Okey!A:B,2,0),"")</f>
        <v>ok</v>
      </c>
      <c r="I1273" s="13" t="s">
        <v>276</v>
      </c>
      <c r="J1273" s="22" t="e">
        <f>VLOOKUP(Table2[[#This Row], [Author]],People!A:B,2,0)</f>
        <v>#N/A</v>
      </c>
      <c r="K1273" s="13"/>
      <c r="L1273" s="13"/>
      <c r="M1273" s="23" t="s">
        <v>1613</v>
      </c>
    </row>
    <row r="1274" spans="1:13" ht="19.5" customHeight="1">
      <c r="A1274" s="18">
        <f t="shared" si="19"/>
        <v>1273</v>
      </c>
      <c r="B1274" s="11" t="s">
        <v>8</v>
      </c>
      <c r="C1274" s="11" t="s">
        <v>68</v>
      </c>
      <c r="D1274" s="11" t="s">
        <v>2682</v>
      </c>
      <c r="E1274" s="11" t="s">
        <v>2683</v>
      </c>
      <c r="F1274" s="11"/>
      <c r="G1274" s="11" t="s">
        <v>15</v>
      </c>
      <c r="H1274" s="19" t="str">
        <f>IFERROR(VLOOKUP(Table2[[#This Row], [Ticket]],Okey!A:B,2,0),"")</f>
        <v>ok</v>
      </c>
      <c r="I1274" s="11" t="s">
        <v>276</v>
      </c>
      <c r="J1274" s="19" t="e">
        <f>VLOOKUP(Table2[[#This Row], [Author]],People!A:B,2,0)</f>
        <v>#N/A</v>
      </c>
      <c r="K1274" s="11"/>
      <c r="L1274" s="11"/>
      <c r="M1274" s="20" t="s">
        <v>1613</v>
      </c>
    </row>
    <row r="1275" spans="1:13" ht="19.5" customHeight="1">
      <c r="A1275" s="21">
        <f t="shared" si="19"/>
        <v>1274</v>
      </c>
      <c r="B1275" s="13" t="s">
        <v>8</v>
      </c>
      <c r="C1275" s="13" t="s">
        <v>68</v>
      </c>
      <c r="D1275" s="13" t="s">
        <v>2684</v>
      </c>
      <c r="E1275" s="13" t="s">
        <v>2685</v>
      </c>
      <c r="F1275" s="13"/>
      <c r="G1275" s="13" t="s">
        <v>15</v>
      </c>
      <c r="H1275" s="22" t="str">
        <f>IFERROR(VLOOKUP(Table2[[#This Row], [Ticket]],Okey!A:B,2,0),"")</f>
        <v>ok</v>
      </c>
      <c r="I1275" s="13" t="s">
        <v>276</v>
      </c>
      <c r="J1275" s="22" t="e">
        <f>VLOOKUP(Table2[[#This Row], [Author]],People!A:B,2,0)</f>
        <v>#N/A</v>
      </c>
      <c r="K1275" s="13"/>
      <c r="L1275" s="13"/>
      <c r="M1275" s="23" t="s">
        <v>1613</v>
      </c>
    </row>
    <row r="1276" spans="1:13" ht="19.5" customHeight="1">
      <c r="A1276" s="18">
        <f t="shared" si="19"/>
        <v>1275</v>
      </c>
      <c r="B1276" s="11" t="s">
        <v>8</v>
      </c>
      <c r="C1276" s="11" t="s">
        <v>68</v>
      </c>
      <c r="D1276" s="11" t="s">
        <v>2686</v>
      </c>
      <c r="E1276" s="11" t="s">
        <v>2687</v>
      </c>
      <c r="F1276" s="11"/>
      <c r="G1276" s="11" t="s">
        <v>15</v>
      </c>
      <c r="H1276" s="19" t="str">
        <f>IFERROR(VLOOKUP(Table2[[#This Row], [Ticket]],Okey!A:B,2,0),"")</f>
        <v>ok</v>
      </c>
      <c r="I1276" s="11" t="s">
        <v>276</v>
      </c>
      <c r="J1276" s="19" t="e">
        <f>VLOOKUP(Table2[[#This Row], [Author]],People!A:B,2,0)</f>
        <v>#N/A</v>
      </c>
      <c r="K1276" s="11"/>
      <c r="L1276" s="11"/>
      <c r="M1276" s="20" t="s">
        <v>1613</v>
      </c>
    </row>
    <row r="1277" spans="1:13" ht="19.5" customHeight="1">
      <c r="A1277" s="21">
        <f t="shared" si="19"/>
        <v>1276</v>
      </c>
      <c r="B1277" s="13" t="s">
        <v>8</v>
      </c>
      <c r="C1277" s="13" t="s">
        <v>68</v>
      </c>
      <c r="D1277" s="13" t="s">
        <v>2688</v>
      </c>
      <c r="E1277" s="13" t="s">
        <v>2689</v>
      </c>
      <c r="F1277" s="13"/>
      <c r="G1277" s="13" t="s">
        <v>15</v>
      </c>
      <c r="H1277" s="22" t="str">
        <f>IFERROR(VLOOKUP(Table2[[#This Row], [Ticket]],Okey!A:B,2,0),"")</f>
        <v>ok</v>
      </c>
      <c r="I1277" s="13" t="s">
        <v>276</v>
      </c>
      <c r="J1277" s="22" t="e">
        <f>VLOOKUP(Table2[[#This Row], [Author]],People!A:B,2,0)</f>
        <v>#N/A</v>
      </c>
      <c r="K1277" s="13"/>
      <c r="L1277" s="13"/>
      <c r="M1277" s="23" t="s">
        <v>1613</v>
      </c>
    </row>
    <row r="1278" spans="1:13" ht="19.5" customHeight="1">
      <c r="A1278" s="18">
        <f t="shared" si="19"/>
        <v>1277</v>
      </c>
      <c r="B1278" s="11" t="s">
        <v>8</v>
      </c>
      <c r="C1278" s="11" t="s">
        <v>68</v>
      </c>
      <c r="D1278" s="11" t="s">
        <v>2690</v>
      </c>
      <c r="E1278" s="11" t="s">
        <v>2691</v>
      </c>
      <c r="F1278" s="11"/>
      <c r="G1278" s="11" t="s">
        <v>15</v>
      </c>
      <c r="H1278" s="19" t="str">
        <f>IFERROR(VLOOKUP(Table2[[#This Row], [Ticket]],Okey!A:B,2,0),"")</f>
        <v>ok</v>
      </c>
      <c r="I1278" s="11" t="s">
        <v>276</v>
      </c>
      <c r="J1278" s="19" t="e">
        <f>VLOOKUP(Table2[[#This Row], [Author]],People!A:B,2,0)</f>
        <v>#N/A</v>
      </c>
      <c r="K1278" s="11"/>
      <c r="L1278" s="11"/>
      <c r="M1278" s="20" t="s">
        <v>1613</v>
      </c>
    </row>
    <row r="1279" spans="1:13" ht="19.5" customHeight="1">
      <c r="A1279" s="21">
        <f t="shared" si="19"/>
        <v>1278</v>
      </c>
      <c r="B1279" s="13" t="s">
        <v>8</v>
      </c>
      <c r="C1279" s="13" t="s">
        <v>68</v>
      </c>
      <c r="D1279" s="13" t="s">
        <v>2445</v>
      </c>
      <c r="E1279" s="13" t="s">
        <v>2692</v>
      </c>
      <c r="F1279" s="13"/>
      <c r="G1279" s="13" t="s">
        <v>15</v>
      </c>
      <c r="H1279" s="22" t="str">
        <f>IFERROR(VLOOKUP(Table2[[#This Row], [Ticket]],Okey!A:B,2,0),"")</f>
        <v>ok</v>
      </c>
      <c r="I1279" s="13" t="s">
        <v>276</v>
      </c>
      <c r="J1279" s="22" t="e">
        <f>VLOOKUP(Table2[[#This Row], [Author]],People!A:B,2,0)</f>
        <v>#N/A</v>
      </c>
      <c r="K1279" s="13"/>
      <c r="L1279" s="13"/>
      <c r="M1279" s="23" t="s">
        <v>1613</v>
      </c>
    </row>
    <row r="1280" spans="1:13" ht="19.5" customHeight="1">
      <c r="A1280" s="18">
        <f t="shared" si="19"/>
        <v>1279</v>
      </c>
      <c r="B1280" s="11" t="s">
        <v>8</v>
      </c>
      <c r="C1280" s="11" t="s">
        <v>68</v>
      </c>
      <c r="D1280" s="11" t="s">
        <v>2693</v>
      </c>
      <c r="E1280" s="11" t="s">
        <v>2694</v>
      </c>
      <c r="F1280" s="11"/>
      <c r="G1280" s="11" t="s">
        <v>15</v>
      </c>
      <c r="H1280" s="19" t="str">
        <f>IFERROR(VLOOKUP(Table2[[#This Row], [Ticket]],Okey!A:B,2,0),"")</f>
        <v>ok</v>
      </c>
      <c r="I1280" s="11" t="s">
        <v>276</v>
      </c>
      <c r="J1280" s="19" t="e">
        <f>VLOOKUP(Table2[[#This Row], [Author]],People!A:B,2,0)</f>
        <v>#N/A</v>
      </c>
      <c r="K1280" s="11"/>
      <c r="L1280" s="11"/>
      <c r="M1280" s="20" t="s">
        <v>1613</v>
      </c>
    </row>
    <row r="1281" spans="1:13" ht="19.5" customHeight="1">
      <c r="A1281" s="21">
        <f t="shared" si="19"/>
        <v>1280</v>
      </c>
      <c r="B1281" s="13" t="s">
        <v>8</v>
      </c>
      <c r="C1281" s="13" t="s">
        <v>68</v>
      </c>
      <c r="D1281" s="13" t="s">
        <v>2695</v>
      </c>
      <c r="E1281" s="13" t="s">
        <v>2696</v>
      </c>
      <c r="F1281" s="13"/>
      <c r="G1281" s="13" t="s">
        <v>15</v>
      </c>
      <c r="H1281" s="22" t="str">
        <f>IFERROR(VLOOKUP(Table2[[#This Row], [Ticket]],Okey!A:B,2,0),"")</f>
        <v>ok</v>
      </c>
      <c r="I1281" s="13" t="s">
        <v>276</v>
      </c>
      <c r="J1281" s="22" t="e">
        <f>VLOOKUP(Table2[[#This Row], [Author]],People!A:B,2,0)</f>
        <v>#N/A</v>
      </c>
      <c r="K1281" s="13"/>
      <c r="L1281" s="13"/>
      <c r="M1281" s="23" t="s">
        <v>1613</v>
      </c>
    </row>
    <row r="1282" spans="1:13" ht="19.5" customHeight="1">
      <c r="A1282" s="18">
        <f t="shared" si="19"/>
        <v>1281</v>
      </c>
      <c r="B1282" s="11" t="s">
        <v>8</v>
      </c>
      <c r="C1282" s="11" t="s">
        <v>68</v>
      </c>
      <c r="D1282" s="11" t="s">
        <v>2697</v>
      </c>
      <c r="E1282" s="11" t="s">
        <v>2698</v>
      </c>
      <c r="F1282" s="11"/>
      <c r="G1282" s="11" t="s">
        <v>15</v>
      </c>
      <c r="H1282" s="19" t="str">
        <f>IFERROR(VLOOKUP(Table2[[#This Row], [Ticket]],Okey!A:B,2,0),"")</f>
        <v>ok</v>
      </c>
      <c r="I1282" s="11" t="s">
        <v>276</v>
      </c>
      <c r="J1282" s="19" t="e">
        <f>VLOOKUP(Table2[[#This Row], [Author]],People!A:B,2,0)</f>
        <v>#N/A</v>
      </c>
      <c r="K1282" s="11"/>
      <c r="L1282" s="11"/>
      <c r="M1282" s="20" t="s">
        <v>1613</v>
      </c>
    </row>
    <row r="1283" spans="1:13" ht="19.5" customHeight="1">
      <c r="A1283" s="21">
        <f t="shared" ref="A1283:A1346" si="20">1+A1282</f>
        <v>1282</v>
      </c>
      <c r="B1283" s="13" t="s">
        <v>8</v>
      </c>
      <c r="C1283" s="13" t="s">
        <v>68</v>
      </c>
      <c r="D1283" s="13" t="s">
        <v>1621</v>
      </c>
      <c r="E1283" s="13" t="s">
        <v>2699</v>
      </c>
      <c r="F1283" s="13"/>
      <c r="G1283" s="13" t="s">
        <v>15</v>
      </c>
      <c r="H1283" s="22" t="str">
        <f>IFERROR(VLOOKUP(Table2[[#This Row], [Ticket]],Okey!A:B,2,0),"")</f>
        <v>ok</v>
      </c>
      <c r="I1283" s="13" t="s">
        <v>276</v>
      </c>
      <c r="J1283" s="22" t="e">
        <f>VLOOKUP(Table2[[#This Row], [Author]],People!A:B,2,0)</f>
        <v>#N/A</v>
      </c>
      <c r="K1283" s="13"/>
      <c r="L1283" s="13"/>
      <c r="M1283" s="23" t="s">
        <v>1613</v>
      </c>
    </row>
    <row r="1284" spans="1:13" ht="19.5" customHeight="1">
      <c r="A1284" s="18">
        <f t="shared" si="20"/>
        <v>1283</v>
      </c>
      <c r="B1284" s="11" t="s">
        <v>8</v>
      </c>
      <c r="C1284" s="11" t="s">
        <v>68</v>
      </c>
      <c r="D1284" s="11" t="s">
        <v>2700</v>
      </c>
      <c r="E1284" s="11" t="s">
        <v>2701</v>
      </c>
      <c r="F1284" s="11"/>
      <c r="G1284" s="11" t="s">
        <v>15</v>
      </c>
      <c r="H1284" s="19" t="str">
        <f>IFERROR(VLOOKUP(Table2[[#This Row], [Ticket]],Okey!A:B,2,0),"")</f>
        <v>ok</v>
      </c>
      <c r="I1284" s="11" t="s">
        <v>276</v>
      </c>
      <c r="J1284" s="19" t="e">
        <f>VLOOKUP(Table2[[#This Row], [Author]],People!A:B,2,0)</f>
        <v>#N/A</v>
      </c>
      <c r="K1284" s="11"/>
      <c r="L1284" s="11"/>
      <c r="M1284" s="20" t="s">
        <v>1613</v>
      </c>
    </row>
    <row r="1285" spans="1:13" ht="19.5" customHeight="1">
      <c r="A1285" s="21">
        <f t="shared" si="20"/>
        <v>1284</v>
      </c>
      <c r="B1285" s="13" t="s">
        <v>8</v>
      </c>
      <c r="C1285" s="13" t="s">
        <v>68</v>
      </c>
      <c r="D1285" s="13" t="s">
        <v>2702</v>
      </c>
      <c r="E1285" s="13" t="s">
        <v>2703</v>
      </c>
      <c r="F1285" s="13"/>
      <c r="G1285" s="13" t="s">
        <v>15</v>
      </c>
      <c r="H1285" s="22" t="str">
        <f>IFERROR(VLOOKUP(Table2[[#This Row], [Ticket]],Okey!A:B,2,0),"")</f>
        <v>ok</v>
      </c>
      <c r="I1285" s="13" t="s">
        <v>276</v>
      </c>
      <c r="J1285" s="22" t="e">
        <f>VLOOKUP(Table2[[#This Row], [Author]],People!A:B,2,0)</f>
        <v>#N/A</v>
      </c>
      <c r="K1285" s="13"/>
      <c r="L1285" s="13"/>
      <c r="M1285" s="23" t="s">
        <v>1613</v>
      </c>
    </row>
    <row r="1286" spans="1:13" ht="19.5" customHeight="1">
      <c r="A1286" s="18">
        <f t="shared" si="20"/>
        <v>1285</v>
      </c>
      <c r="B1286" s="11" t="s">
        <v>8</v>
      </c>
      <c r="C1286" s="11" t="s">
        <v>68</v>
      </c>
      <c r="D1286" s="11" t="s">
        <v>2704</v>
      </c>
      <c r="E1286" s="11" t="s">
        <v>2705</v>
      </c>
      <c r="F1286" s="11"/>
      <c r="G1286" s="11" t="s">
        <v>15</v>
      </c>
      <c r="H1286" s="19" t="str">
        <f>IFERROR(VLOOKUP(Table2[[#This Row], [Ticket]],Okey!A:B,2,0),"")</f>
        <v>ok</v>
      </c>
      <c r="I1286" s="11" t="s">
        <v>276</v>
      </c>
      <c r="J1286" s="19" t="e">
        <f>VLOOKUP(Table2[[#This Row], [Author]],People!A:B,2,0)</f>
        <v>#N/A</v>
      </c>
      <c r="K1286" s="11"/>
      <c r="L1286" s="11"/>
      <c r="M1286" s="20" t="s">
        <v>1613</v>
      </c>
    </row>
    <row r="1287" spans="1:13" ht="19.5" customHeight="1">
      <c r="A1287" s="21">
        <f t="shared" si="20"/>
        <v>1286</v>
      </c>
      <c r="B1287" s="13" t="s">
        <v>8</v>
      </c>
      <c r="C1287" s="13" t="s">
        <v>68</v>
      </c>
      <c r="D1287" s="13" t="s">
        <v>2706</v>
      </c>
      <c r="E1287" s="13" t="s">
        <v>2707</v>
      </c>
      <c r="F1287" s="13"/>
      <c r="G1287" s="13" t="s">
        <v>15</v>
      </c>
      <c r="H1287" s="22" t="str">
        <f>IFERROR(VLOOKUP(Table2[[#This Row], [Ticket]],Okey!A:B,2,0),"")</f>
        <v>ok</v>
      </c>
      <c r="I1287" s="13" t="s">
        <v>276</v>
      </c>
      <c r="J1287" s="22" t="e">
        <f>VLOOKUP(Table2[[#This Row], [Author]],People!A:B,2,0)</f>
        <v>#N/A</v>
      </c>
      <c r="K1287" s="13"/>
      <c r="L1287" s="13"/>
      <c r="M1287" s="23" t="s">
        <v>1613</v>
      </c>
    </row>
    <row r="1288" spans="1:13" ht="19.5" customHeight="1">
      <c r="A1288" s="18">
        <f t="shared" si="20"/>
        <v>1287</v>
      </c>
      <c r="B1288" s="11" t="s">
        <v>8</v>
      </c>
      <c r="C1288" s="11" t="s">
        <v>68</v>
      </c>
      <c r="D1288" s="11" t="s">
        <v>2500</v>
      </c>
      <c r="E1288" s="11" t="s">
        <v>2708</v>
      </c>
      <c r="F1288" s="11"/>
      <c r="G1288" s="11" t="s">
        <v>15</v>
      </c>
      <c r="H1288" s="19" t="str">
        <f>IFERROR(VLOOKUP(Table2[[#This Row], [Ticket]],Okey!A:B,2,0),"")</f>
        <v>ok</v>
      </c>
      <c r="I1288" s="11" t="s">
        <v>276</v>
      </c>
      <c r="J1288" s="19" t="e">
        <f>VLOOKUP(Table2[[#This Row], [Author]],People!A:B,2,0)</f>
        <v>#N/A</v>
      </c>
      <c r="K1288" s="11"/>
      <c r="L1288" s="11"/>
      <c r="M1288" s="20" t="s">
        <v>1613</v>
      </c>
    </row>
    <row r="1289" spans="1:13" ht="19.5" customHeight="1">
      <c r="A1289" s="21">
        <f t="shared" si="20"/>
        <v>1288</v>
      </c>
      <c r="B1289" s="13" t="s">
        <v>8</v>
      </c>
      <c r="C1289" s="13" t="s">
        <v>68</v>
      </c>
      <c r="D1289" s="13" t="s">
        <v>2709</v>
      </c>
      <c r="E1289" s="13" t="s">
        <v>2710</v>
      </c>
      <c r="F1289" s="13"/>
      <c r="G1289" s="13" t="s">
        <v>15</v>
      </c>
      <c r="H1289" s="22" t="str">
        <f>IFERROR(VLOOKUP(Table2[[#This Row], [Ticket]],Okey!A:B,2,0),"")</f>
        <v>ok</v>
      </c>
      <c r="I1289" s="13" t="s">
        <v>276</v>
      </c>
      <c r="J1289" s="22" t="e">
        <f>VLOOKUP(Table2[[#This Row], [Author]],People!A:B,2,0)</f>
        <v>#N/A</v>
      </c>
      <c r="K1289" s="13"/>
      <c r="L1289" s="13"/>
      <c r="M1289" s="23" t="s">
        <v>1613</v>
      </c>
    </row>
    <row r="1290" spans="1:13" ht="19.5" customHeight="1">
      <c r="A1290" s="18">
        <f t="shared" si="20"/>
        <v>1289</v>
      </c>
      <c r="B1290" s="11" t="s">
        <v>8</v>
      </c>
      <c r="C1290" s="11" t="s">
        <v>68</v>
      </c>
      <c r="D1290" s="11" t="s">
        <v>2711</v>
      </c>
      <c r="E1290" s="11" t="s">
        <v>2712</v>
      </c>
      <c r="F1290" s="11"/>
      <c r="G1290" s="11" t="s">
        <v>15</v>
      </c>
      <c r="H1290" s="19" t="str">
        <f>IFERROR(VLOOKUP(Table2[[#This Row], [Ticket]],Okey!A:B,2,0),"")</f>
        <v>ok</v>
      </c>
      <c r="I1290" s="11" t="s">
        <v>276</v>
      </c>
      <c r="J1290" s="19" t="e">
        <f>VLOOKUP(Table2[[#This Row], [Author]],People!A:B,2,0)</f>
        <v>#N/A</v>
      </c>
      <c r="K1290" s="11"/>
      <c r="L1290" s="11"/>
      <c r="M1290" s="20" t="s">
        <v>1613</v>
      </c>
    </row>
    <row r="1291" spans="1:13" ht="19.5" customHeight="1">
      <c r="A1291" s="21">
        <f t="shared" si="20"/>
        <v>1290</v>
      </c>
      <c r="B1291" s="13" t="s">
        <v>8</v>
      </c>
      <c r="C1291" s="13" t="s">
        <v>68</v>
      </c>
      <c r="D1291" s="13" t="s">
        <v>2713</v>
      </c>
      <c r="E1291" s="13" t="s">
        <v>2714</v>
      </c>
      <c r="F1291" s="13"/>
      <c r="G1291" s="13" t="s">
        <v>15</v>
      </c>
      <c r="H1291" s="22" t="str">
        <f>IFERROR(VLOOKUP(Table2[[#This Row], [Ticket]],Okey!A:B,2,0),"")</f>
        <v>ok</v>
      </c>
      <c r="I1291" s="13" t="s">
        <v>276</v>
      </c>
      <c r="J1291" s="22" t="e">
        <f>VLOOKUP(Table2[[#This Row], [Author]],People!A:B,2,0)</f>
        <v>#N/A</v>
      </c>
      <c r="K1291" s="13"/>
      <c r="L1291" s="13"/>
      <c r="M1291" s="23" t="s">
        <v>1613</v>
      </c>
    </row>
    <row r="1292" spans="1:13" ht="19.5" customHeight="1">
      <c r="A1292" s="18">
        <f t="shared" si="20"/>
        <v>1291</v>
      </c>
      <c r="B1292" s="11" t="s">
        <v>8</v>
      </c>
      <c r="C1292" s="11" t="s">
        <v>68</v>
      </c>
      <c r="D1292" s="11" t="s">
        <v>2715</v>
      </c>
      <c r="E1292" s="11" t="s">
        <v>2716</v>
      </c>
      <c r="F1292" s="11"/>
      <c r="G1292" s="11" t="s">
        <v>15</v>
      </c>
      <c r="H1292" s="19" t="str">
        <f>IFERROR(VLOOKUP(Table2[[#This Row], [Ticket]],Okey!A:B,2,0),"")</f>
        <v>ok</v>
      </c>
      <c r="I1292" s="11" t="s">
        <v>276</v>
      </c>
      <c r="J1292" s="19" t="e">
        <f>VLOOKUP(Table2[[#This Row], [Author]],People!A:B,2,0)</f>
        <v>#N/A</v>
      </c>
      <c r="K1292" s="11"/>
      <c r="L1292" s="11"/>
      <c r="M1292" s="20" t="s">
        <v>1613</v>
      </c>
    </row>
    <row r="1293" spans="1:13" ht="19.5" customHeight="1">
      <c r="A1293" s="21">
        <f t="shared" si="20"/>
        <v>1292</v>
      </c>
      <c r="B1293" s="13" t="s">
        <v>8</v>
      </c>
      <c r="C1293" s="13" t="s">
        <v>68</v>
      </c>
      <c r="D1293" s="13" t="s">
        <v>2717</v>
      </c>
      <c r="E1293" s="13" t="s">
        <v>2718</v>
      </c>
      <c r="F1293" s="13"/>
      <c r="G1293" s="13" t="s">
        <v>15</v>
      </c>
      <c r="H1293" s="22" t="str">
        <f>IFERROR(VLOOKUP(Table2[[#This Row], [Ticket]],Okey!A:B,2,0),"")</f>
        <v>ok</v>
      </c>
      <c r="I1293" s="13" t="s">
        <v>276</v>
      </c>
      <c r="J1293" s="22" t="e">
        <f>VLOOKUP(Table2[[#This Row], [Author]],People!A:B,2,0)</f>
        <v>#N/A</v>
      </c>
      <c r="K1293" s="13"/>
      <c r="L1293" s="13"/>
      <c r="M1293" s="23" t="s">
        <v>1613</v>
      </c>
    </row>
    <row r="1294" spans="1:13" ht="19.5" customHeight="1">
      <c r="A1294" s="18">
        <f t="shared" si="20"/>
        <v>1293</v>
      </c>
      <c r="B1294" s="11" t="s">
        <v>8</v>
      </c>
      <c r="C1294" s="11" t="s">
        <v>68</v>
      </c>
      <c r="D1294" s="11" t="s">
        <v>2719</v>
      </c>
      <c r="E1294" s="11" t="s">
        <v>2720</v>
      </c>
      <c r="F1294" s="11"/>
      <c r="G1294" s="11" t="s">
        <v>15</v>
      </c>
      <c r="H1294" s="19" t="str">
        <f>IFERROR(VLOOKUP(Table2[[#This Row], [Ticket]],Okey!A:B,2,0),"")</f>
        <v>ok</v>
      </c>
      <c r="I1294" s="11" t="s">
        <v>276</v>
      </c>
      <c r="J1294" s="19" t="e">
        <f>VLOOKUP(Table2[[#This Row], [Author]],People!A:B,2,0)</f>
        <v>#N/A</v>
      </c>
      <c r="K1294" s="11"/>
      <c r="L1294" s="11"/>
      <c r="M1294" s="20" t="s">
        <v>1613</v>
      </c>
    </row>
    <row r="1295" spans="1:13" ht="19.5" customHeight="1">
      <c r="A1295" s="21">
        <f t="shared" si="20"/>
        <v>1294</v>
      </c>
      <c r="B1295" s="13" t="s">
        <v>8</v>
      </c>
      <c r="C1295" s="13" t="s">
        <v>68</v>
      </c>
      <c r="D1295" s="13" t="s">
        <v>2721</v>
      </c>
      <c r="E1295" s="13" t="s">
        <v>2721</v>
      </c>
      <c r="F1295" s="13"/>
      <c r="G1295" s="13" t="s">
        <v>15</v>
      </c>
      <c r="H1295" s="22" t="str">
        <f>IFERROR(VLOOKUP(Table2[[#This Row], [Ticket]],Okey!A:B,2,0),"")</f>
        <v>ok</v>
      </c>
      <c r="I1295" s="13" t="s">
        <v>276</v>
      </c>
      <c r="J1295" s="22" t="e">
        <f>VLOOKUP(Table2[[#This Row], [Author]],People!A:B,2,0)</f>
        <v>#N/A</v>
      </c>
      <c r="K1295" s="13"/>
      <c r="L1295" s="13"/>
      <c r="M1295" s="23" t="s">
        <v>1613</v>
      </c>
    </row>
    <row r="1296" spans="1:13" ht="19.5" customHeight="1">
      <c r="A1296" s="18">
        <f t="shared" si="20"/>
        <v>1295</v>
      </c>
      <c r="B1296" s="11" t="s">
        <v>8</v>
      </c>
      <c r="C1296" s="11" t="s">
        <v>68</v>
      </c>
      <c r="D1296" s="11" t="s">
        <v>2722</v>
      </c>
      <c r="E1296" s="11" t="s">
        <v>2723</v>
      </c>
      <c r="F1296" s="11"/>
      <c r="G1296" s="11" t="s">
        <v>15</v>
      </c>
      <c r="H1296" s="19" t="str">
        <f>IFERROR(VLOOKUP(Table2[[#This Row], [Ticket]],Okey!A:B,2,0),"")</f>
        <v>ok</v>
      </c>
      <c r="I1296" s="11" t="s">
        <v>276</v>
      </c>
      <c r="J1296" s="19" t="e">
        <f>VLOOKUP(Table2[[#This Row], [Author]],People!A:B,2,0)</f>
        <v>#N/A</v>
      </c>
      <c r="K1296" s="11"/>
      <c r="L1296" s="11"/>
      <c r="M1296" s="20" t="s">
        <v>1613</v>
      </c>
    </row>
    <row r="1297" spans="1:13" ht="19.5" customHeight="1">
      <c r="A1297" s="21">
        <f t="shared" si="20"/>
        <v>1296</v>
      </c>
      <c r="B1297" s="13" t="s">
        <v>8</v>
      </c>
      <c r="C1297" s="13" t="s">
        <v>68</v>
      </c>
      <c r="D1297" s="13" t="s">
        <v>2724</v>
      </c>
      <c r="E1297" s="13" t="s">
        <v>2725</v>
      </c>
      <c r="F1297" s="13"/>
      <c r="G1297" s="13" t="s">
        <v>15</v>
      </c>
      <c r="H1297" s="22" t="str">
        <f>IFERROR(VLOOKUP(Table2[[#This Row], [Ticket]],Okey!A:B,2,0),"")</f>
        <v>ok</v>
      </c>
      <c r="I1297" s="13" t="s">
        <v>276</v>
      </c>
      <c r="J1297" s="22" t="e">
        <f>VLOOKUP(Table2[[#This Row], [Author]],People!A:B,2,0)</f>
        <v>#N/A</v>
      </c>
      <c r="K1297" s="13"/>
      <c r="L1297" s="13"/>
      <c r="M1297" s="23" t="s">
        <v>1613</v>
      </c>
    </row>
    <row r="1298" spans="1:13" ht="19.5" customHeight="1">
      <c r="A1298" s="18">
        <f t="shared" si="20"/>
        <v>1297</v>
      </c>
      <c r="B1298" s="11" t="s">
        <v>8</v>
      </c>
      <c r="C1298" s="11" t="s">
        <v>68</v>
      </c>
      <c r="D1298" s="11" t="s">
        <v>2726</v>
      </c>
      <c r="E1298" s="11" t="s">
        <v>2727</v>
      </c>
      <c r="F1298" s="11"/>
      <c r="G1298" s="11" t="s">
        <v>15</v>
      </c>
      <c r="H1298" s="19" t="str">
        <f>IFERROR(VLOOKUP(Table2[[#This Row], [Ticket]],Okey!A:B,2,0),"")</f>
        <v>ok</v>
      </c>
      <c r="I1298" s="11" t="s">
        <v>276</v>
      </c>
      <c r="J1298" s="19" t="e">
        <f>VLOOKUP(Table2[[#This Row], [Author]],People!A:B,2,0)</f>
        <v>#N/A</v>
      </c>
      <c r="K1298" s="11"/>
      <c r="L1298" s="11"/>
      <c r="M1298" s="20" t="s">
        <v>1613</v>
      </c>
    </row>
    <row r="1299" spans="1:13" ht="19.5" customHeight="1">
      <c r="A1299" s="21">
        <f t="shared" si="20"/>
        <v>1298</v>
      </c>
      <c r="B1299" s="13" t="s">
        <v>8</v>
      </c>
      <c r="C1299" s="13" t="s">
        <v>68</v>
      </c>
      <c r="D1299" s="13" t="s">
        <v>2728</v>
      </c>
      <c r="E1299" s="13" t="s">
        <v>2729</v>
      </c>
      <c r="F1299" s="13"/>
      <c r="G1299" s="13" t="s">
        <v>15</v>
      </c>
      <c r="H1299" s="22" t="str">
        <f>IFERROR(VLOOKUP(Table2[[#This Row], [Ticket]],Okey!A:B,2,0),"")</f>
        <v>ok</v>
      </c>
      <c r="I1299" s="13" t="s">
        <v>276</v>
      </c>
      <c r="J1299" s="22" t="e">
        <f>VLOOKUP(Table2[[#This Row], [Author]],People!A:B,2,0)</f>
        <v>#N/A</v>
      </c>
      <c r="K1299" s="13"/>
      <c r="L1299" s="13"/>
      <c r="M1299" s="23" t="s">
        <v>1613</v>
      </c>
    </row>
    <row r="1300" spans="1:13" ht="19.5" customHeight="1">
      <c r="A1300" s="18">
        <f t="shared" si="20"/>
        <v>1299</v>
      </c>
      <c r="B1300" s="11" t="s">
        <v>8</v>
      </c>
      <c r="C1300" s="11" t="s">
        <v>68</v>
      </c>
      <c r="D1300" s="11" t="s">
        <v>2730</v>
      </c>
      <c r="E1300" s="11" t="s">
        <v>2731</v>
      </c>
      <c r="F1300" s="11"/>
      <c r="G1300" s="11" t="s">
        <v>15</v>
      </c>
      <c r="H1300" s="19" t="str">
        <f>IFERROR(VLOOKUP(Table2[[#This Row], [Ticket]],Okey!A:B,2,0),"")</f>
        <v>ok</v>
      </c>
      <c r="I1300" s="11" t="s">
        <v>276</v>
      </c>
      <c r="J1300" s="19" t="e">
        <f>VLOOKUP(Table2[[#This Row], [Author]],People!A:B,2,0)</f>
        <v>#N/A</v>
      </c>
      <c r="K1300" s="11"/>
      <c r="L1300" s="11"/>
      <c r="M1300" s="20" t="s">
        <v>1613</v>
      </c>
    </row>
    <row r="1301" spans="1:13" ht="19.5" customHeight="1">
      <c r="A1301" s="21">
        <f t="shared" si="20"/>
        <v>1300</v>
      </c>
      <c r="B1301" s="13" t="s">
        <v>8</v>
      </c>
      <c r="C1301" s="13" t="s">
        <v>68</v>
      </c>
      <c r="D1301" s="13" t="s">
        <v>2732</v>
      </c>
      <c r="E1301" s="13" t="s">
        <v>2733</v>
      </c>
      <c r="F1301" s="13"/>
      <c r="G1301" s="13" t="s">
        <v>15</v>
      </c>
      <c r="H1301" s="22" t="str">
        <f>IFERROR(VLOOKUP(Table2[[#This Row], [Ticket]],Okey!A:B,2,0),"")</f>
        <v>ok</v>
      </c>
      <c r="I1301" s="13" t="s">
        <v>276</v>
      </c>
      <c r="J1301" s="22" t="e">
        <f>VLOOKUP(Table2[[#This Row], [Author]],People!A:B,2,0)</f>
        <v>#N/A</v>
      </c>
      <c r="K1301" s="13"/>
      <c r="L1301" s="13"/>
      <c r="M1301" s="23" t="s">
        <v>1613</v>
      </c>
    </row>
    <row r="1302" spans="1:13" ht="19.5" customHeight="1">
      <c r="A1302" s="18">
        <f t="shared" si="20"/>
        <v>1301</v>
      </c>
      <c r="B1302" s="11" t="s">
        <v>8</v>
      </c>
      <c r="C1302" s="11" t="s">
        <v>68</v>
      </c>
      <c r="D1302" s="11" t="s">
        <v>2734</v>
      </c>
      <c r="E1302" s="11" t="s">
        <v>2735</v>
      </c>
      <c r="F1302" s="11"/>
      <c r="G1302" s="11" t="s">
        <v>15</v>
      </c>
      <c r="H1302" s="19" t="str">
        <f>IFERROR(VLOOKUP(Table2[[#This Row], [Ticket]],Okey!A:B,2,0),"")</f>
        <v>ok</v>
      </c>
      <c r="I1302" s="11" t="s">
        <v>276</v>
      </c>
      <c r="J1302" s="19" t="e">
        <f>VLOOKUP(Table2[[#This Row], [Author]],People!A:B,2,0)</f>
        <v>#N/A</v>
      </c>
      <c r="K1302" s="11"/>
      <c r="L1302" s="11"/>
      <c r="M1302" s="20" t="s">
        <v>1613</v>
      </c>
    </row>
    <row r="1303" spans="1:13" ht="19.5" customHeight="1">
      <c r="A1303" s="21">
        <f t="shared" si="20"/>
        <v>1302</v>
      </c>
      <c r="B1303" s="13" t="s">
        <v>8</v>
      </c>
      <c r="C1303" s="13" t="s">
        <v>68</v>
      </c>
      <c r="D1303" s="13" t="s">
        <v>2736</v>
      </c>
      <c r="E1303" s="13" t="s">
        <v>2737</v>
      </c>
      <c r="F1303" s="13"/>
      <c r="G1303" s="13" t="s">
        <v>15</v>
      </c>
      <c r="H1303" s="22" t="str">
        <f>IFERROR(VLOOKUP(Table2[[#This Row], [Ticket]],Okey!A:B,2,0),"")</f>
        <v>ok</v>
      </c>
      <c r="I1303" s="13" t="s">
        <v>276</v>
      </c>
      <c r="J1303" s="22" t="e">
        <f>VLOOKUP(Table2[[#This Row], [Author]],People!A:B,2,0)</f>
        <v>#N/A</v>
      </c>
      <c r="K1303" s="13"/>
      <c r="L1303" s="13"/>
      <c r="M1303" s="23" t="s">
        <v>1613</v>
      </c>
    </row>
    <row r="1304" spans="1:13" ht="19.5" customHeight="1">
      <c r="A1304" s="18">
        <f t="shared" si="20"/>
        <v>1303</v>
      </c>
      <c r="B1304" s="11" t="s">
        <v>8</v>
      </c>
      <c r="C1304" s="11" t="s">
        <v>68</v>
      </c>
      <c r="D1304" s="11" t="s">
        <v>2738</v>
      </c>
      <c r="E1304" s="11" t="s">
        <v>2739</v>
      </c>
      <c r="F1304" s="11"/>
      <c r="G1304" s="11" t="s">
        <v>15</v>
      </c>
      <c r="H1304" s="19" t="str">
        <f>IFERROR(VLOOKUP(Table2[[#This Row], [Ticket]],Okey!A:B,2,0),"")</f>
        <v>ok</v>
      </c>
      <c r="I1304" s="11" t="s">
        <v>276</v>
      </c>
      <c r="J1304" s="19" t="e">
        <f>VLOOKUP(Table2[[#This Row], [Author]],People!A:B,2,0)</f>
        <v>#N/A</v>
      </c>
      <c r="K1304" s="11"/>
      <c r="L1304" s="11"/>
      <c r="M1304" s="20" t="s">
        <v>1613</v>
      </c>
    </row>
    <row r="1305" spans="1:13" ht="19.5" customHeight="1">
      <c r="A1305" s="21">
        <f t="shared" si="20"/>
        <v>1304</v>
      </c>
      <c r="B1305" s="13" t="s">
        <v>8</v>
      </c>
      <c r="C1305" s="13" t="s">
        <v>68</v>
      </c>
      <c r="D1305" s="13" t="s">
        <v>2740</v>
      </c>
      <c r="E1305" s="13" t="s">
        <v>2741</v>
      </c>
      <c r="F1305" s="13"/>
      <c r="G1305" s="13" t="s">
        <v>15</v>
      </c>
      <c r="H1305" s="22" t="str">
        <f>IFERROR(VLOOKUP(Table2[[#This Row], [Ticket]],Okey!A:B,2,0),"")</f>
        <v>ok</v>
      </c>
      <c r="I1305" s="13" t="s">
        <v>276</v>
      </c>
      <c r="J1305" s="22" t="e">
        <f>VLOOKUP(Table2[[#This Row], [Author]],People!A:B,2,0)</f>
        <v>#N/A</v>
      </c>
      <c r="K1305" s="13"/>
      <c r="L1305" s="13"/>
      <c r="M1305" s="23" t="s">
        <v>1613</v>
      </c>
    </row>
    <row r="1306" spans="1:13" ht="19.5" customHeight="1">
      <c r="A1306" s="18">
        <f t="shared" si="20"/>
        <v>1305</v>
      </c>
      <c r="B1306" s="11" t="s">
        <v>8</v>
      </c>
      <c r="C1306" s="11" t="s">
        <v>68</v>
      </c>
      <c r="D1306" s="11" t="s">
        <v>2742</v>
      </c>
      <c r="E1306" s="11" t="s">
        <v>2743</v>
      </c>
      <c r="F1306" s="11"/>
      <c r="G1306" s="11" t="s">
        <v>15</v>
      </c>
      <c r="H1306" s="19" t="str">
        <f>IFERROR(VLOOKUP(Table2[[#This Row], [Ticket]],Okey!A:B,2,0),"")</f>
        <v>ok</v>
      </c>
      <c r="I1306" s="11" t="s">
        <v>276</v>
      </c>
      <c r="J1306" s="19" t="e">
        <f>VLOOKUP(Table2[[#This Row], [Author]],People!A:B,2,0)</f>
        <v>#N/A</v>
      </c>
      <c r="K1306" s="11"/>
      <c r="L1306" s="11"/>
      <c r="M1306" s="20" t="s">
        <v>1613</v>
      </c>
    </row>
    <row r="1307" spans="1:13" ht="19.5" customHeight="1">
      <c r="A1307" s="21">
        <f t="shared" si="20"/>
        <v>1306</v>
      </c>
      <c r="B1307" s="13" t="s">
        <v>8</v>
      </c>
      <c r="C1307" s="13" t="s">
        <v>68</v>
      </c>
      <c r="D1307" s="13" t="s">
        <v>2744</v>
      </c>
      <c r="E1307" s="13" t="s">
        <v>2745</v>
      </c>
      <c r="F1307" s="13" t="s">
        <v>2013</v>
      </c>
      <c r="G1307" s="13" t="s">
        <v>16</v>
      </c>
      <c r="H1307" s="22" t="str">
        <f>IFERROR(VLOOKUP(Table2[[#This Row], [Ticket]],Okey!A:B,2,0),"")</f>
        <v>ok</v>
      </c>
      <c r="I1307" s="13" t="s">
        <v>276</v>
      </c>
      <c r="J1307" s="22" t="e">
        <f>VLOOKUP(Table2[[#This Row], [Author]],People!A:B,2,0)</f>
        <v>#N/A</v>
      </c>
      <c r="K1307" s="13"/>
      <c r="L1307" s="13"/>
      <c r="M1307" s="23" t="s">
        <v>1613</v>
      </c>
    </row>
    <row r="1308" spans="1:13" ht="19.5" customHeight="1">
      <c r="A1308" s="18">
        <f t="shared" si="20"/>
        <v>1307</v>
      </c>
      <c r="B1308" s="11" t="s">
        <v>8</v>
      </c>
      <c r="C1308" s="11" t="s">
        <v>68</v>
      </c>
      <c r="D1308" s="11" t="s">
        <v>2746</v>
      </c>
      <c r="E1308" s="11" t="s">
        <v>2747</v>
      </c>
      <c r="F1308" s="11" t="s">
        <v>2013</v>
      </c>
      <c r="G1308" s="11" t="s">
        <v>16</v>
      </c>
      <c r="H1308" s="19" t="str">
        <f>IFERROR(VLOOKUP(Table2[[#This Row], [Ticket]],Okey!A:B,2,0),"")</f>
        <v>ok</v>
      </c>
      <c r="I1308" s="11" t="s">
        <v>276</v>
      </c>
      <c r="J1308" s="19" t="e">
        <f>VLOOKUP(Table2[[#This Row], [Author]],People!A:B,2,0)</f>
        <v>#N/A</v>
      </c>
      <c r="K1308" s="11"/>
      <c r="L1308" s="11"/>
      <c r="M1308" s="20" t="s">
        <v>1613</v>
      </c>
    </row>
    <row r="1309" spans="1:13" ht="19.5" customHeight="1">
      <c r="A1309" s="21">
        <f t="shared" si="20"/>
        <v>1308</v>
      </c>
      <c r="B1309" s="13" t="s">
        <v>8</v>
      </c>
      <c r="C1309" s="13" t="s">
        <v>68</v>
      </c>
      <c r="D1309" s="13" t="s">
        <v>2748</v>
      </c>
      <c r="E1309" s="13" t="s">
        <v>2749</v>
      </c>
      <c r="F1309" s="13" t="s">
        <v>2013</v>
      </c>
      <c r="G1309" s="13" t="s">
        <v>16</v>
      </c>
      <c r="H1309" s="22" t="str">
        <f>IFERROR(VLOOKUP(Table2[[#This Row], [Ticket]],Okey!A:B,2,0),"")</f>
        <v>ok</v>
      </c>
      <c r="I1309" s="13" t="s">
        <v>276</v>
      </c>
      <c r="J1309" s="22" t="e">
        <f>VLOOKUP(Table2[[#This Row], [Author]],People!A:B,2,0)</f>
        <v>#N/A</v>
      </c>
      <c r="K1309" s="13"/>
      <c r="L1309" s="13"/>
      <c r="M1309" s="23" t="s">
        <v>1613</v>
      </c>
    </row>
    <row r="1310" spans="1:13" ht="19.5" customHeight="1">
      <c r="A1310" s="18">
        <f t="shared" si="20"/>
        <v>1309</v>
      </c>
      <c r="B1310" s="11" t="s">
        <v>8</v>
      </c>
      <c r="C1310" s="11" t="s">
        <v>68</v>
      </c>
      <c r="D1310" s="11" t="s">
        <v>2750</v>
      </c>
      <c r="E1310" s="11" t="s">
        <v>2751</v>
      </c>
      <c r="F1310" s="11" t="s">
        <v>2013</v>
      </c>
      <c r="G1310" s="11" t="s">
        <v>16</v>
      </c>
      <c r="H1310" s="19" t="str">
        <f>IFERROR(VLOOKUP(Table2[[#This Row], [Ticket]],Okey!A:B,2,0),"")</f>
        <v>ok</v>
      </c>
      <c r="I1310" s="11" t="s">
        <v>276</v>
      </c>
      <c r="J1310" s="19" t="e">
        <f>VLOOKUP(Table2[[#This Row], [Author]],People!A:B,2,0)</f>
        <v>#N/A</v>
      </c>
      <c r="K1310" s="11"/>
      <c r="L1310" s="11"/>
      <c r="M1310" s="20" t="s">
        <v>1613</v>
      </c>
    </row>
    <row r="1311" spans="1:13" ht="19.5" customHeight="1">
      <c r="A1311" s="21">
        <f t="shared" si="20"/>
        <v>1310</v>
      </c>
      <c r="B1311" s="13" t="s">
        <v>8</v>
      </c>
      <c r="C1311" s="13" t="s">
        <v>68</v>
      </c>
      <c r="D1311" s="13" t="s">
        <v>2752</v>
      </c>
      <c r="E1311" s="13" t="s">
        <v>2753</v>
      </c>
      <c r="F1311" s="13" t="s">
        <v>2013</v>
      </c>
      <c r="G1311" s="13" t="s">
        <v>16</v>
      </c>
      <c r="H1311" s="22" t="str">
        <f>IFERROR(VLOOKUP(Table2[[#This Row], [Ticket]],Okey!A:B,2,0),"")</f>
        <v>ok</v>
      </c>
      <c r="I1311" s="13" t="s">
        <v>276</v>
      </c>
      <c r="J1311" s="22" t="e">
        <f>VLOOKUP(Table2[[#This Row], [Author]],People!A:B,2,0)</f>
        <v>#N/A</v>
      </c>
      <c r="K1311" s="13"/>
      <c r="L1311" s="13"/>
      <c r="M1311" s="23" t="s">
        <v>1613</v>
      </c>
    </row>
    <row r="1312" spans="1:13" ht="19.5" customHeight="1">
      <c r="A1312" s="18">
        <f t="shared" si="20"/>
        <v>1311</v>
      </c>
      <c r="B1312" s="11" t="s">
        <v>8</v>
      </c>
      <c r="C1312" s="11" t="s">
        <v>68</v>
      </c>
      <c r="D1312" s="11" t="s">
        <v>2754</v>
      </c>
      <c r="E1312" s="11" t="s">
        <v>2755</v>
      </c>
      <c r="F1312" s="11" t="s">
        <v>2013</v>
      </c>
      <c r="G1312" s="11" t="s">
        <v>16</v>
      </c>
      <c r="H1312" s="19" t="str">
        <f>IFERROR(VLOOKUP(Table2[[#This Row], [Ticket]],Okey!A:B,2,0),"")</f>
        <v>ok</v>
      </c>
      <c r="I1312" s="11" t="s">
        <v>276</v>
      </c>
      <c r="J1312" s="19" t="e">
        <f>VLOOKUP(Table2[[#This Row], [Author]],People!A:B,2,0)</f>
        <v>#N/A</v>
      </c>
      <c r="K1312" s="11"/>
      <c r="L1312" s="11"/>
      <c r="M1312" s="20" t="s">
        <v>1613</v>
      </c>
    </row>
    <row r="1313" spans="1:13" ht="19.5" customHeight="1">
      <c r="A1313" s="21">
        <f t="shared" si="20"/>
        <v>1312</v>
      </c>
      <c r="B1313" s="13" t="s">
        <v>8</v>
      </c>
      <c r="C1313" s="13" t="s">
        <v>68</v>
      </c>
      <c r="D1313" s="13" t="s">
        <v>2756</v>
      </c>
      <c r="E1313" s="13" t="s">
        <v>2757</v>
      </c>
      <c r="F1313" s="13" t="s">
        <v>2013</v>
      </c>
      <c r="G1313" s="13" t="s">
        <v>16</v>
      </c>
      <c r="H1313" s="22" t="str">
        <f>IFERROR(VLOOKUP(Table2[[#This Row], [Ticket]],Okey!A:B,2,0),"")</f>
        <v>ok</v>
      </c>
      <c r="I1313" s="13" t="s">
        <v>276</v>
      </c>
      <c r="J1313" s="22" t="e">
        <f>VLOOKUP(Table2[[#This Row], [Author]],People!A:B,2,0)</f>
        <v>#N/A</v>
      </c>
      <c r="K1313" s="13"/>
      <c r="L1313" s="13"/>
      <c r="M1313" s="23" t="s">
        <v>1613</v>
      </c>
    </row>
    <row r="1314" spans="1:13" ht="19.5" customHeight="1">
      <c r="A1314" s="18">
        <f t="shared" si="20"/>
        <v>1313</v>
      </c>
      <c r="B1314" s="11" t="s">
        <v>8</v>
      </c>
      <c r="C1314" s="11" t="s">
        <v>68</v>
      </c>
      <c r="D1314" s="11" t="s">
        <v>2758</v>
      </c>
      <c r="E1314" s="11" t="s">
        <v>2759</v>
      </c>
      <c r="F1314" s="11" t="s">
        <v>2013</v>
      </c>
      <c r="G1314" s="11" t="s">
        <v>16</v>
      </c>
      <c r="H1314" s="19" t="str">
        <f>IFERROR(VLOOKUP(Table2[[#This Row], [Ticket]],Okey!A:B,2,0),"")</f>
        <v>ok</v>
      </c>
      <c r="I1314" s="11" t="s">
        <v>276</v>
      </c>
      <c r="J1314" s="19" t="e">
        <f>VLOOKUP(Table2[[#This Row], [Author]],People!A:B,2,0)</f>
        <v>#N/A</v>
      </c>
      <c r="K1314" s="11"/>
      <c r="L1314" s="11"/>
      <c r="M1314" s="20" t="s">
        <v>1613</v>
      </c>
    </row>
    <row r="1315" spans="1:13" ht="19.5" customHeight="1">
      <c r="A1315" s="21">
        <f t="shared" si="20"/>
        <v>1314</v>
      </c>
      <c r="B1315" s="13" t="s">
        <v>8</v>
      </c>
      <c r="C1315" s="13" t="s">
        <v>68</v>
      </c>
      <c r="D1315" s="13" t="s">
        <v>2760</v>
      </c>
      <c r="E1315" s="13" t="s">
        <v>2761</v>
      </c>
      <c r="F1315" s="13" t="s">
        <v>2013</v>
      </c>
      <c r="G1315" s="13" t="s">
        <v>16</v>
      </c>
      <c r="H1315" s="22" t="str">
        <f>IFERROR(VLOOKUP(Table2[[#This Row], [Ticket]],Okey!A:B,2,0),"")</f>
        <v>ok</v>
      </c>
      <c r="I1315" s="13" t="s">
        <v>276</v>
      </c>
      <c r="J1315" s="22" t="e">
        <f>VLOOKUP(Table2[[#This Row], [Author]],People!A:B,2,0)</f>
        <v>#N/A</v>
      </c>
      <c r="K1315" s="13"/>
      <c r="L1315" s="13"/>
      <c r="M1315" s="23" t="s">
        <v>1613</v>
      </c>
    </row>
    <row r="1316" spans="1:13" ht="19.5" customHeight="1">
      <c r="A1316" s="18">
        <f t="shared" si="20"/>
        <v>1315</v>
      </c>
      <c r="B1316" s="11" t="s">
        <v>8</v>
      </c>
      <c r="C1316" s="11" t="s">
        <v>68</v>
      </c>
      <c r="D1316" s="11" t="s">
        <v>2762</v>
      </c>
      <c r="E1316" s="11" t="s">
        <v>2763</v>
      </c>
      <c r="F1316" s="11" t="s">
        <v>2013</v>
      </c>
      <c r="G1316" s="11" t="s">
        <v>16</v>
      </c>
      <c r="H1316" s="19" t="str">
        <f>IFERROR(VLOOKUP(Table2[[#This Row], [Ticket]],Okey!A:B,2,0),"")</f>
        <v>ok</v>
      </c>
      <c r="I1316" s="11" t="s">
        <v>276</v>
      </c>
      <c r="J1316" s="19" t="e">
        <f>VLOOKUP(Table2[[#This Row], [Author]],People!A:B,2,0)</f>
        <v>#N/A</v>
      </c>
      <c r="K1316" s="11"/>
      <c r="L1316" s="11"/>
      <c r="M1316" s="20" t="s">
        <v>1613</v>
      </c>
    </row>
    <row r="1317" spans="1:13" ht="19.5" customHeight="1">
      <c r="A1317" s="21">
        <f t="shared" si="20"/>
        <v>1316</v>
      </c>
      <c r="B1317" s="13" t="s">
        <v>8</v>
      </c>
      <c r="C1317" s="13" t="s">
        <v>68</v>
      </c>
      <c r="D1317" s="13" t="s">
        <v>2764</v>
      </c>
      <c r="E1317" s="13" t="s">
        <v>2765</v>
      </c>
      <c r="F1317" s="13" t="s">
        <v>2013</v>
      </c>
      <c r="G1317" s="13" t="s">
        <v>16</v>
      </c>
      <c r="H1317" s="22" t="str">
        <f>IFERROR(VLOOKUP(Table2[[#This Row], [Ticket]],Okey!A:B,2,0),"")</f>
        <v>ok</v>
      </c>
      <c r="I1317" s="13" t="s">
        <v>276</v>
      </c>
      <c r="J1317" s="22" t="e">
        <f>VLOOKUP(Table2[[#This Row], [Author]],People!A:B,2,0)</f>
        <v>#N/A</v>
      </c>
      <c r="K1317" s="13"/>
      <c r="L1317" s="13"/>
      <c r="M1317" s="23" t="s">
        <v>1613</v>
      </c>
    </row>
    <row r="1318" spans="1:13" ht="19.5" customHeight="1">
      <c r="A1318" s="18">
        <f t="shared" si="20"/>
        <v>1317</v>
      </c>
      <c r="B1318" s="11" t="s">
        <v>8</v>
      </c>
      <c r="C1318" s="11" t="s">
        <v>68</v>
      </c>
      <c r="D1318" s="11" t="s">
        <v>2766</v>
      </c>
      <c r="E1318" s="11" t="s">
        <v>2767</v>
      </c>
      <c r="F1318" s="11" t="s">
        <v>2018</v>
      </c>
      <c r="G1318" s="11" t="s">
        <v>16</v>
      </c>
      <c r="H1318" s="19" t="str">
        <f>IFERROR(VLOOKUP(Table2[[#This Row], [Ticket]],Okey!A:B,2,0),"")</f>
        <v>ok</v>
      </c>
      <c r="I1318" s="11" t="s">
        <v>276</v>
      </c>
      <c r="J1318" s="19" t="e">
        <f>VLOOKUP(Table2[[#This Row], [Author]],People!A:B,2,0)</f>
        <v>#N/A</v>
      </c>
      <c r="K1318" s="11"/>
      <c r="L1318" s="11"/>
      <c r="M1318" s="20" t="s">
        <v>1613</v>
      </c>
    </row>
    <row r="1319" spans="1:13" ht="19.5" customHeight="1">
      <c r="A1319" s="21">
        <f t="shared" si="20"/>
        <v>1318</v>
      </c>
      <c r="B1319" s="13" t="s">
        <v>8</v>
      </c>
      <c r="C1319" s="13" t="s">
        <v>68</v>
      </c>
      <c r="D1319" s="13" t="s">
        <v>2768</v>
      </c>
      <c r="E1319" s="13" t="s">
        <v>2769</v>
      </c>
      <c r="F1319" s="13" t="s">
        <v>2018</v>
      </c>
      <c r="G1319" s="13" t="s">
        <v>16</v>
      </c>
      <c r="H1319" s="22" t="str">
        <f>IFERROR(VLOOKUP(Table2[[#This Row], [Ticket]],Okey!A:B,2,0),"")</f>
        <v>ok</v>
      </c>
      <c r="I1319" s="13" t="s">
        <v>276</v>
      </c>
      <c r="J1319" s="22" t="e">
        <f>VLOOKUP(Table2[[#This Row], [Author]],People!A:B,2,0)</f>
        <v>#N/A</v>
      </c>
      <c r="K1319" s="13"/>
      <c r="L1319" s="13"/>
      <c r="M1319" s="23" t="s">
        <v>1613</v>
      </c>
    </row>
    <row r="1320" spans="1:13" ht="19.5" customHeight="1">
      <c r="A1320" s="18">
        <f t="shared" si="20"/>
        <v>1319</v>
      </c>
      <c r="B1320" s="11" t="s">
        <v>8</v>
      </c>
      <c r="C1320" s="11" t="s">
        <v>68</v>
      </c>
      <c r="D1320" s="11" t="s">
        <v>2770</v>
      </c>
      <c r="E1320" s="11" t="s">
        <v>2771</v>
      </c>
      <c r="F1320" s="11" t="s">
        <v>2018</v>
      </c>
      <c r="G1320" s="11" t="s">
        <v>16</v>
      </c>
      <c r="H1320" s="19" t="str">
        <f>IFERROR(VLOOKUP(Table2[[#This Row], [Ticket]],Okey!A:B,2,0),"")</f>
        <v>ok</v>
      </c>
      <c r="I1320" s="11" t="s">
        <v>276</v>
      </c>
      <c r="J1320" s="19" t="e">
        <f>VLOOKUP(Table2[[#This Row], [Author]],People!A:B,2,0)</f>
        <v>#N/A</v>
      </c>
      <c r="K1320" s="11"/>
      <c r="L1320" s="11"/>
      <c r="M1320" s="20" t="s">
        <v>1613</v>
      </c>
    </row>
    <row r="1321" spans="1:13" ht="19.5" customHeight="1">
      <c r="A1321" s="21">
        <f t="shared" si="20"/>
        <v>1320</v>
      </c>
      <c r="B1321" s="13" t="s">
        <v>8</v>
      </c>
      <c r="C1321" s="13" t="s">
        <v>68</v>
      </c>
      <c r="D1321" s="13" t="s">
        <v>2772</v>
      </c>
      <c r="E1321" s="13" t="s">
        <v>2773</v>
      </c>
      <c r="F1321" s="13" t="s">
        <v>2018</v>
      </c>
      <c r="G1321" s="13" t="s">
        <v>16</v>
      </c>
      <c r="H1321" s="22" t="str">
        <f>IFERROR(VLOOKUP(Table2[[#This Row], [Ticket]],Okey!A:B,2,0),"")</f>
        <v>ok</v>
      </c>
      <c r="I1321" s="13" t="s">
        <v>276</v>
      </c>
      <c r="J1321" s="22" t="e">
        <f>VLOOKUP(Table2[[#This Row], [Author]],People!A:B,2,0)</f>
        <v>#N/A</v>
      </c>
      <c r="K1321" s="13"/>
      <c r="L1321" s="13"/>
      <c r="M1321" s="23" t="s">
        <v>1613</v>
      </c>
    </row>
    <row r="1322" spans="1:13" ht="19.5" customHeight="1">
      <c r="A1322" s="18">
        <f t="shared" si="20"/>
        <v>1321</v>
      </c>
      <c r="B1322" s="11" t="s">
        <v>8</v>
      </c>
      <c r="C1322" s="11" t="s">
        <v>68</v>
      </c>
      <c r="D1322" s="11" t="s">
        <v>2774</v>
      </c>
      <c r="E1322" s="11" t="s">
        <v>2775</v>
      </c>
      <c r="F1322" s="11" t="s">
        <v>2018</v>
      </c>
      <c r="G1322" s="11" t="s">
        <v>16</v>
      </c>
      <c r="H1322" s="19" t="str">
        <f>IFERROR(VLOOKUP(Table2[[#This Row], [Ticket]],Okey!A:B,2,0),"")</f>
        <v>ok</v>
      </c>
      <c r="I1322" s="11" t="s">
        <v>276</v>
      </c>
      <c r="J1322" s="19" t="e">
        <f>VLOOKUP(Table2[[#This Row], [Author]],People!A:B,2,0)</f>
        <v>#N/A</v>
      </c>
      <c r="K1322" s="11"/>
      <c r="L1322" s="11"/>
      <c r="M1322" s="20" t="s">
        <v>1613</v>
      </c>
    </row>
    <row r="1323" spans="1:13" ht="19.5" customHeight="1">
      <c r="A1323" s="21">
        <f t="shared" si="20"/>
        <v>1322</v>
      </c>
      <c r="B1323" s="13" t="s">
        <v>8</v>
      </c>
      <c r="C1323" s="13" t="s">
        <v>68</v>
      </c>
      <c r="D1323" s="13" t="s">
        <v>2776</v>
      </c>
      <c r="E1323" s="13" t="s">
        <v>2777</v>
      </c>
      <c r="F1323" s="13" t="s">
        <v>2018</v>
      </c>
      <c r="G1323" s="13" t="s">
        <v>16</v>
      </c>
      <c r="H1323" s="22" t="str">
        <f>IFERROR(VLOOKUP(Table2[[#This Row], [Ticket]],Okey!A:B,2,0),"")</f>
        <v>ok</v>
      </c>
      <c r="I1323" s="13" t="s">
        <v>276</v>
      </c>
      <c r="J1323" s="22" t="e">
        <f>VLOOKUP(Table2[[#This Row], [Author]],People!A:B,2,0)</f>
        <v>#N/A</v>
      </c>
      <c r="K1323" s="13"/>
      <c r="L1323" s="13"/>
      <c r="M1323" s="23" t="s">
        <v>1613</v>
      </c>
    </row>
    <row r="1324" spans="1:13" ht="19.5" customHeight="1">
      <c r="A1324" s="18">
        <f t="shared" si="20"/>
        <v>1323</v>
      </c>
      <c r="B1324" s="11" t="s">
        <v>8</v>
      </c>
      <c r="C1324" s="11" t="s">
        <v>68</v>
      </c>
      <c r="D1324" s="11" t="s">
        <v>2778</v>
      </c>
      <c r="E1324" s="11" t="s">
        <v>2779</v>
      </c>
      <c r="F1324" s="11" t="s">
        <v>2018</v>
      </c>
      <c r="G1324" s="11" t="s">
        <v>16</v>
      </c>
      <c r="H1324" s="19" t="str">
        <f>IFERROR(VLOOKUP(Table2[[#This Row], [Ticket]],Okey!A:B,2,0),"")</f>
        <v>ok</v>
      </c>
      <c r="I1324" s="11" t="s">
        <v>276</v>
      </c>
      <c r="J1324" s="19" t="e">
        <f>VLOOKUP(Table2[[#This Row], [Author]],People!A:B,2,0)</f>
        <v>#N/A</v>
      </c>
      <c r="K1324" s="11"/>
      <c r="L1324" s="11"/>
      <c r="M1324" s="20" t="s">
        <v>1613</v>
      </c>
    </row>
    <row r="1325" spans="1:13" ht="19.5" customHeight="1">
      <c r="A1325" s="21">
        <f t="shared" si="20"/>
        <v>1324</v>
      </c>
      <c r="B1325" s="13" t="s">
        <v>8</v>
      </c>
      <c r="C1325" s="13" t="s">
        <v>68</v>
      </c>
      <c r="D1325" s="13" t="s">
        <v>2780</v>
      </c>
      <c r="E1325" s="13" t="s">
        <v>2781</v>
      </c>
      <c r="F1325" s="13" t="s">
        <v>2018</v>
      </c>
      <c r="G1325" s="13" t="s">
        <v>16</v>
      </c>
      <c r="H1325" s="22" t="str">
        <f>IFERROR(VLOOKUP(Table2[[#This Row], [Ticket]],Okey!A:B,2,0),"")</f>
        <v>ok</v>
      </c>
      <c r="I1325" s="13" t="s">
        <v>276</v>
      </c>
      <c r="J1325" s="22" t="e">
        <f>VLOOKUP(Table2[[#This Row], [Author]],People!A:B,2,0)</f>
        <v>#N/A</v>
      </c>
      <c r="K1325" s="13"/>
      <c r="L1325" s="13"/>
      <c r="M1325" s="23" t="s">
        <v>1613</v>
      </c>
    </row>
    <row r="1326" spans="1:13" ht="19.5" customHeight="1">
      <c r="A1326" s="18">
        <f t="shared" si="20"/>
        <v>1325</v>
      </c>
      <c r="B1326" s="11" t="s">
        <v>8</v>
      </c>
      <c r="C1326" s="11" t="s">
        <v>68</v>
      </c>
      <c r="D1326" s="11" t="s">
        <v>2782</v>
      </c>
      <c r="E1326" s="11" t="s">
        <v>2783</v>
      </c>
      <c r="F1326" s="11" t="s">
        <v>2018</v>
      </c>
      <c r="G1326" s="11" t="s">
        <v>16</v>
      </c>
      <c r="H1326" s="19" t="str">
        <f>IFERROR(VLOOKUP(Table2[[#This Row], [Ticket]],Okey!A:B,2,0),"")</f>
        <v>ok</v>
      </c>
      <c r="I1326" s="11" t="s">
        <v>276</v>
      </c>
      <c r="J1326" s="19" t="e">
        <f>VLOOKUP(Table2[[#This Row], [Author]],People!A:B,2,0)</f>
        <v>#N/A</v>
      </c>
      <c r="K1326" s="11"/>
      <c r="L1326" s="11"/>
      <c r="M1326" s="20" t="s">
        <v>1613</v>
      </c>
    </row>
    <row r="1327" spans="1:13" ht="19.5" customHeight="1">
      <c r="A1327" s="21">
        <f t="shared" si="20"/>
        <v>1326</v>
      </c>
      <c r="B1327" s="13" t="s">
        <v>8</v>
      </c>
      <c r="C1327" s="13" t="s">
        <v>68</v>
      </c>
      <c r="D1327" s="13" t="s">
        <v>2784</v>
      </c>
      <c r="E1327" s="13" t="s">
        <v>2785</v>
      </c>
      <c r="F1327" s="13" t="s">
        <v>2018</v>
      </c>
      <c r="G1327" s="13" t="s">
        <v>16</v>
      </c>
      <c r="H1327" s="22" t="str">
        <f>IFERROR(VLOOKUP(Table2[[#This Row], [Ticket]],Okey!A:B,2,0),"")</f>
        <v>ok</v>
      </c>
      <c r="I1327" s="13" t="s">
        <v>276</v>
      </c>
      <c r="J1327" s="22" t="e">
        <f>VLOOKUP(Table2[[#This Row], [Author]],People!A:B,2,0)</f>
        <v>#N/A</v>
      </c>
      <c r="K1327" s="13"/>
      <c r="L1327" s="13"/>
      <c r="M1327" s="23" t="s">
        <v>1613</v>
      </c>
    </row>
    <row r="1328" spans="1:13" ht="19.5" customHeight="1">
      <c r="A1328" s="18">
        <f t="shared" si="20"/>
        <v>1327</v>
      </c>
      <c r="B1328" s="11" t="s">
        <v>8</v>
      </c>
      <c r="C1328" s="11" t="s">
        <v>68</v>
      </c>
      <c r="D1328" s="11" t="s">
        <v>2786</v>
      </c>
      <c r="E1328" s="11" t="s">
        <v>2787</v>
      </c>
      <c r="F1328" s="11" t="s">
        <v>2023</v>
      </c>
      <c r="G1328" s="11" t="s">
        <v>16</v>
      </c>
      <c r="H1328" s="19" t="str">
        <f>IFERROR(VLOOKUP(Table2[[#This Row], [Ticket]],Okey!A:B,2,0),"")</f>
        <v>ok</v>
      </c>
      <c r="I1328" s="11" t="s">
        <v>276</v>
      </c>
      <c r="J1328" s="19" t="e">
        <f>VLOOKUP(Table2[[#This Row], [Author]],People!A:B,2,0)</f>
        <v>#N/A</v>
      </c>
      <c r="K1328" s="11"/>
      <c r="L1328" s="11"/>
      <c r="M1328" s="20" t="s">
        <v>1613</v>
      </c>
    </row>
    <row r="1329" spans="1:13" ht="19.5" customHeight="1">
      <c r="A1329" s="21">
        <f t="shared" si="20"/>
        <v>1328</v>
      </c>
      <c r="B1329" s="13" t="s">
        <v>8</v>
      </c>
      <c r="C1329" s="13" t="s">
        <v>68</v>
      </c>
      <c r="D1329" s="13" t="s">
        <v>2788</v>
      </c>
      <c r="E1329" s="13" t="s">
        <v>2789</v>
      </c>
      <c r="F1329" s="13" t="s">
        <v>2023</v>
      </c>
      <c r="G1329" s="13" t="s">
        <v>16</v>
      </c>
      <c r="H1329" s="22" t="str">
        <f>IFERROR(VLOOKUP(Table2[[#This Row], [Ticket]],Okey!A:B,2,0),"")</f>
        <v>ok</v>
      </c>
      <c r="I1329" s="13" t="s">
        <v>276</v>
      </c>
      <c r="J1329" s="22" t="e">
        <f>VLOOKUP(Table2[[#This Row], [Author]],People!A:B,2,0)</f>
        <v>#N/A</v>
      </c>
      <c r="K1329" s="13"/>
      <c r="L1329" s="13"/>
      <c r="M1329" s="23" t="s">
        <v>1613</v>
      </c>
    </row>
    <row r="1330" spans="1:13" ht="19.5" customHeight="1">
      <c r="A1330" s="18">
        <f t="shared" si="20"/>
        <v>1329</v>
      </c>
      <c r="B1330" s="11" t="s">
        <v>8</v>
      </c>
      <c r="C1330" s="11" t="s">
        <v>68</v>
      </c>
      <c r="D1330" s="11" t="s">
        <v>2790</v>
      </c>
      <c r="E1330" s="11" t="s">
        <v>2791</v>
      </c>
      <c r="F1330" s="11" t="s">
        <v>2023</v>
      </c>
      <c r="G1330" s="11" t="s">
        <v>16</v>
      </c>
      <c r="H1330" s="19" t="str">
        <f>IFERROR(VLOOKUP(Table2[[#This Row], [Ticket]],Okey!A:B,2,0),"")</f>
        <v>ok</v>
      </c>
      <c r="I1330" s="11" t="s">
        <v>276</v>
      </c>
      <c r="J1330" s="19" t="e">
        <f>VLOOKUP(Table2[[#This Row], [Author]],People!A:B,2,0)</f>
        <v>#N/A</v>
      </c>
      <c r="K1330" s="11"/>
      <c r="L1330" s="11"/>
      <c r="M1330" s="20" t="s">
        <v>1613</v>
      </c>
    </row>
    <row r="1331" spans="1:13" ht="19.5" customHeight="1">
      <c r="A1331" s="21">
        <f t="shared" si="20"/>
        <v>1330</v>
      </c>
      <c r="B1331" s="13" t="s">
        <v>8</v>
      </c>
      <c r="C1331" s="13" t="s">
        <v>68</v>
      </c>
      <c r="D1331" s="13" t="s">
        <v>2792</v>
      </c>
      <c r="E1331" s="13" t="s">
        <v>2793</v>
      </c>
      <c r="F1331" s="13" t="s">
        <v>2023</v>
      </c>
      <c r="G1331" s="13" t="s">
        <v>16</v>
      </c>
      <c r="H1331" s="22" t="str">
        <f>IFERROR(VLOOKUP(Table2[[#This Row], [Ticket]],Okey!A:B,2,0),"")</f>
        <v>ok</v>
      </c>
      <c r="I1331" s="13" t="s">
        <v>276</v>
      </c>
      <c r="J1331" s="22" t="e">
        <f>VLOOKUP(Table2[[#This Row], [Author]],People!A:B,2,0)</f>
        <v>#N/A</v>
      </c>
      <c r="K1331" s="13"/>
      <c r="L1331" s="13"/>
      <c r="M1331" s="23" t="s">
        <v>1613</v>
      </c>
    </row>
    <row r="1332" spans="1:13" ht="19.5" customHeight="1">
      <c r="A1332" s="18">
        <f t="shared" si="20"/>
        <v>1331</v>
      </c>
      <c r="B1332" s="11" t="s">
        <v>8</v>
      </c>
      <c r="C1332" s="11" t="s">
        <v>68</v>
      </c>
      <c r="D1332" s="11" t="s">
        <v>2794</v>
      </c>
      <c r="E1332" s="11" t="s">
        <v>2795</v>
      </c>
      <c r="F1332" s="11" t="s">
        <v>2023</v>
      </c>
      <c r="G1332" s="11" t="s">
        <v>16</v>
      </c>
      <c r="H1332" s="19" t="str">
        <f>IFERROR(VLOOKUP(Table2[[#This Row], [Ticket]],Okey!A:B,2,0),"")</f>
        <v>ok</v>
      </c>
      <c r="I1332" s="11" t="s">
        <v>276</v>
      </c>
      <c r="J1332" s="19" t="e">
        <f>VLOOKUP(Table2[[#This Row], [Author]],People!A:B,2,0)</f>
        <v>#N/A</v>
      </c>
      <c r="K1332" s="11"/>
      <c r="L1332" s="11"/>
      <c r="M1332" s="20" t="s">
        <v>1613</v>
      </c>
    </row>
    <row r="1333" spans="1:13" ht="19.5" customHeight="1">
      <c r="A1333" s="21">
        <f t="shared" si="20"/>
        <v>1332</v>
      </c>
      <c r="B1333" s="13" t="s">
        <v>8</v>
      </c>
      <c r="C1333" s="13" t="s">
        <v>68</v>
      </c>
      <c r="D1333" s="13" t="s">
        <v>2796</v>
      </c>
      <c r="E1333" s="13" t="s">
        <v>2797</v>
      </c>
      <c r="F1333" s="13" t="s">
        <v>2023</v>
      </c>
      <c r="G1333" s="13" t="s">
        <v>16</v>
      </c>
      <c r="H1333" s="22" t="str">
        <f>IFERROR(VLOOKUP(Table2[[#This Row], [Ticket]],Okey!A:B,2,0),"")</f>
        <v>ok</v>
      </c>
      <c r="I1333" s="13" t="s">
        <v>276</v>
      </c>
      <c r="J1333" s="22" t="e">
        <f>VLOOKUP(Table2[[#This Row], [Author]],People!A:B,2,0)</f>
        <v>#N/A</v>
      </c>
      <c r="K1333" s="13"/>
      <c r="L1333" s="13"/>
      <c r="M1333" s="23" t="s">
        <v>1613</v>
      </c>
    </row>
    <row r="1334" spans="1:13" ht="19.5" customHeight="1">
      <c r="A1334" s="18">
        <f t="shared" si="20"/>
        <v>1333</v>
      </c>
      <c r="B1334" s="11" t="s">
        <v>8</v>
      </c>
      <c r="C1334" s="11" t="s">
        <v>68</v>
      </c>
      <c r="D1334" s="11" t="s">
        <v>2798</v>
      </c>
      <c r="E1334" s="11" t="s">
        <v>2799</v>
      </c>
      <c r="F1334" s="11" t="s">
        <v>2023</v>
      </c>
      <c r="G1334" s="11" t="s">
        <v>16</v>
      </c>
      <c r="H1334" s="19" t="str">
        <f>IFERROR(VLOOKUP(Table2[[#This Row], [Ticket]],Okey!A:B,2,0),"")</f>
        <v>ok</v>
      </c>
      <c r="I1334" s="11" t="s">
        <v>276</v>
      </c>
      <c r="J1334" s="19" t="e">
        <f>VLOOKUP(Table2[[#This Row], [Author]],People!A:B,2,0)</f>
        <v>#N/A</v>
      </c>
      <c r="K1334" s="11"/>
      <c r="L1334" s="11"/>
      <c r="M1334" s="20" t="s">
        <v>1613</v>
      </c>
    </row>
    <row r="1335" spans="1:13" ht="19.5" customHeight="1">
      <c r="A1335" s="21">
        <f t="shared" si="20"/>
        <v>1334</v>
      </c>
      <c r="B1335" s="13" t="s">
        <v>8</v>
      </c>
      <c r="C1335" s="13" t="s">
        <v>68</v>
      </c>
      <c r="D1335" s="13" t="s">
        <v>2800</v>
      </c>
      <c r="E1335" s="13" t="s">
        <v>2801</v>
      </c>
      <c r="F1335" s="13" t="s">
        <v>2023</v>
      </c>
      <c r="G1335" s="13" t="s">
        <v>16</v>
      </c>
      <c r="H1335" s="22" t="str">
        <f>IFERROR(VLOOKUP(Table2[[#This Row], [Ticket]],Okey!A:B,2,0),"")</f>
        <v>ok</v>
      </c>
      <c r="I1335" s="13" t="s">
        <v>276</v>
      </c>
      <c r="J1335" s="22" t="e">
        <f>VLOOKUP(Table2[[#This Row], [Author]],People!A:B,2,0)</f>
        <v>#N/A</v>
      </c>
      <c r="K1335" s="13"/>
      <c r="L1335" s="13"/>
      <c r="M1335" s="23" t="s">
        <v>1613</v>
      </c>
    </row>
    <row r="1336" spans="1:13" ht="19.5" customHeight="1">
      <c r="A1336" s="18">
        <f t="shared" si="20"/>
        <v>1335</v>
      </c>
      <c r="B1336" s="11" t="s">
        <v>8</v>
      </c>
      <c r="C1336" s="11" t="s">
        <v>68</v>
      </c>
      <c r="D1336" s="11" t="s">
        <v>2802</v>
      </c>
      <c r="E1336" s="11" t="s">
        <v>2803</v>
      </c>
      <c r="F1336" s="11" t="s">
        <v>2023</v>
      </c>
      <c r="G1336" s="11" t="s">
        <v>16</v>
      </c>
      <c r="H1336" s="19" t="str">
        <f>IFERROR(VLOOKUP(Table2[[#This Row], [Ticket]],Okey!A:B,2,0),"")</f>
        <v>ok</v>
      </c>
      <c r="I1336" s="11" t="s">
        <v>276</v>
      </c>
      <c r="J1336" s="19" t="e">
        <f>VLOOKUP(Table2[[#This Row], [Author]],People!A:B,2,0)</f>
        <v>#N/A</v>
      </c>
      <c r="K1336" s="11"/>
      <c r="L1336" s="11"/>
      <c r="M1336" s="20" t="s">
        <v>1613</v>
      </c>
    </row>
    <row r="1337" spans="1:13" ht="19.5" customHeight="1">
      <c r="A1337" s="21">
        <f t="shared" si="20"/>
        <v>1336</v>
      </c>
      <c r="B1337" s="13" t="s">
        <v>8</v>
      </c>
      <c r="C1337" s="13" t="s">
        <v>68</v>
      </c>
      <c r="D1337" s="13" t="s">
        <v>2804</v>
      </c>
      <c r="E1337" s="13" t="s">
        <v>2805</v>
      </c>
      <c r="F1337" s="13" t="s">
        <v>2023</v>
      </c>
      <c r="G1337" s="13" t="s">
        <v>16</v>
      </c>
      <c r="H1337" s="22" t="str">
        <f>IFERROR(VLOOKUP(Table2[[#This Row], [Ticket]],Okey!A:B,2,0),"")</f>
        <v>ok</v>
      </c>
      <c r="I1337" s="13" t="s">
        <v>276</v>
      </c>
      <c r="J1337" s="22" t="e">
        <f>VLOOKUP(Table2[[#This Row], [Author]],People!A:B,2,0)</f>
        <v>#N/A</v>
      </c>
      <c r="K1337" s="13"/>
      <c r="L1337" s="13"/>
      <c r="M1337" s="23" t="s">
        <v>1613</v>
      </c>
    </row>
    <row r="1338" spans="1:13" ht="19.5" customHeight="1">
      <c r="A1338" s="18">
        <f t="shared" si="20"/>
        <v>1337</v>
      </c>
      <c r="B1338" s="11" t="s">
        <v>8</v>
      </c>
      <c r="C1338" s="11" t="s">
        <v>68</v>
      </c>
      <c r="D1338" s="11" t="s">
        <v>2806</v>
      </c>
      <c r="E1338" s="11" t="s">
        <v>2807</v>
      </c>
      <c r="F1338" s="11" t="s">
        <v>2026</v>
      </c>
      <c r="G1338" s="11" t="s">
        <v>16</v>
      </c>
      <c r="H1338" s="19" t="str">
        <f>IFERROR(VLOOKUP(Table2[[#This Row], [Ticket]],Okey!A:B,2,0),"")</f>
        <v>ok</v>
      </c>
      <c r="I1338" s="11" t="s">
        <v>276</v>
      </c>
      <c r="J1338" s="19" t="e">
        <f>VLOOKUP(Table2[[#This Row], [Author]],People!A:B,2,0)</f>
        <v>#N/A</v>
      </c>
      <c r="K1338" s="11"/>
      <c r="L1338" s="11"/>
      <c r="M1338" s="20" t="s">
        <v>1613</v>
      </c>
    </row>
    <row r="1339" spans="1:13" ht="19.5" customHeight="1">
      <c r="A1339" s="21">
        <f t="shared" si="20"/>
        <v>1338</v>
      </c>
      <c r="B1339" s="13" t="s">
        <v>8</v>
      </c>
      <c r="C1339" s="13" t="s">
        <v>68</v>
      </c>
      <c r="D1339" s="13" t="s">
        <v>2808</v>
      </c>
      <c r="E1339" s="13" t="s">
        <v>2809</v>
      </c>
      <c r="F1339" s="13" t="s">
        <v>2028</v>
      </c>
      <c r="G1339" s="13" t="s">
        <v>16</v>
      </c>
      <c r="H1339" s="22" t="str">
        <f>IFERROR(VLOOKUP(Table2[[#This Row], [Ticket]],Okey!A:B,2,0),"")</f>
        <v>ok</v>
      </c>
      <c r="I1339" s="13" t="s">
        <v>276</v>
      </c>
      <c r="J1339" s="22" t="e">
        <f>VLOOKUP(Table2[[#This Row], [Author]],People!A:B,2,0)</f>
        <v>#N/A</v>
      </c>
      <c r="K1339" s="13"/>
      <c r="L1339" s="13"/>
      <c r="M1339" s="23" t="s">
        <v>1613</v>
      </c>
    </row>
    <row r="1340" spans="1:13" ht="19.5" customHeight="1">
      <c r="A1340" s="18">
        <f t="shared" si="20"/>
        <v>1339</v>
      </c>
      <c r="B1340" s="11" t="s">
        <v>8</v>
      </c>
      <c r="C1340" s="11" t="s">
        <v>68</v>
      </c>
      <c r="D1340" s="11" t="s">
        <v>2810</v>
      </c>
      <c r="E1340" s="11" t="s">
        <v>2811</v>
      </c>
      <c r="F1340" s="11" t="s">
        <v>2028</v>
      </c>
      <c r="G1340" s="11" t="s">
        <v>16</v>
      </c>
      <c r="H1340" s="19" t="str">
        <f>IFERROR(VLOOKUP(Table2[[#This Row], [Ticket]],Okey!A:B,2,0),"")</f>
        <v>ok</v>
      </c>
      <c r="I1340" s="11" t="s">
        <v>276</v>
      </c>
      <c r="J1340" s="19" t="e">
        <f>VLOOKUP(Table2[[#This Row], [Author]],People!A:B,2,0)</f>
        <v>#N/A</v>
      </c>
      <c r="K1340" s="11"/>
      <c r="L1340" s="11"/>
      <c r="M1340" s="20" t="s">
        <v>1613</v>
      </c>
    </row>
    <row r="1341" spans="1:13" ht="19.5" customHeight="1">
      <c r="A1341" s="21">
        <f t="shared" si="20"/>
        <v>1340</v>
      </c>
      <c r="B1341" s="13" t="s">
        <v>8</v>
      </c>
      <c r="C1341" s="13" t="s">
        <v>68</v>
      </c>
      <c r="D1341" s="13" t="s">
        <v>2812</v>
      </c>
      <c r="E1341" s="13" t="s">
        <v>2813</v>
      </c>
      <c r="F1341" s="13" t="s">
        <v>2028</v>
      </c>
      <c r="G1341" s="13" t="s">
        <v>16</v>
      </c>
      <c r="H1341" s="22" t="str">
        <f>IFERROR(VLOOKUP(Table2[[#This Row], [Ticket]],Okey!A:B,2,0),"")</f>
        <v>ok</v>
      </c>
      <c r="I1341" s="13" t="s">
        <v>276</v>
      </c>
      <c r="J1341" s="22" t="e">
        <f>VLOOKUP(Table2[[#This Row], [Author]],People!A:B,2,0)</f>
        <v>#N/A</v>
      </c>
      <c r="K1341" s="13"/>
      <c r="L1341" s="13"/>
      <c r="M1341" s="23" t="s">
        <v>1613</v>
      </c>
    </row>
    <row r="1342" spans="1:13" ht="19.5" customHeight="1">
      <c r="A1342" s="18">
        <f t="shared" si="20"/>
        <v>1341</v>
      </c>
      <c r="B1342" s="11" t="s">
        <v>8</v>
      </c>
      <c r="C1342" s="11" t="s">
        <v>68</v>
      </c>
      <c r="D1342" s="11" t="s">
        <v>2814</v>
      </c>
      <c r="E1342" s="11" t="s">
        <v>2815</v>
      </c>
      <c r="F1342" s="11" t="s">
        <v>2028</v>
      </c>
      <c r="G1342" s="11" t="s">
        <v>16</v>
      </c>
      <c r="H1342" s="19" t="str">
        <f>IFERROR(VLOOKUP(Table2[[#This Row], [Ticket]],Okey!A:B,2,0),"")</f>
        <v>ok</v>
      </c>
      <c r="I1342" s="11" t="s">
        <v>276</v>
      </c>
      <c r="J1342" s="19" t="e">
        <f>VLOOKUP(Table2[[#This Row], [Author]],People!A:B,2,0)</f>
        <v>#N/A</v>
      </c>
      <c r="K1342" s="11"/>
      <c r="L1342" s="11"/>
      <c r="M1342" s="20" t="s">
        <v>1613</v>
      </c>
    </row>
    <row r="1343" spans="1:13" ht="19.5" customHeight="1">
      <c r="A1343" s="21">
        <f t="shared" si="20"/>
        <v>1342</v>
      </c>
      <c r="B1343" s="13" t="s">
        <v>8</v>
      </c>
      <c r="C1343" s="13" t="s">
        <v>68</v>
      </c>
      <c r="D1343" s="13" t="s">
        <v>2816</v>
      </c>
      <c r="E1343" s="13" t="s">
        <v>2817</v>
      </c>
      <c r="F1343" s="13" t="s">
        <v>2028</v>
      </c>
      <c r="G1343" s="13" t="s">
        <v>16</v>
      </c>
      <c r="H1343" s="22" t="str">
        <f>IFERROR(VLOOKUP(Table2[[#This Row], [Ticket]],Okey!A:B,2,0),"")</f>
        <v>ok</v>
      </c>
      <c r="I1343" s="13" t="s">
        <v>276</v>
      </c>
      <c r="J1343" s="22" t="e">
        <f>VLOOKUP(Table2[[#This Row], [Author]],People!A:B,2,0)</f>
        <v>#N/A</v>
      </c>
      <c r="K1343" s="13"/>
      <c r="L1343" s="13"/>
      <c r="M1343" s="23" t="s">
        <v>1613</v>
      </c>
    </row>
    <row r="1344" spans="1:13" ht="19.5" customHeight="1">
      <c r="A1344" s="18">
        <f t="shared" si="20"/>
        <v>1343</v>
      </c>
      <c r="B1344" s="11" t="s">
        <v>8</v>
      </c>
      <c r="C1344" s="11" t="s">
        <v>68</v>
      </c>
      <c r="D1344" s="11" t="s">
        <v>2818</v>
      </c>
      <c r="E1344" s="11" t="s">
        <v>2819</v>
      </c>
      <c r="F1344" s="11" t="s">
        <v>2028</v>
      </c>
      <c r="G1344" s="11" t="s">
        <v>16</v>
      </c>
      <c r="H1344" s="19" t="str">
        <f>IFERROR(VLOOKUP(Table2[[#This Row], [Ticket]],Okey!A:B,2,0),"")</f>
        <v>ok</v>
      </c>
      <c r="I1344" s="11" t="s">
        <v>276</v>
      </c>
      <c r="J1344" s="19" t="e">
        <f>VLOOKUP(Table2[[#This Row], [Author]],People!A:B,2,0)</f>
        <v>#N/A</v>
      </c>
      <c r="K1344" s="11"/>
      <c r="L1344" s="11"/>
      <c r="M1344" s="20" t="s">
        <v>1613</v>
      </c>
    </row>
    <row r="1345" spans="1:13" ht="19.5" customHeight="1">
      <c r="A1345" s="21">
        <f t="shared" si="20"/>
        <v>1344</v>
      </c>
      <c r="B1345" s="13" t="s">
        <v>8</v>
      </c>
      <c r="C1345" s="13" t="s">
        <v>68</v>
      </c>
      <c r="D1345" s="13" t="s">
        <v>2820</v>
      </c>
      <c r="E1345" s="13" t="s">
        <v>2821</v>
      </c>
      <c r="F1345" s="13" t="s">
        <v>2028</v>
      </c>
      <c r="G1345" s="13" t="s">
        <v>16</v>
      </c>
      <c r="H1345" s="22" t="str">
        <f>IFERROR(VLOOKUP(Table2[[#This Row], [Ticket]],Okey!A:B,2,0),"")</f>
        <v>ok</v>
      </c>
      <c r="I1345" s="13" t="s">
        <v>276</v>
      </c>
      <c r="J1345" s="22" t="e">
        <f>VLOOKUP(Table2[[#This Row], [Author]],People!A:B,2,0)</f>
        <v>#N/A</v>
      </c>
      <c r="K1345" s="13"/>
      <c r="L1345" s="13"/>
      <c r="M1345" s="23" t="s">
        <v>1613</v>
      </c>
    </row>
    <row r="1346" spans="1:13" ht="19.5" customHeight="1">
      <c r="A1346" s="18">
        <f t="shared" si="20"/>
        <v>1345</v>
      </c>
      <c r="B1346" s="11" t="s">
        <v>8</v>
      </c>
      <c r="C1346" s="11" t="s">
        <v>68</v>
      </c>
      <c r="D1346" s="11" t="s">
        <v>2822</v>
      </c>
      <c r="E1346" s="11" t="s">
        <v>2823</v>
      </c>
      <c r="F1346" s="11" t="s">
        <v>2028</v>
      </c>
      <c r="G1346" s="11" t="s">
        <v>16</v>
      </c>
      <c r="H1346" s="19" t="str">
        <f>IFERROR(VLOOKUP(Table2[[#This Row], [Ticket]],Okey!A:B,2,0),"")</f>
        <v>ok</v>
      </c>
      <c r="I1346" s="11" t="s">
        <v>276</v>
      </c>
      <c r="J1346" s="19" t="e">
        <f>VLOOKUP(Table2[[#This Row], [Author]],People!A:B,2,0)</f>
        <v>#N/A</v>
      </c>
      <c r="K1346" s="11"/>
      <c r="L1346" s="11"/>
      <c r="M1346" s="20" t="s">
        <v>1613</v>
      </c>
    </row>
    <row r="1347" spans="1:13" ht="19.5" customHeight="1">
      <c r="A1347" s="21">
        <f t="shared" ref="A1347:A1410" si="21">1+A1346</f>
        <v>1346</v>
      </c>
      <c r="B1347" s="13" t="s">
        <v>8</v>
      </c>
      <c r="C1347" s="13" t="s">
        <v>68</v>
      </c>
      <c r="D1347" s="13" t="s">
        <v>2824</v>
      </c>
      <c r="E1347" s="13" t="s">
        <v>2825</v>
      </c>
      <c r="F1347" s="13" t="s">
        <v>2028</v>
      </c>
      <c r="G1347" s="13" t="s">
        <v>16</v>
      </c>
      <c r="H1347" s="22" t="str">
        <f>IFERROR(VLOOKUP(Table2[[#This Row], [Ticket]],Okey!A:B,2,0),"")</f>
        <v>ok</v>
      </c>
      <c r="I1347" s="13" t="s">
        <v>276</v>
      </c>
      <c r="J1347" s="22" t="e">
        <f>VLOOKUP(Table2[[#This Row], [Author]],People!A:B,2,0)</f>
        <v>#N/A</v>
      </c>
      <c r="K1347" s="13"/>
      <c r="L1347" s="13"/>
      <c r="M1347" s="23" t="s">
        <v>1613</v>
      </c>
    </row>
    <row r="1348" spans="1:13" ht="19.5" customHeight="1">
      <c r="A1348" s="18">
        <f t="shared" si="21"/>
        <v>1347</v>
      </c>
      <c r="B1348" s="11" t="s">
        <v>8</v>
      </c>
      <c r="C1348" s="11" t="s">
        <v>68</v>
      </c>
      <c r="D1348" s="11" t="s">
        <v>2826</v>
      </c>
      <c r="E1348" s="11" t="s">
        <v>2827</v>
      </c>
      <c r="F1348" s="11" t="s">
        <v>2028</v>
      </c>
      <c r="G1348" s="11" t="s">
        <v>16</v>
      </c>
      <c r="H1348" s="19" t="str">
        <f>IFERROR(VLOOKUP(Table2[[#This Row], [Ticket]],Okey!A:B,2,0),"")</f>
        <v>ok</v>
      </c>
      <c r="I1348" s="11" t="s">
        <v>276</v>
      </c>
      <c r="J1348" s="19" t="e">
        <f>VLOOKUP(Table2[[#This Row], [Author]],People!A:B,2,0)</f>
        <v>#N/A</v>
      </c>
      <c r="K1348" s="11"/>
      <c r="L1348" s="11"/>
      <c r="M1348" s="20" t="s">
        <v>1613</v>
      </c>
    </row>
    <row r="1349" spans="1:13" ht="19.5" customHeight="1">
      <c r="A1349" s="21">
        <f t="shared" si="21"/>
        <v>1348</v>
      </c>
      <c r="B1349" s="13" t="s">
        <v>8</v>
      </c>
      <c r="C1349" s="13" t="s">
        <v>68</v>
      </c>
      <c r="D1349" s="13" t="s">
        <v>2828</v>
      </c>
      <c r="E1349" s="13" t="s">
        <v>2829</v>
      </c>
      <c r="F1349" s="13" t="s">
        <v>2033</v>
      </c>
      <c r="G1349" s="13" t="s">
        <v>16</v>
      </c>
      <c r="H1349" s="22" t="str">
        <f>IFERROR(VLOOKUP(Table2[[#This Row], [Ticket]],Okey!A:B,2,0),"")</f>
        <v>ok</v>
      </c>
      <c r="I1349" s="13" t="s">
        <v>276</v>
      </c>
      <c r="J1349" s="22" t="e">
        <f>VLOOKUP(Table2[[#This Row], [Author]],People!A:B,2,0)</f>
        <v>#N/A</v>
      </c>
      <c r="K1349" s="13"/>
      <c r="L1349" s="13"/>
      <c r="M1349" s="23" t="s">
        <v>1613</v>
      </c>
    </row>
    <row r="1350" spans="1:13" ht="19.5" customHeight="1">
      <c r="A1350" s="18">
        <f t="shared" si="21"/>
        <v>1349</v>
      </c>
      <c r="B1350" s="11" t="s">
        <v>8</v>
      </c>
      <c r="C1350" s="11" t="s">
        <v>68</v>
      </c>
      <c r="D1350" s="11" t="s">
        <v>2830</v>
      </c>
      <c r="E1350" s="11" t="s">
        <v>2831</v>
      </c>
      <c r="F1350" s="11" t="s">
        <v>2033</v>
      </c>
      <c r="G1350" s="11" t="s">
        <v>16</v>
      </c>
      <c r="H1350" s="19" t="str">
        <f>IFERROR(VLOOKUP(Table2[[#This Row], [Ticket]],Okey!A:B,2,0),"")</f>
        <v>ok</v>
      </c>
      <c r="I1350" s="11" t="s">
        <v>276</v>
      </c>
      <c r="J1350" s="19" t="e">
        <f>VLOOKUP(Table2[[#This Row], [Author]],People!A:B,2,0)</f>
        <v>#N/A</v>
      </c>
      <c r="K1350" s="11"/>
      <c r="L1350" s="11"/>
      <c r="M1350" s="20" t="s">
        <v>1613</v>
      </c>
    </row>
    <row r="1351" spans="1:13" ht="19.5" customHeight="1">
      <c r="A1351" s="21">
        <f t="shared" si="21"/>
        <v>1350</v>
      </c>
      <c r="B1351" s="13" t="s">
        <v>8</v>
      </c>
      <c r="C1351" s="13" t="s">
        <v>68</v>
      </c>
      <c r="D1351" s="13" t="s">
        <v>2832</v>
      </c>
      <c r="E1351" s="13" t="s">
        <v>2833</v>
      </c>
      <c r="F1351" s="13" t="s">
        <v>2033</v>
      </c>
      <c r="G1351" s="13" t="s">
        <v>16</v>
      </c>
      <c r="H1351" s="22" t="str">
        <f>IFERROR(VLOOKUP(Table2[[#This Row], [Ticket]],Okey!A:B,2,0),"")</f>
        <v>ok</v>
      </c>
      <c r="I1351" s="13" t="s">
        <v>276</v>
      </c>
      <c r="J1351" s="22" t="e">
        <f>VLOOKUP(Table2[[#This Row], [Author]],People!A:B,2,0)</f>
        <v>#N/A</v>
      </c>
      <c r="K1351" s="13"/>
      <c r="L1351" s="13"/>
      <c r="M1351" s="23" t="s">
        <v>1613</v>
      </c>
    </row>
    <row r="1352" spans="1:13" ht="19.5" customHeight="1">
      <c r="A1352" s="18">
        <f t="shared" si="21"/>
        <v>1351</v>
      </c>
      <c r="B1352" s="11" t="s">
        <v>8</v>
      </c>
      <c r="C1352" s="11" t="s">
        <v>68</v>
      </c>
      <c r="D1352" s="11" t="s">
        <v>2834</v>
      </c>
      <c r="E1352" s="11" t="s">
        <v>2835</v>
      </c>
      <c r="F1352" s="11" t="s">
        <v>2033</v>
      </c>
      <c r="G1352" s="11" t="s">
        <v>16</v>
      </c>
      <c r="H1352" s="19" t="str">
        <f>IFERROR(VLOOKUP(Table2[[#This Row], [Ticket]],Okey!A:B,2,0),"")</f>
        <v>ok</v>
      </c>
      <c r="I1352" s="11" t="s">
        <v>276</v>
      </c>
      <c r="J1352" s="19" t="e">
        <f>VLOOKUP(Table2[[#This Row], [Author]],People!A:B,2,0)</f>
        <v>#N/A</v>
      </c>
      <c r="K1352" s="11"/>
      <c r="L1352" s="11"/>
      <c r="M1352" s="20" t="s">
        <v>1613</v>
      </c>
    </row>
    <row r="1353" spans="1:13" ht="19.5" customHeight="1">
      <c r="A1353" s="21">
        <f t="shared" si="21"/>
        <v>1352</v>
      </c>
      <c r="B1353" s="13" t="s">
        <v>8</v>
      </c>
      <c r="C1353" s="13" t="s">
        <v>68</v>
      </c>
      <c r="D1353" s="13" t="s">
        <v>2836</v>
      </c>
      <c r="E1353" s="13" t="s">
        <v>2837</v>
      </c>
      <c r="F1353" s="13" t="s">
        <v>2033</v>
      </c>
      <c r="G1353" s="13" t="s">
        <v>16</v>
      </c>
      <c r="H1353" s="22" t="str">
        <f>IFERROR(VLOOKUP(Table2[[#This Row], [Ticket]],Okey!A:B,2,0),"")</f>
        <v>ok</v>
      </c>
      <c r="I1353" s="13" t="s">
        <v>276</v>
      </c>
      <c r="J1353" s="22" t="e">
        <f>VLOOKUP(Table2[[#This Row], [Author]],People!A:B,2,0)</f>
        <v>#N/A</v>
      </c>
      <c r="K1353" s="13"/>
      <c r="L1353" s="13"/>
      <c r="M1353" s="23" t="s">
        <v>1613</v>
      </c>
    </row>
    <row r="1354" spans="1:13" ht="19.5" customHeight="1">
      <c r="A1354" s="18">
        <f t="shared" si="21"/>
        <v>1353</v>
      </c>
      <c r="B1354" s="11" t="s">
        <v>8</v>
      </c>
      <c r="C1354" s="11" t="s">
        <v>68</v>
      </c>
      <c r="D1354" s="11" t="s">
        <v>2838</v>
      </c>
      <c r="E1354" s="11" t="s">
        <v>2839</v>
      </c>
      <c r="F1354" s="11" t="s">
        <v>2033</v>
      </c>
      <c r="G1354" s="11" t="s">
        <v>16</v>
      </c>
      <c r="H1354" s="19" t="str">
        <f>IFERROR(VLOOKUP(Table2[[#This Row], [Ticket]],Okey!A:B,2,0),"")</f>
        <v>ok</v>
      </c>
      <c r="I1354" s="11" t="s">
        <v>276</v>
      </c>
      <c r="J1354" s="19" t="e">
        <f>VLOOKUP(Table2[[#This Row], [Author]],People!A:B,2,0)</f>
        <v>#N/A</v>
      </c>
      <c r="K1354" s="11"/>
      <c r="L1354" s="11"/>
      <c r="M1354" s="20" t="s">
        <v>1613</v>
      </c>
    </row>
    <row r="1355" spans="1:13" ht="19.5" customHeight="1">
      <c r="A1355" s="21">
        <f t="shared" si="21"/>
        <v>1354</v>
      </c>
      <c r="B1355" s="13" t="s">
        <v>8</v>
      </c>
      <c r="C1355" s="13" t="s">
        <v>68</v>
      </c>
      <c r="D1355" s="13" t="s">
        <v>2840</v>
      </c>
      <c r="E1355" s="13" t="s">
        <v>2841</v>
      </c>
      <c r="F1355" s="13" t="s">
        <v>2033</v>
      </c>
      <c r="G1355" s="13" t="s">
        <v>16</v>
      </c>
      <c r="H1355" s="22" t="str">
        <f>IFERROR(VLOOKUP(Table2[[#This Row], [Ticket]],Okey!A:B,2,0),"")</f>
        <v>ok</v>
      </c>
      <c r="I1355" s="13" t="s">
        <v>276</v>
      </c>
      <c r="J1355" s="22" t="e">
        <f>VLOOKUP(Table2[[#This Row], [Author]],People!A:B,2,0)</f>
        <v>#N/A</v>
      </c>
      <c r="K1355" s="13"/>
      <c r="L1355" s="13"/>
      <c r="M1355" s="23" t="s">
        <v>1613</v>
      </c>
    </row>
    <row r="1356" spans="1:13" ht="19.5" customHeight="1">
      <c r="A1356" s="18">
        <f t="shared" si="21"/>
        <v>1355</v>
      </c>
      <c r="B1356" s="11" t="s">
        <v>8</v>
      </c>
      <c r="C1356" s="11" t="s">
        <v>68</v>
      </c>
      <c r="D1356" s="11" t="s">
        <v>2842</v>
      </c>
      <c r="E1356" s="11" t="s">
        <v>2843</v>
      </c>
      <c r="F1356" s="11" t="s">
        <v>2033</v>
      </c>
      <c r="G1356" s="11" t="s">
        <v>16</v>
      </c>
      <c r="H1356" s="19" t="str">
        <f>IFERROR(VLOOKUP(Table2[[#This Row], [Ticket]],Okey!A:B,2,0),"")</f>
        <v>ok</v>
      </c>
      <c r="I1356" s="11" t="s">
        <v>276</v>
      </c>
      <c r="J1356" s="19" t="e">
        <f>VLOOKUP(Table2[[#This Row], [Author]],People!A:B,2,0)</f>
        <v>#N/A</v>
      </c>
      <c r="K1356" s="11"/>
      <c r="L1356" s="11"/>
      <c r="M1356" s="20" t="s">
        <v>1613</v>
      </c>
    </row>
    <row r="1357" spans="1:13" ht="19.5" customHeight="1">
      <c r="A1357" s="21">
        <f t="shared" si="21"/>
        <v>1356</v>
      </c>
      <c r="B1357" s="13" t="s">
        <v>8</v>
      </c>
      <c r="C1357" s="13" t="s">
        <v>68</v>
      </c>
      <c r="D1357" s="13" t="s">
        <v>2844</v>
      </c>
      <c r="E1357" s="13" t="s">
        <v>2845</v>
      </c>
      <c r="F1357" s="13" t="s">
        <v>2033</v>
      </c>
      <c r="G1357" s="13" t="s">
        <v>16</v>
      </c>
      <c r="H1357" s="22" t="str">
        <f>IFERROR(VLOOKUP(Table2[[#This Row], [Ticket]],Okey!A:B,2,0),"")</f>
        <v>ok</v>
      </c>
      <c r="I1357" s="13" t="s">
        <v>276</v>
      </c>
      <c r="J1357" s="22" t="e">
        <f>VLOOKUP(Table2[[#This Row], [Author]],People!A:B,2,0)</f>
        <v>#N/A</v>
      </c>
      <c r="K1357" s="13"/>
      <c r="L1357" s="13"/>
      <c r="M1357" s="23" t="s">
        <v>1613</v>
      </c>
    </row>
    <row r="1358" spans="1:13" ht="19.5" customHeight="1">
      <c r="A1358" s="18">
        <f t="shared" si="21"/>
        <v>1357</v>
      </c>
      <c r="B1358" s="11" t="s">
        <v>8</v>
      </c>
      <c r="C1358" s="11" t="s">
        <v>68</v>
      </c>
      <c r="D1358" s="11" t="s">
        <v>2846</v>
      </c>
      <c r="E1358" s="11" t="s">
        <v>2847</v>
      </c>
      <c r="F1358" s="11" t="s">
        <v>2033</v>
      </c>
      <c r="G1358" s="11" t="s">
        <v>16</v>
      </c>
      <c r="H1358" s="19" t="str">
        <f>IFERROR(VLOOKUP(Table2[[#This Row], [Ticket]],Okey!A:B,2,0),"")</f>
        <v>ok</v>
      </c>
      <c r="I1358" s="11" t="s">
        <v>276</v>
      </c>
      <c r="J1358" s="19" t="e">
        <f>VLOOKUP(Table2[[#This Row], [Author]],People!A:B,2,0)</f>
        <v>#N/A</v>
      </c>
      <c r="K1358" s="11"/>
      <c r="L1358" s="11"/>
      <c r="M1358" s="20" t="s">
        <v>1613</v>
      </c>
    </row>
    <row r="1359" spans="1:13" ht="19.5" customHeight="1">
      <c r="A1359" s="21">
        <f t="shared" si="21"/>
        <v>1358</v>
      </c>
      <c r="B1359" s="13" t="s">
        <v>8</v>
      </c>
      <c r="C1359" s="13" t="s">
        <v>68</v>
      </c>
      <c r="D1359" s="13" t="s">
        <v>2848</v>
      </c>
      <c r="E1359" s="13" t="s">
        <v>2849</v>
      </c>
      <c r="F1359" s="13" t="s">
        <v>2038</v>
      </c>
      <c r="G1359" s="13" t="s">
        <v>16</v>
      </c>
      <c r="H1359" s="22" t="str">
        <f>IFERROR(VLOOKUP(Table2[[#This Row], [Ticket]],Okey!A:B,2,0),"")</f>
        <v>ok</v>
      </c>
      <c r="I1359" s="13" t="s">
        <v>276</v>
      </c>
      <c r="J1359" s="22" t="e">
        <f>VLOOKUP(Table2[[#This Row], [Author]],People!A:B,2,0)</f>
        <v>#N/A</v>
      </c>
      <c r="K1359" s="13"/>
      <c r="L1359" s="13"/>
      <c r="M1359" s="23" t="s">
        <v>1613</v>
      </c>
    </row>
    <row r="1360" spans="1:13" ht="19.5" customHeight="1">
      <c r="A1360" s="18">
        <f t="shared" si="21"/>
        <v>1359</v>
      </c>
      <c r="B1360" s="11" t="s">
        <v>8</v>
      </c>
      <c r="C1360" s="11" t="s">
        <v>68</v>
      </c>
      <c r="D1360" s="11" t="s">
        <v>2850</v>
      </c>
      <c r="E1360" s="11" t="s">
        <v>2851</v>
      </c>
      <c r="F1360" s="11" t="s">
        <v>2038</v>
      </c>
      <c r="G1360" s="11" t="s">
        <v>16</v>
      </c>
      <c r="H1360" s="19" t="str">
        <f>IFERROR(VLOOKUP(Table2[[#This Row], [Ticket]],Okey!A:B,2,0),"")</f>
        <v>ok</v>
      </c>
      <c r="I1360" s="11" t="s">
        <v>276</v>
      </c>
      <c r="J1360" s="19" t="e">
        <f>VLOOKUP(Table2[[#This Row], [Author]],People!A:B,2,0)</f>
        <v>#N/A</v>
      </c>
      <c r="K1360" s="11"/>
      <c r="L1360" s="11"/>
      <c r="M1360" s="20" t="s">
        <v>1613</v>
      </c>
    </row>
    <row r="1361" spans="1:13" ht="19.5" customHeight="1">
      <c r="A1361" s="21">
        <f t="shared" si="21"/>
        <v>1360</v>
      </c>
      <c r="B1361" s="13" t="s">
        <v>8</v>
      </c>
      <c r="C1361" s="13" t="s">
        <v>68</v>
      </c>
      <c r="D1361" s="13" t="s">
        <v>2852</v>
      </c>
      <c r="E1361" s="13" t="s">
        <v>2853</v>
      </c>
      <c r="F1361" s="13" t="s">
        <v>2038</v>
      </c>
      <c r="G1361" s="13" t="s">
        <v>16</v>
      </c>
      <c r="H1361" s="22" t="str">
        <f>IFERROR(VLOOKUP(Table2[[#This Row], [Ticket]],Okey!A:B,2,0),"")</f>
        <v>ok</v>
      </c>
      <c r="I1361" s="13" t="s">
        <v>276</v>
      </c>
      <c r="J1361" s="22" t="e">
        <f>VLOOKUP(Table2[[#This Row], [Author]],People!A:B,2,0)</f>
        <v>#N/A</v>
      </c>
      <c r="K1361" s="13"/>
      <c r="L1361" s="13"/>
      <c r="M1361" s="23" t="s">
        <v>1613</v>
      </c>
    </row>
    <row r="1362" spans="1:13" ht="19.5" customHeight="1">
      <c r="A1362" s="18">
        <f t="shared" si="21"/>
        <v>1361</v>
      </c>
      <c r="B1362" s="11" t="s">
        <v>8</v>
      </c>
      <c r="C1362" s="11" t="s">
        <v>68</v>
      </c>
      <c r="D1362" s="11" t="s">
        <v>2854</v>
      </c>
      <c r="E1362" s="11" t="s">
        <v>2855</v>
      </c>
      <c r="F1362" s="11" t="s">
        <v>2038</v>
      </c>
      <c r="G1362" s="11" t="s">
        <v>16</v>
      </c>
      <c r="H1362" s="19" t="str">
        <f>IFERROR(VLOOKUP(Table2[[#This Row], [Ticket]],Okey!A:B,2,0),"")</f>
        <v>ok</v>
      </c>
      <c r="I1362" s="11" t="s">
        <v>276</v>
      </c>
      <c r="J1362" s="19" t="e">
        <f>VLOOKUP(Table2[[#This Row], [Author]],People!A:B,2,0)</f>
        <v>#N/A</v>
      </c>
      <c r="K1362" s="11"/>
      <c r="L1362" s="11"/>
      <c r="M1362" s="20" t="s">
        <v>1613</v>
      </c>
    </row>
    <row r="1363" spans="1:13" ht="19.5" customHeight="1">
      <c r="A1363" s="21">
        <f t="shared" si="21"/>
        <v>1362</v>
      </c>
      <c r="B1363" s="13" t="s">
        <v>8</v>
      </c>
      <c r="C1363" s="13" t="s">
        <v>68</v>
      </c>
      <c r="D1363" s="13" t="s">
        <v>2856</v>
      </c>
      <c r="E1363" s="13" t="s">
        <v>2857</v>
      </c>
      <c r="F1363" s="13" t="s">
        <v>2038</v>
      </c>
      <c r="G1363" s="13" t="s">
        <v>16</v>
      </c>
      <c r="H1363" s="22" t="str">
        <f>IFERROR(VLOOKUP(Table2[[#This Row], [Ticket]],Okey!A:B,2,0),"")</f>
        <v>ok</v>
      </c>
      <c r="I1363" s="13" t="s">
        <v>276</v>
      </c>
      <c r="J1363" s="22" t="e">
        <f>VLOOKUP(Table2[[#This Row], [Author]],People!A:B,2,0)</f>
        <v>#N/A</v>
      </c>
      <c r="K1363" s="13"/>
      <c r="L1363" s="13"/>
      <c r="M1363" s="23" t="s">
        <v>1613</v>
      </c>
    </row>
    <row r="1364" spans="1:13" ht="19.5" customHeight="1">
      <c r="A1364" s="18">
        <f t="shared" si="21"/>
        <v>1363</v>
      </c>
      <c r="B1364" s="11" t="s">
        <v>8</v>
      </c>
      <c r="C1364" s="11" t="s">
        <v>68</v>
      </c>
      <c r="D1364" s="11" t="s">
        <v>2858</v>
      </c>
      <c r="E1364" s="11" t="s">
        <v>2859</v>
      </c>
      <c r="F1364" s="11" t="s">
        <v>2038</v>
      </c>
      <c r="G1364" s="11" t="s">
        <v>16</v>
      </c>
      <c r="H1364" s="19" t="str">
        <f>IFERROR(VLOOKUP(Table2[[#This Row], [Ticket]],Okey!A:B,2,0),"")</f>
        <v>ok</v>
      </c>
      <c r="I1364" s="11" t="s">
        <v>276</v>
      </c>
      <c r="J1364" s="19" t="e">
        <f>VLOOKUP(Table2[[#This Row], [Author]],People!A:B,2,0)</f>
        <v>#N/A</v>
      </c>
      <c r="K1364" s="11"/>
      <c r="L1364" s="11"/>
      <c r="M1364" s="20" t="s">
        <v>1613</v>
      </c>
    </row>
    <row r="1365" spans="1:13" ht="19.5" customHeight="1">
      <c r="A1365" s="21">
        <f t="shared" si="21"/>
        <v>1364</v>
      </c>
      <c r="B1365" s="13" t="s">
        <v>8</v>
      </c>
      <c r="C1365" s="13" t="s">
        <v>68</v>
      </c>
      <c r="D1365" s="13" t="s">
        <v>2860</v>
      </c>
      <c r="E1365" s="13" t="s">
        <v>2861</v>
      </c>
      <c r="F1365" s="13" t="s">
        <v>2038</v>
      </c>
      <c r="G1365" s="13" t="s">
        <v>16</v>
      </c>
      <c r="H1365" s="22" t="str">
        <f>IFERROR(VLOOKUP(Table2[[#This Row], [Ticket]],Okey!A:B,2,0),"")</f>
        <v>ok</v>
      </c>
      <c r="I1365" s="13" t="s">
        <v>276</v>
      </c>
      <c r="J1365" s="22" t="e">
        <f>VLOOKUP(Table2[[#This Row], [Author]],People!A:B,2,0)</f>
        <v>#N/A</v>
      </c>
      <c r="K1365" s="13"/>
      <c r="L1365" s="13"/>
      <c r="M1365" s="23" t="s">
        <v>1613</v>
      </c>
    </row>
    <row r="1366" spans="1:13" ht="19.5" customHeight="1">
      <c r="A1366" s="18">
        <f t="shared" si="21"/>
        <v>1365</v>
      </c>
      <c r="B1366" s="11" t="s">
        <v>8</v>
      </c>
      <c r="C1366" s="11" t="s">
        <v>68</v>
      </c>
      <c r="D1366" s="11" t="s">
        <v>2862</v>
      </c>
      <c r="E1366" s="11" t="s">
        <v>2863</v>
      </c>
      <c r="F1366" s="11" t="s">
        <v>2038</v>
      </c>
      <c r="G1366" s="11" t="s">
        <v>16</v>
      </c>
      <c r="H1366" s="19" t="str">
        <f>IFERROR(VLOOKUP(Table2[[#This Row], [Ticket]],Okey!A:B,2,0),"")</f>
        <v>ok</v>
      </c>
      <c r="I1366" s="11" t="s">
        <v>276</v>
      </c>
      <c r="J1366" s="19" t="e">
        <f>VLOOKUP(Table2[[#This Row], [Author]],People!A:B,2,0)</f>
        <v>#N/A</v>
      </c>
      <c r="K1366" s="11"/>
      <c r="L1366" s="11"/>
      <c r="M1366" s="20" t="s">
        <v>1613</v>
      </c>
    </row>
    <row r="1367" spans="1:13" ht="19.5" customHeight="1">
      <c r="A1367" s="21">
        <f t="shared" si="21"/>
        <v>1366</v>
      </c>
      <c r="B1367" s="13" t="s">
        <v>8</v>
      </c>
      <c r="C1367" s="13" t="s">
        <v>68</v>
      </c>
      <c r="D1367" s="13" t="s">
        <v>2864</v>
      </c>
      <c r="E1367" s="13" t="s">
        <v>2865</v>
      </c>
      <c r="F1367" s="13" t="s">
        <v>2038</v>
      </c>
      <c r="G1367" s="13" t="s">
        <v>16</v>
      </c>
      <c r="H1367" s="22" t="str">
        <f>IFERROR(VLOOKUP(Table2[[#This Row], [Ticket]],Okey!A:B,2,0),"")</f>
        <v>ok</v>
      </c>
      <c r="I1367" s="13" t="s">
        <v>276</v>
      </c>
      <c r="J1367" s="22" t="e">
        <f>VLOOKUP(Table2[[#This Row], [Author]],People!A:B,2,0)</f>
        <v>#N/A</v>
      </c>
      <c r="K1367" s="13"/>
      <c r="L1367" s="13"/>
      <c r="M1367" s="23" t="s">
        <v>1613</v>
      </c>
    </row>
    <row r="1368" spans="1:13" ht="19.5" customHeight="1">
      <c r="A1368" s="18">
        <f t="shared" si="21"/>
        <v>1367</v>
      </c>
      <c r="B1368" s="11" t="s">
        <v>8</v>
      </c>
      <c r="C1368" s="11" t="s">
        <v>68</v>
      </c>
      <c r="D1368" s="11" t="s">
        <v>2866</v>
      </c>
      <c r="E1368" s="11" t="s">
        <v>2867</v>
      </c>
      <c r="F1368" s="11" t="s">
        <v>2038</v>
      </c>
      <c r="G1368" s="11" t="s">
        <v>16</v>
      </c>
      <c r="H1368" s="19" t="str">
        <f>IFERROR(VLOOKUP(Table2[[#This Row], [Ticket]],Okey!A:B,2,0),"")</f>
        <v>ok</v>
      </c>
      <c r="I1368" s="11" t="s">
        <v>276</v>
      </c>
      <c r="J1368" s="19" t="e">
        <f>VLOOKUP(Table2[[#This Row], [Author]],People!A:B,2,0)</f>
        <v>#N/A</v>
      </c>
      <c r="K1368" s="11"/>
      <c r="L1368" s="11"/>
      <c r="M1368" s="20" t="s">
        <v>1613</v>
      </c>
    </row>
    <row r="1369" spans="1:13" ht="19.5" customHeight="1">
      <c r="A1369" s="21">
        <f t="shared" si="21"/>
        <v>1368</v>
      </c>
      <c r="B1369" s="13" t="s">
        <v>8</v>
      </c>
      <c r="C1369" s="13" t="s">
        <v>68</v>
      </c>
      <c r="D1369" s="13" t="s">
        <v>2868</v>
      </c>
      <c r="E1369" s="13" t="s">
        <v>2869</v>
      </c>
      <c r="F1369" s="13" t="s">
        <v>2043</v>
      </c>
      <c r="G1369" s="13" t="s">
        <v>16</v>
      </c>
      <c r="H1369" s="22" t="str">
        <f>IFERROR(VLOOKUP(Table2[[#This Row], [Ticket]],Okey!A:B,2,0),"")</f>
        <v>ok</v>
      </c>
      <c r="I1369" s="13" t="s">
        <v>276</v>
      </c>
      <c r="J1369" s="22" t="e">
        <f>VLOOKUP(Table2[[#This Row], [Author]],People!A:B,2,0)</f>
        <v>#N/A</v>
      </c>
      <c r="K1369" s="13"/>
      <c r="L1369" s="13"/>
      <c r="M1369" s="23" t="s">
        <v>1613</v>
      </c>
    </row>
    <row r="1370" spans="1:13" ht="19.5" customHeight="1">
      <c r="A1370" s="18">
        <f t="shared" si="21"/>
        <v>1369</v>
      </c>
      <c r="B1370" s="11" t="s">
        <v>8</v>
      </c>
      <c r="C1370" s="11" t="s">
        <v>68</v>
      </c>
      <c r="D1370" s="11" t="s">
        <v>2870</v>
      </c>
      <c r="E1370" s="11" t="s">
        <v>2871</v>
      </c>
      <c r="F1370" s="11" t="s">
        <v>2043</v>
      </c>
      <c r="G1370" s="11" t="s">
        <v>16</v>
      </c>
      <c r="H1370" s="19" t="str">
        <f>IFERROR(VLOOKUP(Table2[[#This Row], [Ticket]],Okey!A:B,2,0),"")</f>
        <v>ok</v>
      </c>
      <c r="I1370" s="11" t="s">
        <v>276</v>
      </c>
      <c r="J1370" s="19" t="e">
        <f>VLOOKUP(Table2[[#This Row], [Author]],People!A:B,2,0)</f>
        <v>#N/A</v>
      </c>
      <c r="K1370" s="11"/>
      <c r="L1370" s="11"/>
      <c r="M1370" s="20" t="s">
        <v>1613</v>
      </c>
    </row>
    <row r="1371" spans="1:13" ht="19.5" customHeight="1">
      <c r="A1371" s="21">
        <f t="shared" si="21"/>
        <v>1370</v>
      </c>
      <c r="B1371" s="13" t="s">
        <v>8</v>
      </c>
      <c r="C1371" s="13" t="s">
        <v>68</v>
      </c>
      <c r="D1371" s="13" t="s">
        <v>2872</v>
      </c>
      <c r="E1371" s="13" t="s">
        <v>2873</v>
      </c>
      <c r="F1371" s="13" t="s">
        <v>2043</v>
      </c>
      <c r="G1371" s="13" t="s">
        <v>16</v>
      </c>
      <c r="H1371" s="22" t="str">
        <f>IFERROR(VLOOKUP(Table2[[#This Row], [Ticket]],Okey!A:B,2,0),"")</f>
        <v>ok</v>
      </c>
      <c r="I1371" s="13" t="s">
        <v>276</v>
      </c>
      <c r="J1371" s="22" t="e">
        <f>VLOOKUP(Table2[[#This Row], [Author]],People!A:B,2,0)</f>
        <v>#N/A</v>
      </c>
      <c r="K1371" s="13"/>
      <c r="L1371" s="13"/>
      <c r="M1371" s="23" t="s">
        <v>1613</v>
      </c>
    </row>
    <row r="1372" spans="1:13" ht="19.5" customHeight="1">
      <c r="A1372" s="18">
        <f t="shared" si="21"/>
        <v>1371</v>
      </c>
      <c r="B1372" s="11" t="s">
        <v>8</v>
      </c>
      <c r="C1372" s="11" t="s">
        <v>68</v>
      </c>
      <c r="D1372" s="11" t="s">
        <v>2874</v>
      </c>
      <c r="E1372" s="11" t="s">
        <v>2875</v>
      </c>
      <c r="F1372" s="11" t="s">
        <v>2043</v>
      </c>
      <c r="G1372" s="11" t="s">
        <v>16</v>
      </c>
      <c r="H1372" s="19" t="str">
        <f>IFERROR(VLOOKUP(Table2[[#This Row], [Ticket]],Okey!A:B,2,0),"")</f>
        <v>ok</v>
      </c>
      <c r="I1372" s="11" t="s">
        <v>276</v>
      </c>
      <c r="J1372" s="19" t="e">
        <f>VLOOKUP(Table2[[#This Row], [Author]],People!A:B,2,0)</f>
        <v>#N/A</v>
      </c>
      <c r="K1372" s="11"/>
      <c r="L1372" s="11"/>
      <c r="M1372" s="20" t="s">
        <v>1613</v>
      </c>
    </row>
    <row r="1373" spans="1:13" ht="19.5" customHeight="1">
      <c r="A1373" s="21">
        <f t="shared" si="21"/>
        <v>1372</v>
      </c>
      <c r="B1373" s="13" t="s">
        <v>8</v>
      </c>
      <c r="C1373" s="13" t="s">
        <v>68</v>
      </c>
      <c r="D1373" s="13" t="s">
        <v>2876</v>
      </c>
      <c r="E1373" s="13" t="s">
        <v>2877</v>
      </c>
      <c r="F1373" s="13" t="s">
        <v>2043</v>
      </c>
      <c r="G1373" s="13" t="s">
        <v>16</v>
      </c>
      <c r="H1373" s="22" t="str">
        <f>IFERROR(VLOOKUP(Table2[[#This Row], [Ticket]],Okey!A:B,2,0),"")</f>
        <v>ok</v>
      </c>
      <c r="I1373" s="13" t="s">
        <v>276</v>
      </c>
      <c r="J1373" s="22" t="e">
        <f>VLOOKUP(Table2[[#This Row], [Author]],People!A:B,2,0)</f>
        <v>#N/A</v>
      </c>
      <c r="K1373" s="13"/>
      <c r="L1373" s="13"/>
      <c r="M1373" s="23" t="s">
        <v>1613</v>
      </c>
    </row>
    <row r="1374" spans="1:13" ht="19.5" customHeight="1">
      <c r="A1374" s="18">
        <f t="shared" si="21"/>
        <v>1373</v>
      </c>
      <c r="B1374" s="11" t="s">
        <v>8</v>
      </c>
      <c r="C1374" s="11" t="s">
        <v>68</v>
      </c>
      <c r="D1374" s="11" t="s">
        <v>2878</v>
      </c>
      <c r="E1374" s="11" t="s">
        <v>2879</v>
      </c>
      <c r="F1374" s="11" t="s">
        <v>2043</v>
      </c>
      <c r="G1374" s="11" t="s">
        <v>16</v>
      </c>
      <c r="H1374" s="19" t="str">
        <f>IFERROR(VLOOKUP(Table2[[#This Row], [Ticket]],Okey!A:B,2,0),"")</f>
        <v>ok</v>
      </c>
      <c r="I1374" s="11" t="s">
        <v>276</v>
      </c>
      <c r="J1374" s="19" t="e">
        <f>VLOOKUP(Table2[[#This Row], [Author]],People!A:B,2,0)</f>
        <v>#N/A</v>
      </c>
      <c r="K1374" s="11"/>
      <c r="L1374" s="11"/>
      <c r="M1374" s="20" t="s">
        <v>1613</v>
      </c>
    </row>
    <row r="1375" spans="1:13" ht="19.5" customHeight="1">
      <c r="A1375" s="21">
        <f t="shared" si="21"/>
        <v>1374</v>
      </c>
      <c r="B1375" s="13" t="s">
        <v>8</v>
      </c>
      <c r="C1375" s="13" t="s">
        <v>68</v>
      </c>
      <c r="D1375" s="13" t="s">
        <v>2880</v>
      </c>
      <c r="E1375" s="13" t="s">
        <v>2881</v>
      </c>
      <c r="F1375" s="13" t="s">
        <v>2043</v>
      </c>
      <c r="G1375" s="13" t="s">
        <v>16</v>
      </c>
      <c r="H1375" s="22" t="str">
        <f>IFERROR(VLOOKUP(Table2[[#This Row], [Ticket]],Okey!A:B,2,0),"")</f>
        <v>ok</v>
      </c>
      <c r="I1375" s="13" t="s">
        <v>276</v>
      </c>
      <c r="J1375" s="22" t="e">
        <f>VLOOKUP(Table2[[#This Row], [Author]],People!A:B,2,0)</f>
        <v>#N/A</v>
      </c>
      <c r="K1375" s="13"/>
      <c r="L1375" s="13"/>
      <c r="M1375" s="23" t="s">
        <v>1613</v>
      </c>
    </row>
    <row r="1376" spans="1:13" ht="19.5" customHeight="1">
      <c r="A1376" s="18">
        <f t="shared" si="21"/>
        <v>1375</v>
      </c>
      <c r="B1376" s="11" t="s">
        <v>8</v>
      </c>
      <c r="C1376" s="11" t="s">
        <v>68</v>
      </c>
      <c r="D1376" s="11" t="s">
        <v>2882</v>
      </c>
      <c r="E1376" s="11" t="s">
        <v>2883</v>
      </c>
      <c r="F1376" s="11" t="s">
        <v>2043</v>
      </c>
      <c r="G1376" s="11" t="s">
        <v>16</v>
      </c>
      <c r="H1376" s="19" t="str">
        <f>IFERROR(VLOOKUP(Table2[[#This Row], [Ticket]],Okey!A:B,2,0),"")</f>
        <v>ok</v>
      </c>
      <c r="I1376" s="11" t="s">
        <v>276</v>
      </c>
      <c r="J1376" s="19" t="e">
        <f>VLOOKUP(Table2[[#This Row], [Author]],People!A:B,2,0)</f>
        <v>#N/A</v>
      </c>
      <c r="K1376" s="11"/>
      <c r="L1376" s="11"/>
      <c r="M1376" s="20" t="s">
        <v>1613</v>
      </c>
    </row>
    <row r="1377" spans="1:13" ht="19.5" customHeight="1">
      <c r="A1377" s="21">
        <f t="shared" si="21"/>
        <v>1376</v>
      </c>
      <c r="B1377" s="13" t="s">
        <v>8</v>
      </c>
      <c r="C1377" s="13" t="s">
        <v>68</v>
      </c>
      <c r="D1377" s="13" t="s">
        <v>2884</v>
      </c>
      <c r="E1377" s="13" t="s">
        <v>2885</v>
      </c>
      <c r="F1377" s="13" t="s">
        <v>2043</v>
      </c>
      <c r="G1377" s="13" t="s">
        <v>16</v>
      </c>
      <c r="H1377" s="22" t="str">
        <f>IFERROR(VLOOKUP(Table2[[#This Row], [Ticket]],Okey!A:B,2,0),"")</f>
        <v>ok</v>
      </c>
      <c r="I1377" s="13" t="s">
        <v>276</v>
      </c>
      <c r="J1377" s="22" t="e">
        <f>VLOOKUP(Table2[[#This Row], [Author]],People!A:B,2,0)</f>
        <v>#N/A</v>
      </c>
      <c r="K1377" s="13"/>
      <c r="L1377" s="13"/>
      <c r="M1377" s="23" t="s">
        <v>1613</v>
      </c>
    </row>
    <row r="1378" spans="1:13" ht="19.5" customHeight="1">
      <c r="A1378" s="18">
        <f t="shared" si="21"/>
        <v>1377</v>
      </c>
      <c r="B1378" s="11" t="s">
        <v>8</v>
      </c>
      <c r="C1378" s="11" t="s">
        <v>68</v>
      </c>
      <c r="D1378" s="11" t="s">
        <v>2886</v>
      </c>
      <c r="E1378" s="11" t="s">
        <v>2887</v>
      </c>
      <c r="F1378" s="11" t="s">
        <v>2043</v>
      </c>
      <c r="G1378" s="11" t="s">
        <v>16</v>
      </c>
      <c r="H1378" s="19" t="str">
        <f>IFERROR(VLOOKUP(Table2[[#This Row], [Ticket]],Okey!A:B,2,0),"")</f>
        <v>ok</v>
      </c>
      <c r="I1378" s="11" t="s">
        <v>276</v>
      </c>
      <c r="J1378" s="19" t="e">
        <f>VLOOKUP(Table2[[#This Row], [Author]],People!A:B,2,0)</f>
        <v>#N/A</v>
      </c>
      <c r="K1378" s="11"/>
      <c r="L1378" s="11"/>
      <c r="M1378" s="20" t="s">
        <v>1613</v>
      </c>
    </row>
    <row r="1379" spans="1:13" ht="19.5" customHeight="1">
      <c r="A1379" s="21">
        <f t="shared" si="21"/>
        <v>1378</v>
      </c>
      <c r="B1379" s="13" t="s">
        <v>8</v>
      </c>
      <c r="C1379" s="13" t="s">
        <v>68</v>
      </c>
      <c r="D1379" s="13" t="s">
        <v>2053</v>
      </c>
      <c r="E1379" s="13" t="s">
        <v>2888</v>
      </c>
      <c r="F1379" s="13" t="s">
        <v>2048</v>
      </c>
      <c r="G1379" s="13" t="s">
        <v>16</v>
      </c>
      <c r="H1379" s="22" t="str">
        <f>IFERROR(VLOOKUP(Table2[[#This Row], [Ticket]],Okey!A:B,2,0),"")</f>
        <v>ok</v>
      </c>
      <c r="I1379" s="13" t="s">
        <v>276</v>
      </c>
      <c r="J1379" s="22" t="e">
        <f>VLOOKUP(Table2[[#This Row], [Author]],People!A:B,2,0)</f>
        <v>#N/A</v>
      </c>
      <c r="K1379" s="13"/>
      <c r="L1379" s="13"/>
      <c r="M1379" s="23" t="s">
        <v>1613</v>
      </c>
    </row>
    <row r="1380" spans="1:13" ht="19.5" customHeight="1">
      <c r="A1380" s="18">
        <f t="shared" si="21"/>
        <v>1379</v>
      </c>
      <c r="B1380" s="11" t="s">
        <v>8</v>
      </c>
      <c r="C1380" s="11" t="s">
        <v>68</v>
      </c>
      <c r="D1380" s="11" t="s">
        <v>2889</v>
      </c>
      <c r="E1380" s="11" t="s">
        <v>2890</v>
      </c>
      <c r="F1380" s="11" t="s">
        <v>2051</v>
      </c>
      <c r="G1380" s="11" t="s">
        <v>16</v>
      </c>
      <c r="H1380" s="19" t="str">
        <f>IFERROR(VLOOKUP(Table2[[#This Row], [Ticket]],Okey!A:B,2,0),"")</f>
        <v>ok</v>
      </c>
      <c r="I1380" s="11" t="s">
        <v>276</v>
      </c>
      <c r="J1380" s="19" t="e">
        <f>VLOOKUP(Table2[[#This Row], [Author]],People!A:B,2,0)</f>
        <v>#N/A</v>
      </c>
      <c r="K1380" s="11"/>
      <c r="L1380" s="11"/>
      <c r="M1380" s="20" t="s">
        <v>1613</v>
      </c>
    </row>
    <row r="1381" spans="1:13" ht="19.5" customHeight="1">
      <c r="A1381" s="21">
        <f t="shared" si="21"/>
        <v>1380</v>
      </c>
      <c r="B1381" s="13" t="s">
        <v>8</v>
      </c>
      <c r="C1381" s="13" t="s">
        <v>68</v>
      </c>
      <c r="D1381" s="13" t="s">
        <v>2891</v>
      </c>
      <c r="E1381" s="13" t="s">
        <v>2892</v>
      </c>
      <c r="F1381" s="13" t="s">
        <v>2051</v>
      </c>
      <c r="G1381" s="13" t="s">
        <v>16</v>
      </c>
      <c r="H1381" s="22" t="str">
        <f>IFERROR(VLOOKUP(Table2[[#This Row], [Ticket]],Okey!A:B,2,0),"")</f>
        <v>ok</v>
      </c>
      <c r="I1381" s="13" t="s">
        <v>276</v>
      </c>
      <c r="J1381" s="22" t="e">
        <f>VLOOKUP(Table2[[#This Row], [Author]],People!A:B,2,0)</f>
        <v>#N/A</v>
      </c>
      <c r="K1381" s="13"/>
      <c r="L1381" s="13"/>
      <c r="M1381" s="23" t="s">
        <v>1613</v>
      </c>
    </row>
    <row r="1382" spans="1:13" ht="19.5" customHeight="1">
      <c r="A1382" s="18">
        <f t="shared" si="21"/>
        <v>1381</v>
      </c>
      <c r="B1382" s="11" t="s">
        <v>8</v>
      </c>
      <c r="C1382" s="11" t="s">
        <v>68</v>
      </c>
      <c r="D1382" s="11" t="s">
        <v>2893</v>
      </c>
      <c r="E1382" s="11" t="s">
        <v>2894</v>
      </c>
      <c r="F1382" s="11" t="s">
        <v>2051</v>
      </c>
      <c r="G1382" s="11" t="s">
        <v>16</v>
      </c>
      <c r="H1382" s="19" t="str">
        <f>IFERROR(VLOOKUP(Table2[[#This Row], [Ticket]],Okey!A:B,2,0),"")</f>
        <v>ok</v>
      </c>
      <c r="I1382" s="11" t="s">
        <v>276</v>
      </c>
      <c r="J1382" s="19" t="e">
        <f>VLOOKUP(Table2[[#This Row], [Author]],People!A:B,2,0)</f>
        <v>#N/A</v>
      </c>
      <c r="K1382" s="11"/>
      <c r="L1382" s="11"/>
      <c r="M1382" s="20" t="s">
        <v>1613</v>
      </c>
    </row>
    <row r="1383" spans="1:13" ht="19.5" customHeight="1">
      <c r="A1383" s="21">
        <f t="shared" si="21"/>
        <v>1382</v>
      </c>
      <c r="B1383" s="13" t="s">
        <v>8</v>
      </c>
      <c r="C1383" s="13" t="s">
        <v>68</v>
      </c>
      <c r="D1383" s="13" t="s">
        <v>2895</v>
      </c>
      <c r="E1383" s="13" t="s">
        <v>2896</v>
      </c>
      <c r="F1383" s="13" t="s">
        <v>2051</v>
      </c>
      <c r="G1383" s="13" t="s">
        <v>16</v>
      </c>
      <c r="H1383" s="22" t="str">
        <f>IFERROR(VLOOKUP(Table2[[#This Row], [Ticket]],Okey!A:B,2,0),"")</f>
        <v>ok</v>
      </c>
      <c r="I1383" s="13" t="s">
        <v>276</v>
      </c>
      <c r="J1383" s="22" t="e">
        <f>VLOOKUP(Table2[[#This Row], [Author]],People!A:B,2,0)</f>
        <v>#N/A</v>
      </c>
      <c r="K1383" s="13"/>
      <c r="L1383" s="13"/>
      <c r="M1383" s="23" t="s">
        <v>1613</v>
      </c>
    </row>
    <row r="1384" spans="1:13" ht="19.5" customHeight="1">
      <c r="A1384" s="18">
        <f t="shared" si="21"/>
        <v>1383</v>
      </c>
      <c r="B1384" s="11" t="s">
        <v>8</v>
      </c>
      <c r="C1384" s="11" t="s">
        <v>68</v>
      </c>
      <c r="D1384" s="11" t="s">
        <v>2897</v>
      </c>
      <c r="E1384" s="11" t="s">
        <v>2898</v>
      </c>
      <c r="F1384" s="11" t="s">
        <v>2051</v>
      </c>
      <c r="G1384" s="11" t="s">
        <v>16</v>
      </c>
      <c r="H1384" s="19" t="str">
        <f>IFERROR(VLOOKUP(Table2[[#This Row], [Ticket]],Okey!A:B,2,0),"")</f>
        <v>ok</v>
      </c>
      <c r="I1384" s="11" t="s">
        <v>276</v>
      </c>
      <c r="J1384" s="19" t="e">
        <f>VLOOKUP(Table2[[#This Row], [Author]],People!A:B,2,0)</f>
        <v>#N/A</v>
      </c>
      <c r="K1384" s="11"/>
      <c r="L1384" s="11"/>
      <c r="M1384" s="20" t="s">
        <v>1613</v>
      </c>
    </row>
    <row r="1385" spans="1:13" ht="19.5" customHeight="1">
      <c r="A1385" s="21">
        <f t="shared" si="21"/>
        <v>1384</v>
      </c>
      <c r="B1385" s="13" t="s">
        <v>8</v>
      </c>
      <c r="C1385" s="13" t="s">
        <v>68</v>
      </c>
      <c r="D1385" s="13" t="s">
        <v>2899</v>
      </c>
      <c r="E1385" s="13" t="s">
        <v>2900</v>
      </c>
      <c r="F1385" s="13" t="s">
        <v>2051</v>
      </c>
      <c r="G1385" s="13" t="s">
        <v>16</v>
      </c>
      <c r="H1385" s="22" t="str">
        <f>IFERROR(VLOOKUP(Table2[[#This Row], [Ticket]],Okey!A:B,2,0),"")</f>
        <v>ok</v>
      </c>
      <c r="I1385" s="13" t="s">
        <v>276</v>
      </c>
      <c r="J1385" s="22" t="e">
        <f>VLOOKUP(Table2[[#This Row], [Author]],People!A:B,2,0)</f>
        <v>#N/A</v>
      </c>
      <c r="K1385" s="13"/>
      <c r="L1385" s="13"/>
      <c r="M1385" s="23" t="s">
        <v>1613</v>
      </c>
    </row>
    <row r="1386" spans="1:13" ht="19.5" customHeight="1">
      <c r="A1386" s="18">
        <f t="shared" si="21"/>
        <v>1385</v>
      </c>
      <c r="B1386" s="11" t="s">
        <v>8</v>
      </c>
      <c r="C1386" s="11" t="s">
        <v>68</v>
      </c>
      <c r="D1386" s="11" t="s">
        <v>2901</v>
      </c>
      <c r="E1386" s="11" t="s">
        <v>2902</v>
      </c>
      <c r="F1386" s="11" t="s">
        <v>2051</v>
      </c>
      <c r="G1386" s="11" t="s">
        <v>16</v>
      </c>
      <c r="H1386" s="19" t="str">
        <f>IFERROR(VLOOKUP(Table2[[#This Row], [Ticket]],Okey!A:B,2,0),"")</f>
        <v>ok</v>
      </c>
      <c r="I1386" s="11" t="s">
        <v>276</v>
      </c>
      <c r="J1386" s="19" t="e">
        <f>VLOOKUP(Table2[[#This Row], [Author]],People!A:B,2,0)</f>
        <v>#N/A</v>
      </c>
      <c r="K1386" s="11"/>
      <c r="L1386" s="11"/>
      <c r="M1386" s="20" t="s">
        <v>1613</v>
      </c>
    </row>
    <row r="1387" spans="1:13" ht="19.5" customHeight="1">
      <c r="A1387" s="21">
        <f t="shared" si="21"/>
        <v>1386</v>
      </c>
      <c r="B1387" s="13" t="s">
        <v>8</v>
      </c>
      <c r="C1387" s="13" t="s">
        <v>68</v>
      </c>
      <c r="D1387" s="13" t="s">
        <v>2903</v>
      </c>
      <c r="E1387" s="13" t="s">
        <v>2904</v>
      </c>
      <c r="F1387" s="13" t="s">
        <v>2051</v>
      </c>
      <c r="G1387" s="13" t="s">
        <v>16</v>
      </c>
      <c r="H1387" s="22" t="str">
        <f>IFERROR(VLOOKUP(Table2[[#This Row], [Ticket]],Okey!A:B,2,0),"")</f>
        <v>ok</v>
      </c>
      <c r="I1387" s="13" t="s">
        <v>276</v>
      </c>
      <c r="J1387" s="22" t="e">
        <f>VLOOKUP(Table2[[#This Row], [Author]],People!A:B,2,0)</f>
        <v>#N/A</v>
      </c>
      <c r="K1387" s="13"/>
      <c r="L1387" s="13"/>
      <c r="M1387" s="23" t="s">
        <v>1613</v>
      </c>
    </row>
    <row r="1388" spans="1:13" ht="19.5" customHeight="1">
      <c r="A1388" s="18">
        <f t="shared" si="21"/>
        <v>1387</v>
      </c>
      <c r="B1388" s="11" t="s">
        <v>8</v>
      </c>
      <c r="C1388" s="11" t="s">
        <v>68</v>
      </c>
      <c r="D1388" s="11" t="s">
        <v>2905</v>
      </c>
      <c r="E1388" s="11" t="s">
        <v>2906</v>
      </c>
      <c r="F1388" s="11" t="s">
        <v>2051</v>
      </c>
      <c r="G1388" s="11" t="s">
        <v>16</v>
      </c>
      <c r="H1388" s="19" t="str">
        <f>IFERROR(VLOOKUP(Table2[[#This Row], [Ticket]],Okey!A:B,2,0),"")</f>
        <v>ok</v>
      </c>
      <c r="I1388" s="11" t="s">
        <v>276</v>
      </c>
      <c r="J1388" s="19" t="e">
        <f>VLOOKUP(Table2[[#This Row], [Author]],People!A:B,2,0)</f>
        <v>#N/A</v>
      </c>
      <c r="K1388" s="11"/>
      <c r="L1388" s="11"/>
      <c r="M1388" s="20" t="s">
        <v>1613</v>
      </c>
    </row>
    <row r="1389" spans="1:13" ht="19.5" customHeight="1">
      <c r="A1389" s="21">
        <f t="shared" si="21"/>
        <v>1388</v>
      </c>
      <c r="B1389" s="13" t="s">
        <v>8</v>
      </c>
      <c r="C1389" s="13" t="s">
        <v>68</v>
      </c>
      <c r="D1389" s="13" t="s">
        <v>2907</v>
      </c>
      <c r="E1389" s="13" t="s">
        <v>2908</v>
      </c>
      <c r="F1389" s="13" t="s">
        <v>2051</v>
      </c>
      <c r="G1389" s="13" t="s">
        <v>16</v>
      </c>
      <c r="H1389" s="22" t="str">
        <f>IFERROR(VLOOKUP(Table2[[#This Row], [Ticket]],Okey!A:B,2,0),"")</f>
        <v>ok</v>
      </c>
      <c r="I1389" s="13" t="s">
        <v>276</v>
      </c>
      <c r="J1389" s="22" t="e">
        <f>VLOOKUP(Table2[[#This Row], [Author]],People!A:B,2,0)</f>
        <v>#N/A</v>
      </c>
      <c r="K1389" s="13"/>
      <c r="L1389" s="13"/>
      <c r="M1389" s="23" t="s">
        <v>1613</v>
      </c>
    </row>
    <row r="1390" spans="1:13" ht="19.5" customHeight="1">
      <c r="A1390" s="18">
        <f t="shared" si="21"/>
        <v>1389</v>
      </c>
      <c r="B1390" s="11" t="s">
        <v>8</v>
      </c>
      <c r="C1390" s="11" t="s">
        <v>68</v>
      </c>
      <c r="D1390" s="11" t="s">
        <v>2058</v>
      </c>
      <c r="E1390" s="11" t="s">
        <v>2909</v>
      </c>
      <c r="F1390" s="11" t="s">
        <v>2048</v>
      </c>
      <c r="G1390" s="11" t="s">
        <v>16</v>
      </c>
      <c r="H1390" s="19" t="str">
        <f>IFERROR(VLOOKUP(Table2[[#This Row], [Ticket]],Okey!A:B,2,0),"")</f>
        <v>ok</v>
      </c>
      <c r="I1390" s="11" t="s">
        <v>276</v>
      </c>
      <c r="J1390" s="19" t="e">
        <f>VLOOKUP(Table2[[#This Row], [Author]],People!A:B,2,0)</f>
        <v>#N/A</v>
      </c>
      <c r="K1390" s="11"/>
      <c r="L1390" s="11"/>
      <c r="M1390" s="20" t="s">
        <v>1613</v>
      </c>
    </row>
    <row r="1391" spans="1:13" ht="19.5" customHeight="1">
      <c r="A1391" s="21">
        <f t="shared" si="21"/>
        <v>1390</v>
      </c>
      <c r="B1391" s="13" t="s">
        <v>8</v>
      </c>
      <c r="C1391" s="13" t="s">
        <v>68</v>
      </c>
      <c r="D1391" s="13" t="s">
        <v>2910</v>
      </c>
      <c r="E1391" s="13" t="s">
        <v>2911</v>
      </c>
      <c r="F1391" s="13" t="s">
        <v>2056</v>
      </c>
      <c r="G1391" s="13" t="s">
        <v>16</v>
      </c>
      <c r="H1391" s="22" t="str">
        <f>IFERROR(VLOOKUP(Table2[[#This Row], [Ticket]],Okey!A:B,2,0),"")</f>
        <v>ok</v>
      </c>
      <c r="I1391" s="13" t="s">
        <v>276</v>
      </c>
      <c r="J1391" s="22" t="e">
        <f>VLOOKUP(Table2[[#This Row], [Author]],People!A:B,2,0)</f>
        <v>#N/A</v>
      </c>
      <c r="K1391" s="13"/>
      <c r="L1391" s="13"/>
      <c r="M1391" s="23" t="s">
        <v>1613</v>
      </c>
    </row>
    <row r="1392" spans="1:13" ht="19.5" customHeight="1">
      <c r="A1392" s="18">
        <f t="shared" si="21"/>
        <v>1391</v>
      </c>
      <c r="B1392" s="11" t="s">
        <v>8</v>
      </c>
      <c r="C1392" s="11" t="s">
        <v>68</v>
      </c>
      <c r="D1392" s="11" t="s">
        <v>2912</v>
      </c>
      <c r="E1392" s="11" t="s">
        <v>2913</v>
      </c>
      <c r="F1392" s="11" t="s">
        <v>2056</v>
      </c>
      <c r="G1392" s="11" t="s">
        <v>16</v>
      </c>
      <c r="H1392" s="19" t="str">
        <f>IFERROR(VLOOKUP(Table2[[#This Row], [Ticket]],Okey!A:B,2,0),"")</f>
        <v>ok</v>
      </c>
      <c r="I1392" s="11" t="s">
        <v>276</v>
      </c>
      <c r="J1392" s="19" t="e">
        <f>VLOOKUP(Table2[[#This Row], [Author]],People!A:B,2,0)</f>
        <v>#N/A</v>
      </c>
      <c r="K1392" s="11"/>
      <c r="L1392" s="11"/>
      <c r="M1392" s="20" t="s">
        <v>1613</v>
      </c>
    </row>
    <row r="1393" spans="1:13" ht="19.5" customHeight="1">
      <c r="A1393" s="21">
        <f t="shared" si="21"/>
        <v>1392</v>
      </c>
      <c r="B1393" s="13" t="s">
        <v>8</v>
      </c>
      <c r="C1393" s="13" t="s">
        <v>68</v>
      </c>
      <c r="D1393" s="13" t="s">
        <v>2914</v>
      </c>
      <c r="E1393" s="13" t="s">
        <v>2915</v>
      </c>
      <c r="F1393" s="13" t="s">
        <v>2056</v>
      </c>
      <c r="G1393" s="13" t="s">
        <v>16</v>
      </c>
      <c r="H1393" s="22" t="str">
        <f>IFERROR(VLOOKUP(Table2[[#This Row], [Ticket]],Okey!A:B,2,0),"")</f>
        <v>ok</v>
      </c>
      <c r="I1393" s="13" t="s">
        <v>276</v>
      </c>
      <c r="J1393" s="22" t="e">
        <f>VLOOKUP(Table2[[#This Row], [Author]],People!A:B,2,0)</f>
        <v>#N/A</v>
      </c>
      <c r="K1393" s="13"/>
      <c r="L1393" s="13"/>
      <c r="M1393" s="23" t="s">
        <v>1613</v>
      </c>
    </row>
    <row r="1394" spans="1:13" ht="19.5" customHeight="1">
      <c r="A1394" s="18">
        <f t="shared" si="21"/>
        <v>1393</v>
      </c>
      <c r="B1394" s="11" t="s">
        <v>8</v>
      </c>
      <c r="C1394" s="11" t="s">
        <v>68</v>
      </c>
      <c r="D1394" s="11" t="s">
        <v>2916</v>
      </c>
      <c r="E1394" s="11" t="s">
        <v>2917</v>
      </c>
      <c r="F1394" s="11" t="s">
        <v>2056</v>
      </c>
      <c r="G1394" s="11" t="s">
        <v>16</v>
      </c>
      <c r="H1394" s="19" t="str">
        <f>IFERROR(VLOOKUP(Table2[[#This Row], [Ticket]],Okey!A:B,2,0),"")</f>
        <v>ok</v>
      </c>
      <c r="I1394" s="11" t="s">
        <v>276</v>
      </c>
      <c r="J1394" s="19" t="e">
        <f>VLOOKUP(Table2[[#This Row], [Author]],People!A:B,2,0)</f>
        <v>#N/A</v>
      </c>
      <c r="K1394" s="11"/>
      <c r="L1394" s="11"/>
      <c r="M1394" s="20" t="s">
        <v>1613</v>
      </c>
    </row>
    <row r="1395" spans="1:13" ht="19.5" customHeight="1">
      <c r="A1395" s="21">
        <f t="shared" si="21"/>
        <v>1394</v>
      </c>
      <c r="B1395" s="13" t="s">
        <v>8</v>
      </c>
      <c r="C1395" s="13" t="s">
        <v>68</v>
      </c>
      <c r="D1395" s="13" t="s">
        <v>2918</v>
      </c>
      <c r="E1395" s="13" t="s">
        <v>2919</v>
      </c>
      <c r="F1395" s="13" t="s">
        <v>2056</v>
      </c>
      <c r="G1395" s="13" t="s">
        <v>16</v>
      </c>
      <c r="H1395" s="22" t="str">
        <f>IFERROR(VLOOKUP(Table2[[#This Row], [Ticket]],Okey!A:B,2,0),"")</f>
        <v>ok</v>
      </c>
      <c r="I1395" s="13" t="s">
        <v>276</v>
      </c>
      <c r="J1395" s="22" t="e">
        <f>VLOOKUP(Table2[[#This Row], [Author]],People!A:B,2,0)</f>
        <v>#N/A</v>
      </c>
      <c r="K1395" s="13"/>
      <c r="L1395" s="13"/>
      <c r="M1395" s="23" t="s">
        <v>1613</v>
      </c>
    </row>
    <row r="1396" spans="1:13" ht="19.5" customHeight="1">
      <c r="A1396" s="18">
        <f t="shared" si="21"/>
        <v>1395</v>
      </c>
      <c r="B1396" s="11" t="s">
        <v>8</v>
      </c>
      <c r="C1396" s="11" t="s">
        <v>68</v>
      </c>
      <c r="D1396" s="11" t="s">
        <v>2920</v>
      </c>
      <c r="E1396" s="11" t="s">
        <v>2921</v>
      </c>
      <c r="F1396" s="11" t="s">
        <v>2056</v>
      </c>
      <c r="G1396" s="11" t="s">
        <v>16</v>
      </c>
      <c r="H1396" s="19" t="str">
        <f>IFERROR(VLOOKUP(Table2[[#This Row], [Ticket]],Okey!A:B,2,0),"")</f>
        <v>ok</v>
      </c>
      <c r="I1396" s="11" t="s">
        <v>276</v>
      </c>
      <c r="J1396" s="19" t="e">
        <f>VLOOKUP(Table2[[#This Row], [Author]],People!A:B,2,0)</f>
        <v>#N/A</v>
      </c>
      <c r="K1396" s="11"/>
      <c r="L1396" s="11"/>
      <c r="M1396" s="20" t="s">
        <v>1613</v>
      </c>
    </row>
    <row r="1397" spans="1:13" ht="19.5" customHeight="1">
      <c r="A1397" s="21">
        <f t="shared" si="21"/>
        <v>1396</v>
      </c>
      <c r="B1397" s="13" t="s">
        <v>8</v>
      </c>
      <c r="C1397" s="13" t="s">
        <v>68</v>
      </c>
      <c r="D1397" s="13" t="s">
        <v>2922</v>
      </c>
      <c r="E1397" s="13" t="s">
        <v>2923</v>
      </c>
      <c r="F1397" s="13" t="s">
        <v>2056</v>
      </c>
      <c r="G1397" s="13" t="s">
        <v>16</v>
      </c>
      <c r="H1397" s="22" t="str">
        <f>IFERROR(VLOOKUP(Table2[[#This Row], [Ticket]],Okey!A:B,2,0),"")</f>
        <v>ok</v>
      </c>
      <c r="I1397" s="13" t="s">
        <v>276</v>
      </c>
      <c r="J1397" s="22" t="e">
        <f>VLOOKUP(Table2[[#This Row], [Author]],People!A:B,2,0)</f>
        <v>#N/A</v>
      </c>
      <c r="K1397" s="13"/>
      <c r="L1397" s="13"/>
      <c r="M1397" s="23" t="s">
        <v>1613</v>
      </c>
    </row>
    <row r="1398" spans="1:13" ht="19.5" customHeight="1">
      <c r="A1398" s="18">
        <f t="shared" si="21"/>
        <v>1397</v>
      </c>
      <c r="B1398" s="11" t="s">
        <v>8</v>
      </c>
      <c r="C1398" s="11" t="s">
        <v>68</v>
      </c>
      <c r="D1398" s="11" t="s">
        <v>2924</v>
      </c>
      <c r="E1398" s="11" t="s">
        <v>2925</v>
      </c>
      <c r="F1398" s="11" t="s">
        <v>2056</v>
      </c>
      <c r="G1398" s="11" t="s">
        <v>16</v>
      </c>
      <c r="H1398" s="19" t="str">
        <f>IFERROR(VLOOKUP(Table2[[#This Row], [Ticket]],Okey!A:B,2,0),"")</f>
        <v>ok</v>
      </c>
      <c r="I1398" s="11" t="s">
        <v>276</v>
      </c>
      <c r="J1398" s="19" t="e">
        <f>VLOOKUP(Table2[[#This Row], [Author]],People!A:B,2,0)</f>
        <v>#N/A</v>
      </c>
      <c r="K1398" s="11"/>
      <c r="L1398" s="11"/>
      <c r="M1398" s="20" t="s">
        <v>1613</v>
      </c>
    </row>
    <row r="1399" spans="1:13" ht="19.5" customHeight="1">
      <c r="A1399" s="21">
        <f t="shared" si="21"/>
        <v>1398</v>
      </c>
      <c r="B1399" s="13" t="s">
        <v>8</v>
      </c>
      <c r="C1399" s="13" t="s">
        <v>68</v>
      </c>
      <c r="D1399" s="13" t="s">
        <v>2926</v>
      </c>
      <c r="E1399" s="13" t="s">
        <v>2927</v>
      </c>
      <c r="F1399" s="13" t="s">
        <v>2056</v>
      </c>
      <c r="G1399" s="13" t="s">
        <v>16</v>
      </c>
      <c r="H1399" s="22" t="str">
        <f>IFERROR(VLOOKUP(Table2[[#This Row], [Ticket]],Okey!A:B,2,0),"")</f>
        <v>ok</v>
      </c>
      <c r="I1399" s="13" t="s">
        <v>276</v>
      </c>
      <c r="J1399" s="22" t="e">
        <f>VLOOKUP(Table2[[#This Row], [Author]],People!A:B,2,0)</f>
        <v>#N/A</v>
      </c>
      <c r="K1399" s="13"/>
      <c r="L1399" s="13"/>
      <c r="M1399" s="23" t="s">
        <v>1613</v>
      </c>
    </row>
    <row r="1400" spans="1:13" ht="19.5" customHeight="1">
      <c r="A1400" s="18">
        <f t="shared" si="21"/>
        <v>1399</v>
      </c>
      <c r="B1400" s="11" t="s">
        <v>8</v>
      </c>
      <c r="C1400" s="11" t="s">
        <v>68</v>
      </c>
      <c r="D1400" s="11" t="s">
        <v>2928</v>
      </c>
      <c r="E1400" s="11" t="s">
        <v>2929</v>
      </c>
      <c r="F1400" s="11" t="s">
        <v>2056</v>
      </c>
      <c r="G1400" s="11" t="s">
        <v>16</v>
      </c>
      <c r="H1400" s="19" t="str">
        <f>IFERROR(VLOOKUP(Table2[[#This Row], [Ticket]],Okey!A:B,2,0),"")</f>
        <v>ok</v>
      </c>
      <c r="I1400" s="11" t="s">
        <v>276</v>
      </c>
      <c r="J1400" s="19" t="e">
        <f>VLOOKUP(Table2[[#This Row], [Author]],People!A:B,2,0)</f>
        <v>#N/A</v>
      </c>
      <c r="K1400" s="11"/>
      <c r="L1400" s="11"/>
      <c r="M1400" s="20" t="s">
        <v>1613</v>
      </c>
    </row>
    <row r="1401" spans="1:13" ht="19.5" customHeight="1">
      <c r="A1401" s="21">
        <f t="shared" si="21"/>
        <v>1400</v>
      </c>
      <c r="B1401" s="13" t="s">
        <v>8</v>
      </c>
      <c r="C1401" s="13" t="s">
        <v>68</v>
      </c>
      <c r="D1401" s="13" t="s">
        <v>2063</v>
      </c>
      <c r="E1401" s="13" t="s">
        <v>2930</v>
      </c>
      <c r="F1401" s="13" t="s">
        <v>2048</v>
      </c>
      <c r="G1401" s="13" t="s">
        <v>16</v>
      </c>
      <c r="H1401" s="22" t="str">
        <f>IFERROR(VLOOKUP(Table2[[#This Row], [Ticket]],Okey!A:B,2,0),"")</f>
        <v>ok</v>
      </c>
      <c r="I1401" s="13" t="s">
        <v>276</v>
      </c>
      <c r="J1401" s="22" t="e">
        <f>VLOOKUP(Table2[[#This Row], [Author]],People!A:B,2,0)</f>
        <v>#N/A</v>
      </c>
      <c r="K1401" s="13"/>
      <c r="L1401" s="13"/>
      <c r="M1401" s="23" t="s">
        <v>1613</v>
      </c>
    </row>
    <row r="1402" spans="1:13" ht="19.5" customHeight="1">
      <c r="A1402" s="18">
        <f t="shared" si="21"/>
        <v>1401</v>
      </c>
      <c r="B1402" s="11" t="s">
        <v>8</v>
      </c>
      <c r="C1402" s="11" t="s">
        <v>68</v>
      </c>
      <c r="D1402" s="11" t="s">
        <v>2931</v>
      </c>
      <c r="E1402" s="11" t="s">
        <v>2932</v>
      </c>
      <c r="F1402" s="11" t="s">
        <v>2061</v>
      </c>
      <c r="G1402" s="11" t="s">
        <v>16</v>
      </c>
      <c r="H1402" s="19" t="str">
        <f>IFERROR(VLOOKUP(Table2[[#This Row], [Ticket]],Okey!A:B,2,0),"")</f>
        <v>ok</v>
      </c>
      <c r="I1402" s="11" t="s">
        <v>276</v>
      </c>
      <c r="J1402" s="19" t="e">
        <f>VLOOKUP(Table2[[#This Row], [Author]],People!A:B,2,0)</f>
        <v>#N/A</v>
      </c>
      <c r="K1402" s="11"/>
      <c r="L1402" s="11"/>
      <c r="M1402" s="20" t="s">
        <v>1613</v>
      </c>
    </row>
    <row r="1403" spans="1:13" ht="19.5" customHeight="1">
      <c r="A1403" s="21">
        <f t="shared" si="21"/>
        <v>1402</v>
      </c>
      <c r="B1403" s="13" t="s">
        <v>8</v>
      </c>
      <c r="C1403" s="13" t="s">
        <v>68</v>
      </c>
      <c r="D1403" s="13" t="s">
        <v>2933</v>
      </c>
      <c r="E1403" s="13" t="s">
        <v>2934</v>
      </c>
      <c r="F1403" s="13" t="s">
        <v>2061</v>
      </c>
      <c r="G1403" s="13" t="s">
        <v>16</v>
      </c>
      <c r="H1403" s="22" t="str">
        <f>IFERROR(VLOOKUP(Table2[[#This Row], [Ticket]],Okey!A:B,2,0),"")</f>
        <v>ok</v>
      </c>
      <c r="I1403" s="13" t="s">
        <v>276</v>
      </c>
      <c r="J1403" s="22" t="e">
        <f>VLOOKUP(Table2[[#This Row], [Author]],People!A:B,2,0)</f>
        <v>#N/A</v>
      </c>
      <c r="K1403" s="13"/>
      <c r="L1403" s="13"/>
      <c r="M1403" s="23" t="s">
        <v>1613</v>
      </c>
    </row>
    <row r="1404" spans="1:13" ht="19.5" customHeight="1">
      <c r="A1404" s="18">
        <f t="shared" si="21"/>
        <v>1403</v>
      </c>
      <c r="B1404" s="11" t="s">
        <v>8</v>
      </c>
      <c r="C1404" s="11" t="s">
        <v>68</v>
      </c>
      <c r="D1404" s="11" t="s">
        <v>2935</v>
      </c>
      <c r="E1404" s="11" t="s">
        <v>2936</v>
      </c>
      <c r="F1404" s="11" t="s">
        <v>2061</v>
      </c>
      <c r="G1404" s="11" t="s">
        <v>16</v>
      </c>
      <c r="H1404" s="19" t="str">
        <f>IFERROR(VLOOKUP(Table2[[#This Row], [Ticket]],Okey!A:B,2,0),"")</f>
        <v>ok</v>
      </c>
      <c r="I1404" s="11" t="s">
        <v>276</v>
      </c>
      <c r="J1404" s="19" t="e">
        <f>VLOOKUP(Table2[[#This Row], [Author]],People!A:B,2,0)</f>
        <v>#N/A</v>
      </c>
      <c r="K1404" s="11"/>
      <c r="L1404" s="11"/>
      <c r="M1404" s="20" t="s">
        <v>1613</v>
      </c>
    </row>
    <row r="1405" spans="1:13" ht="19.5" customHeight="1">
      <c r="A1405" s="21">
        <f t="shared" si="21"/>
        <v>1404</v>
      </c>
      <c r="B1405" s="13" t="s">
        <v>8</v>
      </c>
      <c r="C1405" s="13" t="s">
        <v>68</v>
      </c>
      <c r="D1405" s="13" t="s">
        <v>2937</v>
      </c>
      <c r="E1405" s="13" t="s">
        <v>2938</v>
      </c>
      <c r="F1405" s="13" t="s">
        <v>2061</v>
      </c>
      <c r="G1405" s="13" t="s">
        <v>16</v>
      </c>
      <c r="H1405" s="22" t="str">
        <f>IFERROR(VLOOKUP(Table2[[#This Row], [Ticket]],Okey!A:B,2,0),"")</f>
        <v>ok</v>
      </c>
      <c r="I1405" s="13" t="s">
        <v>276</v>
      </c>
      <c r="J1405" s="22" t="e">
        <f>VLOOKUP(Table2[[#This Row], [Author]],People!A:B,2,0)</f>
        <v>#N/A</v>
      </c>
      <c r="K1405" s="13"/>
      <c r="L1405" s="13"/>
      <c r="M1405" s="23" t="s">
        <v>1613</v>
      </c>
    </row>
    <row r="1406" spans="1:13" ht="19.5" customHeight="1">
      <c r="A1406" s="18">
        <f t="shared" si="21"/>
        <v>1405</v>
      </c>
      <c r="B1406" s="11" t="s">
        <v>8</v>
      </c>
      <c r="C1406" s="11" t="s">
        <v>68</v>
      </c>
      <c r="D1406" s="11" t="s">
        <v>2939</v>
      </c>
      <c r="E1406" s="11" t="s">
        <v>2940</v>
      </c>
      <c r="F1406" s="11" t="s">
        <v>2061</v>
      </c>
      <c r="G1406" s="11" t="s">
        <v>16</v>
      </c>
      <c r="H1406" s="19" t="str">
        <f>IFERROR(VLOOKUP(Table2[[#This Row], [Ticket]],Okey!A:B,2,0),"")</f>
        <v>ok</v>
      </c>
      <c r="I1406" s="11" t="s">
        <v>276</v>
      </c>
      <c r="J1406" s="19" t="e">
        <f>VLOOKUP(Table2[[#This Row], [Author]],People!A:B,2,0)</f>
        <v>#N/A</v>
      </c>
      <c r="K1406" s="11"/>
      <c r="L1406" s="11"/>
      <c r="M1406" s="20" t="s">
        <v>1613</v>
      </c>
    </row>
    <row r="1407" spans="1:13" ht="19.5" customHeight="1">
      <c r="A1407" s="21">
        <f t="shared" si="21"/>
        <v>1406</v>
      </c>
      <c r="B1407" s="13" t="s">
        <v>8</v>
      </c>
      <c r="C1407" s="13" t="s">
        <v>68</v>
      </c>
      <c r="D1407" s="13" t="s">
        <v>2941</v>
      </c>
      <c r="E1407" s="13" t="s">
        <v>2942</v>
      </c>
      <c r="F1407" s="13" t="s">
        <v>2061</v>
      </c>
      <c r="G1407" s="13" t="s">
        <v>16</v>
      </c>
      <c r="H1407" s="22" t="str">
        <f>IFERROR(VLOOKUP(Table2[[#This Row], [Ticket]],Okey!A:B,2,0),"")</f>
        <v>ok</v>
      </c>
      <c r="I1407" s="13" t="s">
        <v>276</v>
      </c>
      <c r="J1407" s="22" t="e">
        <f>VLOOKUP(Table2[[#This Row], [Author]],People!A:B,2,0)</f>
        <v>#N/A</v>
      </c>
      <c r="K1407" s="13"/>
      <c r="L1407" s="13"/>
      <c r="M1407" s="23" t="s">
        <v>1613</v>
      </c>
    </row>
    <row r="1408" spans="1:13" ht="19.5" customHeight="1">
      <c r="A1408" s="18">
        <f t="shared" si="21"/>
        <v>1407</v>
      </c>
      <c r="B1408" s="11" t="s">
        <v>8</v>
      </c>
      <c r="C1408" s="11" t="s">
        <v>68</v>
      </c>
      <c r="D1408" s="11" t="s">
        <v>2943</v>
      </c>
      <c r="E1408" s="11" t="s">
        <v>2944</v>
      </c>
      <c r="F1408" s="11" t="s">
        <v>2061</v>
      </c>
      <c r="G1408" s="11" t="s">
        <v>16</v>
      </c>
      <c r="H1408" s="19" t="str">
        <f>IFERROR(VLOOKUP(Table2[[#This Row], [Ticket]],Okey!A:B,2,0),"")</f>
        <v>ok</v>
      </c>
      <c r="I1408" s="11" t="s">
        <v>276</v>
      </c>
      <c r="J1408" s="19" t="e">
        <f>VLOOKUP(Table2[[#This Row], [Author]],People!A:B,2,0)</f>
        <v>#N/A</v>
      </c>
      <c r="K1408" s="11"/>
      <c r="L1408" s="11"/>
      <c r="M1408" s="20" t="s">
        <v>1613</v>
      </c>
    </row>
    <row r="1409" spans="1:13" ht="19.5" customHeight="1">
      <c r="A1409" s="21">
        <f t="shared" si="21"/>
        <v>1408</v>
      </c>
      <c r="B1409" s="13" t="s">
        <v>8</v>
      </c>
      <c r="C1409" s="13" t="s">
        <v>68</v>
      </c>
      <c r="D1409" s="13" t="s">
        <v>2945</v>
      </c>
      <c r="E1409" s="13" t="s">
        <v>2946</v>
      </c>
      <c r="F1409" s="13" t="s">
        <v>2061</v>
      </c>
      <c r="G1409" s="13" t="s">
        <v>16</v>
      </c>
      <c r="H1409" s="22" t="str">
        <f>IFERROR(VLOOKUP(Table2[[#This Row], [Ticket]],Okey!A:B,2,0),"")</f>
        <v>ok</v>
      </c>
      <c r="I1409" s="13" t="s">
        <v>276</v>
      </c>
      <c r="J1409" s="22" t="e">
        <f>VLOOKUP(Table2[[#This Row], [Author]],People!A:B,2,0)</f>
        <v>#N/A</v>
      </c>
      <c r="K1409" s="13"/>
      <c r="L1409" s="13"/>
      <c r="M1409" s="23" t="s">
        <v>1613</v>
      </c>
    </row>
    <row r="1410" spans="1:13" ht="19.5" customHeight="1">
      <c r="A1410" s="18">
        <f t="shared" si="21"/>
        <v>1409</v>
      </c>
      <c r="B1410" s="11" t="s">
        <v>8</v>
      </c>
      <c r="C1410" s="11" t="s">
        <v>68</v>
      </c>
      <c r="D1410" s="11" t="s">
        <v>2947</v>
      </c>
      <c r="E1410" s="11" t="s">
        <v>2948</v>
      </c>
      <c r="F1410" s="11" t="s">
        <v>2061</v>
      </c>
      <c r="G1410" s="11" t="s">
        <v>16</v>
      </c>
      <c r="H1410" s="19" t="str">
        <f>IFERROR(VLOOKUP(Table2[[#This Row], [Ticket]],Okey!A:B,2,0),"")</f>
        <v>ok</v>
      </c>
      <c r="I1410" s="11" t="s">
        <v>276</v>
      </c>
      <c r="J1410" s="19" t="e">
        <f>VLOOKUP(Table2[[#This Row], [Author]],People!A:B,2,0)</f>
        <v>#N/A</v>
      </c>
      <c r="K1410" s="11"/>
      <c r="L1410" s="11"/>
      <c r="M1410" s="20" t="s">
        <v>1613</v>
      </c>
    </row>
    <row r="1411" spans="1:13" ht="19.5" customHeight="1">
      <c r="A1411" s="21">
        <f t="shared" ref="A1411:A1474" si="22">1+A1410</f>
        <v>1410</v>
      </c>
      <c r="B1411" s="13" t="s">
        <v>8</v>
      </c>
      <c r="C1411" s="13" t="s">
        <v>68</v>
      </c>
      <c r="D1411" s="13" t="s">
        <v>2949</v>
      </c>
      <c r="E1411" s="13" t="s">
        <v>2950</v>
      </c>
      <c r="F1411" s="13" t="s">
        <v>2061</v>
      </c>
      <c r="G1411" s="13" t="s">
        <v>16</v>
      </c>
      <c r="H1411" s="22" t="str">
        <f>IFERROR(VLOOKUP(Table2[[#This Row], [Ticket]],Okey!A:B,2,0),"")</f>
        <v>ok</v>
      </c>
      <c r="I1411" s="13" t="s">
        <v>276</v>
      </c>
      <c r="J1411" s="22" t="e">
        <f>VLOOKUP(Table2[[#This Row], [Author]],People!A:B,2,0)</f>
        <v>#N/A</v>
      </c>
      <c r="K1411" s="13"/>
      <c r="L1411" s="13"/>
      <c r="M1411" s="23" t="s">
        <v>1613</v>
      </c>
    </row>
    <row r="1412" spans="1:13" ht="19.5" customHeight="1">
      <c r="A1412" s="18">
        <f t="shared" si="22"/>
        <v>1411</v>
      </c>
      <c r="B1412" s="11" t="s">
        <v>8</v>
      </c>
      <c r="C1412" s="11" t="s">
        <v>68</v>
      </c>
      <c r="D1412" s="11" t="s">
        <v>2951</v>
      </c>
      <c r="E1412" s="11" t="s">
        <v>2952</v>
      </c>
      <c r="F1412" s="11" t="s">
        <v>2048</v>
      </c>
      <c r="G1412" s="11" t="s">
        <v>16</v>
      </c>
      <c r="H1412" s="19" t="str">
        <f>IFERROR(VLOOKUP(Table2[[#This Row], [Ticket]],Okey!A:B,2,0),"")</f>
        <v>ok</v>
      </c>
      <c r="I1412" s="11" t="s">
        <v>276</v>
      </c>
      <c r="J1412" s="19" t="e">
        <f>VLOOKUP(Table2[[#This Row], [Author]],People!A:B,2,0)</f>
        <v>#N/A</v>
      </c>
      <c r="K1412" s="11"/>
      <c r="L1412" s="11"/>
      <c r="M1412" s="20" t="s">
        <v>1613</v>
      </c>
    </row>
    <row r="1413" spans="1:13" ht="19.5" customHeight="1">
      <c r="A1413" s="21">
        <f t="shared" si="22"/>
        <v>1412</v>
      </c>
      <c r="B1413" s="13" t="s">
        <v>8</v>
      </c>
      <c r="C1413" s="13" t="s">
        <v>68</v>
      </c>
      <c r="D1413" s="13" t="s">
        <v>2953</v>
      </c>
      <c r="E1413" s="13" t="s">
        <v>2954</v>
      </c>
      <c r="F1413" s="13" t="s">
        <v>2649</v>
      </c>
      <c r="G1413" s="13" t="s">
        <v>16</v>
      </c>
      <c r="H1413" s="22" t="str">
        <f>IFERROR(VLOOKUP(Table2[[#This Row], [Ticket]],Okey!A:B,2,0),"")</f>
        <v>ok</v>
      </c>
      <c r="I1413" s="13" t="s">
        <v>276</v>
      </c>
      <c r="J1413" s="22" t="e">
        <f>VLOOKUP(Table2[[#This Row], [Author]],People!A:B,2,0)</f>
        <v>#N/A</v>
      </c>
      <c r="K1413" s="13"/>
      <c r="L1413" s="13"/>
      <c r="M1413" s="23" t="s">
        <v>1613</v>
      </c>
    </row>
    <row r="1414" spans="1:13" ht="19.5" customHeight="1">
      <c r="A1414" s="18">
        <f t="shared" si="22"/>
        <v>1413</v>
      </c>
      <c r="B1414" s="11" t="s">
        <v>8</v>
      </c>
      <c r="C1414" s="11" t="s">
        <v>68</v>
      </c>
      <c r="D1414" s="11" t="s">
        <v>2955</v>
      </c>
      <c r="E1414" s="11" t="s">
        <v>2956</v>
      </c>
      <c r="F1414" s="11" t="s">
        <v>2649</v>
      </c>
      <c r="G1414" s="11" t="s">
        <v>16</v>
      </c>
      <c r="H1414" s="19" t="str">
        <f>IFERROR(VLOOKUP(Table2[[#This Row], [Ticket]],Okey!A:B,2,0),"")</f>
        <v>ok</v>
      </c>
      <c r="I1414" s="11" t="s">
        <v>276</v>
      </c>
      <c r="J1414" s="19" t="e">
        <f>VLOOKUP(Table2[[#This Row], [Author]],People!A:B,2,0)</f>
        <v>#N/A</v>
      </c>
      <c r="K1414" s="11"/>
      <c r="L1414" s="11"/>
      <c r="M1414" s="20" t="s">
        <v>1613</v>
      </c>
    </row>
    <row r="1415" spans="1:13" ht="19.5" customHeight="1">
      <c r="A1415" s="21">
        <f t="shared" si="22"/>
        <v>1414</v>
      </c>
      <c r="B1415" s="13" t="s">
        <v>8</v>
      </c>
      <c r="C1415" s="13" t="s">
        <v>68</v>
      </c>
      <c r="D1415" s="13" t="s">
        <v>2957</v>
      </c>
      <c r="E1415" s="13" t="s">
        <v>2958</v>
      </c>
      <c r="F1415" s="13" t="s">
        <v>2649</v>
      </c>
      <c r="G1415" s="13" t="s">
        <v>16</v>
      </c>
      <c r="H1415" s="22" t="str">
        <f>IFERROR(VLOOKUP(Table2[[#This Row], [Ticket]],Okey!A:B,2,0),"")</f>
        <v>ok</v>
      </c>
      <c r="I1415" s="13" t="s">
        <v>276</v>
      </c>
      <c r="J1415" s="22" t="str">
        <f>VLOOKUP(Table2[[#This Row], [Author]],People!A:B,2,0)</f>
        <v>MGF</v>
      </c>
      <c r="K1415" s="13"/>
      <c r="L1415" s="13"/>
      <c r="M1415" s="23" t="s">
        <v>1613</v>
      </c>
    </row>
    <row r="1416" spans="1:13" ht="19.5" customHeight="1">
      <c r="A1416" s="18">
        <f t="shared" si="22"/>
        <v>1415</v>
      </c>
      <c r="B1416" s="11" t="s">
        <v>8</v>
      </c>
      <c r="C1416" s="11" t="s">
        <v>68</v>
      </c>
      <c r="D1416" s="11" t="s">
        <v>2959</v>
      </c>
      <c r="E1416" s="11" t="s">
        <v>2960</v>
      </c>
      <c r="F1416" s="11" t="s">
        <v>2649</v>
      </c>
      <c r="G1416" s="11" t="s">
        <v>16</v>
      </c>
      <c r="H1416" s="19" t="str">
        <f>IFERROR(VLOOKUP(Table2[[#This Row], [Ticket]],Okey!A:B,2,0),"")</f>
        <v>ok</v>
      </c>
      <c r="I1416" s="11" t="s">
        <v>276</v>
      </c>
      <c r="J1416" s="19" t="str">
        <f>VLOOKUP(Table2[[#This Row], [Author]],People!A:B,2,0)</f>
        <v>HC</v>
      </c>
      <c r="K1416" s="11"/>
      <c r="L1416" s="11"/>
      <c r="M1416" s="20" t="s">
        <v>1613</v>
      </c>
    </row>
    <row r="1417" spans="1:13" ht="19.5" customHeight="1">
      <c r="A1417" s="21">
        <f t="shared" si="22"/>
        <v>1416</v>
      </c>
      <c r="B1417" s="13" t="s">
        <v>8</v>
      </c>
      <c r="C1417" s="13" t="s">
        <v>68</v>
      </c>
      <c r="D1417" s="13" t="s">
        <v>2961</v>
      </c>
      <c r="E1417" s="13" t="s">
        <v>2962</v>
      </c>
      <c r="F1417" s="13" t="s">
        <v>2649</v>
      </c>
      <c r="G1417" s="13" t="s">
        <v>16</v>
      </c>
      <c r="H1417" s="22" t="str">
        <f>IFERROR(VLOOKUP(Table2[[#This Row], [Ticket]],Okey!A:B,2,0),"")</f>
        <v>ok</v>
      </c>
      <c r="I1417" s="13" t="s">
        <v>276</v>
      </c>
      <c r="J1417" s="22" t="e">
        <f>VLOOKUP(Table2[[#This Row], [Author]],People!A:B,2,0)</f>
        <v>#N/A</v>
      </c>
      <c r="K1417" s="13"/>
      <c r="L1417" s="13"/>
      <c r="M1417" s="23" t="s">
        <v>1613</v>
      </c>
    </row>
    <row r="1418" spans="1:13" ht="19.5" customHeight="1">
      <c r="A1418" s="18">
        <f t="shared" si="22"/>
        <v>1417</v>
      </c>
      <c r="B1418" s="11" t="s">
        <v>8</v>
      </c>
      <c r="C1418" s="11" t="s">
        <v>68</v>
      </c>
      <c r="D1418" s="11" t="s">
        <v>2963</v>
      </c>
      <c r="E1418" s="11" t="s">
        <v>2964</v>
      </c>
      <c r="F1418" s="11" t="s">
        <v>2649</v>
      </c>
      <c r="G1418" s="11" t="s">
        <v>16</v>
      </c>
      <c r="H1418" s="19" t="str">
        <f>IFERROR(VLOOKUP(Table2[[#This Row], [Ticket]],Okey!A:B,2,0),"")</f>
        <v>ok</v>
      </c>
      <c r="I1418" s="11" t="s">
        <v>276</v>
      </c>
      <c r="J1418" s="19" t="e">
        <f>VLOOKUP(Table2[[#This Row], [Author]],People!A:B,2,0)</f>
        <v>#N/A</v>
      </c>
      <c r="K1418" s="11"/>
      <c r="L1418" s="11"/>
      <c r="M1418" s="20" t="s">
        <v>1613</v>
      </c>
    </row>
    <row r="1419" spans="1:13" ht="19.5" customHeight="1">
      <c r="A1419" s="21">
        <f t="shared" si="22"/>
        <v>1418</v>
      </c>
      <c r="B1419" s="13" t="s">
        <v>8</v>
      </c>
      <c r="C1419" s="13" t="s">
        <v>68</v>
      </c>
      <c r="D1419" s="13" t="s">
        <v>2965</v>
      </c>
      <c r="E1419" s="13" t="s">
        <v>2966</v>
      </c>
      <c r="F1419" s="13" t="s">
        <v>2649</v>
      </c>
      <c r="G1419" s="13" t="s">
        <v>16</v>
      </c>
      <c r="H1419" s="22" t="str">
        <f>IFERROR(VLOOKUP(Table2[[#This Row], [Ticket]],Okey!A:B,2,0),"")</f>
        <v>ok</v>
      </c>
      <c r="I1419" s="13" t="s">
        <v>276</v>
      </c>
      <c r="J1419" s="22" t="e">
        <f>VLOOKUP(Table2[[#This Row], [Author]],People!A:B,2,0)</f>
        <v>#N/A</v>
      </c>
      <c r="K1419" s="13"/>
      <c r="L1419" s="13"/>
      <c r="M1419" s="23" t="s">
        <v>1613</v>
      </c>
    </row>
    <row r="1420" spans="1:13" ht="19.5" customHeight="1">
      <c r="A1420" s="18">
        <f t="shared" si="22"/>
        <v>1419</v>
      </c>
      <c r="B1420" s="11" t="s">
        <v>8</v>
      </c>
      <c r="C1420" s="11" t="s">
        <v>68</v>
      </c>
      <c r="D1420" s="11" t="s">
        <v>2967</v>
      </c>
      <c r="E1420" s="11" t="s">
        <v>2968</v>
      </c>
      <c r="F1420" s="11" t="s">
        <v>2649</v>
      </c>
      <c r="G1420" s="11" t="s">
        <v>16</v>
      </c>
      <c r="H1420" s="19" t="str">
        <f>IFERROR(VLOOKUP(Table2[[#This Row], [Ticket]],Okey!A:B,2,0),"")</f>
        <v>ok</v>
      </c>
      <c r="I1420" s="11" t="s">
        <v>276</v>
      </c>
      <c r="J1420" s="19" t="e">
        <f>VLOOKUP(Table2[[#This Row], [Author]],People!A:B,2,0)</f>
        <v>#N/A</v>
      </c>
      <c r="K1420" s="11"/>
      <c r="L1420" s="11"/>
      <c r="M1420" s="20" t="s">
        <v>1613</v>
      </c>
    </row>
    <row r="1421" spans="1:13" ht="19.5" customHeight="1">
      <c r="A1421" s="21">
        <f t="shared" si="22"/>
        <v>1420</v>
      </c>
      <c r="B1421" s="13" t="s">
        <v>8</v>
      </c>
      <c r="C1421" s="13" t="s">
        <v>68</v>
      </c>
      <c r="D1421" s="13" t="s">
        <v>2068</v>
      </c>
      <c r="E1421" s="13" t="s">
        <v>2969</v>
      </c>
      <c r="F1421" s="13" t="s">
        <v>2048</v>
      </c>
      <c r="G1421" s="13" t="s">
        <v>16</v>
      </c>
      <c r="H1421" s="22" t="str">
        <f>IFERROR(VLOOKUP(Table2[[#This Row], [Ticket]],Okey!A:B,2,0),"")</f>
        <v>ok</v>
      </c>
      <c r="I1421" s="13" t="s">
        <v>276</v>
      </c>
      <c r="J1421" s="22" t="e">
        <f>VLOOKUP(Table2[[#This Row], [Author]],People!A:B,2,0)</f>
        <v>#N/A</v>
      </c>
      <c r="K1421" s="13"/>
      <c r="L1421" s="13"/>
      <c r="M1421" s="23" t="s">
        <v>1613</v>
      </c>
    </row>
    <row r="1422" spans="1:13" ht="19.5" customHeight="1">
      <c r="A1422" s="18">
        <f t="shared" si="22"/>
        <v>1421</v>
      </c>
      <c r="B1422" s="11" t="s">
        <v>8</v>
      </c>
      <c r="C1422" s="11" t="s">
        <v>68</v>
      </c>
      <c r="D1422" s="11" t="s">
        <v>2970</v>
      </c>
      <c r="E1422" s="11" t="s">
        <v>2971</v>
      </c>
      <c r="F1422" s="11" t="s">
        <v>2068</v>
      </c>
      <c r="G1422" s="11" t="s">
        <v>16</v>
      </c>
      <c r="H1422" s="19" t="str">
        <f>IFERROR(VLOOKUP(Table2[[#This Row], [Ticket]],Okey!A:B,2,0),"")</f>
        <v>ok</v>
      </c>
      <c r="I1422" s="11" t="s">
        <v>276</v>
      </c>
      <c r="J1422" s="19" t="e">
        <f>VLOOKUP(Table2[[#This Row], [Author]],People!A:B,2,0)</f>
        <v>#N/A</v>
      </c>
      <c r="K1422" s="11"/>
      <c r="L1422" s="11"/>
      <c r="M1422" s="20" t="s">
        <v>1613</v>
      </c>
    </row>
    <row r="1423" spans="1:13" ht="19.5" customHeight="1">
      <c r="A1423" s="21">
        <f t="shared" si="22"/>
        <v>1422</v>
      </c>
      <c r="B1423" s="13" t="s">
        <v>8</v>
      </c>
      <c r="C1423" s="13" t="s">
        <v>68</v>
      </c>
      <c r="D1423" s="13" t="s">
        <v>2071</v>
      </c>
      <c r="E1423" s="13" t="s">
        <v>2972</v>
      </c>
      <c r="F1423" s="13" t="s">
        <v>2048</v>
      </c>
      <c r="G1423" s="13" t="s">
        <v>16</v>
      </c>
      <c r="H1423" s="22" t="str">
        <f>IFERROR(VLOOKUP(Table2[[#This Row], [Ticket]],Okey!A:B,2,0),"")</f>
        <v>ok</v>
      </c>
      <c r="I1423" s="13" t="s">
        <v>276</v>
      </c>
      <c r="J1423" s="22" t="e">
        <f>VLOOKUP(Table2[[#This Row], [Author]],People!A:B,2,0)</f>
        <v>#N/A</v>
      </c>
      <c r="K1423" s="13"/>
      <c r="L1423" s="13"/>
      <c r="M1423" s="23" t="s">
        <v>1613</v>
      </c>
    </row>
    <row r="1424" spans="1:13" ht="19.5" customHeight="1">
      <c r="A1424" s="18">
        <f t="shared" si="22"/>
        <v>1423</v>
      </c>
      <c r="B1424" s="11" t="s">
        <v>8</v>
      </c>
      <c r="C1424" s="11" t="s">
        <v>68</v>
      </c>
      <c r="D1424" s="11" t="s">
        <v>2973</v>
      </c>
      <c r="E1424" s="11" t="s">
        <v>2974</v>
      </c>
      <c r="F1424" s="11" t="s">
        <v>2069</v>
      </c>
      <c r="G1424" s="11" t="s">
        <v>16</v>
      </c>
      <c r="H1424" s="19" t="str">
        <f>IFERROR(VLOOKUP(Table2[[#This Row], [Ticket]],Okey!A:B,2,0),"")</f>
        <v>ok</v>
      </c>
      <c r="I1424" s="11" t="s">
        <v>276</v>
      </c>
      <c r="J1424" s="19" t="e">
        <f>VLOOKUP(Table2[[#This Row], [Author]],People!A:B,2,0)</f>
        <v>#N/A</v>
      </c>
      <c r="K1424" s="11"/>
      <c r="L1424" s="11"/>
      <c r="M1424" s="20" t="s">
        <v>1613</v>
      </c>
    </row>
    <row r="1425" spans="1:13" ht="19.5" customHeight="1">
      <c r="A1425" s="21">
        <f t="shared" si="22"/>
        <v>1424</v>
      </c>
      <c r="B1425" s="13" t="s">
        <v>8</v>
      </c>
      <c r="C1425" s="13" t="s">
        <v>68</v>
      </c>
      <c r="D1425" s="13" t="s">
        <v>2975</v>
      </c>
      <c r="E1425" s="13" t="s">
        <v>2976</v>
      </c>
      <c r="F1425" s="13" t="s">
        <v>2069</v>
      </c>
      <c r="G1425" s="13" t="s">
        <v>16</v>
      </c>
      <c r="H1425" s="22" t="str">
        <f>IFERROR(VLOOKUP(Table2[[#This Row], [Ticket]],Okey!A:B,2,0),"")</f>
        <v>ok</v>
      </c>
      <c r="I1425" s="13" t="s">
        <v>276</v>
      </c>
      <c r="J1425" s="22" t="e">
        <f>VLOOKUP(Table2[[#This Row], [Author]],People!A:B,2,0)</f>
        <v>#N/A</v>
      </c>
      <c r="K1425" s="13"/>
      <c r="L1425" s="13"/>
      <c r="M1425" s="23" t="s">
        <v>1613</v>
      </c>
    </row>
    <row r="1426" spans="1:13" ht="19.5" customHeight="1">
      <c r="A1426" s="18">
        <f t="shared" si="22"/>
        <v>1425</v>
      </c>
      <c r="B1426" s="11" t="s">
        <v>8</v>
      </c>
      <c r="C1426" s="11" t="s">
        <v>68</v>
      </c>
      <c r="D1426" s="11" t="s">
        <v>2977</v>
      </c>
      <c r="E1426" s="11" t="s">
        <v>2978</v>
      </c>
      <c r="F1426" s="11" t="s">
        <v>2069</v>
      </c>
      <c r="G1426" s="11" t="s">
        <v>16</v>
      </c>
      <c r="H1426" s="19" t="str">
        <f>IFERROR(VLOOKUP(Table2[[#This Row], [Ticket]],Okey!A:B,2,0),"")</f>
        <v>ok</v>
      </c>
      <c r="I1426" s="11" t="s">
        <v>276</v>
      </c>
      <c r="J1426" s="19" t="e">
        <f>VLOOKUP(Table2[[#This Row], [Author]],People!A:B,2,0)</f>
        <v>#N/A</v>
      </c>
      <c r="K1426" s="11"/>
      <c r="L1426" s="11"/>
      <c r="M1426" s="20" t="s">
        <v>1613</v>
      </c>
    </row>
    <row r="1427" spans="1:13" ht="19.5" customHeight="1">
      <c r="A1427" s="21">
        <f t="shared" si="22"/>
        <v>1426</v>
      </c>
      <c r="B1427" s="13" t="s">
        <v>8</v>
      </c>
      <c r="C1427" s="13" t="s">
        <v>68</v>
      </c>
      <c r="D1427" s="13" t="s">
        <v>2979</v>
      </c>
      <c r="E1427" s="13" t="s">
        <v>2980</v>
      </c>
      <c r="F1427" s="13" t="s">
        <v>2069</v>
      </c>
      <c r="G1427" s="13" t="s">
        <v>16</v>
      </c>
      <c r="H1427" s="22" t="str">
        <f>IFERROR(VLOOKUP(Table2[[#This Row], [Ticket]],Okey!A:B,2,0),"")</f>
        <v>ok</v>
      </c>
      <c r="I1427" s="13" t="s">
        <v>276</v>
      </c>
      <c r="J1427" s="22" t="e">
        <f>VLOOKUP(Table2[[#This Row], [Author]],People!A:B,2,0)</f>
        <v>#N/A</v>
      </c>
      <c r="K1427" s="13"/>
      <c r="L1427" s="13"/>
      <c r="M1427" s="23" t="s">
        <v>1613</v>
      </c>
    </row>
    <row r="1428" spans="1:13" ht="19.5" customHeight="1">
      <c r="A1428" s="18">
        <f t="shared" si="22"/>
        <v>1427</v>
      </c>
      <c r="B1428" s="11" t="s">
        <v>8</v>
      </c>
      <c r="C1428" s="11" t="s">
        <v>68</v>
      </c>
      <c r="D1428" s="11" t="s">
        <v>2981</v>
      </c>
      <c r="E1428" s="11" t="s">
        <v>2982</v>
      </c>
      <c r="F1428" s="11" t="s">
        <v>2069</v>
      </c>
      <c r="G1428" s="11" t="s">
        <v>16</v>
      </c>
      <c r="H1428" s="19" t="str">
        <f>IFERROR(VLOOKUP(Table2[[#This Row], [Ticket]],Okey!A:B,2,0),"")</f>
        <v>ok</v>
      </c>
      <c r="I1428" s="11" t="s">
        <v>276</v>
      </c>
      <c r="J1428" s="19" t="str">
        <f>VLOOKUP(Table2[[#This Row], [Author]],People!A:B,2,0)</f>
        <v>MGF</v>
      </c>
      <c r="K1428" s="11"/>
      <c r="L1428" s="11"/>
      <c r="M1428" s="20" t="s">
        <v>1613</v>
      </c>
    </row>
    <row r="1429" spans="1:13" ht="19.5" customHeight="1">
      <c r="A1429" s="21">
        <f t="shared" si="22"/>
        <v>1428</v>
      </c>
      <c r="B1429" s="13" t="s">
        <v>8</v>
      </c>
      <c r="C1429" s="13" t="s">
        <v>68</v>
      </c>
      <c r="D1429" s="13" t="s">
        <v>2983</v>
      </c>
      <c r="E1429" s="13" t="s">
        <v>2984</v>
      </c>
      <c r="F1429" s="13" t="s">
        <v>2069</v>
      </c>
      <c r="G1429" s="13" t="s">
        <v>16</v>
      </c>
      <c r="H1429" s="22" t="str">
        <f>IFERROR(VLOOKUP(Table2[[#This Row], [Ticket]],Okey!A:B,2,0),"")</f>
        <v>ok</v>
      </c>
      <c r="I1429" s="13" t="s">
        <v>276</v>
      </c>
      <c r="J1429" s="22" t="e">
        <f>VLOOKUP(Table2[[#This Row], [Author]],People!A:B,2,0)</f>
        <v>#N/A</v>
      </c>
      <c r="K1429" s="13"/>
      <c r="L1429" s="13"/>
      <c r="M1429" s="23" t="s">
        <v>1613</v>
      </c>
    </row>
    <row r="1430" spans="1:13" ht="19.5" customHeight="1">
      <c r="A1430" s="18">
        <f t="shared" si="22"/>
        <v>1429</v>
      </c>
      <c r="B1430" s="11" t="s">
        <v>8</v>
      </c>
      <c r="C1430" s="11" t="s">
        <v>68</v>
      </c>
      <c r="D1430" s="11" t="s">
        <v>2985</v>
      </c>
      <c r="E1430" s="11" t="s">
        <v>2986</v>
      </c>
      <c r="F1430" s="11" t="s">
        <v>2069</v>
      </c>
      <c r="G1430" s="11" t="s">
        <v>16</v>
      </c>
      <c r="H1430" s="19" t="str">
        <f>IFERROR(VLOOKUP(Table2[[#This Row], [Ticket]],Okey!A:B,2,0),"")</f>
        <v>ok</v>
      </c>
      <c r="I1430" s="11" t="s">
        <v>276</v>
      </c>
      <c r="J1430" s="19" t="e">
        <f>VLOOKUP(Table2[[#This Row], [Author]],People!A:B,2,0)</f>
        <v>#N/A</v>
      </c>
      <c r="K1430" s="11"/>
      <c r="L1430" s="11"/>
      <c r="M1430" s="20" t="s">
        <v>1613</v>
      </c>
    </row>
    <row r="1431" spans="1:13" ht="19.5" customHeight="1">
      <c r="A1431" s="21">
        <f t="shared" si="22"/>
        <v>1430</v>
      </c>
      <c r="B1431" s="13" t="s">
        <v>8</v>
      </c>
      <c r="C1431" s="13" t="s">
        <v>68</v>
      </c>
      <c r="D1431" s="13" t="s">
        <v>2987</v>
      </c>
      <c r="E1431" s="13" t="s">
        <v>2988</v>
      </c>
      <c r="F1431" s="13" t="s">
        <v>2069</v>
      </c>
      <c r="G1431" s="13" t="s">
        <v>16</v>
      </c>
      <c r="H1431" s="22" t="str">
        <f>IFERROR(VLOOKUP(Table2[[#This Row], [Ticket]],Okey!A:B,2,0),"")</f>
        <v>ok</v>
      </c>
      <c r="I1431" s="13" t="s">
        <v>276</v>
      </c>
      <c r="J1431" s="22" t="e">
        <f>VLOOKUP(Table2[[#This Row], [Author]],People!A:B,2,0)</f>
        <v>#N/A</v>
      </c>
      <c r="K1431" s="13"/>
      <c r="L1431" s="13"/>
      <c r="M1431" s="23" t="s">
        <v>1613</v>
      </c>
    </row>
    <row r="1432" spans="1:13" ht="19.5" customHeight="1">
      <c r="A1432" s="18">
        <f t="shared" si="22"/>
        <v>1431</v>
      </c>
      <c r="B1432" s="11" t="s">
        <v>8</v>
      </c>
      <c r="C1432" s="11" t="s">
        <v>68</v>
      </c>
      <c r="D1432" s="11" t="s">
        <v>2989</v>
      </c>
      <c r="E1432" s="11" t="s">
        <v>2990</v>
      </c>
      <c r="F1432" s="11" t="s">
        <v>2069</v>
      </c>
      <c r="G1432" s="11" t="s">
        <v>16</v>
      </c>
      <c r="H1432" s="19" t="str">
        <f>IFERROR(VLOOKUP(Table2[[#This Row], [Ticket]],Okey!A:B,2,0),"")</f>
        <v>ok</v>
      </c>
      <c r="I1432" s="11" t="s">
        <v>276</v>
      </c>
      <c r="J1432" s="19" t="e">
        <f>VLOOKUP(Table2[[#This Row], [Author]],People!A:B,2,0)</f>
        <v>#N/A</v>
      </c>
      <c r="K1432" s="11"/>
      <c r="L1432" s="11"/>
      <c r="M1432" s="20" t="s">
        <v>1613</v>
      </c>
    </row>
    <row r="1433" spans="1:13" ht="19.5" customHeight="1">
      <c r="A1433" s="21">
        <f t="shared" si="22"/>
        <v>1432</v>
      </c>
      <c r="B1433" s="13" t="s">
        <v>8</v>
      </c>
      <c r="C1433" s="13" t="s">
        <v>68</v>
      </c>
      <c r="D1433" s="13" t="s">
        <v>2991</v>
      </c>
      <c r="E1433" s="13" t="s">
        <v>2992</v>
      </c>
      <c r="F1433" s="13" t="s">
        <v>2069</v>
      </c>
      <c r="G1433" s="13" t="s">
        <v>16</v>
      </c>
      <c r="H1433" s="22" t="str">
        <f>IFERROR(VLOOKUP(Table2[[#This Row], [Ticket]],Okey!A:B,2,0),"")</f>
        <v>ok</v>
      </c>
      <c r="I1433" s="13" t="s">
        <v>276</v>
      </c>
      <c r="J1433" s="22" t="e">
        <f>VLOOKUP(Table2[[#This Row], [Author]],People!A:B,2,0)</f>
        <v>#N/A</v>
      </c>
      <c r="K1433" s="13"/>
      <c r="L1433" s="13"/>
      <c r="M1433" s="23" t="s">
        <v>1613</v>
      </c>
    </row>
    <row r="1434" spans="1:13" ht="19.5" customHeight="1">
      <c r="A1434" s="18">
        <f t="shared" si="22"/>
        <v>1433</v>
      </c>
      <c r="B1434" s="11" t="s">
        <v>8</v>
      </c>
      <c r="C1434" s="11" t="s">
        <v>68</v>
      </c>
      <c r="D1434" s="11" t="s">
        <v>2993</v>
      </c>
      <c r="E1434" s="11" t="s">
        <v>2994</v>
      </c>
      <c r="F1434" s="11" t="s">
        <v>2995</v>
      </c>
      <c r="G1434" s="11" t="s">
        <v>16</v>
      </c>
      <c r="H1434" s="19" t="str">
        <f>IFERROR(VLOOKUP(Table2[[#This Row], [Ticket]],Okey!A:B,2,0),"")</f>
        <v>ok</v>
      </c>
      <c r="I1434" s="11" t="s">
        <v>276</v>
      </c>
      <c r="J1434" s="19" t="e">
        <f>VLOOKUP(Table2[[#This Row], [Author]],People!A:B,2,0)</f>
        <v>#N/A</v>
      </c>
      <c r="K1434" s="11"/>
      <c r="L1434" s="11"/>
      <c r="M1434" s="20" t="s">
        <v>1613</v>
      </c>
    </row>
    <row r="1435" spans="1:13" ht="19.5" customHeight="1">
      <c r="A1435" s="21">
        <f t="shared" si="22"/>
        <v>1434</v>
      </c>
      <c r="B1435" s="13" t="s">
        <v>8</v>
      </c>
      <c r="C1435" s="13" t="s">
        <v>68</v>
      </c>
      <c r="D1435" s="13" t="s">
        <v>2076</v>
      </c>
      <c r="E1435" s="13" t="s">
        <v>2996</v>
      </c>
      <c r="F1435" s="13" t="s">
        <v>1622</v>
      </c>
      <c r="G1435" s="13" t="s">
        <v>16</v>
      </c>
      <c r="H1435" s="22" t="str">
        <f>IFERROR(VLOOKUP(Table2[[#This Row], [Ticket]],Okey!A:B,2,0),"")</f>
        <v>ok</v>
      </c>
      <c r="I1435" s="13" t="s">
        <v>276</v>
      </c>
      <c r="J1435" s="22" t="e">
        <f>VLOOKUP(Table2[[#This Row], [Author]],People!A:B,2,0)</f>
        <v>#N/A</v>
      </c>
      <c r="K1435" s="13"/>
      <c r="L1435" s="13"/>
      <c r="M1435" s="23" t="s">
        <v>1613</v>
      </c>
    </row>
    <row r="1436" spans="1:13" ht="19.5" customHeight="1">
      <c r="A1436" s="18">
        <f t="shared" si="22"/>
        <v>1435</v>
      </c>
      <c r="B1436" s="11" t="s">
        <v>8</v>
      </c>
      <c r="C1436" s="11" t="s">
        <v>68</v>
      </c>
      <c r="D1436" s="11" t="s">
        <v>2100</v>
      </c>
      <c r="E1436" s="11" t="s">
        <v>2997</v>
      </c>
      <c r="F1436" s="11" t="s">
        <v>2088</v>
      </c>
      <c r="G1436" s="11" t="s">
        <v>16</v>
      </c>
      <c r="H1436" s="19" t="str">
        <f>IFERROR(VLOOKUP(Table2[[#This Row], [Ticket]],Okey!A:B,2,0),"")</f>
        <v>ok</v>
      </c>
      <c r="I1436" s="11" t="s">
        <v>276</v>
      </c>
      <c r="J1436" s="19" t="e">
        <f>VLOOKUP(Table2[[#This Row], [Author]],People!A:B,2,0)</f>
        <v>#N/A</v>
      </c>
      <c r="K1436" s="11"/>
      <c r="L1436" s="11"/>
      <c r="M1436" s="20" t="s">
        <v>1613</v>
      </c>
    </row>
    <row r="1437" spans="1:13" ht="19.5" customHeight="1">
      <c r="A1437" s="21">
        <f t="shared" si="22"/>
        <v>1436</v>
      </c>
      <c r="B1437" s="13" t="s">
        <v>8</v>
      </c>
      <c r="C1437" s="13" t="s">
        <v>68</v>
      </c>
      <c r="D1437" s="13" t="s">
        <v>2998</v>
      </c>
      <c r="E1437" s="13" t="s">
        <v>2999</v>
      </c>
      <c r="F1437" s="13" t="s">
        <v>2098</v>
      </c>
      <c r="G1437" s="13" t="s">
        <v>16</v>
      </c>
      <c r="H1437" s="22" t="str">
        <f>IFERROR(VLOOKUP(Table2[[#This Row], [Ticket]],Okey!A:B,2,0),"")</f>
        <v>ok</v>
      </c>
      <c r="I1437" s="13" t="s">
        <v>276</v>
      </c>
      <c r="J1437" s="22" t="e">
        <f>VLOOKUP(Table2[[#This Row], [Author]],People!A:B,2,0)</f>
        <v>#N/A</v>
      </c>
      <c r="K1437" s="13"/>
      <c r="L1437" s="13"/>
      <c r="M1437" s="23" t="s">
        <v>1613</v>
      </c>
    </row>
    <row r="1438" spans="1:13" ht="19.5" customHeight="1">
      <c r="A1438" s="18">
        <f t="shared" si="22"/>
        <v>1437</v>
      </c>
      <c r="B1438" s="11" t="s">
        <v>8</v>
      </c>
      <c r="C1438" s="11" t="s">
        <v>68</v>
      </c>
      <c r="D1438" s="11" t="s">
        <v>3000</v>
      </c>
      <c r="E1438" s="11" t="s">
        <v>3001</v>
      </c>
      <c r="F1438" s="11" t="s">
        <v>2098</v>
      </c>
      <c r="G1438" s="11" t="s">
        <v>16</v>
      </c>
      <c r="H1438" s="19" t="str">
        <f>IFERROR(VLOOKUP(Table2[[#This Row], [Ticket]],Okey!A:B,2,0),"")</f>
        <v>ok</v>
      </c>
      <c r="I1438" s="11" t="s">
        <v>276</v>
      </c>
      <c r="J1438" s="19" t="e">
        <f>VLOOKUP(Table2[[#This Row], [Author]],People!A:B,2,0)</f>
        <v>#N/A</v>
      </c>
      <c r="K1438" s="11"/>
      <c r="L1438" s="11"/>
      <c r="M1438" s="20" t="s">
        <v>1613</v>
      </c>
    </row>
    <row r="1439" spans="1:13" ht="19.5" customHeight="1">
      <c r="A1439" s="21">
        <f t="shared" si="22"/>
        <v>1438</v>
      </c>
      <c r="B1439" s="13" t="s">
        <v>8</v>
      </c>
      <c r="C1439" s="13" t="s">
        <v>68</v>
      </c>
      <c r="D1439" s="13" t="s">
        <v>3002</v>
      </c>
      <c r="E1439" s="13" t="s">
        <v>3003</v>
      </c>
      <c r="F1439" s="13" t="s">
        <v>2098</v>
      </c>
      <c r="G1439" s="13" t="s">
        <v>16</v>
      </c>
      <c r="H1439" s="22" t="str">
        <f>IFERROR(VLOOKUP(Table2[[#This Row], [Ticket]],Okey!A:B,2,0),"")</f>
        <v>ok</v>
      </c>
      <c r="I1439" s="13" t="s">
        <v>276</v>
      </c>
      <c r="J1439" s="22" t="e">
        <f>VLOOKUP(Table2[[#This Row], [Author]],People!A:B,2,0)</f>
        <v>#N/A</v>
      </c>
      <c r="K1439" s="13"/>
      <c r="L1439" s="13"/>
      <c r="M1439" s="23" t="s">
        <v>1613</v>
      </c>
    </row>
    <row r="1440" spans="1:13" ht="19.5" customHeight="1">
      <c r="A1440" s="18">
        <f t="shared" si="22"/>
        <v>1439</v>
      </c>
      <c r="B1440" s="11" t="s">
        <v>8</v>
      </c>
      <c r="C1440" s="11" t="s">
        <v>68</v>
      </c>
      <c r="D1440" s="11" t="s">
        <v>3004</v>
      </c>
      <c r="E1440" s="11" t="s">
        <v>3005</v>
      </c>
      <c r="F1440" s="11" t="s">
        <v>2098</v>
      </c>
      <c r="G1440" s="11" t="s">
        <v>16</v>
      </c>
      <c r="H1440" s="19" t="str">
        <f>IFERROR(VLOOKUP(Table2[[#This Row], [Ticket]],Okey!A:B,2,0),"")</f>
        <v>ok</v>
      </c>
      <c r="I1440" s="11" t="s">
        <v>276</v>
      </c>
      <c r="J1440" s="19" t="e">
        <f>VLOOKUP(Table2[[#This Row], [Author]],People!A:B,2,0)</f>
        <v>#N/A</v>
      </c>
      <c r="K1440" s="11"/>
      <c r="L1440" s="11"/>
      <c r="M1440" s="20" t="s">
        <v>1613</v>
      </c>
    </row>
    <row r="1441" spans="1:13" ht="19.5" customHeight="1">
      <c r="A1441" s="21">
        <f t="shared" si="22"/>
        <v>1440</v>
      </c>
      <c r="B1441" s="13" t="s">
        <v>8</v>
      </c>
      <c r="C1441" s="13" t="s">
        <v>68</v>
      </c>
      <c r="D1441" s="13" t="s">
        <v>3006</v>
      </c>
      <c r="E1441" s="13" t="s">
        <v>3007</v>
      </c>
      <c r="F1441" s="13" t="s">
        <v>2098</v>
      </c>
      <c r="G1441" s="13" t="s">
        <v>16</v>
      </c>
      <c r="H1441" s="22" t="str">
        <f>IFERROR(VLOOKUP(Table2[[#This Row], [Ticket]],Okey!A:B,2,0),"")</f>
        <v>ok</v>
      </c>
      <c r="I1441" s="13" t="s">
        <v>276</v>
      </c>
      <c r="J1441" s="22" t="e">
        <f>VLOOKUP(Table2[[#This Row], [Author]],People!A:B,2,0)</f>
        <v>#N/A</v>
      </c>
      <c r="K1441" s="13"/>
      <c r="L1441" s="13"/>
      <c r="M1441" s="23" t="s">
        <v>1613</v>
      </c>
    </row>
    <row r="1442" spans="1:13" ht="19.5" customHeight="1">
      <c r="A1442" s="18">
        <f t="shared" si="22"/>
        <v>1441</v>
      </c>
      <c r="B1442" s="11" t="s">
        <v>8</v>
      </c>
      <c r="C1442" s="11" t="s">
        <v>68</v>
      </c>
      <c r="D1442" s="11" t="s">
        <v>3008</v>
      </c>
      <c r="E1442" s="11" t="s">
        <v>3009</v>
      </c>
      <c r="F1442" s="11" t="s">
        <v>2098</v>
      </c>
      <c r="G1442" s="11" t="s">
        <v>16</v>
      </c>
      <c r="H1442" s="19" t="str">
        <f>IFERROR(VLOOKUP(Table2[[#This Row], [Ticket]],Okey!A:B,2,0),"")</f>
        <v>ok</v>
      </c>
      <c r="I1442" s="11" t="s">
        <v>276</v>
      </c>
      <c r="J1442" s="19" t="e">
        <f>VLOOKUP(Table2[[#This Row], [Author]],People!A:B,2,0)</f>
        <v>#N/A</v>
      </c>
      <c r="K1442" s="11"/>
      <c r="L1442" s="11"/>
      <c r="M1442" s="20" t="s">
        <v>1613</v>
      </c>
    </row>
    <row r="1443" spans="1:13" ht="19.5" customHeight="1">
      <c r="A1443" s="21">
        <f t="shared" si="22"/>
        <v>1442</v>
      </c>
      <c r="B1443" s="13" t="s">
        <v>8</v>
      </c>
      <c r="C1443" s="13" t="s">
        <v>68</v>
      </c>
      <c r="D1443" s="13" t="s">
        <v>3010</v>
      </c>
      <c r="E1443" s="13" t="s">
        <v>3011</v>
      </c>
      <c r="F1443" s="13" t="s">
        <v>2098</v>
      </c>
      <c r="G1443" s="13" t="s">
        <v>16</v>
      </c>
      <c r="H1443" s="22" t="str">
        <f>IFERROR(VLOOKUP(Table2[[#This Row], [Ticket]],Okey!A:B,2,0),"")</f>
        <v>ok</v>
      </c>
      <c r="I1443" s="13" t="s">
        <v>276</v>
      </c>
      <c r="J1443" s="22" t="e">
        <f>VLOOKUP(Table2[[#This Row], [Author]],People!A:B,2,0)</f>
        <v>#N/A</v>
      </c>
      <c r="K1443" s="13"/>
      <c r="L1443" s="13"/>
      <c r="M1443" s="23" t="s">
        <v>1613</v>
      </c>
    </row>
    <row r="1444" spans="1:13" ht="19.5" customHeight="1">
      <c r="A1444" s="18">
        <f t="shared" si="22"/>
        <v>1443</v>
      </c>
      <c r="B1444" s="11" t="s">
        <v>8</v>
      </c>
      <c r="C1444" s="11" t="s">
        <v>68</v>
      </c>
      <c r="D1444" s="11" t="s">
        <v>3012</v>
      </c>
      <c r="E1444" s="11" t="s">
        <v>3013</v>
      </c>
      <c r="F1444" s="11" t="s">
        <v>2098</v>
      </c>
      <c r="G1444" s="11" t="s">
        <v>16</v>
      </c>
      <c r="H1444" s="19" t="str">
        <f>IFERROR(VLOOKUP(Table2[[#This Row], [Ticket]],Okey!A:B,2,0),"")</f>
        <v>ok</v>
      </c>
      <c r="I1444" s="11" t="s">
        <v>276</v>
      </c>
      <c r="J1444" s="19" t="e">
        <f>VLOOKUP(Table2[[#This Row], [Author]],People!A:B,2,0)</f>
        <v>#N/A</v>
      </c>
      <c r="K1444" s="11"/>
      <c r="L1444" s="11"/>
      <c r="M1444" s="20" t="s">
        <v>1613</v>
      </c>
    </row>
    <row r="1445" spans="1:13" ht="19.5" customHeight="1">
      <c r="A1445" s="21">
        <f t="shared" si="22"/>
        <v>1444</v>
      </c>
      <c r="B1445" s="13" t="s">
        <v>8</v>
      </c>
      <c r="C1445" s="13" t="s">
        <v>68</v>
      </c>
      <c r="D1445" s="13" t="s">
        <v>3014</v>
      </c>
      <c r="E1445" s="13" t="s">
        <v>3015</v>
      </c>
      <c r="F1445" s="13" t="s">
        <v>2098</v>
      </c>
      <c r="G1445" s="13" t="s">
        <v>16</v>
      </c>
      <c r="H1445" s="22" t="str">
        <f>IFERROR(VLOOKUP(Table2[[#This Row], [Ticket]],Okey!A:B,2,0),"")</f>
        <v>ok</v>
      </c>
      <c r="I1445" s="13" t="s">
        <v>276</v>
      </c>
      <c r="J1445" s="22" t="e">
        <f>VLOOKUP(Table2[[#This Row], [Author]],People!A:B,2,0)</f>
        <v>#N/A</v>
      </c>
      <c r="K1445" s="13"/>
      <c r="L1445" s="13"/>
      <c r="M1445" s="23" t="s">
        <v>1613</v>
      </c>
    </row>
    <row r="1446" spans="1:13" ht="19.5" customHeight="1">
      <c r="A1446" s="18">
        <f t="shared" si="22"/>
        <v>1445</v>
      </c>
      <c r="B1446" s="11" t="s">
        <v>8</v>
      </c>
      <c r="C1446" s="11" t="s">
        <v>68</v>
      </c>
      <c r="D1446" s="11" t="s">
        <v>3016</v>
      </c>
      <c r="E1446" s="11" t="s">
        <v>3017</v>
      </c>
      <c r="F1446" s="11" t="s">
        <v>2098</v>
      </c>
      <c r="G1446" s="11" t="s">
        <v>16</v>
      </c>
      <c r="H1446" s="19" t="str">
        <f>IFERROR(VLOOKUP(Table2[[#This Row], [Ticket]],Okey!A:B,2,0),"")</f>
        <v>ok</v>
      </c>
      <c r="I1446" s="11" t="s">
        <v>276</v>
      </c>
      <c r="J1446" s="19" t="e">
        <f>VLOOKUP(Table2[[#This Row], [Author]],People!A:B,2,0)</f>
        <v>#N/A</v>
      </c>
      <c r="K1446" s="11"/>
      <c r="L1446" s="11"/>
      <c r="M1446" s="20" t="s">
        <v>1613</v>
      </c>
    </row>
    <row r="1447" spans="1:13" ht="19.5" customHeight="1">
      <c r="A1447" s="21">
        <f t="shared" si="22"/>
        <v>1446</v>
      </c>
      <c r="B1447" s="13" t="s">
        <v>8</v>
      </c>
      <c r="C1447" s="13" t="s">
        <v>68</v>
      </c>
      <c r="D1447" s="13" t="s">
        <v>2105</v>
      </c>
      <c r="E1447" s="13" t="s">
        <v>3018</v>
      </c>
      <c r="F1447" s="13" t="s">
        <v>2088</v>
      </c>
      <c r="G1447" s="13" t="s">
        <v>16</v>
      </c>
      <c r="H1447" s="22" t="str">
        <f>IFERROR(VLOOKUP(Table2[[#This Row], [Ticket]],Okey!A:B,2,0),"")</f>
        <v>ok</v>
      </c>
      <c r="I1447" s="13" t="s">
        <v>276</v>
      </c>
      <c r="J1447" s="22" t="e">
        <f>VLOOKUP(Table2[[#This Row], [Author]],People!A:B,2,0)</f>
        <v>#N/A</v>
      </c>
      <c r="K1447" s="13"/>
      <c r="L1447" s="13"/>
      <c r="M1447" s="23" t="s">
        <v>1613</v>
      </c>
    </row>
    <row r="1448" spans="1:13" ht="19.5" customHeight="1">
      <c r="A1448" s="18">
        <f t="shared" si="22"/>
        <v>1447</v>
      </c>
      <c r="B1448" s="11" t="s">
        <v>8</v>
      </c>
      <c r="C1448" s="11" t="s">
        <v>68</v>
      </c>
      <c r="D1448" s="11" t="s">
        <v>3019</v>
      </c>
      <c r="E1448" s="11" t="s">
        <v>3020</v>
      </c>
      <c r="F1448" s="11" t="s">
        <v>2103</v>
      </c>
      <c r="G1448" s="11" t="s">
        <v>16</v>
      </c>
      <c r="H1448" s="19" t="str">
        <f>IFERROR(VLOOKUP(Table2[[#This Row], [Ticket]],Okey!A:B,2,0),"")</f>
        <v>ok</v>
      </c>
      <c r="I1448" s="11" t="s">
        <v>276</v>
      </c>
      <c r="J1448" s="19" t="e">
        <f>VLOOKUP(Table2[[#This Row], [Author]],People!A:B,2,0)</f>
        <v>#N/A</v>
      </c>
      <c r="K1448" s="11"/>
      <c r="L1448" s="11"/>
      <c r="M1448" s="20" t="s">
        <v>1613</v>
      </c>
    </row>
    <row r="1449" spans="1:13" ht="19.5" customHeight="1">
      <c r="A1449" s="21">
        <f t="shared" si="22"/>
        <v>1448</v>
      </c>
      <c r="B1449" s="13" t="s">
        <v>8</v>
      </c>
      <c r="C1449" s="13" t="s">
        <v>68</v>
      </c>
      <c r="D1449" s="13" t="s">
        <v>3021</v>
      </c>
      <c r="E1449" s="13" t="s">
        <v>3022</v>
      </c>
      <c r="F1449" s="13" t="s">
        <v>2103</v>
      </c>
      <c r="G1449" s="13" t="s">
        <v>16</v>
      </c>
      <c r="H1449" s="22" t="str">
        <f>IFERROR(VLOOKUP(Table2[[#This Row], [Ticket]],Okey!A:B,2,0),"")</f>
        <v>ok</v>
      </c>
      <c r="I1449" s="13" t="s">
        <v>276</v>
      </c>
      <c r="J1449" s="22" t="e">
        <f>VLOOKUP(Table2[[#This Row], [Author]],People!A:B,2,0)</f>
        <v>#N/A</v>
      </c>
      <c r="K1449" s="13"/>
      <c r="L1449" s="13"/>
      <c r="M1449" s="23" t="s">
        <v>1613</v>
      </c>
    </row>
    <row r="1450" spans="1:13" ht="19.5" customHeight="1">
      <c r="A1450" s="18">
        <f t="shared" si="22"/>
        <v>1449</v>
      </c>
      <c r="B1450" s="11" t="s">
        <v>8</v>
      </c>
      <c r="C1450" s="11" t="s">
        <v>68</v>
      </c>
      <c r="D1450" s="11" t="s">
        <v>3023</v>
      </c>
      <c r="E1450" s="11" t="s">
        <v>3024</v>
      </c>
      <c r="F1450" s="11" t="s">
        <v>2103</v>
      </c>
      <c r="G1450" s="11" t="s">
        <v>16</v>
      </c>
      <c r="H1450" s="19" t="str">
        <f>IFERROR(VLOOKUP(Table2[[#This Row], [Ticket]],Okey!A:B,2,0),"")</f>
        <v>ok</v>
      </c>
      <c r="I1450" s="11" t="s">
        <v>276</v>
      </c>
      <c r="J1450" s="19" t="e">
        <f>VLOOKUP(Table2[[#This Row], [Author]],People!A:B,2,0)</f>
        <v>#N/A</v>
      </c>
      <c r="K1450" s="11"/>
      <c r="L1450" s="11"/>
      <c r="M1450" s="20" t="s">
        <v>1613</v>
      </c>
    </row>
    <row r="1451" spans="1:13" ht="19.5" customHeight="1">
      <c r="A1451" s="21">
        <f t="shared" si="22"/>
        <v>1450</v>
      </c>
      <c r="B1451" s="13" t="s">
        <v>8</v>
      </c>
      <c r="C1451" s="13" t="s">
        <v>68</v>
      </c>
      <c r="D1451" s="13" t="s">
        <v>3025</v>
      </c>
      <c r="E1451" s="13" t="s">
        <v>3026</v>
      </c>
      <c r="F1451" s="13" t="s">
        <v>2103</v>
      </c>
      <c r="G1451" s="13" t="s">
        <v>16</v>
      </c>
      <c r="H1451" s="22" t="str">
        <f>IFERROR(VLOOKUP(Table2[[#This Row], [Ticket]],Okey!A:B,2,0),"")</f>
        <v>ok</v>
      </c>
      <c r="I1451" s="13" t="s">
        <v>276</v>
      </c>
      <c r="J1451" s="22" t="e">
        <f>VLOOKUP(Table2[[#This Row], [Author]],People!A:B,2,0)</f>
        <v>#N/A</v>
      </c>
      <c r="K1451" s="13"/>
      <c r="L1451" s="13"/>
      <c r="M1451" s="23" t="s">
        <v>1613</v>
      </c>
    </row>
    <row r="1452" spans="1:13" ht="19.5" customHeight="1">
      <c r="A1452" s="18">
        <f t="shared" si="22"/>
        <v>1451</v>
      </c>
      <c r="B1452" s="11" t="s">
        <v>8</v>
      </c>
      <c r="C1452" s="11" t="s">
        <v>68</v>
      </c>
      <c r="D1452" s="11" t="s">
        <v>3027</v>
      </c>
      <c r="E1452" s="11" t="s">
        <v>3028</v>
      </c>
      <c r="F1452" s="11" t="s">
        <v>2103</v>
      </c>
      <c r="G1452" s="11" t="s">
        <v>16</v>
      </c>
      <c r="H1452" s="19" t="str">
        <f>IFERROR(VLOOKUP(Table2[[#This Row], [Ticket]],Okey!A:B,2,0),"")</f>
        <v>ok</v>
      </c>
      <c r="I1452" s="11" t="s">
        <v>276</v>
      </c>
      <c r="J1452" s="19" t="e">
        <f>VLOOKUP(Table2[[#This Row], [Author]],People!A:B,2,0)</f>
        <v>#N/A</v>
      </c>
      <c r="K1452" s="11"/>
      <c r="L1452" s="11"/>
      <c r="M1452" s="20" t="s">
        <v>1613</v>
      </c>
    </row>
    <row r="1453" spans="1:13" ht="19.5" customHeight="1">
      <c r="A1453" s="21">
        <f t="shared" si="22"/>
        <v>1452</v>
      </c>
      <c r="B1453" s="13" t="s">
        <v>8</v>
      </c>
      <c r="C1453" s="13" t="s">
        <v>68</v>
      </c>
      <c r="D1453" s="13" t="s">
        <v>3029</v>
      </c>
      <c r="E1453" s="13" t="s">
        <v>3030</v>
      </c>
      <c r="F1453" s="13" t="s">
        <v>2103</v>
      </c>
      <c r="G1453" s="13" t="s">
        <v>16</v>
      </c>
      <c r="H1453" s="22" t="str">
        <f>IFERROR(VLOOKUP(Table2[[#This Row], [Ticket]],Okey!A:B,2,0),"")</f>
        <v>ok</v>
      </c>
      <c r="I1453" s="13" t="s">
        <v>276</v>
      </c>
      <c r="J1453" s="22" t="e">
        <f>VLOOKUP(Table2[[#This Row], [Author]],People!A:B,2,0)</f>
        <v>#N/A</v>
      </c>
      <c r="K1453" s="13"/>
      <c r="L1453" s="13"/>
      <c r="M1453" s="23" t="s">
        <v>1613</v>
      </c>
    </row>
    <row r="1454" spans="1:13" ht="19.5" customHeight="1">
      <c r="A1454" s="18">
        <f t="shared" si="22"/>
        <v>1453</v>
      </c>
      <c r="B1454" s="11" t="s">
        <v>8</v>
      </c>
      <c r="C1454" s="11" t="s">
        <v>68</v>
      </c>
      <c r="D1454" s="11" t="s">
        <v>3031</v>
      </c>
      <c r="E1454" s="11" t="s">
        <v>3032</v>
      </c>
      <c r="F1454" s="11" t="s">
        <v>2103</v>
      </c>
      <c r="G1454" s="11" t="s">
        <v>16</v>
      </c>
      <c r="H1454" s="19" t="str">
        <f>IFERROR(VLOOKUP(Table2[[#This Row], [Ticket]],Okey!A:B,2,0),"")</f>
        <v>ok</v>
      </c>
      <c r="I1454" s="11" t="s">
        <v>276</v>
      </c>
      <c r="J1454" s="19" t="e">
        <f>VLOOKUP(Table2[[#This Row], [Author]],People!A:B,2,0)</f>
        <v>#N/A</v>
      </c>
      <c r="K1454" s="11"/>
      <c r="L1454" s="11"/>
      <c r="M1454" s="20" t="s">
        <v>1613</v>
      </c>
    </row>
    <row r="1455" spans="1:13" ht="19.5" customHeight="1">
      <c r="A1455" s="21">
        <f t="shared" si="22"/>
        <v>1454</v>
      </c>
      <c r="B1455" s="13" t="s">
        <v>8</v>
      </c>
      <c r="C1455" s="13" t="s">
        <v>68</v>
      </c>
      <c r="D1455" s="13" t="s">
        <v>3033</v>
      </c>
      <c r="E1455" s="13" t="s">
        <v>3034</v>
      </c>
      <c r="F1455" s="13" t="s">
        <v>2103</v>
      </c>
      <c r="G1455" s="13" t="s">
        <v>16</v>
      </c>
      <c r="H1455" s="22" t="str">
        <f>IFERROR(VLOOKUP(Table2[[#This Row], [Ticket]],Okey!A:B,2,0),"")</f>
        <v>ok</v>
      </c>
      <c r="I1455" s="13" t="s">
        <v>276</v>
      </c>
      <c r="J1455" s="22" t="e">
        <f>VLOOKUP(Table2[[#This Row], [Author]],People!A:B,2,0)</f>
        <v>#N/A</v>
      </c>
      <c r="K1455" s="13"/>
      <c r="L1455" s="13"/>
      <c r="M1455" s="23" t="s">
        <v>1613</v>
      </c>
    </row>
    <row r="1456" spans="1:13" ht="19.5" customHeight="1">
      <c r="A1456" s="18">
        <f t="shared" si="22"/>
        <v>1455</v>
      </c>
      <c r="B1456" s="11" t="s">
        <v>8</v>
      </c>
      <c r="C1456" s="11" t="s">
        <v>68</v>
      </c>
      <c r="D1456" s="11" t="s">
        <v>3035</v>
      </c>
      <c r="E1456" s="11" t="s">
        <v>3036</v>
      </c>
      <c r="F1456" s="11" t="s">
        <v>2103</v>
      </c>
      <c r="G1456" s="11" t="s">
        <v>16</v>
      </c>
      <c r="H1456" s="19" t="str">
        <f>IFERROR(VLOOKUP(Table2[[#This Row], [Ticket]],Okey!A:B,2,0),"")</f>
        <v>ok</v>
      </c>
      <c r="I1456" s="11" t="s">
        <v>276</v>
      </c>
      <c r="J1456" s="19" t="e">
        <f>VLOOKUP(Table2[[#This Row], [Author]],People!A:B,2,0)</f>
        <v>#N/A</v>
      </c>
      <c r="K1456" s="11"/>
      <c r="L1456" s="11"/>
      <c r="M1456" s="20" t="s">
        <v>1613</v>
      </c>
    </row>
    <row r="1457" spans="1:13" ht="19.5" customHeight="1">
      <c r="A1457" s="21">
        <f t="shared" si="22"/>
        <v>1456</v>
      </c>
      <c r="B1457" s="13" t="s">
        <v>8</v>
      </c>
      <c r="C1457" s="13" t="s">
        <v>68</v>
      </c>
      <c r="D1457" s="13" t="s">
        <v>3037</v>
      </c>
      <c r="E1457" s="13" t="s">
        <v>3038</v>
      </c>
      <c r="F1457" s="13" t="s">
        <v>2103</v>
      </c>
      <c r="G1457" s="13" t="s">
        <v>16</v>
      </c>
      <c r="H1457" s="22" t="str">
        <f>IFERROR(VLOOKUP(Table2[[#This Row], [Ticket]],Okey!A:B,2,0),"")</f>
        <v>ok</v>
      </c>
      <c r="I1457" s="13" t="s">
        <v>276</v>
      </c>
      <c r="J1457" s="22" t="e">
        <f>VLOOKUP(Table2[[#This Row], [Author]],People!A:B,2,0)</f>
        <v>#N/A</v>
      </c>
      <c r="K1457" s="13"/>
      <c r="L1457" s="13"/>
      <c r="M1457" s="23" t="s">
        <v>1613</v>
      </c>
    </row>
    <row r="1458" spans="1:13" ht="19.5" customHeight="1">
      <c r="A1458" s="18">
        <f t="shared" si="22"/>
        <v>1457</v>
      </c>
      <c r="B1458" s="11" t="s">
        <v>8</v>
      </c>
      <c r="C1458" s="11" t="s">
        <v>68</v>
      </c>
      <c r="D1458" s="11" t="s">
        <v>2110</v>
      </c>
      <c r="E1458" s="11" t="s">
        <v>3039</v>
      </c>
      <c r="F1458" s="11" t="s">
        <v>2088</v>
      </c>
      <c r="G1458" s="11" t="s">
        <v>16</v>
      </c>
      <c r="H1458" s="19" t="str">
        <f>IFERROR(VLOOKUP(Table2[[#This Row], [Ticket]],Okey!A:B,2,0),"")</f>
        <v>ok</v>
      </c>
      <c r="I1458" s="11" t="s">
        <v>276</v>
      </c>
      <c r="J1458" s="19" t="e">
        <f>VLOOKUP(Table2[[#This Row], [Author]],People!A:B,2,0)</f>
        <v>#N/A</v>
      </c>
      <c r="K1458" s="11"/>
      <c r="L1458" s="11"/>
      <c r="M1458" s="20" t="s">
        <v>1613</v>
      </c>
    </row>
    <row r="1459" spans="1:13" ht="19.5" customHeight="1">
      <c r="A1459" s="21">
        <f t="shared" si="22"/>
        <v>1458</v>
      </c>
      <c r="B1459" s="13" t="s">
        <v>8</v>
      </c>
      <c r="C1459" s="13" t="s">
        <v>68</v>
      </c>
      <c r="D1459" s="13" t="s">
        <v>2125</v>
      </c>
      <c r="E1459" s="13" t="s">
        <v>3040</v>
      </c>
      <c r="F1459" s="13" t="s">
        <v>2088</v>
      </c>
      <c r="G1459" s="13" t="s">
        <v>16</v>
      </c>
      <c r="H1459" s="22" t="str">
        <f>IFERROR(VLOOKUP(Table2[[#This Row], [Ticket]],Okey!A:B,2,0),"")</f>
        <v>ok</v>
      </c>
      <c r="I1459" s="13" t="s">
        <v>276</v>
      </c>
      <c r="J1459" s="22" t="e">
        <f>VLOOKUP(Table2[[#This Row], [Author]],People!A:B,2,0)</f>
        <v>#N/A</v>
      </c>
      <c r="K1459" s="13"/>
      <c r="L1459" s="13"/>
      <c r="M1459" s="23" t="s">
        <v>1613</v>
      </c>
    </row>
    <row r="1460" spans="1:13" ht="19.5" customHeight="1">
      <c r="A1460" s="18">
        <f t="shared" si="22"/>
        <v>1459</v>
      </c>
      <c r="B1460" s="11" t="s">
        <v>8</v>
      </c>
      <c r="C1460" s="11" t="s">
        <v>68</v>
      </c>
      <c r="D1460" s="11" t="s">
        <v>2172</v>
      </c>
      <c r="E1460" s="11" t="s">
        <v>3041</v>
      </c>
      <c r="F1460" s="11" t="s">
        <v>2168</v>
      </c>
      <c r="G1460" s="11" t="s">
        <v>16</v>
      </c>
      <c r="H1460" s="19" t="str">
        <f>IFERROR(VLOOKUP(Table2[[#This Row], [Ticket]],Okey!A:B,2,0),"")</f>
        <v>ok</v>
      </c>
      <c r="I1460" s="11" t="s">
        <v>276</v>
      </c>
      <c r="J1460" s="19" t="e">
        <f>VLOOKUP(Table2[[#This Row], [Author]],People!A:B,2,0)</f>
        <v>#N/A</v>
      </c>
      <c r="K1460" s="11"/>
      <c r="L1460" s="11"/>
      <c r="M1460" s="20" t="s">
        <v>1613</v>
      </c>
    </row>
    <row r="1461" spans="1:13" ht="19.5" customHeight="1">
      <c r="A1461" s="21">
        <f t="shared" si="22"/>
        <v>1460</v>
      </c>
      <c r="B1461" s="13" t="s">
        <v>8</v>
      </c>
      <c r="C1461" s="13" t="s">
        <v>68</v>
      </c>
      <c r="D1461" s="13" t="s">
        <v>3042</v>
      </c>
      <c r="E1461" s="13" t="s">
        <v>3043</v>
      </c>
      <c r="F1461" s="13" t="s">
        <v>2170</v>
      </c>
      <c r="G1461" s="13" t="s">
        <v>16</v>
      </c>
      <c r="H1461" s="22" t="str">
        <f>IFERROR(VLOOKUP(Table2[[#This Row], [Ticket]],Okey!A:B,2,0),"")</f>
        <v>ok</v>
      </c>
      <c r="I1461" s="13" t="s">
        <v>276</v>
      </c>
      <c r="J1461" s="22" t="e">
        <f>VLOOKUP(Table2[[#This Row], [Author]],People!A:B,2,0)</f>
        <v>#N/A</v>
      </c>
      <c r="K1461" s="13"/>
      <c r="L1461" s="13"/>
      <c r="M1461" s="23" t="s">
        <v>1613</v>
      </c>
    </row>
    <row r="1462" spans="1:13" ht="19.5" customHeight="1">
      <c r="A1462" s="18">
        <f t="shared" si="22"/>
        <v>1461</v>
      </c>
      <c r="B1462" s="11" t="s">
        <v>8</v>
      </c>
      <c r="C1462" s="11" t="s">
        <v>68</v>
      </c>
      <c r="D1462" s="11" t="s">
        <v>2177</v>
      </c>
      <c r="E1462" s="11" t="s">
        <v>3044</v>
      </c>
      <c r="F1462" s="11" t="s">
        <v>2168</v>
      </c>
      <c r="G1462" s="11" t="s">
        <v>16</v>
      </c>
      <c r="H1462" s="19" t="str">
        <f>IFERROR(VLOOKUP(Table2[[#This Row], [Ticket]],Okey!A:B,2,0),"")</f>
        <v>ok</v>
      </c>
      <c r="I1462" s="11" t="s">
        <v>276</v>
      </c>
      <c r="J1462" s="19" t="e">
        <f>VLOOKUP(Table2[[#This Row], [Author]],People!A:B,2,0)</f>
        <v>#N/A</v>
      </c>
      <c r="K1462" s="11"/>
      <c r="L1462" s="11"/>
      <c r="M1462" s="20" t="s">
        <v>1613</v>
      </c>
    </row>
    <row r="1463" spans="1:13" ht="19.5" customHeight="1">
      <c r="A1463" s="21">
        <f t="shared" si="22"/>
        <v>1462</v>
      </c>
      <c r="B1463" s="13" t="s">
        <v>8</v>
      </c>
      <c r="C1463" s="13" t="s">
        <v>68</v>
      </c>
      <c r="D1463" s="13" t="s">
        <v>3045</v>
      </c>
      <c r="E1463" s="13" t="s">
        <v>3046</v>
      </c>
      <c r="F1463" s="13" t="s">
        <v>2175</v>
      </c>
      <c r="G1463" s="13" t="s">
        <v>16</v>
      </c>
      <c r="H1463" s="22" t="str">
        <f>IFERROR(VLOOKUP(Table2[[#This Row], [Ticket]],Okey!A:B,2,0),"")</f>
        <v>ok</v>
      </c>
      <c r="I1463" s="13" t="s">
        <v>276</v>
      </c>
      <c r="J1463" s="22" t="e">
        <f>VLOOKUP(Table2[[#This Row], [Author]],People!A:B,2,0)</f>
        <v>#N/A</v>
      </c>
      <c r="K1463" s="13"/>
      <c r="L1463" s="13"/>
      <c r="M1463" s="23" t="s">
        <v>1613</v>
      </c>
    </row>
    <row r="1464" spans="1:13" ht="19.5" customHeight="1">
      <c r="A1464" s="18">
        <f t="shared" si="22"/>
        <v>1463</v>
      </c>
      <c r="B1464" s="11" t="s">
        <v>8</v>
      </c>
      <c r="C1464" s="11" t="s">
        <v>68</v>
      </c>
      <c r="D1464" s="11" t="s">
        <v>3047</v>
      </c>
      <c r="E1464" s="11" t="s">
        <v>3048</v>
      </c>
      <c r="F1464" s="11" t="s">
        <v>2175</v>
      </c>
      <c r="G1464" s="11" t="s">
        <v>16</v>
      </c>
      <c r="H1464" s="19" t="str">
        <f>IFERROR(VLOOKUP(Table2[[#This Row], [Ticket]],Okey!A:B,2,0),"")</f>
        <v>ok</v>
      </c>
      <c r="I1464" s="11" t="s">
        <v>276</v>
      </c>
      <c r="J1464" s="19" t="e">
        <f>VLOOKUP(Table2[[#This Row], [Author]],People!A:B,2,0)</f>
        <v>#N/A</v>
      </c>
      <c r="K1464" s="11"/>
      <c r="L1464" s="11"/>
      <c r="M1464" s="20" t="s">
        <v>1613</v>
      </c>
    </row>
    <row r="1465" spans="1:13" ht="19.5" customHeight="1">
      <c r="A1465" s="21">
        <f t="shared" si="22"/>
        <v>1464</v>
      </c>
      <c r="B1465" s="13" t="s">
        <v>8</v>
      </c>
      <c r="C1465" s="13" t="s">
        <v>68</v>
      </c>
      <c r="D1465" s="13" t="s">
        <v>3049</v>
      </c>
      <c r="E1465" s="13" t="s">
        <v>3050</v>
      </c>
      <c r="F1465" s="13" t="s">
        <v>2175</v>
      </c>
      <c r="G1465" s="13" t="s">
        <v>16</v>
      </c>
      <c r="H1465" s="22" t="str">
        <f>IFERROR(VLOOKUP(Table2[[#This Row], [Ticket]],Okey!A:B,2,0),"")</f>
        <v>ok</v>
      </c>
      <c r="I1465" s="13" t="s">
        <v>276</v>
      </c>
      <c r="J1465" s="22" t="str">
        <f>VLOOKUP(Table2[[#This Row], [Author]],People!A:B,2,0)</f>
        <v>MGF</v>
      </c>
      <c r="K1465" s="13"/>
      <c r="L1465" s="13"/>
      <c r="M1465" s="23" t="s">
        <v>1613</v>
      </c>
    </row>
    <row r="1466" spans="1:13" ht="19.5" customHeight="1">
      <c r="A1466" s="18">
        <f t="shared" si="22"/>
        <v>1465</v>
      </c>
      <c r="B1466" s="11" t="s">
        <v>8</v>
      </c>
      <c r="C1466" s="11" t="s">
        <v>68</v>
      </c>
      <c r="D1466" s="11" t="s">
        <v>3051</v>
      </c>
      <c r="E1466" s="11" t="s">
        <v>3052</v>
      </c>
      <c r="F1466" s="11" t="s">
        <v>2175</v>
      </c>
      <c r="G1466" s="11" t="s">
        <v>16</v>
      </c>
      <c r="H1466" s="19" t="str">
        <f>IFERROR(VLOOKUP(Table2[[#This Row], [Ticket]],Okey!A:B,2,0),"")</f>
        <v>ok</v>
      </c>
      <c r="I1466" s="11" t="s">
        <v>276</v>
      </c>
      <c r="J1466" s="19" t="str">
        <f>VLOOKUP(Table2[[#This Row], [Author]],People!A:B,2,0)</f>
        <v>MGF</v>
      </c>
      <c r="K1466" s="11"/>
      <c r="L1466" s="11"/>
      <c r="M1466" s="20" t="s">
        <v>1613</v>
      </c>
    </row>
    <row r="1467" spans="1:13" ht="19.5" customHeight="1">
      <c r="A1467" s="21">
        <f t="shared" si="22"/>
        <v>1466</v>
      </c>
      <c r="B1467" s="13" t="s">
        <v>8</v>
      </c>
      <c r="C1467" s="13" t="s">
        <v>68</v>
      </c>
      <c r="D1467" s="13" t="s">
        <v>3053</v>
      </c>
      <c r="E1467" s="13" t="s">
        <v>3054</v>
      </c>
      <c r="F1467" s="13" t="s">
        <v>2175</v>
      </c>
      <c r="G1467" s="13" t="s">
        <v>16</v>
      </c>
      <c r="H1467" s="22" t="str">
        <f>IFERROR(VLOOKUP(Table2[[#This Row], [Ticket]],Okey!A:B,2,0),"")</f>
        <v>ok</v>
      </c>
      <c r="I1467" s="13" t="s">
        <v>276</v>
      </c>
      <c r="J1467" s="22" t="str">
        <f>VLOOKUP(Table2[[#This Row], [Author]],People!A:B,2,0)</f>
        <v>MGF</v>
      </c>
      <c r="K1467" s="13"/>
      <c r="L1467" s="13"/>
      <c r="M1467" s="23" t="s">
        <v>1613</v>
      </c>
    </row>
    <row r="1468" spans="1:13" ht="19.5" customHeight="1">
      <c r="A1468" s="18">
        <f t="shared" si="22"/>
        <v>1467</v>
      </c>
      <c r="B1468" s="11" t="s">
        <v>8</v>
      </c>
      <c r="C1468" s="11" t="s">
        <v>68</v>
      </c>
      <c r="D1468" s="11" t="s">
        <v>3055</v>
      </c>
      <c r="E1468" s="11" t="s">
        <v>3056</v>
      </c>
      <c r="F1468" s="11" t="s">
        <v>2175</v>
      </c>
      <c r="G1468" s="11" t="s">
        <v>16</v>
      </c>
      <c r="H1468" s="19" t="str">
        <f>IFERROR(VLOOKUP(Table2[[#This Row], [Ticket]],Okey!A:B,2,0),"")</f>
        <v>ok</v>
      </c>
      <c r="I1468" s="11" t="s">
        <v>276</v>
      </c>
      <c r="J1468" s="19" t="e">
        <f>VLOOKUP(Table2[[#This Row], [Author]],People!A:B,2,0)</f>
        <v>#N/A</v>
      </c>
      <c r="K1468" s="11"/>
      <c r="L1468" s="11"/>
      <c r="M1468" s="20" t="s">
        <v>1613</v>
      </c>
    </row>
    <row r="1469" spans="1:13" ht="19.5" customHeight="1">
      <c r="A1469" s="21">
        <f t="shared" si="22"/>
        <v>1468</v>
      </c>
      <c r="B1469" s="13" t="s">
        <v>8</v>
      </c>
      <c r="C1469" s="13" t="s">
        <v>68</v>
      </c>
      <c r="D1469" s="13" t="s">
        <v>3057</v>
      </c>
      <c r="E1469" s="13" t="s">
        <v>3058</v>
      </c>
      <c r="F1469" s="13" t="s">
        <v>2175</v>
      </c>
      <c r="G1469" s="13" t="s">
        <v>16</v>
      </c>
      <c r="H1469" s="22" t="str">
        <f>IFERROR(VLOOKUP(Table2[[#This Row], [Ticket]],Okey!A:B,2,0),"")</f>
        <v>ok</v>
      </c>
      <c r="I1469" s="13" t="s">
        <v>276</v>
      </c>
      <c r="J1469" s="22" t="e">
        <f>VLOOKUP(Table2[[#This Row], [Author]],People!A:B,2,0)</f>
        <v>#N/A</v>
      </c>
      <c r="K1469" s="13"/>
      <c r="L1469" s="13"/>
      <c r="M1469" s="23" t="s">
        <v>1613</v>
      </c>
    </row>
    <row r="1470" spans="1:13" ht="19.5" customHeight="1">
      <c r="A1470" s="18">
        <f t="shared" si="22"/>
        <v>1469</v>
      </c>
      <c r="B1470" s="11" t="s">
        <v>8</v>
      </c>
      <c r="C1470" s="11" t="s">
        <v>68</v>
      </c>
      <c r="D1470" s="11" t="s">
        <v>3059</v>
      </c>
      <c r="E1470" s="11" t="s">
        <v>3060</v>
      </c>
      <c r="F1470" s="11" t="s">
        <v>2175</v>
      </c>
      <c r="G1470" s="11" t="s">
        <v>16</v>
      </c>
      <c r="H1470" s="19" t="str">
        <f>IFERROR(VLOOKUP(Table2[[#This Row], [Ticket]],Okey!A:B,2,0),"")</f>
        <v>ok</v>
      </c>
      <c r="I1470" s="11" t="s">
        <v>276</v>
      </c>
      <c r="J1470" s="19" t="e">
        <f>VLOOKUP(Table2[[#This Row], [Author]],People!A:B,2,0)</f>
        <v>#N/A</v>
      </c>
      <c r="K1470" s="11"/>
      <c r="L1470" s="11"/>
      <c r="M1470" s="20" t="s">
        <v>1613</v>
      </c>
    </row>
    <row r="1471" spans="1:13" ht="19.5" customHeight="1">
      <c r="A1471" s="21">
        <f t="shared" si="22"/>
        <v>1470</v>
      </c>
      <c r="B1471" s="13" t="s">
        <v>8</v>
      </c>
      <c r="C1471" s="13" t="s">
        <v>68</v>
      </c>
      <c r="D1471" s="13" t="s">
        <v>3061</v>
      </c>
      <c r="E1471" s="13" t="s">
        <v>3062</v>
      </c>
      <c r="F1471" s="13" t="s">
        <v>2175</v>
      </c>
      <c r="G1471" s="13" t="s">
        <v>16</v>
      </c>
      <c r="H1471" s="22" t="str">
        <f>IFERROR(VLOOKUP(Table2[[#This Row], [Ticket]],Okey!A:B,2,0),"")</f>
        <v>ok</v>
      </c>
      <c r="I1471" s="13" t="s">
        <v>276</v>
      </c>
      <c r="J1471" s="22" t="e">
        <f>VLOOKUP(Table2[[#This Row], [Author]],People!A:B,2,0)</f>
        <v>#N/A</v>
      </c>
      <c r="K1471" s="13"/>
      <c r="L1471" s="13"/>
      <c r="M1471" s="23" t="s">
        <v>1613</v>
      </c>
    </row>
    <row r="1472" spans="1:13" ht="19.5" customHeight="1">
      <c r="A1472" s="18">
        <f t="shared" si="22"/>
        <v>1471</v>
      </c>
      <c r="B1472" s="11" t="s">
        <v>8</v>
      </c>
      <c r="C1472" s="11" t="s">
        <v>68</v>
      </c>
      <c r="D1472" s="11" t="s">
        <v>3063</v>
      </c>
      <c r="E1472" s="11" t="s">
        <v>3064</v>
      </c>
      <c r="F1472" s="11" t="s">
        <v>2175</v>
      </c>
      <c r="G1472" s="11" t="s">
        <v>16</v>
      </c>
      <c r="H1472" s="19" t="str">
        <f>IFERROR(VLOOKUP(Table2[[#This Row], [Ticket]],Okey!A:B,2,0),"")</f>
        <v>ok</v>
      </c>
      <c r="I1472" s="11" t="s">
        <v>276</v>
      </c>
      <c r="J1472" s="19" t="e">
        <f>VLOOKUP(Table2[[#This Row], [Author]],People!A:B,2,0)</f>
        <v>#N/A</v>
      </c>
      <c r="K1472" s="11"/>
      <c r="L1472" s="11"/>
      <c r="M1472" s="20" t="s">
        <v>1613</v>
      </c>
    </row>
    <row r="1473" spans="1:13" ht="19.5" customHeight="1">
      <c r="A1473" s="21">
        <f t="shared" si="22"/>
        <v>1472</v>
      </c>
      <c r="B1473" s="13" t="s">
        <v>8</v>
      </c>
      <c r="C1473" s="13" t="s">
        <v>68</v>
      </c>
      <c r="D1473" s="13" t="s">
        <v>2182</v>
      </c>
      <c r="E1473" s="13" t="s">
        <v>3065</v>
      </c>
      <c r="F1473" s="13" t="s">
        <v>2168</v>
      </c>
      <c r="G1473" s="13" t="s">
        <v>16</v>
      </c>
      <c r="H1473" s="22" t="str">
        <f>IFERROR(VLOOKUP(Table2[[#This Row], [Ticket]],Okey!A:B,2,0),"")</f>
        <v>ok</v>
      </c>
      <c r="I1473" s="13" t="s">
        <v>276</v>
      </c>
      <c r="J1473" s="22" t="e">
        <f>VLOOKUP(Table2[[#This Row], [Author]],People!A:B,2,0)</f>
        <v>#N/A</v>
      </c>
      <c r="K1473" s="13"/>
      <c r="L1473" s="13"/>
      <c r="M1473" s="23" t="s">
        <v>1613</v>
      </c>
    </row>
    <row r="1474" spans="1:13" ht="19.5" customHeight="1">
      <c r="A1474" s="18">
        <f t="shared" si="22"/>
        <v>1473</v>
      </c>
      <c r="B1474" s="11" t="s">
        <v>8</v>
      </c>
      <c r="C1474" s="11" t="s">
        <v>68</v>
      </c>
      <c r="D1474" s="11" t="s">
        <v>3066</v>
      </c>
      <c r="E1474" s="11" t="s">
        <v>3067</v>
      </c>
      <c r="F1474" s="11" t="s">
        <v>2180</v>
      </c>
      <c r="G1474" s="11" t="s">
        <v>16</v>
      </c>
      <c r="H1474" s="19" t="str">
        <f>IFERROR(VLOOKUP(Table2[[#This Row], [Ticket]],Okey!A:B,2,0),"")</f>
        <v>ok</v>
      </c>
      <c r="I1474" s="11" t="s">
        <v>276</v>
      </c>
      <c r="J1474" s="19" t="e">
        <f>VLOOKUP(Table2[[#This Row], [Author]],People!A:B,2,0)</f>
        <v>#N/A</v>
      </c>
      <c r="K1474" s="11"/>
      <c r="L1474" s="11"/>
      <c r="M1474" s="20" t="s">
        <v>1613</v>
      </c>
    </row>
    <row r="1475" spans="1:13" ht="19.5" customHeight="1">
      <c r="A1475" s="21">
        <f t="shared" ref="A1475:A1538" si="23">1+A1474</f>
        <v>1474</v>
      </c>
      <c r="B1475" s="13" t="s">
        <v>8</v>
      </c>
      <c r="C1475" s="13" t="s">
        <v>68</v>
      </c>
      <c r="D1475" s="13" t="s">
        <v>3068</v>
      </c>
      <c r="E1475" s="13" t="s">
        <v>3069</v>
      </c>
      <c r="F1475" s="13" t="s">
        <v>2180</v>
      </c>
      <c r="G1475" s="13" t="s">
        <v>16</v>
      </c>
      <c r="H1475" s="22" t="str">
        <f>IFERROR(VLOOKUP(Table2[[#This Row], [Ticket]],Okey!A:B,2,0),"")</f>
        <v>ok</v>
      </c>
      <c r="I1475" s="13" t="s">
        <v>276</v>
      </c>
      <c r="J1475" s="22" t="e">
        <f>VLOOKUP(Table2[[#This Row], [Author]],People!A:B,2,0)</f>
        <v>#N/A</v>
      </c>
      <c r="K1475" s="13"/>
      <c r="L1475" s="13"/>
      <c r="M1475" s="23" t="s">
        <v>1613</v>
      </c>
    </row>
    <row r="1476" spans="1:13" ht="19.5" customHeight="1">
      <c r="A1476" s="18">
        <f t="shared" si="23"/>
        <v>1475</v>
      </c>
      <c r="B1476" s="11" t="s">
        <v>8</v>
      </c>
      <c r="C1476" s="11" t="s">
        <v>68</v>
      </c>
      <c r="D1476" s="11" t="s">
        <v>3070</v>
      </c>
      <c r="E1476" s="11" t="s">
        <v>3071</v>
      </c>
      <c r="F1476" s="11" t="s">
        <v>2180</v>
      </c>
      <c r="G1476" s="11" t="s">
        <v>16</v>
      </c>
      <c r="H1476" s="19" t="str">
        <f>IFERROR(VLOOKUP(Table2[[#This Row], [Ticket]],Okey!A:B,2,0),"")</f>
        <v>ok</v>
      </c>
      <c r="I1476" s="11" t="s">
        <v>276</v>
      </c>
      <c r="J1476" s="19" t="e">
        <f>VLOOKUP(Table2[[#This Row], [Author]],People!A:B,2,0)</f>
        <v>#N/A</v>
      </c>
      <c r="K1476" s="11"/>
      <c r="L1476" s="11"/>
      <c r="M1476" s="20" t="s">
        <v>1613</v>
      </c>
    </row>
    <row r="1477" spans="1:13" ht="19.5" customHeight="1">
      <c r="A1477" s="21">
        <f t="shared" si="23"/>
        <v>1476</v>
      </c>
      <c r="B1477" s="13" t="s">
        <v>8</v>
      </c>
      <c r="C1477" s="13" t="s">
        <v>68</v>
      </c>
      <c r="D1477" s="13" t="s">
        <v>3072</v>
      </c>
      <c r="E1477" s="13" t="s">
        <v>3073</v>
      </c>
      <c r="F1477" s="13" t="s">
        <v>2180</v>
      </c>
      <c r="G1477" s="13" t="s">
        <v>16</v>
      </c>
      <c r="H1477" s="22" t="str">
        <f>IFERROR(VLOOKUP(Table2[[#This Row], [Ticket]],Okey!A:B,2,0),"")</f>
        <v>ok</v>
      </c>
      <c r="I1477" s="13" t="s">
        <v>276</v>
      </c>
      <c r="J1477" s="22" t="e">
        <f>VLOOKUP(Table2[[#This Row], [Author]],People!A:B,2,0)</f>
        <v>#N/A</v>
      </c>
      <c r="K1477" s="13"/>
      <c r="L1477" s="13"/>
      <c r="M1477" s="23" t="s">
        <v>1613</v>
      </c>
    </row>
    <row r="1478" spans="1:13" ht="19.5" customHeight="1">
      <c r="A1478" s="18">
        <f t="shared" si="23"/>
        <v>1477</v>
      </c>
      <c r="B1478" s="11" t="s">
        <v>8</v>
      </c>
      <c r="C1478" s="11" t="s">
        <v>68</v>
      </c>
      <c r="D1478" s="11" t="s">
        <v>3074</v>
      </c>
      <c r="E1478" s="11" t="s">
        <v>3075</v>
      </c>
      <c r="F1478" s="11" t="s">
        <v>2180</v>
      </c>
      <c r="G1478" s="11" t="s">
        <v>16</v>
      </c>
      <c r="H1478" s="19" t="str">
        <f>IFERROR(VLOOKUP(Table2[[#This Row], [Ticket]],Okey!A:B,2,0),"")</f>
        <v>ok</v>
      </c>
      <c r="I1478" s="11" t="s">
        <v>276</v>
      </c>
      <c r="J1478" s="19" t="e">
        <f>VLOOKUP(Table2[[#This Row], [Author]],People!A:B,2,0)</f>
        <v>#N/A</v>
      </c>
      <c r="K1478" s="11"/>
      <c r="L1478" s="11"/>
      <c r="M1478" s="20" t="s">
        <v>1613</v>
      </c>
    </row>
    <row r="1479" spans="1:13" ht="19.5" customHeight="1">
      <c r="A1479" s="21">
        <f t="shared" si="23"/>
        <v>1478</v>
      </c>
      <c r="B1479" s="13" t="s">
        <v>8</v>
      </c>
      <c r="C1479" s="13" t="s">
        <v>68</v>
      </c>
      <c r="D1479" s="13" t="s">
        <v>3076</v>
      </c>
      <c r="E1479" s="13" t="s">
        <v>3077</v>
      </c>
      <c r="F1479" s="13" t="s">
        <v>2180</v>
      </c>
      <c r="G1479" s="13" t="s">
        <v>16</v>
      </c>
      <c r="H1479" s="22" t="str">
        <f>IFERROR(VLOOKUP(Table2[[#This Row], [Ticket]],Okey!A:B,2,0),"")</f>
        <v>ok</v>
      </c>
      <c r="I1479" s="13" t="s">
        <v>276</v>
      </c>
      <c r="J1479" s="22" t="e">
        <f>VLOOKUP(Table2[[#This Row], [Author]],People!A:B,2,0)</f>
        <v>#N/A</v>
      </c>
      <c r="K1479" s="13"/>
      <c r="L1479" s="13"/>
      <c r="M1479" s="23" t="s">
        <v>1613</v>
      </c>
    </row>
    <row r="1480" spans="1:13" ht="19.5" customHeight="1">
      <c r="A1480" s="18">
        <f t="shared" si="23"/>
        <v>1479</v>
      </c>
      <c r="B1480" s="11" t="s">
        <v>8</v>
      </c>
      <c r="C1480" s="11" t="s">
        <v>68</v>
      </c>
      <c r="D1480" s="11" t="s">
        <v>3078</v>
      </c>
      <c r="E1480" s="11" t="s">
        <v>3079</v>
      </c>
      <c r="F1480" s="11" t="s">
        <v>2180</v>
      </c>
      <c r="G1480" s="11" t="s">
        <v>16</v>
      </c>
      <c r="H1480" s="19" t="str">
        <f>IFERROR(VLOOKUP(Table2[[#This Row], [Ticket]],Okey!A:B,2,0),"")</f>
        <v>ok</v>
      </c>
      <c r="I1480" s="11" t="s">
        <v>276</v>
      </c>
      <c r="J1480" s="19" t="e">
        <f>VLOOKUP(Table2[[#This Row], [Author]],People!A:B,2,0)</f>
        <v>#N/A</v>
      </c>
      <c r="K1480" s="11"/>
      <c r="L1480" s="11"/>
      <c r="M1480" s="20" t="s">
        <v>1613</v>
      </c>
    </row>
    <row r="1481" spans="1:13" ht="19.5" customHeight="1">
      <c r="A1481" s="21">
        <f t="shared" si="23"/>
        <v>1480</v>
      </c>
      <c r="B1481" s="13" t="s">
        <v>8</v>
      </c>
      <c r="C1481" s="13" t="s">
        <v>68</v>
      </c>
      <c r="D1481" s="13" t="s">
        <v>3080</v>
      </c>
      <c r="E1481" s="13" t="s">
        <v>3081</v>
      </c>
      <c r="F1481" s="13" t="s">
        <v>2180</v>
      </c>
      <c r="G1481" s="13" t="s">
        <v>16</v>
      </c>
      <c r="H1481" s="22" t="str">
        <f>IFERROR(VLOOKUP(Table2[[#This Row], [Ticket]],Okey!A:B,2,0),"")</f>
        <v>ok</v>
      </c>
      <c r="I1481" s="13" t="s">
        <v>276</v>
      </c>
      <c r="J1481" s="22" t="e">
        <f>VLOOKUP(Table2[[#This Row], [Author]],People!A:B,2,0)</f>
        <v>#N/A</v>
      </c>
      <c r="K1481" s="13"/>
      <c r="L1481" s="13"/>
      <c r="M1481" s="23" t="s">
        <v>1613</v>
      </c>
    </row>
    <row r="1482" spans="1:13" ht="19.5" customHeight="1">
      <c r="A1482" s="18">
        <f t="shared" si="23"/>
        <v>1481</v>
      </c>
      <c r="B1482" s="11" t="s">
        <v>8</v>
      </c>
      <c r="C1482" s="11" t="s">
        <v>68</v>
      </c>
      <c r="D1482" s="11" t="s">
        <v>3082</v>
      </c>
      <c r="E1482" s="11" t="s">
        <v>3083</v>
      </c>
      <c r="F1482" s="11" t="s">
        <v>2180</v>
      </c>
      <c r="G1482" s="11" t="s">
        <v>16</v>
      </c>
      <c r="H1482" s="19" t="str">
        <f>IFERROR(VLOOKUP(Table2[[#This Row], [Ticket]],Okey!A:B,2,0),"")</f>
        <v>ok</v>
      </c>
      <c r="I1482" s="11" t="s">
        <v>276</v>
      </c>
      <c r="J1482" s="19" t="e">
        <f>VLOOKUP(Table2[[#This Row], [Author]],People!A:B,2,0)</f>
        <v>#N/A</v>
      </c>
      <c r="K1482" s="11"/>
      <c r="L1482" s="11"/>
      <c r="M1482" s="20" t="s">
        <v>1613</v>
      </c>
    </row>
    <row r="1483" spans="1:13" ht="19.5" customHeight="1">
      <c r="A1483" s="21">
        <f t="shared" si="23"/>
        <v>1482</v>
      </c>
      <c r="B1483" s="13" t="s">
        <v>8</v>
      </c>
      <c r="C1483" s="13" t="s">
        <v>68</v>
      </c>
      <c r="D1483" s="13" t="s">
        <v>3084</v>
      </c>
      <c r="E1483" s="13" t="s">
        <v>3085</v>
      </c>
      <c r="F1483" s="13" t="s">
        <v>2180</v>
      </c>
      <c r="G1483" s="13" t="s">
        <v>16</v>
      </c>
      <c r="H1483" s="22" t="str">
        <f>IFERROR(VLOOKUP(Table2[[#This Row], [Ticket]],Okey!A:B,2,0),"")</f>
        <v>ok</v>
      </c>
      <c r="I1483" s="13" t="s">
        <v>276</v>
      </c>
      <c r="J1483" s="22" t="e">
        <f>VLOOKUP(Table2[[#This Row], [Author]],People!A:B,2,0)</f>
        <v>#N/A</v>
      </c>
      <c r="K1483" s="13"/>
      <c r="L1483" s="13"/>
      <c r="M1483" s="23" t="s">
        <v>1613</v>
      </c>
    </row>
    <row r="1484" spans="1:13" ht="19.5" customHeight="1">
      <c r="A1484" s="18">
        <f t="shared" si="23"/>
        <v>1483</v>
      </c>
      <c r="B1484" s="11" t="s">
        <v>8</v>
      </c>
      <c r="C1484" s="11" t="s">
        <v>68</v>
      </c>
      <c r="D1484" s="11" t="s">
        <v>2187</v>
      </c>
      <c r="E1484" s="11" t="s">
        <v>3086</v>
      </c>
      <c r="F1484" s="11" t="s">
        <v>2168</v>
      </c>
      <c r="G1484" s="11" t="s">
        <v>16</v>
      </c>
      <c r="H1484" s="19" t="str">
        <f>IFERROR(VLOOKUP(Table2[[#This Row], [Ticket]],Okey!A:B,2,0),"")</f>
        <v>ok</v>
      </c>
      <c r="I1484" s="11" t="s">
        <v>276</v>
      </c>
      <c r="J1484" s="19" t="e">
        <f>VLOOKUP(Table2[[#This Row], [Author]],People!A:B,2,0)</f>
        <v>#N/A</v>
      </c>
      <c r="K1484" s="11"/>
      <c r="L1484" s="11"/>
      <c r="M1484" s="20" t="s">
        <v>1613</v>
      </c>
    </row>
    <row r="1485" spans="1:13" ht="19.5" customHeight="1">
      <c r="A1485" s="21">
        <f t="shared" si="23"/>
        <v>1484</v>
      </c>
      <c r="B1485" s="13" t="s">
        <v>8</v>
      </c>
      <c r="C1485" s="13" t="s">
        <v>68</v>
      </c>
      <c r="D1485" s="13" t="s">
        <v>3087</v>
      </c>
      <c r="E1485" s="13" t="s">
        <v>3088</v>
      </c>
      <c r="F1485" s="13" t="s">
        <v>2185</v>
      </c>
      <c r="G1485" s="13" t="s">
        <v>16</v>
      </c>
      <c r="H1485" s="22" t="str">
        <f>IFERROR(VLOOKUP(Table2[[#This Row], [Ticket]],Okey!A:B,2,0),"")</f>
        <v>ok</v>
      </c>
      <c r="I1485" s="13" t="s">
        <v>276</v>
      </c>
      <c r="J1485" s="22" t="e">
        <f>VLOOKUP(Table2[[#This Row], [Author]],People!A:B,2,0)</f>
        <v>#N/A</v>
      </c>
      <c r="K1485" s="13"/>
      <c r="L1485" s="13"/>
      <c r="M1485" s="23" t="s">
        <v>1613</v>
      </c>
    </row>
    <row r="1486" spans="1:13" ht="19.5" customHeight="1">
      <c r="A1486" s="18">
        <f t="shared" si="23"/>
        <v>1485</v>
      </c>
      <c r="B1486" s="11" t="s">
        <v>8</v>
      </c>
      <c r="C1486" s="11" t="s">
        <v>68</v>
      </c>
      <c r="D1486" s="11" t="s">
        <v>3089</v>
      </c>
      <c r="E1486" s="11" t="s">
        <v>3090</v>
      </c>
      <c r="F1486" s="11" t="s">
        <v>2185</v>
      </c>
      <c r="G1486" s="11" t="s">
        <v>16</v>
      </c>
      <c r="H1486" s="19" t="str">
        <f>IFERROR(VLOOKUP(Table2[[#This Row], [Ticket]],Okey!A:B,2,0),"")</f>
        <v>ok</v>
      </c>
      <c r="I1486" s="11" t="s">
        <v>276</v>
      </c>
      <c r="J1486" s="19" t="e">
        <f>VLOOKUP(Table2[[#This Row], [Author]],People!A:B,2,0)</f>
        <v>#N/A</v>
      </c>
      <c r="K1486" s="11"/>
      <c r="L1486" s="11"/>
      <c r="M1486" s="20" t="s">
        <v>1613</v>
      </c>
    </row>
    <row r="1487" spans="1:13" ht="19.5" customHeight="1">
      <c r="A1487" s="21">
        <f t="shared" si="23"/>
        <v>1486</v>
      </c>
      <c r="B1487" s="13" t="s">
        <v>8</v>
      </c>
      <c r="C1487" s="13" t="s">
        <v>68</v>
      </c>
      <c r="D1487" s="13" t="s">
        <v>3091</v>
      </c>
      <c r="E1487" s="13" t="s">
        <v>3092</v>
      </c>
      <c r="F1487" s="13" t="s">
        <v>2185</v>
      </c>
      <c r="G1487" s="13" t="s">
        <v>16</v>
      </c>
      <c r="H1487" s="22" t="str">
        <f>IFERROR(VLOOKUP(Table2[[#This Row], [Ticket]],Okey!A:B,2,0),"")</f>
        <v>ok</v>
      </c>
      <c r="I1487" s="13" t="s">
        <v>276</v>
      </c>
      <c r="J1487" s="22" t="e">
        <f>VLOOKUP(Table2[[#This Row], [Author]],People!A:B,2,0)</f>
        <v>#N/A</v>
      </c>
      <c r="K1487" s="13"/>
      <c r="L1487" s="13"/>
      <c r="M1487" s="23" t="s">
        <v>1613</v>
      </c>
    </row>
    <row r="1488" spans="1:13" ht="19.5" customHeight="1">
      <c r="A1488" s="18">
        <f t="shared" si="23"/>
        <v>1487</v>
      </c>
      <c r="B1488" s="11" t="s">
        <v>8</v>
      </c>
      <c r="C1488" s="11" t="s">
        <v>68</v>
      </c>
      <c r="D1488" s="11" t="s">
        <v>3093</v>
      </c>
      <c r="E1488" s="11" t="s">
        <v>3094</v>
      </c>
      <c r="F1488" s="11" t="s">
        <v>2185</v>
      </c>
      <c r="G1488" s="11" t="s">
        <v>16</v>
      </c>
      <c r="H1488" s="19" t="str">
        <f>IFERROR(VLOOKUP(Table2[[#This Row], [Ticket]],Okey!A:B,2,0),"")</f>
        <v>ok</v>
      </c>
      <c r="I1488" s="11" t="s">
        <v>276</v>
      </c>
      <c r="J1488" s="19" t="e">
        <f>VLOOKUP(Table2[[#This Row], [Author]],People!A:B,2,0)</f>
        <v>#N/A</v>
      </c>
      <c r="K1488" s="11"/>
      <c r="L1488" s="11"/>
      <c r="M1488" s="20" t="s">
        <v>1613</v>
      </c>
    </row>
    <row r="1489" spans="1:13" ht="19.5" customHeight="1">
      <c r="A1489" s="21">
        <f t="shared" si="23"/>
        <v>1488</v>
      </c>
      <c r="B1489" s="13" t="s">
        <v>8</v>
      </c>
      <c r="C1489" s="13" t="s">
        <v>68</v>
      </c>
      <c r="D1489" s="13" t="s">
        <v>3095</v>
      </c>
      <c r="E1489" s="13" t="s">
        <v>3096</v>
      </c>
      <c r="F1489" s="13" t="s">
        <v>2185</v>
      </c>
      <c r="G1489" s="13" t="s">
        <v>16</v>
      </c>
      <c r="H1489" s="22" t="str">
        <f>IFERROR(VLOOKUP(Table2[[#This Row], [Ticket]],Okey!A:B,2,0),"")</f>
        <v>ok</v>
      </c>
      <c r="I1489" s="13" t="s">
        <v>276</v>
      </c>
      <c r="J1489" s="22" t="e">
        <f>VLOOKUP(Table2[[#This Row], [Author]],People!A:B,2,0)</f>
        <v>#N/A</v>
      </c>
      <c r="K1489" s="13"/>
      <c r="L1489" s="13"/>
      <c r="M1489" s="23" t="s">
        <v>1613</v>
      </c>
    </row>
    <row r="1490" spans="1:13" ht="19.5" customHeight="1">
      <c r="A1490" s="18">
        <f t="shared" si="23"/>
        <v>1489</v>
      </c>
      <c r="B1490" s="11" t="s">
        <v>8</v>
      </c>
      <c r="C1490" s="11" t="s">
        <v>68</v>
      </c>
      <c r="D1490" s="11" t="s">
        <v>3097</v>
      </c>
      <c r="E1490" s="11" t="s">
        <v>3098</v>
      </c>
      <c r="F1490" s="11" t="s">
        <v>2185</v>
      </c>
      <c r="G1490" s="11" t="s">
        <v>16</v>
      </c>
      <c r="H1490" s="19" t="str">
        <f>IFERROR(VLOOKUP(Table2[[#This Row], [Ticket]],Okey!A:B,2,0),"")</f>
        <v>ok</v>
      </c>
      <c r="I1490" s="11" t="s">
        <v>276</v>
      </c>
      <c r="J1490" s="19" t="e">
        <f>VLOOKUP(Table2[[#This Row], [Author]],People!A:B,2,0)</f>
        <v>#N/A</v>
      </c>
      <c r="K1490" s="11"/>
      <c r="L1490" s="11"/>
      <c r="M1490" s="20" t="s">
        <v>1613</v>
      </c>
    </row>
    <row r="1491" spans="1:13" ht="19.5" customHeight="1">
      <c r="A1491" s="21">
        <f t="shared" si="23"/>
        <v>1490</v>
      </c>
      <c r="B1491" s="13" t="s">
        <v>8</v>
      </c>
      <c r="C1491" s="13" t="s">
        <v>68</v>
      </c>
      <c r="D1491" s="13" t="s">
        <v>3099</v>
      </c>
      <c r="E1491" s="13" t="s">
        <v>3100</v>
      </c>
      <c r="F1491" s="13" t="s">
        <v>2185</v>
      </c>
      <c r="G1491" s="13" t="s">
        <v>16</v>
      </c>
      <c r="H1491" s="22" t="str">
        <f>IFERROR(VLOOKUP(Table2[[#This Row], [Ticket]],Okey!A:B,2,0),"")</f>
        <v>ok</v>
      </c>
      <c r="I1491" s="13" t="s">
        <v>276</v>
      </c>
      <c r="J1491" s="22" t="e">
        <f>VLOOKUP(Table2[[#This Row], [Author]],People!A:B,2,0)</f>
        <v>#N/A</v>
      </c>
      <c r="K1491" s="13"/>
      <c r="L1491" s="13"/>
      <c r="M1491" s="23" t="s">
        <v>1613</v>
      </c>
    </row>
    <row r="1492" spans="1:13" ht="19.5" customHeight="1">
      <c r="A1492" s="18">
        <f t="shared" si="23"/>
        <v>1491</v>
      </c>
      <c r="B1492" s="11" t="s">
        <v>8</v>
      </c>
      <c r="C1492" s="11" t="s">
        <v>68</v>
      </c>
      <c r="D1492" s="11" t="s">
        <v>3101</v>
      </c>
      <c r="E1492" s="11" t="s">
        <v>3102</v>
      </c>
      <c r="F1492" s="11" t="s">
        <v>2185</v>
      </c>
      <c r="G1492" s="11" t="s">
        <v>16</v>
      </c>
      <c r="H1492" s="19" t="str">
        <f>IFERROR(VLOOKUP(Table2[[#This Row], [Ticket]],Okey!A:B,2,0),"")</f>
        <v>ok</v>
      </c>
      <c r="I1492" s="11" t="s">
        <v>276</v>
      </c>
      <c r="J1492" s="19" t="e">
        <f>VLOOKUP(Table2[[#This Row], [Author]],People!A:B,2,0)</f>
        <v>#N/A</v>
      </c>
      <c r="K1492" s="11"/>
      <c r="L1492" s="11"/>
      <c r="M1492" s="20" t="s">
        <v>1613</v>
      </c>
    </row>
    <row r="1493" spans="1:13" ht="19.5" customHeight="1">
      <c r="A1493" s="21">
        <f t="shared" si="23"/>
        <v>1492</v>
      </c>
      <c r="B1493" s="13" t="s">
        <v>8</v>
      </c>
      <c r="C1493" s="13" t="s">
        <v>68</v>
      </c>
      <c r="D1493" s="13" t="s">
        <v>3103</v>
      </c>
      <c r="E1493" s="13" t="s">
        <v>3104</v>
      </c>
      <c r="F1493" s="13" t="s">
        <v>2185</v>
      </c>
      <c r="G1493" s="13" t="s">
        <v>16</v>
      </c>
      <c r="H1493" s="22" t="str">
        <f>IFERROR(VLOOKUP(Table2[[#This Row], [Ticket]],Okey!A:B,2,0),"")</f>
        <v>ok</v>
      </c>
      <c r="I1493" s="13" t="s">
        <v>276</v>
      </c>
      <c r="J1493" s="22" t="e">
        <f>VLOOKUP(Table2[[#This Row], [Author]],People!A:B,2,0)</f>
        <v>#N/A</v>
      </c>
      <c r="K1493" s="13"/>
      <c r="L1493" s="13"/>
      <c r="M1493" s="23" t="s">
        <v>1613</v>
      </c>
    </row>
    <row r="1494" spans="1:13" ht="19.5" customHeight="1">
      <c r="A1494" s="18">
        <f t="shared" si="23"/>
        <v>1493</v>
      </c>
      <c r="B1494" s="11" t="s">
        <v>8</v>
      </c>
      <c r="C1494" s="11" t="s">
        <v>68</v>
      </c>
      <c r="D1494" s="11" t="s">
        <v>3105</v>
      </c>
      <c r="E1494" s="11" t="s">
        <v>3106</v>
      </c>
      <c r="F1494" s="11" t="s">
        <v>2185</v>
      </c>
      <c r="G1494" s="11" t="s">
        <v>16</v>
      </c>
      <c r="H1494" s="19" t="str">
        <f>IFERROR(VLOOKUP(Table2[[#This Row], [Ticket]],Okey!A:B,2,0),"")</f>
        <v>ok</v>
      </c>
      <c r="I1494" s="11" t="s">
        <v>276</v>
      </c>
      <c r="J1494" s="19" t="e">
        <f>VLOOKUP(Table2[[#This Row], [Author]],People!A:B,2,0)</f>
        <v>#N/A</v>
      </c>
      <c r="K1494" s="11"/>
      <c r="L1494" s="11"/>
      <c r="M1494" s="20" t="s">
        <v>1613</v>
      </c>
    </row>
    <row r="1495" spans="1:13" ht="19.5" customHeight="1">
      <c r="A1495" s="21">
        <f t="shared" si="23"/>
        <v>1494</v>
      </c>
      <c r="B1495" s="13" t="s">
        <v>8</v>
      </c>
      <c r="C1495" s="13" t="s">
        <v>68</v>
      </c>
      <c r="D1495" s="13" t="s">
        <v>2245</v>
      </c>
      <c r="E1495" s="13" t="s">
        <v>3107</v>
      </c>
      <c r="F1495" s="13" t="s">
        <v>2168</v>
      </c>
      <c r="G1495" s="13" t="s">
        <v>16</v>
      </c>
      <c r="H1495" s="22" t="str">
        <f>IFERROR(VLOOKUP(Table2[[#This Row], [Ticket]],Okey!A:B,2,0),"")</f>
        <v>ok</v>
      </c>
      <c r="I1495" s="13" t="s">
        <v>276</v>
      </c>
      <c r="J1495" s="22" t="e">
        <f>VLOOKUP(Table2[[#This Row], [Author]],People!A:B,2,0)</f>
        <v>#N/A</v>
      </c>
      <c r="K1495" s="13"/>
      <c r="L1495" s="13"/>
      <c r="M1495" s="23" t="s">
        <v>1613</v>
      </c>
    </row>
    <row r="1496" spans="1:13" ht="19.5" customHeight="1">
      <c r="A1496" s="18">
        <f t="shared" si="23"/>
        <v>1495</v>
      </c>
      <c r="B1496" s="11" t="s">
        <v>8</v>
      </c>
      <c r="C1496" s="11" t="s">
        <v>68</v>
      </c>
      <c r="D1496" s="11" t="s">
        <v>3108</v>
      </c>
      <c r="E1496" s="11" t="s">
        <v>3109</v>
      </c>
      <c r="F1496" s="11" t="s">
        <v>2243</v>
      </c>
      <c r="G1496" s="11" t="s">
        <v>16</v>
      </c>
      <c r="H1496" s="19" t="str">
        <f>IFERROR(VLOOKUP(Table2[[#This Row], [Ticket]],Okey!A:B,2,0),"")</f>
        <v>ok</v>
      </c>
      <c r="I1496" s="11" t="s">
        <v>276</v>
      </c>
      <c r="J1496" s="19" t="e">
        <f>VLOOKUP(Table2[[#This Row], [Author]],People!A:B,2,0)</f>
        <v>#N/A</v>
      </c>
      <c r="K1496" s="11"/>
      <c r="L1496" s="11"/>
      <c r="M1496" s="20" t="s">
        <v>1613</v>
      </c>
    </row>
    <row r="1497" spans="1:13" ht="19.5" customHeight="1">
      <c r="A1497" s="21">
        <f t="shared" si="23"/>
        <v>1496</v>
      </c>
      <c r="B1497" s="13" t="s">
        <v>8</v>
      </c>
      <c r="C1497" s="13" t="s">
        <v>68</v>
      </c>
      <c r="D1497" s="13" t="s">
        <v>3110</v>
      </c>
      <c r="E1497" s="13" t="s">
        <v>3111</v>
      </c>
      <c r="F1497" s="13" t="s">
        <v>2243</v>
      </c>
      <c r="G1497" s="13" t="s">
        <v>16</v>
      </c>
      <c r="H1497" s="22" t="str">
        <f>IFERROR(VLOOKUP(Table2[[#This Row], [Ticket]],Okey!A:B,2,0),"")</f>
        <v>ok</v>
      </c>
      <c r="I1497" s="13" t="s">
        <v>276</v>
      </c>
      <c r="J1497" s="22" t="e">
        <f>VLOOKUP(Table2[[#This Row], [Author]],People!A:B,2,0)</f>
        <v>#N/A</v>
      </c>
      <c r="K1497" s="13"/>
      <c r="L1497" s="13"/>
      <c r="M1497" s="23" t="s">
        <v>1613</v>
      </c>
    </row>
    <row r="1498" spans="1:13" ht="19.5" customHeight="1">
      <c r="A1498" s="18">
        <f t="shared" si="23"/>
        <v>1497</v>
      </c>
      <c r="B1498" s="11" t="s">
        <v>8</v>
      </c>
      <c r="C1498" s="11" t="s">
        <v>68</v>
      </c>
      <c r="D1498" s="11" t="s">
        <v>3112</v>
      </c>
      <c r="E1498" s="11" t="s">
        <v>3113</v>
      </c>
      <c r="F1498" s="11" t="s">
        <v>2243</v>
      </c>
      <c r="G1498" s="11" t="s">
        <v>16</v>
      </c>
      <c r="H1498" s="19" t="str">
        <f>IFERROR(VLOOKUP(Table2[[#This Row], [Ticket]],Okey!A:B,2,0),"")</f>
        <v>ok</v>
      </c>
      <c r="I1498" s="11" t="s">
        <v>276</v>
      </c>
      <c r="J1498" s="19" t="e">
        <f>VLOOKUP(Table2[[#This Row], [Author]],People!A:B,2,0)</f>
        <v>#N/A</v>
      </c>
      <c r="K1498" s="11"/>
      <c r="L1498" s="11"/>
      <c r="M1498" s="20" t="s">
        <v>1613</v>
      </c>
    </row>
    <row r="1499" spans="1:13" ht="19.5" customHeight="1">
      <c r="A1499" s="21">
        <f t="shared" si="23"/>
        <v>1498</v>
      </c>
      <c r="B1499" s="13" t="s">
        <v>8</v>
      </c>
      <c r="C1499" s="13" t="s">
        <v>68</v>
      </c>
      <c r="D1499" s="13" t="s">
        <v>3114</v>
      </c>
      <c r="E1499" s="13" t="s">
        <v>3115</v>
      </c>
      <c r="F1499" s="13" t="s">
        <v>2243</v>
      </c>
      <c r="G1499" s="13" t="s">
        <v>16</v>
      </c>
      <c r="H1499" s="22" t="str">
        <f>IFERROR(VLOOKUP(Table2[[#This Row], [Ticket]],Okey!A:B,2,0),"")</f>
        <v>ok</v>
      </c>
      <c r="I1499" s="13" t="s">
        <v>276</v>
      </c>
      <c r="J1499" s="22" t="e">
        <f>VLOOKUP(Table2[[#This Row], [Author]],People!A:B,2,0)</f>
        <v>#N/A</v>
      </c>
      <c r="K1499" s="13"/>
      <c r="L1499" s="13"/>
      <c r="M1499" s="23" t="s">
        <v>1613</v>
      </c>
    </row>
    <row r="1500" spans="1:13" ht="19.5" customHeight="1">
      <c r="A1500" s="18">
        <f t="shared" si="23"/>
        <v>1499</v>
      </c>
      <c r="B1500" s="11" t="s">
        <v>8</v>
      </c>
      <c r="C1500" s="11" t="s">
        <v>68</v>
      </c>
      <c r="D1500" s="11" t="s">
        <v>3116</v>
      </c>
      <c r="E1500" s="11" t="s">
        <v>3117</v>
      </c>
      <c r="F1500" s="11" t="s">
        <v>2243</v>
      </c>
      <c r="G1500" s="11" t="s">
        <v>16</v>
      </c>
      <c r="H1500" s="19" t="str">
        <f>IFERROR(VLOOKUP(Table2[[#This Row], [Ticket]],Okey!A:B,2,0),"")</f>
        <v>ok</v>
      </c>
      <c r="I1500" s="11" t="s">
        <v>276</v>
      </c>
      <c r="J1500" s="19" t="e">
        <f>VLOOKUP(Table2[[#This Row], [Author]],People!A:B,2,0)</f>
        <v>#N/A</v>
      </c>
      <c r="K1500" s="11"/>
      <c r="L1500" s="11"/>
      <c r="M1500" s="20" t="s">
        <v>1613</v>
      </c>
    </row>
    <row r="1501" spans="1:13" ht="19.5" customHeight="1">
      <c r="A1501" s="21">
        <f t="shared" si="23"/>
        <v>1500</v>
      </c>
      <c r="B1501" s="13" t="s">
        <v>8</v>
      </c>
      <c r="C1501" s="13" t="s">
        <v>68</v>
      </c>
      <c r="D1501" s="13" t="s">
        <v>3118</v>
      </c>
      <c r="E1501" s="13" t="s">
        <v>3119</v>
      </c>
      <c r="F1501" s="13" t="s">
        <v>2243</v>
      </c>
      <c r="G1501" s="13" t="s">
        <v>16</v>
      </c>
      <c r="H1501" s="22" t="str">
        <f>IFERROR(VLOOKUP(Table2[[#This Row], [Ticket]],Okey!A:B,2,0),"")</f>
        <v>ok</v>
      </c>
      <c r="I1501" s="13" t="s">
        <v>276</v>
      </c>
      <c r="J1501" s="22" t="e">
        <f>VLOOKUP(Table2[[#This Row], [Author]],People!A:B,2,0)</f>
        <v>#N/A</v>
      </c>
      <c r="K1501" s="13"/>
      <c r="L1501" s="13"/>
      <c r="M1501" s="23" t="s">
        <v>1613</v>
      </c>
    </row>
    <row r="1502" spans="1:13" ht="19.5" customHeight="1">
      <c r="A1502" s="18">
        <f t="shared" si="23"/>
        <v>1501</v>
      </c>
      <c r="B1502" s="11" t="s">
        <v>8</v>
      </c>
      <c r="C1502" s="11" t="s">
        <v>68</v>
      </c>
      <c r="D1502" s="11" t="s">
        <v>3120</v>
      </c>
      <c r="E1502" s="11" t="s">
        <v>3121</v>
      </c>
      <c r="F1502" s="11" t="s">
        <v>2243</v>
      </c>
      <c r="G1502" s="11" t="s">
        <v>16</v>
      </c>
      <c r="H1502" s="19" t="str">
        <f>IFERROR(VLOOKUP(Table2[[#This Row], [Ticket]],Okey!A:B,2,0),"")</f>
        <v>ok</v>
      </c>
      <c r="I1502" s="11" t="s">
        <v>276</v>
      </c>
      <c r="J1502" s="19" t="e">
        <f>VLOOKUP(Table2[[#This Row], [Author]],People!A:B,2,0)</f>
        <v>#N/A</v>
      </c>
      <c r="K1502" s="11"/>
      <c r="L1502" s="11"/>
      <c r="M1502" s="20" t="s">
        <v>1613</v>
      </c>
    </row>
    <row r="1503" spans="1:13" ht="19.5" customHeight="1">
      <c r="A1503" s="21">
        <f t="shared" si="23"/>
        <v>1502</v>
      </c>
      <c r="B1503" s="13" t="s">
        <v>8</v>
      </c>
      <c r="C1503" s="13" t="s">
        <v>68</v>
      </c>
      <c r="D1503" s="13" t="s">
        <v>3122</v>
      </c>
      <c r="E1503" s="13" t="s">
        <v>3123</v>
      </c>
      <c r="F1503" s="13" t="s">
        <v>2243</v>
      </c>
      <c r="G1503" s="13" t="s">
        <v>16</v>
      </c>
      <c r="H1503" s="22" t="str">
        <f>IFERROR(VLOOKUP(Table2[[#This Row], [Ticket]],Okey!A:B,2,0),"")</f>
        <v>ok</v>
      </c>
      <c r="I1503" s="13" t="s">
        <v>276</v>
      </c>
      <c r="J1503" s="22" t="e">
        <f>VLOOKUP(Table2[[#This Row], [Author]],People!A:B,2,0)</f>
        <v>#N/A</v>
      </c>
      <c r="K1503" s="13"/>
      <c r="L1503" s="13"/>
      <c r="M1503" s="23" t="s">
        <v>1613</v>
      </c>
    </row>
    <row r="1504" spans="1:13" ht="19.5" customHeight="1">
      <c r="A1504" s="18">
        <f t="shared" si="23"/>
        <v>1503</v>
      </c>
      <c r="B1504" s="11" t="s">
        <v>8</v>
      </c>
      <c r="C1504" s="11" t="s">
        <v>68</v>
      </c>
      <c r="D1504" s="11" t="s">
        <v>3124</v>
      </c>
      <c r="E1504" s="11" t="s">
        <v>3125</v>
      </c>
      <c r="F1504" s="11" t="s">
        <v>2243</v>
      </c>
      <c r="G1504" s="11" t="s">
        <v>16</v>
      </c>
      <c r="H1504" s="19" t="str">
        <f>IFERROR(VLOOKUP(Table2[[#This Row], [Ticket]],Okey!A:B,2,0),"")</f>
        <v>ok</v>
      </c>
      <c r="I1504" s="11" t="s">
        <v>276</v>
      </c>
      <c r="J1504" s="19" t="e">
        <f>VLOOKUP(Table2[[#This Row], [Author]],People!A:B,2,0)</f>
        <v>#N/A</v>
      </c>
      <c r="K1504" s="11"/>
      <c r="L1504" s="11"/>
      <c r="M1504" s="20" t="s">
        <v>1613</v>
      </c>
    </row>
    <row r="1505" spans="1:13" ht="19.5" customHeight="1">
      <c r="A1505" s="21">
        <f t="shared" si="23"/>
        <v>1504</v>
      </c>
      <c r="B1505" s="13" t="s">
        <v>8</v>
      </c>
      <c r="C1505" s="13" t="s">
        <v>68</v>
      </c>
      <c r="D1505" s="13" t="s">
        <v>3126</v>
      </c>
      <c r="E1505" s="13" t="s">
        <v>3127</v>
      </c>
      <c r="F1505" s="13" t="s">
        <v>2243</v>
      </c>
      <c r="G1505" s="13" t="s">
        <v>16</v>
      </c>
      <c r="H1505" s="22" t="str">
        <f>IFERROR(VLOOKUP(Table2[[#This Row], [Ticket]],Okey!A:B,2,0),"")</f>
        <v>ok</v>
      </c>
      <c r="I1505" s="13" t="s">
        <v>276</v>
      </c>
      <c r="J1505" s="22" t="e">
        <f>VLOOKUP(Table2[[#This Row], [Author]],People!A:B,2,0)</f>
        <v>#N/A</v>
      </c>
      <c r="K1505" s="13"/>
      <c r="L1505" s="13"/>
      <c r="M1505" s="23" t="s">
        <v>1613</v>
      </c>
    </row>
    <row r="1506" spans="1:13" ht="19.5" customHeight="1">
      <c r="A1506" s="18">
        <f t="shared" si="23"/>
        <v>1505</v>
      </c>
      <c r="B1506" s="11" t="s">
        <v>8</v>
      </c>
      <c r="C1506" s="11" t="s">
        <v>68</v>
      </c>
      <c r="D1506" s="11" t="s">
        <v>2250</v>
      </c>
      <c r="E1506" s="11" t="s">
        <v>3128</v>
      </c>
      <c r="F1506" s="11" t="s">
        <v>2168</v>
      </c>
      <c r="G1506" s="11" t="s">
        <v>16</v>
      </c>
      <c r="H1506" s="19" t="str">
        <f>IFERROR(VLOOKUP(Table2[[#This Row], [Ticket]],Okey!A:B,2,0),"")</f>
        <v>ok</v>
      </c>
      <c r="I1506" s="11" t="s">
        <v>276</v>
      </c>
      <c r="J1506" s="19" t="e">
        <f>VLOOKUP(Table2[[#This Row], [Author]],People!A:B,2,0)</f>
        <v>#N/A</v>
      </c>
      <c r="K1506" s="11"/>
      <c r="L1506" s="11"/>
      <c r="M1506" s="20" t="s">
        <v>1613</v>
      </c>
    </row>
    <row r="1507" spans="1:13" ht="19.5" customHeight="1">
      <c r="A1507" s="21">
        <f t="shared" si="23"/>
        <v>1506</v>
      </c>
      <c r="B1507" s="13" t="s">
        <v>8</v>
      </c>
      <c r="C1507" s="13" t="s">
        <v>68</v>
      </c>
      <c r="D1507" s="13" t="s">
        <v>3129</v>
      </c>
      <c r="E1507" s="13" t="s">
        <v>3130</v>
      </c>
      <c r="F1507" s="13" t="s">
        <v>2248</v>
      </c>
      <c r="G1507" s="13" t="s">
        <v>16</v>
      </c>
      <c r="H1507" s="22" t="str">
        <f>IFERROR(VLOOKUP(Table2[[#This Row], [Ticket]],Okey!A:B,2,0),"")</f>
        <v>ok</v>
      </c>
      <c r="I1507" s="13" t="s">
        <v>276</v>
      </c>
      <c r="J1507" s="22" t="e">
        <f>VLOOKUP(Table2[[#This Row], [Author]],People!A:B,2,0)</f>
        <v>#N/A</v>
      </c>
      <c r="K1507" s="13"/>
      <c r="L1507" s="13"/>
      <c r="M1507" s="23" t="s">
        <v>1613</v>
      </c>
    </row>
    <row r="1508" spans="1:13" ht="19.5" customHeight="1">
      <c r="A1508" s="18">
        <f t="shared" si="23"/>
        <v>1507</v>
      </c>
      <c r="B1508" s="11" t="s">
        <v>8</v>
      </c>
      <c r="C1508" s="11" t="s">
        <v>68</v>
      </c>
      <c r="D1508" s="11" t="s">
        <v>3131</v>
      </c>
      <c r="E1508" s="11" t="s">
        <v>3132</v>
      </c>
      <c r="F1508" s="11" t="s">
        <v>2248</v>
      </c>
      <c r="G1508" s="11" t="s">
        <v>16</v>
      </c>
      <c r="H1508" s="19" t="str">
        <f>IFERROR(VLOOKUP(Table2[[#This Row], [Ticket]],Okey!A:B,2,0),"")</f>
        <v>ok</v>
      </c>
      <c r="I1508" s="11" t="s">
        <v>276</v>
      </c>
      <c r="J1508" s="19" t="e">
        <f>VLOOKUP(Table2[[#This Row], [Author]],People!A:B,2,0)</f>
        <v>#N/A</v>
      </c>
      <c r="K1508" s="11"/>
      <c r="L1508" s="11"/>
      <c r="M1508" s="20" t="s">
        <v>1613</v>
      </c>
    </row>
    <row r="1509" spans="1:13" ht="19.5" customHeight="1">
      <c r="A1509" s="21">
        <f t="shared" si="23"/>
        <v>1508</v>
      </c>
      <c r="B1509" s="13" t="s">
        <v>8</v>
      </c>
      <c r="C1509" s="13" t="s">
        <v>68</v>
      </c>
      <c r="D1509" s="13" t="s">
        <v>3133</v>
      </c>
      <c r="E1509" s="13" t="s">
        <v>3134</v>
      </c>
      <c r="F1509" s="13" t="s">
        <v>2248</v>
      </c>
      <c r="G1509" s="13" t="s">
        <v>16</v>
      </c>
      <c r="H1509" s="22" t="str">
        <f>IFERROR(VLOOKUP(Table2[[#This Row], [Ticket]],Okey!A:B,2,0),"")</f>
        <v>ok</v>
      </c>
      <c r="I1509" s="13" t="s">
        <v>276</v>
      </c>
      <c r="J1509" s="22" t="e">
        <f>VLOOKUP(Table2[[#This Row], [Author]],People!A:B,2,0)</f>
        <v>#N/A</v>
      </c>
      <c r="K1509" s="13"/>
      <c r="L1509" s="13"/>
      <c r="M1509" s="23" t="s">
        <v>1613</v>
      </c>
    </row>
    <row r="1510" spans="1:13" ht="19.5" customHeight="1">
      <c r="A1510" s="18">
        <f t="shared" si="23"/>
        <v>1509</v>
      </c>
      <c r="B1510" s="11" t="s">
        <v>8</v>
      </c>
      <c r="C1510" s="11" t="s">
        <v>68</v>
      </c>
      <c r="D1510" s="11" t="s">
        <v>3135</v>
      </c>
      <c r="E1510" s="11" t="s">
        <v>3136</v>
      </c>
      <c r="F1510" s="11" t="s">
        <v>2248</v>
      </c>
      <c r="G1510" s="11" t="s">
        <v>16</v>
      </c>
      <c r="H1510" s="19" t="str">
        <f>IFERROR(VLOOKUP(Table2[[#This Row], [Ticket]],Okey!A:B,2,0),"")</f>
        <v>ok</v>
      </c>
      <c r="I1510" s="11" t="s">
        <v>276</v>
      </c>
      <c r="J1510" s="19" t="e">
        <f>VLOOKUP(Table2[[#This Row], [Author]],People!A:B,2,0)</f>
        <v>#N/A</v>
      </c>
      <c r="K1510" s="11"/>
      <c r="L1510" s="11"/>
      <c r="M1510" s="20" t="s">
        <v>1613</v>
      </c>
    </row>
    <row r="1511" spans="1:13" ht="19.5" customHeight="1">
      <c r="A1511" s="21">
        <f t="shared" si="23"/>
        <v>1510</v>
      </c>
      <c r="B1511" s="13" t="s">
        <v>8</v>
      </c>
      <c r="C1511" s="13" t="s">
        <v>68</v>
      </c>
      <c r="D1511" s="13" t="s">
        <v>3137</v>
      </c>
      <c r="E1511" s="13" t="s">
        <v>3138</v>
      </c>
      <c r="F1511" s="13" t="s">
        <v>2248</v>
      </c>
      <c r="G1511" s="13" t="s">
        <v>16</v>
      </c>
      <c r="H1511" s="22" t="str">
        <f>IFERROR(VLOOKUP(Table2[[#This Row], [Ticket]],Okey!A:B,2,0),"")</f>
        <v>ok</v>
      </c>
      <c r="I1511" s="13" t="s">
        <v>276</v>
      </c>
      <c r="J1511" s="22" t="e">
        <f>VLOOKUP(Table2[[#This Row], [Author]],People!A:B,2,0)</f>
        <v>#N/A</v>
      </c>
      <c r="K1511" s="13"/>
      <c r="L1511" s="13"/>
      <c r="M1511" s="23" t="s">
        <v>1613</v>
      </c>
    </row>
    <row r="1512" spans="1:13" ht="19.5" customHeight="1">
      <c r="A1512" s="18">
        <f t="shared" si="23"/>
        <v>1511</v>
      </c>
      <c r="B1512" s="11" t="s">
        <v>8</v>
      </c>
      <c r="C1512" s="11" t="s">
        <v>68</v>
      </c>
      <c r="D1512" s="11" t="s">
        <v>3139</v>
      </c>
      <c r="E1512" s="11" t="s">
        <v>3140</v>
      </c>
      <c r="F1512" s="11" t="s">
        <v>2248</v>
      </c>
      <c r="G1512" s="11" t="s">
        <v>16</v>
      </c>
      <c r="H1512" s="19" t="str">
        <f>IFERROR(VLOOKUP(Table2[[#This Row], [Ticket]],Okey!A:B,2,0),"")</f>
        <v>ok</v>
      </c>
      <c r="I1512" s="11" t="s">
        <v>276</v>
      </c>
      <c r="J1512" s="19" t="e">
        <f>VLOOKUP(Table2[[#This Row], [Author]],People!A:B,2,0)</f>
        <v>#N/A</v>
      </c>
      <c r="K1512" s="11"/>
      <c r="L1512" s="11"/>
      <c r="M1512" s="20" t="s">
        <v>1613</v>
      </c>
    </row>
    <row r="1513" spans="1:13" ht="19.5" customHeight="1">
      <c r="A1513" s="21">
        <f t="shared" si="23"/>
        <v>1512</v>
      </c>
      <c r="B1513" s="13" t="s">
        <v>8</v>
      </c>
      <c r="C1513" s="13" t="s">
        <v>68</v>
      </c>
      <c r="D1513" s="13" t="s">
        <v>3141</v>
      </c>
      <c r="E1513" s="13" t="s">
        <v>3142</v>
      </c>
      <c r="F1513" s="13" t="s">
        <v>2248</v>
      </c>
      <c r="G1513" s="13" t="s">
        <v>16</v>
      </c>
      <c r="H1513" s="22" t="str">
        <f>IFERROR(VLOOKUP(Table2[[#This Row], [Ticket]],Okey!A:B,2,0),"")</f>
        <v>ok</v>
      </c>
      <c r="I1513" s="13" t="s">
        <v>276</v>
      </c>
      <c r="J1513" s="22" t="e">
        <f>VLOOKUP(Table2[[#This Row], [Author]],People!A:B,2,0)</f>
        <v>#N/A</v>
      </c>
      <c r="K1513" s="13"/>
      <c r="L1513" s="13"/>
      <c r="M1513" s="23" t="s">
        <v>1613</v>
      </c>
    </row>
    <row r="1514" spans="1:13" ht="19.5" customHeight="1">
      <c r="A1514" s="18">
        <f t="shared" si="23"/>
        <v>1513</v>
      </c>
      <c r="B1514" s="11" t="s">
        <v>8</v>
      </c>
      <c r="C1514" s="11" t="s">
        <v>68</v>
      </c>
      <c r="D1514" s="11" t="s">
        <v>3143</v>
      </c>
      <c r="E1514" s="11" t="s">
        <v>3144</v>
      </c>
      <c r="F1514" s="11" t="s">
        <v>2248</v>
      </c>
      <c r="G1514" s="11" t="s">
        <v>16</v>
      </c>
      <c r="H1514" s="19" t="str">
        <f>IFERROR(VLOOKUP(Table2[[#This Row], [Ticket]],Okey!A:B,2,0),"")</f>
        <v>ok</v>
      </c>
      <c r="I1514" s="11" t="s">
        <v>276</v>
      </c>
      <c r="J1514" s="19" t="e">
        <f>VLOOKUP(Table2[[#This Row], [Author]],People!A:B,2,0)</f>
        <v>#N/A</v>
      </c>
      <c r="K1514" s="11"/>
      <c r="L1514" s="11"/>
      <c r="M1514" s="20" t="s">
        <v>1613</v>
      </c>
    </row>
    <row r="1515" spans="1:13" ht="19.5" customHeight="1">
      <c r="A1515" s="21">
        <f t="shared" si="23"/>
        <v>1514</v>
      </c>
      <c r="B1515" s="13" t="s">
        <v>8</v>
      </c>
      <c r="C1515" s="13" t="s">
        <v>68</v>
      </c>
      <c r="D1515" s="13" t="s">
        <v>3145</v>
      </c>
      <c r="E1515" s="13" t="s">
        <v>3146</v>
      </c>
      <c r="F1515" s="13" t="s">
        <v>2248</v>
      </c>
      <c r="G1515" s="13" t="s">
        <v>16</v>
      </c>
      <c r="H1515" s="22" t="str">
        <f>IFERROR(VLOOKUP(Table2[[#This Row], [Ticket]],Okey!A:B,2,0),"")</f>
        <v>ok</v>
      </c>
      <c r="I1515" s="13" t="s">
        <v>276</v>
      </c>
      <c r="J1515" s="22" t="e">
        <f>VLOOKUP(Table2[[#This Row], [Author]],People!A:B,2,0)</f>
        <v>#N/A</v>
      </c>
      <c r="K1515" s="13"/>
      <c r="L1515" s="13"/>
      <c r="M1515" s="23" t="s">
        <v>1613</v>
      </c>
    </row>
    <row r="1516" spans="1:13" ht="19.5" customHeight="1">
      <c r="A1516" s="18">
        <f t="shared" si="23"/>
        <v>1515</v>
      </c>
      <c r="B1516" s="11" t="s">
        <v>8</v>
      </c>
      <c r="C1516" s="11" t="s">
        <v>68</v>
      </c>
      <c r="D1516" s="11" t="s">
        <v>3147</v>
      </c>
      <c r="E1516" s="11" t="s">
        <v>3148</v>
      </c>
      <c r="F1516" s="11" t="s">
        <v>2248</v>
      </c>
      <c r="G1516" s="11" t="s">
        <v>16</v>
      </c>
      <c r="H1516" s="19" t="str">
        <f>IFERROR(VLOOKUP(Table2[[#This Row], [Ticket]],Okey!A:B,2,0),"")</f>
        <v>ok</v>
      </c>
      <c r="I1516" s="11" t="s">
        <v>276</v>
      </c>
      <c r="J1516" s="19" t="e">
        <f>VLOOKUP(Table2[[#This Row], [Author]],People!A:B,2,0)</f>
        <v>#N/A</v>
      </c>
      <c r="K1516" s="11"/>
      <c r="L1516" s="11"/>
      <c r="M1516" s="20" t="s">
        <v>1613</v>
      </c>
    </row>
    <row r="1517" spans="1:13" ht="19.5" customHeight="1">
      <c r="A1517" s="21">
        <f t="shared" si="23"/>
        <v>1516</v>
      </c>
      <c r="B1517" s="13" t="s">
        <v>8</v>
      </c>
      <c r="C1517" s="13" t="s">
        <v>68</v>
      </c>
      <c r="D1517" s="13" t="s">
        <v>2255</v>
      </c>
      <c r="E1517" s="13" t="s">
        <v>3149</v>
      </c>
      <c r="F1517" s="13" t="s">
        <v>2230</v>
      </c>
      <c r="G1517" s="13" t="s">
        <v>16</v>
      </c>
      <c r="H1517" s="22" t="str">
        <f>IFERROR(VLOOKUP(Table2[[#This Row], [Ticket]],Okey!A:B,2,0),"")</f>
        <v>ok</v>
      </c>
      <c r="I1517" s="13" t="s">
        <v>276</v>
      </c>
      <c r="J1517" s="22" t="e">
        <f>VLOOKUP(Table2[[#This Row], [Author]],People!A:B,2,0)</f>
        <v>#N/A</v>
      </c>
      <c r="K1517" s="13"/>
      <c r="L1517" s="13"/>
      <c r="M1517" s="23" t="s">
        <v>1613</v>
      </c>
    </row>
    <row r="1518" spans="1:13" ht="19.5" customHeight="1">
      <c r="A1518" s="18">
        <f t="shared" si="23"/>
        <v>1517</v>
      </c>
      <c r="B1518" s="11" t="s">
        <v>8</v>
      </c>
      <c r="C1518" s="11" t="s">
        <v>68</v>
      </c>
      <c r="D1518" s="11" t="s">
        <v>2273</v>
      </c>
      <c r="E1518" s="11" t="s">
        <v>3150</v>
      </c>
      <c r="F1518" s="11" t="s">
        <v>2230</v>
      </c>
      <c r="G1518" s="11" t="s">
        <v>16</v>
      </c>
      <c r="H1518" s="19" t="str">
        <f>IFERROR(VLOOKUP(Table2[[#This Row], [Ticket]],Okey!A:B,2,0),"")</f>
        <v>ok</v>
      </c>
      <c r="I1518" s="11" t="s">
        <v>276</v>
      </c>
      <c r="J1518" s="19" t="e">
        <f>VLOOKUP(Table2[[#This Row], [Author]],People!A:B,2,0)</f>
        <v>#N/A</v>
      </c>
      <c r="K1518" s="11"/>
      <c r="L1518" s="11"/>
      <c r="M1518" s="20" t="s">
        <v>1613</v>
      </c>
    </row>
    <row r="1519" spans="1:13" ht="19.5" customHeight="1">
      <c r="A1519" s="21">
        <f t="shared" si="23"/>
        <v>1518</v>
      </c>
      <c r="B1519" s="13" t="s">
        <v>8</v>
      </c>
      <c r="C1519" s="13" t="s">
        <v>68</v>
      </c>
      <c r="D1519" s="13" t="s">
        <v>2287</v>
      </c>
      <c r="E1519" s="13" t="s">
        <v>3151</v>
      </c>
      <c r="F1519" s="13" t="s">
        <v>2230</v>
      </c>
      <c r="G1519" s="13" t="s">
        <v>16</v>
      </c>
      <c r="H1519" s="22" t="str">
        <f>IFERROR(VLOOKUP(Table2[[#This Row], [Ticket]],Okey!A:B,2,0),"")</f>
        <v>ok</v>
      </c>
      <c r="I1519" s="13" t="s">
        <v>276</v>
      </c>
      <c r="J1519" s="22" t="e">
        <f>VLOOKUP(Table2[[#This Row], [Author]],People!A:B,2,0)</f>
        <v>#N/A</v>
      </c>
      <c r="K1519" s="13"/>
      <c r="L1519" s="13"/>
      <c r="M1519" s="23" t="s">
        <v>1613</v>
      </c>
    </row>
    <row r="1520" spans="1:13" ht="19.5" customHeight="1">
      <c r="A1520" s="18">
        <f t="shared" si="23"/>
        <v>1519</v>
      </c>
      <c r="B1520" s="11" t="s">
        <v>8</v>
      </c>
      <c r="C1520" s="11" t="s">
        <v>68</v>
      </c>
      <c r="D1520" s="11" t="s">
        <v>2325</v>
      </c>
      <c r="E1520" s="11" t="s">
        <v>3152</v>
      </c>
      <c r="F1520" s="11" t="s">
        <v>2319</v>
      </c>
      <c r="G1520" s="11" t="s">
        <v>16</v>
      </c>
      <c r="H1520" s="19" t="str">
        <f>IFERROR(VLOOKUP(Table2[[#This Row], [Ticket]],Okey!A:B,2,0),"")</f>
        <v>ok</v>
      </c>
      <c r="I1520" s="11" t="s">
        <v>276</v>
      </c>
      <c r="J1520" s="19" t="e">
        <f>VLOOKUP(Table2[[#This Row], [Author]],People!A:B,2,0)</f>
        <v>#N/A</v>
      </c>
      <c r="K1520" s="11"/>
      <c r="L1520" s="11"/>
      <c r="M1520" s="20" t="s">
        <v>1613</v>
      </c>
    </row>
    <row r="1521" spans="1:13" ht="19.5" customHeight="1">
      <c r="A1521" s="21">
        <f t="shared" si="23"/>
        <v>1520</v>
      </c>
      <c r="B1521" s="13" t="s">
        <v>8</v>
      </c>
      <c r="C1521" s="13" t="s">
        <v>68</v>
      </c>
      <c r="D1521" s="13" t="s">
        <v>2340</v>
      </c>
      <c r="E1521" s="13" t="s">
        <v>3153</v>
      </c>
      <c r="F1521" s="13" t="s">
        <v>2319</v>
      </c>
      <c r="G1521" s="13" t="s">
        <v>16</v>
      </c>
      <c r="H1521" s="22" t="str">
        <f>IFERROR(VLOOKUP(Table2[[#This Row], [Ticket]],Okey!A:B,2,0),"")</f>
        <v>ok</v>
      </c>
      <c r="I1521" s="13" t="s">
        <v>276</v>
      </c>
      <c r="J1521" s="22" t="e">
        <f>VLOOKUP(Table2[[#This Row], [Author]],People!A:B,2,0)</f>
        <v>#N/A</v>
      </c>
      <c r="K1521" s="13"/>
      <c r="L1521" s="13"/>
      <c r="M1521" s="23" t="s">
        <v>1613</v>
      </c>
    </row>
    <row r="1522" spans="1:13" ht="19.5" customHeight="1">
      <c r="A1522" s="18">
        <f t="shared" si="23"/>
        <v>1521</v>
      </c>
      <c r="B1522" s="11" t="s">
        <v>8</v>
      </c>
      <c r="C1522" s="11" t="s">
        <v>68</v>
      </c>
      <c r="D1522" s="11" t="s">
        <v>2359</v>
      </c>
      <c r="E1522" s="11" t="s">
        <v>3154</v>
      </c>
      <c r="F1522" s="11" t="s">
        <v>2319</v>
      </c>
      <c r="G1522" s="11" t="s">
        <v>16</v>
      </c>
      <c r="H1522" s="19" t="str">
        <f>IFERROR(VLOOKUP(Table2[[#This Row], [Ticket]],Okey!A:B,2,0),"")</f>
        <v>ok</v>
      </c>
      <c r="I1522" s="11" t="s">
        <v>276</v>
      </c>
      <c r="J1522" s="19" t="e">
        <f>VLOOKUP(Table2[[#This Row], [Author]],People!A:B,2,0)</f>
        <v>#N/A</v>
      </c>
      <c r="K1522" s="11"/>
      <c r="L1522" s="11"/>
      <c r="M1522" s="20" t="s">
        <v>1613</v>
      </c>
    </row>
    <row r="1523" spans="1:13" ht="19.5" customHeight="1">
      <c r="A1523" s="21">
        <f t="shared" si="23"/>
        <v>1522</v>
      </c>
      <c r="B1523" s="13" t="s">
        <v>8</v>
      </c>
      <c r="C1523" s="13" t="s">
        <v>68</v>
      </c>
      <c r="D1523" s="13" t="s">
        <v>2382</v>
      </c>
      <c r="E1523" s="13" t="s">
        <v>3155</v>
      </c>
      <c r="F1523" s="13" t="s">
        <v>2319</v>
      </c>
      <c r="G1523" s="13" t="s">
        <v>16</v>
      </c>
      <c r="H1523" s="22" t="str">
        <f>IFERROR(VLOOKUP(Table2[[#This Row], [Ticket]],Okey!A:B,2,0),"")</f>
        <v>ok</v>
      </c>
      <c r="I1523" s="13" t="s">
        <v>276</v>
      </c>
      <c r="J1523" s="22" t="e">
        <f>VLOOKUP(Table2[[#This Row], [Author]],People!A:B,2,0)</f>
        <v>#N/A</v>
      </c>
      <c r="K1523" s="13"/>
      <c r="L1523" s="13"/>
      <c r="M1523" s="23" t="s">
        <v>1613</v>
      </c>
    </row>
    <row r="1524" spans="1:13" ht="19.5" customHeight="1">
      <c r="A1524" s="18">
        <f t="shared" si="23"/>
        <v>1523</v>
      </c>
      <c r="B1524" s="11" t="s">
        <v>8</v>
      </c>
      <c r="C1524" s="11" t="s">
        <v>68</v>
      </c>
      <c r="D1524" s="11" t="s">
        <v>2401</v>
      </c>
      <c r="E1524" s="11" t="s">
        <v>3156</v>
      </c>
      <c r="F1524" s="11" t="s">
        <v>2319</v>
      </c>
      <c r="G1524" s="11" t="s">
        <v>16</v>
      </c>
      <c r="H1524" s="19" t="str">
        <f>IFERROR(VLOOKUP(Table2[[#This Row], [Ticket]],Okey!A:B,2,0),"")</f>
        <v>ok</v>
      </c>
      <c r="I1524" s="11" t="s">
        <v>276</v>
      </c>
      <c r="J1524" s="19" t="e">
        <f>VLOOKUP(Table2[[#This Row], [Author]],People!A:B,2,0)</f>
        <v>#N/A</v>
      </c>
      <c r="K1524" s="11"/>
      <c r="L1524" s="11"/>
      <c r="M1524" s="20" t="s">
        <v>1613</v>
      </c>
    </row>
    <row r="1525" spans="1:13" ht="19.5" customHeight="1">
      <c r="A1525" s="21">
        <f t="shared" si="23"/>
        <v>1524</v>
      </c>
      <c r="B1525" s="13" t="s">
        <v>8</v>
      </c>
      <c r="C1525" s="13" t="s">
        <v>68</v>
      </c>
      <c r="D1525" s="13" t="s">
        <v>3157</v>
      </c>
      <c r="E1525" s="13" t="s">
        <v>3158</v>
      </c>
      <c r="F1525" s="13" t="s">
        <v>2433</v>
      </c>
      <c r="G1525" s="13" t="s">
        <v>16</v>
      </c>
      <c r="H1525" s="22" t="str">
        <f>IFERROR(VLOOKUP(Table2[[#This Row], [Ticket]],Okey!A:B,2,0),"")</f>
        <v>ok</v>
      </c>
      <c r="I1525" s="13" t="s">
        <v>276</v>
      </c>
      <c r="J1525" s="22" t="e">
        <f>VLOOKUP(Table2[[#This Row], [Author]],People!A:B,2,0)</f>
        <v>#N/A</v>
      </c>
      <c r="K1525" s="13"/>
      <c r="L1525" s="13"/>
      <c r="M1525" s="23" t="s">
        <v>1613</v>
      </c>
    </row>
    <row r="1526" spans="1:13" ht="19.5" customHeight="1">
      <c r="A1526" s="18">
        <f t="shared" si="23"/>
        <v>1525</v>
      </c>
      <c r="B1526" s="11" t="s">
        <v>8</v>
      </c>
      <c r="C1526" s="11" t="s">
        <v>68</v>
      </c>
      <c r="D1526" s="11" t="s">
        <v>3159</v>
      </c>
      <c r="E1526" s="11" t="s">
        <v>3160</v>
      </c>
      <c r="F1526" s="11" t="s">
        <v>2995</v>
      </c>
      <c r="G1526" s="11" t="s">
        <v>16</v>
      </c>
      <c r="H1526" s="19" t="str">
        <f>IFERROR(VLOOKUP(Table2[[#This Row], [Ticket]],Okey!A:B,2,0),"")</f>
        <v>ok</v>
      </c>
      <c r="I1526" s="11" t="s">
        <v>276</v>
      </c>
      <c r="J1526" s="19" t="e">
        <f>VLOOKUP(Table2[[#This Row], [Author]],People!A:B,2,0)</f>
        <v>#N/A</v>
      </c>
      <c r="K1526" s="11"/>
      <c r="L1526" s="11"/>
      <c r="M1526" s="20" t="s">
        <v>1613</v>
      </c>
    </row>
    <row r="1527" spans="1:13" ht="19.5" customHeight="1">
      <c r="A1527" s="21">
        <f t="shared" si="23"/>
        <v>1526</v>
      </c>
      <c r="B1527" s="13" t="s">
        <v>8</v>
      </c>
      <c r="C1527" s="13" t="s">
        <v>68</v>
      </c>
      <c r="D1527" s="13" t="s">
        <v>3161</v>
      </c>
      <c r="E1527" s="13" t="s">
        <v>3162</v>
      </c>
      <c r="F1527" s="13" t="s">
        <v>2433</v>
      </c>
      <c r="G1527" s="13" t="s">
        <v>16</v>
      </c>
      <c r="H1527" s="22" t="str">
        <f>IFERROR(VLOOKUP(Table2[[#This Row], [Ticket]],Okey!A:B,2,0),"")</f>
        <v>ok</v>
      </c>
      <c r="I1527" s="13" t="s">
        <v>276</v>
      </c>
      <c r="J1527" s="22" t="e">
        <f>VLOOKUP(Table2[[#This Row], [Author]],People!A:B,2,0)</f>
        <v>#N/A</v>
      </c>
      <c r="K1527" s="13"/>
      <c r="L1527" s="13"/>
      <c r="M1527" s="23" t="s">
        <v>1613</v>
      </c>
    </row>
    <row r="1528" spans="1:13" ht="19.5" customHeight="1">
      <c r="A1528" s="18">
        <f t="shared" si="23"/>
        <v>1527</v>
      </c>
      <c r="B1528" s="11" t="s">
        <v>8</v>
      </c>
      <c r="C1528" s="11" t="s">
        <v>68</v>
      </c>
      <c r="D1528" s="11" t="s">
        <v>3163</v>
      </c>
      <c r="E1528" s="11" t="s">
        <v>3164</v>
      </c>
      <c r="F1528" s="11" t="s">
        <v>2433</v>
      </c>
      <c r="G1528" s="11" t="s">
        <v>16</v>
      </c>
      <c r="H1528" s="19" t="str">
        <f>IFERROR(VLOOKUP(Table2[[#This Row], [Ticket]],Okey!A:B,2,0),"")</f>
        <v>ok</v>
      </c>
      <c r="I1528" s="11" t="s">
        <v>276</v>
      </c>
      <c r="J1528" s="19" t="e">
        <f>VLOOKUP(Table2[[#This Row], [Author]],People!A:B,2,0)</f>
        <v>#N/A</v>
      </c>
      <c r="K1528" s="11"/>
      <c r="L1528" s="11"/>
      <c r="M1528" s="20" t="s">
        <v>1613</v>
      </c>
    </row>
    <row r="1529" spans="1:13" ht="19.5" customHeight="1">
      <c r="A1529" s="21">
        <f t="shared" si="23"/>
        <v>1528</v>
      </c>
      <c r="B1529" s="13" t="s">
        <v>8</v>
      </c>
      <c r="C1529" s="13" t="s">
        <v>68</v>
      </c>
      <c r="D1529" s="13" t="s">
        <v>3165</v>
      </c>
      <c r="E1529" s="13" t="s">
        <v>3166</v>
      </c>
      <c r="F1529" s="13" t="s">
        <v>2441</v>
      </c>
      <c r="G1529" s="13" t="s">
        <v>16</v>
      </c>
      <c r="H1529" s="22" t="str">
        <f>IFERROR(VLOOKUP(Table2[[#This Row], [Ticket]],Okey!A:B,2,0),"")</f>
        <v>ok</v>
      </c>
      <c r="I1529" s="13" t="s">
        <v>276</v>
      </c>
      <c r="J1529" s="22" t="e">
        <f>VLOOKUP(Table2[[#This Row], [Author]],People!A:B,2,0)</f>
        <v>#N/A</v>
      </c>
      <c r="K1529" s="13"/>
      <c r="L1529" s="13"/>
      <c r="M1529" s="23" t="s">
        <v>1613</v>
      </c>
    </row>
    <row r="1530" spans="1:13" ht="19.5" customHeight="1">
      <c r="A1530" s="18">
        <f t="shared" si="23"/>
        <v>1529</v>
      </c>
      <c r="B1530" s="11" t="s">
        <v>8</v>
      </c>
      <c r="C1530" s="11" t="s">
        <v>68</v>
      </c>
      <c r="D1530" s="11" t="s">
        <v>3167</v>
      </c>
      <c r="E1530" s="11" t="s">
        <v>3168</v>
      </c>
      <c r="F1530" s="11" t="s">
        <v>2441</v>
      </c>
      <c r="G1530" s="11" t="s">
        <v>16</v>
      </c>
      <c r="H1530" s="19" t="str">
        <f>IFERROR(VLOOKUP(Table2[[#This Row], [Ticket]],Okey!A:B,2,0),"")</f>
        <v>ok</v>
      </c>
      <c r="I1530" s="11" t="s">
        <v>276</v>
      </c>
      <c r="J1530" s="19" t="e">
        <f>VLOOKUP(Table2[[#This Row], [Author]],People!A:B,2,0)</f>
        <v>#N/A</v>
      </c>
      <c r="K1530" s="11"/>
      <c r="L1530" s="11"/>
      <c r="M1530" s="20" t="s">
        <v>1613</v>
      </c>
    </row>
    <row r="1531" spans="1:13" ht="19.5" customHeight="1">
      <c r="A1531" s="21">
        <f t="shared" si="23"/>
        <v>1530</v>
      </c>
      <c r="B1531" s="13" t="s">
        <v>8</v>
      </c>
      <c r="C1531" s="13" t="s">
        <v>68</v>
      </c>
      <c r="D1531" s="13" t="s">
        <v>2995</v>
      </c>
      <c r="E1531" s="13" t="s">
        <v>3169</v>
      </c>
      <c r="F1531" s="13" t="s">
        <v>2441</v>
      </c>
      <c r="G1531" s="13" t="s">
        <v>16</v>
      </c>
      <c r="H1531" s="22" t="str">
        <f>IFERROR(VLOOKUP(Table2[[#This Row], [Ticket]],Okey!A:B,2,0),"")</f>
        <v>ok</v>
      </c>
      <c r="I1531" s="13" t="s">
        <v>276</v>
      </c>
      <c r="J1531" s="22" t="e">
        <f>VLOOKUP(Table2[[#This Row], [Author]],People!A:B,2,0)</f>
        <v>#N/A</v>
      </c>
      <c r="K1531" s="13"/>
      <c r="L1531" s="13"/>
      <c r="M1531" s="23" t="s">
        <v>1613</v>
      </c>
    </row>
    <row r="1532" spans="1:13" ht="19.5" customHeight="1">
      <c r="A1532" s="18">
        <f t="shared" si="23"/>
        <v>1531</v>
      </c>
      <c r="B1532" s="11" t="s">
        <v>8</v>
      </c>
      <c r="C1532" s="11" t="s">
        <v>68</v>
      </c>
      <c r="D1532" s="11" t="s">
        <v>3170</v>
      </c>
      <c r="E1532" s="11" t="s">
        <v>3171</v>
      </c>
      <c r="F1532" s="11" t="s">
        <v>2433</v>
      </c>
      <c r="G1532" s="11" t="s">
        <v>16</v>
      </c>
      <c r="H1532" s="19" t="str">
        <f>IFERROR(VLOOKUP(Table2[[#This Row], [Ticket]],Okey!A:B,2,0),"")</f>
        <v>ok</v>
      </c>
      <c r="I1532" s="11" t="s">
        <v>276</v>
      </c>
      <c r="J1532" s="19" t="e">
        <f>VLOOKUP(Table2[[#This Row], [Author]],People!A:B,2,0)</f>
        <v>#N/A</v>
      </c>
      <c r="K1532" s="11"/>
      <c r="L1532" s="11"/>
      <c r="M1532" s="20" t="s">
        <v>1613</v>
      </c>
    </row>
    <row r="1533" spans="1:13" ht="19.5" customHeight="1">
      <c r="A1533" s="21">
        <f t="shared" si="23"/>
        <v>1532</v>
      </c>
      <c r="B1533" s="13" t="s">
        <v>8</v>
      </c>
      <c r="C1533" s="13" t="s">
        <v>68</v>
      </c>
      <c r="D1533" s="13" t="s">
        <v>3172</v>
      </c>
      <c r="E1533" s="13" t="s">
        <v>3173</v>
      </c>
      <c r="F1533" s="13" t="s">
        <v>2433</v>
      </c>
      <c r="G1533" s="13" t="s">
        <v>16</v>
      </c>
      <c r="H1533" s="22" t="str">
        <f>IFERROR(VLOOKUP(Table2[[#This Row], [Ticket]],Okey!A:B,2,0),"")</f>
        <v>ok</v>
      </c>
      <c r="I1533" s="13" t="s">
        <v>276</v>
      </c>
      <c r="J1533" s="22" t="e">
        <f>VLOOKUP(Table2[[#This Row], [Author]],People!A:B,2,0)</f>
        <v>#N/A</v>
      </c>
      <c r="K1533" s="13"/>
      <c r="L1533" s="13"/>
      <c r="M1533" s="23" t="s">
        <v>1613</v>
      </c>
    </row>
    <row r="1534" spans="1:13" ht="19.5" customHeight="1">
      <c r="A1534" s="18">
        <f t="shared" si="23"/>
        <v>1533</v>
      </c>
      <c r="B1534" s="11" t="s">
        <v>8</v>
      </c>
      <c r="C1534" s="11" t="s">
        <v>68</v>
      </c>
      <c r="D1534" s="11" t="s">
        <v>3174</v>
      </c>
      <c r="E1534" s="11"/>
      <c r="F1534" s="11" t="s">
        <v>2016</v>
      </c>
      <c r="G1534" s="11" t="s">
        <v>13</v>
      </c>
      <c r="H1534" s="19" t="str">
        <f>IFERROR(VLOOKUP(Table2[[#This Row], [Ticket]],Okey!A:B,2,0),"")</f>
        <v>ok</v>
      </c>
      <c r="I1534" s="11" t="s">
        <v>276</v>
      </c>
      <c r="J1534" s="19" t="e">
        <f>VLOOKUP(Table2[[#This Row], [Author]],People!A:B,2,0)</f>
        <v>#N/A</v>
      </c>
      <c r="K1534" s="11"/>
      <c r="L1534" s="11"/>
      <c r="M1534" s="20" t="s">
        <v>1613</v>
      </c>
    </row>
    <row r="1535" spans="1:13" ht="19.5" customHeight="1">
      <c r="A1535" s="21">
        <f t="shared" si="23"/>
        <v>1534</v>
      </c>
      <c r="B1535" s="13" t="s">
        <v>8</v>
      </c>
      <c r="C1535" s="13" t="s">
        <v>68</v>
      </c>
      <c r="D1535" s="13" t="s">
        <v>3175</v>
      </c>
      <c r="E1535" s="13"/>
      <c r="F1535" s="13" t="s">
        <v>2021</v>
      </c>
      <c r="G1535" s="13" t="s">
        <v>13</v>
      </c>
      <c r="H1535" s="22" t="str">
        <f>IFERROR(VLOOKUP(Table2[[#This Row], [Ticket]],Okey!A:B,2,0),"")</f>
        <v>ok</v>
      </c>
      <c r="I1535" s="13" t="s">
        <v>276</v>
      </c>
      <c r="J1535" s="22" t="e">
        <f>VLOOKUP(Table2[[#This Row], [Author]],People!A:B,2,0)</f>
        <v>#N/A</v>
      </c>
      <c r="K1535" s="13"/>
      <c r="L1535" s="13"/>
      <c r="M1535" s="23" t="s">
        <v>1613</v>
      </c>
    </row>
    <row r="1536" spans="1:13" ht="19.5" customHeight="1">
      <c r="A1536" s="18">
        <f t="shared" si="23"/>
        <v>1535</v>
      </c>
      <c r="B1536" s="11" t="s">
        <v>8</v>
      </c>
      <c r="C1536" s="11" t="s">
        <v>68</v>
      </c>
      <c r="D1536" s="11" t="s">
        <v>3176</v>
      </c>
      <c r="E1536" s="11"/>
      <c r="F1536" s="11" t="s">
        <v>2021</v>
      </c>
      <c r="G1536" s="11" t="s">
        <v>13</v>
      </c>
      <c r="H1536" s="19" t="str">
        <f>IFERROR(VLOOKUP(Table2[[#This Row], [Ticket]],Okey!A:B,2,0),"")</f>
        <v>ok</v>
      </c>
      <c r="I1536" s="11" t="s">
        <v>276</v>
      </c>
      <c r="J1536" s="19" t="e">
        <f>VLOOKUP(Table2[[#This Row], [Author]],People!A:B,2,0)</f>
        <v>#N/A</v>
      </c>
      <c r="K1536" s="11"/>
      <c r="L1536" s="11"/>
      <c r="M1536" s="20" t="s">
        <v>1613</v>
      </c>
    </row>
    <row r="1537" spans="1:13" ht="19.5" customHeight="1">
      <c r="A1537" s="21">
        <f t="shared" si="23"/>
        <v>1536</v>
      </c>
      <c r="B1537" s="13" t="s">
        <v>8</v>
      </c>
      <c r="C1537" s="13" t="s">
        <v>68</v>
      </c>
      <c r="D1537" s="13" t="s">
        <v>3177</v>
      </c>
      <c r="E1537" s="13"/>
      <c r="F1537" s="13" t="s">
        <v>2031</v>
      </c>
      <c r="G1537" s="13" t="s">
        <v>13</v>
      </c>
      <c r="H1537" s="22" t="str">
        <f>IFERROR(VLOOKUP(Table2[[#This Row], [Ticket]],Okey!A:B,2,0),"")</f>
        <v>ok</v>
      </c>
      <c r="I1537" s="13" t="s">
        <v>276</v>
      </c>
      <c r="J1537" s="22" t="e">
        <f>VLOOKUP(Table2[[#This Row], [Author]],People!A:B,2,0)</f>
        <v>#N/A</v>
      </c>
      <c r="K1537" s="13"/>
      <c r="L1537" s="13"/>
      <c r="M1537" s="23" t="s">
        <v>1613</v>
      </c>
    </row>
    <row r="1538" spans="1:13" ht="19.5" customHeight="1">
      <c r="A1538" s="18">
        <f t="shared" si="23"/>
        <v>1537</v>
      </c>
      <c r="B1538" s="11" t="s">
        <v>8</v>
      </c>
      <c r="C1538" s="11" t="s">
        <v>68</v>
      </c>
      <c r="D1538" s="11" t="s">
        <v>3178</v>
      </c>
      <c r="E1538" s="11"/>
      <c r="F1538" s="11" t="s">
        <v>2036</v>
      </c>
      <c r="G1538" s="11" t="s">
        <v>13</v>
      </c>
      <c r="H1538" s="19" t="str">
        <f>IFERROR(VLOOKUP(Table2[[#This Row], [Ticket]],Okey!A:B,2,0),"")</f>
        <v>ok</v>
      </c>
      <c r="I1538" s="11" t="s">
        <v>276</v>
      </c>
      <c r="J1538" s="19" t="e">
        <f>VLOOKUP(Table2[[#This Row], [Author]],People!A:B,2,0)</f>
        <v>#N/A</v>
      </c>
      <c r="K1538" s="11"/>
      <c r="L1538" s="11"/>
      <c r="M1538" s="20" t="s">
        <v>1613</v>
      </c>
    </row>
    <row r="1539" spans="1:13" ht="19.5" customHeight="1">
      <c r="A1539" s="21">
        <f t="shared" ref="A1539:A1602" si="24">1+A1538</f>
        <v>1538</v>
      </c>
      <c r="B1539" s="13" t="s">
        <v>8</v>
      </c>
      <c r="C1539" s="13" t="s">
        <v>68</v>
      </c>
      <c r="D1539" s="13" t="s">
        <v>3179</v>
      </c>
      <c r="E1539" s="13"/>
      <c r="F1539" s="13" t="s">
        <v>2036</v>
      </c>
      <c r="G1539" s="13" t="s">
        <v>13</v>
      </c>
      <c r="H1539" s="22" t="str">
        <f>IFERROR(VLOOKUP(Table2[[#This Row], [Ticket]],Okey!A:B,2,0),"")</f>
        <v>ok</v>
      </c>
      <c r="I1539" s="13" t="s">
        <v>276</v>
      </c>
      <c r="J1539" s="22" t="e">
        <f>VLOOKUP(Table2[[#This Row], [Author]],People!A:B,2,0)</f>
        <v>#N/A</v>
      </c>
      <c r="K1539" s="13"/>
      <c r="L1539" s="13"/>
      <c r="M1539" s="23" t="s">
        <v>1613</v>
      </c>
    </row>
    <row r="1540" spans="1:13" ht="19.5" customHeight="1">
      <c r="A1540" s="18">
        <f t="shared" si="24"/>
        <v>1539</v>
      </c>
      <c r="B1540" s="11" t="s">
        <v>8</v>
      </c>
      <c r="C1540" s="11" t="s">
        <v>68</v>
      </c>
      <c r="D1540" s="11" t="s">
        <v>3180</v>
      </c>
      <c r="E1540" s="11"/>
      <c r="F1540" s="11" t="s">
        <v>2041</v>
      </c>
      <c r="G1540" s="11" t="s">
        <v>13</v>
      </c>
      <c r="H1540" s="19" t="str">
        <f>IFERROR(VLOOKUP(Table2[[#This Row], [Ticket]],Okey!A:B,2,0),"")</f>
        <v>ok</v>
      </c>
      <c r="I1540" s="11" t="s">
        <v>276</v>
      </c>
      <c r="J1540" s="19" t="e">
        <f>VLOOKUP(Table2[[#This Row], [Author]],People!A:B,2,0)</f>
        <v>#N/A</v>
      </c>
      <c r="K1540" s="11"/>
      <c r="L1540" s="11"/>
      <c r="M1540" s="20" t="s">
        <v>1613</v>
      </c>
    </row>
    <row r="1541" spans="1:13" ht="19.5" customHeight="1">
      <c r="A1541" s="21">
        <f t="shared" si="24"/>
        <v>1540</v>
      </c>
      <c r="B1541" s="13" t="s">
        <v>8</v>
      </c>
      <c r="C1541" s="13" t="s">
        <v>68</v>
      </c>
      <c r="D1541" s="13" t="s">
        <v>3181</v>
      </c>
      <c r="E1541" s="13"/>
      <c r="F1541" s="13" t="s">
        <v>2046</v>
      </c>
      <c r="G1541" s="13" t="s">
        <v>13</v>
      </c>
      <c r="H1541" s="22" t="str">
        <f>IFERROR(VLOOKUP(Table2[[#This Row], [Ticket]],Okey!A:B,2,0),"")</f>
        <v>ok</v>
      </c>
      <c r="I1541" s="13" t="s">
        <v>276</v>
      </c>
      <c r="J1541" s="22" t="e">
        <f>VLOOKUP(Table2[[#This Row], [Author]],People!A:B,2,0)</f>
        <v>#N/A</v>
      </c>
      <c r="K1541" s="13"/>
      <c r="L1541" s="13"/>
      <c r="M1541" s="23" t="s">
        <v>1613</v>
      </c>
    </row>
    <row r="1542" spans="1:13" ht="19.5" customHeight="1">
      <c r="A1542" s="18">
        <f t="shared" si="24"/>
        <v>1541</v>
      </c>
      <c r="B1542" s="11" t="s">
        <v>8</v>
      </c>
      <c r="C1542" s="11" t="s">
        <v>68</v>
      </c>
      <c r="D1542" s="11" t="s">
        <v>3182</v>
      </c>
      <c r="E1542" s="11"/>
      <c r="F1542" s="11" t="s">
        <v>2054</v>
      </c>
      <c r="G1542" s="11" t="s">
        <v>13</v>
      </c>
      <c r="H1542" s="19" t="str">
        <f>IFERROR(VLOOKUP(Table2[[#This Row], [Ticket]],Okey!A:B,2,0),"")</f>
        <v>ok</v>
      </c>
      <c r="I1542" s="11" t="s">
        <v>276</v>
      </c>
      <c r="J1542" s="19" t="e">
        <f>VLOOKUP(Table2[[#This Row], [Author]],People!A:B,2,0)</f>
        <v>#N/A</v>
      </c>
      <c r="K1542" s="11"/>
      <c r="L1542" s="11"/>
      <c r="M1542" s="20" t="s">
        <v>1613</v>
      </c>
    </row>
    <row r="1543" spans="1:13" ht="19.5" customHeight="1">
      <c r="A1543" s="21">
        <f t="shared" si="24"/>
        <v>1542</v>
      </c>
      <c r="B1543" s="13" t="s">
        <v>8</v>
      </c>
      <c r="C1543" s="13" t="s">
        <v>68</v>
      </c>
      <c r="D1543" s="13" t="s">
        <v>3183</v>
      </c>
      <c r="E1543" s="13"/>
      <c r="F1543" s="13" t="s">
        <v>2059</v>
      </c>
      <c r="G1543" s="13" t="s">
        <v>13</v>
      </c>
      <c r="H1543" s="22" t="str">
        <f>IFERROR(VLOOKUP(Table2[[#This Row], [Ticket]],Okey!A:B,2,0),"")</f>
        <v>ok</v>
      </c>
      <c r="I1543" s="13" t="s">
        <v>276</v>
      </c>
      <c r="J1543" s="22" t="e">
        <f>VLOOKUP(Table2[[#This Row], [Author]],People!A:B,2,0)</f>
        <v>#N/A</v>
      </c>
      <c r="K1543" s="13"/>
      <c r="L1543" s="13"/>
      <c r="M1543" s="23" t="s">
        <v>1613</v>
      </c>
    </row>
    <row r="1544" spans="1:13" ht="19.5" customHeight="1">
      <c r="A1544" s="18">
        <f t="shared" si="24"/>
        <v>1543</v>
      </c>
      <c r="B1544" s="11" t="s">
        <v>8</v>
      </c>
      <c r="C1544" s="11" t="s">
        <v>68</v>
      </c>
      <c r="D1544" s="11" t="s">
        <v>3184</v>
      </c>
      <c r="E1544" s="11"/>
      <c r="F1544" s="11" t="s">
        <v>2064</v>
      </c>
      <c r="G1544" s="11" t="s">
        <v>13</v>
      </c>
      <c r="H1544" s="19" t="str">
        <f>IFERROR(VLOOKUP(Table2[[#This Row], [Ticket]],Okey!A:B,2,0),"")</f>
        <v>ok</v>
      </c>
      <c r="I1544" s="11" t="s">
        <v>276</v>
      </c>
      <c r="J1544" s="19" t="e">
        <f>VLOOKUP(Table2[[#This Row], [Author]],People!A:B,2,0)</f>
        <v>#N/A</v>
      </c>
      <c r="K1544" s="11"/>
      <c r="L1544" s="11"/>
      <c r="M1544" s="20" t="s">
        <v>1613</v>
      </c>
    </row>
    <row r="1545" spans="1:13" ht="19.5" customHeight="1">
      <c r="A1545" s="21">
        <f t="shared" si="24"/>
        <v>1544</v>
      </c>
      <c r="B1545" s="13" t="s">
        <v>8</v>
      </c>
      <c r="C1545" s="13" t="s">
        <v>68</v>
      </c>
      <c r="D1545" s="13" t="s">
        <v>3185</v>
      </c>
      <c r="E1545" s="13"/>
      <c r="F1545" s="13" t="s">
        <v>2072</v>
      </c>
      <c r="G1545" s="13" t="s">
        <v>13</v>
      </c>
      <c r="H1545" s="22" t="str">
        <f>IFERROR(VLOOKUP(Table2[[#This Row], [Ticket]],Okey!A:B,2,0),"")</f>
        <v>ok</v>
      </c>
      <c r="I1545" s="13" t="s">
        <v>276</v>
      </c>
      <c r="J1545" s="22" t="e">
        <f>VLOOKUP(Table2[[#This Row], [Author]],People!A:B,2,0)</f>
        <v>#N/A</v>
      </c>
      <c r="K1545" s="13"/>
      <c r="L1545" s="13"/>
      <c r="M1545" s="23" t="s">
        <v>1613</v>
      </c>
    </row>
    <row r="1546" spans="1:13" ht="19.5" customHeight="1">
      <c r="A1546" s="18">
        <f t="shared" si="24"/>
        <v>1545</v>
      </c>
      <c r="B1546" s="11" t="s">
        <v>8</v>
      </c>
      <c r="C1546" s="11" t="s">
        <v>68</v>
      </c>
      <c r="D1546" s="11" t="s">
        <v>3186</v>
      </c>
      <c r="E1546" s="11"/>
      <c r="F1546" s="11" t="s">
        <v>2072</v>
      </c>
      <c r="G1546" s="11" t="s">
        <v>13</v>
      </c>
      <c r="H1546" s="19" t="str">
        <f>IFERROR(VLOOKUP(Table2[[#This Row], [Ticket]],Okey!A:B,2,0),"")</f>
        <v>ok</v>
      </c>
      <c r="I1546" s="11" t="s">
        <v>276</v>
      </c>
      <c r="J1546" s="19" t="e">
        <f>VLOOKUP(Table2[[#This Row], [Author]],People!A:B,2,0)</f>
        <v>#N/A</v>
      </c>
      <c r="K1546" s="11"/>
      <c r="L1546" s="11"/>
      <c r="M1546" s="20" t="s">
        <v>1613</v>
      </c>
    </row>
    <row r="1547" spans="1:13" ht="19.5" customHeight="1">
      <c r="A1547" s="21">
        <f t="shared" si="24"/>
        <v>1546</v>
      </c>
      <c r="B1547" s="13" t="s">
        <v>8</v>
      </c>
      <c r="C1547" s="13" t="s">
        <v>68</v>
      </c>
      <c r="D1547" s="13" t="s">
        <v>1631</v>
      </c>
      <c r="E1547" s="13"/>
      <c r="F1547" s="13" t="s">
        <v>3187</v>
      </c>
      <c r="G1547" s="13" t="s">
        <v>13</v>
      </c>
      <c r="H1547" s="22" t="str">
        <f>IFERROR(VLOOKUP(Table2[[#This Row], [Ticket]],Okey!A:B,2,0),"")</f>
        <v>ok</v>
      </c>
      <c r="I1547" s="13" t="s">
        <v>276</v>
      </c>
      <c r="J1547" s="22" t="e">
        <f>VLOOKUP(Table2[[#This Row], [Author]],People!A:B,2,0)</f>
        <v>#N/A</v>
      </c>
      <c r="K1547" s="13"/>
      <c r="L1547" s="13"/>
      <c r="M1547" s="23" t="s">
        <v>1613</v>
      </c>
    </row>
    <row r="1548" spans="1:13" ht="19.5" customHeight="1">
      <c r="A1548" s="18">
        <f t="shared" si="24"/>
        <v>1547</v>
      </c>
      <c r="B1548" s="11" t="s">
        <v>8</v>
      </c>
      <c r="C1548" s="11" t="s">
        <v>68</v>
      </c>
      <c r="D1548" s="11" t="s">
        <v>3188</v>
      </c>
      <c r="E1548" s="11"/>
      <c r="F1548" s="11" t="s">
        <v>3187</v>
      </c>
      <c r="G1548" s="11" t="s">
        <v>13</v>
      </c>
      <c r="H1548" s="19" t="str">
        <f>IFERROR(VLOOKUP(Table2[[#This Row], [Ticket]],Okey!A:B,2,0),"")</f>
        <v>ok</v>
      </c>
      <c r="I1548" s="11" t="s">
        <v>276</v>
      </c>
      <c r="J1548" s="19" t="e">
        <f>VLOOKUP(Table2[[#This Row], [Author]],People!A:B,2,0)</f>
        <v>#N/A</v>
      </c>
      <c r="K1548" s="11"/>
      <c r="L1548" s="11"/>
      <c r="M1548" s="20" t="s">
        <v>1613</v>
      </c>
    </row>
    <row r="1549" spans="1:13" ht="19.5" customHeight="1">
      <c r="A1549" s="21">
        <f t="shared" si="24"/>
        <v>1548</v>
      </c>
      <c r="B1549" s="13" t="s">
        <v>8</v>
      </c>
      <c r="C1549" s="13" t="s">
        <v>68</v>
      </c>
      <c r="D1549" s="13" t="s">
        <v>3187</v>
      </c>
      <c r="E1549" s="13"/>
      <c r="F1549" s="13" t="s">
        <v>1622</v>
      </c>
      <c r="G1549" s="13" t="s">
        <v>13</v>
      </c>
      <c r="H1549" s="22" t="str">
        <f>IFERROR(VLOOKUP(Table2[[#This Row], [Ticket]],Okey!A:B,2,0),"")</f>
        <v>ok</v>
      </c>
      <c r="I1549" s="13" t="s">
        <v>276</v>
      </c>
      <c r="J1549" s="22" t="e">
        <f>VLOOKUP(Table2[[#This Row], [Author]],People!A:B,2,0)</f>
        <v>#N/A</v>
      </c>
      <c r="K1549" s="13"/>
      <c r="L1549" s="13"/>
      <c r="M1549" s="23" t="s">
        <v>1613</v>
      </c>
    </row>
    <row r="1550" spans="1:13" ht="19.5" customHeight="1">
      <c r="A1550" s="18">
        <f t="shared" si="24"/>
        <v>1549</v>
      </c>
      <c r="B1550" s="11" t="s">
        <v>8</v>
      </c>
      <c r="C1550" s="11" t="s">
        <v>68</v>
      </c>
      <c r="D1550" s="11" t="s">
        <v>3189</v>
      </c>
      <c r="E1550" s="11"/>
      <c r="F1550" s="11" t="s">
        <v>2190</v>
      </c>
      <c r="G1550" s="11" t="s">
        <v>13</v>
      </c>
      <c r="H1550" s="19" t="str">
        <f>IFERROR(VLOOKUP(Table2[[#This Row], [Ticket]],Okey!A:B,2,0),"")</f>
        <v>ok</v>
      </c>
      <c r="I1550" s="11" t="s">
        <v>276</v>
      </c>
      <c r="J1550" s="19" t="str">
        <f>VLOOKUP(Table2[[#This Row], [Author]],People!A:B,2,0)</f>
        <v>LS</v>
      </c>
      <c r="K1550" s="11"/>
      <c r="L1550" s="11"/>
      <c r="M1550" s="20" t="s">
        <v>1613</v>
      </c>
    </row>
    <row r="1551" spans="1:13" ht="19.5" customHeight="1">
      <c r="A1551" s="21">
        <f t="shared" si="24"/>
        <v>1550</v>
      </c>
      <c r="B1551" s="13" t="s">
        <v>8</v>
      </c>
      <c r="C1551" s="13" t="s">
        <v>68</v>
      </c>
      <c r="D1551" s="13" t="s">
        <v>3190</v>
      </c>
      <c r="E1551" s="13"/>
      <c r="F1551" s="13" t="s">
        <v>2192</v>
      </c>
      <c r="G1551" s="13" t="s">
        <v>13</v>
      </c>
      <c r="H1551" s="22" t="str">
        <f>IFERROR(VLOOKUP(Table2[[#This Row], [Ticket]],Okey!A:B,2,0),"")</f>
        <v>ok</v>
      </c>
      <c r="I1551" s="13" t="s">
        <v>276</v>
      </c>
      <c r="J1551" s="22" t="str">
        <f>VLOOKUP(Table2[[#This Row], [Author]],People!A:B,2,0)</f>
        <v>MGF</v>
      </c>
      <c r="K1551" s="13"/>
      <c r="L1551" s="13"/>
      <c r="M1551" s="23" t="s">
        <v>1613</v>
      </c>
    </row>
    <row r="1552" spans="1:13" ht="19.5" customHeight="1">
      <c r="A1552" s="18">
        <f t="shared" si="24"/>
        <v>1551</v>
      </c>
      <c r="B1552" s="11" t="s">
        <v>8</v>
      </c>
      <c r="C1552" s="11" t="s">
        <v>68</v>
      </c>
      <c r="D1552" s="11" t="s">
        <v>3191</v>
      </c>
      <c r="E1552" s="11"/>
      <c r="F1552" s="11" t="s">
        <v>2101</v>
      </c>
      <c r="G1552" s="11" t="s">
        <v>13</v>
      </c>
      <c r="H1552" s="19" t="str">
        <f>IFERROR(VLOOKUP(Table2[[#This Row], [Ticket]],Okey!A:B,2,0),"")</f>
        <v>ok</v>
      </c>
      <c r="I1552" s="11" t="s">
        <v>276</v>
      </c>
      <c r="J1552" s="19" t="str">
        <f>VLOOKUP(Table2[[#This Row], [Author]],People!A:B,2,0)</f>
        <v>MGF</v>
      </c>
      <c r="K1552" s="11"/>
      <c r="L1552" s="11"/>
      <c r="M1552" s="20" t="s">
        <v>1613</v>
      </c>
    </row>
    <row r="1553" spans="1:13" ht="19.5" customHeight="1">
      <c r="A1553" s="21">
        <f t="shared" si="24"/>
        <v>1552</v>
      </c>
      <c r="B1553" s="13" t="s">
        <v>8</v>
      </c>
      <c r="C1553" s="13" t="s">
        <v>68</v>
      </c>
      <c r="D1553" s="13" t="s">
        <v>3192</v>
      </c>
      <c r="E1553" s="13"/>
      <c r="F1553" s="13" t="s">
        <v>2106</v>
      </c>
      <c r="G1553" s="13" t="s">
        <v>13</v>
      </c>
      <c r="H1553" s="22" t="str">
        <f>IFERROR(VLOOKUP(Table2[[#This Row], [Ticket]],Okey!A:B,2,0),"")</f>
        <v>ok</v>
      </c>
      <c r="I1553" s="13" t="s">
        <v>276</v>
      </c>
      <c r="J1553" s="22" t="str">
        <f>VLOOKUP(Table2[[#This Row], [Author]],People!A:B,2,0)</f>
        <v>MGF</v>
      </c>
      <c r="K1553" s="13"/>
      <c r="L1553" s="13"/>
      <c r="M1553" s="23" t="s">
        <v>1613</v>
      </c>
    </row>
    <row r="1554" spans="1:13" ht="19.5" customHeight="1">
      <c r="A1554" s="18">
        <f t="shared" si="24"/>
        <v>1553</v>
      </c>
      <c r="B1554" s="11" t="s">
        <v>8</v>
      </c>
      <c r="C1554" s="11" t="s">
        <v>68</v>
      </c>
      <c r="D1554" s="11" t="s">
        <v>3193</v>
      </c>
      <c r="E1554" s="11"/>
      <c r="F1554" s="11" t="s">
        <v>2106</v>
      </c>
      <c r="G1554" s="11" t="s">
        <v>13</v>
      </c>
      <c r="H1554" s="19" t="str">
        <f>IFERROR(VLOOKUP(Table2[[#This Row], [Ticket]],Okey!A:B,2,0),"")</f>
        <v>ok</v>
      </c>
      <c r="I1554" s="11" t="s">
        <v>276</v>
      </c>
      <c r="J1554" s="19" t="e">
        <f>VLOOKUP(Table2[[#This Row], [Author]],People!A:B,2,0)</f>
        <v>#N/A</v>
      </c>
      <c r="K1554" s="11"/>
      <c r="L1554" s="11"/>
      <c r="M1554" s="20" t="s">
        <v>1613</v>
      </c>
    </row>
    <row r="1555" spans="1:13" ht="19.5" customHeight="1">
      <c r="A1555" s="21">
        <f t="shared" si="24"/>
        <v>1554</v>
      </c>
      <c r="B1555" s="13" t="s">
        <v>8</v>
      </c>
      <c r="C1555" s="13" t="s">
        <v>68</v>
      </c>
      <c r="D1555" s="13" t="s">
        <v>3194</v>
      </c>
      <c r="E1555" s="13"/>
      <c r="F1555" s="13" t="s">
        <v>2106</v>
      </c>
      <c r="G1555" s="13" t="s">
        <v>13</v>
      </c>
      <c r="H1555" s="22" t="str">
        <f>IFERROR(VLOOKUP(Table2[[#This Row], [Ticket]],Okey!A:B,2,0),"")</f>
        <v>ok</v>
      </c>
      <c r="I1555" s="13" t="s">
        <v>276</v>
      </c>
      <c r="J1555" s="22" t="e">
        <f>VLOOKUP(Table2[[#This Row], [Author]],People!A:B,2,0)</f>
        <v>#N/A</v>
      </c>
      <c r="K1555" s="13"/>
      <c r="L1555" s="13"/>
      <c r="M1555" s="23" t="s">
        <v>1613</v>
      </c>
    </row>
    <row r="1556" spans="1:13" ht="19.5" customHeight="1">
      <c r="A1556" s="18">
        <f t="shared" si="24"/>
        <v>1555</v>
      </c>
      <c r="B1556" s="11" t="s">
        <v>8</v>
      </c>
      <c r="C1556" s="11" t="s">
        <v>68</v>
      </c>
      <c r="D1556" s="11" t="s">
        <v>3195</v>
      </c>
      <c r="E1556" s="11"/>
      <c r="F1556" s="11" t="s">
        <v>2121</v>
      </c>
      <c r="G1556" s="11" t="s">
        <v>13</v>
      </c>
      <c r="H1556" s="19" t="str">
        <f>IFERROR(VLOOKUP(Table2[[#This Row], [Ticket]],Okey!A:B,2,0),"")</f>
        <v>ok</v>
      </c>
      <c r="I1556" s="11" t="s">
        <v>276</v>
      </c>
      <c r="J1556" s="19" t="e">
        <f>VLOOKUP(Table2[[#This Row], [Author]],People!A:B,2,0)</f>
        <v>#N/A</v>
      </c>
      <c r="K1556" s="11"/>
      <c r="L1556" s="11"/>
      <c r="M1556" s="20" t="s">
        <v>1613</v>
      </c>
    </row>
    <row r="1557" spans="1:13" ht="19.5" customHeight="1">
      <c r="A1557" s="21">
        <f t="shared" si="24"/>
        <v>1556</v>
      </c>
      <c r="B1557" s="13" t="s">
        <v>8</v>
      </c>
      <c r="C1557" s="13" t="s">
        <v>68</v>
      </c>
      <c r="D1557" s="13" t="s">
        <v>3196</v>
      </c>
      <c r="E1557" s="13"/>
      <c r="F1557" s="13" t="s">
        <v>2121</v>
      </c>
      <c r="G1557" s="13" t="s">
        <v>13</v>
      </c>
      <c r="H1557" s="22" t="str">
        <f>IFERROR(VLOOKUP(Table2[[#This Row], [Ticket]],Okey!A:B,2,0),"")</f>
        <v>ok</v>
      </c>
      <c r="I1557" s="13" t="s">
        <v>276</v>
      </c>
      <c r="J1557" s="22" t="e">
        <f>VLOOKUP(Table2[[#This Row], [Author]],People!A:B,2,0)</f>
        <v>#N/A</v>
      </c>
      <c r="K1557" s="13"/>
      <c r="L1557" s="13"/>
      <c r="M1557" s="23" t="s">
        <v>1613</v>
      </c>
    </row>
    <row r="1558" spans="1:13" ht="19.5" customHeight="1">
      <c r="A1558" s="18">
        <f t="shared" si="24"/>
        <v>1557</v>
      </c>
      <c r="B1558" s="11" t="s">
        <v>8</v>
      </c>
      <c r="C1558" s="11" t="s">
        <v>68</v>
      </c>
      <c r="D1558" s="11" t="s">
        <v>3197</v>
      </c>
      <c r="E1558" s="11"/>
      <c r="F1558" s="11" t="s">
        <v>2140</v>
      </c>
      <c r="G1558" s="11" t="s">
        <v>13</v>
      </c>
      <c r="H1558" s="19" t="str">
        <f>IFERROR(VLOOKUP(Table2[[#This Row], [Ticket]],Okey!A:B,2,0),"")</f>
        <v>ok</v>
      </c>
      <c r="I1558" s="11" t="s">
        <v>276</v>
      </c>
      <c r="J1558" s="19" t="e">
        <f>VLOOKUP(Table2[[#This Row], [Author]],People!A:B,2,0)</f>
        <v>#N/A</v>
      </c>
      <c r="K1558" s="11"/>
      <c r="L1558" s="11"/>
      <c r="M1558" s="20" t="s">
        <v>1613</v>
      </c>
    </row>
    <row r="1559" spans="1:13" ht="19.5" customHeight="1">
      <c r="A1559" s="21">
        <f t="shared" si="24"/>
        <v>1558</v>
      </c>
      <c r="B1559" s="13" t="s">
        <v>8</v>
      </c>
      <c r="C1559" s="13" t="s">
        <v>68</v>
      </c>
      <c r="D1559" s="13" t="s">
        <v>3198</v>
      </c>
      <c r="E1559" s="13"/>
      <c r="F1559" s="13" t="s">
        <v>2140</v>
      </c>
      <c r="G1559" s="13" t="s">
        <v>13</v>
      </c>
      <c r="H1559" s="22" t="str">
        <f>IFERROR(VLOOKUP(Table2[[#This Row], [Ticket]],Okey!A:B,2,0),"")</f>
        <v/>
      </c>
      <c r="I1559" s="13" t="s">
        <v>276</v>
      </c>
      <c r="J1559" s="22" t="str">
        <f>VLOOKUP(Table2[[#This Row], [Author]],People!A:B,2,0)</f>
        <v>MGF</v>
      </c>
      <c r="K1559" s="13"/>
      <c r="L1559" s="13"/>
      <c r="M1559" s="23" t="s">
        <v>1613</v>
      </c>
    </row>
    <row r="1560" spans="1:13" ht="19.5" customHeight="1">
      <c r="A1560" s="18">
        <f t="shared" si="24"/>
        <v>1559</v>
      </c>
      <c r="B1560" s="11" t="s">
        <v>8</v>
      </c>
      <c r="C1560" s="11" t="s">
        <v>68</v>
      </c>
      <c r="D1560" s="11" t="s">
        <v>3199</v>
      </c>
      <c r="E1560" s="11"/>
      <c r="F1560" s="11" t="s">
        <v>2140</v>
      </c>
      <c r="G1560" s="11" t="s">
        <v>13</v>
      </c>
      <c r="H1560" s="19" t="str">
        <f>IFERROR(VLOOKUP(Table2[[#This Row], [Ticket]],Okey!A:B,2,0),"")</f>
        <v/>
      </c>
      <c r="I1560" s="11" t="s">
        <v>276</v>
      </c>
      <c r="J1560" s="19" t="str">
        <f>VLOOKUP(Table2[[#This Row], [Author]],People!A:B,2,0)</f>
        <v>MGF</v>
      </c>
      <c r="K1560" s="11"/>
      <c r="L1560" s="11"/>
      <c r="M1560" s="20" t="s">
        <v>1613</v>
      </c>
    </row>
    <row r="1561" spans="1:13" ht="19.5" customHeight="1">
      <c r="A1561" s="21">
        <f t="shared" si="24"/>
        <v>1560</v>
      </c>
      <c r="B1561" s="13" t="s">
        <v>8</v>
      </c>
      <c r="C1561" s="13" t="s">
        <v>68</v>
      </c>
      <c r="D1561" s="13" t="s">
        <v>3200</v>
      </c>
      <c r="E1561" s="13"/>
      <c r="F1561" s="13" t="s">
        <v>2173</v>
      </c>
      <c r="G1561" s="13" t="s">
        <v>13</v>
      </c>
      <c r="H1561" s="22" t="str">
        <f>IFERROR(VLOOKUP(Table2[[#This Row], [Ticket]],Okey!A:B,2,0),"")</f>
        <v/>
      </c>
      <c r="I1561" s="13" t="s">
        <v>276</v>
      </c>
      <c r="J1561" s="22" t="str">
        <f>VLOOKUP(Table2[[#This Row], [Author]],People!A:B,2,0)</f>
        <v>MGF</v>
      </c>
      <c r="K1561" s="13"/>
      <c r="L1561" s="13"/>
      <c r="M1561" s="23" t="s">
        <v>1613</v>
      </c>
    </row>
    <row r="1562" spans="1:13" ht="19.5" customHeight="1">
      <c r="A1562" s="18">
        <f t="shared" si="24"/>
        <v>1561</v>
      </c>
      <c r="B1562" s="11" t="s">
        <v>8</v>
      </c>
      <c r="C1562" s="11" t="s">
        <v>68</v>
      </c>
      <c r="D1562" s="11" t="s">
        <v>3201</v>
      </c>
      <c r="E1562" s="11"/>
      <c r="F1562" s="11" t="s">
        <v>2178</v>
      </c>
      <c r="G1562" s="11" t="s">
        <v>13</v>
      </c>
      <c r="H1562" s="19" t="str">
        <f>IFERROR(VLOOKUP(Table2[[#This Row], [Ticket]],Okey!A:B,2,0),"")</f>
        <v/>
      </c>
      <c r="I1562" s="11" t="s">
        <v>276</v>
      </c>
      <c r="J1562" s="19" t="str">
        <f>VLOOKUP(Table2[[#This Row], [Author]],People!A:B,2,0)</f>
        <v>MGF</v>
      </c>
      <c r="K1562" s="11"/>
      <c r="L1562" s="11"/>
      <c r="M1562" s="20" t="s">
        <v>1613</v>
      </c>
    </row>
    <row r="1563" spans="1:13" ht="19.5" customHeight="1">
      <c r="A1563" s="21">
        <f t="shared" si="24"/>
        <v>1562</v>
      </c>
      <c r="B1563" s="13" t="s">
        <v>8</v>
      </c>
      <c r="C1563" s="13" t="s">
        <v>68</v>
      </c>
      <c r="D1563" s="13" t="s">
        <v>3202</v>
      </c>
      <c r="E1563" s="13"/>
      <c r="F1563" s="13" t="s">
        <v>2178</v>
      </c>
      <c r="G1563" s="13" t="s">
        <v>13</v>
      </c>
      <c r="H1563" s="22" t="str">
        <f>IFERROR(VLOOKUP(Table2[[#This Row], [Ticket]],Okey!A:B,2,0),"")</f>
        <v/>
      </c>
      <c r="I1563" s="13" t="s">
        <v>276</v>
      </c>
      <c r="J1563" s="22" t="str">
        <f>VLOOKUP(Table2[[#This Row], [Author]],People!A:B,2,0)</f>
        <v>MGF</v>
      </c>
      <c r="K1563" s="13"/>
      <c r="L1563" s="13"/>
      <c r="M1563" s="23" t="s">
        <v>1613</v>
      </c>
    </row>
    <row r="1564" spans="1:13" ht="19.5" customHeight="1">
      <c r="A1564" s="18">
        <f t="shared" si="24"/>
        <v>1563</v>
      </c>
      <c r="B1564" s="11" t="s">
        <v>8</v>
      </c>
      <c r="C1564" s="11" t="s">
        <v>68</v>
      </c>
      <c r="D1564" s="11" t="s">
        <v>3203</v>
      </c>
      <c r="E1564" s="11"/>
      <c r="F1564" s="11" t="s">
        <v>2178</v>
      </c>
      <c r="G1564" s="11" t="s">
        <v>13</v>
      </c>
      <c r="H1564" s="19" t="str">
        <f>IFERROR(VLOOKUP(Table2[[#This Row], [Ticket]],Okey!A:B,2,0),"")</f>
        <v/>
      </c>
      <c r="I1564" s="11" t="s">
        <v>276</v>
      </c>
      <c r="J1564" s="19" t="str">
        <f>VLOOKUP(Table2[[#This Row], [Author]],People!A:B,2,0)</f>
        <v>MGF</v>
      </c>
      <c r="K1564" s="11"/>
      <c r="L1564" s="11"/>
      <c r="M1564" s="20" t="s">
        <v>1613</v>
      </c>
    </row>
    <row r="1565" spans="1:13" ht="19.5" customHeight="1">
      <c r="A1565" s="21">
        <f t="shared" si="24"/>
        <v>1564</v>
      </c>
      <c r="B1565" s="13" t="s">
        <v>8</v>
      </c>
      <c r="C1565" s="13" t="s">
        <v>68</v>
      </c>
      <c r="D1565" s="13" t="s">
        <v>3204</v>
      </c>
      <c r="E1565" s="13"/>
      <c r="F1565" s="13" t="s">
        <v>2178</v>
      </c>
      <c r="G1565" s="13" t="s">
        <v>13</v>
      </c>
      <c r="H1565" s="22" t="str">
        <f>IFERROR(VLOOKUP(Table2[[#This Row], [Ticket]],Okey!A:B,2,0),"")</f>
        <v/>
      </c>
      <c r="I1565" s="13" t="s">
        <v>276</v>
      </c>
      <c r="J1565" s="22" t="str">
        <f>VLOOKUP(Table2[[#This Row], [Author]],People!A:B,2,0)</f>
        <v>MGF</v>
      </c>
      <c r="K1565" s="13"/>
      <c r="L1565" s="13"/>
      <c r="M1565" s="23" t="s">
        <v>1613</v>
      </c>
    </row>
    <row r="1566" spans="1:13" ht="19.5" customHeight="1">
      <c r="A1566" s="18">
        <f t="shared" si="24"/>
        <v>1565</v>
      </c>
      <c r="B1566" s="11" t="s">
        <v>8</v>
      </c>
      <c r="C1566" s="11" t="s">
        <v>68</v>
      </c>
      <c r="D1566" s="11" t="s">
        <v>3205</v>
      </c>
      <c r="E1566" s="11"/>
      <c r="F1566" s="11" t="s">
        <v>2183</v>
      </c>
      <c r="G1566" s="11" t="s">
        <v>13</v>
      </c>
      <c r="H1566" s="19" t="str">
        <f>IFERROR(VLOOKUP(Table2[[#This Row], [Ticket]],Okey!A:B,2,0),"")</f>
        <v/>
      </c>
      <c r="I1566" s="11" t="s">
        <v>276</v>
      </c>
      <c r="J1566" s="19" t="str">
        <f>VLOOKUP(Table2[[#This Row], [Author]],People!A:B,2,0)</f>
        <v>MGF</v>
      </c>
      <c r="K1566" s="11"/>
      <c r="L1566" s="11"/>
      <c r="M1566" s="20" t="s">
        <v>1613</v>
      </c>
    </row>
    <row r="1567" spans="1:13" ht="19.5" customHeight="1">
      <c r="A1567" s="21">
        <f t="shared" si="24"/>
        <v>1566</v>
      </c>
      <c r="B1567" s="13" t="s">
        <v>8</v>
      </c>
      <c r="C1567" s="13" t="s">
        <v>68</v>
      </c>
      <c r="D1567" s="13" t="s">
        <v>3206</v>
      </c>
      <c r="E1567" s="13"/>
      <c r="F1567" s="13" t="s">
        <v>2188</v>
      </c>
      <c r="G1567" s="13" t="s">
        <v>13</v>
      </c>
      <c r="H1567" s="22" t="str">
        <f>IFERROR(VLOOKUP(Table2[[#This Row], [Ticket]],Okey!A:B,2,0),"")</f>
        <v/>
      </c>
      <c r="I1567" s="13" t="s">
        <v>276</v>
      </c>
      <c r="J1567" s="22" t="str">
        <f>VLOOKUP(Table2[[#This Row], [Author]],People!A:B,2,0)</f>
        <v>MGF</v>
      </c>
      <c r="K1567" s="13"/>
      <c r="L1567" s="13"/>
      <c r="M1567" s="23" t="s">
        <v>1613</v>
      </c>
    </row>
    <row r="1568" spans="1:13" ht="19.5" customHeight="1">
      <c r="A1568" s="18">
        <f t="shared" si="24"/>
        <v>1567</v>
      </c>
      <c r="B1568" s="11" t="s">
        <v>8</v>
      </c>
      <c r="C1568" s="11" t="s">
        <v>68</v>
      </c>
      <c r="D1568" s="11" t="s">
        <v>3207</v>
      </c>
      <c r="E1568" s="11"/>
      <c r="F1568" s="11" t="s">
        <v>2246</v>
      </c>
      <c r="G1568" s="11" t="s">
        <v>13</v>
      </c>
      <c r="H1568" s="19" t="str">
        <f>IFERROR(VLOOKUP(Table2[[#This Row], [Ticket]],Okey!A:B,2,0),"")</f>
        <v/>
      </c>
      <c r="I1568" s="11" t="s">
        <v>276</v>
      </c>
      <c r="J1568" s="19" t="str">
        <f>VLOOKUP(Table2[[#This Row], [Author]],People!A:B,2,0)</f>
        <v>MGF</v>
      </c>
      <c r="K1568" s="11"/>
      <c r="L1568" s="11"/>
      <c r="M1568" s="20" t="s">
        <v>1613</v>
      </c>
    </row>
    <row r="1569" spans="1:13" ht="19.5" customHeight="1">
      <c r="A1569" s="21">
        <f t="shared" si="24"/>
        <v>1568</v>
      </c>
      <c r="B1569" s="13" t="s">
        <v>8</v>
      </c>
      <c r="C1569" s="13" t="s">
        <v>68</v>
      </c>
      <c r="D1569" s="13" t="s">
        <v>3208</v>
      </c>
      <c r="E1569" s="13"/>
      <c r="F1569" s="13" t="s">
        <v>2251</v>
      </c>
      <c r="G1569" s="13" t="s">
        <v>13</v>
      </c>
      <c r="H1569" s="22" t="str">
        <f>IFERROR(VLOOKUP(Table2[[#This Row], [Ticket]],Okey!A:B,2,0),"")</f>
        <v/>
      </c>
      <c r="I1569" s="13" t="s">
        <v>276</v>
      </c>
      <c r="J1569" s="22" t="str">
        <f>VLOOKUP(Table2[[#This Row], [Author]],People!A:B,2,0)</f>
        <v>MGF</v>
      </c>
      <c r="K1569" s="13"/>
      <c r="L1569" s="13"/>
      <c r="M1569" s="23" t="s">
        <v>1613</v>
      </c>
    </row>
    <row r="1570" spans="1:13" ht="19.5" customHeight="1">
      <c r="A1570" s="18">
        <f t="shared" si="24"/>
        <v>1569</v>
      </c>
      <c r="B1570" s="11" t="s">
        <v>8</v>
      </c>
      <c r="C1570" s="11" t="s">
        <v>68</v>
      </c>
      <c r="D1570" s="11" t="s">
        <v>3209</v>
      </c>
      <c r="E1570" s="11"/>
      <c r="F1570" s="11" t="s">
        <v>1622</v>
      </c>
      <c r="G1570" s="11" t="s">
        <v>13</v>
      </c>
      <c r="H1570" s="19" t="str">
        <f>IFERROR(VLOOKUP(Table2[[#This Row], [Ticket]],Okey!A:B,2,0),"")</f>
        <v/>
      </c>
      <c r="I1570" s="11" t="s">
        <v>276</v>
      </c>
      <c r="J1570" s="19" t="str">
        <f>VLOOKUP(Table2[[#This Row], [Author]],People!A:B,2,0)</f>
        <v>MGF</v>
      </c>
      <c r="K1570" s="11"/>
      <c r="L1570" s="11"/>
      <c r="M1570" s="20" t="s">
        <v>1613</v>
      </c>
    </row>
    <row r="1571" spans="1:13" ht="19.5" customHeight="1">
      <c r="A1571" s="21">
        <f t="shared" si="24"/>
        <v>1570</v>
      </c>
      <c r="B1571" s="13" t="s">
        <v>8</v>
      </c>
      <c r="C1571" s="13" t="s">
        <v>68</v>
      </c>
      <c r="D1571" s="13" t="s">
        <v>3210</v>
      </c>
      <c r="E1571" s="13"/>
      <c r="F1571" s="13" t="s">
        <v>2441</v>
      </c>
      <c r="G1571" s="13" t="s">
        <v>13</v>
      </c>
      <c r="H1571" s="22" t="str">
        <f>IFERROR(VLOOKUP(Table2[[#This Row], [Ticket]],Okey!A:B,2,0),"")</f>
        <v/>
      </c>
      <c r="I1571" s="13" t="s">
        <v>276</v>
      </c>
      <c r="J1571" s="22" t="str">
        <f>VLOOKUP(Table2[[#This Row], [Author]],People!A:B,2,0)</f>
        <v>MGF</v>
      </c>
      <c r="K1571" s="13"/>
      <c r="L1571" s="13"/>
      <c r="M1571" s="23" t="s">
        <v>1613</v>
      </c>
    </row>
    <row r="1572" spans="1:13" ht="19.5" customHeight="1">
      <c r="A1572" s="18">
        <f t="shared" si="24"/>
        <v>1571</v>
      </c>
      <c r="B1572" s="11" t="s">
        <v>8</v>
      </c>
      <c r="C1572" s="11" t="s">
        <v>68</v>
      </c>
      <c r="D1572" s="11" t="s">
        <v>3211</v>
      </c>
      <c r="E1572" s="11"/>
      <c r="F1572" s="11" t="s">
        <v>2441</v>
      </c>
      <c r="G1572" s="11" t="s">
        <v>13</v>
      </c>
      <c r="H1572" s="19" t="str">
        <f>IFERROR(VLOOKUP(Table2[[#This Row], [Ticket]],Okey!A:B,2,0),"")</f>
        <v/>
      </c>
      <c r="I1572" s="11" t="s">
        <v>276</v>
      </c>
      <c r="J1572" s="19" t="str">
        <f>VLOOKUP(Table2[[#This Row], [Author]],People!A:B,2,0)</f>
        <v>MGF</v>
      </c>
      <c r="K1572" s="11"/>
      <c r="L1572" s="11"/>
      <c r="M1572" s="20" t="s">
        <v>1613</v>
      </c>
    </row>
    <row r="1573" spans="1:13" ht="19.5" customHeight="1">
      <c r="A1573" s="21">
        <f t="shared" si="24"/>
        <v>1572</v>
      </c>
      <c r="B1573" s="13" t="s">
        <v>8</v>
      </c>
      <c r="C1573" s="13" t="s">
        <v>68</v>
      </c>
      <c r="D1573" s="13" t="s">
        <v>2438</v>
      </c>
      <c r="E1573" s="13"/>
      <c r="F1573" s="13" t="s">
        <v>2441</v>
      </c>
      <c r="G1573" s="13" t="s">
        <v>13</v>
      </c>
      <c r="H1573" s="22" t="str">
        <f>IFERROR(VLOOKUP(Table2[[#This Row], [Ticket]],Okey!A:B,2,0),"")</f>
        <v/>
      </c>
      <c r="I1573" s="13" t="s">
        <v>276</v>
      </c>
      <c r="J1573" s="22" t="str">
        <f>VLOOKUP(Table2[[#This Row], [Author]],People!A:B,2,0)</f>
        <v>MGF</v>
      </c>
      <c r="K1573" s="13"/>
      <c r="L1573" s="13"/>
      <c r="M1573" s="23" t="s">
        <v>1613</v>
      </c>
    </row>
    <row r="1574" spans="1:13" ht="19.5" customHeight="1">
      <c r="A1574" s="18">
        <f t="shared" si="24"/>
        <v>1573</v>
      </c>
      <c r="B1574" s="11" t="s">
        <v>8</v>
      </c>
      <c r="C1574" s="11" t="s">
        <v>68</v>
      </c>
      <c r="D1574" s="11" t="s">
        <v>2625</v>
      </c>
      <c r="E1574" s="11"/>
      <c r="F1574" s="11" t="s">
        <v>3170</v>
      </c>
      <c r="G1574" s="11" t="s">
        <v>13</v>
      </c>
      <c r="H1574" s="19" t="str">
        <f>IFERROR(VLOOKUP(Table2[[#This Row], [Ticket]],Okey!A:B,2,0),"")</f>
        <v/>
      </c>
      <c r="I1574" s="11" t="s">
        <v>276</v>
      </c>
      <c r="J1574" s="19" t="str">
        <f>VLOOKUP(Table2[[#This Row], [Author]],People!A:B,2,0)</f>
        <v>MGF</v>
      </c>
      <c r="K1574" s="11"/>
      <c r="L1574" s="11"/>
      <c r="M1574" s="20" t="s">
        <v>1613</v>
      </c>
    </row>
    <row r="1575" spans="1:13" ht="19.5" customHeight="1">
      <c r="A1575" s="21">
        <f t="shared" si="24"/>
        <v>1574</v>
      </c>
      <c r="B1575" s="13" t="s">
        <v>8</v>
      </c>
      <c r="C1575" s="13" t="s">
        <v>68</v>
      </c>
      <c r="D1575" s="13" t="s">
        <v>3212</v>
      </c>
      <c r="E1575" s="13"/>
      <c r="F1575" s="13" t="s">
        <v>2607</v>
      </c>
      <c r="G1575" s="13" t="s">
        <v>13</v>
      </c>
      <c r="H1575" s="22" t="str">
        <f>IFERROR(VLOOKUP(Table2[[#This Row], [Ticket]],Okey!A:B,2,0),"")</f>
        <v/>
      </c>
      <c r="I1575" s="13" t="s">
        <v>276</v>
      </c>
      <c r="J1575" s="22" t="str">
        <f>VLOOKUP(Table2[[#This Row], [Author]],People!A:B,2,0)</f>
        <v>MGF</v>
      </c>
      <c r="K1575" s="13"/>
      <c r="L1575" s="13"/>
      <c r="M1575" s="23" t="s">
        <v>1613</v>
      </c>
    </row>
    <row r="1576" spans="1:13" ht="19.5" customHeight="1">
      <c r="A1576" s="18">
        <f t="shared" si="24"/>
        <v>1575</v>
      </c>
      <c r="B1576" s="11" t="s">
        <v>8</v>
      </c>
      <c r="C1576" s="11" t="s">
        <v>68</v>
      </c>
      <c r="D1576" s="11" t="s">
        <v>3213</v>
      </c>
      <c r="E1576" s="11"/>
      <c r="F1576" s="11" t="s">
        <v>2607</v>
      </c>
      <c r="G1576" s="11" t="s">
        <v>13</v>
      </c>
      <c r="H1576" s="19" t="str">
        <f>IFERROR(VLOOKUP(Table2[[#This Row], [Ticket]],Okey!A:B,2,0),"")</f>
        <v/>
      </c>
      <c r="I1576" s="11" t="s">
        <v>276</v>
      </c>
      <c r="J1576" s="19" t="str">
        <f>VLOOKUP(Table2[[#This Row], [Author]],People!A:B,2,0)</f>
        <v>MGF</v>
      </c>
      <c r="K1576" s="11"/>
      <c r="L1576" s="11"/>
      <c r="M1576" s="20" t="s">
        <v>1613</v>
      </c>
    </row>
    <row r="1577" spans="1:13" ht="19.5" customHeight="1">
      <c r="A1577" s="21">
        <f t="shared" si="24"/>
        <v>1576</v>
      </c>
      <c r="B1577" s="13" t="s">
        <v>8</v>
      </c>
      <c r="C1577" s="13" t="s">
        <v>68</v>
      </c>
      <c r="D1577" s="13" t="s">
        <v>3214</v>
      </c>
      <c r="E1577" s="13"/>
      <c r="F1577" s="13" t="s">
        <v>3215</v>
      </c>
      <c r="G1577" s="13" t="s">
        <v>13</v>
      </c>
      <c r="H1577" s="22" t="str">
        <f>IFERROR(VLOOKUP(Table2[[#This Row], [Ticket]],Okey!A:B,2,0),"")</f>
        <v/>
      </c>
      <c r="I1577" s="13" t="s">
        <v>276</v>
      </c>
      <c r="J1577" s="22" t="str">
        <f>VLOOKUP(Table2[[#This Row], [Author]],People!A:B,2,0)</f>
        <v>MGF</v>
      </c>
      <c r="K1577" s="13"/>
      <c r="L1577" s="13"/>
      <c r="M1577" s="23" t="s">
        <v>1613</v>
      </c>
    </row>
    <row r="1578" spans="1:13" ht="19.5" customHeight="1">
      <c r="A1578" s="18">
        <f t="shared" si="24"/>
        <v>1577</v>
      </c>
      <c r="B1578" s="11" t="s">
        <v>8</v>
      </c>
      <c r="C1578" s="11" t="s">
        <v>68</v>
      </c>
      <c r="D1578" s="11" t="s">
        <v>3216</v>
      </c>
      <c r="E1578" s="11"/>
      <c r="F1578" s="11" t="s">
        <v>3215</v>
      </c>
      <c r="G1578" s="11" t="s">
        <v>13</v>
      </c>
      <c r="H1578" s="19" t="str">
        <f>IFERROR(VLOOKUP(Table2[[#This Row], [Ticket]],Okey!A:B,2,0),"")</f>
        <v/>
      </c>
      <c r="I1578" s="11" t="s">
        <v>276</v>
      </c>
      <c r="J1578" s="19" t="str">
        <f>VLOOKUP(Table2[[#This Row], [Author]],People!A:B,2,0)</f>
        <v>MGF</v>
      </c>
      <c r="K1578" s="11"/>
      <c r="L1578" s="11"/>
      <c r="M1578" s="20" t="s">
        <v>1613</v>
      </c>
    </row>
    <row r="1579" spans="1:13" ht="19.5" customHeight="1">
      <c r="A1579" s="21">
        <f t="shared" si="24"/>
        <v>1578</v>
      </c>
      <c r="B1579" s="13" t="s">
        <v>8</v>
      </c>
      <c r="C1579" s="13" t="s">
        <v>68</v>
      </c>
      <c r="D1579" s="13" t="s">
        <v>3217</v>
      </c>
      <c r="E1579" s="13"/>
      <c r="F1579" s="13"/>
      <c r="G1579" s="13" t="s">
        <v>12</v>
      </c>
      <c r="H1579" s="22" t="str">
        <f>IFERROR(VLOOKUP(Table2[[#This Row], [Ticket]],Okey!A:B,2,0),"")</f>
        <v/>
      </c>
      <c r="I1579" s="13" t="s">
        <v>276</v>
      </c>
      <c r="J1579" s="22" t="str">
        <f>VLOOKUP(Table2[[#This Row], [Author]],People!A:B,2,0)</f>
        <v>MGF</v>
      </c>
      <c r="K1579" s="13"/>
      <c r="L1579" s="13"/>
      <c r="M1579" s="23" t="s">
        <v>1613</v>
      </c>
    </row>
    <row r="1580" spans="1:13" ht="19.5" customHeight="1">
      <c r="A1580" s="18">
        <f t="shared" si="24"/>
        <v>1579</v>
      </c>
      <c r="B1580" s="11" t="s">
        <v>8</v>
      </c>
      <c r="C1580" s="11" t="s">
        <v>68</v>
      </c>
      <c r="D1580" s="11" t="s">
        <v>3218</v>
      </c>
      <c r="E1580" s="11"/>
      <c r="F1580" s="11"/>
      <c r="G1580" s="11" t="s">
        <v>12</v>
      </c>
      <c r="H1580" s="19" t="str">
        <f>IFERROR(VLOOKUP(Table2[[#This Row], [Ticket]],Okey!A:B,2,0),"")</f>
        <v/>
      </c>
      <c r="I1580" s="11" t="s">
        <v>276</v>
      </c>
      <c r="J1580" s="19" t="str">
        <f>VLOOKUP(Table2[[#This Row], [Author]],People!A:B,2,0)</f>
        <v>MGF</v>
      </c>
      <c r="K1580" s="11"/>
      <c r="L1580" s="11"/>
      <c r="M1580" s="20" t="s">
        <v>1613</v>
      </c>
    </row>
    <row r="1581" spans="1:13" ht="19.5" customHeight="1">
      <c r="A1581" s="21">
        <f t="shared" si="24"/>
        <v>1580</v>
      </c>
      <c r="B1581" s="13" t="s">
        <v>8</v>
      </c>
      <c r="C1581" s="13" t="s">
        <v>69</v>
      </c>
      <c r="D1581" s="13" t="s">
        <v>1788</v>
      </c>
      <c r="E1581" s="13"/>
      <c r="F1581" s="13" t="s">
        <v>3219</v>
      </c>
      <c r="G1581" s="13" t="s">
        <v>13</v>
      </c>
      <c r="H1581" s="22" t="str">
        <f>IFERROR(VLOOKUP(Table2[[#This Row], [Ticket]],Okey!A:B,2,0),"")</f>
        <v/>
      </c>
      <c r="I1581" s="13" t="s">
        <v>276</v>
      </c>
      <c r="J1581" s="22" t="str">
        <f>VLOOKUP(Table2[[#This Row], [Author]],People!A:B,2,0)</f>
        <v>MGF</v>
      </c>
      <c r="K1581" s="13"/>
      <c r="L1581" s="13"/>
      <c r="M1581" s="23" t="s">
        <v>277</v>
      </c>
    </row>
    <row r="1582" spans="1:13" ht="19.5" customHeight="1">
      <c r="A1582" s="18">
        <f t="shared" si="24"/>
        <v>1581</v>
      </c>
      <c r="B1582" s="11" t="s">
        <v>8</v>
      </c>
      <c r="C1582" s="11" t="s">
        <v>70</v>
      </c>
      <c r="D1582" s="11" t="s">
        <v>997</v>
      </c>
      <c r="E1582" s="11"/>
      <c r="F1582" s="11"/>
      <c r="G1582" s="11" t="s">
        <v>12</v>
      </c>
      <c r="H1582" s="19" t="str">
        <f>IFERROR(VLOOKUP(Table2[[#This Row], [Ticket]],Okey!A:B,2,0),"")</f>
        <v/>
      </c>
      <c r="I1582" s="11" t="s">
        <v>276</v>
      </c>
      <c r="J1582" s="19" t="str">
        <f>VLOOKUP(Table2[[#This Row], [Author]],People!A:B,2,0)</f>
        <v>MGF</v>
      </c>
      <c r="K1582" s="11"/>
      <c r="L1582" s="11"/>
      <c r="M1582" s="20" t="s">
        <v>1230</v>
      </c>
    </row>
    <row r="1583" spans="1:13" ht="19.5" customHeight="1">
      <c r="A1583" s="21">
        <f t="shared" si="24"/>
        <v>1582</v>
      </c>
      <c r="B1583" s="13" t="s">
        <v>8</v>
      </c>
      <c r="C1583" s="13" t="s">
        <v>70</v>
      </c>
      <c r="D1583" s="13" t="s">
        <v>1000</v>
      </c>
      <c r="E1583" s="13"/>
      <c r="F1583" s="13"/>
      <c r="G1583" s="13" t="s">
        <v>12</v>
      </c>
      <c r="H1583" s="22" t="str">
        <f>IFERROR(VLOOKUP(Table2[[#This Row], [Ticket]],Okey!A:B,2,0),"")</f>
        <v/>
      </c>
      <c r="I1583" s="13" t="s">
        <v>276</v>
      </c>
      <c r="J1583" s="22" t="str">
        <f>VLOOKUP(Table2[[#This Row], [Author]],People!A:B,2,0)</f>
        <v>MGF</v>
      </c>
      <c r="K1583" s="13"/>
      <c r="L1583" s="13"/>
      <c r="M1583" s="23" t="s">
        <v>1230</v>
      </c>
    </row>
    <row r="1584" spans="1:13" ht="19.5" customHeight="1">
      <c r="A1584" s="18">
        <f t="shared" si="24"/>
        <v>1583</v>
      </c>
      <c r="B1584" s="11" t="s">
        <v>8</v>
      </c>
      <c r="C1584" s="11" t="s">
        <v>70</v>
      </c>
      <c r="D1584" s="11" t="s">
        <v>1238</v>
      </c>
      <c r="E1584" s="11"/>
      <c r="F1584" s="11" t="s">
        <v>3220</v>
      </c>
      <c r="G1584" s="11" t="s">
        <v>13</v>
      </c>
      <c r="H1584" s="19" t="str">
        <f>IFERROR(VLOOKUP(Table2[[#This Row], [Ticket]],Okey!A:B,2,0),"")</f>
        <v/>
      </c>
      <c r="I1584" s="11" t="s">
        <v>276</v>
      </c>
      <c r="J1584" s="19" t="str">
        <f>VLOOKUP(Table2[[#This Row], [Author]],People!A:B,2,0)</f>
        <v>MGF</v>
      </c>
      <c r="K1584" s="11"/>
      <c r="L1584" s="11"/>
      <c r="M1584" s="20" t="s">
        <v>1230</v>
      </c>
    </row>
    <row r="1585" spans="1:13" ht="19.5" customHeight="1">
      <c r="A1585" s="21">
        <f t="shared" si="24"/>
        <v>1584</v>
      </c>
      <c r="B1585" s="13" t="s">
        <v>8</v>
      </c>
      <c r="C1585" s="13" t="s">
        <v>70</v>
      </c>
      <c r="D1585" s="13" t="s">
        <v>3221</v>
      </c>
      <c r="E1585" s="13"/>
      <c r="F1585" s="13"/>
      <c r="G1585" s="13" t="s">
        <v>12</v>
      </c>
      <c r="H1585" s="22" t="str">
        <f>IFERROR(VLOOKUP(Table2[[#This Row], [Ticket]],Okey!A:B,2,0),"")</f>
        <v/>
      </c>
      <c r="I1585" s="13" t="s">
        <v>276</v>
      </c>
      <c r="J1585" s="22" t="str">
        <f>VLOOKUP(Table2[[#This Row], [Author]],People!A:B,2,0)</f>
        <v>MGF</v>
      </c>
      <c r="K1585" s="13"/>
      <c r="L1585" s="13"/>
      <c r="M1585" s="23" t="s">
        <v>1230</v>
      </c>
    </row>
    <row r="1586" spans="1:13" ht="19.5" customHeight="1">
      <c r="A1586" s="18">
        <f t="shared" si="24"/>
        <v>1585</v>
      </c>
      <c r="B1586" s="11" t="s">
        <v>8</v>
      </c>
      <c r="C1586" s="11" t="s">
        <v>68</v>
      </c>
      <c r="D1586" s="11" t="s">
        <v>3222</v>
      </c>
      <c r="E1586" s="11" t="s">
        <v>2291</v>
      </c>
      <c r="F1586" s="11" t="s">
        <v>2288</v>
      </c>
      <c r="G1586" s="11" t="s">
        <v>14</v>
      </c>
      <c r="H1586" s="19" t="str">
        <f>IFERROR(VLOOKUP(Table2[[#This Row], [Ticket]],Okey!A:B,2,0),"")</f>
        <v/>
      </c>
      <c r="I1586" s="11" t="s">
        <v>276</v>
      </c>
      <c r="J1586" s="19" t="str">
        <f>VLOOKUP(Table2[[#This Row], [Author]],People!A:B,2,0)</f>
        <v>MGF</v>
      </c>
      <c r="K1586" s="11"/>
      <c r="L1586" s="11"/>
      <c r="M1586" s="20" t="s">
        <v>1613</v>
      </c>
    </row>
    <row r="1587" spans="1:13" ht="19.5" customHeight="1">
      <c r="A1587" s="21">
        <f t="shared" si="24"/>
        <v>1586</v>
      </c>
      <c r="B1587" s="13" t="s">
        <v>8</v>
      </c>
      <c r="C1587" s="13" t="s">
        <v>68</v>
      </c>
      <c r="D1587" s="13" t="s">
        <v>3223</v>
      </c>
      <c r="E1587" s="13" t="s">
        <v>2294</v>
      </c>
      <c r="F1587" s="13" t="s">
        <v>2288</v>
      </c>
      <c r="G1587" s="13" t="s">
        <v>14</v>
      </c>
      <c r="H1587" s="22" t="str">
        <f>IFERROR(VLOOKUP(Table2[[#This Row], [Ticket]],Okey!A:B,2,0),"")</f>
        <v/>
      </c>
      <c r="I1587" s="13" t="s">
        <v>276</v>
      </c>
      <c r="J1587" s="22" t="str">
        <f>VLOOKUP(Table2[[#This Row], [Author]],People!A:B,2,0)</f>
        <v>MGF</v>
      </c>
      <c r="K1587" s="13"/>
      <c r="L1587" s="13"/>
      <c r="M1587" s="23" t="s">
        <v>1613</v>
      </c>
    </row>
    <row r="1588" spans="1:13" ht="19.5" customHeight="1">
      <c r="A1588" s="18">
        <f t="shared" si="24"/>
        <v>1587</v>
      </c>
      <c r="B1588" s="11" t="s">
        <v>8</v>
      </c>
      <c r="C1588" s="11" t="s">
        <v>68</v>
      </c>
      <c r="D1588" s="11" t="s">
        <v>3224</v>
      </c>
      <c r="E1588" s="11" t="s">
        <v>2298</v>
      </c>
      <c r="F1588" s="11" t="s">
        <v>2295</v>
      </c>
      <c r="G1588" s="11" t="s">
        <v>14</v>
      </c>
      <c r="H1588" s="19" t="str">
        <f>IFERROR(VLOOKUP(Table2[[#This Row], [Ticket]],Okey!A:B,2,0),"")</f>
        <v/>
      </c>
      <c r="I1588" s="11" t="s">
        <v>276</v>
      </c>
      <c r="J1588" s="19" t="str">
        <f>VLOOKUP(Table2[[#This Row], [Author]],People!A:B,2,0)</f>
        <v>MGF</v>
      </c>
      <c r="K1588" s="11"/>
      <c r="L1588" s="11"/>
      <c r="M1588" s="20" t="s">
        <v>1613</v>
      </c>
    </row>
    <row r="1589" spans="1:13" ht="19.5" customHeight="1">
      <c r="A1589" s="21">
        <f t="shared" si="24"/>
        <v>1588</v>
      </c>
      <c r="B1589" s="13" t="s">
        <v>8</v>
      </c>
      <c r="C1589" s="13" t="s">
        <v>68</v>
      </c>
      <c r="D1589" s="13" t="s">
        <v>3225</v>
      </c>
      <c r="E1589" s="13" t="s">
        <v>2300</v>
      </c>
      <c r="F1589" s="13" t="s">
        <v>2295</v>
      </c>
      <c r="G1589" s="13" t="s">
        <v>14</v>
      </c>
      <c r="H1589" s="22" t="str">
        <f>IFERROR(VLOOKUP(Table2[[#This Row], [Ticket]],Okey!A:B,2,0),"")</f>
        <v/>
      </c>
      <c r="I1589" s="13" t="s">
        <v>276</v>
      </c>
      <c r="J1589" s="22" t="str">
        <f>VLOOKUP(Table2[[#This Row], [Author]],People!A:B,2,0)</f>
        <v>MGF</v>
      </c>
      <c r="K1589" s="13"/>
      <c r="L1589" s="13"/>
      <c r="M1589" s="23" t="s">
        <v>1613</v>
      </c>
    </row>
    <row r="1590" spans="1:13" ht="19.5" customHeight="1">
      <c r="A1590" s="18">
        <f t="shared" si="24"/>
        <v>1589</v>
      </c>
      <c r="B1590" s="11" t="s">
        <v>8</v>
      </c>
      <c r="C1590" s="11" t="s">
        <v>68</v>
      </c>
      <c r="D1590" s="11" t="s">
        <v>3226</v>
      </c>
      <c r="E1590" s="11" t="s">
        <v>2279</v>
      </c>
      <c r="F1590" s="11" t="s">
        <v>2276</v>
      </c>
      <c r="G1590" s="11" t="s">
        <v>14</v>
      </c>
      <c r="H1590" s="19" t="str">
        <f>IFERROR(VLOOKUP(Table2[[#This Row], [Ticket]],Okey!A:B,2,0),"")</f>
        <v/>
      </c>
      <c r="I1590" s="11" t="s">
        <v>276</v>
      </c>
      <c r="J1590" s="19" t="str">
        <f>VLOOKUP(Table2[[#This Row], [Author]],People!A:B,2,0)</f>
        <v>MGF</v>
      </c>
      <c r="K1590" s="11"/>
      <c r="L1590" s="11"/>
      <c r="M1590" s="20" t="s">
        <v>1613</v>
      </c>
    </row>
    <row r="1591" spans="1:13" ht="19.5" customHeight="1">
      <c r="A1591" s="21">
        <f t="shared" si="24"/>
        <v>1590</v>
      </c>
      <c r="B1591" s="13" t="s">
        <v>8</v>
      </c>
      <c r="C1591" s="13" t="s">
        <v>68</v>
      </c>
      <c r="D1591" s="13" t="s">
        <v>3227</v>
      </c>
      <c r="E1591" s="13" t="s">
        <v>2282</v>
      </c>
      <c r="F1591" s="13" t="s">
        <v>2276</v>
      </c>
      <c r="G1591" s="13" t="s">
        <v>14</v>
      </c>
      <c r="H1591" s="22" t="str">
        <f>IFERROR(VLOOKUP(Table2[[#This Row], [Ticket]],Okey!A:B,2,0),"")</f>
        <v/>
      </c>
      <c r="I1591" s="13" t="s">
        <v>276</v>
      </c>
      <c r="J1591" s="22" t="str">
        <f>VLOOKUP(Table2[[#This Row], [Author]],People!A:B,2,0)</f>
        <v>MGF</v>
      </c>
      <c r="K1591" s="13"/>
      <c r="L1591" s="13"/>
      <c r="M1591" s="23" t="s">
        <v>1613</v>
      </c>
    </row>
    <row r="1592" spans="1:13" ht="19.5" customHeight="1">
      <c r="A1592" s="18">
        <f t="shared" si="24"/>
        <v>1591</v>
      </c>
      <c r="B1592" s="11" t="s">
        <v>8</v>
      </c>
      <c r="C1592" s="11" t="s">
        <v>68</v>
      </c>
      <c r="D1592" s="11" t="s">
        <v>3228</v>
      </c>
      <c r="E1592" s="11" t="s">
        <v>2259</v>
      </c>
      <c r="F1592" s="11" t="s">
        <v>2256</v>
      </c>
      <c r="G1592" s="11" t="s">
        <v>14</v>
      </c>
      <c r="H1592" s="19" t="str">
        <f>IFERROR(VLOOKUP(Table2[[#This Row], [Ticket]],Okey!A:B,2,0),"")</f>
        <v/>
      </c>
      <c r="I1592" s="11" t="s">
        <v>276</v>
      </c>
      <c r="J1592" s="19" t="str">
        <f>VLOOKUP(Table2[[#This Row], [Author]],People!A:B,2,0)</f>
        <v>MGF</v>
      </c>
      <c r="K1592" s="11"/>
      <c r="L1592" s="11"/>
      <c r="M1592" s="20" t="s">
        <v>1613</v>
      </c>
    </row>
    <row r="1593" spans="1:13" ht="19.5" customHeight="1">
      <c r="A1593" s="21">
        <f t="shared" si="24"/>
        <v>1592</v>
      </c>
      <c r="B1593" s="13" t="s">
        <v>8</v>
      </c>
      <c r="C1593" s="13" t="s">
        <v>68</v>
      </c>
      <c r="D1593" s="13" t="s">
        <v>3229</v>
      </c>
      <c r="E1593" s="13" t="s">
        <v>2262</v>
      </c>
      <c r="F1593" s="13" t="s">
        <v>2256</v>
      </c>
      <c r="G1593" s="13" t="s">
        <v>14</v>
      </c>
      <c r="H1593" s="22" t="str">
        <f>IFERROR(VLOOKUP(Table2[[#This Row], [Ticket]],Okey!A:B,2,0),"")</f>
        <v/>
      </c>
      <c r="I1593" s="13" t="s">
        <v>276</v>
      </c>
      <c r="J1593" s="22" t="str">
        <f>VLOOKUP(Table2[[#This Row], [Author]],People!A:B,2,0)</f>
        <v>MGF</v>
      </c>
      <c r="K1593" s="13"/>
      <c r="L1593" s="13"/>
      <c r="M1593" s="23" t="s">
        <v>1613</v>
      </c>
    </row>
    <row r="1594" spans="1:13" ht="19.5" customHeight="1">
      <c r="A1594" s="18">
        <f t="shared" si="24"/>
        <v>1593</v>
      </c>
      <c r="B1594" s="11" t="s">
        <v>8</v>
      </c>
      <c r="C1594" s="11" t="s">
        <v>68</v>
      </c>
      <c r="D1594" s="11" t="s">
        <v>3230</v>
      </c>
      <c r="E1594" s="11" t="s">
        <v>2266</v>
      </c>
      <c r="F1594" s="11" t="s">
        <v>2263</v>
      </c>
      <c r="G1594" s="11" t="s">
        <v>14</v>
      </c>
      <c r="H1594" s="19" t="str">
        <f>IFERROR(VLOOKUP(Table2[[#This Row], [Ticket]],Okey!A:B,2,0),"")</f>
        <v/>
      </c>
      <c r="I1594" s="11" t="s">
        <v>276</v>
      </c>
      <c r="J1594" s="19" t="str">
        <f>VLOOKUP(Table2[[#This Row], [Author]],People!A:B,2,0)</f>
        <v>MGF</v>
      </c>
      <c r="K1594" s="11"/>
      <c r="L1594" s="11"/>
      <c r="M1594" s="20" t="s">
        <v>1613</v>
      </c>
    </row>
    <row r="1595" spans="1:13" ht="19.5" customHeight="1">
      <c r="A1595" s="21">
        <f t="shared" si="24"/>
        <v>1594</v>
      </c>
      <c r="B1595" s="13" t="s">
        <v>8</v>
      </c>
      <c r="C1595" s="13" t="s">
        <v>68</v>
      </c>
      <c r="D1595" s="13" t="s">
        <v>3231</v>
      </c>
      <c r="E1595" s="13" t="s">
        <v>2268</v>
      </c>
      <c r="F1595" s="13" t="s">
        <v>2263</v>
      </c>
      <c r="G1595" s="13" t="s">
        <v>14</v>
      </c>
      <c r="H1595" s="22" t="str">
        <f>IFERROR(VLOOKUP(Table2[[#This Row], [Ticket]],Okey!A:B,2,0),"")</f>
        <v/>
      </c>
      <c r="I1595" s="13" t="s">
        <v>276</v>
      </c>
      <c r="J1595" s="22" t="str">
        <f>VLOOKUP(Table2[[#This Row], [Author]],People!A:B,2,0)</f>
        <v>MGF</v>
      </c>
      <c r="K1595" s="13"/>
      <c r="L1595" s="13"/>
      <c r="M1595" s="23" t="s">
        <v>1613</v>
      </c>
    </row>
    <row r="1596" spans="1:13" ht="19.5" customHeight="1">
      <c r="A1596" s="18">
        <f t="shared" si="24"/>
        <v>1595</v>
      </c>
      <c r="B1596" s="11" t="s">
        <v>8</v>
      </c>
      <c r="C1596" s="11" t="s">
        <v>68</v>
      </c>
      <c r="D1596" s="11" t="s">
        <v>3232</v>
      </c>
      <c r="E1596" s="11" t="s">
        <v>3233</v>
      </c>
      <c r="F1596" s="11" t="s">
        <v>1622</v>
      </c>
      <c r="G1596" s="11" t="s">
        <v>14</v>
      </c>
      <c r="H1596" s="19" t="str">
        <f>IFERROR(VLOOKUP(Table2[[#This Row], [Ticket]],Okey!A:B,2,0),"")</f>
        <v/>
      </c>
      <c r="I1596" s="11" t="s">
        <v>276</v>
      </c>
      <c r="J1596" s="19" t="str">
        <f>VLOOKUP(Table2[[#This Row], [Author]],People!A:B,2,0)</f>
        <v>MGF</v>
      </c>
      <c r="K1596" s="11"/>
      <c r="L1596" s="11"/>
      <c r="M1596" s="20" t="s">
        <v>1613</v>
      </c>
    </row>
    <row r="1597" spans="1:13" ht="19.5" customHeight="1">
      <c r="A1597" s="21">
        <f t="shared" si="24"/>
        <v>1596</v>
      </c>
      <c r="B1597" s="13" t="s">
        <v>8</v>
      </c>
      <c r="C1597" s="13" t="s">
        <v>68</v>
      </c>
      <c r="D1597" s="13" t="s">
        <v>2688</v>
      </c>
      <c r="E1597" s="13" t="s">
        <v>2689</v>
      </c>
      <c r="F1597" s="13"/>
      <c r="G1597" s="13" t="s">
        <v>15</v>
      </c>
      <c r="H1597" s="22" t="str">
        <f>IFERROR(VLOOKUP(Table2[[#This Row], [Ticket]],Okey!A:B,2,0),"")</f>
        <v/>
      </c>
      <c r="I1597" s="13" t="s">
        <v>276</v>
      </c>
      <c r="J1597" s="22" t="str">
        <f>VLOOKUP(Table2[[#This Row], [Author]],People!A:B,2,0)</f>
        <v>MGF</v>
      </c>
      <c r="K1597" s="13"/>
      <c r="L1597" s="13"/>
      <c r="M1597" s="23" t="s">
        <v>1613</v>
      </c>
    </row>
    <row r="1598" spans="1:13" ht="19.5" customHeight="1">
      <c r="A1598" s="18">
        <f t="shared" si="24"/>
        <v>1597</v>
      </c>
      <c r="B1598" s="11" t="s">
        <v>8</v>
      </c>
      <c r="C1598" s="11" t="s">
        <v>68</v>
      </c>
      <c r="D1598" s="11" t="s">
        <v>3190</v>
      </c>
      <c r="E1598" s="11" t="s">
        <v>3234</v>
      </c>
      <c r="F1598" s="11"/>
      <c r="G1598" s="11" t="s">
        <v>15</v>
      </c>
      <c r="H1598" s="19" t="str">
        <f>IFERROR(VLOOKUP(Table2[[#This Row], [Ticket]],Okey!A:B,2,0),"")</f>
        <v/>
      </c>
      <c r="I1598" s="11" t="s">
        <v>276</v>
      </c>
      <c r="J1598" s="19" t="str">
        <f>VLOOKUP(Table2[[#This Row], [Author]],People!A:B,2,0)</f>
        <v>MGF</v>
      </c>
      <c r="K1598" s="11"/>
      <c r="L1598" s="11"/>
      <c r="M1598" s="20" t="s">
        <v>1613</v>
      </c>
    </row>
    <row r="1599" spans="1:13" ht="19.5" customHeight="1">
      <c r="A1599" s="21">
        <f t="shared" si="24"/>
        <v>1598</v>
      </c>
      <c r="B1599" s="13" t="s">
        <v>8</v>
      </c>
      <c r="C1599" s="13" t="s">
        <v>68</v>
      </c>
      <c r="D1599" s="13" t="s">
        <v>1622</v>
      </c>
      <c r="E1599" s="13" t="s">
        <v>1623</v>
      </c>
      <c r="F1599" s="13"/>
      <c r="G1599" s="13" t="s">
        <v>15</v>
      </c>
      <c r="H1599" s="22" t="str">
        <f>IFERROR(VLOOKUP(Table2[[#This Row], [Ticket]],Okey!A:B,2,0),"")</f>
        <v/>
      </c>
      <c r="I1599" s="13" t="s">
        <v>276</v>
      </c>
      <c r="J1599" s="22" t="str">
        <f>VLOOKUP(Table2[[#This Row], [Author]],People!A:B,2,0)</f>
        <v>MGF</v>
      </c>
      <c r="K1599" s="13"/>
      <c r="L1599" s="13"/>
      <c r="M1599" s="23" t="s">
        <v>1613</v>
      </c>
    </row>
    <row r="1600" spans="1:13" ht="19.5" customHeight="1">
      <c r="A1600" s="18">
        <f t="shared" si="24"/>
        <v>1599</v>
      </c>
      <c r="B1600" s="11" t="s">
        <v>8</v>
      </c>
      <c r="C1600" s="11" t="s">
        <v>68</v>
      </c>
      <c r="D1600" s="11" t="s">
        <v>3235</v>
      </c>
      <c r="E1600" s="11" t="s">
        <v>3236</v>
      </c>
      <c r="F1600" s="11"/>
      <c r="G1600" s="11" t="s">
        <v>15</v>
      </c>
      <c r="H1600" s="19" t="str">
        <f>IFERROR(VLOOKUP(Table2[[#This Row], [Ticket]],Okey!A:B,2,0),"")</f>
        <v/>
      </c>
      <c r="I1600" s="11" t="s">
        <v>276</v>
      </c>
      <c r="J1600" s="19" t="str">
        <f>VLOOKUP(Table2[[#This Row], [Author]],People!A:B,2,0)</f>
        <v>HC</v>
      </c>
      <c r="K1600" s="11"/>
      <c r="L1600" s="11"/>
      <c r="M1600" s="20" t="s">
        <v>1613</v>
      </c>
    </row>
    <row r="1601" spans="1:13" ht="19.5" customHeight="1">
      <c r="A1601" s="21">
        <f t="shared" si="24"/>
        <v>1600</v>
      </c>
      <c r="B1601" s="13" t="s">
        <v>8</v>
      </c>
      <c r="C1601" s="13" t="s">
        <v>68</v>
      </c>
      <c r="D1601" s="13" t="s">
        <v>3237</v>
      </c>
      <c r="E1601" s="13" t="s">
        <v>3238</v>
      </c>
      <c r="F1601" s="13"/>
      <c r="G1601" s="13" t="s">
        <v>15</v>
      </c>
      <c r="H1601" s="22" t="str">
        <f>IFERROR(VLOOKUP(Table2[[#This Row], [Ticket]],Okey!A:B,2,0),"")</f>
        <v/>
      </c>
      <c r="I1601" s="13" t="s">
        <v>276</v>
      </c>
      <c r="J1601" s="22" t="str">
        <f>VLOOKUP(Table2[[#This Row], [Author]],People!A:B,2,0)</f>
        <v>HC</v>
      </c>
      <c r="K1601" s="13"/>
      <c r="L1601" s="13"/>
      <c r="M1601" s="23" t="s">
        <v>1613</v>
      </c>
    </row>
    <row r="1602" spans="1:13" ht="19.5" customHeight="1">
      <c r="A1602" s="18">
        <f t="shared" si="24"/>
        <v>1601</v>
      </c>
      <c r="B1602" s="11" t="s">
        <v>8</v>
      </c>
      <c r="C1602" s="11" t="s">
        <v>68</v>
      </c>
      <c r="D1602" s="11" t="s">
        <v>3239</v>
      </c>
      <c r="E1602" s="11" t="s">
        <v>3240</v>
      </c>
      <c r="F1602" s="11"/>
      <c r="G1602" s="11" t="s">
        <v>15</v>
      </c>
      <c r="H1602" s="19" t="str">
        <f>IFERROR(VLOOKUP(Table2[[#This Row], [Ticket]],Okey!A:B,2,0),"")</f>
        <v/>
      </c>
      <c r="I1602" s="11" t="s">
        <v>276</v>
      </c>
      <c r="J1602" s="19" t="str">
        <f>VLOOKUP(Table2[[#This Row], [Author]],People!A:B,2,0)</f>
        <v>HC</v>
      </c>
      <c r="K1602" s="11"/>
      <c r="L1602" s="11"/>
      <c r="M1602" s="20" t="s">
        <v>1613</v>
      </c>
    </row>
    <row r="1603" spans="1:13" ht="19.5" customHeight="1">
      <c r="A1603" s="21">
        <f t="shared" ref="A1603:A1666" si="25">1+A1602</f>
        <v>1602</v>
      </c>
      <c r="B1603" s="13" t="s">
        <v>8</v>
      </c>
      <c r="C1603" s="13" t="s">
        <v>68</v>
      </c>
      <c r="D1603" s="13" t="s">
        <v>3241</v>
      </c>
      <c r="E1603" s="13" t="s">
        <v>3242</v>
      </c>
      <c r="F1603" s="13"/>
      <c r="G1603" s="13" t="s">
        <v>15</v>
      </c>
      <c r="H1603" s="22" t="str">
        <f>IFERROR(VLOOKUP(Table2[[#This Row], [Ticket]],Okey!A:B,2,0),"")</f>
        <v/>
      </c>
      <c r="I1603" s="13" t="s">
        <v>276</v>
      </c>
      <c r="J1603" s="22" t="str">
        <f>VLOOKUP(Table2[[#This Row], [Author]],People!A:B,2,0)</f>
        <v>HC</v>
      </c>
      <c r="K1603" s="13"/>
      <c r="L1603" s="13"/>
      <c r="M1603" s="23" t="s">
        <v>1613</v>
      </c>
    </row>
    <row r="1604" spans="1:13" ht="19.5" customHeight="1">
      <c r="A1604" s="18">
        <f t="shared" si="25"/>
        <v>1603</v>
      </c>
      <c r="B1604" s="11" t="s">
        <v>8</v>
      </c>
      <c r="C1604" s="11" t="s">
        <v>68</v>
      </c>
      <c r="D1604" s="11" t="s">
        <v>3243</v>
      </c>
      <c r="E1604" s="11" t="s">
        <v>3244</v>
      </c>
      <c r="F1604" s="11"/>
      <c r="G1604" s="11" t="s">
        <v>15</v>
      </c>
      <c r="H1604" s="19" t="str">
        <f>IFERROR(VLOOKUP(Table2[[#This Row], [Ticket]],Okey!A:B,2,0),"")</f>
        <v/>
      </c>
      <c r="I1604" s="11" t="s">
        <v>276</v>
      </c>
      <c r="J1604" s="19" t="str">
        <f>VLOOKUP(Table2[[#This Row], [Author]],People!A:B,2,0)</f>
        <v>HC</v>
      </c>
      <c r="K1604" s="11"/>
      <c r="L1604" s="11"/>
      <c r="M1604" s="20" t="s">
        <v>1613</v>
      </c>
    </row>
    <row r="1605" spans="1:13" ht="19.5" customHeight="1">
      <c r="A1605" s="21">
        <f t="shared" si="25"/>
        <v>1604</v>
      </c>
      <c r="B1605" s="13" t="s">
        <v>8</v>
      </c>
      <c r="C1605" s="13" t="s">
        <v>68</v>
      </c>
      <c r="D1605" s="13" t="s">
        <v>3245</v>
      </c>
      <c r="E1605" s="13" t="s">
        <v>3246</v>
      </c>
      <c r="F1605" s="13"/>
      <c r="G1605" s="13" t="s">
        <v>15</v>
      </c>
      <c r="H1605" s="22" t="str">
        <f>IFERROR(VLOOKUP(Table2[[#This Row], [Ticket]],Okey!A:B,2,0),"")</f>
        <v/>
      </c>
      <c r="I1605" s="13" t="s">
        <v>276</v>
      </c>
      <c r="J1605" s="22" t="str">
        <f>VLOOKUP(Table2[[#This Row], [Author]],People!A:B,2,0)</f>
        <v>HC</v>
      </c>
      <c r="K1605" s="13"/>
      <c r="L1605" s="13"/>
      <c r="M1605" s="23" t="s">
        <v>1613</v>
      </c>
    </row>
    <row r="1606" spans="1:13" ht="19.5" customHeight="1">
      <c r="A1606" s="18">
        <f t="shared" si="25"/>
        <v>1605</v>
      </c>
      <c r="B1606" s="11" t="s">
        <v>8</v>
      </c>
      <c r="C1606" s="11" t="s">
        <v>68</v>
      </c>
      <c r="D1606" s="11" t="s">
        <v>3247</v>
      </c>
      <c r="E1606" s="11" t="s">
        <v>3248</v>
      </c>
      <c r="F1606" s="11"/>
      <c r="G1606" s="11" t="s">
        <v>15</v>
      </c>
      <c r="H1606" s="19" t="str">
        <f>IFERROR(VLOOKUP(Table2[[#This Row], [Ticket]],Okey!A:B,2,0),"")</f>
        <v/>
      </c>
      <c r="I1606" s="11" t="s">
        <v>276</v>
      </c>
      <c r="J1606" s="19" t="str">
        <f>VLOOKUP(Table2[[#This Row], [Author]],People!A:B,2,0)</f>
        <v>HC</v>
      </c>
      <c r="K1606" s="11"/>
      <c r="L1606" s="11"/>
      <c r="M1606" s="20" t="s">
        <v>1613</v>
      </c>
    </row>
    <row r="1607" spans="1:13" ht="19.5" customHeight="1">
      <c r="A1607" s="21">
        <f t="shared" si="25"/>
        <v>1606</v>
      </c>
      <c r="B1607" s="13" t="s">
        <v>8</v>
      </c>
      <c r="C1607" s="13" t="s">
        <v>68</v>
      </c>
      <c r="D1607" s="13" t="s">
        <v>3249</v>
      </c>
      <c r="E1607" s="13" t="s">
        <v>3250</v>
      </c>
      <c r="F1607" s="13" t="s">
        <v>2170</v>
      </c>
      <c r="G1607" s="13" t="s">
        <v>16</v>
      </c>
      <c r="H1607" s="22" t="str">
        <f>IFERROR(VLOOKUP(Table2[[#This Row], [Ticket]],Okey!A:B,2,0),"")</f>
        <v/>
      </c>
      <c r="I1607" s="13" t="s">
        <v>276</v>
      </c>
      <c r="J1607" s="22" t="str">
        <f>VLOOKUP(Table2[[#This Row], [Author]],People!A:B,2,0)</f>
        <v>HC</v>
      </c>
      <c r="K1607" s="13"/>
      <c r="L1607" s="13"/>
      <c r="M1607" s="23" t="s">
        <v>1613</v>
      </c>
    </row>
    <row r="1608" spans="1:13" ht="19.5" customHeight="1">
      <c r="A1608" s="18">
        <f t="shared" si="25"/>
        <v>1607</v>
      </c>
      <c r="B1608" s="11" t="s">
        <v>8</v>
      </c>
      <c r="C1608" s="11" t="s">
        <v>68</v>
      </c>
      <c r="D1608" s="11" t="s">
        <v>3251</v>
      </c>
      <c r="E1608" s="11" t="s">
        <v>3252</v>
      </c>
      <c r="F1608" s="11" t="s">
        <v>2170</v>
      </c>
      <c r="G1608" s="11" t="s">
        <v>16</v>
      </c>
      <c r="H1608" s="19" t="str">
        <f>IFERROR(VLOOKUP(Table2[[#This Row], [Ticket]],Okey!A:B,2,0),"")</f>
        <v/>
      </c>
      <c r="I1608" s="11" t="s">
        <v>276</v>
      </c>
      <c r="J1608" s="19" t="str">
        <f>VLOOKUP(Table2[[#This Row], [Author]],People!A:B,2,0)</f>
        <v>HC</v>
      </c>
      <c r="K1608" s="11"/>
      <c r="L1608" s="11"/>
      <c r="M1608" s="20" t="s">
        <v>1613</v>
      </c>
    </row>
    <row r="1609" spans="1:13" ht="19.5" customHeight="1">
      <c r="A1609" s="21">
        <f t="shared" si="25"/>
        <v>1608</v>
      </c>
      <c r="B1609" s="13" t="s">
        <v>8</v>
      </c>
      <c r="C1609" s="13" t="s">
        <v>68</v>
      </c>
      <c r="D1609" s="13" t="s">
        <v>3253</v>
      </c>
      <c r="E1609" s="13" t="s">
        <v>3254</v>
      </c>
      <c r="F1609" s="13" t="s">
        <v>2170</v>
      </c>
      <c r="G1609" s="13" t="s">
        <v>16</v>
      </c>
      <c r="H1609" s="22" t="str">
        <f>IFERROR(VLOOKUP(Table2[[#This Row], [Ticket]],Okey!A:B,2,0),"")</f>
        <v/>
      </c>
      <c r="I1609" s="13" t="s">
        <v>276</v>
      </c>
      <c r="J1609" s="22" t="str">
        <f>VLOOKUP(Table2[[#This Row], [Author]],People!A:B,2,0)</f>
        <v>HC</v>
      </c>
      <c r="K1609" s="13"/>
      <c r="L1609" s="13"/>
      <c r="M1609" s="23" t="s">
        <v>1613</v>
      </c>
    </row>
    <row r="1610" spans="1:13" ht="19.5" customHeight="1">
      <c r="A1610" s="18">
        <f t="shared" si="25"/>
        <v>1609</v>
      </c>
      <c r="B1610" s="11" t="s">
        <v>8</v>
      </c>
      <c r="C1610" s="11" t="s">
        <v>68</v>
      </c>
      <c r="D1610" s="11" t="s">
        <v>3255</v>
      </c>
      <c r="E1610" s="11" t="s">
        <v>3256</v>
      </c>
      <c r="F1610" s="11" t="s">
        <v>2170</v>
      </c>
      <c r="G1610" s="11" t="s">
        <v>16</v>
      </c>
      <c r="H1610" s="19" t="str">
        <f>IFERROR(VLOOKUP(Table2[[#This Row], [Ticket]],Okey!A:B,2,0),"")</f>
        <v/>
      </c>
      <c r="I1610" s="11" t="s">
        <v>276</v>
      </c>
      <c r="J1610" s="19" t="str">
        <f>VLOOKUP(Table2[[#This Row], [Author]],People!A:B,2,0)</f>
        <v>HC</v>
      </c>
      <c r="K1610" s="11"/>
      <c r="L1610" s="11"/>
      <c r="M1610" s="20" t="s">
        <v>1613</v>
      </c>
    </row>
    <row r="1611" spans="1:13" ht="19.5" customHeight="1">
      <c r="A1611" s="21">
        <f t="shared" si="25"/>
        <v>1610</v>
      </c>
      <c r="B1611" s="13" t="s">
        <v>8</v>
      </c>
      <c r="C1611" s="13" t="s">
        <v>68</v>
      </c>
      <c r="D1611" s="13" t="s">
        <v>3257</v>
      </c>
      <c r="E1611" s="13" t="s">
        <v>3258</v>
      </c>
      <c r="F1611" s="13" t="s">
        <v>2170</v>
      </c>
      <c r="G1611" s="13" t="s">
        <v>16</v>
      </c>
      <c r="H1611" s="22" t="str">
        <f>IFERROR(VLOOKUP(Table2[[#This Row], [Ticket]],Okey!A:B,2,0),"")</f>
        <v/>
      </c>
      <c r="I1611" s="13" t="s">
        <v>276</v>
      </c>
      <c r="J1611" s="22" t="str">
        <f>VLOOKUP(Table2[[#This Row], [Author]],People!A:B,2,0)</f>
        <v>HC</v>
      </c>
      <c r="K1611" s="13"/>
      <c r="L1611" s="13"/>
      <c r="M1611" s="23" t="s">
        <v>1613</v>
      </c>
    </row>
    <row r="1612" spans="1:13" ht="19.5" customHeight="1">
      <c r="A1612" s="18">
        <f t="shared" si="25"/>
        <v>1611</v>
      </c>
      <c r="B1612" s="11" t="s">
        <v>8</v>
      </c>
      <c r="C1612" s="11" t="s">
        <v>68</v>
      </c>
      <c r="D1612" s="11" t="s">
        <v>3259</v>
      </c>
      <c r="E1612" s="11" t="s">
        <v>3260</v>
      </c>
      <c r="F1612" s="11" t="s">
        <v>2170</v>
      </c>
      <c r="G1612" s="11" t="s">
        <v>16</v>
      </c>
      <c r="H1612" s="19" t="str">
        <f>IFERROR(VLOOKUP(Table2[[#This Row], [Ticket]],Okey!A:B,2,0),"")</f>
        <v/>
      </c>
      <c r="I1612" s="11" t="s">
        <v>276</v>
      </c>
      <c r="J1612" s="19" t="str">
        <f>VLOOKUP(Table2[[#This Row], [Author]],People!A:B,2,0)</f>
        <v>HC</v>
      </c>
      <c r="K1612" s="11"/>
      <c r="L1612" s="11"/>
      <c r="M1612" s="20" t="s">
        <v>1613</v>
      </c>
    </row>
    <row r="1613" spans="1:13" ht="19.5" customHeight="1">
      <c r="A1613" s="21">
        <f t="shared" si="25"/>
        <v>1612</v>
      </c>
      <c r="B1613" s="13" t="s">
        <v>8</v>
      </c>
      <c r="C1613" s="13" t="s">
        <v>68</v>
      </c>
      <c r="D1613" s="13" t="s">
        <v>3261</v>
      </c>
      <c r="E1613" s="13" t="s">
        <v>3262</v>
      </c>
      <c r="F1613" s="13" t="s">
        <v>2170</v>
      </c>
      <c r="G1613" s="13" t="s">
        <v>16</v>
      </c>
      <c r="H1613" s="22" t="str">
        <f>IFERROR(VLOOKUP(Table2[[#This Row], [Ticket]],Okey!A:B,2,0),"")</f>
        <v/>
      </c>
      <c r="I1613" s="13" t="s">
        <v>276</v>
      </c>
      <c r="J1613" s="22" t="str">
        <f>VLOOKUP(Table2[[#This Row], [Author]],People!A:B,2,0)</f>
        <v>HC</v>
      </c>
      <c r="K1613" s="13"/>
      <c r="L1613" s="13"/>
      <c r="M1613" s="23" t="s">
        <v>1613</v>
      </c>
    </row>
    <row r="1614" spans="1:13" ht="19.5" customHeight="1">
      <c r="A1614" s="18">
        <f t="shared" si="25"/>
        <v>1613</v>
      </c>
      <c r="B1614" s="11" t="s">
        <v>8</v>
      </c>
      <c r="C1614" s="11" t="s">
        <v>68</v>
      </c>
      <c r="D1614" s="11" t="s">
        <v>3263</v>
      </c>
      <c r="E1614" s="11" t="s">
        <v>3264</v>
      </c>
      <c r="F1614" s="11" t="s">
        <v>2170</v>
      </c>
      <c r="G1614" s="11" t="s">
        <v>16</v>
      </c>
      <c r="H1614" s="19" t="str">
        <f>IFERROR(VLOOKUP(Table2[[#This Row], [Ticket]],Okey!A:B,2,0),"")</f>
        <v/>
      </c>
      <c r="I1614" s="11" t="s">
        <v>276</v>
      </c>
      <c r="J1614" s="19" t="str">
        <f>VLOOKUP(Table2[[#This Row], [Author]],People!A:B,2,0)</f>
        <v>HC</v>
      </c>
      <c r="K1614" s="11"/>
      <c r="L1614" s="11"/>
      <c r="M1614" s="20" t="s">
        <v>1613</v>
      </c>
    </row>
    <row r="1615" spans="1:13" ht="19.5" customHeight="1">
      <c r="A1615" s="21">
        <f t="shared" si="25"/>
        <v>1614</v>
      </c>
      <c r="B1615" s="13" t="s">
        <v>8</v>
      </c>
      <c r="C1615" s="13" t="s">
        <v>68</v>
      </c>
      <c r="D1615" s="13" t="s">
        <v>3265</v>
      </c>
      <c r="E1615" s="13" t="s">
        <v>3266</v>
      </c>
      <c r="F1615" s="13" t="s">
        <v>2170</v>
      </c>
      <c r="G1615" s="13" t="s">
        <v>16</v>
      </c>
      <c r="H1615" s="22" t="str">
        <f>IFERROR(VLOOKUP(Table2[[#This Row], [Ticket]],Okey!A:B,2,0),"")</f>
        <v/>
      </c>
      <c r="I1615" s="13" t="s">
        <v>276</v>
      </c>
      <c r="J1615" s="22" t="str">
        <f>VLOOKUP(Table2[[#This Row], [Author]],People!A:B,2,0)</f>
        <v>HC</v>
      </c>
      <c r="K1615" s="13"/>
      <c r="L1615" s="13"/>
      <c r="M1615" s="23" t="s">
        <v>1613</v>
      </c>
    </row>
    <row r="1616" spans="1:13" ht="19.5" customHeight="1">
      <c r="A1616" s="18">
        <f t="shared" si="25"/>
        <v>1615</v>
      </c>
      <c r="B1616" s="11" t="s">
        <v>8</v>
      </c>
      <c r="C1616" s="11" t="s">
        <v>68</v>
      </c>
      <c r="D1616" s="11" t="s">
        <v>2026</v>
      </c>
      <c r="E1616" s="11"/>
      <c r="F1616" s="11" t="s">
        <v>2025</v>
      </c>
      <c r="G1616" s="11" t="s">
        <v>13</v>
      </c>
      <c r="H1616" s="19" t="str">
        <f>IFERROR(VLOOKUP(Table2[[#This Row], [Ticket]],Okey!A:B,2,0),"")</f>
        <v/>
      </c>
      <c r="I1616" s="11" t="s">
        <v>276</v>
      </c>
      <c r="J1616" s="19" t="str">
        <f>VLOOKUP(Table2[[#This Row], [Author]],People!A:B,2,0)</f>
        <v>HC</v>
      </c>
      <c r="K1616" s="11"/>
      <c r="L1616" s="11"/>
      <c r="M1616" s="20" t="s">
        <v>1613</v>
      </c>
    </row>
    <row r="1617" spans="1:13" ht="19.5" customHeight="1">
      <c r="A1617" s="21">
        <f t="shared" si="25"/>
        <v>1616</v>
      </c>
      <c r="B1617" s="13" t="s">
        <v>8</v>
      </c>
      <c r="C1617" s="13" t="s">
        <v>68</v>
      </c>
      <c r="D1617" s="13" t="s">
        <v>3267</v>
      </c>
      <c r="E1617" s="13"/>
      <c r="F1617" s="13" t="s">
        <v>2016</v>
      </c>
      <c r="G1617" s="13" t="s">
        <v>13</v>
      </c>
      <c r="H1617" s="22" t="str">
        <f>IFERROR(VLOOKUP(Table2[[#This Row], [Ticket]],Okey!A:B,2,0),"")</f>
        <v/>
      </c>
      <c r="I1617" s="13" t="s">
        <v>276</v>
      </c>
      <c r="J1617" s="22" t="str">
        <f>VLOOKUP(Table2[[#This Row], [Author]],People!A:B,2,0)</f>
        <v>HC</v>
      </c>
      <c r="K1617" s="13"/>
      <c r="L1617" s="13"/>
      <c r="M1617" s="23" t="s">
        <v>1613</v>
      </c>
    </row>
    <row r="1618" spans="1:13" ht="19.5" customHeight="1">
      <c r="A1618" s="18">
        <f t="shared" si="25"/>
        <v>1617</v>
      </c>
      <c r="B1618" s="11" t="s">
        <v>8</v>
      </c>
      <c r="C1618" s="11" t="s">
        <v>68</v>
      </c>
      <c r="D1618" s="11" t="s">
        <v>3268</v>
      </c>
      <c r="E1618" s="11"/>
      <c r="F1618" s="11" t="s">
        <v>2046</v>
      </c>
      <c r="G1618" s="11" t="s">
        <v>13</v>
      </c>
      <c r="H1618" s="19" t="str">
        <f>IFERROR(VLOOKUP(Table2[[#This Row], [Ticket]],Okey!A:B,2,0),"")</f>
        <v/>
      </c>
      <c r="I1618" s="11" t="s">
        <v>276</v>
      </c>
      <c r="J1618" s="19" t="str">
        <f>VLOOKUP(Table2[[#This Row], [Author]],People!A:B,2,0)</f>
        <v>HC</v>
      </c>
      <c r="K1618" s="11"/>
      <c r="L1618" s="11"/>
      <c r="M1618" s="20" t="s">
        <v>1613</v>
      </c>
    </row>
    <row r="1619" spans="1:13" ht="19.5" customHeight="1">
      <c r="A1619" s="21">
        <f t="shared" si="25"/>
        <v>1618</v>
      </c>
      <c r="B1619" s="13" t="s">
        <v>8</v>
      </c>
      <c r="C1619" s="13" t="s">
        <v>68</v>
      </c>
      <c r="D1619" s="13" t="s">
        <v>3269</v>
      </c>
      <c r="E1619" s="13"/>
      <c r="F1619" s="13" t="s">
        <v>2649</v>
      </c>
      <c r="G1619" s="13" t="s">
        <v>13</v>
      </c>
      <c r="H1619" s="22" t="str">
        <f>IFERROR(VLOOKUP(Table2[[#This Row], [Ticket]],Okey!A:B,2,0),"")</f>
        <v/>
      </c>
      <c r="I1619" s="13" t="s">
        <v>276</v>
      </c>
      <c r="J1619" s="22" t="e">
        <f>VLOOKUP(Table2[[#This Row], [Author]],People!A:B,2,0)</f>
        <v>#VALUE!</v>
      </c>
      <c r="K1619" s="13"/>
      <c r="L1619" s="13"/>
      <c r="M1619" s="23" t="s">
        <v>1613</v>
      </c>
    </row>
    <row r="1620" spans="1:13" ht="19.5" customHeight="1">
      <c r="A1620" s="18">
        <f t="shared" si="25"/>
        <v>1619</v>
      </c>
      <c r="B1620" s="11" t="s">
        <v>8</v>
      </c>
      <c r="C1620" s="11" t="s">
        <v>68</v>
      </c>
      <c r="D1620" s="11" t="s">
        <v>2068</v>
      </c>
      <c r="E1620" s="11"/>
      <c r="F1620" s="11" t="s">
        <v>2951</v>
      </c>
      <c r="G1620" s="11" t="s">
        <v>13</v>
      </c>
      <c r="H1620" s="19" t="str">
        <f>IFERROR(VLOOKUP(Table2[[#This Row], [Ticket]],Okey!A:B,2,0),"")</f>
        <v/>
      </c>
      <c r="I1620" s="11" t="s">
        <v>276</v>
      </c>
      <c r="J1620" s="19" t="e">
        <f>VLOOKUP(Table2[[#This Row], [Author]],People!A:B,2,0)</f>
        <v>#VALUE!</v>
      </c>
      <c r="K1620" s="11"/>
      <c r="L1620" s="11"/>
      <c r="M1620" s="20" t="s">
        <v>1613</v>
      </c>
    </row>
    <row r="1621" spans="1:13" ht="19.5" customHeight="1">
      <c r="A1621" s="21">
        <f t="shared" si="25"/>
        <v>1620</v>
      </c>
      <c r="B1621" s="13" t="s">
        <v>8</v>
      </c>
      <c r="C1621" s="13" t="s">
        <v>68</v>
      </c>
      <c r="D1621" s="13" t="s">
        <v>3270</v>
      </c>
      <c r="E1621" s="13"/>
      <c r="F1621" s="13" t="s">
        <v>2301</v>
      </c>
      <c r="G1621" s="13" t="s">
        <v>13</v>
      </c>
      <c r="H1621" s="22" t="str">
        <f>IFERROR(VLOOKUP(Table2[[#This Row], [Ticket]],Okey!A:B,2,0),"")</f>
        <v/>
      </c>
      <c r="I1621" s="13" t="s">
        <v>276</v>
      </c>
      <c r="J1621" s="22" t="e">
        <f>VLOOKUP(Table2[[#This Row], [Author]],People!A:B,2,0)</f>
        <v>#VALUE!</v>
      </c>
      <c r="K1621" s="13"/>
      <c r="L1621" s="13"/>
      <c r="M1621" s="23" t="s">
        <v>1613</v>
      </c>
    </row>
    <row r="1622" spans="1:13" ht="19.5" customHeight="1">
      <c r="A1622" s="18">
        <f t="shared" si="25"/>
        <v>1621</v>
      </c>
      <c r="B1622" s="11" t="s">
        <v>8</v>
      </c>
      <c r="C1622" s="11" t="s">
        <v>68</v>
      </c>
      <c r="D1622" s="11" t="s">
        <v>3271</v>
      </c>
      <c r="E1622" s="11"/>
      <c r="F1622" s="11" t="s">
        <v>2283</v>
      </c>
      <c r="G1622" s="11" t="s">
        <v>13</v>
      </c>
      <c r="H1622" s="19" t="str">
        <f>IFERROR(VLOOKUP(Table2[[#This Row], [Ticket]],Okey!A:B,2,0),"")</f>
        <v/>
      </c>
      <c r="I1622" s="11" t="s">
        <v>276</v>
      </c>
      <c r="J1622" s="19" t="e">
        <f>VLOOKUP(Table2[[#This Row], [Author]],People!A:B,2,0)</f>
        <v>#VALUE!</v>
      </c>
      <c r="K1622" s="11"/>
      <c r="L1622" s="11"/>
      <c r="M1622" s="20" t="s">
        <v>1613</v>
      </c>
    </row>
    <row r="1623" spans="1:13" ht="19.5" customHeight="1">
      <c r="A1623" s="21">
        <f t="shared" si="25"/>
        <v>1622</v>
      </c>
      <c r="B1623" s="13" t="s">
        <v>8</v>
      </c>
      <c r="C1623" s="13" t="s">
        <v>68</v>
      </c>
      <c r="D1623" s="13" t="s">
        <v>3272</v>
      </c>
      <c r="E1623" s="13"/>
      <c r="F1623" s="13" t="s">
        <v>2269</v>
      </c>
      <c r="G1623" s="13" t="s">
        <v>13</v>
      </c>
      <c r="H1623" s="22" t="str">
        <f>IFERROR(VLOOKUP(Table2[[#This Row], [Ticket]],Okey!A:B,2,0),"")</f>
        <v/>
      </c>
      <c r="I1623" s="13" t="s">
        <v>276</v>
      </c>
      <c r="J1623" s="22" t="e">
        <f>VLOOKUP(Table2[[#This Row], [Author]],People!A:B,2,0)</f>
        <v>#VALUE!</v>
      </c>
      <c r="K1623" s="13"/>
      <c r="L1623" s="13"/>
      <c r="M1623" s="23" t="s">
        <v>1613</v>
      </c>
    </row>
    <row r="1624" spans="1:13" ht="19.5" customHeight="1">
      <c r="A1624" s="18">
        <f t="shared" si="25"/>
        <v>1623</v>
      </c>
      <c r="B1624" s="11" t="s">
        <v>8</v>
      </c>
      <c r="C1624" s="11" t="s">
        <v>68</v>
      </c>
      <c r="D1624" s="11" t="s">
        <v>3273</v>
      </c>
      <c r="E1624" s="11"/>
      <c r="F1624" s="11" t="s">
        <v>2378</v>
      </c>
      <c r="G1624" s="11" t="s">
        <v>13</v>
      </c>
      <c r="H1624" s="19" t="str">
        <f>IFERROR(VLOOKUP(Table2[[#This Row], [Ticket]],Okey!A:B,2,0),"")</f>
        <v/>
      </c>
      <c r="I1624" s="11" t="s">
        <v>276</v>
      </c>
      <c r="J1624" s="19" t="e">
        <f>VLOOKUP(Table2[[#This Row], [Author]],People!A:B,2,0)</f>
        <v>#VALUE!</v>
      </c>
      <c r="K1624" s="11"/>
      <c r="L1624" s="11"/>
      <c r="M1624" s="20" t="s">
        <v>1613</v>
      </c>
    </row>
    <row r="1625" spans="1:13" ht="19.5" customHeight="1">
      <c r="A1625" s="21">
        <f t="shared" si="25"/>
        <v>1624</v>
      </c>
      <c r="B1625" s="13" t="s">
        <v>8</v>
      </c>
      <c r="C1625" s="13" t="s">
        <v>68</v>
      </c>
      <c r="D1625" s="13" t="s">
        <v>3274</v>
      </c>
      <c r="E1625" s="13"/>
      <c r="F1625" s="13" t="s">
        <v>2397</v>
      </c>
      <c r="G1625" s="13" t="s">
        <v>13</v>
      </c>
      <c r="H1625" s="22" t="str">
        <f>IFERROR(VLOOKUP(Table2[[#This Row], [Ticket]],Okey!A:B,2,0),"")</f>
        <v/>
      </c>
      <c r="I1625" s="13" t="s">
        <v>276</v>
      </c>
      <c r="J1625" s="22" t="e">
        <f>VLOOKUP(Table2[[#This Row], [Author]],People!A:B,2,0)</f>
        <v>#VALUE!</v>
      </c>
      <c r="K1625" s="13"/>
      <c r="L1625" s="13"/>
      <c r="M1625" s="23" t="s">
        <v>1613</v>
      </c>
    </row>
    <row r="1626" spans="1:13" ht="19.5" customHeight="1">
      <c r="A1626" s="18">
        <f t="shared" si="25"/>
        <v>1625</v>
      </c>
      <c r="B1626" s="11" t="s">
        <v>8</v>
      </c>
      <c r="C1626" s="11" t="s">
        <v>68</v>
      </c>
      <c r="D1626" s="11" t="s">
        <v>3275</v>
      </c>
      <c r="E1626" s="11"/>
      <c r="F1626" s="11" t="s">
        <v>2397</v>
      </c>
      <c r="G1626" s="11" t="s">
        <v>13</v>
      </c>
      <c r="H1626" s="19" t="str">
        <f>IFERROR(VLOOKUP(Table2[[#This Row], [Ticket]],Okey!A:B,2,0),"")</f>
        <v/>
      </c>
      <c r="I1626" s="11" t="s">
        <v>276</v>
      </c>
      <c r="J1626" s="19" t="e">
        <f>VLOOKUP(Table2[[#This Row], [Author]],People!A:B,2,0)</f>
        <v>#VALUE!</v>
      </c>
      <c r="K1626" s="11"/>
      <c r="L1626" s="11"/>
      <c r="M1626" s="20" t="s">
        <v>1613</v>
      </c>
    </row>
    <row r="1627" spans="1:13" ht="19.5" customHeight="1">
      <c r="A1627" s="21">
        <f t="shared" si="25"/>
        <v>1626</v>
      </c>
      <c r="B1627" s="13" t="s">
        <v>8</v>
      </c>
      <c r="C1627" s="13" t="s">
        <v>68</v>
      </c>
      <c r="D1627" s="13" t="s">
        <v>3276</v>
      </c>
      <c r="E1627" s="13"/>
      <c r="F1627" s="13" t="s">
        <v>2355</v>
      </c>
      <c r="G1627" s="13" t="s">
        <v>13</v>
      </c>
      <c r="H1627" s="22" t="str">
        <f>IFERROR(VLOOKUP(Table2[[#This Row], [Ticket]],Okey!A:B,2,0),"")</f>
        <v/>
      </c>
      <c r="I1627" s="13" t="s">
        <v>276</v>
      </c>
      <c r="J1627" s="22" t="e">
        <f>VLOOKUP(Table2[[#This Row], [Author]],People!A:B,2,0)</f>
        <v>#VALUE!</v>
      </c>
      <c r="K1627" s="13"/>
      <c r="L1627" s="13"/>
      <c r="M1627" s="23" t="s">
        <v>1613</v>
      </c>
    </row>
    <row r="1628" spans="1:13" ht="19.5" customHeight="1">
      <c r="A1628" s="18">
        <f t="shared" si="25"/>
        <v>1627</v>
      </c>
      <c r="B1628" s="11" t="s">
        <v>8</v>
      </c>
      <c r="C1628" s="11" t="s">
        <v>68</v>
      </c>
      <c r="D1628" s="11" t="s">
        <v>3277</v>
      </c>
      <c r="E1628" s="11"/>
      <c r="F1628" s="11" t="s">
        <v>2355</v>
      </c>
      <c r="G1628" s="11" t="s">
        <v>13</v>
      </c>
      <c r="H1628" s="19" t="str">
        <f>IFERROR(VLOOKUP(Table2[[#This Row], [Ticket]],Okey!A:B,2,0),"")</f>
        <v/>
      </c>
      <c r="I1628" s="11" t="s">
        <v>276</v>
      </c>
      <c r="J1628" s="19" t="e">
        <f>VLOOKUP(Table2[[#This Row], [Author]],People!A:B,2,0)</f>
        <v>#VALUE!</v>
      </c>
      <c r="K1628" s="11"/>
      <c r="L1628" s="11"/>
      <c r="M1628" s="20" t="s">
        <v>1613</v>
      </c>
    </row>
    <row r="1629" spans="1:13" ht="19.5" customHeight="1">
      <c r="A1629" s="21">
        <f t="shared" si="25"/>
        <v>1628</v>
      </c>
      <c r="B1629" s="13" t="s">
        <v>8</v>
      </c>
      <c r="C1629" s="13" t="s">
        <v>68</v>
      </c>
      <c r="D1629" s="13" t="s">
        <v>3278</v>
      </c>
      <c r="E1629" s="13"/>
      <c r="F1629" s="13" t="s">
        <v>2336</v>
      </c>
      <c r="G1629" s="13" t="s">
        <v>13</v>
      </c>
      <c r="H1629" s="22" t="str">
        <f>IFERROR(VLOOKUP(Table2[[#This Row], [Ticket]],Okey!A:B,2,0),"")</f>
        <v/>
      </c>
      <c r="I1629" s="13" t="s">
        <v>276</v>
      </c>
      <c r="J1629" s="22" t="e">
        <f>VLOOKUP(Table2[[#This Row], [Author]],People!A:B,2,0)</f>
        <v>#VALUE!</v>
      </c>
      <c r="K1629" s="13"/>
      <c r="L1629" s="13"/>
      <c r="M1629" s="23" t="s">
        <v>1613</v>
      </c>
    </row>
    <row r="1630" spans="1:13" ht="19.5" customHeight="1">
      <c r="A1630" s="18">
        <f t="shared" si="25"/>
        <v>1629</v>
      </c>
      <c r="B1630" s="11" t="s">
        <v>8</v>
      </c>
      <c r="C1630" s="11" t="s">
        <v>68</v>
      </c>
      <c r="D1630" s="11" t="s">
        <v>3279</v>
      </c>
      <c r="E1630" s="11"/>
      <c r="F1630" s="11" t="s">
        <v>2414</v>
      </c>
      <c r="G1630" s="11" t="s">
        <v>13</v>
      </c>
      <c r="H1630" s="19" t="str">
        <f>IFERROR(VLOOKUP(Table2[[#This Row], [Ticket]],Okey!A:B,2,0),"")</f>
        <v/>
      </c>
      <c r="I1630" s="11" t="s">
        <v>276</v>
      </c>
      <c r="J1630" s="19" t="e">
        <f>VLOOKUP(Table2[[#This Row], [Author]],People!A:B,2,0)</f>
        <v>#VALUE!</v>
      </c>
      <c r="K1630" s="11"/>
      <c r="L1630" s="11"/>
      <c r="M1630" s="20" t="s">
        <v>1613</v>
      </c>
    </row>
    <row r="1631" spans="1:13" ht="19.5" customHeight="1">
      <c r="A1631" s="21">
        <f t="shared" si="25"/>
        <v>1630</v>
      </c>
      <c r="B1631" s="13" t="s">
        <v>8</v>
      </c>
      <c r="C1631" s="13" t="s">
        <v>68</v>
      </c>
      <c r="D1631" s="13" t="s">
        <v>2509</v>
      </c>
      <c r="E1631" s="13"/>
      <c r="F1631" s="13" t="s">
        <v>2501</v>
      </c>
      <c r="G1631" s="13" t="s">
        <v>13</v>
      </c>
      <c r="H1631" s="22" t="str">
        <f>IFERROR(VLOOKUP(Table2[[#This Row], [Ticket]],Okey!A:B,2,0),"")</f>
        <v/>
      </c>
      <c r="I1631" s="13" t="s">
        <v>276</v>
      </c>
      <c r="J1631" s="22" t="e">
        <f>VLOOKUP(Table2[[#This Row], [Author]],People!A:B,2,0)</f>
        <v>#VALUE!</v>
      </c>
      <c r="K1631" s="13"/>
      <c r="L1631" s="13"/>
      <c r="M1631" s="23" t="s">
        <v>1613</v>
      </c>
    </row>
    <row r="1632" spans="1:13" ht="19.5" customHeight="1">
      <c r="A1632" s="18">
        <f t="shared" si="25"/>
        <v>1631</v>
      </c>
      <c r="B1632" s="11" t="s">
        <v>8</v>
      </c>
      <c r="C1632" s="11" t="s">
        <v>71</v>
      </c>
      <c r="D1632" s="11" t="s">
        <v>1624</v>
      </c>
      <c r="E1632" s="11" t="s">
        <v>3280</v>
      </c>
      <c r="F1632" s="11"/>
      <c r="G1632" s="11" t="s">
        <v>15</v>
      </c>
      <c r="H1632" s="19" t="str">
        <f>IFERROR(VLOOKUP(Table2[[#This Row], [Ticket]],Okey!A:B,2,0),"")</f>
        <v/>
      </c>
      <c r="I1632" s="11" t="s">
        <v>276</v>
      </c>
      <c r="J1632" s="19" t="e">
        <f>VLOOKUP(Table2[[#This Row], [Author]],People!A:B,2,0)</f>
        <v>#VALUE!</v>
      </c>
      <c r="K1632" s="11"/>
      <c r="L1632" s="11"/>
      <c r="M1632" s="20" t="s">
        <v>1613</v>
      </c>
    </row>
    <row r="1633" spans="1:13" ht="19.5" customHeight="1">
      <c r="A1633" s="21">
        <f t="shared" si="25"/>
        <v>1632</v>
      </c>
      <c r="B1633" s="13" t="s">
        <v>8</v>
      </c>
      <c r="C1633" s="13" t="s">
        <v>71</v>
      </c>
      <c r="D1633" s="13" t="s">
        <v>1622</v>
      </c>
      <c r="E1633" s="13" t="s">
        <v>2663</v>
      </c>
      <c r="F1633" s="13"/>
      <c r="G1633" s="13" t="s">
        <v>15</v>
      </c>
      <c r="H1633" s="22" t="str">
        <f>IFERROR(VLOOKUP(Table2[[#This Row], [Ticket]],Okey!A:B,2,0),"")</f>
        <v/>
      </c>
      <c r="I1633" s="13" t="s">
        <v>276</v>
      </c>
      <c r="J1633" s="22" t="e">
        <f>VLOOKUP(Table2[[#This Row], [Author]],People!A:B,2,0)</f>
        <v>#VALUE!</v>
      </c>
      <c r="K1633" s="13"/>
      <c r="L1633" s="13"/>
      <c r="M1633" s="23" t="s">
        <v>1613</v>
      </c>
    </row>
    <row r="1634" spans="1:13" ht="19.5" customHeight="1">
      <c r="A1634" s="18">
        <f t="shared" si="25"/>
        <v>1633</v>
      </c>
      <c r="B1634" s="11" t="s">
        <v>8</v>
      </c>
      <c r="C1634" s="11" t="s">
        <v>71</v>
      </c>
      <c r="D1634" s="11" t="s">
        <v>3189</v>
      </c>
      <c r="E1634" s="11" t="s">
        <v>3281</v>
      </c>
      <c r="F1634" s="11"/>
      <c r="G1634" s="11" t="s">
        <v>15</v>
      </c>
      <c r="H1634" s="19" t="str">
        <f>IFERROR(VLOOKUP(Table2[[#This Row], [Ticket]],Okey!A:B,2,0),"")</f>
        <v/>
      </c>
      <c r="I1634" s="11" t="s">
        <v>276</v>
      </c>
      <c r="J1634" s="19" t="e">
        <f>VLOOKUP(Table2[[#This Row], [Author]],People!A:B,2,0)</f>
        <v>#VALUE!</v>
      </c>
      <c r="K1634" s="11"/>
      <c r="L1634" s="11"/>
      <c r="M1634" s="20" t="s">
        <v>1613</v>
      </c>
    </row>
    <row r="1635" spans="1:13" ht="19.5" customHeight="1">
      <c r="A1635" s="21">
        <f t="shared" si="25"/>
        <v>1634</v>
      </c>
      <c r="B1635" s="13" t="s">
        <v>8</v>
      </c>
      <c r="C1635" s="13" t="s">
        <v>71</v>
      </c>
      <c r="D1635" s="13" t="s">
        <v>2563</v>
      </c>
      <c r="E1635" s="13"/>
      <c r="F1635" s="13" t="s">
        <v>275</v>
      </c>
      <c r="G1635" s="13" t="s">
        <v>13</v>
      </c>
      <c r="H1635" s="22" t="str">
        <f>IFERROR(VLOOKUP(Table2[[#This Row], [Ticket]],Okey!A:B,2,0),"")</f>
        <v/>
      </c>
      <c r="I1635" s="13" t="s">
        <v>276</v>
      </c>
      <c r="J1635" s="22" t="e">
        <f>VLOOKUP(Table2[[#This Row], [Author]],People!A:B,2,0)</f>
        <v>#VALUE!</v>
      </c>
      <c r="K1635" s="13"/>
      <c r="L1635" s="13"/>
      <c r="M1635" s="23" t="s">
        <v>1613</v>
      </c>
    </row>
    <row r="1636" spans="1:13" ht="19.5" customHeight="1">
      <c r="A1636" s="18">
        <f t="shared" si="25"/>
        <v>1635</v>
      </c>
      <c r="B1636" s="11" t="s">
        <v>8</v>
      </c>
      <c r="C1636" s="11" t="s">
        <v>71</v>
      </c>
      <c r="D1636" s="11" t="s">
        <v>2565</v>
      </c>
      <c r="E1636" s="11"/>
      <c r="F1636" s="11" t="s">
        <v>275</v>
      </c>
      <c r="G1636" s="11" t="s">
        <v>13</v>
      </c>
      <c r="H1636" s="19" t="str">
        <f>IFERROR(VLOOKUP(Table2[[#This Row], [Ticket]],Okey!A:B,2,0),"")</f>
        <v/>
      </c>
      <c r="I1636" s="11" t="s">
        <v>276</v>
      </c>
      <c r="J1636" s="19" t="e">
        <f>VLOOKUP(Table2[[#This Row], [Author]],People!A:B,2,0)</f>
        <v>#VALUE!</v>
      </c>
      <c r="K1636" s="11"/>
      <c r="L1636" s="11"/>
      <c r="M1636" s="20" t="s">
        <v>1613</v>
      </c>
    </row>
    <row r="1637" spans="1:13" ht="19.5" customHeight="1">
      <c r="A1637" s="21">
        <f t="shared" si="25"/>
        <v>1636</v>
      </c>
      <c r="B1637" s="13" t="s">
        <v>8</v>
      </c>
      <c r="C1637" s="13" t="s">
        <v>71</v>
      </c>
      <c r="D1637" s="13" t="s">
        <v>2577</v>
      </c>
      <c r="E1637" s="13"/>
      <c r="F1637" s="13" t="s">
        <v>275</v>
      </c>
      <c r="G1637" s="13" t="s">
        <v>13</v>
      </c>
      <c r="H1637" s="22" t="str">
        <f>IFERROR(VLOOKUP(Table2[[#This Row], [Ticket]],Okey!A:B,2,0),"")</f>
        <v/>
      </c>
      <c r="I1637" s="13" t="s">
        <v>276</v>
      </c>
      <c r="J1637" s="22" t="e">
        <f>VLOOKUP(Table2[[#This Row], [Author]],People!A:B,2,0)</f>
        <v>#VALUE!</v>
      </c>
      <c r="K1637" s="13"/>
      <c r="L1637" s="13"/>
      <c r="M1637" s="23" t="s">
        <v>1613</v>
      </c>
    </row>
    <row r="1638" spans="1:13" ht="19.5" customHeight="1">
      <c r="A1638" s="18">
        <f t="shared" si="25"/>
        <v>1637</v>
      </c>
      <c r="B1638" s="11" t="s">
        <v>8</v>
      </c>
      <c r="C1638" s="11" t="s">
        <v>71</v>
      </c>
      <c r="D1638" s="11" t="s">
        <v>2579</v>
      </c>
      <c r="E1638" s="11"/>
      <c r="F1638" s="11" t="s">
        <v>275</v>
      </c>
      <c r="G1638" s="11" t="s">
        <v>13</v>
      </c>
      <c r="H1638" s="19" t="str">
        <f>IFERROR(VLOOKUP(Table2[[#This Row], [Ticket]],Okey!A:B,2,0),"")</f>
        <v/>
      </c>
      <c r="I1638" s="11" t="s">
        <v>276</v>
      </c>
      <c r="J1638" s="19" t="e">
        <f>VLOOKUP(Table2[[#This Row], [Author]],People!A:B,2,0)</f>
        <v>#VALUE!</v>
      </c>
      <c r="K1638" s="11"/>
      <c r="L1638" s="11"/>
      <c r="M1638" s="20" t="s">
        <v>1613</v>
      </c>
    </row>
    <row r="1639" spans="1:13" ht="19.5" customHeight="1">
      <c r="A1639" s="21">
        <f t="shared" si="25"/>
        <v>1638</v>
      </c>
      <c r="B1639" s="13" t="s">
        <v>8</v>
      </c>
      <c r="C1639" s="13" t="s">
        <v>71</v>
      </c>
      <c r="D1639" s="13" t="s">
        <v>2581</v>
      </c>
      <c r="E1639" s="13"/>
      <c r="F1639" s="13" t="s">
        <v>275</v>
      </c>
      <c r="G1639" s="13" t="s">
        <v>13</v>
      </c>
      <c r="H1639" s="22" t="str">
        <f>IFERROR(VLOOKUP(Table2[[#This Row], [Ticket]],Okey!A:B,2,0),"")</f>
        <v/>
      </c>
      <c r="I1639" s="13" t="s">
        <v>276</v>
      </c>
      <c r="J1639" s="22" t="e">
        <f>VLOOKUP(Table2[[#This Row], [Author]],People!A:B,2,0)</f>
        <v>#VALUE!</v>
      </c>
      <c r="K1639" s="13"/>
      <c r="L1639" s="13"/>
      <c r="M1639" s="23" t="s">
        <v>1613</v>
      </c>
    </row>
    <row r="1640" spans="1:13" ht="19.5" customHeight="1">
      <c r="A1640" s="18">
        <f t="shared" si="25"/>
        <v>1639</v>
      </c>
      <c r="B1640" s="11" t="s">
        <v>8</v>
      </c>
      <c r="C1640" s="11" t="s">
        <v>71</v>
      </c>
      <c r="D1640" s="11" t="s">
        <v>2583</v>
      </c>
      <c r="E1640" s="11"/>
      <c r="F1640" s="11" t="s">
        <v>275</v>
      </c>
      <c r="G1640" s="11" t="s">
        <v>13</v>
      </c>
      <c r="H1640" s="19" t="str">
        <f>IFERROR(VLOOKUP(Table2[[#This Row], [Ticket]],Okey!A:B,2,0),"")</f>
        <v/>
      </c>
      <c r="I1640" s="11" t="s">
        <v>276</v>
      </c>
      <c r="J1640" s="19" t="e">
        <f>VLOOKUP(Table2[[#This Row], [Author]],People!A:B,2,0)</f>
        <v>#VALUE!</v>
      </c>
      <c r="K1640" s="11"/>
      <c r="L1640" s="11"/>
      <c r="M1640" s="20" t="s">
        <v>1613</v>
      </c>
    </row>
    <row r="1641" spans="1:13" ht="19.5" customHeight="1">
      <c r="A1641" s="21">
        <f t="shared" si="25"/>
        <v>1640</v>
      </c>
      <c r="B1641" s="13" t="s">
        <v>8</v>
      </c>
      <c r="C1641" s="13" t="s">
        <v>71</v>
      </c>
      <c r="D1641" s="13" t="s">
        <v>2585</v>
      </c>
      <c r="E1641" s="13"/>
      <c r="F1641" s="13" t="s">
        <v>275</v>
      </c>
      <c r="G1641" s="13" t="s">
        <v>13</v>
      </c>
      <c r="H1641" s="22" t="str">
        <f>IFERROR(VLOOKUP(Table2[[#This Row], [Ticket]],Okey!A:B,2,0),"")</f>
        <v/>
      </c>
      <c r="I1641" s="13" t="s">
        <v>276</v>
      </c>
      <c r="J1641" s="22" t="e">
        <f>VLOOKUP(Table2[[#This Row], [Author]],People!A:B,2,0)</f>
        <v>#VALUE!</v>
      </c>
      <c r="K1641" s="13"/>
      <c r="L1641" s="13"/>
      <c r="M1641" s="23" t="s">
        <v>1613</v>
      </c>
    </row>
    <row r="1642" spans="1:13" ht="19.5" customHeight="1">
      <c r="A1642" s="18">
        <f t="shared" si="25"/>
        <v>1641</v>
      </c>
      <c r="B1642" s="11" t="s">
        <v>8</v>
      </c>
      <c r="C1642" s="11" t="s">
        <v>71</v>
      </c>
      <c r="D1642" s="11" t="s">
        <v>2587</v>
      </c>
      <c r="E1642" s="11"/>
      <c r="F1642" s="11" t="s">
        <v>275</v>
      </c>
      <c r="G1642" s="11" t="s">
        <v>13</v>
      </c>
      <c r="H1642" s="19" t="str">
        <f>IFERROR(VLOOKUP(Table2[[#This Row], [Ticket]],Okey!A:B,2,0),"")</f>
        <v/>
      </c>
      <c r="I1642" s="11" t="s">
        <v>276</v>
      </c>
      <c r="J1642" s="19" t="e">
        <f>VLOOKUP(Table2[[#This Row], [Author]],People!A:B,2,0)</f>
        <v>#VALUE!</v>
      </c>
      <c r="K1642" s="11"/>
      <c r="L1642" s="11"/>
      <c r="M1642" s="20" t="s">
        <v>1613</v>
      </c>
    </row>
    <row r="1643" spans="1:13" ht="19.5" customHeight="1">
      <c r="A1643" s="21">
        <f t="shared" si="25"/>
        <v>1642</v>
      </c>
      <c r="B1643" s="13" t="s">
        <v>8</v>
      </c>
      <c r="C1643" s="13" t="s">
        <v>71</v>
      </c>
      <c r="D1643" s="13" t="s">
        <v>2567</v>
      </c>
      <c r="E1643" s="13"/>
      <c r="F1643" s="13" t="s">
        <v>275</v>
      </c>
      <c r="G1643" s="13" t="s">
        <v>13</v>
      </c>
      <c r="H1643" s="22" t="str">
        <f>IFERROR(VLOOKUP(Table2[[#This Row], [Ticket]],Okey!A:B,2,0),"")</f>
        <v/>
      </c>
      <c r="I1643" s="13" t="s">
        <v>276</v>
      </c>
      <c r="J1643" s="22" t="e">
        <f>VLOOKUP(Table2[[#This Row], [Author]],People!A:B,2,0)</f>
        <v>#VALUE!</v>
      </c>
      <c r="K1643" s="13"/>
      <c r="L1643" s="13"/>
      <c r="M1643" s="23" t="s">
        <v>1613</v>
      </c>
    </row>
    <row r="1644" spans="1:13" ht="19.5" customHeight="1">
      <c r="A1644" s="18">
        <f t="shared" si="25"/>
        <v>1643</v>
      </c>
      <c r="B1644" s="11" t="s">
        <v>8</v>
      </c>
      <c r="C1644" s="11" t="s">
        <v>71</v>
      </c>
      <c r="D1644" s="11" t="s">
        <v>2569</v>
      </c>
      <c r="E1644" s="11"/>
      <c r="F1644" s="11" t="s">
        <v>275</v>
      </c>
      <c r="G1644" s="11" t="s">
        <v>13</v>
      </c>
      <c r="H1644" s="19" t="str">
        <f>IFERROR(VLOOKUP(Table2[[#This Row], [Ticket]],Okey!A:B,2,0),"")</f>
        <v/>
      </c>
      <c r="I1644" s="11" t="s">
        <v>276</v>
      </c>
      <c r="J1644" s="19" t="e">
        <f>VLOOKUP(Table2[[#This Row], [Author]],People!A:B,2,0)</f>
        <v>#VALUE!</v>
      </c>
      <c r="K1644" s="11"/>
      <c r="L1644" s="11"/>
      <c r="M1644" s="20" t="s">
        <v>1613</v>
      </c>
    </row>
    <row r="1645" spans="1:13" ht="19.5" customHeight="1">
      <c r="A1645" s="21">
        <f t="shared" si="25"/>
        <v>1644</v>
      </c>
      <c r="B1645" s="13" t="s">
        <v>8</v>
      </c>
      <c r="C1645" s="13" t="s">
        <v>71</v>
      </c>
      <c r="D1645" s="13" t="s">
        <v>2571</v>
      </c>
      <c r="E1645" s="13"/>
      <c r="F1645" s="13" t="s">
        <v>275</v>
      </c>
      <c r="G1645" s="13" t="s">
        <v>13</v>
      </c>
      <c r="H1645" s="22" t="str">
        <f>IFERROR(VLOOKUP(Table2[[#This Row], [Ticket]],Okey!A:B,2,0),"")</f>
        <v/>
      </c>
      <c r="I1645" s="13" t="s">
        <v>276</v>
      </c>
      <c r="J1645" s="22" t="e">
        <f>VLOOKUP(Table2[[#This Row], [Author]],People!A:B,2,0)</f>
        <v>#VALUE!</v>
      </c>
      <c r="K1645" s="13"/>
      <c r="L1645" s="13"/>
      <c r="M1645" s="23" t="s">
        <v>1613</v>
      </c>
    </row>
    <row r="1646" spans="1:13" ht="19.5" customHeight="1">
      <c r="A1646" s="18">
        <f t="shared" si="25"/>
        <v>1645</v>
      </c>
      <c r="B1646" s="11" t="s">
        <v>8</v>
      </c>
      <c r="C1646" s="11" t="s">
        <v>71</v>
      </c>
      <c r="D1646" s="11" t="s">
        <v>2573</v>
      </c>
      <c r="E1646" s="11"/>
      <c r="F1646" s="11" t="s">
        <v>275</v>
      </c>
      <c r="G1646" s="11" t="s">
        <v>13</v>
      </c>
      <c r="H1646" s="19" t="str">
        <f>IFERROR(VLOOKUP(Table2[[#This Row], [Ticket]],Okey!A:B,2,0),"")</f>
        <v/>
      </c>
      <c r="I1646" s="11" t="s">
        <v>276</v>
      </c>
      <c r="J1646" s="19" t="e">
        <f>VLOOKUP(Table2[[#This Row], [Author]],People!A:B,2,0)</f>
        <v>#VALUE!</v>
      </c>
      <c r="K1646" s="11"/>
      <c r="L1646" s="11"/>
      <c r="M1646" s="20" t="s">
        <v>1613</v>
      </c>
    </row>
    <row r="1647" spans="1:13" ht="19.5" customHeight="1">
      <c r="A1647" s="21">
        <f t="shared" si="25"/>
        <v>1646</v>
      </c>
      <c r="B1647" s="13" t="s">
        <v>8</v>
      </c>
      <c r="C1647" s="13" t="s">
        <v>71</v>
      </c>
      <c r="D1647" s="13" t="s">
        <v>2575</v>
      </c>
      <c r="E1647" s="13"/>
      <c r="F1647" s="13" t="s">
        <v>275</v>
      </c>
      <c r="G1647" s="13" t="s">
        <v>13</v>
      </c>
      <c r="H1647" s="22" t="str">
        <f>IFERROR(VLOOKUP(Table2[[#This Row], [Ticket]],Okey!A:B,2,0),"")</f>
        <v/>
      </c>
      <c r="I1647" s="13" t="s">
        <v>276</v>
      </c>
      <c r="J1647" s="22" t="e">
        <f>VLOOKUP(Table2[[#This Row], [Author]],People!A:B,2,0)</f>
        <v>#VALUE!</v>
      </c>
      <c r="K1647" s="13"/>
      <c r="L1647" s="13"/>
      <c r="M1647" s="23" t="s">
        <v>1613</v>
      </c>
    </row>
    <row r="1648" spans="1:13" ht="19.5" customHeight="1">
      <c r="A1648" s="18">
        <f t="shared" si="25"/>
        <v>1647</v>
      </c>
      <c r="B1648" s="11" t="s">
        <v>8</v>
      </c>
      <c r="C1648" s="11" t="s">
        <v>71</v>
      </c>
      <c r="D1648" s="11" t="s">
        <v>2521</v>
      </c>
      <c r="E1648" s="11"/>
      <c r="F1648" s="11" t="s">
        <v>275</v>
      </c>
      <c r="G1648" s="11" t="s">
        <v>13</v>
      </c>
      <c r="H1648" s="19" t="str">
        <f>IFERROR(VLOOKUP(Table2[[#This Row], [Ticket]],Okey!A:B,2,0),"")</f>
        <v/>
      </c>
      <c r="I1648" s="11" t="s">
        <v>276</v>
      </c>
      <c r="J1648" s="19" t="e">
        <f>VLOOKUP(Table2[[#This Row], [Author]],People!A:B,2,0)</f>
        <v>#VALUE!</v>
      </c>
      <c r="K1648" s="11"/>
      <c r="L1648" s="11"/>
      <c r="M1648" s="20" t="s">
        <v>1613</v>
      </c>
    </row>
    <row r="1649" spans="1:13" ht="19.5" customHeight="1">
      <c r="A1649" s="21">
        <f t="shared" si="25"/>
        <v>1648</v>
      </c>
      <c r="B1649" s="13" t="s">
        <v>8</v>
      </c>
      <c r="C1649" s="13" t="s">
        <v>71</v>
      </c>
      <c r="D1649" s="13" t="s">
        <v>2523</v>
      </c>
      <c r="E1649" s="13"/>
      <c r="F1649" s="13" t="s">
        <v>275</v>
      </c>
      <c r="G1649" s="13" t="s">
        <v>13</v>
      </c>
      <c r="H1649" s="22" t="str">
        <f>IFERROR(VLOOKUP(Table2[[#This Row], [Ticket]],Okey!A:B,2,0),"")</f>
        <v/>
      </c>
      <c r="I1649" s="13" t="s">
        <v>276</v>
      </c>
      <c r="J1649" s="22" t="e">
        <f>VLOOKUP(Table2[[#This Row], [Author]],People!A:B,2,0)</f>
        <v>#VALUE!</v>
      </c>
      <c r="K1649" s="13"/>
      <c r="L1649" s="13"/>
      <c r="M1649" s="23" t="s">
        <v>1613</v>
      </c>
    </row>
    <row r="1650" spans="1:13" ht="19.5" customHeight="1">
      <c r="A1650" s="18">
        <f t="shared" si="25"/>
        <v>1649</v>
      </c>
      <c r="B1650" s="11" t="s">
        <v>8</v>
      </c>
      <c r="C1650" s="11" t="s">
        <v>71</v>
      </c>
      <c r="D1650" s="11" t="s">
        <v>2525</v>
      </c>
      <c r="E1650" s="11"/>
      <c r="F1650" s="11" t="s">
        <v>275</v>
      </c>
      <c r="G1650" s="11" t="s">
        <v>13</v>
      </c>
      <c r="H1650" s="19" t="str">
        <f>IFERROR(VLOOKUP(Table2[[#This Row], [Ticket]],Okey!A:B,2,0),"")</f>
        <v/>
      </c>
      <c r="I1650" s="11" t="s">
        <v>276</v>
      </c>
      <c r="J1650" s="19" t="e">
        <f>VLOOKUP(Table2[[#This Row], [Author]],People!A:B,2,0)</f>
        <v>#VALUE!</v>
      </c>
      <c r="K1650" s="11"/>
      <c r="L1650" s="11"/>
      <c r="M1650" s="20" t="s">
        <v>1613</v>
      </c>
    </row>
    <row r="1651" spans="1:13" ht="19.5" customHeight="1">
      <c r="A1651" s="21">
        <f t="shared" si="25"/>
        <v>1650</v>
      </c>
      <c r="B1651" s="13" t="s">
        <v>8</v>
      </c>
      <c r="C1651" s="13" t="s">
        <v>71</v>
      </c>
      <c r="D1651" s="13" t="s">
        <v>2527</v>
      </c>
      <c r="E1651" s="13"/>
      <c r="F1651" s="13" t="s">
        <v>275</v>
      </c>
      <c r="G1651" s="13" t="s">
        <v>13</v>
      </c>
      <c r="H1651" s="22" t="str">
        <f>IFERROR(VLOOKUP(Table2[[#This Row], [Ticket]],Okey!A:B,2,0),"")</f>
        <v/>
      </c>
      <c r="I1651" s="13" t="s">
        <v>276</v>
      </c>
      <c r="J1651" s="22" t="e">
        <f>VLOOKUP(Table2[[#This Row], [Author]],People!A:B,2,0)</f>
        <v>#VALUE!</v>
      </c>
      <c r="K1651" s="13"/>
      <c r="L1651" s="13"/>
      <c r="M1651" s="23" t="s">
        <v>1613</v>
      </c>
    </row>
    <row r="1652" spans="1:13" ht="19.5" customHeight="1">
      <c r="A1652" s="18">
        <f t="shared" si="25"/>
        <v>1651</v>
      </c>
      <c r="B1652" s="11" t="s">
        <v>8</v>
      </c>
      <c r="C1652" s="11" t="s">
        <v>71</v>
      </c>
      <c r="D1652" s="11" t="s">
        <v>2529</v>
      </c>
      <c r="E1652" s="11"/>
      <c r="F1652" s="11" t="s">
        <v>275</v>
      </c>
      <c r="G1652" s="11" t="s">
        <v>13</v>
      </c>
      <c r="H1652" s="19" t="str">
        <f>IFERROR(VLOOKUP(Table2[[#This Row], [Ticket]],Okey!A:B,2,0),"")</f>
        <v/>
      </c>
      <c r="I1652" s="11" t="s">
        <v>276</v>
      </c>
      <c r="J1652" s="19" t="e">
        <f>VLOOKUP(Table2[[#This Row], [Author]],People!A:B,2,0)</f>
        <v>#VALUE!</v>
      </c>
      <c r="K1652" s="11"/>
      <c r="L1652" s="11"/>
      <c r="M1652" s="20" t="s">
        <v>1613</v>
      </c>
    </row>
    <row r="1653" spans="1:13" ht="19.5" customHeight="1">
      <c r="A1653" s="21">
        <f t="shared" si="25"/>
        <v>1652</v>
      </c>
      <c r="B1653" s="13" t="s">
        <v>8</v>
      </c>
      <c r="C1653" s="13" t="s">
        <v>71</v>
      </c>
      <c r="D1653" s="13" t="s">
        <v>2531</v>
      </c>
      <c r="E1653" s="13"/>
      <c r="F1653" s="13" t="s">
        <v>275</v>
      </c>
      <c r="G1653" s="13" t="s">
        <v>13</v>
      </c>
      <c r="H1653" s="22" t="str">
        <f>IFERROR(VLOOKUP(Table2[[#This Row], [Ticket]],Okey!A:B,2,0),"")</f>
        <v/>
      </c>
      <c r="I1653" s="13" t="s">
        <v>276</v>
      </c>
      <c r="J1653" s="22" t="e">
        <f>VLOOKUP(Table2[[#This Row], [Author]],People!A:B,2,0)</f>
        <v>#VALUE!</v>
      </c>
      <c r="K1653" s="13"/>
      <c r="L1653" s="13"/>
      <c r="M1653" s="23" t="s">
        <v>1613</v>
      </c>
    </row>
    <row r="1654" spans="1:13" ht="19.5" customHeight="1">
      <c r="A1654" s="18">
        <f t="shared" si="25"/>
        <v>1653</v>
      </c>
      <c r="B1654" s="11" t="s">
        <v>8</v>
      </c>
      <c r="C1654" s="11" t="s">
        <v>71</v>
      </c>
      <c r="D1654" s="11" t="s">
        <v>2533</v>
      </c>
      <c r="E1654" s="11"/>
      <c r="F1654" s="11" t="s">
        <v>275</v>
      </c>
      <c r="G1654" s="11" t="s">
        <v>13</v>
      </c>
      <c r="H1654" s="19" t="str">
        <f>IFERROR(VLOOKUP(Table2[[#This Row], [Ticket]],Okey!A:B,2,0),"")</f>
        <v/>
      </c>
      <c r="I1654" s="11" t="s">
        <v>276</v>
      </c>
      <c r="J1654" s="19" t="e">
        <f>VLOOKUP(Table2[[#This Row], [Author]],People!A:B,2,0)</f>
        <v>#VALUE!</v>
      </c>
      <c r="K1654" s="11"/>
      <c r="L1654" s="11"/>
      <c r="M1654" s="20" t="s">
        <v>1613</v>
      </c>
    </row>
    <row r="1655" spans="1:13" ht="19.5" customHeight="1">
      <c r="A1655" s="21">
        <f t="shared" si="25"/>
        <v>1654</v>
      </c>
      <c r="B1655" s="13" t="s">
        <v>8</v>
      </c>
      <c r="C1655" s="13" t="s">
        <v>71</v>
      </c>
      <c r="D1655" s="13" t="s">
        <v>2593</v>
      </c>
      <c r="E1655" s="13"/>
      <c r="F1655" s="13" t="s">
        <v>275</v>
      </c>
      <c r="G1655" s="13" t="s">
        <v>13</v>
      </c>
      <c r="H1655" s="22" t="str">
        <f>IFERROR(VLOOKUP(Table2[[#This Row], [Ticket]],Okey!A:B,2,0),"")</f>
        <v/>
      </c>
      <c r="I1655" s="13" t="s">
        <v>276</v>
      </c>
      <c r="J1655" s="22" t="e">
        <f>VLOOKUP(Table2[[#This Row], [Author]],People!A:B,2,0)</f>
        <v>#VALUE!</v>
      </c>
      <c r="K1655" s="13"/>
      <c r="L1655" s="13"/>
      <c r="M1655" s="23" t="s">
        <v>1613</v>
      </c>
    </row>
    <row r="1656" spans="1:13" ht="19.5" customHeight="1">
      <c r="A1656" s="18">
        <f t="shared" si="25"/>
        <v>1655</v>
      </c>
      <c r="B1656" s="11" t="s">
        <v>8</v>
      </c>
      <c r="C1656" s="11" t="s">
        <v>71</v>
      </c>
      <c r="D1656" s="11" t="s">
        <v>2595</v>
      </c>
      <c r="E1656" s="11"/>
      <c r="F1656" s="11" t="s">
        <v>275</v>
      </c>
      <c r="G1656" s="11" t="s">
        <v>13</v>
      </c>
      <c r="H1656" s="19" t="str">
        <f>IFERROR(VLOOKUP(Table2[[#This Row], [Ticket]],Okey!A:B,2,0),"")</f>
        <v/>
      </c>
      <c r="I1656" s="11" t="s">
        <v>276</v>
      </c>
      <c r="J1656" s="19" t="e">
        <f>VLOOKUP(Table2[[#This Row], [Author]],People!A:B,2,0)</f>
        <v>#VALUE!</v>
      </c>
      <c r="K1656" s="11"/>
      <c r="L1656" s="11"/>
      <c r="M1656" s="20" t="s">
        <v>1613</v>
      </c>
    </row>
    <row r="1657" spans="1:13" ht="19.5" customHeight="1">
      <c r="A1657" s="21">
        <f t="shared" si="25"/>
        <v>1656</v>
      </c>
      <c r="B1657" s="13" t="s">
        <v>8</v>
      </c>
      <c r="C1657" s="13" t="s">
        <v>71</v>
      </c>
      <c r="D1657" s="13" t="s">
        <v>2597</v>
      </c>
      <c r="E1657" s="13"/>
      <c r="F1657" s="13" t="s">
        <v>275</v>
      </c>
      <c r="G1657" s="13" t="s">
        <v>13</v>
      </c>
      <c r="H1657" s="22" t="str">
        <f>IFERROR(VLOOKUP(Table2[[#This Row], [Ticket]],Okey!A:B,2,0),"")</f>
        <v/>
      </c>
      <c r="I1657" s="13" t="s">
        <v>276</v>
      </c>
      <c r="J1657" s="22" t="e">
        <f>VLOOKUP(Table2[[#This Row], [Author]],People!A:B,2,0)</f>
        <v>#VALUE!</v>
      </c>
      <c r="K1657" s="13"/>
      <c r="L1657" s="13"/>
      <c r="M1657" s="23" t="s">
        <v>1613</v>
      </c>
    </row>
    <row r="1658" spans="1:13" ht="19.5" customHeight="1">
      <c r="A1658" s="18">
        <f t="shared" si="25"/>
        <v>1657</v>
      </c>
      <c r="B1658" s="11" t="s">
        <v>8</v>
      </c>
      <c r="C1658" s="11" t="s">
        <v>71</v>
      </c>
      <c r="D1658" s="11" t="s">
        <v>2226</v>
      </c>
      <c r="E1658" s="11"/>
      <c r="F1658" s="11" t="s">
        <v>275</v>
      </c>
      <c r="G1658" s="11" t="s">
        <v>13</v>
      </c>
      <c r="H1658" s="19" t="str">
        <f>IFERROR(VLOOKUP(Table2[[#This Row], [Ticket]],Okey!A:B,2,0),"")</f>
        <v/>
      </c>
      <c r="I1658" s="11" t="s">
        <v>276</v>
      </c>
      <c r="J1658" s="19" t="e">
        <f>VLOOKUP(Table2[[#This Row], [Author]],People!A:B,2,0)</f>
        <v>#VALUE!</v>
      </c>
      <c r="K1658" s="11"/>
      <c r="L1658" s="11"/>
      <c r="M1658" s="20" t="s">
        <v>1613</v>
      </c>
    </row>
    <row r="1659" spans="1:13" ht="19.5" customHeight="1">
      <c r="A1659" s="21">
        <f t="shared" si="25"/>
        <v>1658</v>
      </c>
      <c r="B1659" s="13" t="s">
        <v>8</v>
      </c>
      <c r="C1659" s="13" t="s">
        <v>71</v>
      </c>
      <c r="D1659" s="13" t="s">
        <v>2599</v>
      </c>
      <c r="E1659" s="13"/>
      <c r="F1659" s="13" t="s">
        <v>275</v>
      </c>
      <c r="G1659" s="13" t="s">
        <v>13</v>
      </c>
      <c r="H1659" s="22" t="str">
        <f>IFERROR(VLOOKUP(Table2[[#This Row], [Ticket]],Okey!A:B,2,0),"")</f>
        <v/>
      </c>
      <c r="I1659" s="13" t="s">
        <v>276</v>
      </c>
      <c r="J1659" s="22" t="e">
        <f>VLOOKUP(Table2[[#This Row], [Author]],People!A:B,2,0)</f>
        <v>#VALUE!</v>
      </c>
      <c r="K1659" s="13"/>
      <c r="L1659" s="13"/>
      <c r="M1659" s="23" t="s">
        <v>1613</v>
      </c>
    </row>
    <row r="1660" spans="1:13" ht="19.5" customHeight="1">
      <c r="A1660" s="18">
        <f t="shared" si="25"/>
        <v>1659</v>
      </c>
      <c r="B1660" s="11" t="s">
        <v>8</v>
      </c>
      <c r="C1660" s="11" t="s">
        <v>71</v>
      </c>
      <c r="D1660" s="11" t="s">
        <v>2601</v>
      </c>
      <c r="E1660" s="11"/>
      <c r="F1660" s="11" t="s">
        <v>275</v>
      </c>
      <c r="G1660" s="11" t="s">
        <v>13</v>
      </c>
      <c r="H1660" s="19" t="str">
        <f>IFERROR(VLOOKUP(Table2[[#This Row], [Ticket]],Okey!A:B,2,0),"")</f>
        <v/>
      </c>
      <c r="I1660" s="11" t="s">
        <v>276</v>
      </c>
      <c r="J1660" s="19" t="e">
        <f>VLOOKUP(Table2[[#This Row], [Author]],People!A:B,2,0)</f>
        <v>#VALUE!</v>
      </c>
      <c r="K1660" s="11"/>
      <c r="L1660" s="11"/>
      <c r="M1660" s="20" t="s">
        <v>1613</v>
      </c>
    </row>
    <row r="1661" spans="1:13" ht="19.5" customHeight="1">
      <c r="A1661" s="21">
        <f t="shared" si="25"/>
        <v>1660</v>
      </c>
      <c r="B1661" s="13" t="s">
        <v>8</v>
      </c>
      <c r="C1661" s="13" t="s">
        <v>71</v>
      </c>
      <c r="D1661" s="13" t="s">
        <v>2603</v>
      </c>
      <c r="E1661" s="13"/>
      <c r="F1661" s="13" t="s">
        <v>275</v>
      </c>
      <c r="G1661" s="13" t="s">
        <v>13</v>
      </c>
      <c r="H1661" s="22" t="str">
        <f>IFERROR(VLOOKUP(Table2[[#This Row], [Ticket]],Okey!A:B,2,0),"")</f>
        <v/>
      </c>
      <c r="I1661" s="13" t="s">
        <v>276</v>
      </c>
      <c r="J1661" s="22" t="e">
        <f>VLOOKUP(Table2[[#This Row], [Author]],People!A:B,2,0)</f>
        <v>#VALUE!</v>
      </c>
      <c r="K1661" s="13"/>
      <c r="L1661" s="13"/>
      <c r="M1661" s="23" t="s">
        <v>1613</v>
      </c>
    </row>
    <row r="1662" spans="1:13" ht="19.5" customHeight="1">
      <c r="A1662" s="18">
        <f t="shared" si="25"/>
        <v>1661</v>
      </c>
      <c r="B1662" s="11" t="s">
        <v>8</v>
      </c>
      <c r="C1662" s="11" t="s">
        <v>71</v>
      </c>
      <c r="D1662" s="11" t="s">
        <v>3232</v>
      </c>
      <c r="E1662" s="11"/>
      <c r="F1662" s="11" t="s">
        <v>275</v>
      </c>
      <c r="G1662" s="11" t="s">
        <v>13</v>
      </c>
      <c r="H1662" s="19" t="str">
        <f>IFERROR(VLOOKUP(Table2[[#This Row], [Ticket]],Okey!A:B,2,0),"")</f>
        <v/>
      </c>
      <c r="I1662" s="11" t="s">
        <v>276</v>
      </c>
      <c r="J1662" s="19" t="e">
        <f>VLOOKUP(Table2[[#This Row], [Author]],People!A:B,2,0)</f>
        <v>#VALUE!</v>
      </c>
      <c r="K1662" s="11"/>
      <c r="L1662" s="11"/>
      <c r="M1662" s="20" t="s">
        <v>1613</v>
      </c>
    </row>
    <row r="1663" spans="1:13" ht="19.5" customHeight="1">
      <c r="A1663" s="21">
        <f t="shared" si="25"/>
        <v>1662</v>
      </c>
      <c r="B1663" s="13" t="s">
        <v>8</v>
      </c>
      <c r="C1663" s="13" t="s">
        <v>71</v>
      </c>
      <c r="D1663" s="13" t="s">
        <v>3282</v>
      </c>
      <c r="E1663" s="13"/>
      <c r="F1663" s="13" t="s">
        <v>275</v>
      </c>
      <c r="G1663" s="13" t="s">
        <v>13</v>
      </c>
      <c r="H1663" s="22" t="str">
        <f>IFERROR(VLOOKUP(Table2[[#This Row], [Ticket]],Okey!A:B,2,0),"")</f>
        <v/>
      </c>
      <c r="I1663" s="13" t="s">
        <v>276</v>
      </c>
      <c r="J1663" s="22" t="e">
        <f>VLOOKUP(Table2[[#This Row], [Author]],People!A:B,2,0)</f>
        <v>#VALUE!</v>
      </c>
      <c r="K1663" s="13"/>
      <c r="L1663" s="13"/>
      <c r="M1663" s="23" t="s">
        <v>1613</v>
      </c>
    </row>
    <row r="1664" spans="1:13" ht="19.5" customHeight="1">
      <c r="A1664" s="18">
        <f t="shared" si="25"/>
        <v>1663</v>
      </c>
      <c r="B1664" s="11" t="s">
        <v>8</v>
      </c>
      <c r="C1664" s="11" t="s">
        <v>71</v>
      </c>
      <c r="D1664" s="11" t="s">
        <v>3283</v>
      </c>
      <c r="E1664" s="11"/>
      <c r="F1664" s="11" t="s">
        <v>275</v>
      </c>
      <c r="G1664" s="11" t="s">
        <v>13</v>
      </c>
      <c r="H1664" s="19" t="str">
        <f>IFERROR(VLOOKUP(Table2[[#This Row], [Ticket]],Okey!A:B,2,0),"")</f>
        <v/>
      </c>
      <c r="I1664" s="11" t="s">
        <v>276</v>
      </c>
      <c r="J1664" s="19" t="e">
        <f>VLOOKUP(Table2[[#This Row], [Author]],People!A:B,2,0)</f>
        <v>#VALUE!</v>
      </c>
      <c r="K1664" s="11"/>
      <c r="L1664" s="11"/>
      <c r="M1664" s="20" t="s">
        <v>1613</v>
      </c>
    </row>
    <row r="1665" spans="1:13" ht="19.5" customHeight="1">
      <c r="A1665" s="21">
        <f t="shared" si="25"/>
        <v>1664</v>
      </c>
      <c r="B1665" s="13" t="s">
        <v>8</v>
      </c>
      <c r="C1665" s="13" t="s">
        <v>71</v>
      </c>
      <c r="D1665" s="13" t="s">
        <v>3284</v>
      </c>
      <c r="E1665" s="13"/>
      <c r="F1665" s="13" t="s">
        <v>275</v>
      </c>
      <c r="G1665" s="13" t="s">
        <v>13</v>
      </c>
      <c r="H1665" s="22" t="str">
        <f>IFERROR(VLOOKUP(Table2[[#This Row], [Ticket]],Okey!A:B,2,0),"")</f>
        <v/>
      </c>
      <c r="I1665" s="13" t="s">
        <v>276</v>
      </c>
      <c r="J1665" s="22" t="e">
        <f>VLOOKUP(Table2[[#This Row], [Author]],People!A:B,2,0)</f>
        <v>#VALUE!</v>
      </c>
      <c r="K1665" s="13"/>
      <c r="L1665" s="13"/>
      <c r="M1665" s="23" t="s">
        <v>1613</v>
      </c>
    </row>
    <row r="1666" spans="1:13" ht="19.5" customHeight="1">
      <c r="A1666" s="18">
        <f t="shared" si="25"/>
        <v>1665</v>
      </c>
      <c r="B1666" s="11" t="s">
        <v>8</v>
      </c>
      <c r="C1666" s="11" t="s">
        <v>71</v>
      </c>
      <c r="D1666" s="11" t="s">
        <v>3285</v>
      </c>
      <c r="E1666" s="11"/>
      <c r="F1666" s="11" t="s">
        <v>275</v>
      </c>
      <c r="G1666" s="11" t="s">
        <v>13</v>
      </c>
      <c r="H1666" s="19" t="str">
        <f>IFERROR(VLOOKUP(Table2[[#This Row], [Ticket]],Okey!A:B,2,0),"")</f>
        <v/>
      </c>
      <c r="I1666" s="11" t="s">
        <v>276</v>
      </c>
      <c r="J1666" s="19" t="e">
        <f>VLOOKUP(Table2[[#This Row], [Author]],People!A:B,2,0)</f>
        <v>#VALUE!</v>
      </c>
      <c r="K1666" s="11"/>
      <c r="L1666" s="11"/>
      <c r="M1666" s="20" t="s">
        <v>1613</v>
      </c>
    </row>
    <row r="1667" spans="1:13" ht="19.5" customHeight="1">
      <c r="A1667" s="21">
        <f t="shared" ref="A1667:A1730" si="26">1+A1666</f>
        <v>1666</v>
      </c>
      <c r="B1667" s="13" t="s">
        <v>8</v>
      </c>
      <c r="C1667" s="13" t="s">
        <v>71</v>
      </c>
      <c r="D1667" s="13" t="s">
        <v>3286</v>
      </c>
      <c r="E1667" s="13"/>
      <c r="F1667" s="13" t="s">
        <v>275</v>
      </c>
      <c r="G1667" s="13" t="s">
        <v>13</v>
      </c>
      <c r="H1667" s="22" t="str">
        <f>IFERROR(VLOOKUP(Table2[[#This Row], [Ticket]],Okey!A:B,2,0),"")</f>
        <v/>
      </c>
      <c r="I1667" s="13" t="s">
        <v>276</v>
      </c>
      <c r="J1667" s="22" t="e">
        <f>VLOOKUP(Table2[[#This Row], [Author]],People!A:B,2,0)</f>
        <v>#VALUE!</v>
      </c>
      <c r="K1667" s="13"/>
      <c r="L1667" s="13"/>
      <c r="M1667" s="23" t="s">
        <v>1613</v>
      </c>
    </row>
    <row r="1668" spans="1:13" ht="19.5" customHeight="1">
      <c r="A1668" s="18">
        <f t="shared" si="26"/>
        <v>1667</v>
      </c>
      <c r="B1668" s="11" t="s">
        <v>8</v>
      </c>
      <c r="C1668" s="11" t="s">
        <v>71</v>
      </c>
      <c r="D1668" s="11" t="s">
        <v>1619</v>
      </c>
      <c r="E1668" s="11"/>
      <c r="F1668" s="11" t="s">
        <v>275</v>
      </c>
      <c r="G1668" s="11" t="s">
        <v>13</v>
      </c>
      <c r="H1668" s="19" t="str">
        <f>IFERROR(VLOOKUP(Table2[[#This Row], [Ticket]],Okey!A:B,2,0),"")</f>
        <v/>
      </c>
      <c r="I1668" s="11" t="s">
        <v>276</v>
      </c>
      <c r="J1668" s="19" t="e">
        <f>VLOOKUP(Table2[[#This Row], [Author]],People!A:B,2,0)</f>
        <v>#VALUE!</v>
      </c>
      <c r="K1668" s="11"/>
      <c r="L1668" s="11"/>
      <c r="M1668" s="20" t="s">
        <v>1613</v>
      </c>
    </row>
    <row r="1669" spans="1:13" ht="19.5" customHeight="1">
      <c r="A1669" s="21">
        <f t="shared" si="26"/>
        <v>1668</v>
      </c>
      <c r="B1669" s="13" t="s">
        <v>8</v>
      </c>
      <c r="C1669" s="13" t="s">
        <v>71</v>
      </c>
      <c r="D1669" s="13" t="s">
        <v>3287</v>
      </c>
      <c r="E1669" s="13"/>
      <c r="F1669" s="13" t="s">
        <v>275</v>
      </c>
      <c r="G1669" s="13" t="s">
        <v>13</v>
      </c>
      <c r="H1669" s="22" t="str">
        <f>IFERROR(VLOOKUP(Table2[[#This Row], [Ticket]],Okey!A:B,2,0),"")</f>
        <v/>
      </c>
      <c r="I1669" s="13" t="s">
        <v>276</v>
      </c>
      <c r="J1669" s="22" t="e">
        <f>VLOOKUP(Table2[[#This Row], [Author]],People!A:B,2,0)</f>
        <v>#VALUE!</v>
      </c>
      <c r="K1669" s="13"/>
      <c r="L1669" s="13"/>
      <c r="M1669" s="23" t="s">
        <v>1613</v>
      </c>
    </row>
    <row r="1670" spans="1:13" ht="19.5" customHeight="1">
      <c r="A1670" s="18">
        <f t="shared" si="26"/>
        <v>1669</v>
      </c>
      <c r="B1670" s="11" t="s">
        <v>8</v>
      </c>
      <c r="C1670" s="11" t="s">
        <v>71</v>
      </c>
      <c r="D1670" s="11" t="s">
        <v>3288</v>
      </c>
      <c r="E1670" s="11"/>
      <c r="F1670" s="11" t="s">
        <v>275</v>
      </c>
      <c r="G1670" s="11" t="s">
        <v>13</v>
      </c>
      <c r="H1670" s="19" t="str">
        <f>IFERROR(VLOOKUP(Table2[[#This Row], [Ticket]],Okey!A:B,2,0),"")</f>
        <v/>
      </c>
      <c r="I1670" s="11" t="s">
        <v>276</v>
      </c>
      <c r="J1670" s="19" t="e">
        <f>VLOOKUP(Table2[[#This Row], [Author]],People!A:B,2,0)</f>
        <v>#VALUE!</v>
      </c>
      <c r="K1670" s="11"/>
      <c r="L1670" s="11"/>
      <c r="M1670" s="20" t="s">
        <v>1613</v>
      </c>
    </row>
    <row r="1671" spans="1:13" ht="19.5" customHeight="1">
      <c r="A1671" s="21">
        <f t="shared" si="26"/>
        <v>1670</v>
      </c>
      <c r="B1671" s="13" t="s">
        <v>8</v>
      </c>
      <c r="C1671" s="13" t="s">
        <v>71</v>
      </c>
      <c r="D1671" s="13" t="s">
        <v>3289</v>
      </c>
      <c r="E1671" s="13"/>
      <c r="F1671" s="13" t="s">
        <v>275</v>
      </c>
      <c r="G1671" s="13" t="s">
        <v>13</v>
      </c>
      <c r="H1671" s="22" t="str">
        <f>IFERROR(VLOOKUP(Table2[[#This Row], [Ticket]],Okey!A:B,2,0),"")</f>
        <v/>
      </c>
      <c r="I1671" s="13" t="s">
        <v>276</v>
      </c>
      <c r="J1671" s="22" t="e">
        <f>VLOOKUP(Table2[[#This Row], [Author]],People!A:B,2,0)</f>
        <v>#VALUE!</v>
      </c>
      <c r="K1671" s="13"/>
      <c r="L1671" s="13"/>
      <c r="M1671" s="23" t="s">
        <v>1613</v>
      </c>
    </row>
    <row r="1672" spans="1:13" ht="19.5" customHeight="1">
      <c r="A1672" s="18">
        <f t="shared" si="26"/>
        <v>1671</v>
      </c>
      <c r="B1672" s="11" t="s">
        <v>8</v>
      </c>
      <c r="C1672" s="11" t="s">
        <v>71</v>
      </c>
      <c r="D1672" s="11" t="s">
        <v>3290</v>
      </c>
      <c r="E1672" s="11"/>
      <c r="F1672" s="11" t="s">
        <v>275</v>
      </c>
      <c r="G1672" s="11" t="s">
        <v>13</v>
      </c>
      <c r="H1672" s="19" t="str">
        <f>IFERROR(VLOOKUP(Table2[[#This Row], [Ticket]],Okey!A:B,2,0),"")</f>
        <v/>
      </c>
      <c r="I1672" s="11" t="s">
        <v>276</v>
      </c>
      <c r="J1672" s="19" t="e">
        <f>VLOOKUP(Table2[[#This Row], [Author]],People!A:B,2,0)</f>
        <v>#VALUE!</v>
      </c>
      <c r="K1672" s="11"/>
      <c r="L1672" s="11"/>
      <c r="M1672" s="20" t="s">
        <v>1613</v>
      </c>
    </row>
    <row r="1673" spans="1:13" ht="19.5" customHeight="1">
      <c r="A1673" s="21">
        <f t="shared" si="26"/>
        <v>1672</v>
      </c>
      <c r="B1673" s="13" t="s">
        <v>8</v>
      </c>
      <c r="C1673" s="13" t="s">
        <v>71</v>
      </c>
      <c r="D1673" s="13" t="s">
        <v>2611</v>
      </c>
      <c r="E1673" s="13"/>
      <c r="F1673" s="13" t="s">
        <v>275</v>
      </c>
      <c r="G1673" s="13" t="s">
        <v>13</v>
      </c>
      <c r="H1673" s="22" t="str">
        <f>IFERROR(VLOOKUP(Table2[[#This Row], [Ticket]],Okey!A:B,2,0),"")</f>
        <v/>
      </c>
      <c r="I1673" s="13" t="s">
        <v>276</v>
      </c>
      <c r="J1673" s="22" t="e">
        <f>VLOOKUP(Table2[[#This Row], [Author]],People!A:B,2,0)</f>
        <v>#VALUE!</v>
      </c>
      <c r="K1673" s="13"/>
      <c r="L1673" s="13"/>
      <c r="M1673" s="23" t="s">
        <v>1613</v>
      </c>
    </row>
    <row r="1674" spans="1:13" ht="19.5" customHeight="1">
      <c r="A1674" s="18">
        <f t="shared" si="26"/>
        <v>1673</v>
      </c>
      <c r="B1674" s="11" t="s">
        <v>8</v>
      </c>
      <c r="C1674" s="11" t="s">
        <v>71</v>
      </c>
      <c r="D1674" s="11" t="s">
        <v>2608</v>
      </c>
      <c r="E1674" s="11"/>
      <c r="F1674" s="11" t="s">
        <v>275</v>
      </c>
      <c r="G1674" s="11" t="s">
        <v>13</v>
      </c>
      <c r="H1674" s="19" t="str">
        <f>IFERROR(VLOOKUP(Table2[[#This Row], [Ticket]],Okey!A:B,2,0),"")</f>
        <v/>
      </c>
      <c r="I1674" s="11" t="s">
        <v>276</v>
      </c>
      <c r="J1674" s="19" t="e">
        <f>VLOOKUP(Table2[[#This Row], [Author]],People!A:B,2,0)</f>
        <v>#VALUE!</v>
      </c>
      <c r="K1674" s="11"/>
      <c r="L1674" s="11"/>
      <c r="M1674" s="20" t="s">
        <v>1613</v>
      </c>
    </row>
    <row r="1675" spans="1:13" ht="19.5" customHeight="1">
      <c r="A1675" s="21">
        <f t="shared" si="26"/>
        <v>1674</v>
      </c>
      <c r="B1675" s="13" t="s">
        <v>8</v>
      </c>
      <c r="C1675" s="13" t="s">
        <v>71</v>
      </c>
      <c r="D1675" s="13" t="s">
        <v>3291</v>
      </c>
      <c r="E1675" s="13"/>
      <c r="F1675" s="13" t="s">
        <v>275</v>
      </c>
      <c r="G1675" s="13" t="s">
        <v>13</v>
      </c>
      <c r="H1675" s="22" t="str">
        <f>IFERROR(VLOOKUP(Table2[[#This Row], [Ticket]],Okey!A:B,2,0),"")</f>
        <v/>
      </c>
      <c r="I1675" s="13" t="s">
        <v>276</v>
      </c>
      <c r="J1675" s="22" t="e">
        <f>VLOOKUP(Table2[[#This Row], [Author]],People!A:B,2,0)</f>
        <v>#VALUE!</v>
      </c>
      <c r="K1675" s="13"/>
      <c r="L1675" s="13"/>
      <c r="M1675" s="23" t="s">
        <v>1613</v>
      </c>
    </row>
    <row r="1676" spans="1:13" ht="19.5" customHeight="1">
      <c r="A1676" s="18">
        <f t="shared" si="26"/>
        <v>1675</v>
      </c>
      <c r="B1676" s="11" t="s">
        <v>8</v>
      </c>
      <c r="C1676" s="11" t="s">
        <v>71</v>
      </c>
      <c r="D1676" s="11" t="s">
        <v>3292</v>
      </c>
      <c r="E1676" s="11"/>
      <c r="F1676" s="11" t="s">
        <v>275</v>
      </c>
      <c r="G1676" s="11" t="s">
        <v>13</v>
      </c>
      <c r="H1676" s="19" t="str">
        <f>IFERROR(VLOOKUP(Table2[[#This Row], [Ticket]],Okey!A:B,2,0),"")</f>
        <v/>
      </c>
      <c r="I1676" s="11" t="s">
        <v>276</v>
      </c>
      <c r="J1676" s="19" t="e">
        <f>VLOOKUP(Table2[[#This Row], [Author]],People!A:B,2,0)</f>
        <v>#VALUE!</v>
      </c>
      <c r="K1676" s="11"/>
      <c r="L1676" s="11"/>
      <c r="M1676" s="20" t="s">
        <v>1613</v>
      </c>
    </row>
    <row r="1677" spans="1:13" ht="19.5" customHeight="1">
      <c r="A1677" s="21">
        <f t="shared" si="26"/>
        <v>1676</v>
      </c>
      <c r="B1677" s="13" t="s">
        <v>8</v>
      </c>
      <c r="C1677" s="13" t="s">
        <v>71</v>
      </c>
      <c r="D1677" s="13" t="s">
        <v>3293</v>
      </c>
      <c r="E1677" s="13"/>
      <c r="F1677" s="13" t="s">
        <v>275</v>
      </c>
      <c r="G1677" s="13" t="s">
        <v>13</v>
      </c>
      <c r="H1677" s="22" t="str">
        <f>IFERROR(VLOOKUP(Table2[[#This Row], [Ticket]],Okey!A:B,2,0),"")</f>
        <v/>
      </c>
      <c r="I1677" s="13" t="s">
        <v>276</v>
      </c>
      <c r="J1677" s="22" t="e">
        <f>VLOOKUP(Table2[[#This Row], [Author]],People!A:B,2,0)</f>
        <v>#VALUE!</v>
      </c>
      <c r="K1677" s="13"/>
      <c r="L1677" s="13"/>
      <c r="M1677" s="23" t="s">
        <v>1613</v>
      </c>
    </row>
    <row r="1678" spans="1:13" ht="19.5" customHeight="1">
      <c r="A1678" s="18">
        <f t="shared" si="26"/>
        <v>1677</v>
      </c>
      <c r="B1678" s="11" t="s">
        <v>8</v>
      </c>
      <c r="C1678" s="11" t="s">
        <v>71</v>
      </c>
      <c r="D1678" s="11" t="s">
        <v>3294</v>
      </c>
      <c r="E1678" s="11"/>
      <c r="F1678" s="11" t="s">
        <v>275</v>
      </c>
      <c r="G1678" s="11" t="s">
        <v>13</v>
      </c>
      <c r="H1678" s="19" t="str">
        <f>IFERROR(VLOOKUP(Table2[[#This Row], [Ticket]],Okey!A:B,2,0),"")</f>
        <v/>
      </c>
      <c r="I1678" s="11" t="s">
        <v>276</v>
      </c>
      <c r="J1678" s="19" t="e">
        <f>VLOOKUP(Table2[[#This Row], [Author]],People!A:B,2,0)</f>
        <v>#VALUE!</v>
      </c>
      <c r="K1678" s="11"/>
      <c r="L1678" s="11"/>
      <c r="M1678" s="20" t="s">
        <v>1613</v>
      </c>
    </row>
    <row r="1679" spans="1:13" ht="19.5" customHeight="1">
      <c r="A1679" s="21">
        <f t="shared" si="26"/>
        <v>1678</v>
      </c>
      <c r="B1679" s="13" t="s">
        <v>8</v>
      </c>
      <c r="C1679" s="13" t="s">
        <v>71</v>
      </c>
      <c r="D1679" s="13" t="s">
        <v>2678</v>
      </c>
      <c r="E1679" s="13"/>
      <c r="F1679" s="13" t="s">
        <v>275</v>
      </c>
      <c r="G1679" s="13" t="s">
        <v>13</v>
      </c>
      <c r="H1679" s="22" t="str">
        <f>IFERROR(VLOOKUP(Table2[[#This Row], [Ticket]],Okey!A:B,2,0),"")</f>
        <v/>
      </c>
      <c r="I1679" s="13" t="s">
        <v>276</v>
      </c>
      <c r="J1679" s="22" t="e">
        <f>VLOOKUP(Table2[[#This Row], [Author]],People!A:B,2,0)</f>
        <v>#VALUE!</v>
      </c>
      <c r="K1679" s="13"/>
      <c r="L1679" s="13"/>
      <c r="M1679" s="23" t="s">
        <v>1613</v>
      </c>
    </row>
    <row r="1680" spans="1:13" ht="19.5" customHeight="1">
      <c r="A1680" s="18">
        <f t="shared" si="26"/>
        <v>1679</v>
      </c>
      <c r="B1680" s="11" t="s">
        <v>3295</v>
      </c>
      <c r="C1680" s="11" t="s">
        <v>82</v>
      </c>
      <c r="D1680" s="11" t="s">
        <v>1680</v>
      </c>
      <c r="E1680" s="11"/>
      <c r="F1680" s="11"/>
      <c r="G1680" s="11" t="s">
        <v>12</v>
      </c>
      <c r="H1680" s="19" t="str">
        <f>IFERROR(VLOOKUP(Table2[[#This Row], [Ticket]],Okey!A:B,2,0),"")</f>
        <v/>
      </c>
      <c r="I1680" s="11" t="s">
        <v>276</v>
      </c>
      <c r="J1680" s="19" t="e">
        <f>VLOOKUP(Table2[[#This Row], [Author]],People!A:B,2,0)</f>
        <v>#VALUE!</v>
      </c>
      <c r="K1680" s="11"/>
      <c r="L1680" s="11"/>
      <c r="M1680" s="20" t="s">
        <v>277</v>
      </c>
    </row>
    <row r="1681" spans="1:13" ht="19.5" customHeight="1">
      <c r="A1681" s="21">
        <f t="shared" si="26"/>
        <v>1680</v>
      </c>
      <c r="B1681" s="13" t="s">
        <v>3295</v>
      </c>
      <c r="C1681" s="13" t="s">
        <v>83</v>
      </c>
      <c r="D1681" s="13" t="s">
        <v>3296</v>
      </c>
      <c r="E1681" s="13"/>
      <c r="F1681" s="13"/>
      <c r="G1681" s="13" t="s">
        <v>12</v>
      </c>
      <c r="H1681" s="22" t="str">
        <f>IFERROR(VLOOKUP(Table2[[#This Row], [Ticket]],Okey!A:B,2,0),"")</f>
        <v/>
      </c>
      <c r="I1681" s="13" t="s">
        <v>276</v>
      </c>
      <c r="J1681" s="22" t="e">
        <f>VLOOKUP(Table2[[#This Row], [Author]],People!A:B,2,0)</f>
        <v>#VALUE!</v>
      </c>
      <c r="K1681" s="13"/>
      <c r="L1681" s="13"/>
      <c r="M1681" s="23" t="s">
        <v>658</v>
      </c>
    </row>
    <row r="1682" spans="1:13" ht="19.5" customHeight="1">
      <c r="A1682" s="18">
        <f t="shared" si="26"/>
        <v>1681</v>
      </c>
      <c r="B1682" s="11" t="s">
        <v>3295</v>
      </c>
      <c r="C1682" s="11" t="s">
        <v>94</v>
      </c>
      <c r="D1682" s="11" t="s">
        <v>1377</v>
      </c>
      <c r="E1682" s="11"/>
      <c r="F1682" s="11"/>
      <c r="G1682" s="11" t="s">
        <v>12</v>
      </c>
      <c r="H1682" s="19" t="str">
        <f>IFERROR(VLOOKUP(Table2[[#This Row], [Ticket]],Okey!A:B,2,0),"")</f>
        <v/>
      </c>
      <c r="I1682" s="11" t="s">
        <v>276</v>
      </c>
      <c r="J1682" s="19" t="e">
        <f>VLOOKUP(Table2[[#This Row], [Author]],People!A:B,2,0)</f>
        <v>#VALUE!</v>
      </c>
      <c r="K1682" s="11" t="s">
        <v>3297</v>
      </c>
      <c r="L1682" s="11"/>
      <c r="M1682" s="20" t="s">
        <v>277</v>
      </c>
    </row>
    <row r="1683" spans="1:13" ht="19.5" customHeight="1">
      <c r="A1683" s="21">
        <f t="shared" si="26"/>
        <v>1682</v>
      </c>
      <c r="B1683" s="13" t="s">
        <v>3295</v>
      </c>
      <c r="C1683" s="13" t="s">
        <v>94</v>
      </c>
      <c r="D1683" s="13" t="s">
        <v>3298</v>
      </c>
      <c r="E1683" s="13"/>
      <c r="F1683" s="13"/>
      <c r="G1683" s="13" t="s">
        <v>12</v>
      </c>
      <c r="H1683" s="22" t="str">
        <f>IFERROR(VLOOKUP(Table2[[#This Row], [Ticket]],Okey!A:B,2,0),"")</f>
        <v/>
      </c>
      <c r="I1683" s="13" t="s">
        <v>276</v>
      </c>
      <c r="J1683" s="22" t="e">
        <f>VLOOKUP(Table2[[#This Row], [Author]],People!A:B,2,0)</f>
        <v>#VALUE!</v>
      </c>
      <c r="K1683" s="13" t="s">
        <v>3297</v>
      </c>
      <c r="L1683" s="13"/>
      <c r="M1683" s="23" t="s">
        <v>277</v>
      </c>
    </row>
    <row r="1684" spans="1:13" ht="19.5" customHeight="1">
      <c r="A1684" s="18">
        <f t="shared" si="26"/>
        <v>1683</v>
      </c>
      <c r="B1684" s="11" t="s">
        <v>3295</v>
      </c>
      <c r="C1684" s="11" t="s">
        <v>94</v>
      </c>
      <c r="D1684" s="11" t="s">
        <v>3299</v>
      </c>
      <c r="E1684" s="11"/>
      <c r="F1684" s="11"/>
      <c r="G1684" s="11" t="s">
        <v>12</v>
      </c>
      <c r="H1684" s="19" t="str">
        <f>IFERROR(VLOOKUP(Table2[[#This Row], [Ticket]],Okey!A:B,2,0),"")</f>
        <v/>
      </c>
      <c r="I1684" s="11" t="s">
        <v>276</v>
      </c>
      <c r="J1684" s="19" t="e">
        <f>VLOOKUP(Table2[[#This Row], [Author]],People!A:B,2,0)</f>
        <v>#VALUE!</v>
      </c>
      <c r="K1684" s="11" t="s">
        <v>3297</v>
      </c>
      <c r="L1684" s="11"/>
      <c r="M1684" s="20" t="s">
        <v>277</v>
      </c>
    </row>
    <row r="1685" spans="1:13" ht="19.5" customHeight="1">
      <c r="A1685" s="21">
        <f t="shared" si="26"/>
        <v>1684</v>
      </c>
      <c r="B1685" s="13" t="s">
        <v>3295</v>
      </c>
      <c r="C1685" s="13" t="s">
        <v>94</v>
      </c>
      <c r="D1685" s="13" t="s">
        <v>3300</v>
      </c>
      <c r="E1685" s="13"/>
      <c r="F1685" s="13"/>
      <c r="G1685" s="13" t="s">
        <v>12</v>
      </c>
      <c r="H1685" s="22" t="str">
        <f>IFERROR(VLOOKUP(Table2[[#This Row], [Ticket]],Okey!A:B,2,0),"")</f>
        <v/>
      </c>
      <c r="I1685" s="13" t="s">
        <v>276</v>
      </c>
      <c r="J1685" s="22" t="e">
        <f>VLOOKUP(Table2[[#This Row], [Author]],People!A:B,2,0)</f>
        <v>#VALUE!</v>
      </c>
      <c r="K1685" s="13" t="s">
        <v>3297</v>
      </c>
      <c r="L1685" s="13"/>
      <c r="M1685" s="23" t="s">
        <v>277</v>
      </c>
    </row>
    <row r="1686" spans="1:13" ht="19.5" customHeight="1">
      <c r="A1686" s="18">
        <f t="shared" si="26"/>
        <v>1685</v>
      </c>
      <c r="B1686" s="11" t="s">
        <v>3295</v>
      </c>
      <c r="C1686" s="11" t="s">
        <v>94</v>
      </c>
      <c r="D1686" s="11" t="s">
        <v>3301</v>
      </c>
      <c r="E1686" s="11"/>
      <c r="F1686" s="11"/>
      <c r="G1686" s="11" t="s">
        <v>12</v>
      </c>
      <c r="H1686" s="19" t="str">
        <f>IFERROR(VLOOKUP(Table2[[#This Row], [Ticket]],Okey!A:B,2,0),"")</f>
        <v/>
      </c>
      <c r="I1686" s="11" t="s">
        <v>276</v>
      </c>
      <c r="J1686" s="19" t="e">
        <f>VLOOKUP(Table2[[#This Row], [Author]],People!A:B,2,0)</f>
        <v>#VALUE!</v>
      </c>
      <c r="K1686" s="11" t="s">
        <v>3297</v>
      </c>
      <c r="L1686" s="11"/>
      <c r="M1686" s="20" t="s">
        <v>277</v>
      </c>
    </row>
    <row r="1687" spans="1:13" ht="19.5" customHeight="1">
      <c r="A1687" s="21">
        <f t="shared" si="26"/>
        <v>1686</v>
      </c>
      <c r="B1687" s="13" t="s">
        <v>3295</v>
      </c>
      <c r="C1687" s="13" t="s">
        <v>94</v>
      </c>
      <c r="D1687" s="13" t="s">
        <v>3302</v>
      </c>
      <c r="E1687" s="13"/>
      <c r="F1687" s="13"/>
      <c r="G1687" s="13" t="s">
        <v>12</v>
      </c>
      <c r="H1687" s="22" t="str">
        <f>IFERROR(VLOOKUP(Table2[[#This Row], [Ticket]],Okey!A:B,2,0),"")</f>
        <v/>
      </c>
      <c r="I1687" s="13" t="s">
        <v>276</v>
      </c>
      <c r="J1687" s="22" t="e">
        <f>VLOOKUP(Table2[[#This Row], [Author]],People!A:B,2,0)</f>
        <v>#VALUE!</v>
      </c>
      <c r="K1687" s="13" t="s">
        <v>3297</v>
      </c>
      <c r="L1687" s="13"/>
      <c r="M1687" s="23" t="s">
        <v>277</v>
      </c>
    </row>
    <row r="1688" spans="1:13" ht="19.5" customHeight="1">
      <c r="A1688" s="18">
        <f t="shared" si="26"/>
        <v>1687</v>
      </c>
      <c r="B1688" s="11" t="s">
        <v>3295</v>
      </c>
      <c r="C1688" s="11" t="s">
        <v>94</v>
      </c>
      <c r="D1688" s="11" t="s">
        <v>3303</v>
      </c>
      <c r="E1688" s="11"/>
      <c r="F1688" s="11"/>
      <c r="G1688" s="11" t="s">
        <v>12</v>
      </c>
      <c r="H1688" s="19" t="str">
        <f>IFERROR(VLOOKUP(Table2[[#This Row], [Ticket]],Okey!A:B,2,0),"")</f>
        <v/>
      </c>
      <c r="I1688" s="11" t="s">
        <v>276</v>
      </c>
      <c r="J1688" s="19" t="e">
        <f>VLOOKUP(Table2[[#This Row], [Author]],People!A:B,2,0)</f>
        <v>#VALUE!</v>
      </c>
      <c r="K1688" s="11" t="s">
        <v>3297</v>
      </c>
      <c r="L1688" s="11"/>
      <c r="M1688" s="20" t="s">
        <v>277</v>
      </c>
    </row>
    <row r="1689" spans="1:13" ht="19.5" customHeight="1">
      <c r="A1689" s="21">
        <f t="shared" si="26"/>
        <v>1688</v>
      </c>
      <c r="B1689" s="13" t="s">
        <v>3295</v>
      </c>
      <c r="C1689" s="13" t="s">
        <v>94</v>
      </c>
      <c r="D1689" s="13" t="s">
        <v>1472</v>
      </c>
      <c r="E1689" s="13"/>
      <c r="F1689" s="13"/>
      <c r="G1689" s="13" t="s">
        <v>12</v>
      </c>
      <c r="H1689" s="22" t="str">
        <f>IFERROR(VLOOKUP(Table2[[#This Row], [Ticket]],Okey!A:B,2,0),"")</f>
        <v/>
      </c>
      <c r="I1689" s="13" t="s">
        <v>276</v>
      </c>
      <c r="J1689" s="22" t="e">
        <f>VLOOKUP(Table2[[#This Row], [Author]],People!A:B,2,0)</f>
        <v>#VALUE!</v>
      </c>
      <c r="K1689" s="13" t="s">
        <v>3297</v>
      </c>
      <c r="L1689" s="13"/>
      <c r="M1689" s="23" t="s">
        <v>277</v>
      </c>
    </row>
    <row r="1690" spans="1:13" ht="19.5" customHeight="1">
      <c r="A1690" s="18">
        <f t="shared" si="26"/>
        <v>1689</v>
      </c>
      <c r="B1690" s="11" t="s">
        <v>3295</v>
      </c>
      <c r="C1690" s="11" t="s">
        <v>94</v>
      </c>
      <c r="D1690" s="11" t="s">
        <v>3304</v>
      </c>
      <c r="E1690" s="11"/>
      <c r="F1690" s="11"/>
      <c r="G1690" s="11" t="s">
        <v>12</v>
      </c>
      <c r="H1690" s="19" t="str">
        <f>IFERROR(VLOOKUP(Table2[[#This Row], [Ticket]],Okey!A:B,2,0),"")</f>
        <v/>
      </c>
      <c r="I1690" s="11" t="s">
        <v>276</v>
      </c>
      <c r="J1690" s="19" t="e">
        <f>VLOOKUP(Table2[[#This Row], [Author]],People!A:B,2,0)</f>
        <v>#VALUE!</v>
      </c>
      <c r="K1690" s="11" t="s">
        <v>3297</v>
      </c>
      <c r="L1690" s="11"/>
      <c r="M1690" s="20" t="s">
        <v>277</v>
      </c>
    </row>
    <row r="1691" spans="1:13" ht="19.5" customHeight="1">
      <c r="A1691" s="21">
        <f t="shared" si="26"/>
        <v>1690</v>
      </c>
      <c r="B1691" s="13" t="s">
        <v>3295</v>
      </c>
      <c r="C1691" s="13" t="s">
        <v>94</v>
      </c>
      <c r="D1691" s="13" t="s">
        <v>3305</v>
      </c>
      <c r="E1691" s="13"/>
      <c r="F1691" s="13"/>
      <c r="G1691" s="13" t="s">
        <v>12</v>
      </c>
      <c r="H1691" s="22" t="str">
        <f>IFERROR(VLOOKUP(Table2[[#This Row], [Ticket]],Okey!A:B,2,0),"")</f>
        <v/>
      </c>
      <c r="I1691" s="13" t="s">
        <v>276</v>
      </c>
      <c r="J1691" s="22" t="e">
        <f>VLOOKUP(Table2[[#This Row], [Author]],People!A:B,2,0)</f>
        <v>#VALUE!</v>
      </c>
      <c r="K1691" s="13" t="s">
        <v>3297</v>
      </c>
      <c r="L1691" s="13"/>
      <c r="M1691" s="23" t="s">
        <v>277</v>
      </c>
    </row>
    <row r="1692" spans="1:13" ht="19.5" customHeight="1">
      <c r="A1692" s="18">
        <f t="shared" si="26"/>
        <v>1691</v>
      </c>
      <c r="B1692" s="11" t="s">
        <v>3295</v>
      </c>
      <c r="C1692" s="11" t="s">
        <v>94</v>
      </c>
      <c r="D1692" s="11" t="s">
        <v>3306</v>
      </c>
      <c r="E1692" s="11"/>
      <c r="F1692" s="11"/>
      <c r="G1692" s="11" t="s">
        <v>12</v>
      </c>
      <c r="H1692" s="19" t="str">
        <f>IFERROR(VLOOKUP(Table2[[#This Row], [Ticket]],Okey!A:B,2,0),"")</f>
        <v/>
      </c>
      <c r="I1692" s="11" t="s">
        <v>276</v>
      </c>
      <c r="J1692" s="19" t="e">
        <f>VLOOKUP(Table2[[#This Row], [Author]],People!A:B,2,0)</f>
        <v>#VALUE!</v>
      </c>
      <c r="K1692" s="11" t="s">
        <v>3297</v>
      </c>
      <c r="L1692" s="11"/>
      <c r="M1692" s="20" t="s">
        <v>277</v>
      </c>
    </row>
    <row r="1693" spans="1:13" ht="19.5" customHeight="1">
      <c r="A1693" s="21">
        <f t="shared" si="26"/>
        <v>1692</v>
      </c>
      <c r="B1693" s="13" t="s">
        <v>3295</v>
      </c>
      <c r="C1693" s="13" t="s">
        <v>94</v>
      </c>
      <c r="D1693" s="13" t="s">
        <v>3307</v>
      </c>
      <c r="E1693" s="13"/>
      <c r="F1693" s="13"/>
      <c r="G1693" s="13" t="s">
        <v>12</v>
      </c>
      <c r="H1693" s="22" t="str">
        <f>IFERROR(VLOOKUP(Table2[[#This Row], [Ticket]],Okey!A:B,2,0),"")</f>
        <v/>
      </c>
      <c r="I1693" s="13" t="s">
        <v>276</v>
      </c>
      <c r="J1693" s="22" t="e">
        <f>VLOOKUP(Table2[[#This Row], [Author]],People!A:B,2,0)</f>
        <v>#VALUE!</v>
      </c>
      <c r="K1693" s="13" t="s">
        <v>3297</v>
      </c>
      <c r="L1693" s="13"/>
      <c r="M1693" s="23" t="s">
        <v>277</v>
      </c>
    </row>
    <row r="1694" spans="1:13" ht="19.5" customHeight="1">
      <c r="A1694" s="18">
        <f t="shared" si="26"/>
        <v>1693</v>
      </c>
      <c r="B1694" s="11" t="s">
        <v>3295</v>
      </c>
      <c r="C1694" s="11" t="s">
        <v>94</v>
      </c>
      <c r="D1694" s="11" t="s">
        <v>3308</v>
      </c>
      <c r="E1694" s="11"/>
      <c r="F1694" s="11"/>
      <c r="G1694" s="11" t="s">
        <v>12</v>
      </c>
      <c r="H1694" s="19" t="str">
        <f>IFERROR(VLOOKUP(Table2[[#This Row], [Ticket]],Okey!A:B,2,0),"")</f>
        <v/>
      </c>
      <c r="I1694" s="11" t="s">
        <v>276</v>
      </c>
      <c r="J1694" s="19" t="e">
        <f>VLOOKUP(Table2[[#This Row], [Author]],People!A:B,2,0)</f>
        <v>#VALUE!</v>
      </c>
      <c r="K1694" s="11" t="s">
        <v>3297</v>
      </c>
      <c r="L1694" s="11"/>
      <c r="M1694" s="20" t="s">
        <v>277</v>
      </c>
    </row>
    <row r="1695" spans="1:13" ht="19.5" customHeight="1">
      <c r="A1695" s="21">
        <f t="shared" si="26"/>
        <v>1694</v>
      </c>
      <c r="B1695" s="13" t="s">
        <v>3295</v>
      </c>
      <c r="C1695" s="13" t="s">
        <v>94</v>
      </c>
      <c r="D1695" s="13" t="s">
        <v>3309</v>
      </c>
      <c r="E1695" s="13"/>
      <c r="F1695" s="13"/>
      <c r="G1695" s="13" t="s">
        <v>12</v>
      </c>
      <c r="H1695" s="22" t="str">
        <f>IFERROR(VLOOKUP(Table2[[#This Row], [Ticket]],Okey!A:B,2,0),"")</f>
        <v/>
      </c>
      <c r="I1695" s="13" t="s">
        <v>276</v>
      </c>
      <c r="J1695" s="22" t="e">
        <f>VLOOKUP(Table2[[#This Row], [Author]],People!A:B,2,0)</f>
        <v>#VALUE!</v>
      </c>
      <c r="K1695" s="13" t="s">
        <v>3297</v>
      </c>
      <c r="L1695" s="13"/>
      <c r="M1695" s="23" t="s">
        <v>277</v>
      </c>
    </row>
    <row r="1696" spans="1:13" ht="19.5" customHeight="1">
      <c r="A1696" s="18">
        <f t="shared" si="26"/>
        <v>1695</v>
      </c>
      <c r="B1696" s="11" t="s">
        <v>3295</v>
      </c>
      <c r="C1696" s="11" t="s">
        <v>95</v>
      </c>
      <c r="D1696" s="11" t="s">
        <v>3310</v>
      </c>
      <c r="E1696" s="11"/>
      <c r="F1696" s="11"/>
      <c r="G1696" s="11" t="s">
        <v>12</v>
      </c>
      <c r="H1696" s="19" t="str">
        <f>IFERROR(VLOOKUP(Table2[[#This Row], [Ticket]],Okey!A:B,2,0),"")</f>
        <v/>
      </c>
      <c r="I1696" s="11" t="s">
        <v>276</v>
      </c>
      <c r="J1696" s="19" t="e">
        <f>VLOOKUP(Table2[[#This Row], [Author]],People!A:B,2,0)</f>
        <v>#VALUE!</v>
      </c>
      <c r="K1696" s="11" t="s">
        <v>3297</v>
      </c>
      <c r="L1696" s="11"/>
      <c r="M1696" s="20" t="s">
        <v>277</v>
      </c>
    </row>
    <row r="1697" spans="1:13" ht="19.5" customHeight="1">
      <c r="A1697" s="21">
        <f t="shared" si="26"/>
        <v>1696</v>
      </c>
      <c r="B1697" s="13" t="s">
        <v>3295</v>
      </c>
      <c r="C1697" s="13" t="s">
        <v>95</v>
      </c>
      <c r="D1697" s="13" t="s">
        <v>3311</v>
      </c>
      <c r="E1697" s="13"/>
      <c r="F1697" s="13"/>
      <c r="G1697" s="13" t="s">
        <v>12</v>
      </c>
      <c r="H1697" s="22" t="str">
        <f>IFERROR(VLOOKUP(Table2[[#This Row], [Ticket]],Okey!A:B,2,0),"")</f>
        <v/>
      </c>
      <c r="I1697" s="13" t="s">
        <v>276</v>
      </c>
      <c r="J1697" s="22" t="e">
        <f>VLOOKUP(Table2[[#This Row], [Author]],People!A:B,2,0)</f>
        <v>#VALUE!</v>
      </c>
      <c r="K1697" s="13" t="s">
        <v>3297</v>
      </c>
      <c r="L1697" s="13"/>
      <c r="M1697" s="23" t="s">
        <v>277</v>
      </c>
    </row>
    <row r="1698" spans="1:13" ht="19.5" customHeight="1">
      <c r="A1698" s="18">
        <f t="shared" si="26"/>
        <v>1697</v>
      </c>
      <c r="B1698" s="11" t="s">
        <v>3295</v>
      </c>
      <c r="C1698" s="11" t="s">
        <v>95</v>
      </c>
      <c r="D1698" s="11" t="s">
        <v>3312</v>
      </c>
      <c r="E1698" s="11"/>
      <c r="F1698" s="11"/>
      <c r="G1698" s="11" t="s">
        <v>12</v>
      </c>
      <c r="H1698" s="19" t="str">
        <f>IFERROR(VLOOKUP(Table2[[#This Row], [Ticket]],Okey!A:B,2,0),"")</f>
        <v/>
      </c>
      <c r="I1698" s="11" t="s">
        <v>276</v>
      </c>
      <c r="J1698" s="19" t="e">
        <f>VLOOKUP(Table2[[#This Row], [Author]],People!A:B,2,0)</f>
        <v>#VALUE!</v>
      </c>
      <c r="K1698" s="11" t="s">
        <v>3297</v>
      </c>
      <c r="L1698" s="11"/>
      <c r="M1698" s="20" t="s">
        <v>277</v>
      </c>
    </row>
    <row r="1699" spans="1:13" ht="19.5" customHeight="1">
      <c r="A1699" s="21">
        <f t="shared" si="26"/>
        <v>1698</v>
      </c>
      <c r="B1699" s="13" t="s">
        <v>3295</v>
      </c>
      <c r="C1699" s="13" t="s">
        <v>95</v>
      </c>
      <c r="D1699" s="13" t="s">
        <v>3313</v>
      </c>
      <c r="E1699" s="13"/>
      <c r="F1699" s="13"/>
      <c r="G1699" s="13" t="s">
        <v>12</v>
      </c>
      <c r="H1699" s="22" t="str">
        <f>IFERROR(VLOOKUP(Table2[[#This Row], [Ticket]],Okey!A:B,2,0),"")</f>
        <v/>
      </c>
      <c r="I1699" s="13" t="s">
        <v>276</v>
      </c>
      <c r="J1699" s="22" t="e">
        <f>VLOOKUP(Table2[[#This Row], [Author]],People!A:B,2,0)</f>
        <v>#VALUE!</v>
      </c>
      <c r="K1699" s="13" t="s">
        <v>3297</v>
      </c>
      <c r="L1699" s="13"/>
      <c r="M1699" s="23" t="s">
        <v>277</v>
      </c>
    </row>
    <row r="1700" spans="1:13" ht="19.5" customHeight="1">
      <c r="A1700" s="18">
        <f t="shared" si="26"/>
        <v>1699</v>
      </c>
      <c r="B1700" s="11" t="s">
        <v>3295</v>
      </c>
      <c r="C1700" s="11" t="s">
        <v>95</v>
      </c>
      <c r="D1700" s="11" t="s">
        <v>3314</v>
      </c>
      <c r="E1700" s="11"/>
      <c r="F1700" s="11"/>
      <c r="G1700" s="11" t="s">
        <v>12</v>
      </c>
      <c r="H1700" s="19" t="str">
        <f>IFERROR(VLOOKUP(Table2[[#This Row], [Ticket]],Okey!A:B,2,0),"")</f>
        <v/>
      </c>
      <c r="I1700" s="11" t="s">
        <v>276</v>
      </c>
      <c r="J1700" s="19" t="e">
        <f>VLOOKUP(Table2[[#This Row], [Author]],People!A:B,2,0)</f>
        <v>#VALUE!</v>
      </c>
      <c r="K1700" s="11" t="s">
        <v>3297</v>
      </c>
      <c r="L1700" s="11"/>
      <c r="M1700" s="20" t="s">
        <v>277</v>
      </c>
    </row>
    <row r="1701" spans="1:13" ht="19.5" customHeight="1">
      <c r="A1701" s="21">
        <f t="shared" si="26"/>
        <v>1700</v>
      </c>
      <c r="B1701" s="13" t="s">
        <v>3295</v>
      </c>
      <c r="C1701" s="13" t="s">
        <v>95</v>
      </c>
      <c r="D1701" s="13" t="s">
        <v>3315</v>
      </c>
      <c r="E1701" s="13"/>
      <c r="F1701" s="13"/>
      <c r="G1701" s="13" t="s">
        <v>12</v>
      </c>
      <c r="H1701" s="22" t="str">
        <f>IFERROR(VLOOKUP(Table2[[#This Row], [Ticket]],Okey!A:B,2,0),"")</f>
        <v/>
      </c>
      <c r="I1701" s="13" t="s">
        <v>276</v>
      </c>
      <c r="J1701" s="22" t="e">
        <f>VLOOKUP(Table2[[#This Row], [Author]],People!A:B,2,0)</f>
        <v>#VALUE!</v>
      </c>
      <c r="K1701" s="13" t="s">
        <v>3297</v>
      </c>
      <c r="L1701" s="13"/>
      <c r="M1701" s="23" t="s">
        <v>277</v>
      </c>
    </row>
    <row r="1702" spans="1:13" ht="19.5" customHeight="1">
      <c r="A1702" s="18">
        <f t="shared" si="26"/>
        <v>1701</v>
      </c>
      <c r="B1702" s="11" t="s">
        <v>3295</v>
      </c>
      <c r="C1702" s="11" t="s">
        <v>95</v>
      </c>
      <c r="D1702" s="11" t="s">
        <v>3316</v>
      </c>
      <c r="E1702" s="11"/>
      <c r="F1702" s="11"/>
      <c r="G1702" s="11" t="s">
        <v>12</v>
      </c>
      <c r="H1702" s="19" t="str">
        <f>IFERROR(VLOOKUP(Table2[[#This Row], [Ticket]],Okey!A:B,2,0),"")</f>
        <v/>
      </c>
      <c r="I1702" s="11" t="s">
        <v>276</v>
      </c>
      <c r="J1702" s="19" t="e">
        <f>VLOOKUP(Table2[[#This Row], [Author]],People!A:B,2,0)</f>
        <v>#VALUE!</v>
      </c>
      <c r="K1702" s="11" t="s">
        <v>3297</v>
      </c>
      <c r="L1702" s="11"/>
      <c r="M1702" s="20" t="s">
        <v>277</v>
      </c>
    </row>
    <row r="1703" spans="1:13" ht="19.5" customHeight="1">
      <c r="A1703" s="21">
        <f t="shared" si="26"/>
        <v>1702</v>
      </c>
      <c r="B1703" s="13" t="s">
        <v>3295</v>
      </c>
      <c r="C1703" s="13" t="s">
        <v>95</v>
      </c>
      <c r="D1703" s="13" t="s">
        <v>3317</v>
      </c>
      <c r="E1703" s="13"/>
      <c r="F1703" s="13"/>
      <c r="G1703" s="13" t="s">
        <v>12</v>
      </c>
      <c r="H1703" s="22" t="str">
        <f>IFERROR(VLOOKUP(Table2[[#This Row], [Ticket]],Okey!A:B,2,0),"")</f>
        <v/>
      </c>
      <c r="I1703" s="13" t="s">
        <v>276</v>
      </c>
      <c r="J1703" s="22" t="e">
        <f>VLOOKUP(Table2[[#This Row], [Author]],People!A:B,2,0)</f>
        <v>#VALUE!</v>
      </c>
      <c r="K1703" s="13" t="s">
        <v>3297</v>
      </c>
      <c r="L1703" s="13"/>
      <c r="M1703" s="23" t="s">
        <v>277</v>
      </c>
    </row>
    <row r="1704" spans="1:13" ht="19.5" customHeight="1">
      <c r="A1704" s="18">
        <f t="shared" si="26"/>
        <v>1703</v>
      </c>
      <c r="B1704" s="11" t="s">
        <v>3295</v>
      </c>
      <c r="C1704" s="11" t="s">
        <v>95</v>
      </c>
      <c r="D1704" s="11" t="s">
        <v>3318</v>
      </c>
      <c r="E1704" s="11"/>
      <c r="F1704" s="11"/>
      <c r="G1704" s="11" t="s">
        <v>12</v>
      </c>
      <c r="H1704" s="19" t="str">
        <f>IFERROR(VLOOKUP(Table2[[#This Row], [Ticket]],Okey!A:B,2,0),"")</f>
        <v/>
      </c>
      <c r="I1704" s="11" t="s">
        <v>276</v>
      </c>
      <c r="J1704" s="19" t="e">
        <f>VLOOKUP(Table2[[#This Row], [Author]],People!A:B,2,0)</f>
        <v>#VALUE!</v>
      </c>
      <c r="K1704" s="11" t="s">
        <v>3297</v>
      </c>
      <c r="L1704" s="11"/>
      <c r="M1704" s="20" t="s">
        <v>277</v>
      </c>
    </row>
    <row r="1705" spans="1:13" ht="19.5" customHeight="1">
      <c r="A1705" s="21">
        <f t="shared" si="26"/>
        <v>1704</v>
      </c>
      <c r="B1705" s="13" t="s">
        <v>3295</v>
      </c>
      <c r="C1705" s="13" t="s">
        <v>95</v>
      </c>
      <c r="D1705" s="13" t="s">
        <v>3319</v>
      </c>
      <c r="E1705" s="13"/>
      <c r="F1705" s="13"/>
      <c r="G1705" s="13" t="s">
        <v>12</v>
      </c>
      <c r="H1705" s="22" t="str">
        <f>IFERROR(VLOOKUP(Table2[[#This Row], [Ticket]],Okey!A:B,2,0),"")</f>
        <v/>
      </c>
      <c r="I1705" s="13" t="s">
        <v>276</v>
      </c>
      <c r="J1705" s="22" t="e">
        <f>VLOOKUP(Table2[[#This Row], [Author]],People!A:B,2,0)</f>
        <v>#VALUE!</v>
      </c>
      <c r="K1705" s="13" t="s">
        <v>3297</v>
      </c>
      <c r="L1705" s="13"/>
      <c r="M1705" s="23" t="s">
        <v>277</v>
      </c>
    </row>
    <row r="1706" spans="1:13" ht="19.5" customHeight="1">
      <c r="A1706" s="18">
        <f t="shared" si="26"/>
        <v>1705</v>
      </c>
      <c r="B1706" s="11" t="s">
        <v>3295</v>
      </c>
      <c r="C1706" s="11" t="s">
        <v>95</v>
      </c>
      <c r="D1706" s="11" t="s">
        <v>3320</v>
      </c>
      <c r="E1706" s="11"/>
      <c r="F1706" s="11"/>
      <c r="G1706" s="11" t="s">
        <v>12</v>
      </c>
      <c r="H1706" s="19" t="str">
        <f>IFERROR(VLOOKUP(Table2[[#This Row], [Ticket]],Okey!A:B,2,0),"")</f>
        <v/>
      </c>
      <c r="I1706" s="11" t="s">
        <v>276</v>
      </c>
      <c r="J1706" s="19" t="e">
        <f>VLOOKUP(Table2[[#This Row], [Author]],People!A:B,2,0)</f>
        <v>#VALUE!</v>
      </c>
      <c r="K1706" s="11" t="s">
        <v>3297</v>
      </c>
      <c r="L1706" s="11"/>
      <c r="M1706" s="20" t="s">
        <v>277</v>
      </c>
    </row>
    <row r="1707" spans="1:13" ht="19.5" customHeight="1">
      <c r="A1707" s="21">
        <f t="shared" si="26"/>
        <v>1706</v>
      </c>
      <c r="B1707" s="13" t="s">
        <v>3295</v>
      </c>
      <c r="C1707" s="13" t="s">
        <v>95</v>
      </c>
      <c r="D1707" s="13" t="s">
        <v>3321</v>
      </c>
      <c r="E1707" s="13"/>
      <c r="F1707" s="13"/>
      <c r="G1707" s="13" t="s">
        <v>12</v>
      </c>
      <c r="H1707" s="22" t="str">
        <f>IFERROR(VLOOKUP(Table2[[#This Row], [Ticket]],Okey!A:B,2,0),"")</f>
        <v/>
      </c>
      <c r="I1707" s="13" t="s">
        <v>276</v>
      </c>
      <c r="J1707" s="22" t="e">
        <f>VLOOKUP(Table2[[#This Row], [Author]],People!A:B,2,0)</f>
        <v>#VALUE!</v>
      </c>
      <c r="K1707" s="13" t="s">
        <v>3297</v>
      </c>
      <c r="L1707" s="13"/>
      <c r="M1707" s="23" t="s">
        <v>277</v>
      </c>
    </row>
    <row r="1708" spans="1:13" ht="19.5" customHeight="1">
      <c r="A1708" s="18">
        <f t="shared" si="26"/>
        <v>1707</v>
      </c>
      <c r="B1708" s="11" t="s">
        <v>3295</v>
      </c>
      <c r="C1708" s="11" t="s">
        <v>95</v>
      </c>
      <c r="D1708" s="11" t="s">
        <v>3322</v>
      </c>
      <c r="E1708" s="11"/>
      <c r="F1708" s="11"/>
      <c r="G1708" s="11" t="s">
        <v>12</v>
      </c>
      <c r="H1708" s="19" t="str">
        <f>IFERROR(VLOOKUP(Table2[[#This Row], [Ticket]],Okey!A:B,2,0),"")</f>
        <v/>
      </c>
      <c r="I1708" s="11" t="s">
        <v>276</v>
      </c>
      <c r="J1708" s="19" t="e">
        <f>VLOOKUP(Table2[[#This Row], [Author]],People!A:B,2,0)</f>
        <v>#VALUE!</v>
      </c>
      <c r="K1708" s="11" t="s">
        <v>3297</v>
      </c>
      <c r="L1708" s="11"/>
      <c r="M1708" s="20" t="s">
        <v>277</v>
      </c>
    </row>
    <row r="1709" spans="1:13" ht="19.5" customHeight="1">
      <c r="A1709" s="21">
        <f t="shared" si="26"/>
        <v>1708</v>
      </c>
      <c r="B1709" s="13" t="s">
        <v>3295</v>
      </c>
      <c r="C1709" s="13" t="s">
        <v>72</v>
      </c>
      <c r="D1709" s="13" t="s">
        <v>1232</v>
      </c>
      <c r="E1709" s="13"/>
      <c r="F1709" s="13" t="s">
        <v>1684</v>
      </c>
      <c r="G1709" s="13" t="s">
        <v>13</v>
      </c>
      <c r="H1709" s="22" t="str">
        <f>IFERROR(VLOOKUP(Table2[[#This Row], [Ticket]],Okey!A:B,2,0),"")</f>
        <v/>
      </c>
      <c r="I1709" s="13" t="s">
        <v>276</v>
      </c>
      <c r="J1709" s="22" t="e">
        <f>VLOOKUP(Table2[[#This Row], [Author]],People!A:B,2,0)</f>
        <v>#VALUE!</v>
      </c>
      <c r="K1709" s="13"/>
      <c r="L1709" s="13"/>
      <c r="M1709" s="23" t="s">
        <v>1230</v>
      </c>
    </row>
    <row r="1710" spans="1:13" ht="19.5" customHeight="1">
      <c r="A1710" s="18">
        <f t="shared" si="26"/>
        <v>1709</v>
      </c>
      <c r="B1710" s="11" t="s">
        <v>3295</v>
      </c>
      <c r="C1710" s="11" t="s">
        <v>74</v>
      </c>
      <c r="D1710" s="11" t="s">
        <v>3323</v>
      </c>
      <c r="E1710" s="11"/>
      <c r="F1710" s="11" t="s">
        <v>3324</v>
      </c>
      <c r="G1710" s="11" t="s">
        <v>13</v>
      </c>
      <c r="H1710" s="19" t="str">
        <f>IFERROR(VLOOKUP(Table2[[#This Row], [Ticket]],Okey!A:B,2,0),"")</f>
        <v/>
      </c>
      <c r="I1710" s="11" t="s">
        <v>276</v>
      </c>
      <c r="J1710" s="19" t="e">
        <f>VLOOKUP(Table2[[#This Row], [Author]],People!A:B,2,0)</f>
        <v>#VALUE!</v>
      </c>
      <c r="K1710" s="11" t="s">
        <v>3297</v>
      </c>
      <c r="L1710" s="11"/>
      <c r="M1710" s="20" t="s">
        <v>3325</v>
      </c>
    </row>
    <row r="1711" spans="1:13" ht="19.5" customHeight="1">
      <c r="A1711" s="21">
        <f t="shared" si="26"/>
        <v>1710</v>
      </c>
      <c r="B1711" s="13" t="s">
        <v>3295</v>
      </c>
      <c r="C1711" s="13" t="s">
        <v>75</v>
      </c>
      <c r="D1711" s="13" t="s">
        <v>3326</v>
      </c>
      <c r="E1711" s="13"/>
      <c r="F1711" s="13" t="s">
        <v>3327</v>
      </c>
      <c r="G1711" s="13" t="s">
        <v>13</v>
      </c>
      <c r="H1711" s="22" t="str">
        <f>IFERROR(VLOOKUP(Table2[[#This Row], [Ticket]],Okey!A:B,2,0),"")</f>
        <v/>
      </c>
      <c r="I1711" s="13" t="s">
        <v>276</v>
      </c>
      <c r="J1711" s="22" t="e">
        <f>VLOOKUP(Table2[[#This Row], [Author]],People!A:B,2,0)</f>
        <v>#VALUE!</v>
      </c>
      <c r="K1711" s="13" t="s">
        <v>3297</v>
      </c>
      <c r="L1711" s="13"/>
      <c r="M1711" s="23" t="s">
        <v>661</v>
      </c>
    </row>
    <row r="1712" spans="1:13" ht="19.5" customHeight="1">
      <c r="A1712" s="18">
        <f t="shared" si="26"/>
        <v>1711</v>
      </c>
      <c r="B1712" s="11" t="s">
        <v>3295</v>
      </c>
      <c r="C1712" s="11" t="s">
        <v>75</v>
      </c>
      <c r="D1712" s="11" t="s">
        <v>3328</v>
      </c>
      <c r="E1712" s="11"/>
      <c r="F1712" s="11" t="s">
        <v>3329</v>
      </c>
      <c r="G1712" s="11" t="s">
        <v>13</v>
      </c>
      <c r="H1712" s="19" t="str">
        <f>IFERROR(VLOOKUP(Table2[[#This Row], [Ticket]],Okey!A:B,2,0),"")</f>
        <v/>
      </c>
      <c r="I1712" s="11" t="s">
        <v>276</v>
      </c>
      <c r="J1712" s="19" t="e">
        <f>VLOOKUP(Table2[[#This Row], [Author]],People!A:B,2,0)</f>
        <v>#VALUE!</v>
      </c>
      <c r="K1712" s="11" t="s">
        <v>3297</v>
      </c>
      <c r="L1712" s="11"/>
      <c r="M1712" s="20" t="s">
        <v>661</v>
      </c>
    </row>
    <row r="1713" spans="1:13" ht="19.5" customHeight="1">
      <c r="A1713" s="21">
        <f t="shared" si="26"/>
        <v>1712</v>
      </c>
      <c r="B1713" s="13" t="s">
        <v>3295</v>
      </c>
      <c r="C1713" s="13" t="s">
        <v>76</v>
      </c>
      <c r="D1713" s="13" t="s">
        <v>3330</v>
      </c>
      <c r="E1713" s="13"/>
      <c r="F1713" s="13" t="s">
        <v>3331</v>
      </c>
      <c r="G1713" s="13" t="s">
        <v>13</v>
      </c>
      <c r="H1713" s="22" t="str">
        <f>IFERROR(VLOOKUP(Table2[[#This Row], [Ticket]],Okey!A:B,2,0),"")</f>
        <v/>
      </c>
      <c r="I1713" s="13" t="s">
        <v>276</v>
      </c>
      <c r="J1713" s="22" t="e">
        <f>VLOOKUP(Table2[[#This Row], [Author]],People!A:B,2,0)</f>
        <v>#VALUE!</v>
      </c>
      <c r="K1713" s="13" t="s">
        <v>3297</v>
      </c>
      <c r="L1713" s="13"/>
      <c r="M1713" s="23" t="s">
        <v>1230</v>
      </c>
    </row>
    <row r="1714" spans="1:13" ht="19.5" customHeight="1">
      <c r="A1714" s="18">
        <f t="shared" si="26"/>
        <v>1713</v>
      </c>
      <c r="B1714" s="11" t="s">
        <v>3295</v>
      </c>
      <c r="C1714" s="11" t="s">
        <v>76</v>
      </c>
      <c r="D1714" s="11" t="s">
        <v>3332</v>
      </c>
      <c r="E1714" s="11"/>
      <c r="F1714" s="11" t="s">
        <v>3220</v>
      </c>
      <c r="G1714" s="11" t="s">
        <v>13</v>
      </c>
      <c r="H1714" s="19" t="str">
        <f>IFERROR(VLOOKUP(Table2[[#This Row], [Ticket]],Okey!A:B,2,0),"")</f>
        <v/>
      </c>
      <c r="I1714" s="11" t="s">
        <v>276</v>
      </c>
      <c r="J1714" s="19" t="e">
        <f>VLOOKUP(Table2[[#This Row], [Author]],People!A:B,2,0)</f>
        <v>#VALUE!</v>
      </c>
      <c r="K1714" s="11" t="s">
        <v>3297</v>
      </c>
      <c r="L1714" s="11"/>
      <c r="M1714" s="20" t="s">
        <v>1230</v>
      </c>
    </row>
    <row r="1715" spans="1:13" ht="19.5" customHeight="1">
      <c r="A1715" s="21">
        <f t="shared" si="26"/>
        <v>1714</v>
      </c>
      <c r="B1715" s="13" t="s">
        <v>3295</v>
      </c>
      <c r="C1715" s="13" t="s">
        <v>76</v>
      </c>
      <c r="D1715" s="13" t="s">
        <v>3333</v>
      </c>
      <c r="E1715" s="13"/>
      <c r="F1715" s="13" t="s">
        <v>3334</v>
      </c>
      <c r="G1715" s="13" t="s">
        <v>13</v>
      </c>
      <c r="H1715" s="22" t="str">
        <f>IFERROR(VLOOKUP(Table2[[#This Row], [Ticket]],Okey!A:B,2,0),"")</f>
        <v/>
      </c>
      <c r="I1715" s="13" t="s">
        <v>276</v>
      </c>
      <c r="J1715" s="22" t="e">
        <f>VLOOKUP(Table2[[#This Row], [Author]],People!A:B,2,0)</f>
        <v>#VALUE!</v>
      </c>
      <c r="K1715" s="13" t="s">
        <v>3297</v>
      </c>
      <c r="L1715" s="13"/>
      <c r="M1715" s="23" t="s">
        <v>1230</v>
      </c>
    </row>
    <row r="1716" spans="1:13" ht="19.5" customHeight="1">
      <c r="A1716" s="18">
        <f t="shared" si="26"/>
        <v>1715</v>
      </c>
      <c r="B1716" s="11" t="s">
        <v>3295</v>
      </c>
      <c r="C1716" s="11" t="s">
        <v>78</v>
      </c>
      <c r="D1716" s="11" t="s">
        <v>686</v>
      </c>
      <c r="E1716" s="11"/>
      <c r="F1716" s="11" t="s">
        <v>675</v>
      </c>
      <c r="G1716" s="11" t="s">
        <v>13</v>
      </c>
      <c r="H1716" s="19" t="str">
        <f>IFERROR(VLOOKUP(Table2[[#This Row], [Ticket]],Okey!A:B,2,0),"")</f>
        <v/>
      </c>
      <c r="I1716" s="11" t="s">
        <v>276</v>
      </c>
      <c r="J1716" s="19" t="e">
        <f>VLOOKUP(Table2[[#This Row], [Author]],People!A:B,2,0)</f>
        <v>#VALUE!</v>
      </c>
      <c r="K1716" s="11"/>
      <c r="L1716" s="11"/>
      <c r="M1716" s="20" t="s">
        <v>677</v>
      </c>
    </row>
    <row r="1717" spans="1:13" ht="19.5" customHeight="1">
      <c r="A1717" s="21">
        <f t="shared" si="26"/>
        <v>1716</v>
      </c>
      <c r="B1717" s="13" t="s">
        <v>3295</v>
      </c>
      <c r="C1717" s="13" t="s">
        <v>78</v>
      </c>
      <c r="D1717" s="13" t="s">
        <v>688</v>
      </c>
      <c r="E1717" s="13"/>
      <c r="F1717" s="13" t="s">
        <v>675</v>
      </c>
      <c r="G1717" s="13" t="s">
        <v>13</v>
      </c>
      <c r="H1717" s="22" t="str">
        <f>IFERROR(VLOOKUP(Table2[[#This Row], [Ticket]],Okey!A:B,2,0),"")</f>
        <v/>
      </c>
      <c r="I1717" s="13" t="s">
        <v>276</v>
      </c>
      <c r="J1717" s="22" t="e">
        <f>VLOOKUP(Table2[[#This Row], [Author]],People!A:B,2,0)</f>
        <v>#VALUE!</v>
      </c>
      <c r="K1717" s="13"/>
      <c r="L1717" s="13"/>
      <c r="M1717" s="23" t="s">
        <v>677</v>
      </c>
    </row>
    <row r="1718" spans="1:13" ht="19.5" customHeight="1">
      <c r="A1718" s="18">
        <f t="shared" si="26"/>
        <v>1717</v>
      </c>
      <c r="B1718" s="11" t="s">
        <v>3295</v>
      </c>
      <c r="C1718" s="11" t="s">
        <v>78</v>
      </c>
      <c r="D1718" s="11" t="s">
        <v>728</v>
      </c>
      <c r="E1718" s="11"/>
      <c r="F1718" s="11" t="s">
        <v>678</v>
      </c>
      <c r="G1718" s="11" t="s">
        <v>13</v>
      </c>
      <c r="H1718" s="19" t="str">
        <f>IFERROR(VLOOKUP(Table2[[#This Row], [Ticket]],Okey!A:B,2,0),"")</f>
        <v/>
      </c>
      <c r="I1718" s="11" t="s">
        <v>276</v>
      </c>
      <c r="J1718" s="19" t="e">
        <f>VLOOKUP(Table2[[#This Row], [Author]],People!A:B,2,0)</f>
        <v>#VALUE!</v>
      </c>
      <c r="K1718" s="11"/>
      <c r="L1718" s="11"/>
      <c r="M1718" s="20" t="s">
        <v>677</v>
      </c>
    </row>
    <row r="1719" spans="1:13" ht="19.5" customHeight="1">
      <c r="A1719" s="21">
        <f t="shared" si="26"/>
        <v>1718</v>
      </c>
      <c r="B1719" s="13" t="s">
        <v>3295</v>
      </c>
      <c r="C1719" s="13" t="s">
        <v>78</v>
      </c>
      <c r="D1719" s="13" t="s">
        <v>732</v>
      </c>
      <c r="E1719" s="13"/>
      <c r="F1719" s="13" t="s">
        <v>728</v>
      </c>
      <c r="G1719" s="13" t="s">
        <v>13</v>
      </c>
      <c r="H1719" s="22" t="str">
        <f>IFERROR(VLOOKUP(Table2[[#This Row], [Ticket]],Okey!A:B,2,0),"")</f>
        <v/>
      </c>
      <c r="I1719" s="13" t="s">
        <v>276</v>
      </c>
      <c r="J1719" s="22" t="e">
        <f>VLOOKUP(Table2[[#This Row], [Author]],People!A:B,2,0)</f>
        <v>#VALUE!</v>
      </c>
      <c r="K1719" s="13"/>
      <c r="L1719" s="13"/>
      <c r="M1719" s="23" t="s">
        <v>677</v>
      </c>
    </row>
    <row r="1720" spans="1:13" ht="19.5" customHeight="1">
      <c r="A1720" s="18">
        <f t="shared" si="26"/>
        <v>1719</v>
      </c>
      <c r="B1720" s="11" t="s">
        <v>3295</v>
      </c>
      <c r="C1720" s="11" t="s">
        <v>78</v>
      </c>
      <c r="D1720" s="11" t="s">
        <v>734</v>
      </c>
      <c r="E1720" s="11"/>
      <c r="F1720" s="11" t="s">
        <v>728</v>
      </c>
      <c r="G1720" s="11" t="s">
        <v>13</v>
      </c>
      <c r="H1720" s="19" t="str">
        <f>IFERROR(VLOOKUP(Table2[[#This Row], [Ticket]],Okey!A:B,2,0),"")</f>
        <v/>
      </c>
      <c r="I1720" s="11" t="s">
        <v>276</v>
      </c>
      <c r="J1720" s="19" t="e">
        <f>VLOOKUP(Table2[[#This Row], [Author]],People!A:B,2,0)</f>
        <v>#VALUE!</v>
      </c>
      <c r="K1720" s="11"/>
      <c r="L1720" s="11"/>
      <c r="M1720" s="20" t="s">
        <v>677</v>
      </c>
    </row>
    <row r="1721" spans="1:13" ht="19.5" customHeight="1">
      <c r="A1721" s="21">
        <f t="shared" si="26"/>
        <v>1720</v>
      </c>
      <c r="B1721" s="13" t="s">
        <v>3295</v>
      </c>
      <c r="C1721" s="13" t="s">
        <v>78</v>
      </c>
      <c r="D1721" s="13" t="s">
        <v>736</v>
      </c>
      <c r="E1721" s="13"/>
      <c r="F1721" s="13" t="s">
        <v>728</v>
      </c>
      <c r="G1721" s="13" t="s">
        <v>13</v>
      </c>
      <c r="H1721" s="22" t="str">
        <f>IFERROR(VLOOKUP(Table2[[#This Row], [Ticket]],Okey!A:B,2,0),"")</f>
        <v/>
      </c>
      <c r="I1721" s="13" t="s">
        <v>276</v>
      </c>
      <c r="J1721" s="22" t="e">
        <f>VLOOKUP(Table2[[#This Row], [Author]],People!A:B,2,0)</f>
        <v>#VALUE!</v>
      </c>
      <c r="K1721" s="13"/>
      <c r="L1721" s="13"/>
      <c r="M1721" s="23" t="s">
        <v>677</v>
      </c>
    </row>
    <row r="1722" spans="1:13" ht="19.5" customHeight="1">
      <c r="A1722" s="18">
        <f t="shared" si="26"/>
        <v>1721</v>
      </c>
      <c r="B1722" s="11" t="s">
        <v>3295</v>
      </c>
      <c r="C1722" s="11" t="s">
        <v>78</v>
      </c>
      <c r="D1722" s="11" t="s">
        <v>754</v>
      </c>
      <c r="E1722" s="11"/>
      <c r="F1722" s="11" t="s">
        <v>732</v>
      </c>
      <c r="G1722" s="11" t="s">
        <v>13</v>
      </c>
      <c r="H1722" s="19" t="str">
        <f>IFERROR(VLOOKUP(Table2[[#This Row], [Ticket]],Okey!A:B,2,0),"")</f>
        <v/>
      </c>
      <c r="I1722" s="11" t="s">
        <v>276</v>
      </c>
      <c r="J1722" s="19" t="e">
        <f>VLOOKUP(Table2[[#This Row], [Author]],People!A:B,2,0)</f>
        <v>#VALUE!</v>
      </c>
      <c r="K1722" s="11"/>
      <c r="L1722" s="11"/>
      <c r="M1722" s="20" t="s">
        <v>677</v>
      </c>
    </row>
    <row r="1723" spans="1:13" ht="19.5" customHeight="1">
      <c r="A1723" s="21">
        <f t="shared" si="26"/>
        <v>1722</v>
      </c>
      <c r="B1723" s="13" t="s">
        <v>3295</v>
      </c>
      <c r="C1723" s="13" t="s">
        <v>78</v>
      </c>
      <c r="D1723" s="13" t="s">
        <v>738</v>
      </c>
      <c r="E1723" s="13"/>
      <c r="F1723" s="13" t="s">
        <v>732</v>
      </c>
      <c r="G1723" s="13" t="s">
        <v>13</v>
      </c>
      <c r="H1723" s="22" t="str">
        <f>IFERROR(VLOOKUP(Table2[[#This Row], [Ticket]],Okey!A:B,2,0),"")</f>
        <v/>
      </c>
      <c r="I1723" s="13" t="s">
        <v>276</v>
      </c>
      <c r="J1723" s="22" t="e">
        <f>VLOOKUP(Table2[[#This Row], [Author]],People!A:B,2,0)</f>
        <v>#VALUE!</v>
      </c>
      <c r="K1723" s="13"/>
      <c r="L1723" s="13"/>
      <c r="M1723" s="23" t="s">
        <v>677</v>
      </c>
    </row>
    <row r="1724" spans="1:13" ht="19.5" customHeight="1">
      <c r="A1724" s="18">
        <f t="shared" si="26"/>
        <v>1723</v>
      </c>
      <c r="B1724" s="11" t="s">
        <v>3295</v>
      </c>
      <c r="C1724" s="11" t="s">
        <v>78</v>
      </c>
      <c r="D1724" s="11" t="s">
        <v>740</v>
      </c>
      <c r="E1724" s="11"/>
      <c r="F1724" s="11" t="s">
        <v>738</v>
      </c>
      <c r="G1724" s="11" t="s">
        <v>13</v>
      </c>
      <c r="H1724" s="19" t="str">
        <f>IFERROR(VLOOKUP(Table2[[#This Row], [Ticket]],Okey!A:B,2,0),"")</f>
        <v/>
      </c>
      <c r="I1724" s="11" t="s">
        <v>276</v>
      </c>
      <c r="J1724" s="19" t="e">
        <f>VLOOKUP(Table2[[#This Row], [Author]],People!A:B,2,0)</f>
        <v>#VALUE!</v>
      </c>
      <c r="K1724" s="11"/>
      <c r="L1724" s="11"/>
      <c r="M1724" s="20" t="s">
        <v>677</v>
      </c>
    </row>
    <row r="1725" spans="1:13" ht="19.5" customHeight="1">
      <c r="A1725" s="21">
        <f t="shared" si="26"/>
        <v>1724</v>
      </c>
      <c r="B1725" s="13" t="s">
        <v>3295</v>
      </c>
      <c r="C1725" s="13" t="s">
        <v>78</v>
      </c>
      <c r="D1725" s="13" t="s">
        <v>742</v>
      </c>
      <c r="E1725" s="13"/>
      <c r="F1725" s="13" t="s">
        <v>738</v>
      </c>
      <c r="G1725" s="13" t="s">
        <v>13</v>
      </c>
      <c r="H1725" s="22" t="str">
        <f>IFERROR(VLOOKUP(Table2[[#This Row], [Ticket]],Okey!A:B,2,0),"")</f>
        <v/>
      </c>
      <c r="I1725" s="13" t="s">
        <v>276</v>
      </c>
      <c r="J1725" s="22" t="e">
        <f>VLOOKUP(Table2[[#This Row], [Author]],People!A:B,2,0)</f>
        <v>#VALUE!</v>
      </c>
      <c r="K1725" s="13"/>
      <c r="L1725" s="13"/>
      <c r="M1725" s="23" t="s">
        <v>677</v>
      </c>
    </row>
    <row r="1726" spans="1:13" ht="19.5" customHeight="1">
      <c r="A1726" s="18">
        <f t="shared" si="26"/>
        <v>1725</v>
      </c>
      <c r="B1726" s="11" t="s">
        <v>3295</v>
      </c>
      <c r="C1726" s="11" t="s">
        <v>78</v>
      </c>
      <c r="D1726" s="11" t="s">
        <v>744</v>
      </c>
      <c r="E1726" s="11"/>
      <c r="F1726" s="11" t="s">
        <v>738</v>
      </c>
      <c r="G1726" s="11" t="s">
        <v>13</v>
      </c>
      <c r="H1726" s="19" t="str">
        <f>IFERROR(VLOOKUP(Table2[[#This Row], [Ticket]],Okey!A:B,2,0),"")</f>
        <v/>
      </c>
      <c r="I1726" s="11" t="s">
        <v>276</v>
      </c>
      <c r="J1726" s="19" t="e">
        <f>VLOOKUP(Table2[[#This Row], [Author]],People!A:B,2,0)</f>
        <v>#VALUE!</v>
      </c>
      <c r="K1726" s="11"/>
      <c r="L1726" s="11"/>
      <c r="M1726" s="20" t="s">
        <v>677</v>
      </c>
    </row>
    <row r="1727" spans="1:13" ht="19.5" customHeight="1">
      <c r="A1727" s="21">
        <f t="shared" si="26"/>
        <v>1726</v>
      </c>
      <c r="B1727" s="13" t="s">
        <v>3295</v>
      </c>
      <c r="C1727" s="13" t="s">
        <v>78</v>
      </c>
      <c r="D1727" s="13" t="s">
        <v>746</v>
      </c>
      <c r="E1727" s="13"/>
      <c r="F1727" s="13" t="s">
        <v>738</v>
      </c>
      <c r="G1727" s="13" t="s">
        <v>13</v>
      </c>
      <c r="H1727" s="22" t="str">
        <f>IFERROR(VLOOKUP(Table2[[#This Row], [Ticket]],Okey!A:B,2,0),"")</f>
        <v/>
      </c>
      <c r="I1727" s="13" t="s">
        <v>276</v>
      </c>
      <c r="J1727" s="22" t="e">
        <f>VLOOKUP(Table2[[#This Row], [Author]],People!A:B,2,0)</f>
        <v>#VALUE!</v>
      </c>
      <c r="K1727" s="13"/>
      <c r="L1727" s="13"/>
      <c r="M1727" s="23" t="s">
        <v>677</v>
      </c>
    </row>
    <row r="1728" spans="1:13" ht="19.5" customHeight="1">
      <c r="A1728" s="18">
        <f t="shared" si="26"/>
        <v>1727</v>
      </c>
      <c r="B1728" s="11" t="s">
        <v>3295</v>
      </c>
      <c r="C1728" s="11" t="s">
        <v>78</v>
      </c>
      <c r="D1728" s="11" t="s">
        <v>748</v>
      </c>
      <c r="E1728" s="11"/>
      <c r="F1728" s="11" t="s">
        <v>738</v>
      </c>
      <c r="G1728" s="11" t="s">
        <v>13</v>
      </c>
      <c r="H1728" s="19" t="str">
        <f>IFERROR(VLOOKUP(Table2[[#This Row], [Ticket]],Okey!A:B,2,0),"")</f>
        <v/>
      </c>
      <c r="I1728" s="11" t="s">
        <v>276</v>
      </c>
      <c r="J1728" s="19" t="e">
        <f>VLOOKUP(Table2[[#This Row], [Author]],People!A:B,2,0)</f>
        <v>#VALUE!</v>
      </c>
      <c r="K1728" s="11"/>
      <c r="L1728" s="11"/>
      <c r="M1728" s="20" t="s">
        <v>677</v>
      </c>
    </row>
    <row r="1729" spans="1:13" ht="19.5" customHeight="1">
      <c r="A1729" s="21">
        <f t="shared" si="26"/>
        <v>1728</v>
      </c>
      <c r="B1729" s="13" t="s">
        <v>3295</v>
      </c>
      <c r="C1729" s="13" t="s">
        <v>78</v>
      </c>
      <c r="D1729" s="13" t="s">
        <v>750</v>
      </c>
      <c r="E1729" s="13"/>
      <c r="F1729" s="13" t="s">
        <v>738</v>
      </c>
      <c r="G1729" s="13" t="s">
        <v>13</v>
      </c>
      <c r="H1729" s="22" t="str">
        <f>IFERROR(VLOOKUP(Table2[[#This Row], [Ticket]],Okey!A:B,2,0),"")</f>
        <v/>
      </c>
      <c r="I1729" s="13" t="s">
        <v>276</v>
      </c>
      <c r="J1729" s="22" t="e">
        <f>VLOOKUP(Table2[[#This Row], [Author]],People!A:B,2,0)</f>
        <v>#VALUE!</v>
      </c>
      <c r="K1729" s="13"/>
      <c r="L1729" s="13"/>
      <c r="M1729" s="23" t="s">
        <v>677</v>
      </c>
    </row>
    <row r="1730" spans="1:13" ht="19.5" customHeight="1">
      <c r="A1730" s="18">
        <f t="shared" si="26"/>
        <v>1729</v>
      </c>
      <c r="B1730" s="11" t="s">
        <v>3295</v>
      </c>
      <c r="C1730" s="11" t="s">
        <v>78</v>
      </c>
      <c r="D1730" s="11" t="s">
        <v>752</v>
      </c>
      <c r="E1730" s="11"/>
      <c r="F1730" s="11" t="s">
        <v>738</v>
      </c>
      <c r="G1730" s="11" t="s">
        <v>13</v>
      </c>
      <c r="H1730" s="19" t="str">
        <f>IFERROR(VLOOKUP(Table2[[#This Row], [Ticket]],Okey!A:B,2,0),"")</f>
        <v/>
      </c>
      <c r="I1730" s="11" t="s">
        <v>276</v>
      </c>
      <c r="J1730" s="19" t="e">
        <f>VLOOKUP(Table2[[#This Row], [Author]],People!A:B,2,0)</f>
        <v>#VALUE!</v>
      </c>
      <c r="K1730" s="11"/>
      <c r="L1730" s="11"/>
      <c r="M1730" s="20" t="s">
        <v>677</v>
      </c>
    </row>
    <row r="1731" spans="1:13" ht="19.5" customHeight="1">
      <c r="A1731" s="21">
        <f t="shared" ref="A1731:A1794" si="27">1+A1730</f>
        <v>1730</v>
      </c>
      <c r="B1731" s="13" t="s">
        <v>3295</v>
      </c>
      <c r="C1731" s="13" t="s">
        <v>78</v>
      </c>
      <c r="D1731" s="13" t="s">
        <v>770</v>
      </c>
      <c r="E1731" s="13"/>
      <c r="F1731" s="13" t="s">
        <v>734</v>
      </c>
      <c r="G1731" s="13" t="s">
        <v>13</v>
      </c>
      <c r="H1731" s="22" t="str">
        <f>IFERROR(VLOOKUP(Table2[[#This Row], [Ticket]],Okey!A:B,2,0),"")</f>
        <v/>
      </c>
      <c r="I1731" s="13" t="s">
        <v>276</v>
      </c>
      <c r="J1731" s="22" t="e">
        <f>VLOOKUP(Table2[[#This Row], [Author]],People!A:B,2,0)</f>
        <v>#VALUE!</v>
      </c>
      <c r="K1731" s="13"/>
      <c r="L1731" s="13"/>
      <c r="M1731" s="23" t="s">
        <v>677</v>
      </c>
    </row>
    <row r="1732" spans="1:13" ht="19.5" customHeight="1">
      <c r="A1732" s="18">
        <f t="shared" si="27"/>
        <v>1731</v>
      </c>
      <c r="B1732" s="11" t="s">
        <v>3295</v>
      </c>
      <c r="C1732" s="11" t="s">
        <v>78</v>
      </c>
      <c r="D1732" s="11" t="s">
        <v>762</v>
      </c>
      <c r="E1732" s="11"/>
      <c r="F1732" s="11" t="s">
        <v>734</v>
      </c>
      <c r="G1732" s="11" t="s">
        <v>13</v>
      </c>
      <c r="H1732" s="19" t="str">
        <f>IFERROR(VLOOKUP(Table2[[#This Row], [Ticket]],Okey!A:B,2,0),"")</f>
        <v/>
      </c>
      <c r="I1732" s="11" t="s">
        <v>276</v>
      </c>
      <c r="J1732" s="19" t="e">
        <f>VLOOKUP(Table2[[#This Row], [Author]],People!A:B,2,0)</f>
        <v>#VALUE!</v>
      </c>
      <c r="K1732" s="11"/>
      <c r="L1732" s="11"/>
      <c r="M1732" s="20" t="s">
        <v>677</v>
      </c>
    </row>
    <row r="1733" spans="1:13" ht="19.5" customHeight="1">
      <c r="A1733" s="21">
        <f t="shared" si="27"/>
        <v>1732</v>
      </c>
      <c r="B1733" s="13" t="s">
        <v>3295</v>
      </c>
      <c r="C1733" s="13" t="s">
        <v>78</v>
      </c>
      <c r="D1733" s="13" t="s">
        <v>756</v>
      </c>
      <c r="E1733" s="13"/>
      <c r="F1733" s="13" t="s">
        <v>734</v>
      </c>
      <c r="G1733" s="13" t="s">
        <v>13</v>
      </c>
      <c r="H1733" s="22" t="str">
        <f>IFERROR(VLOOKUP(Table2[[#This Row], [Ticket]],Okey!A:B,2,0),"")</f>
        <v/>
      </c>
      <c r="I1733" s="13" t="s">
        <v>276</v>
      </c>
      <c r="J1733" s="22" t="e">
        <f>VLOOKUP(Table2[[#This Row], [Author]],People!A:B,2,0)</f>
        <v>#VALUE!</v>
      </c>
      <c r="K1733" s="13"/>
      <c r="L1733" s="13"/>
      <c r="M1733" s="23" t="s">
        <v>677</v>
      </c>
    </row>
    <row r="1734" spans="1:13" ht="19.5" customHeight="1">
      <c r="A1734" s="18">
        <f t="shared" si="27"/>
        <v>1733</v>
      </c>
      <c r="B1734" s="11" t="s">
        <v>3295</v>
      </c>
      <c r="C1734" s="11" t="s">
        <v>78</v>
      </c>
      <c r="D1734" s="11" t="s">
        <v>772</v>
      </c>
      <c r="E1734" s="11"/>
      <c r="F1734" s="11" t="s">
        <v>770</v>
      </c>
      <c r="G1734" s="11" t="s">
        <v>13</v>
      </c>
      <c r="H1734" s="19" t="str">
        <f>IFERROR(VLOOKUP(Table2[[#This Row], [Ticket]],Okey!A:B,2,0),"")</f>
        <v/>
      </c>
      <c r="I1734" s="11" t="s">
        <v>276</v>
      </c>
      <c r="J1734" s="19" t="e">
        <f>VLOOKUP(Table2[[#This Row], [Author]],People!A:B,2,0)</f>
        <v>#VALUE!</v>
      </c>
      <c r="K1734" s="11"/>
      <c r="L1734" s="11"/>
      <c r="M1734" s="20" t="s">
        <v>677</v>
      </c>
    </row>
    <row r="1735" spans="1:13" ht="19.5" customHeight="1">
      <c r="A1735" s="21">
        <f t="shared" si="27"/>
        <v>1734</v>
      </c>
      <c r="B1735" s="13" t="s">
        <v>3295</v>
      </c>
      <c r="C1735" s="13" t="s">
        <v>78</v>
      </c>
      <c r="D1735" s="13" t="s">
        <v>774</v>
      </c>
      <c r="E1735" s="13"/>
      <c r="F1735" s="13" t="s">
        <v>770</v>
      </c>
      <c r="G1735" s="13" t="s">
        <v>13</v>
      </c>
      <c r="H1735" s="22" t="str">
        <f>IFERROR(VLOOKUP(Table2[[#This Row], [Ticket]],Okey!A:B,2,0),"")</f>
        <v/>
      </c>
      <c r="I1735" s="13" t="s">
        <v>276</v>
      </c>
      <c r="J1735" s="22" t="e">
        <f>VLOOKUP(Table2[[#This Row], [Author]],People!A:B,2,0)</f>
        <v>#VALUE!</v>
      </c>
      <c r="K1735" s="13"/>
      <c r="L1735" s="13"/>
      <c r="M1735" s="23" t="s">
        <v>677</v>
      </c>
    </row>
    <row r="1736" spans="1:13" ht="19.5" customHeight="1">
      <c r="A1736" s="18">
        <f t="shared" si="27"/>
        <v>1735</v>
      </c>
      <c r="B1736" s="11" t="s">
        <v>3295</v>
      </c>
      <c r="C1736" s="11" t="s">
        <v>78</v>
      </c>
      <c r="D1736" s="11" t="s">
        <v>764</v>
      </c>
      <c r="E1736" s="11"/>
      <c r="F1736" s="11" t="s">
        <v>762</v>
      </c>
      <c r="G1736" s="11" t="s">
        <v>13</v>
      </c>
      <c r="H1736" s="19" t="str">
        <f>IFERROR(VLOOKUP(Table2[[#This Row], [Ticket]],Okey!A:B,2,0),"")</f>
        <v/>
      </c>
      <c r="I1736" s="11" t="s">
        <v>276</v>
      </c>
      <c r="J1736" s="19" t="e">
        <f>VLOOKUP(Table2[[#This Row], [Author]],People!A:B,2,0)</f>
        <v>#VALUE!</v>
      </c>
      <c r="K1736" s="11"/>
      <c r="L1736" s="11"/>
      <c r="M1736" s="20" t="s">
        <v>677</v>
      </c>
    </row>
    <row r="1737" spans="1:13" ht="19.5" customHeight="1">
      <c r="A1737" s="21">
        <f t="shared" si="27"/>
        <v>1736</v>
      </c>
      <c r="B1737" s="13" t="s">
        <v>3295</v>
      </c>
      <c r="C1737" s="13" t="s">
        <v>78</v>
      </c>
      <c r="D1737" s="13" t="s">
        <v>766</v>
      </c>
      <c r="E1737" s="13"/>
      <c r="F1737" s="13" t="s">
        <v>762</v>
      </c>
      <c r="G1737" s="13" t="s">
        <v>13</v>
      </c>
      <c r="H1737" s="22" t="str">
        <f>IFERROR(VLOOKUP(Table2[[#This Row], [Ticket]],Okey!A:B,2,0),"")</f>
        <v/>
      </c>
      <c r="I1737" s="13" t="s">
        <v>276</v>
      </c>
      <c r="J1737" s="22" t="e">
        <f>VLOOKUP(Table2[[#This Row], [Author]],People!A:B,2,0)</f>
        <v>#VALUE!</v>
      </c>
      <c r="K1737" s="13"/>
      <c r="L1737" s="13"/>
      <c r="M1737" s="23" t="s">
        <v>677</v>
      </c>
    </row>
    <row r="1738" spans="1:13" ht="19.5" customHeight="1">
      <c r="A1738" s="18">
        <f t="shared" si="27"/>
        <v>1737</v>
      </c>
      <c r="B1738" s="11" t="s">
        <v>3295</v>
      </c>
      <c r="C1738" s="11" t="s">
        <v>78</v>
      </c>
      <c r="D1738" s="11" t="s">
        <v>768</v>
      </c>
      <c r="E1738" s="11"/>
      <c r="F1738" s="11" t="s">
        <v>762</v>
      </c>
      <c r="G1738" s="11" t="s">
        <v>13</v>
      </c>
      <c r="H1738" s="19" t="str">
        <f>IFERROR(VLOOKUP(Table2[[#This Row], [Ticket]],Okey!A:B,2,0),"")</f>
        <v/>
      </c>
      <c r="I1738" s="11" t="s">
        <v>276</v>
      </c>
      <c r="J1738" s="19" t="e">
        <f>VLOOKUP(Table2[[#This Row], [Author]],People!A:B,2,0)</f>
        <v>#VALUE!</v>
      </c>
      <c r="K1738" s="11"/>
      <c r="L1738" s="11"/>
      <c r="M1738" s="20" t="s">
        <v>677</v>
      </c>
    </row>
    <row r="1739" spans="1:13" ht="19.5" customHeight="1">
      <c r="A1739" s="21">
        <f t="shared" si="27"/>
        <v>1738</v>
      </c>
      <c r="B1739" s="13" t="s">
        <v>3295</v>
      </c>
      <c r="C1739" s="13" t="s">
        <v>78</v>
      </c>
      <c r="D1739" s="13" t="s">
        <v>758</v>
      </c>
      <c r="E1739" s="13"/>
      <c r="F1739" s="13" t="s">
        <v>756</v>
      </c>
      <c r="G1739" s="13" t="s">
        <v>13</v>
      </c>
      <c r="H1739" s="22" t="str">
        <f>IFERROR(VLOOKUP(Table2[[#This Row], [Ticket]],Okey!A:B,2,0),"")</f>
        <v/>
      </c>
      <c r="I1739" s="13" t="s">
        <v>276</v>
      </c>
      <c r="J1739" s="22" t="e">
        <f>VLOOKUP(Table2[[#This Row], [Author]],People!A:B,2,0)</f>
        <v>#VALUE!</v>
      </c>
      <c r="K1739" s="13"/>
      <c r="L1739" s="13"/>
      <c r="M1739" s="23" t="s">
        <v>677</v>
      </c>
    </row>
    <row r="1740" spans="1:13" ht="19.5" customHeight="1">
      <c r="A1740" s="18">
        <f t="shared" si="27"/>
        <v>1739</v>
      </c>
      <c r="B1740" s="11" t="s">
        <v>3295</v>
      </c>
      <c r="C1740" s="11" t="s">
        <v>78</v>
      </c>
      <c r="D1740" s="11" t="s">
        <v>760</v>
      </c>
      <c r="E1740" s="11"/>
      <c r="F1740" s="11" t="s">
        <v>756</v>
      </c>
      <c r="G1740" s="11" t="s">
        <v>13</v>
      </c>
      <c r="H1740" s="19" t="str">
        <f>IFERROR(VLOOKUP(Table2[[#This Row], [Ticket]],Okey!A:B,2,0),"")</f>
        <v/>
      </c>
      <c r="I1740" s="11" t="s">
        <v>276</v>
      </c>
      <c r="J1740" s="19" t="e">
        <f>VLOOKUP(Table2[[#This Row], [Author]],People!A:B,2,0)</f>
        <v>#VALUE!</v>
      </c>
      <c r="K1740" s="11"/>
      <c r="L1740" s="11"/>
      <c r="M1740" s="20" t="s">
        <v>677</v>
      </c>
    </row>
    <row r="1741" spans="1:13" ht="19.5" customHeight="1">
      <c r="A1741" s="21">
        <f t="shared" si="27"/>
        <v>1740</v>
      </c>
      <c r="B1741" s="13" t="s">
        <v>3295</v>
      </c>
      <c r="C1741" s="13" t="s">
        <v>78</v>
      </c>
      <c r="D1741" s="13" t="s">
        <v>806</v>
      </c>
      <c r="E1741" s="13"/>
      <c r="F1741" s="13" t="s">
        <v>736</v>
      </c>
      <c r="G1741" s="13" t="s">
        <v>13</v>
      </c>
      <c r="H1741" s="22" t="str">
        <f>IFERROR(VLOOKUP(Table2[[#This Row], [Ticket]],Okey!A:B,2,0),"")</f>
        <v/>
      </c>
      <c r="I1741" s="13" t="s">
        <v>276</v>
      </c>
      <c r="J1741" s="22" t="e">
        <f>VLOOKUP(Table2[[#This Row], [Author]],People!A:B,2,0)</f>
        <v>#VALUE!</v>
      </c>
      <c r="K1741" s="13"/>
      <c r="L1741" s="13"/>
      <c r="M1741" s="23" t="s">
        <v>677</v>
      </c>
    </row>
    <row r="1742" spans="1:13" ht="19.5" customHeight="1">
      <c r="A1742" s="18">
        <f t="shared" si="27"/>
        <v>1741</v>
      </c>
      <c r="B1742" s="11" t="s">
        <v>3295</v>
      </c>
      <c r="C1742" s="11" t="s">
        <v>78</v>
      </c>
      <c r="D1742" s="11" t="s">
        <v>784</v>
      </c>
      <c r="E1742" s="11"/>
      <c r="F1742" s="11" t="s">
        <v>736</v>
      </c>
      <c r="G1742" s="11" t="s">
        <v>13</v>
      </c>
      <c r="H1742" s="19" t="str">
        <f>IFERROR(VLOOKUP(Table2[[#This Row], [Ticket]],Okey!A:B,2,0),"")</f>
        <v/>
      </c>
      <c r="I1742" s="11" t="s">
        <v>276</v>
      </c>
      <c r="J1742" s="19" t="e">
        <f>VLOOKUP(Table2[[#This Row], [Author]],People!A:B,2,0)</f>
        <v>#VALUE!</v>
      </c>
      <c r="K1742" s="11"/>
      <c r="L1742" s="11"/>
      <c r="M1742" s="20" t="s">
        <v>677</v>
      </c>
    </row>
    <row r="1743" spans="1:13" ht="19.5" customHeight="1">
      <c r="A1743" s="21">
        <f t="shared" si="27"/>
        <v>1742</v>
      </c>
      <c r="B1743" s="13" t="s">
        <v>3295</v>
      </c>
      <c r="C1743" s="13" t="s">
        <v>78</v>
      </c>
      <c r="D1743" s="13" t="s">
        <v>776</v>
      </c>
      <c r="E1743" s="13"/>
      <c r="F1743" s="13" t="s">
        <v>736</v>
      </c>
      <c r="G1743" s="13" t="s">
        <v>13</v>
      </c>
      <c r="H1743" s="22" t="str">
        <f>IFERROR(VLOOKUP(Table2[[#This Row], [Ticket]],Okey!A:B,2,0),"")</f>
        <v/>
      </c>
      <c r="I1743" s="13" t="s">
        <v>276</v>
      </c>
      <c r="J1743" s="22" t="e">
        <f>VLOOKUP(Table2[[#This Row], [Author]],People!A:B,2,0)</f>
        <v>#VALUE!</v>
      </c>
      <c r="K1743" s="13"/>
      <c r="L1743" s="13"/>
      <c r="M1743" s="23" t="s">
        <v>677</v>
      </c>
    </row>
    <row r="1744" spans="1:13" ht="19.5" customHeight="1">
      <c r="A1744" s="18">
        <f t="shared" si="27"/>
        <v>1743</v>
      </c>
      <c r="B1744" s="11" t="s">
        <v>3295</v>
      </c>
      <c r="C1744" s="11" t="s">
        <v>78</v>
      </c>
      <c r="D1744" s="11" t="s">
        <v>808</v>
      </c>
      <c r="E1744" s="11"/>
      <c r="F1744" s="11" t="s">
        <v>806</v>
      </c>
      <c r="G1744" s="11" t="s">
        <v>13</v>
      </c>
      <c r="H1744" s="19" t="str">
        <f>IFERROR(VLOOKUP(Table2[[#This Row], [Ticket]],Okey!A:B,2,0),"")</f>
        <v/>
      </c>
      <c r="I1744" s="11" t="s">
        <v>276</v>
      </c>
      <c r="J1744" s="19" t="e">
        <f>VLOOKUP(Table2[[#This Row], [Author]],People!A:B,2,0)</f>
        <v>#VALUE!</v>
      </c>
      <c r="K1744" s="11"/>
      <c r="L1744" s="11"/>
      <c r="M1744" s="20" t="s">
        <v>677</v>
      </c>
    </row>
    <row r="1745" spans="1:13" ht="19.5" customHeight="1">
      <c r="A1745" s="21">
        <f t="shared" si="27"/>
        <v>1744</v>
      </c>
      <c r="B1745" s="13" t="s">
        <v>3295</v>
      </c>
      <c r="C1745" s="13" t="s">
        <v>78</v>
      </c>
      <c r="D1745" s="13" t="s">
        <v>810</v>
      </c>
      <c r="E1745" s="13"/>
      <c r="F1745" s="13" t="s">
        <v>806</v>
      </c>
      <c r="G1745" s="13" t="s">
        <v>13</v>
      </c>
      <c r="H1745" s="22" t="str">
        <f>IFERROR(VLOOKUP(Table2[[#This Row], [Ticket]],Okey!A:B,2,0),"")</f>
        <v/>
      </c>
      <c r="I1745" s="13" t="s">
        <v>276</v>
      </c>
      <c r="J1745" s="22" t="e">
        <f>VLOOKUP(Table2[[#This Row], [Author]],People!A:B,2,0)</f>
        <v>#VALUE!</v>
      </c>
      <c r="K1745" s="13"/>
      <c r="L1745" s="13"/>
      <c r="M1745" s="23" t="s">
        <v>677</v>
      </c>
    </row>
    <row r="1746" spans="1:13" ht="19.5" customHeight="1">
      <c r="A1746" s="18">
        <f t="shared" si="27"/>
        <v>1745</v>
      </c>
      <c r="B1746" s="11" t="s">
        <v>3295</v>
      </c>
      <c r="C1746" s="11" t="s">
        <v>78</v>
      </c>
      <c r="D1746" s="11" t="s">
        <v>812</v>
      </c>
      <c r="E1746" s="11"/>
      <c r="F1746" s="11" t="s">
        <v>806</v>
      </c>
      <c r="G1746" s="11" t="s">
        <v>13</v>
      </c>
      <c r="H1746" s="19" t="str">
        <f>IFERROR(VLOOKUP(Table2[[#This Row], [Ticket]],Okey!A:B,2,0),"")</f>
        <v/>
      </c>
      <c r="I1746" s="11" t="s">
        <v>276</v>
      </c>
      <c r="J1746" s="19" t="e">
        <f>VLOOKUP(Table2[[#This Row], [Author]],People!A:B,2,0)</f>
        <v>#VALUE!</v>
      </c>
      <c r="K1746" s="11"/>
      <c r="L1746" s="11"/>
      <c r="M1746" s="20" t="s">
        <v>677</v>
      </c>
    </row>
    <row r="1747" spans="1:13" ht="19.5" customHeight="1">
      <c r="A1747" s="21">
        <f t="shared" si="27"/>
        <v>1746</v>
      </c>
      <c r="B1747" s="13" t="s">
        <v>3295</v>
      </c>
      <c r="C1747" s="13" t="s">
        <v>78</v>
      </c>
      <c r="D1747" s="13" t="s">
        <v>786</v>
      </c>
      <c r="E1747" s="13"/>
      <c r="F1747" s="13" t="s">
        <v>784</v>
      </c>
      <c r="G1747" s="13" t="s">
        <v>13</v>
      </c>
      <c r="H1747" s="22" t="str">
        <f>IFERROR(VLOOKUP(Table2[[#This Row], [Ticket]],Okey!A:B,2,0),"")</f>
        <v/>
      </c>
      <c r="I1747" s="13" t="s">
        <v>276</v>
      </c>
      <c r="J1747" s="22" t="e">
        <f>VLOOKUP(Table2[[#This Row], [Author]],People!A:B,2,0)</f>
        <v>#VALUE!</v>
      </c>
      <c r="K1747" s="13"/>
      <c r="L1747" s="13"/>
      <c r="M1747" s="23" t="s">
        <v>677</v>
      </c>
    </row>
    <row r="1748" spans="1:13" ht="19.5" customHeight="1">
      <c r="A1748" s="18">
        <f t="shared" si="27"/>
        <v>1747</v>
      </c>
      <c r="B1748" s="11" t="s">
        <v>3295</v>
      </c>
      <c r="C1748" s="11" t="s">
        <v>78</v>
      </c>
      <c r="D1748" s="11" t="s">
        <v>788</v>
      </c>
      <c r="E1748" s="11"/>
      <c r="F1748" s="11" t="s">
        <v>784</v>
      </c>
      <c r="G1748" s="11" t="s">
        <v>13</v>
      </c>
      <c r="H1748" s="19" t="str">
        <f>IFERROR(VLOOKUP(Table2[[#This Row], [Ticket]],Okey!A:B,2,0),"")</f>
        <v/>
      </c>
      <c r="I1748" s="11" t="s">
        <v>276</v>
      </c>
      <c r="J1748" s="19" t="e">
        <f>VLOOKUP(Table2[[#This Row], [Author]],People!A:B,2,0)</f>
        <v>#VALUE!</v>
      </c>
      <c r="K1748" s="11"/>
      <c r="L1748" s="11"/>
      <c r="M1748" s="20" t="s">
        <v>677</v>
      </c>
    </row>
    <row r="1749" spans="1:13" ht="19.5" customHeight="1">
      <c r="A1749" s="21">
        <f t="shared" si="27"/>
        <v>1748</v>
      </c>
      <c r="B1749" s="13" t="s">
        <v>3295</v>
      </c>
      <c r="C1749" s="13" t="s">
        <v>78</v>
      </c>
      <c r="D1749" s="13" t="s">
        <v>790</v>
      </c>
      <c r="E1749" s="13"/>
      <c r="F1749" s="13" t="s">
        <v>784</v>
      </c>
      <c r="G1749" s="13" t="s">
        <v>13</v>
      </c>
      <c r="H1749" s="22" t="str">
        <f>IFERROR(VLOOKUP(Table2[[#This Row], [Ticket]],Okey!A:B,2,0),"")</f>
        <v/>
      </c>
      <c r="I1749" s="13" t="s">
        <v>276</v>
      </c>
      <c r="J1749" s="22" t="e">
        <f>VLOOKUP(Table2[[#This Row], [Author]],People!A:B,2,0)</f>
        <v>#VALUE!</v>
      </c>
      <c r="K1749" s="13"/>
      <c r="L1749" s="13"/>
      <c r="M1749" s="23" t="s">
        <v>677</v>
      </c>
    </row>
    <row r="1750" spans="1:13" ht="19.5" customHeight="1">
      <c r="A1750" s="18">
        <f t="shared" si="27"/>
        <v>1749</v>
      </c>
      <c r="B1750" s="11" t="s">
        <v>3295</v>
      </c>
      <c r="C1750" s="11" t="s">
        <v>78</v>
      </c>
      <c r="D1750" s="11" t="s">
        <v>792</v>
      </c>
      <c r="E1750" s="11"/>
      <c r="F1750" s="11" t="s">
        <v>784</v>
      </c>
      <c r="G1750" s="11" t="s">
        <v>13</v>
      </c>
      <c r="H1750" s="19" t="str">
        <f>IFERROR(VLOOKUP(Table2[[#This Row], [Ticket]],Okey!A:B,2,0),"")</f>
        <v/>
      </c>
      <c r="I1750" s="11" t="s">
        <v>276</v>
      </c>
      <c r="J1750" s="19" t="e">
        <f>VLOOKUP(Table2[[#This Row], [Author]],People!A:B,2,0)</f>
        <v>#VALUE!</v>
      </c>
      <c r="K1750" s="11"/>
      <c r="L1750" s="11"/>
      <c r="M1750" s="20" t="s">
        <v>677</v>
      </c>
    </row>
    <row r="1751" spans="1:13" ht="19.5" customHeight="1">
      <c r="A1751" s="21">
        <f t="shared" si="27"/>
        <v>1750</v>
      </c>
      <c r="B1751" s="13" t="s">
        <v>3295</v>
      </c>
      <c r="C1751" s="13" t="s">
        <v>78</v>
      </c>
      <c r="D1751" s="13" t="s">
        <v>794</v>
      </c>
      <c r="E1751" s="13"/>
      <c r="F1751" s="13" t="s">
        <v>784</v>
      </c>
      <c r="G1751" s="13" t="s">
        <v>13</v>
      </c>
      <c r="H1751" s="22" t="str">
        <f>IFERROR(VLOOKUP(Table2[[#This Row], [Ticket]],Okey!A:B,2,0),"")</f>
        <v/>
      </c>
      <c r="I1751" s="13" t="s">
        <v>276</v>
      </c>
      <c r="J1751" s="22" t="e">
        <f>VLOOKUP(Table2[[#This Row], [Author]],People!A:B,2,0)</f>
        <v>#VALUE!</v>
      </c>
      <c r="K1751" s="13"/>
      <c r="L1751" s="13"/>
      <c r="M1751" s="23" t="s">
        <v>677</v>
      </c>
    </row>
    <row r="1752" spans="1:13" ht="19.5" customHeight="1">
      <c r="A1752" s="18">
        <f t="shared" si="27"/>
        <v>1751</v>
      </c>
      <c r="B1752" s="11" t="s">
        <v>3295</v>
      </c>
      <c r="C1752" s="11" t="s">
        <v>78</v>
      </c>
      <c r="D1752" s="11" t="s">
        <v>778</v>
      </c>
      <c r="E1752" s="11"/>
      <c r="F1752" s="11" t="s">
        <v>776</v>
      </c>
      <c r="G1752" s="11" t="s">
        <v>13</v>
      </c>
      <c r="H1752" s="19" t="str">
        <f>IFERROR(VLOOKUP(Table2[[#This Row], [Ticket]],Okey!A:B,2,0),"")</f>
        <v/>
      </c>
      <c r="I1752" s="11" t="s">
        <v>276</v>
      </c>
      <c r="J1752" s="19" t="e">
        <f>VLOOKUP(Table2[[#This Row], [Author]],People!A:B,2,0)</f>
        <v>#VALUE!</v>
      </c>
      <c r="K1752" s="11"/>
      <c r="L1752" s="11"/>
      <c r="M1752" s="20" t="s">
        <v>677</v>
      </c>
    </row>
    <row r="1753" spans="1:13" ht="19.5" customHeight="1">
      <c r="A1753" s="21">
        <f t="shared" si="27"/>
        <v>1752</v>
      </c>
      <c r="B1753" s="13" t="s">
        <v>3295</v>
      </c>
      <c r="C1753" s="13" t="s">
        <v>78</v>
      </c>
      <c r="D1753" s="13" t="s">
        <v>780</v>
      </c>
      <c r="E1753" s="13"/>
      <c r="F1753" s="13" t="s">
        <v>776</v>
      </c>
      <c r="G1753" s="13" t="s">
        <v>13</v>
      </c>
      <c r="H1753" s="22" t="str">
        <f>IFERROR(VLOOKUP(Table2[[#This Row], [Ticket]],Okey!A:B,2,0),"")</f>
        <v/>
      </c>
      <c r="I1753" s="13" t="s">
        <v>276</v>
      </c>
      <c r="J1753" s="22" t="e">
        <f>VLOOKUP(Table2[[#This Row], [Author]],People!A:B,2,0)</f>
        <v>#VALUE!</v>
      </c>
      <c r="K1753" s="13"/>
      <c r="L1753" s="13"/>
      <c r="M1753" s="23" t="s">
        <v>677</v>
      </c>
    </row>
    <row r="1754" spans="1:13" ht="19.5" customHeight="1">
      <c r="A1754" s="18">
        <f t="shared" si="27"/>
        <v>1753</v>
      </c>
      <c r="B1754" s="11" t="s">
        <v>3295</v>
      </c>
      <c r="C1754" s="11" t="s">
        <v>78</v>
      </c>
      <c r="D1754" s="11" t="s">
        <v>782</v>
      </c>
      <c r="E1754" s="11"/>
      <c r="F1754" s="11" t="s">
        <v>776</v>
      </c>
      <c r="G1754" s="11" t="s">
        <v>13</v>
      </c>
      <c r="H1754" s="19" t="str">
        <f>IFERROR(VLOOKUP(Table2[[#This Row], [Ticket]],Okey!A:B,2,0),"")</f>
        <v/>
      </c>
      <c r="I1754" s="11" t="s">
        <v>276</v>
      </c>
      <c r="J1754" s="19" t="e">
        <f>VLOOKUP(Table2[[#This Row], [Author]],People!A:B,2,0)</f>
        <v>#VALUE!</v>
      </c>
      <c r="K1754" s="11"/>
      <c r="L1754" s="11"/>
      <c r="M1754" s="20" t="s">
        <v>677</v>
      </c>
    </row>
    <row r="1755" spans="1:13" ht="19.5" customHeight="1">
      <c r="A1755" s="21">
        <f t="shared" si="27"/>
        <v>1754</v>
      </c>
      <c r="B1755" s="13" t="s">
        <v>3295</v>
      </c>
      <c r="C1755" s="13" t="s">
        <v>79</v>
      </c>
      <c r="D1755" s="13" t="s">
        <v>816</v>
      </c>
      <c r="E1755" s="13"/>
      <c r="F1755" s="13" t="s">
        <v>814</v>
      </c>
      <c r="G1755" s="13" t="s">
        <v>13</v>
      </c>
      <c r="H1755" s="22" t="str">
        <f>IFERROR(VLOOKUP(Table2[[#This Row], [Ticket]],Okey!A:B,2,0),"")</f>
        <v/>
      </c>
      <c r="I1755" s="13" t="s">
        <v>276</v>
      </c>
      <c r="J1755" s="22" t="e">
        <f>VLOOKUP(Table2[[#This Row], [Author]],People!A:B,2,0)</f>
        <v>#VALUE!</v>
      </c>
      <c r="K1755" s="13"/>
      <c r="L1755" s="13"/>
      <c r="M1755" s="23" t="s">
        <v>677</v>
      </c>
    </row>
    <row r="1756" spans="1:13" ht="19.5" customHeight="1">
      <c r="A1756" s="18">
        <f t="shared" si="27"/>
        <v>1755</v>
      </c>
      <c r="B1756" s="11" t="s">
        <v>3295</v>
      </c>
      <c r="C1756" s="11" t="s">
        <v>79</v>
      </c>
      <c r="D1756" s="11" t="s">
        <v>818</v>
      </c>
      <c r="E1756" s="11"/>
      <c r="F1756" s="11" t="s">
        <v>814</v>
      </c>
      <c r="G1756" s="11" t="s">
        <v>13</v>
      </c>
      <c r="H1756" s="19" t="str">
        <f>IFERROR(VLOOKUP(Table2[[#This Row], [Ticket]],Okey!A:B,2,0),"")</f>
        <v/>
      </c>
      <c r="I1756" s="11" t="s">
        <v>276</v>
      </c>
      <c r="J1756" s="19" t="e">
        <f>VLOOKUP(Table2[[#This Row], [Author]],People!A:B,2,0)</f>
        <v>#VALUE!</v>
      </c>
      <c r="K1756" s="11"/>
      <c r="L1756" s="11"/>
      <c r="M1756" s="20" t="s">
        <v>677</v>
      </c>
    </row>
    <row r="1757" spans="1:13" ht="19.5" customHeight="1">
      <c r="A1757" s="21">
        <f t="shared" si="27"/>
        <v>1756</v>
      </c>
      <c r="B1757" s="13" t="s">
        <v>3295</v>
      </c>
      <c r="C1757" s="13" t="s">
        <v>79</v>
      </c>
      <c r="D1757" s="13" t="s">
        <v>820</v>
      </c>
      <c r="E1757" s="13"/>
      <c r="F1757" s="13" t="s">
        <v>814</v>
      </c>
      <c r="G1757" s="13" t="s">
        <v>13</v>
      </c>
      <c r="H1757" s="22" t="str">
        <f>IFERROR(VLOOKUP(Table2[[#This Row], [Ticket]],Okey!A:B,2,0),"")</f>
        <v/>
      </c>
      <c r="I1757" s="13" t="s">
        <v>276</v>
      </c>
      <c r="J1757" s="22" t="e">
        <f>VLOOKUP(Table2[[#This Row], [Author]],People!A:B,2,0)</f>
        <v>#VALUE!</v>
      </c>
      <c r="K1757" s="13"/>
      <c r="L1757" s="13"/>
      <c r="M1757" s="23" t="s">
        <v>677</v>
      </c>
    </row>
    <row r="1758" spans="1:13" ht="19.5" customHeight="1">
      <c r="A1758" s="18">
        <f t="shared" si="27"/>
        <v>1757</v>
      </c>
      <c r="B1758" s="11" t="s">
        <v>3295</v>
      </c>
      <c r="C1758" s="11" t="s">
        <v>79</v>
      </c>
      <c r="D1758" s="11" t="s">
        <v>824</v>
      </c>
      <c r="E1758" s="11"/>
      <c r="F1758" s="11" t="s">
        <v>816</v>
      </c>
      <c r="G1758" s="11" t="s">
        <v>13</v>
      </c>
      <c r="H1758" s="19" t="str">
        <f>IFERROR(VLOOKUP(Table2[[#This Row], [Ticket]],Okey!A:B,2,0),"")</f>
        <v/>
      </c>
      <c r="I1758" s="11" t="s">
        <v>276</v>
      </c>
      <c r="J1758" s="19" t="e">
        <f>VLOOKUP(Table2[[#This Row], [Author]],People!A:B,2,0)</f>
        <v>#VALUE!</v>
      </c>
      <c r="K1758" s="11"/>
      <c r="L1758" s="11"/>
      <c r="M1758" s="20" t="s">
        <v>677</v>
      </c>
    </row>
    <row r="1759" spans="1:13" ht="19.5" customHeight="1">
      <c r="A1759" s="21">
        <f t="shared" si="27"/>
        <v>1758</v>
      </c>
      <c r="B1759" s="13" t="s">
        <v>3295</v>
      </c>
      <c r="C1759" s="13" t="s">
        <v>79</v>
      </c>
      <c r="D1759" s="13" t="s">
        <v>826</v>
      </c>
      <c r="E1759" s="13"/>
      <c r="F1759" s="13" t="s">
        <v>816</v>
      </c>
      <c r="G1759" s="13" t="s">
        <v>13</v>
      </c>
      <c r="H1759" s="22" t="str">
        <f>IFERROR(VLOOKUP(Table2[[#This Row], [Ticket]],Okey!A:B,2,0),"")</f>
        <v/>
      </c>
      <c r="I1759" s="13" t="s">
        <v>276</v>
      </c>
      <c r="J1759" s="22" t="e">
        <f>VLOOKUP(Table2[[#This Row], [Author]],People!A:B,2,0)</f>
        <v>#VALUE!</v>
      </c>
      <c r="K1759" s="13"/>
      <c r="L1759" s="13"/>
      <c r="M1759" s="23" t="s">
        <v>677</v>
      </c>
    </row>
    <row r="1760" spans="1:13" ht="19.5" customHeight="1">
      <c r="A1760" s="18">
        <f t="shared" si="27"/>
        <v>1759</v>
      </c>
      <c r="B1760" s="11" t="s">
        <v>3295</v>
      </c>
      <c r="C1760" s="11" t="s">
        <v>79</v>
      </c>
      <c r="D1760" s="11" t="s">
        <v>828</v>
      </c>
      <c r="E1760" s="11"/>
      <c r="F1760" s="11" t="s">
        <v>818</v>
      </c>
      <c r="G1760" s="11" t="s">
        <v>13</v>
      </c>
      <c r="H1760" s="19" t="str">
        <f>IFERROR(VLOOKUP(Table2[[#This Row], [Ticket]],Okey!A:B,2,0),"")</f>
        <v/>
      </c>
      <c r="I1760" s="11" t="s">
        <v>276</v>
      </c>
      <c r="J1760" s="19" t="e">
        <f>VLOOKUP(Table2[[#This Row], [Author]],People!A:B,2,0)</f>
        <v>#VALUE!</v>
      </c>
      <c r="K1760" s="11"/>
      <c r="L1760" s="11"/>
      <c r="M1760" s="20" t="s">
        <v>677</v>
      </c>
    </row>
    <row r="1761" spans="1:13" ht="19.5" customHeight="1">
      <c r="A1761" s="21">
        <f t="shared" si="27"/>
        <v>1760</v>
      </c>
      <c r="B1761" s="13" t="s">
        <v>3295</v>
      </c>
      <c r="C1761" s="13" t="s">
        <v>79</v>
      </c>
      <c r="D1761" s="13" t="s">
        <v>830</v>
      </c>
      <c r="E1761" s="13"/>
      <c r="F1761" s="13" t="s">
        <v>818</v>
      </c>
      <c r="G1761" s="13" t="s">
        <v>13</v>
      </c>
      <c r="H1761" s="22" t="str">
        <f>IFERROR(VLOOKUP(Table2[[#This Row], [Ticket]],Okey!A:B,2,0),"")</f>
        <v/>
      </c>
      <c r="I1761" s="13" t="s">
        <v>276</v>
      </c>
      <c r="J1761" s="22" t="e">
        <f>VLOOKUP(Table2[[#This Row], [Author]],People!A:B,2,0)</f>
        <v>#VALUE!</v>
      </c>
      <c r="K1761" s="13"/>
      <c r="L1761" s="13"/>
      <c r="M1761" s="23" t="s">
        <v>677</v>
      </c>
    </row>
    <row r="1762" spans="1:13" ht="19.5" customHeight="1">
      <c r="A1762" s="18">
        <f t="shared" si="27"/>
        <v>1761</v>
      </c>
      <c r="B1762" s="11" t="s">
        <v>3295</v>
      </c>
      <c r="C1762" s="11" t="s">
        <v>79</v>
      </c>
      <c r="D1762" s="11" t="s">
        <v>832</v>
      </c>
      <c r="E1762" s="11"/>
      <c r="F1762" s="11" t="s">
        <v>818</v>
      </c>
      <c r="G1762" s="11" t="s">
        <v>13</v>
      </c>
      <c r="H1762" s="19" t="str">
        <f>IFERROR(VLOOKUP(Table2[[#This Row], [Ticket]],Okey!A:B,2,0),"")</f>
        <v/>
      </c>
      <c r="I1762" s="11" t="s">
        <v>276</v>
      </c>
      <c r="J1762" s="19" t="e">
        <f>VLOOKUP(Table2[[#This Row], [Author]],People!A:B,2,0)</f>
        <v>#VALUE!</v>
      </c>
      <c r="K1762" s="11"/>
      <c r="L1762" s="11"/>
      <c r="M1762" s="20" t="s">
        <v>677</v>
      </c>
    </row>
    <row r="1763" spans="1:13" ht="19.5" customHeight="1">
      <c r="A1763" s="21">
        <f t="shared" si="27"/>
        <v>1762</v>
      </c>
      <c r="B1763" s="13" t="s">
        <v>3295</v>
      </c>
      <c r="C1763" s="13" t="s">
        <v>79</v>
      </c>
      <c r="D1763" s="13" t="s">
        <v>838</v>
      </c>
      <c r="E1763" s="13"/>
      <c r="F1763" s="13" t="s">
        <v>820</v>
      </c>
      <c r="G1763" s="13" t="s">
        <v>13</v>
      </c>
      <c r="H1763" s="22" t="str">
        <f>IFERROR(VLOOKUP(Table2[[#This Row], [Ticket]],Okey!A:B,2,0),"")</f>
        <v/>
      </c>
      <c r="I1763" s="13" t="s">
        <v>276</v>
      </c>
      <c r="J1763" s="22" t="e">
        <f>VLOOKUP(Table2[[#This Row], [Author]],People!A:B,2,0)</f>
        <v>#VALUE!</v>
      </c>
      <c r="K1763" s="13"/>
      <c r="L1763" s="13"/>
      <c r="M1763" s="23" t="s">
        <v>677</v>
      </c>
    </row>
    <row r="1764" spans="1:13" ht="19.5" customHeight="1">
      <c r="A1764" s="18">
        <f t="shared" si="27"/>
        <v>1763</v>
      </c>
      <c r="B1764" s="11" t="s">
        <v>3295</v>
      </c>
      <c r="C1764" s="11" t="s">
        <v>79</v>
      </c>
      <c r="D1764" s="11" t="s">
        <v>840</v>
      </c>
      <c r="E1764" s="11"/>
      <c r="F1764" s="11" t="s">
        <v>820</v>
      </c>
      <c r="G1764" s="11" t="s">
        <v>13</v>
      </c>
      <c r="H1764" s="19" t="str">
        <f>IFERROR(VLOOKUP(Table2[[#This Row], [Ticket]],Okey!A:B,2,0),"")</f>
        <v/>
      </c>
      <c r="I1764" s="11" t="s">
        <v>276</v>
      </c>
      <c r="J1764" s="19" t="e">
        <f>VLOOKUP(Table2[[#This Row], [Author]],People!A:B,2,0)</f>
        <v>#VALUE!</v>
      </c>
      <c r="K1764" s="11"/>
      <c r="L1764" s="11"/>
      <c r="M1764" s="20" t="s">
        <v>677</v>
      </c>
    </row>
    <row r="1765" spans="1:13" ht="19.5" customHeight="1">
      <c r="A1765" s="21">
        <f t="shared" si="27"/>
        <v>1764</v>
      </c>
      <c r="B1765" s="13" t="s">
        <v>3295</v>
      </c>
      <c r="C1765" s="13" t="s">
        <v>79</v>
      </c>
      <c r="D1765" s="13" t="s">
        <v>834</v>
      </c>
      <c r="E1765" s="13"/>
      <c r="F1765" s="13" t="s">
        <v>832</v>
      </c>
      <c r="G1765" s="13" t="s">
        <v>13</v>
      </c>
      <c r="H1765" s="22" t="str">
        <f>IFERROR(VLOOKUP(Table2[[#This Row], [Ticket]],Okey!A:B,2,0),"")</f>
        <v/>
      </c>
      <c r="I1765" s="13" t="s">
        <v>276</v>
      </c>
      <c r="J1765" s="22" t="e">
        <f>VLOOKUP(Table2[[#This Row], [Author]],People!A:B,2,0)</f>
        <v>#VALUE!</v>
      </c>
      <c r="K1765" s="13"/>
      <c r="L1765" s="13"/>
      <c r="M1765" s="23" t="s">
        <v>677</v>
      </c>
    </row>
    <row r="1766" spans="1:13" ht="19.5" customHeight="1">
      <c r="A1766" s="18">
        <f t="shared" si="27"/>
        <v>1765</v>
      </c>
      <c r="B1766" s="11" t="s">
        <v>3295</v>
      </c>
      <c r="C1766" s="11" t="s">
        <v>79</v>
      </c>
      <c r="D1766" s="11" t="s">
        <v>836</v>
      </c>
      <c r="E1766" s="11"/>
      <c r="F1766" s="11" t="s">
        <v>832</v>
      </c>
      <c r="G1766" s="11" t="s">
        <v>13</v>
      </c>
      <c r="H1766" s="19" t="str">
        <f>IFERROR(VLOOKUP(Table2[[#This Row], [Ticket]],Okey!A:B,2,0),"")</f>
        <v/>
      </c>
      <c r="I1766" s="11" t="s">
        <v>276</v>
      </c>
      <c r="J1766" s="19" t="e">
        <f>VLOOKUP(Table2[[#This Row], [Author]],People!A:B,2,0)</f>
        <v>#VALUE!</v>
      </c>
      <c r="K1766" s="11"/>
      <c r="L1766" s="11"/>
      <c r="M1766" s="20" t="s">
        <v>677</v>
      </c>
    </row>
    <row r="1767" spans="1:13" ht="19.5" customHeight="1">
      <c r="A1767" s="21">
        <f t="shared" si="27"/>
        <v>1766</v>
      </c>
      <c r="B1767" s="13" t="s">
        <v>3295</v>
      </c>
      <c r="C1767" s="13" t="s">
        <v>79</v>
      </c>
      <c r="D1767" s="13" t="s">
        <v>822</v>
      </c>
      <c r="E1767" s="13"/>
      <c r="F1767" s="13" t="s">
        <v>838</v>
      </c>
      <c r="G1767" s="13" t="s">
        <v>13</v>
      </c>
      <c r="H1767" s="22" t="str">
        <f>IFERROR(VLOOKUP(Table2[[#This Row], [Ticket]],Okey!A:B,2,0),"")</f>
        <v/>
      </c>
      <c r="I1767" s="13" t="s">
        <v>276</v>
      </c>
      <c r="J1767" s="22" t="e">
        <f>VLOOKUP(Table2[[#This Row], [Author]],People!A:B,2,0)</f>
        <v>#VALUE!</v>
      </c>
      <c r="K1767" s="13"/>
      <c r="L1767" s="13"/>
      <c r="M1767" s="23" t="s">
        <v>677</v>
      </c>
    </row>
    <row r="1768" spans="1:13" ht="19.5" customHeight="1">
      <c r="A1768" s="18">
        <f t="shared" si="27"/>
        <v>1767</v>
      </c>
      <c r="B1768" s="11" t="s">
        <v>3295</v>
      </c>
      <c r="C1768" s="11" t="s">
        <v>88</v>
      </c>
      <c r="D1768" s="11" t="s">
        <v>724</v>
      </c>
      <c r="E1768" s="11"/>
      <c r="F1768" s="11" t="s">
        <v>720</v>
      </c>
      <c r="G1768" s="11" t="s">
        <v>13</v>
      </c>
      <c r="H1768" s="19" t="str">
        <f>IFERROR(VLOOKUP(Table2[[#This Row], [Ticket]],Okey!A:B,2,0),"")</f>
        <v/>
      </c>
      <c r="I1768" s="11" t="s">
        <v>276</v>
      </c>
      <c r="J1768" s="19" t="e">
        <f>VLOOKUP(Table2[[#This Row], [Author]],People!A:B,2,0)</f>
        <v>#VALUE!</v>
      </c>
      <c r="K1768" s="11" t="s">
        <v>3335</v>
      </c>
      <c r="L1768" s="11"/>
      <c r="M1768" s="20" t="s">
        <v>677</v>
      </c>
    </row>
    <row r="1769" spans="1:13" ht="19.5" customHeight="1">
      <c r="A1769" s="21">
        <f t="shared" si="27"/>
        <v>1768</v>
      </c>
      <c r="B1769" s="13" t="s">
        <v>3295</v>
      </c>
      <c r="C1769" s="13" t="s">
        <v>88</v>
      </c>
      <c r="D1769" s="13" t="s">
        <v>726</v>
      </c>
      <c r="E1769" s="13"/>
      <c r="F1769" s="13" t="s">
        <v>720</v>
      </c>
      <c r="G1769" s="13" t="s">
        <v>13</v>
      </c>
      <c r="H1769" s="22" t="str">
        <f>IFERROR(VLOOKUP(Table2[[#This Row], [Ticket]],Okey!A:B,2,0),"")</f>
        <v/>
      </c>
      <c r="I1769" s="13" t="s">
        <v>276</v>
      </c>
      <c r="J1769" s="22" t="e">
        <f>VLOOKUP(Table2[[#This Row], [Author]],People!A:B,2,0)</f>
        <v>#VALUE!</v>
      </c>
      <c r="K1769" s="13" t="s">
        <v>3335</v>
      </c>
      <c r="L1769" s="13"/>
      <c r="M1769" s="23" t="s">
        <v>677</v>
      </c>
    </row>
    <row r="1770" spans="1:13" ht="19.5" customHeight="1">
      <c r="A1770" s="18">
        <f t="shared" si="27"/>
        <v>1769</v>
      </c>
      <c r="B1770" s="11" t="s">
        <v>3295</v>
      </c>
      <c r="C1770" s="11" t="s">
        <v>91</v>
      </c>
      <c r="D1770" s="11" t="s">
        <v>3336</v>
      </c>
      <c r="E1770" s="11"/>
      <c r="F1770" s="11" t="s">
        <v>2015</v>
      </c>
      <c r="G1770" s="11" t="s">
        <v>13</v>
      </c>
      <c r="H1770" s="19" t="str">
        <f>IFERROR(VLOOKUP(Table2[[#This Row], [Ticket]],Okey!A:B,2,0),"")</f>
        <v/>
      </c>
      <c r="I1770" s="11" t="s">
        <v>276</v>
      </c>
      <c r="J1770" s="19" t="e">
        <f>VLOOKUP(Table2[[#This Row], [Author]],People!A:B,2,0)</f>
        <v>#VALUE!</v>
      </c>
      <c r="K1770" s="11" t="s">
        <v>3297</v>
      </c>
      <c r="L1770" s="11"/>
      <c r="M1770" s="20" t="s">
        <v>677</v>
      </c>
    </row>
    <row r="1771" spans="1:13" ht="19.5" customHeight="1">
      <c r="A1771" s="21">
        <f t="shared" si="27"/>
        <v>1770</v>
      </c>
      <c r="B1771" s="13" t="s">
        <v>3295</v>
      </c>
      <c r="C1771" s="13" t="s">
        <v>91</v>
      </c>
      <c r="D1771" s="13" t="s">
        <v>722</v>
      </c>
      <c r="E1771" s="13"/>
      <c r="F1771" s="13" t="s">
        <v>2015</v>
      </c>
      <c r="G1771" s="13" t="s">
        <v>13</v>
      </c>
      <c r="H1771" s="22" t="str">
        <f>IFERROR(VLOOKUP(Table2[[#This Row], [Ticket]],Okey!A:B,2,0),"")</f>
        <v/>
      </c>
      <c r="I1771" s="13" t="s">
        <v>276</v>
      </c>
      <c r="J1771" s="22" t="e">
        <f>VLOOKUP(Table2[[#This Row], [Author]],People!A:B,2,0)</f>
        <v>#VALUE!</v>
      </c>
      <c r="K1771" s="13" t="s">
        <v>3297</v>
      </c>
      <c r="L1771" s="13"/>
      <c r="M1771" s="23" t="s">
        <v>677</v>
      </c>
    </row>
    <row r="1772" spans="1:13" ht="19.5" customHeight="1">
      <c r="A1772" s="18">
        <f t="shared" si="27"/>
        <v>1771</v>
      </c>
      <c r="B1772" s="11" t="s">
        <v>3295</v>
      </c>
      <c r="C1772" s="11" t="s">
        <v>91</v>
      </c>
      <c r="D1772" s="11" t="s">
        <v>726</v>
      </c>
      <c r="E1772" s="11"/>
      <c r="F1772" s="11" t="s">
        <v>1906</v>
      </c>
      <c r="G1772" s="11" t="s">
        <v>13</v>
      </c>
      <c r="H1772" s="19" t="str">
        <f>IFERROR(VLOOKUP(Table2[[#This Row], [Ticket]],Okey!A:B,2,0),"")</f>
        <v/>
      </c>
      <c r="I1772" s="11" t="s">
        <v>276</v>
      </c>
      <c r="J1772" s="19" t="e">
        <f>VLOOKUP(Table2[[#This Row], [Author]],People!A:B,2,0)</f>
        <v>#VALUE!</v>
      </c>
      <c r="K1772" s="11" t="s">
        <v>3297</v>
      </c>
      <c r="L1772" s="11"/>
      <c r="M1772" s="20" t="s">
        <v>677</v>
      </c>
    </row>
    <row r="1773" spans="1:13" ht="19.5" customHeight="1">
      <c r="A1773" s="21">
        <f t="shared" si="27"/>
        <v>1772</v>
      </c>
      <c r="B1773" s="13" t="s">
        <v>3295</v>
      </c>
      <c r="C1773" s="13" t="s">
        <v>91</v>
      </c>
      <c r="D1773" s="13" t="s">
        <v>724</v>
      </c>
      <c r="E1773" s="13"/>
      <c r="F1773" s="13" t="s">
        <v>3337</v>
      </c>
      <c r="G1773" s="13" t="s">
        <v>13</v>
      </c>
      <c r="H1773" s="22" t="str">
        <f>IFERROR(VLOOKUP(Table2[[#This Row], [Ticket]],Okey!A:B,2,0),"")</f>
        <v/>
      </c>
      <c r="I1773" s="13" t="s">
        <v>276</v>
      </c>
      <c r="J1773" s="22" t="e">
        <f>VLOOKUP(Table2[[#This Row], [Author]],People!A:B,2,0)</f>
        <v>#VALUE!</v>
      </c>
      <c r="K1773" s="13" t="s">
        <v>3297</v>
      </c>
      <c r="L1773" s="13"/>
      <c r="M1773" s="23" t="s">
        <v>677</v>
      </c>
    </row>
    <row r="1774" spans="1:13" ht="19.5" customHeight="1">
      <c r="A1774" s="18">
        <f t="shared" si="27"/>
        <v>1773</v>
      </c>
      <c r="B1774" s="11" t="s">
        <v>3295</v>
      </c>
      <c r="C1774" s="11" t="s">
        <v>91</v>
      </c>
      <c r="D1774" s="11" t="s">
        <v>3338</v>
      </c>
      <c r="E1774" s="11"/>
      <c r="F1774" s="11" t="s">
        <v>351</v>
      </c>
      <c r="G1774" s="11" t="s">
        <v>13</v>
      </c>
      <c r="H1774" s="19" t="str">
        <f>IFERROR(VLOOKUP(Table2[[#This Row], [Ticket]],Okey!A:B,2,0),"")</f>
        <v/>
      </c>
      <c r="I1774" s="11" t="s">
        <v>276</v>
      </c>
      <c r="J1774" s="19" t="e">
        <f>VLOOKUP(Table2[[#This Row], [Author]],People!A:B,2,0)</f>
        <v>#VALUE!</v>
      </c>
      <c r="K1774" s="11" t="s">
        <v>3297</v>
      </c>
      <c r="L1774" s="11"/>
      <c r="M1774" s="20" t="s">
        <v>677</v>
      </c>
    </row>
    <row r="1775" spans="1:13" ht="19.5" customHeight="1">
      <c r="A1775" s="21">
        <f t="shared" si="27"/>
        <v>1774</v>
      </c>
      <c r="B1775" s="13" t="s">
        <v>3295</v>
      </c>
      <c r="C1775" s="13" t="s">
        <v>91</v>
      </c>
      <c r="D1775" s="13" t="s">
        <v>718</v>
      </c>
      <c r="E1775" s="13"/>
      <c r="F1775" s="13" t="s">
        <v>351</v>
      </c>
      <c r="G1775" s="13" t="s">
        <v>13</v>
      </c>
      <c r="H1775" s="22" t="str">
        <f>IFERROR(VLOOKUP(Table2[[#This Row], [Ticket]],Okey!A:B,2,0),"")</f>
        <v/>
      </c>
      <c r="I1775" s="13" t="s">
        <v>276</v>
      </c>
      <c r="J1775" s="22" t="e">
        <f>VLOOKUP(Table2[[#This Row], [Author]],People!A:B,2,0)</f>
        <v>#VALUE!</v>
      </c>
      <c r="K1775" s="13" t="s">
        <v>3297</v>
      </c>
      <c r="L1775" s="13"/>
      <c r="M1775" s="23" t="s">
        <v>677</v>
      </c>
    </row>
    <row r="1776" spans="1:13" ht="19.5" customHeight="1">
      <c r="A1776" s="18">
        <f t="shared" si="27"/>
        <v>1775</v>
      </c>
      <c r="B1776" s="11" t="s">
        <v>3295</v>
      </c>
      <c r="C1776" s="11" t="s">
        <v>94</v>
      </c>
      <c r="D1776" s="11" t="s">
        <v>3339</v>
      </c>
      <c r="E1776" s="11"/>
      <c r="F1776" s="11" t="s">
        <v>1782</v>
      </c>
      <c r="G1776" s="11" t="s">
        <v>13</v>
      </c>
      <c r="H1776" s="19" t="str">
        <f>IFERROR(VLOOKUP(Table2[[#This Row], [Ticket]],Okey!A:B,2,0),"")</f>
        <v/>
      </c>
      <c r="I1776" s="11" t="s">
        <v>276</v>
      </c>
      <c r="J1776" s="19" t="e">
        <f>VLOOKUP(Table2[[#This Row], [Author]],People!A:B,2,0)</f>
        <v>#VALUE!</v>
      </c>
      <c r="K1776" s="11" t="s">
        <v>3297</v>
      </c>
      <c r="L1776" s="11"/>
      <c r="M1776" s="20" t="s">
        <v>277</v>
      </c>
    </row>
    <row r="1777" spans="1:13" ht="19.5" customHeight="1">
      <c r="A1777" s="21">
        <f t="shared" si="27"/>
        <v>1776</v>
      </c>
      <c r="B1777" s="13" t="s">
        <v>3295</v>
      </c>
      <c r="C1777" s="13" t="s">
        <v>94</v>
      </c>
      <c r="D1777" s="13" t="s">
        <v>3340</v>
      </c>
      <c r="E1777" s="13"/>
      <c r="F1777" s="13" t="s">
        <v>3341</v>
      </c>
      <c r="G1777" s="13" t="s">
        <v>13</v>
      </c>
      <c r="H1777" s="22" t="str">
        <f>IFERROR(VLOOKUP(Table2[[#This Row], [Ticket]],Okey!A:B,2,0),"")</f>
        <v/>
      </c>
      <c r="I1777" s="13" t="s">
        <v>276</v>
      </c>
      <c r="J1777" s="22" t="e">
        <f>VLOOKUP(Table2[[#This Row], [Author]],People!A:B,2,0)</f>
        <v>#VALUE!</v>
      </c>
      <c r="K1777" s="13" t="s">
        <v>3297</v>
      </c>
      <c r="L1777" s="13"/>
      <c r="M1777" s="23" t="s">
        <v>277</v>
      </c>
    </row>
    <row r="1778" spans="1:13" ht="19.5" customHeight="1">
      <c r="A1778" s="18">
        <f t="shared" si="27"/>
        <v>1777</v>
      </c>
      <c r="B1778" s="11" t="s">
        <v>3295</v>
      </c>
      <c r="C1778" s="11" t="s">
        <v>94</v>
      </c>
      <c r="D1778" s="11" t="s">
        <v>3342</v>
      </c>
      <c r="E1778" s="11"/>
      <c r="F1778" s="11" t="s">
        <v>3341</v>
      </c>
      <c r="G1778" s="11" t="s">
        <v>13</v>
      </c>
      <c r="H1778" s="19" t="str">
        <f>IFERROR(VLOOKUP(Table2[[#This Row], [Ticket]],Okey!A:B,2,0),"")</f>
        <v/>
      </c>
      <c r="I1778" s="11" t="s">
        <v>276</v>
      </c>
      <c r="J1778" s="19" t="e">
        <f>VLOOKUP(Table2[[#This Row], [Author]],People!A:B,2,0)</f>
        <v>#VALUE!</v>
      </c>
      <c r="K1778" s="11" t="s">
        <v>3297</v>
      </c>
      <c r="L1778" s="11"/>
      <c r="M1778" s="20" t="s">
        <v>277</v>
      </c>
    </row>
    <row r="1779" spans="1:13" ht="19.5" customHeight="1">
      <c r="A1779" s="21">
        <f t="shared" si="27"/>
        <v>1778</v>
      </c>
      <c r="B1779" s="13" t="s">
        <v>3295</v>
      </c>
      <c r="C1779" s="13" t="s">
        <v>94</v>
      </c>
      <c r="D1779" s="13" t="s">
        <v>3343</v>
      </c>
      <c r="E1779" s="13"/>
      <c r="F1779" s="13" t="s">
        <v>3341</v>
      </c>
      <c r="G1779" s="13" t="s">
        <v>13</v>
      </c>
      <c r="H1779" s="22" t="str">
        <f>IFERROR(VLOOKUP(Table2[[#This Row], [Ticket]],Okey!A:B,2,0),"")</f>
        <v/>
      </c>
      <c r="I1779" s="13" t="s">
        <v>276</v>
      </c>
      <c r="J1779" s="22" t="e">
        <f>VLOOKUP(Table2[[#This Row], [Author]],People!A:B,2,0)</f>
        <v>#VALUE!</v>
      </c>
      <c r="K1779" s="13" t="s">
        <v>3297</v>
      </c>
      <c r="L1779" s="13"/>
      <c r="M1779" s="23" t="s">
        <v>277</v>
      </c>
    </row>
    <row r="1780" spans="1:13" ht="19.5" customHeight="1">
      <c r="A1780" s="18">
        <f t="shared" si="27"/>
        <v>1779</v>
      </c>
      <c r="B1780" s="11" t="s">
        <v>3295</v>
      </c>
      <c r="C1780" s="11" t="s">
        <v>94</v>
      </c>
      <c r="D1780" s="11" t="s">
        <v>3344</v>
      </c>
      <c r="E1780" s="11"/>
      <c r="F1780" s="11" t="s">
        <v>3341</v>
      </c>
      <c r="G1780" s="11" t="s">
        <v>13</v>
      </c>
      <c r="H1780" s="19" t="str">
        <f>IFERROR(VLOOKUP(Table2[[#This Row], [Ticket]],Okey!A:B,2,0),"")</f>
        <v/>
      </c>
      <c r="I1780" s="11" t="s">
        <v>276</v>
      </c>
      <c r="J1780" s="19" t="e">
        <f>VLOOKUP(Table2[[#This Row], [Author]],People!A:B,2,0)</f>
        <v>#VALUE!</v>
      </c>
      <c r="K1780" s="11" t="s">
        <v>3297</v>
      </c>
      <c r="L1780" s="11"/>
      <c r="M1780" s="20" t="s">
        <v>277</v>
      </c>
    </row>
    <row r="1781" spans="1:13" ht="19.5" customHeight="1">
      <c r="A1781" s="21">
        <f t="shared" si="27"/>
        <v>1780</v>
      </c>
      <c r="B1781" s="13" t="s">
        <v>3295</v>
      </c>
      <c r="C1781" s="13" t="s">
        <v>94</v>
      </c>
      <c r="D1781" s="13" t="s">
        <v>3345</v>
      </c>
      <c r="E1781" s="13"/>
      <c r="F1781" s="13" t="s">
        <v>3341</v>
      </c>
      <c r="G1781" s="13" t="s">
        <v>13</v>
      </c>
      <c r="H1781" s="22" t="str">
        <f>IFERROR(VLOOKUP(Table2[[#This Row], [Ticket]],Okey!A:B,2,0),"")</f>
        <v/>
      </c>
      <c r="I1781" s="13" t="s">
        <v>276</v>
      </c>
      <c r="J1781" s="22" t="e">
        <f>VLOOKUP(Table2[[#This Row], [Author]],People!A:B,2,0)</f>
        <v>#VALUE!</v>
      </c>
      <c r="K1781" s="13" t="s">
        <v>3297</v>
      </c>
      <c r="L1781" s="13"/>
      <c r="M1781" s="23" t="s">
        <v>277</v>
      </c>
    </row>
    <row r="1782" spans="1:13" ht="19.5" customHeight="1">
      <c r="A1782" s="18">
        <f t="shared" si="27"/>
        <v>1781</v>
      </c>
      <c r="B1782" s="11" t="s">
        <v>3295</v>
      </c>
      <c r="C1782" s="11" t="s">
        <v>94</v>
      </c>
      <c r="D1782" s="11" t="s">
        <v>3346</v>
      </c>
      <c r="E1782" s="11"/>
      <c r="F1782" s="11" t="s">
        <v>3341</v>
      </c>
      <c r="G1782" s="11" t="s">
        <v>13</v>
      </c>
      <c r="H1782" s="19" t="str">
        <f>IFERROR(VLOOKUP(Table2[[#This Row], [Ticket]],Okey!A:B,2,0),"")</f>
        <v/>
      </c>
      <c r="I1782" s="11" t="s">
        <v>276</v>
      </c>
      <c r="J1782" s="19" t="e">
        <f>VLOOKUP(Table2[[#This Row], [Author]],People!A:B,2,0)</f>
        <v>#VALUE!</v>
      </c>
      <c r="K1782" s="11" t="s">
        <v>3297</v>
      </c>
      <c r="L1782" s="11"/>
      <c r="M1782" s="20" t="s">
        <v>277</v>
      </c>
    </row>
    <row r="1783" spans="1:13" ht="19.5" customHeight="1">
      <c r="A1783" s="21">
        <f t="shared" si="27"/>
        <v>1782</v>
      </c>
      <c r="B1783" s="13" t="s">
        <v>3295</v>
      </c>
      <c r="C1783" s="13" t="s">
        <v>94</v>
      </c>
      <c r="D1783" s="13" t="s">
        <v>3347</v>
      </c>
      <c r="E1783" s="13"/>
      <c r="F1783" s="13" t="s">
        <v>3341</v>
      </c>
      <c r="G1783" s="13" t="s">
        <v>13</v>
      </c>
      <c r="H1783" s="22" t="str">
        <f>IFERROR(VLOOKUP(Table2[[#This Row], [Ticket]],Okey!A:B,2,0),"")</f>
        <v/>
      </c>
      <c r="I1783" s="13" t="s">
        <v>276</v>
      </c>
      <c r="J1783" s="22" t="e">
        <f>VLOOKUP(Table2[[#This Row], [Author]],People!A:B,2,0)</f>
        <v>#VALUE!</v>
      </c>
      <c r="K1783" s="13" t="s">
        <v>3297</v>
      </c>
      <c r="L1783" s="13"/>
      <c r="M1783" s="23" t="s">
        <v>277</v>
      </c>
    </row>
    <row r="1784" spans="1:13" ht="19.5" customHeight="1">
      <c r="A1784" s="18">
        <f t="shared" si="27"/>
        <v>1783</v>
      </c>
      <c r="B1784" s="11" t="s">
        <v>3295</v>
      </c>
      <c r="C1784" s="11" t="s">
        <v>94</v>
      </c>
      <c r="D1784" s="11" t="s">
        <v>3348</v>
      </c>
      <c r="E1784" s="11"/>
      <c r="F1784" s="11" t="s">
        <v>3341</v>
      </c>
      <c r="G1784" s="11" t="s">
        <v>13</v>
      </c>
      <c r="H1784" s="19" t="str">
        <f>IFERROR(VLOOKUP(Table2[[#This Row], [Ticket]],Okey!A:B,2,0),"")</f>
        <v/>
      </c>
      <c r="I1784" s="11" t="s">
        <v>276</v>
      </c>
      <c r="J1784" s="19" t="e">
        <f>VLOOKUP(Table2[[#This Row], [Author]],People!A:B,2,0)</f>
        <v>#VALUE!</v>
      </c>
      <c r="K1784" s="11" t="s">
        <v>3297</v>
      </c>
      <c r="L1784" s="11"/>
      <c r="M1784" s="20" t="s">
        <v>277</v>
      </c>
    </row>
    <row r="1785" spans="1:13" ht="19.5" customHeight="1">
      <c r="A1785" s="21">
        <f t="shared" si="27"/>
        <v>1784</v>
      </c>
      <c r="B1785" s="13" t="s">
        <v>3295</v>
      </c>
      <c r="C1785" s="13" t="s">
        <v>94</v>
      </c>
      <c r="D1785" s="13" t="s">
        <v>3349</v>
      </c>
      <c r="E1785" s="13"/>
      <c r="F1785" s="13" t="s">
        <v>3341</v>
      </c>
      <c r="G1785" s="13" t="s">
        <v>13</v>
      </c>
      <c r="H1785" s="22" t="str">
        <f>IFERROR(VLOOKUP(Table2[[#This Row], [Ticket]],Okey!A:B,2,0),"")</f>
        <v/>
      </c>
      <c r="I1785" s="13" t="s">
        <v>276</v>
      </c>
      <c r="J1785" s="22" t="e">
        <f>VLOOKUP(Table2[[#This Row], [Author]],People!A:B,2,0)</f>
        <v>#VALUE!</v>
      </c>
      <c r="K1785" s="13" t="s">
        <v>3297</v>
      </c>
      <c r="L1785" s="13"/>
      <c r="M1785" s="23" t="s">
        <v>277</v>
      </c>
    </row>
    <row r="1786" spans="1:13" ht="19.5" customHeight="1">
      <c r="A1786" s="18">
        <f t="shared" si="27"/>
        <v>1785</v>
      </c>
      <c r="B1786" s="11" t="s">
        <v>3295</v>
      </c>
      <c r="C1786" s="11" t="s">
        <v>94</v>
      </c>
      <c r="D1786" s="11" t="s">
        <v>3350</v>
      </c>
      <c r="E1786" s="11"/>
      <c r="F1786" s="11" t="s">
        <v>3341</v>
      </c>
      <c r="G1786" s="11" t="s">
        <v>13</v>
      </c>
      <c r="H1786" s="19" t="str">
        <f>IFERROR(VLOOKUP(Table2[[#This Row], [Ticket]],Okey!A:B,2,0),"")</f>
        <v/>
      </c>
      <c r="I1786" s="11" t="s">
        <v>276</v>
      </c>
      <c r="J1786" s="19" t="e">
        <f>VLOOKUP(Table2[[#This Row], [Author]],People!A:B,2,0)</f>
        <v>#VALUE!</v>
      </c>
      <c r="K1786" s="11" t="s">
        <v>3297</v>
      </c>
      <c r="L1786" s="11"/>
      <c r="M1786" s="20" t="s">
        <v>277</v>
      </c>
    </row>
    <row r="1787" spans="1:13" ht="19.5" customHeight="1">
      <c r="A1787" s="21">
        <f t="shared" si="27"/>
        <v>1786</v>
      </c>
      <c r="B1787" s="13" t="s">
        <v>3295</v>
      </c>
      <c r="C1787" s="13" t="s">
        <v>94</v>
      </c>
      <c r="D1787" s="13" t="s">
        <v>3351</v>
      </c>
      <c r="E1787" s="13"/>
      <c r="F1787" s="13" t="s">
        <v>3341</v>
      </c>
      <c r="G1787" s="13" t="s">
        <v>13</v>
      </c>
      <c r="H1787" s="22" t="str">
        <f>IFERROR(VLOOKUP(Table2[[#This Row], [Ticket]],Okey!A:B,2,0),"")</f>
        <v/>
      </c>
      <c r="I1787" s="13" t="s">
        <v>276</v>
      </c>
      <c r="J1787" s="22" t="e">
        <f>VLOOKUP(Table2[[#This Row], [Author]],People!A:B,2,0)</f>
        <v>#VALUE!</v>
      </c>
      <c r="K1787" s="13" t="s">
        <v>3297</v>
      </c>
      <c r="L1787" s="13"/>
      <c r="M1787" s="23" t="s">
        <v>277</v>
      </c>
    </row>
    <row r="1788" spans="1:13" ht="19.5" customHeight="1">
      <c r="A1788" s="18">
        <f t="shared" si="27"/>
        <v>1787</v>
      </c>
      <c r="B1788" s="11" t="s">
        <v>3295</v>
      </c>
      <c r="C1788" s="11" t="s">
        <v>94</v>
      </c>
      <c r="D1788" s="11" t="s">
        <v>3352</v>
      </c>
      <c r="E1788" s="11"/>
      <c r="F1788" s="11" t="s">
        <v>3341</v>
      </c>
      <c r="G1788" s="11" t="s">
        <v>13</v>
      </c>
      <c r="H1788" s="19" t="str">
        <f>IFERROR(VLOOKUP(Table2[[#This Row], [Ticket]],Okey!A:B,2,0),"")</f>
        <v/>
      </c>
      <c r="I1788" s="11" t="s">
        <v>276</v>
      </c>
      <c r="J1788" s="19" t="e">
        <f>VLOOKUP(Table2[[#This Row], [Author]],People!A:B,2,0)</f>
        <v>#VALUE!</v>
      </c>
      <c r="K1788" s="11" t="s">
        <v>3297</v>
      </c>
      <c r="L1788" s="11"/>
      <c r="M1788" s="20" t="s">
        <v>277</v>
      </c>
    </row>
    <row r="1789" spans="1:13" ht="19.5" customHeight="1">
      <c r="A1789" s="21">
        <f t="shared" si="27"/>
        <v>1788</v>
      </c>
      <c r="B1789" s="13" t="s">
        <v>3295</v>
      </c>
      <c r="C1789" s="13" t="s">
        <v>94</v>
      </c>
      <c r="D1789" s="13" t="s">
        <v>3353</v>
      </c>
      <c r="E1789" s="13"/>
      <c r="F1789" s="13" t="s">
        <v>3341</v>
      </c>
      <c r="G1789" s="13" t="s">
        <v>13</v>
      </c>
      <c r="H1789" s="22" t="str">
        <f>IFERROR(VLOOKUP(Table2[[#This Row], [Ticket]],Okey!A:B,2,0),"")</f>
        <v/>
      </c>
      <c r="I1789" s="13" t="s">
        <v>276</v>
      </c>
      <c r="J1789" s="22" t="e">
        <f>VLOOKUP(Table2[[#This Row], [Author]],People!A:B,2,0)</f>
        <v>#VALUE!</v>
      </c>
      <c r="K1789" s="13" t="s">
        <v>3297</v>
      </c>
      <c r="L1789" s="13"/>
      <c r="M1789" s="23" t="s">
        <v>277</v>
      </c>
    </row>
    <row r="1790" spans="1:13" ht="19.5" customHeight="1">
      <c r="A1790" s="18">
        <f t="shared" si="27"/>
        <v>1789</v>
      </c>
      <c r="B1790" s="11" t="s">
        <v>3295</v>
      </c>
      <c r="C1790" s="11" t="s">
        <v>94</v>
      </c>
      <c r="D1790" s="11" t="s">
        <v>3354</v>
      </c>
      <c r="E1790" s="11"/>
      <c r="F1790" s="11" t="s">
        <v>3341</v>
      </c>
      <c r="G1790" s="11" t="s">
        <v>13</v>
      </c>
      <c r="H1790" s="19" t="str">
        <f>IFERROR(VLOOKUP(Table2[[#This Row], [Ticket]],Okey!A:B,2,0),"")</f>
        <v/>
      </c>
      <c r="I1790" s="11" t="s">
        <v>276</v>
      </c>
      <c r="J1790" s="19" t="e">
        <f>VLOOKUP(Table2[[#This Row], [Author]],People!A:B,2,0)</f>
        <v>#VALUE!</v>
      </c>
      <c r="K1790" s="11" t="s">
        <v>3297</v>
      </c>
      <c r="L1790" s="11"/>
      <c r="M1790" s="20" t="s">
        <v>277</v>
      </c>
    </row>
    <row r="1791" spans="1:13" ht="19.5" customHeight="1">
      <c r="A1791" s="21">
        <f t="shared" si="27"/>
        <v>1790</v>
      </c>
      <c r="B1791" s="13" t="s">
        <v>3295</v>
      </c>
      <c r="C1791" s="13" t="s">
        <v>94</v>
      </c>
      <c r="D1791" s="13" t="s">
        <v>3355</v>
      </c>
      <c r="E1791" s="13"/>
      <c r="F1791" s="13" t="s">
        <v>3341</v>
      </c>
      <c r="G1791" s="13" t="s">
        <v>13</v>
      </c>
      <c r="H1791" s="22" t="str">
        <f>IFERROR(VLOOKUP(Table2[[#This Row], [Ticket]],Okey!A:B,2,0),"")</f>
        <v/>
      </c>
      <c r="I1791" s="13" t="s">
        <v>276</v>
      </c>
      <c r="J1791" s="22" t="e">
        <f>VLOOKUP(Table2[[#This Row], [Author]],People!A:B,2,0)</f>
        <v>#VALUE!</v>
      </c>
      <c r="K1791" s="13" t="s">
        <v>3297</v>
      </c>
      <c r="L1791" s="13"/>
      <c r="M1791" s="23" t="s">
        <v>277</v>
      </c>
    </row>
    <row r="1792" spans="1:13" ht="19.5" customHeight="1">
      <c r="A1792" s="18">
        <f t="shared" si="27"/>
        <v>1791</v>
      </c>
      <c r="B1792" s="11" t="s">
        <v>3295</v>
      </c>
      <c r="C1792" s="11" t="s">
        <v>94</v>
      </c>
      <c r="D1792" s="11" t="s">
        <v>3356</v>
      </c>
      <c r="E1792" s="11"/>
      <c r="F1792" s="11" t="s">
        <v>3341</v>
      </c>
      <c r="G1792" s="11" t="s">
        <v>13</v>
      </c>
      <c r="H1792" s="19" t="str">
        <f>IFERROR(VLOOKUP(Table2[[#This Row], [Ticket]],Okey!A:B,2,0),"")</f>
        <v/>
      </c>
      <c r="I1792" s="11" t="s">
        <v>276</v>
      </c>
      <c r="J1792" s="19" t="e">
        <f>VLOOKUP(Table2[[#This Row], [Author]],People!A:B,2,0)</f>
        <v>#VALUE!</v>
      </c>
      <c r="K1792" s="11" t="s">
        <v>3297</v>
      </c>
      <c r="L1792" s="11"/>
      <c r="M1792" s="20" t="s">
        <v>277</v>
      </c>
    </row>
    <row r="1793" spans="1:13" ht="19.5" customHeight="1">
      <c r="A1793" s="21">
        <f t="shared" si="27"/>
        <v>1792</v>
      </c>
      <c r="B1793" s="13" t="s">
        <v>3295</v>
      </c>
      <c r="C1793" s="13" t="s">
        <v>94</v>
      </c>
      <c r="D1793" s="13" t="s">
        <v>3357</v>
      </c>
      <c r="E1793" s="13"/>
      <c r="F1793" s="13" t="s">
        <v>3341</v>
      </c>
      <c r="G1793" s="13" t="s">
        <v>13</v>
      </c>
      <c r="H1793" s="22" t="str">
        <f>IFERROR(VLOOKUP(Table2[[#This Row], [Ticket]],Okey!A:B,2,0),"")</f>
        <v/>
      </c>
      <c r="I1793" s="13" t="s">
        <v>276</v>
      </c>
      <c r="J1793" s="22" t="e">
        <f>VLOOKUP(Table2[[#This Row], [Author]],People!A:B,2,0)</f>
        <v>#VALUE!</v>
      </c>
      <c r="K1793" s="13" t="s">
        <v>3297</v>
      </c>
      <c r="L1793" s="13"/>
      <c r="M1793" s="23" t="s">
        <v>277</v>
      </c>
    </row>
    <row r="1794" spans="1:13" ht="19.5" customHeight="1">
      <c r="A1794" s="18">
        <f t="shared" si="27"/>
        <v>1793</v>
      </c>
      <c r="B1794" s="11" t="s">
        <v>3295</v>
      </c>
      <c r="C1794" s="11" t="s">
        <v>94</v>
      </c>
      <c r="D1794" s="11" t="s">
        <v>3358</v>
      </c>
      <c r="E1794" s="11"/>
      <c r="F1794" s="11" t="s">
        <v>3341</v>
      </c>
      <c r="G1794" s="11" t="s">
        <v>13</v>
      </c>
      <c r="H1794" s="19" t="str">
        <f>IFERROR(VLOOKUP(Table2[[#This Row], [Ticket]],Okey!A:B,2,0),"")</f>
        <v/>
      </c>
      <c r="I1794" s="11" t="s">
        <v>276</v>
      </c>
      <c r="J1794" s="19" t="e">
        <f>VLOOKUP(Table2[[#This Row], [Author]],People!A:B,2,0)</f>
        <v>#VALUE!</v>
      </c>
      <c r="K1794" s="11" t="s">
        <v>3297</v>
      </c>
      <c r="L1794" s="11"/>
      <c r="M1794" s="20" t="s">
        <v>277</v>
      </c>
    </row>
    <row r="1795" spans="1:13" ht="19.5" customHeight="1">
      <c r="A1795" s="21">
        <f t="shared" ref="A1795:A1858" si="28">1+A1794</f>
        <v>1794</v>
      </c>
      <c r="B1795" s="13" t="s">
        <v>3295</v>
      </c>
      <c r="C1795" s="13" t="s">
        <v>94</v>
      </c>
      <c r="D1795" s="13" t="s">
        <v>3359</v>
      </c>
      <c r="E1795" s="13"/>
      <c r="F1795" s="13" t="s">
        <v>3341</v>
      </c>
      <c r="G1795" s="13" t="s">
        <v>13</v>
      </c>
      <c r="H1795" s="22" t="str">
        <f>IFERROR(VLOOKUP(Table2[[#This Row], [Ticket]],Okey!A:B,2,0),"")</f>
        <v/>
      </c>
      <c r="I1795" s="13" t="s">
        <v>276</v>
      </c>
      <c r="J1795" s="22" t="e">
        <f>VLOOKUP(Table2[[#This Row], [Author]],People!A:B,2,0)</f>
        <v>#VALUE!</v>
      </c>
      <c r="K1795" s="13" t="s">
        <v>3297</v>
      </c>
      <c r="L1795" s="13"/>
      <c r="M1795" s="23" t="s">
        <v>277</v>
      </c>
    </row>
    <row r="1796" spans="1:13" ht="19.5" customHeight="1">
      <c r="A1796" s="18">
        <f t="shared" si="28"/>
        <v>1795</v>
      </c>
      <c r="B1796" s="11" t="s">
        <v>3295</v>
      </c>
      <c r="C1796" s="11" t="s">
        <v>94</v>
      </c>
      <c r="D1796" s="11" t="s">
        <v>3360</v>
      </c>
      <c r="E1796" s="11"/>
      <c r="F1796" s="11" t="s">
        <v>3341</v>
      </c>
      <c r="G1796" s="11" t="s">
        <v>13</v>
      </c>
      <c r="H1796" s="19" t="str">
        <f>IFERROR(VLOOKUP(Table2[[#This Row], [Ticket]],Okey!A:B,2,0),"")</f>
        <v/>
      </c>
      <c r="I1796" s="11" t="s">
        <v>276</v>
      </c>
      <c r="J1796" s="19" t="e">
        <f>VLOOKUP(Table2[[#This Row], [Author]],People!A:B,2,0)</f>
        <v>#VALUE!</v>
      </c>
      <c r="K1796" s="11" t="s">
        <v>3297</v>
      </c>
      <c r="L1796" s="11"/>
      <c r="M1796" s="20" t="s">
        <v>277</v>
      </c>
    </row>
    <row r="1797" spans="1:13" ht="19.5" customHeight="1">
      <c r="A1797" s="21">
        <f t="shared" si="28"/>
        <v>1796</v>
      </c>
      <c r="B1797" s="13" t="s">
        <v>3295</v>
      </c>
      <c r="C1797" s="13" t="s">
        <v>94</v>
      </c>
      <c r="D1797" s="13" t="s">
        <v>3361</v>
      </c>
      <c r="E1797" s="13"/>
      <c r="F1797" s="13" t="s">
        <v>3341</v>
      </c>
      <c r="G1797" s="13" t="s">
        <v>13</v>
      </c>
      <c r="H1797" s="22" t="str">
        <f>IFERROR(VLOOKUP(Table2[[#This Row], [Ticket]],Okey!A:B,2,0),"")</f>
        <v/>
      </c>
      <c r="I1797" s="13" t="s">
        <v>276</v>
      </c>
      <c r="J1797" s="22" t="e">
        <f>VLOOKUP(Table2[[#This Row], [Author]],People!A:B,2,0)</f>
        <v>#VALUE!</v>
      </c>
      <c r="K1797" s="13" t="s">
        <v>3297</v>
      </c>
      <c r="L1797" s="13"/>
      <c r="M1797" s="23" t="s">
        <v>277</v>
      </c>
    </row>
    <row r="1798" spans="1:13" ht="19.5" customHeight="1">
      <c r="A1798" s="18">
        <f t="shared" si="28"/>
        <v>1797</v>
      </c>
      <c r="B1798" s="11" t="s">
        <v>3295</v>
      </c>
      <c r="C1798" s="11" t="s">
        <v>94</v>
      </c>
      <c r="D1798" s="11" t="s">
        <v>3362</v>
      </c>
      <c r="E1798" s="11"/>
      <c r="F1798" s="11" t="s">
        <v>3341</v>
      </c>
      <c r="G1798" s="11" t="s">
        <v>13</v>
      </c>
      <c r="H1798" s="19" t="str">
        <f>IFERROR(VLOOKUP(Table2[[#This Row], [Ticket]],Okey!A:B,2,0),"")</f>
        <v/>
      </c>
      <c r="I1798" s="11" t="s">
        <v>276</v>
      </c>
      <c r="J1798" s="19" t="e">
        <f>VLOOKUP(Table2[[#This Row], [Author]],People!A:B,2,0)</f>
        <v>#VALUE!</v>
      </c>
      <c r="K1798" s="11" t="s">
        <v>3297</v>
      </c>
      <c r="L1798" s="11"/>
      <c r="M1798" s="20" t="s">
        <v>277</v>
      </c>
    </row>
    <row r="1799" spans="1:13" ht="19.5" customHeight="1">
      <c r="A1799" s="21">
        <f t="shared" si="28"/>
        <v>1798</v>
      </c>
      <c r="B1799" s="13" t="s">
        <v>3295</v>
      </c>
      <c r="C1799" s="13" t="s">
        <v>94</v>
      </c>
      <c r="D1799" s="13" t="s">
        <v>3363</v>
      </c>
      <c r="E1799" s="13"/>
      <c r="F1799" s="13" t="s">
        <v>3341</v>
      </c>
      <c r="G1799" s="13" t="s">
        <v>13</v>
      </c>
      <c r="H1799" s="22" t="str">
        <f>IFERROR(VLOOKUP(Table2[[#This Row], [Ticket]],Okey!A:B,2,0),"")</f>
        <v/>
      </c>
      <c r="I1799" s="13" t="s">
        <v>276</v>
      </c>
      <c r="J1799" s="22" t="e">
        <f>VLOOKUP(Table2[[#This Row], [Author]],People!A:B,2,0)</f>
        <v>#VALUE!</v>
      </c>
      <c r="K1799" s="13" t="s">
        <v>3297</v>
      </c>
      <c r="L1799" s="13"/>
      <c r="M1799" s="23" t="s">
        <v>277</v>
      </c>
    </row>
    <row r="1800" spans="1:13" ht="19.5" customHeight="1">
      <c r="A1800" s="18">
        <f t="shared" si="28"/>
        <v>1799</v>
      </c>
      <c r="B1800" s="11" t="s">
        <v>3295</v>
      </c>
      <c r="C1800" s="11" t="s">
        <v>94</v>
      </c>
      <c r="D1800" s="11" t="s">
        <v>3364</v>
      </c>
      <c r="E1800" s="11"/>
      <c r="F1800" s="11" t="s">
        <v>3341</v>
      </c>
      <c r="G1800" s="11" t="s">
        <v>13</v>
      </c>
      <c r="H1800" s="19" t="str">
        <f>IFERROR(VLOOKUP(Table2[[#This Row], [Ticket]],Okey!A:B,2,0),"")</f>
        <v/>
      </c>
      <c r="I1800" s="11" t="s">
        <v>276</v>
      </c>
      <c r="J1800" s="19" t="e">
        <f>VLOOKUP(Table2[[#This Row], [Author]],People!A:B,2,0)</f>
        <v>#VALUE!</v>
      </c>
      <c r="K1800" s="11" t="s">
        <v>3297</v>
      </c>
      <c r="L1800" s="11"/>
      <c r="M1800" s="20" t="s">
        <v>277</v>
      </c>
    </row>
    <row r="1801" spans="1:13" ht="19.5" customHeight="1">
      <c r="A1801" s="21">
        <f t="shared" si="28"/>
        <v>1800</v>
      </c>
      <c r="B1801" s="13" t="s">
        <v>3295</v>
      </c>
      <c r="C1801" s="13" t="s">
        <v>94</v>
      </c>
      <c r="D1801" s="13" t="s">
        <v>3365</v>
      </c>
      <c r="E1801" s="13"/>
      <c r="F1801" s="13" t="s">
        <v>3341</v>
      </c>
      <c r="G1801" s="13" t="s">
        <v>13</v>
      </c>
      <c r="H1801" s="22" t="str">
        <f>IFERROR(VLOOKUP(Table2[[#This Row], [Ticket]],Okey!A:B,2,0),"")</f>
        <v/>
      </c>
      <c r="I1801" s="13" t="s">
        <v>276</v>
      </c>
      <c r="J1801" s="22" t="e">
        <f>VLOOKUP(Table2[[#This Row], [Author]],People!A:B,2,0)</f>
        <v>#VALUE!</v>
      </c>
      <c r="K1801" s="13" t="s">
        <v>3297</v>
      </c>
      <c r="L1801" s="13"/>
      <c r="M1801" s="23" t="s">
        <v>277</v>
      </c>
    </row>
    <row r="1802" spans="1:13" ht="19.5" customHeight="1">
      <c r="A1802" s="18">
        <f t="shared" si="28"/>
        <v>1801</v>
      </c>
      <c r="B1802" s="11" t="s">
        <v>3295</v>
      </c>
      <c r="C1802" s="11" t="s">
        <v>94</v>
      </c>
      <c r="D1802" s="11" t="s">
        <v>3366</v>
      </c>
      <c r="E1802" s="11"/>
      <c r="F1802" s="11" t="s">
        <v>3341</v>
      </c>
      <c r="G1802" s="11" t="s">
        <v>13</v>
      </c>
      <c r="H1802" s="19" t="str">
        <f>IFERROR(VLOOKUP(Table2[[#This Row], [Ticket]],Okey!A:B,2,0),"")</f>
        <v/>
      </c>
      <c r="I1802" s="11" t="s">
        <v>276</v>
      </c>
      <c r="J1802" s="19" t="e">
        <f>VLOOKUP(Table2[[#This Row], [Author]],People!A:B,2,0)</f>
        <v>#VALUE!</v>
      </c>
      <c r="K1802" s="11" t="s">
        <v>3297</v>
      </c>
      <c r="L1802" s="11"/>
      <c r="M1802" s="20" t="s">
        <v>277</v>
      </c>
    </row>
    <row r="1803" spans="1:13" ht="19.5" customHeight="1">
      <c r="A1803" s="21">
        <f t="shared" si="28"/>
        <v>1802</v>
      </c>
      <c r="B1803" s="13" t="s">
        <v>3295</v>
      </c>
      <c r="C1803" s="13" t="s">
        <v>94</v>
      </c>
      <c r="D1803" s="13" t="s">
        <v>3367</v>
      </c>
      <c r="E1803" s="13"/>
      <c r="F1803" s="13" t="s">
        <v>3341</v>
      </c>
      <c r="G1803" s="13" t="s">
        <v>13</v>
      </c>
      <c r="H1803" s="22" t="str">
        <f>IFERROR(VLOOKUP(Table2[[#This Row], [Ticket]],Okey!A:B,2,0),"")</f>
        <v/>
      </c>
      <c r="I1803" s="13" t="s">
        <v>276</v>
      </c>
      <c r="J1803" s="22" t="e">
        <f>VLOOKUP(Table2[[#This Row], [Author]],People!A:B,2,0)</f>
        <v>#VALUE!</v>
      </c>
      <c r="K1803" s="13" t="s">
        <v>3297</v>
      </c>
      <c r="L1803" s="13"/>
      <c r="M1803" s="23" t="s">
        <v>277</v>
      </c>
    </row>
    <row r="1804" spans="1:13" ht="19.5" customHeight="1">
      <c r="A1804" s="18">
        <f t="shared" si="28"/>
        <v>1803</v>
      </c>
      <c r="B1804" s="11" t="s">
        <v>3295</v>
      </c>
      <c r="C1804" s="11" t="s">
        <v>94</v>
      </c>
      <c r="D1804" s="11" t="s">
        <v>3368</v>
      </c>
      <c r="E1804" s="11"/>
      <c r="F1804" s="11" t="s">
        <v>3341</v>
      </c>
      <c r="G1804" s="11" t="s">
        <v>13</v>
      </c>
      <c r="H1804" s="19" t="str">
        <f>IFERROR(VLOOKUP(Table2[[#This Row], [Ticket]],Okey!A:B,2,0),"")</f>
        <v/>
      </c>
      <c r="I1804" s="11" t="s">
        <v>276</v>
      </c>
      <c r="J1804" s="19" t="e">
        <f>VLOOKUP(Table2[[#This Row], [Author]],People!A:B,2,0)</f>
        <v>#VALUE!</v>
      </c>
      <c r="K1804" s="11" t="s">
        <v>3297</v>
      </c>
      <c r="L1804" s="11"/>
      <c r="M1804" s="20" t="s">
        <v>277</v>
      </c>
    </row>
    <row r="1805" spans="1:13" ht="19.5" customHeight="1">
      <c r="A1805" s="21">
        <f t="shared" si="28"/>
        <v>1804</v>
      </c>
      <c r="B1805" s="13" t="s">
        <v>3295</v>
      </c>
      <c r="C1805" s="13" t="s">
        <v>94</v>
      </c>
      <c r="D1805" s="13" t="s">
        <v>1426</v>
      </c>
      <c r="E1805" s="13"/>
      <c r="F1805" s="13" t="s">
        <v>3341</v>
      </c>
      <c r="G1805" s="13" t="s">
        <v>13</v>
      </c>
      <c r="H1805" s="22" t="str">
        <f>IFERROR(VLOOKUP(Table2[[#This Row], [Ticket]],Okey!A:B,2,0),"")</f>
        <v/>
      </c>
      <c r="I1805" s="13" t="s">
        <v>276</v>
      </c>
      <c r="J1805" s="22" t="e">
        <f>VLOOKUP(Table2[[#This Row], [Author]],People!A:B,2,0)</f>
        <v>#VALUE!</v>
      </c>
      <c r="K1805" s="13" t="s">
        <v>3297</v>
      </c>
      <c r="L1805" s="13"/>
      <c r="M1805" s="23" t="s">
        <v>277</v>
      </c>
    </row>
    <row r="1806" spans="1:13" ht="19.5" customHeight="1">
      <c r="A1806" s="18">
        <f t="shared" si="28"/>
        <v>1805</v>
      </c>
      <c r="B1806" s="11" t="s">
        <v>3295</v>
      </c>
      <c r="C1806" s="11" t="s">
        <v>94</v>
      </c>
      <c r="D1806" s="11" t="s">
        <v>1375</v>
      </c>
      <c r="E1806" s="11"/>
      <c r="F1806" s="11" t="s">
        <v>3341</v>
      </c>
      <c r="G1806" s="11" t="s">
        <v>13</v>
      </c>
      <c r="H1806" s="19" t="str">
        <f>IFERROR(VLOOKUP(Table2[[#This Row], [Ticket]],Okey!A:B,2,0),"")</f>
        <v/>
      </c>
      <c r="I1806" s="11" t="s">
        <v>276</v>
      </c>
      <c r="J1806" s="19" t="e">
        <f>VLOOKUP(Table2[[#This Row], [Author]],People!A:B,2,0)</f>
        <v>#VALUE!</v>
      </c>
      <c r="K1806" s="11" t="s">
        <v>3297</v>
      </c>
      <c r="L1806" s="11"/>
      <c r="M1806" s="20" t="s">
        <v>277</v>
      </c>
    </row>
    <row r="1807" spans="1:13" ht="19.5" customHeight="1">
      <c r="A1807" s="21">
        <f t="shared" si="28"/>
        <v>1806</v>
      </c>
      <c r="B1807" s="13" t="s">
        <v>3295</v>
      </c>
      <c r="C1807" s="13" t="s">
        <v>94</v>
      </c>
      <c r="D1807" s="13" t="s">
        <v>3369</v>
      </c>
      <c r="E1807" s="13"/>
      <c r="F1807" s="13" t="s">
        <v>1277</v>
      </c>
      <c r="G1807" s="13" t="s">
        <v>13</v>
      </c>
      <c r="H1807" s="22" t="str">
        <f>IFERROR(VLOOKUP(Table2[[#This Row], [Ticket]],Okey!A:B,2,0),"")</f>
        <v/>
      </c>
      <c r="I1807" s="13" t="s">
        <v>276</v>
      </c>
      <c r="J1807" s="22" t="e">
        <f>VLOOKUP(Table2[[#This Row], [Author]],People!A:B,2,0)</f>
        <v>#VALUE!</v>
      </c>
      <c r="K1807" s="13" t="s">
        <v>3297</v>
      </c>
      <c r="L1807" s="13"/>
      <c r="M1807" s="23" t="s">
        <v>277</v>
      </c>
    </row>
    <row r="1808" spans="1:13" ht="19.5" customHeight="1">
      <c r="A1808" s="18">
        <f t="shared" si="28"/>
        <v>1807</v>
      </c>
      <c r="B1808" s="11" t="s">
        <v>3295</v>
      </c>
      <c r="C1808" s="11" t="s">
        <v>94</v>
      </c>
      <c r="D1808" s="11" t="s">
        <v>3370</v>
      </c>
      <c r="E1808" s="11"/>
      <c r="F1808" s="11" t="s">
        <v>3371</v>
      </c>
      <c r="G1808" s="11" t="s">
        <v>13</v>
      </c>
      <c r="H1808" s="19" t="str">
        <f>IFERROR(VLOOKUP(Table2[[#This Row], [Ticket]],Okey!A:B,2,0),"")</f>
        <v/>
      </c>
      <c r="I1808" s="11" t="s">
        <v>276</v>
      </c>
      <c r="J1808" s="19" t="e">
        <f>VLOOKUP(Table2[[#This Row], [Author]],People!A:B,2,0)</f>
        <v>#VALUE!</v>
      </c>
      <c r="K1808" s="11" t="s">
        <v>3297</v>
      </c>
      <c r="L1808" s="11"/>
      <c r="M1808" s="20" t="s">
        <v>277</v>
      </c>
    </row>
    <row r="1809" spans="1:13" ht="19.5" customHeight="1">
      <c r="A1809" s="21">
        <f t="shared" si="28"/>
        <v>1808</v>
      </c>
      <c r="B1809" s="13" t="s">
        <v>3295</v>
      </c>
      <c r="C1809" s="13" t="s">
        <v>94</v>
      </c>
      <c r="D1809" s="13" t="s">
        <v>3372</v>
      </c>
      <c r="E1809" s="13"/>
      <c r="F1809" s="13" t="s">
        <v>3373</v>
      </c>
      <c r="G1809" s="13" t="s">
        <v>13</v>
      </c>
      <c r="H1809" s="22" t="str">
        <f>IFERROR(VLOOKUP(Table2[[#This Row], [Ticket]],Okey!A:B,2,0),"")</f>
        <v/>
      </c>
      <c r="I1809" s="13" t="s">
        <v>276</v>
      </c>
      <c r="J1809" s="22" t="e">
        <f>VLOOKUP(Table2[[#This Row], [Author]],People!A:B,2,0)</f>
        <v>#VALUE!</v>
      </c>
      <c r="K1809" s="13" t="s">
        <v>3297</v>
      </c>
      <c r="L1809" s="13"/>
      <c r="M1809" s="23" t="s">
        <v>277</v>
      </c>
    </row>
    <row r="1810" spans="1:13" ht="19.5" customHeight="1">
      <c r="A1810" s="18">
        <f t="shared" si="28"/>
        <v>1809</v>
      </c>
      <c r="B1810" s="11" t="s">
        <v>3295</v>
      </c>
      <c r="C1810" s="11" t="s">
        <v>94</v>
      </c>
      <c r="D1810" s="11" t="s">
        <v>3374</v>
      </c>
      <c r="E1810" s="11"/>
      <c r="F1810" s="11" t="s">
        <v>3373</v>
      </c>
      <c r="G1810" s="11" t="s">
        <v>13</v>
      </c>
      <c r="H1810" s="19" t="str">
        <f>IFERROR(VLOOKUP(Table2[[#This Row], [Ticket]],Okey!A:B,2,0),"")</f>
        <v/>
      </c>
      <c r="I1810" s="11" t="s">
        <v>276</v>
      </c>
      <c r="J1810" s="19" t="e">
        <f>VLOOKUP(Table2[[#This Row], [Author]],People!A:B,2,0)</f>
        <v>#VALUE!</v>
      </c>
      <c r="K1810" s="11" t="s">
        <v>3297</v>
      </c>
      <c r="L1810" s="11"/>
      <c r="M1810" s="20" t="s">
        <v>277</v>
      </c>
    </row>
    <row r="1811" spans="1:13" ht="19.5" customHeight="1">
      <c r="A1811" s="21">
        <f t="shared" si="28"/>
        <v>1810</v>
      </c>
      <c r="B1811" s="13" t="s">
        <v>3295</v>
      </c>
      <c r="C1811" s="13" t="s">
        <v>94</v>
      </c>
      <c r="D1811" s="13" t="s">
        <v>3375</v>
      </c>
      <c r="E1811" s="13"/>
      <c r="F1811" s="13" t="s">
        <v>3373</v>
      </c>
      <c r="G1811" s="13" t="s">
        <v>13</v>
      </c>
      <c r="H1811" s="22" t="str">
        <f>IFERROR(VLOOKUP(Table2[[#This Row], [Ticket]],Okey!A:B,2,0),"")</f>
        <v/>
      </c>
      <c r="I1811" s="13" t="s">
        <v>276</v>
      </c>
      <c r="J1811" s="22" t="e">
        <f>VLOOKUP(Table2[[#This Row], [Author]],People!A:B,2,0)</f>
        <v>#VALUE!</v>
      </c>
      <c r="K1811" s="13" t="s">
        <v>3297</v>
      </c>
      <c r="L1811" s="13"/>
      <c r="M1811" s="23" t="s">
        <v>277</v>
      </c>
    </row>
    <row r="1812" spans="1:13" ht="19.5" customHeight="1">
      <c r="A1812" s="18">
        <f t="shared" si="28"/>
        <v>1811</v>
      </c>
      <c r="B1812" s="11" t="s">
        <v>3295</v>
      </c>
      <c r="C1812" s="11" t="s">
        <v>94</v>
      </c>
      <c r="D1812" s="11" t="s">
        <v>3376</v>
      </c>
      <c r="E1812" s="11"/>
      <c r="F1812" s="11" t="s">
        <v>3373</v>
      </c>
      <c r="G1812" s="11" t="s">
        <v>13</v>
      </c>
      <c r="H1812" s="19" t="str">
        <f>IFERROR(VLOOKUP(Table2[[#This Row], [Ticket]],Okey!A:B,2,0),"")</f>
        <v/>
      </c>
      <c r="I1812" s="11" t="s">
        <v>276</v>
      </c>
      <c r="J1812" s="19" t="e">
        <f>VLOOKUP(Table2[[#This Row], [Author]],People!A:B,2,0)</f>
        <v>#VALUE!</v>
      </c>
      <c r="K1812" s="11" t="s">
        <v>3297</v>
      </c>
      <c r="L1812" s="11"/>
      <c r="M1812" s="20" t="s">
        <v>277</v>
      </c>
    </row>
    <row r="1813" spans="1:13" ht="19.5" customHeight="1">
      <c r="A1813" s="21">
        <f t="shared" si="28"/>
        <v>1812</v>
      </c>
      <c r="B1813" s="13" t="s">
        <v>3295</v>
      </c>
      <c r="C1813" s="13" t="s">
        <v>94</v>
      </c>
      <c r="D1813" s="13" t="s">
        <v>3377</v>
      </c>
      <c r="E1813" s="13"/>
      <c r="F1813" s="13" t="s">
        <v>3373</v>
      </c>
      <c r="G1813" s="13" t="s">
        <v>13</v>
      </c>
      <c r="H1813" s="22" t="str">
        <f>IFERROR(VLOOKUP(Table2[[#This Row], [Ticket]],Okey!A:B,2,0),"")</f>
        <v/>
      </c>
      <c r="I1813" s="13" t="s">
        <v>276</v>
      </c>
      <c r="J1813" s="22" t="e">
        <f>VLOOKUP(Table2[[#This Row], [Author]],People!A:B,2,0)</f>
        <v>#VALUE!</v>
      </c>
      <c r="K1813" s="13" t="s">
        <v>3297</v>
      </c>
      <c r="L1813" s="13"/>
      <c r="M1813" s="23" t="s">
        <v>277</v>
      </c>
    </row>
    <row r="1814" spans="1:13" ht="19.5" customHeight="1">
      <c r="A1814" s="18">
        <f t="shared" si="28"/>
        <v>1813</v>
      </c>
      <c r="B1814" s="11" t="s">
        <v>3295</v>
      </c>
      <c r="C1814" s="11" t="s">
        <v>94</v>
      </c>
      <c r="D1814" s="11" t="s">
        <v>3378</v>
      </c>
      <c r="E1814" s="11"/>
      <c r="F1814" s="11" t="s">
        <v>3373</v>
      </c>
      <c r="G1814" s="11" t="s">
        <v>13</v>
      </c>
      <c r="H1814" s="19" t="str">
        <f>IFERROR(VLOOKUP(Table2[[#This Row], [Ticket]],Okey!A:B,2,0),"")</f>
        <v/>
      </c>
      <c r="I1814" s="11" t="s">
        <v>276</v>
      </c>
      <c r="J1814" s="19" t="e">
        <f>VLOOKUP(Table2[[#This Row], [Author]],People!A:B,2,0)</f>
        <v>#VALUE!</v>
      </c>
      <c r="K1814" s="11" t="s">
        <v>3297</v>
      </c>
      <c r="L1814" s="11"/>
      <c r="M1814" s="20" t="s">
        <v>277</v>
      </c>
    </row>
    <row r="1815" spans="1:13" ht="19.5" customHeight="1">
      <c r="A1815" s="21">
        <f t="shared" si="28"/>
        <v>1814</v>
      </c>
      <c r="B1815" s="13" t="s">
        <v>3295</v>
      </c>
      <c r="C1815" s="13" t="s">
        <v>94</v>
      </c>
      <c r="D1815" s="13" t="s">
        <v>3379</v>
      </c>
      <c r="E1815" s="13"/>
      <c r="F1815" s="13" t="s">
        <v>3373</v>
      </c>
      <c r="G1815" s="13" t="s">
        <v>13</v>
      </c>
      <c r="H1815" s="22" t="str">
        <f>IFERROR(VLOOKUP(Table2[[#This Row], [Ticket]],Okey!A:B,2,0),"")</f>
        <v/>
      </c>
      <c r="I1815" s="13" t="s">
        <v>276</v>
      </c>
      <c r="J1815" s="22" t="e">
        <f>VLOOKUP(Table2[[#This Row], [Author]],People!A:B,2,0)</f>
        <v>#VALUE!</v>
      </c>
      <c r="K1815" s="13" t="s">
        <v>3297</v>
      </c>
      <c r="L1815" s="13"/>
      <c r="M1815" s="23" t="s">
        <v>277</v>
      </c>
    </row>
    <row r="1816" spans="1:13" ht="19.5" customHeight="1">
      <c r="A1816" s="18">
        <f t="shared" si="28"/>
        <v>1815</v>
      </c>
      <c r="B1816" s="11" t="s">
        <v>3295</v>
      </c>
      <c r="C1816" s="11" t="s">
        <v>94</v>
      </c>
      <c r="D1816" s="11" t="s">
        <v>3380</v>
      </c>
      <c r="E1816" s="11"/>
      <c r="F1816" s="11" t="s">
        <v>3373</v>
      </c>
      <c r="G1816" s="11" t="s">
        <v>13</v>
      </c>
      <c r="H1816" s="19" t="str">
        <f>IFERROR(VLOOKUP(Table2[[#This Row], [Ticket]],Okey!A:B,2,0),"")</f>
        <v/>
      </c>
      <c r="I1816" s="11" t="s">
        <v>276</v>
      </c>
      <c r="J1816" s="19" t="e">
        <f>VLOOKUP(Table2[[#This Row], [Author]],People!A:B,2,0)</f>
        <v>#VALUE!</v>
      </c>
      <c r="K1816" s="11" t="s">
        <v>3297</v>
      </c>
      <c r="L1816" s="11"/>
      <c r="M1816" s="20" t="s">
        <v>277</v>
      </c>
    </row>
    <row r="1817" spans="1:13" ht="19.5" customHeight="1">
      <c r="A1817" s="21">
        <f t="shared" si="28"/>
        <v>1816</v>
      </c>
      <c r="B1817" s="13" t="s">
        <v>3295</v>
      </c>
      <c r="C1817" s="13" t="s">
        <v>94</v>
      </c>
      <c r="D1817" s="13" t="s">
        <v>3381</v>
      </c>
      <c r="E1817" s="13"/>
      <c r="F1817" s="13" t="s">
        <v>3373</v>
      </c>
      <c r="G1817" s="13" t="s">
        <v>13</v>
      </c>
      <c r="H1817" s="22" t="str">
        <f>IFERROR(VLOOKUP(Table2[[#This Row], [Ticket]],Okey!A:B,2,0),"")</f>
        <v/>
      </c>
      <c r="I1817" s="13" t="s">
        <v>276</v>
      </c>
      <c r="J1817" s="22" t="e">
        <f>VLOOKUP(Table2[[#This Row], [Author]],People!A:B,2,0)</f>
        <v>#VALUE!</v>
      </c>
      <c r="K1817" s="13" t="s">
        <v>3297</v>
      </c>
      <c r="L1817" s="13"/>
      <c r="M1817" s="23" t="s">
        <v>277</v>
      </c>
    </row>
    <row r="1818" spans="1:13" ht="19.5" customHeight="1">
      <c r="A1818" s="18">
        <f t="shared" si="28"/>
        <v>1817</v>
      </c>
      <c r="B1818" s="11" t="s">
        <v>3295</v>
      </c>
      <c r="C1818" s="11" t="s">
        <v>94</v>
      </c>
      <c r="D1818" s="11" t="s">
        <v>3382</v>
      </c>
      <c r="E1818" s="11"/>
      <c r="F1818" s="11" t="s">
        <v>3373</v>
      </c>
      <c r="G1818" s="11" t="s">
        <v>13</v>
      </c>
      <c r="H1818" s="19" t="str">
        <f>IFERROR(VLOOKUP(Table2[[#This Row], [Ticket]],Okey!A:B,2,0),"")</f>
        <v/>
      </c>
      <c r="I1818" s="11" t="s">
        <v>276</v>
      </c>
      <c r="J1818" s="19" t="e">
        <f>VLOOKUP(Table2[[#This Row], [Author]],People!A:B,2,0)</f>
        <v>#VALUE!</v>
      </c>
      <c r="K1818" s="11" t="s">
        <v>3297</v>
      </c>
      <c r="L1818" s="11"/>
      <c r="M1818" s="20" t="s">
        <v>277</v>
      </c>
    </row>
    <row r="1819" spans="1:13" ht="19.5" customHeight="1">
      <c r="A1819" s="21">
        <f t="shared" si="28"/>
        <v>1818</v>
      </c>
      <c r="B1819" s="13" t="s">
        <v>3295</v>
      </c>
      <c r="C1819" s="13" t="s">
        <v>94</v>
      </c>
      <c r="D1819" s="13" t="s">
        <v>3383</v>
      </c>
      <c r="E1819" s="13"/>
      <c r="F1819" s="13" t="s">
        <v>3373</v>
      </c>
      <c r="G1819" s="13" t="s">
        <v>13</v>
      </c>
      <c r="H1819" s="22" t="str">
        <f>IFERROR(VLOOKUP(Table2[[#This Row], [Ticket]],Okey!A:B,2,0),"")</f>
        <v/>
      </c>
      <c r="I1819" s="13" t="s">
        <v>276</v>
      </c>
      <c r="J1819" s="22" t="e">
        <f>VLOOKUP(Table2[[#This Row], [Author]],People!A:B,2,0)</f>
        <v>#VALUE!</v>
      </c>
      <c r="K1819" s="13" t="s">
        <v>3297</v>
      </c>
      <c r="L1819" s="13"/>
      <c r="M1819" s="23" t="s">
        <v>277</v>
      </c>
    </row>
    <row r="1820" spans="1:13" ht="19.5" customHeight="1">
      <c r="A1820" s="18">
        <f t="shared" si="28"/>
        <v>1819</v>
      </c>
      <c r="B1820" s="11" t="s">
        <v>3295</v>
      </c>
      <c r="C1820" s="11" t="s">
        <v>94</v>
      </c>
      <c r="D1820" s="11" t="s">
        <v>3384</v>
      </c>
      <c r="E1820" s="11"/>
      <c r="F1820" s="11" t="s">
        <v>3373</v>
      </c>
      <c r="G1820" s="11" t="s">
        <v>13</v>
      </c>
      <c r="H1820" s="19" t="str">
        <f>IFERROR(VLOOKUP(Table2[[#This Row], [Ticket]],Okey!A:B,2,0),"")</f>
        <v/>
      </c>
      <c r="I1820" s="11" t="s">
        <v>276</v>
      </c>
      <c r="J1820" s="19" t="e">
        <f>VLOOKUP(Table2[[#This Row], [Author]],People!A:B,2,0)</f>
        <v>#VALUE!</v>
      </c>
      <c r="K1820" s="11" t="s">
        <v>3297</v>
      </c>
      <c r="L1820" s="11"/>
      <c r="M1820" s="20" t="s">
        <v>277</v>
      </c>
    </row>
    <row r="1821" spans="1:13" ht="19.5" customHeight="1">
      <c r="A1821" s="21">
        <f t="shared" si="28"/>
        <v>1820</v>
      </c>
      <c r="B1821" s="13" t="s">
        <v>3295</v>
      </c>
      <c r="C1821" s="13" t="s">
        <v>94</v>
      </c>
      <c r="D1821" s="13" t="s">
        <v>3385</v>
      </c>
      <c r="E1821" s="13"/>
      <c r="F1821" s="13" t="s">
        <v>3373</v>
      </c>
      <c r="G1821" s="13" t="s">
        <v>13</v>
      </c>
      <c r="H1821" s="22" t="str">
        <f>IFERROR(VLOOKUP(Table2[[#This Row], [Ticket]],Okey!A:B,2,0),"")</f>
        <v/>
      </c>
      <c r="I1821" s="13" t="s">
        <v>276</v>
      </c>
      <c r="J1821" s="22" t="e">
        <f>VLOOKUP(Table2[[#This Row], [Author]],People!A:B,2,0)</f>
        <v>#VALUE!</v>
      </c>
      <c r="K1821" s="13" t="s">
        <v>3297</v>
      </c>
      <c r="L1821" s="13"/>
      <c r="M1821" s="23" t="s">
        <v>277</v>
      </c>
    </row>
    <row r="1822" spans="1:13" ht="19.5" customHeight="1">
      <c r="A1822" s="18">
        <f t="shared" si="28"/>
        <v>1821</v>
      </c>
      <c r="B1822" s="11" t="s">
        <v>3295</v>
      </c>
      <c r="C1822" s="11" t="s">
        <v>94</v>
      </c>
      <c r="D1822" s="11" t="s">
        <v>3386</v>
      </c>
      <c r="E1822" s="11"/>
      <c r="F1822" s="11" t="s">
        <v>3373</v>
      </c>
      <c r="G1822" s="11" t="s">
        <v>13</v>
      </c>
      <c r="H1822" s="19" t="str">
        <f>IFERROR(VLOOKUP(Table2[[#This Row], [Ticket]],Okey!A:B,2,0),"")</f>
        <v/>
      </c>
      <c r="I1822" s="11" t="s">
        <v>276</v>
      </c>
      <c r="J1822" s="19" t="e">
        <f>VLOOKUP(Table2[[#This Row], [Author]],People!A:B,2,0)</f>
        <v>#VALUE!</v>
      </c>
      <c r="K1822" s="11" t="s">
        <v>3297</v>
      </c>
      <c r="L1822" s="11"/>
      <c r="M1822" s="20" t="s">
        <v>277</v>
      </c>
    </row>
    <row r="1823" spans="1:13" ht="19.5" customHeight="1">
      <c r="A1823" s="21">
        <f t="shared" si="28"/>
        <v>1822</v>
      </c>
      <c r="B1823" s="13" t="s">
        <v>3295</v>
      </c>
      <c r="C1823" s="13" t="s">
        <v>94</v>
      </c>
      <c r="D1823" s="13" t="s">
        <v>3387</v>
      </c>
      <c r="E1823" s="13"/>
      <c r="F1823" s="13" t="s">
        <v>3373</v>
      </c>
      <c r="G1823" s="13" t="s">
        <v>13</v>
      </c>
      <c r="H1823" s="22" t="str">
        <f>IFERROR(VLOOKUP(Table2[[#This Row], [Ticket]],Okey!A:B,2,0),"")</f>
        <v/>
      </c>
      <c r="I1823" s="13" t="s">
        <v>276</v>
      </c>
      <c r="J1823" s="22" t="e">
        <f>VLOOKUP(Table2[[#This Row], [Author]],People!A:B,2,0)</f>
        <v>#VALUE!</v>
      </c>
      <c r="K1823" s="13" t="s">
        <v>3297</v>
      </c>
      <c r="L1823" s="13"/>
      <c r="M1823" s="23" t="s">
        <v>277</v>
      </c>
    </row>
    <row r="1824" spans="1:13" ht="19.5" customHeight="1">
      <c r="A1824" s="18">
        <f t="shared" si="28"/>
        <v>1823</v>
      </c>
      <c r="B1824" s="11" t="s">
        <v>3295</v>
      </c>
      <c r="C1824" s="11" t="s">
        <v>94</v>
      </c>
      <c r="D1824" s="11" t="s">
        <v>3388</v>
      </c>
      <c r="E1824" s="11"/>
      <c r="F1824" s="11" t="s">
        <v>3373</v>
      </c>
      <c r="G1824" s="11" t="s">
        <v>13</v>
      </c>
      <c r="H1824" s="19" t="str">
        <f>IFERROR(VLOOKUP(Table2[[#This Row], [Ticket]],Okey!A:B,2,0),"")</f>
        <v/>
      </c>
      <c r="I1824" s="11" t="s">
        <v>276</v>
      </c>
      <c r="J1824" s="19" t="e">
        <f>VLOOKUP(Table2[[#This Row], [Author]],People!A:B,2,0)</f>
        <v>#VALUE!</v>
      </c>
      <c r="K1824" s="11" t="s">
        <v>3297</v>
      </c>
      <c r="L1824" s="11"/>
      <c r="M1824" s="20" t="s">
        <v>277</v>
      </c>
    </row>
    <row r="1825" spans="1:13" ht="19.5" customHeight="1">
      <c r="A1825" s="21">
        <f t="shared" si="28"/>
        <v>1824</v>
      </c>
      <c r="B1825" s="13" t="s">
        <v>3295</v>
      </c>
      <c r="C1825" s="13" t="s">
        <v>94</v>
      </c>
      <c r="D1825" s="13" t="s">
        <v>3389</v>
      </c>
      <c r="E1825" s="13"/>
      <c r="F1825" s="13" t="s">
        <v>3373</v>
      </c>
      <c r="G1825" s="13" t="s">
        <v>13</v>
      </c>
      <c r="H1825" s="22" t="str">
        <f>IFERROR(VLOOKUP(Table2[[#This Row], [Ticket]],Okey!A:B,2,0),"")</f>
        <v/>
      </c>
      <c r="I1825" s="13" t="s">
        <v>276</v>
      </c>
      <c r="J1825" s="22" t="e">
        <f>VLOOKUP(Table2[[#This Row], [Author]],People!A:B,2,0)</f>
        <v>#VALUE!</v>
      </c>
      <c r="K1825" s="13" t="s">
        <v>3297</v>
      </c>
      <c r="L1825" s="13"/>
      <c r="M1825" s="23" t="s">
        <v>277</v>
      </c>
    </row>
    <row r="1826" spans="1:13" ht="19.5" customHeight="1">
      <c r="A1826" s="18">
        <f t="shared" si="28"/>
        <v>1825</v>
      </c>
      <c r="B1826" s="11" t="s">
        <v>3295</v>
      </c>
      <c r="C1826" s="11" t="s">
        <v>94</v>
      </c>
      <c r="D1826" s="11" t="s">
        <v>3390</v>
      </c>
      <c r="E1826" s="11"/>
      <c r="F1826" s="11" t="s">
        <v>3373</v>
      </c>
      <c r="G1826" s="11" t="s">
        <v>13</v>
      </c>
      <c r="H1826" s="19" t="str">
        <f>IFERROR(VLOOKUP(Table2[[#This Row], [Ticket]],Okey!A:B,2,0),"")</f>
        <v/>
      </c>
      <c r="I1826" s="11" t="s">
        <v>276</v>
      </c>
      <c r="J1826" s="19" t="e">
        <f>VLOOKUP(Table2[[#This Row], [Author]],People!A:B,2,0)</f>
        <v>#VALUE!</v>
      </c>
      <c r="K1826" s="11" t="s">
        <v>3297</v>
      </c>
      <c r="L1826" s="11"/>
      <c r="M1826" s="20" t="s">
        <v>277</v>
      </c>
    </row>
    <row r="1827" spans="1:13" ht="19.5" customHeight="1">
      <c r="A1827" s="21">
        <f t="shared" si="28"/>
        <v>1826</v>
      </c>
      <c r="B1827" s="13" t="s">
        <v>3295</v>
      </c>
      <c r="C1827" s="13" t="s">
        <v>94</v>
      </c>
      <c r="D1827" s="13" t="s">
        <v>3391</v>
      </c>
      <c r="E1827" s="13"/>
      <c r="F1827" s="13" t="s">
        <v>3373</v>
      </c>
      <c r="G1827" s="13" t="s">
        <v>13</v>
      </c>
      <c r="H1827" s="22" t="str">
        <f>IFERROR(VLOOKUP(Table2[[#This Row], [Ticket]],Okey!A:B,2,0),"")</f>
        <v/>
      </c>
      <c r="I1827" s="13" t="s">
        <v>276</v>
      </c>
      <c r="J1827" s="22" t="e">
        <f>VLOOKUP(Table2[[#This Row], [Author]],People!A:B,2,0)</f>
        <v>#VALUE!</v>
      </c>
      <c r="K1827" s="13" t="s">
        <v>3297</v>
      </c>
      <c r="L1827" s="13"/>
      <c r="M1827" s="23" t="s">
        <v>277</v>
      </c>
    </row>
    <row r="1828" spans="1:13" ht="19.5" customHeight="1">
      <c r="A1828" s="18">
        <f t="shared" si="28"/>
        <v>1827</v>
      </c>
      <c r="B1828" s="11" t="s">
        <v>3295</v>
      </c>
      <c r="C1828" s="11" t="s">
        <v>94</v>
      </c>
      <c r="D1828" s="11" t="s">
        <v>3392</v>
      </c>
      <c r="E1828" s="11"/>
      <c r="F1828" s="11" t="s">
        <v>3373</v>
      </c>
      <c r="G1828" s="11" t="s">
        <v>13</v>
      </c>
      <c r="H1828" s="19" t="str">
        <f>IFERROR(VLOOKUP(Table2[[#This Row], [Ticket]],Okey!A:B,2,0),"")</f>
        <v/>
      </c>
      <c r="I1828" s="11" t="s">
        <v>276</v>
      </c>
      <c r="J1828" s="19" t="e">
        <f>VLOOKUP(Table2[[#This Row], [Author]],People!A:B,2,0)</f>
        <v>#VALUE!</v>
      </c>
      <c r="K1828" s="11" t="s">
        <v>3297</v>
      </c>
      <c r="L1828" s="11"/>
      <c r="M1828" s="20" t="s">
        <v>277</v>
      </c>
    </row>
    <row r="1829" spans="1:13" ht="19.5" customHeight="1">
      <c r="A1829" s="21">
        <f t="shared" si="28"/>
        <v>1828</v>
      </c>
      <c r="B1829" s="13" t="s">
        <v>3295</v>
      </c>
      <c r="C1829" s="13" t="s">
        <v>94</v>
      </c>
      <c r="D1829" s="13" t="s">
        <v>3393</v>
      </c>
      <c r="E1829" s="13"/>
      <c r="F1829" s="13" t="s">
        <v>3373</v>
      </c>
      <c r="G1829" s="13" t="s">
        <v>13</v>
      </c>
      <c r="H1829" s="22" t="str">
        <f>IFERROR(VLOOKUP(Table2[[#This Row], [Ticket]],Okey!A:B,2,0),"")</f>
        <v/>
      </c>
      <c r="I1829" s="13" t="s">
        <v>276</v>
      </c>
      <c r="J1829" s="22" t="e">
        <f>VLOOKUP(Table2[[#This Row], [Author]],People!A:B,2,0)</f>
        <v>#VALUE!</v>
      </c>
      <c r="K1829" s="13" t="s">
        <v>3297</v>
      </c>
      <c r="L1829" s="13"/>
      <c r="M1829" s="23" t="s">
        <v>277</v>
      </c>
    </row>
    <row r="1830" spans="1:13" ht="19.5" customHeight="1">
      <c r="A1830" s="18">
        <f t="shared" si="28"/>
        <v>1829</v>
      </c>
      <c r="B1830" s="11" t="s">
        <v>3295</v>
      </c>
      <c r="C1830" s="11" t="s">
        <v>94</v>
      </c>
      <c r="D1830" s="11" t="s">
        <v>3394</v>
      </c>
      <c r="E1830" s="11"/>
      <c r="F1830" s="11" t="s">
        <v>3373</v>
      </c>
      <c r="G1830" s="11" t="s">
        <v>13</v>
      </c>
      <c r="H1830" s="19" t="str">
        <f>IFERROR(VLOOKUP(Table2[[#This Row], [Ticket]],Okey!A:B,2,0),"")</f>
        <v/>
      </c>
      <c r="I1830" s="11" t="s">
        <v>276</v>
      </c>
      <c r="J1830" s="19" t="e">
        <f>VLOOKUP(Table2[[#This Row], [Author]],People!A:B,2,0)</f>
        <v>#VALUE!</v>
      </c>
      <c r="K1830" s="11" t="s">
        <v>3297</v>
      </c>
      <c r="L1830" s="11"/>
      <c r="M1830" s="20" t="s">
        <v>277</v>
      </c>
    </row>
    <row r="1831" spans="1:13" ht="19.5" customHeight="1">
      <c r="A1831" s="21">
        <f t="shared" si="28"/>
        <v>1830</v>
      </c>
      <c r="B1831" s="13" t="s">
        <v>3295</v>
      </c>
      <c r="C1831" s="13" t="s">
        <v>94</v>
      </c>
      <c r="D1831" s="13" t="s">
        <v>3395</v>
      </c>
      <c r="E1831" s="13"/>
      <c r="F1831" s="13" t="s">
        <v>3373</v>
      </c>
      <c r="G1831" s="13" t="s">
        <v>13</v>
      </c>
      <c r="H1831" s="22" t="str">
        <f>IFERROR(VLOOKUP(Table2[[#This Row], [Ticket]],Okey!A:B,2,0),"")</f>
        <v/>
      </c>
      <c r="I1831" s="13" t="s">
        <v>276</v>
      </c>
      <c r="J1831" s="22" t="e">
        <f>VLOOKUP(Table2[[#This Row], [Author]],People!A:B,2,0)</f>
        <v>#VALUE!</v>
      </c>
      <c r="K1831" s="13" t="s">
        <v>3297</v>
      </c>
      <c r="L1831" s="13"/>
      <c r="M1831" s="23" t="s">
        <v>277</v>
      </c>
    </row>
    <row r="1832" spans="1:13" ht="19.5" customHeight="1">
      <c r="A1832" s="18">
        <f t="shared" si="28"/>
        <v>1831</v>
      </c>
      <c r="B1832" s="11" t="s">
        <v>3295</v>
      </c>
      <c r="C1832" s="11" t="s">
        <v>94</v>
      </c>
      <c r="D1832" s="11" t="s">
        <v>3396</v>
      </c>
      <c r="E1832" s="11"/>
      <c r="F1832" s="11" t="s">
        <v>3373</v>
      </c>
      <c r="G1832" s="11" t="s">
        <v>13</v>
      </c>
      <c r="H1832" s="19" t="str">
        <f>IFERROR(VLOOKUP(Table2[[#This Row], [Ticket]],Okey!A:B,2,0),"")</f>
        <v/>
      </c>
      <c r="I1832" s="11" t="s">
        <v>276</v>
      </c>
      <c r="J1832" s="19" t="e">
        <f>VLOOKUP(Table2[[#This Row], [Author]],People!A:B,2,0)</f>
        <v>#VALUE!</v>
      </c>
      <c r="K1832" s="11" t="s">
        <v>3297</v>
      </c>
      <c r="L1832" s="11"/>
      <c r="M1832" s="20" t="s">
        <v>277</v>
      </c>
    </row>
    <row r="1833" spans="1:13" ht="19.5" customHeight="1">
      <c r="A1833" s="21">
        <f t="shared" si="28"/>
        <v>1832</v>
      </c>
      <c r="B1833" s="13" t="s">
        <v>3295</v>
      </c>
      <c r="C1833" s="13" t="s">
        <v>94</v>
      </c>
      <c r="D1833" s="13" t="s">
        <v>3397</v>
      </c>
      <c r="E1833" s="13"/>
      <c r="F1833" s="13" t="s">
        <v>3373</v>
      </c>
      <c r="G1833" s="13" t="s">
        <v>13</v>
      </c>
      <c r="H1833" s="22" t="str">
        <f>IFERROR(VLOOKUP(Table2[[#This Row], [Ticket]],Okey!A:B,2,0),"")</f>
        <v/>
      </c>
      <c r="I1833" s="13" t="s">
        <v>276</v>
      </c>
      <c r="J1833" s="22" t="e">
        <f>VLOOKUP(Table2[[#This Row], [Author]],People!A:B,2,0)</f>
        <v>#VALUE!</v>
      </c>
      <c r="K1833" s="13" t="s">
        <v>3297</v>
      </c>
      <c r="L1833" s="13"/>
      <c r="M1833" s="23" t="s">
        <v>277</v>
      </c>
    </row>
    <row r="1834" spans="1:13" ht="19.5" customHeight="1">
      <c r="A1834" s="18">
        <f t="shared" si="28"/>
        <v>1833</v>
      </c>
      <c r="B1834" s="11" t="s">
        <v>3295</v>
      </c>
      <c r="C1834" s="11" t="s">
        <v>94</v>
      </c>
      <c r="D1834" s="11" t="s">
        <v>3398</v>
      </c>
      <c r="E1834" s="11"/>
      <c r="F1834" s="11" t="s">
        <v>3373</v>
      </c>
      <c r="G1834" s="11" t="s">
        <v>13</v>
      </c>
      <c r="H1834" s="19" t="str">
        <f>IFERROR(VLOOKUP(Table2[[#This Row], [Ticket]],Okey!A:B,2,0),"")</f>
        <v/>
      </c>
      <c r="I1834" s="11" t="s">
        <v>276</v>
      </c>
      <c r="J1834" s="19" t="e">
        <f>VLOOKUP(Table2[[#This Row], [Author]],People!A:B,2,0)</f>
        <v>#VALUE!</v>
      </c>
      <c r="K1834" s="11" t="s">
        <v>3297</v>
      </c>
      <c r="L1834" s="11"/>
      <c r="M1834" s="20" t="s">
        <v>277</v>
      </c>
    </row>
    <row r="1835" spans="1:13" ht="19.5" customHeight="1">
      <c r="A1835" s="21">
        <f t="shared" si="28"/>
        <v>1834</v>
      </c>
      <c r="B1835" s="13" t="s">
        <v>3295</v>
      </c>
      <c r="C1835" s="13" t="s">
        <v>94</v>
      </c>
      <c r="D1835" s="13" t="s">
        <v>3399</v>
      </c>
      <c r="E1835" s="13"/>
      <c r="F1835" s="13" t="s">
        <v>3373</v>
      </c>
      <c r="G1835" s="13" t="s">
        <v>13</v>
      </c>
      <c r="H1835" s="22" t="str">
        <f>IFERROR(VLOOKUP(Table2[[#This Row], [Ticket]],Okey!A:B,2,0),"")</f>
        <v/>
      </c>
      <c r="I1835" s="13" t="s">
        <v>276</v>
      </c>
      <c r="J1835" s="22" t="e">
        <f>VLOOKUP(Table2[[#This Row], [Author]],People!A:B,2,0)</f>
        <v>#VALUE!</v>
      </c>
      <c r="K1835" s="13" t="s">
        <v>3297</v>
      </c>
      <c r="L1835" s="13"/>
      <c r="M1835" s="23" t="s">
        <v>277</v>
      </c>
    </row>
    <row r="1836" spans="1:13" ht="19.5" customHeight="1">
      <c r="A1836" s="18">
        <f t="shared" si="28"/>
        <v>1835</v>
      </c>
      <c r="B1836" s="11" t="s">
        <v>3295</v>
      </c>
      <c r="C1836" s="11" t="s">
        <v>94</v>
      </c>
      <c r="D1836" s="11" t="s">
        <v>3400</v>
      </c>
      <c r="E1836" s="11"/>
      <c r="F1836" s="11" t="s">
        <v>3373</v>
      </c>
      <c r="G1836" s="11" t="s">
        <v>13</v>
      </c>
      <c r="H1836" s="19" t="str">
        <f>IFERROR(VLOOKUP(Table2[[#This Row], [Ticket]],Okey!A:B,2,0),"")</f>
        <v/>
      </c>
      <c r="I1836" s="11" t="s">
        <v>276</v>
      </c>
      <c r="J1836" s="19" t="e">
        <f>VLOOKUP(Table2[[#This Row], [Author]],People!A:B,2,0)</f>
        <v>#VALUE!</v>
      </c>
      <c r="K1836" s="11" t="s">
        <v>3297</v>
      </c>
      <c r="L1836" s="11"/>
      <c r="M1836" s="20" t="s">
        <v>277</v>
      </c>
    </row>
    <row r="1837" spans="1:13" ht="19.5" customHeight="1">
      <c r="A1837" s="21">
        <f t="shared" si="28"/>
        <v>1836</v>
      </c>
      <c r="B1837" s="13" t="s">
        <v>3295</v>
      </c>
      <c r="C1837" s="13" t="s">
        <v>94</v>
      </c>
      <c r="D1837" s="13" t="s">
        <v>3401</v>
      </c>
      <c r="E1837" s="13"/>
      <c r="F1837" s="13" t="s">
        <v>3373</v>
      </c>
      <c r="G1837" s="13" t="s">
        <v>13</v>
      </c>
      <c r="H1837" s="22" t="str">
        <f>IFERROR(VLOOKUP(Table2[[#This Row], [Ticket]],Okey!A:B,2,0),"")</f>
        <v/>
      </c>
      <c r="I1837" s="13" t="s">
        <v>276</v>
      </c>
      <c r="J1837" s="22" t="e">
        <f>VLOOKUP(Table2[[#This Row], [Author]],People!A:B,2,0)</f>
        <v>#VALUE!</v>
      </c>
      <c r="K1837" s="13" t="s">
        <v>3297</v>
      </c>
      <c r="L1837" s="13"/>
      <c r="M1837" s="23" t="s">
        <v>277</v>
      </c>
    </row>
    <row r="1838" spans="1:13" ht="19.5" customHeight="1">
      <c r="A1838" s="18">
        <f t="shared" si="28"/>
        <v>1837</v>
      </c>
      <c r="B1838" s="11" t="s">
        <v>3295</v>
      </c>
      <c r="C1838" s="11" t="s">
        <v>94</v>
      </c>
      <c r="D1838" s="11" t="s">
        <v>3402</v>
      </c>
      <c r="E1838" s="11"/>
      <c r="F1838" s="11" t="s">
        <v>3373</v>
      </c>
      <c r="G1838" s="11" t="s">
        <v>13</v>
      </c>
      <c r="H1838" s="19" t="str">
        <f>IFERROR(VLOOKUP(Table2[[#This Row], [Ticket]],Okey!A:B,2,0),"")</f>
        <v/>
      </c>
      <c r="I1838" s="11" t="s">
        <v>276</v>
      </c>
      <c r="J1838" s="19" t="e">
        <f>VLOOKUP(Table2[[#This Row], [Author]],People!A:B,2,0)</f>
        <v>#VALUE!</v>
      </c>
      <c r="K1838" s="11" t="s">
        <v>3297</v>
      </c>
      <c r="L1838" s="11"/>
      <c r="M1838" s="20" t="s">
        <v>277</v>
      </c>
    </row>
    <row r="1839" spans="1:13" ht="19.5" customHeight="1">
      <c r="A1839" s="21">
        <f t="shared" si="28"/>
        <v>1838</v>
      </c>
      <c r="B1839" s="13" t="s">
        <v>3295</v>
      </c>
      <c r="C1839" s="13" t="s">
        <v>94</v>
      </c>
      <c r="D1839" s="13" t="s">
        <v>3403</v>
      </c>
      <c r="E1839" s="13"/>
      <c r="F1839" s="13" t="s">
        <v>3373</v>
      </c>
      <c r="G1839" s="13" t="s">
        <v>13</v>
      </c>
      <c r="H1839" s="22" t="str">
        <f>IFERROR(VLOOKUP(Table2[[#This Row], [Ticket]],Okey!A:B,2,0),"")</f>
        <v/>
      </c>
      <c r="I1839" s="13" t="s">
        <v>276</v>
      </c>
      <c r="J1839" s="22" t="e">
        <f>VLOOKUP(Table2[[#This Row], [Author]],People!A:B,2,0)</f>
        <v>#VALUE!</v>
      </c>
      <c r="K1839" s="13" t="s">
        <v>3297</v>
      </c>
      <c r="L1839" s="13"/>
      <c r="M1839" s="23" t="s">
        <v>277</v>
      </c>
    </row>
    <row r="1840" spans="1:13" ht="19.5" customHeight="1">
      <c r="A1840" s="18">
        <f t="shared" si="28"/>
        <v>1839</v>
      </c>
      <c r="B1840" s="11" t="s">
        <v>3295</v>
      </c>
      <c r="C1840" s="11" t="s">
        <v>94</v>
      </c>
      <c r="D1840" s="11" t="s">
        <v>3404</v>
      </c>
      <c r="E1840" s="11"/>
      <c r="F1840" s="11" t="s">
        <v>3373</v>
      </c>
      <c r="G1840" s="11" t="s">
        <v>13</v>
      </c>
      <c r="H1840" s="19" t="str">
        <f>IFERROR(VLOOKUP(Table2[[#This Row], [Ticket]],Okey!A:B,2,0),"")</f>
        <v/>
      </c>
      <c r="I1840" s="11" t="s">
        <v>276</v>
      </c>
      <c r="J1840" s="19" t="e">
        <f>VLOOKUP(Table2[[#This Row], [Author]],People!A:B,2,0)</f>
        <v>#VALUE!</v>
      </c>
      <c r="K1840" s="11" t="s">
        <v>3297</v>
      </c>
      <c r="L1840" s="11"/>
      <c r="M1840" s="20" t="s">
        <v>277</v>
      </c>
    </row>
    <row r="1841" spans="1:13" ht="19.5" customHeight="1">
      <c r="A1841" s="21">
        <f t="shared" si="28"/>
        <v>1840</v>
      </c>
      <c r="B1841" s="13" t="s">
        <v>3295</v>
      </c>
      <c r="C1841" s="13" t="s">
        <v>94</v>
      </c>
      <c r="D1841" s="13" t="s">
        <v>3405</v>
      </c>
      <c r="E1841" s="13"/>
      <c r="F1841" s="13" t="s">
        <v>3373</v>
      </c>
      <c r="G1841" s="13" t="s">
        <v>13</v>
      </c>
      <c r="H1841" s="22" t="str">
        <f>IFERROR(VLOOKUP(Table2[[#This Row], [Ticket]],Okey!A:B,2,0),"")</f>
        <v/>
      </c>
      <c r="I1841" s="13" t="s">
        <v>276</v>
      </c>
      <c r="J1841" s="22" t="e">
        <f>VLOOKUP(Table2[[#This Row], [Author]],People!A:B,2,0)</f>
        <v>#VALUE!</v>
      </c>
      <c r="K1841" s="13" t="s">
        <v>3297</v>
      </c>
      <c r="L1841" s="13"/>
      <c r="M1841" s="23" t="s">
        <v>277</v>
      </c>
    </row>
    <row r="1842" spans="1:13" ht="19.5" customHeight="1">
      <c r="A1842" s="18">
        <f t="shared" si="28"/>
        <v>1841</v>
      </c>
      <c r="B1842" s="11" t="s">
        <v>3295</v>
      </c>
      <c r="C1842" s="11" t="s">
        <v>94</v>
      </c>
      <c r="D1842" s="11" t="s">
        <v>3406</v>
      </c>
      <c r="E1842" s="11"/>
      <c r="F1842" s="11" t="s">
        <v>3373</v>
      </c>
      <c r="G1842" s="11" t="s">
        <v>13</v>
      </c>
      <c r="H1842" s="19" t="str">
        <f>IFERROR(VLOOKUP(Table2[[#This Row], [Ticket]],Okey!A:B,2,0),"")</f>
        <v/>
      </c>
      <c r="I1842" s="11" t="s">
        <v>276</v>
      </c>
      <c r="J1842" s="19" t="e">
        <f>VLOOKUP(Table2[[#This Row], [Author]],People!A:B,2,0)</f>
        <v>#VALUE!</v>
      </c>
      <c r="K1842" s="11" t="s">
        <v>3297</v>
      </c>
      <c r="L1842" s="11"/>
      <c r="M1842" s="20" t="s">
        <v>277</v>
      </c>
    </row>
    <row r="1843" spans="1:13" ht="19.5" customHeight="1">
      <c r="A1843" s="21">
        <f t="shared" si="28"/>
        <v>1842</v>
      </c>
      <c r="B1843" s="13" t="s">
        <v>3295</v>
      </c>
      <c r="C1843" s="13" t="s">
        <v>94</v>
      </c>
      <c r="D1843" s="13" t="s">
        <v>3407</v>
      </c>
      <c r="E1843" s="13"/>
      <c r="F1843" s="13" t="s">
        <v>3373</v>
      </c>
      <c r="G1843" s="13" t="s">
        <v>13</v>
      </c>
      <c r="H1843" s="22" t="str">
        <f>IFERROR(VLOOKUP(Table2[[#This Row], [Ticket]],Okey!A:B,2,0),"")</f>
        <v/>
      </c>
      <c r="I1843" s="13" t="s">
        <v>276</v>
      </c>
      <c r="J1843" s="22" t="e">
        <f>VLOOKUP(Table2[[#This Row], [Author]],People!A:B,2,0)</f>
        <v>#VALUE!</v>
      </c>
      <c r="K1843" s="13" t="s">
        <v>3297</v>
      </c>
      <c r="L1843" s="13"/>
      <c r="M1843" s="23" t="s">
        <v>277</v>
      </c>
    </row>
    <row r="1844" spans="1:13" ht="19.5" customHeight="1">
      <c r="A1844" s="18">
        <f t="shared" si="28"/>
        <v>1843</v>
      </c>
      <c r="B1844" s="11" t="s">
        <v>3295</v>
      </c>
      <c r="C1844" s="11" t="s">
        <v>94</v>
      </c>
      <c r="D1844" s="11" t="s">
        <v>3408</v>
      </c>
      <c r="E1844" s="11"/>
      <c r="F1844" s="11" t="s">
        <v>3373</v>
      </c>
      <c r="G1844" s="11" t="s">
        <v>13</v>
      </c>
      <c r="H1844" s="19" t="str">
        <f>IFERROR(VLOOKUP(Table2[[#This Row], [Ticket]],Okey!A:B,2,0),"")</f>
        <v/>
      </c>
      <c r="I1844" s="11" t="s">
        <v>276</v>
      </c>
      <c r="J1844" s="19" t="e">
        <f>VLOOKUP(Table2[[#This Row], [Author]],People!A:B,2,0)</f>
        <v>#VALUE!</v>
      </c>
      <c r="K1844" s="11" t="s">
        <v>3297</v>
      </c>
      <c r="L1844" s="11"/>
      <c r="M1844" s="20" t="s">
        <v>277</v>
      </c>
    </row>
    <row r="1845" spans="1:13" ht="19.5" customHeight="1">
      <c r="A1845" s="21">
        <f t="shared" si="28"/>
        <v>1844</v>
      </c>
      <c r="B1845" s="13" t="s">
        <v>3295</v>
      </c>
      <c r="C1845" s="13" t="s">
        <v>94</v>
      </c>
      <c r="D1845" s="13" t="s">
        <v>3409</v>
      </c>
      <c r="E1845" s="13"/>
      <c r="F1845" s="13" t="s">
        <v>3373</v>
      </c>
      <c r="G1845" s="13" t="s">
        <v>13</v>
      </c>
      <c r="H1845" s="22" t="str">
        <f>IFERROR(VLOOKUP(Table2[[#This Row], [Ticket]],Okey!A:B,2,0),"")</f>
        <v/>
      </c>
      <c r="I1845" s="13" t="s">
        <v>276</v>
      </c>
      <c r="J1845" s="22" t="e">
        <f>VLOOKUP(Table2[[#This Row], [Author]],People!A:B,2,0)</f>
        <v>#VALUE!</v>
      </c>
      <c r="K1845" s="13" t="s">
        <v>3297</v>
      </c>
      <c r="L1845" s="13"/>
      <c r="M1845" s="23" t="s">
        <v>277</v>
      </c>
    </row>
    <row r="1846" spans="1:13" ht="19.5" customHeight="1">
      <c r="A1846" s="18">
        <f t="shared" si="28"/>
        <v>1845</v>
      </c>
      <c r="B1846" s="11" t="s">
        <v>3295</v>
      </c>
      <c r="C1846" s="11" t="s">
        <v>94</v>
      </c>
      <c r="D1846" s="11" t="s">
        <v>3410</v>
      </c>
      <c r="E1846" s="11"/>
      <c r="F1846" s="11" t="s">
        <v>3373</v>
      </c>
      <c r="G1846" s="11" t="s">
        <v>13</v>
      </c>
      <c r="H1846" s="19" t="str">
        <f>IFERROR(VLOOKUP(Table2[[#This Row], [Ticket]],Okey!A:B,2,0),"")</f>
        <v/>
      </c>
      <c r="I1846" s="11" t="s">
        <v>276</v>
      </c>
      <c r="J1846" s="19" t="e">
        <f>VLOOKUP(Table2[[#This Row], [Author]],People!A:B,2,0)</f>
        <v>#VALUE!</v>
      </c>
      <c r="K1846" s="11" t="s">
        <v>3297</v>
      </c>
      <c r="L1846" s="11"/>
      <c r="M1846" s="20" t="s">
        <v>277</v>
      </c>
    </row>
    <row r="1847" spans="1:13" ht="19.5" customHeight="1">
      <c r="A1847" s="21">
        <f t="shared" si="28"/>
        <v>1846</v>
      </c>
      <c r="B1847" s="13" t="s">
        <v>3295</v>
      </c>
      <c r="C1847" s="13" t="s">
        <v>94</v>
      </c>
      <c r="D1847" s="13" t="s">
        <v>3411</v>
      </c>
      <c r="E1847" s="13"/>
      <c r="F1847" s="13" t="s">
        <v>3373</v>
      </c>
      <c r="G1847" s="13" t="s">
        <v>13</v>
      </c>
      <c r="H1847" s="22" t="str">
        <f>IFERROR(VLOOKUP(Table2[[#This Row], [Ticket]],Okey!A:B,2,0),"")</f>
        <v/>
      </c>
      <c r="I1847" s="13" t="s">
        <v>276</v>
      </c>
      <c r="J1847" s="22" t="e">
        <f>VLOOKUP(Table2[[#This Row], [Author]],People!A:B,2,0)</f>
        <v>#VALUE!</v>
      </c>
      <c r="K1847" s="13" t="s">
        <v>3297</v>
      </c>
      <c r="L1847" s="13"/>
      <c r="M1847" s="23" t="s">
        <v>277</v>
      </c>
    </row>
    <row r="1848" spans="1:13" ht="19.5" customHeight="1">
      <c r="A1848" s="18">
        <f t="shared" si="28"/>
        <v>1847</v>
      </c>
      <c r="B1848" s="11" t="s">
        <v>3295</v>
      </c>
      <c r="C1848" s="11" t="s">
        <v>94</v>
      </c>
      <c r="D1848" s="11" t="s">
        <v>3412</v>
      </c>
      <c r="E1848" s="11"/>
      <c r="F1848" s="11" t="s">
        <v>3373</v>
      </c>
      <c r="G1848" s="11" t="s">
        <v>13</v>
      </c>
      <c r="H1848" s="19" t="str">
        <f>IFERROR(VLOOKUP(Table2[[#This Row], [Ticket]],Okey!A:B,2,0),"")</f>
        <v/>
      </c>
      <c r="I1848" s="11" t="s">
        <v>276</v>
      </c>
      <c r="J1848" s="19" t="e">
        <f>VLOOKUP(Table2[[#This Row], [Author]],People!A:B,2,0)</f>
        <v>#VALUE!</v>
      </c>
      <c r="K1848" s="11" t="s">
        <v>3297</v>
      </c>
      <c r="L1848" s="11"/>
      <c r="M1848" s="20" t="s">
        <v>277</v>
      </c>
    </row>
    <row r="1849" spans="1:13" ht="19.5" customHeight="1">
      <c r="A1849" s="21">
        <f t="shared" si="28"/>
        <v>1848</v>
      </c>
      <c r="B1849" s="13" t="s">
        <v>3295</v>
      </c>
      <c r="C1849" s="13" t="s">
        <v>94</v>
      </c>
      <c r="D1849" s="13" t="s">
        <v>3413</v>
      </c>
      <c r="E1849" s="13"/>
      <c r="F1849" s="13" t="s">
        <v>3373</v>
      </c>
      <c r="G1849" s="13" t="s">
        <v>13</v>
      </c>
      <c r="H1849" s="22" t="str">
        <f>IFERROR(VLOOKUP(Table2[[#This Row], [Ticket]],Okey!A:B,2,0),"")</f>
        <v/>
      </c>
      <c r="I1849" s="13" t="s">
        <v>276</v>
      </c>
      <c r="J1849" s="22" t="e">
        <f>VLOOKUP(Table2[[#This Row], [Author]],People!A:B,2,0)</f>
        <v>#VALUE!</v>
      </c>
      <c r="K1849" s="13" t="s">
        <v>3297</v>
      </c>
      <c r="L1849" s="13"/>
      <c r="M1849" s="23" t="s">
        <v>277</v>
      </c>
    </row>
    <row r="1850" spans="1:13" ht="19.5" customHeight="1">
      <c r="A1850" s="18">
        <f t="shared" si="28"/>
        <v>1849</v>
      </c>
      <c r="B1850" s="11" t="s">
        <v>3295</v>
      </c>
      <c r="C1850" s="11" t="s">
        <v>94</v>
      </c>
      <c r="D1850" s="11" t="s">
        <v>3414</v>
      </c>
      <c r="E1850" s="11"/>
      <c r="F1850" s="11" t="s">
        <v>3373</v>
      </c>
      <c r="G1850" s="11" t="s">
        <v>13</v>
      </c>
      <c r="H1850" s="19" t="str">
        <f>IFERROR(VLOOKUP(Table2[[#This Row], [Ticket]],Okey!A:B,2,0),"")</f>
        <v/>
      </c>
      <c r="I1850" s="11" t="s">
        <v>276</v>
      </c>
      <c r="J1850" s="19" t="e">
        <f>VLOOKUP(Table2[[#This Row], [Author]],People!A:B,2,0)</f>
        <v>#VALUE!</v>
      </c>
      <c r="K1850" s="11" t="s">
        <v>3297</v>
      </c>
      <c r="L1850" s="11"/>
      <c r="M1850" s="20" t="s">
        <v>277</v>
      </c>
    </row>
    <row r="1851" spans="1:13" ht="19.5" customHeight="1">
      <c r="A1851" s="21">
        <f t="shared" si="28"/>
        <v>1850</v>
      </c>
      <c r="B1851" s="13" t="s">
        <v>3295</v>
      </c>
      <c r="C1851" s="13" t="s">
        <v>94</v>
      </c>
      <c r="D1851" s="13" t="s">
        <v>3415</v>
      </c>
      <c r="E1851" s="13"/>
      <c r="F1851" s="13" t="s">
        <v>3373</v>
      </c>
      <c r="G1851" s="13" t="s">
        <v>13</v>
      </c>
      <c r="H1851" s="22" t="str">
        <f>IFERROR(VLOOKUP(Table2[[#This Row], [Ticket]],Okey!A:B,2,0),"")</f>
        <v/>
      </c>
      <c r="I1851" s="13" t="s">
        <v>276</v>
      </c>
      <c r="J1851" s="22" t="e">
        <f>VLOOKUP(Table2[[#This Row], [Author]],People!A:B,2,0)</f>
        <v>#VALUE!</v>
      </c>
      <c r="K1851" s="13" t="s">
        <v>3297</v>
      </c>
      <c r="L1851" s="13"/>
      <c r="M1851" s="23" t="s">
        <v>277</v>
      </c>
    </row>
    <row r="1852" spans="1:13" ht="19.5" customHeight="1">
      <c r="A1852" s="18">
        <f t="shared" si="28"/>
        <v>1851</v>
      </c>
      <c r="B1852" s="11" t="s">
        <v>3295</v>
      </c>
      <c r="C1852" s="11" t="s">
        <v>94</v>
      </c>
      <c r="D1852" s="11" t="s">
        <v>3416</v>
      </c>
      <c r="E1852" s="11"/>
      <c r="F1852" s="11" t="s">
        <v>3373</v>
      </c>
      <c r="G1852" s="11" t="s">
        <v>13</v>
      </c>
      <c r="H1852" s="19" t="str">
        <f>IFERROR(VLOOKUP(Table2[[#This Row], [Ticket]],Okey!A:B,2,0),"")</f>
        <v/>
      </c>
      <c r="I1852" s="11" t="s">
        <v>276</v>
      </c>
      <c r="J1852" s="19" t="e">
        <f>VLOOKUP(Table2[[#This Row], [Author]],People!A:B,2,0)</f>
        <v>#VALUE!</v>
      </c>
      <c r="K1852" s="11" t="s">
        <v>3297</v>
      </c>
      <c r="L1852" s="11"/>
      <c r="M1852" s="20" t="s">
        <v>277</v>
      </c>
    </row>
    <row r="1853" spans="1:13" ht="19.5" customHeight="1">
      <c r="A1853" s="21">
        <f t="shared" si="28"/>
        <v>1852</v>
      </c>
      <c r="B1853" s="13" t="s">
        <v>3295</v>
      </c>
      <c r="C1853" s="13" t="s">
        <v>94</v>
      </c>
      <c r="D1853" s="13" t="s">
        <v>3417</v>
      </c>
      <c r="E1853" s="13"/>
      <c r="F1853" s="13" t="s">
        <v>3373</v>
      </c>
      <c r="G1853" s="13" t="s">
        <v>13</v>
      </c>
      <c r="H1853" s="22" t="str">
        <f>IFERROR(VLOOKUP(Table2[[#This Row], [Ticket]],Okey!A:B,2,0),"")</f>
        <v/>
      </c>
      <c r="I1853" s="13" t="s">
        <v>276</v>
      </c>
      <c r="J1853" s="22" t="e">
        <f>VLOOKUP(Table2[[#This Row], [Author]],People!A:B,2,0)</f>
        <v>#VALUE!</v>
      </c>
      <c r="K1853" s="13" t="s">
        <v>3297</v>
      </c>
      <c r="L1853" s="13"/>
      <c r="M1853" s="23" t="s">
        <v>277</v>
      </c>
    </row>
    <row r="1854" spans="1:13" ht="19.5" customHeight="1">
      <c r="A1854" s="18">
        <f t="shared" si="28"/>
        <v>1853</v>
      </c>
      <c r="B1854" s="11" t="s">
        <v>3295</v>
      </c>
      <c r="C1854" s="11" t="s">
        <v>94</v>
      </c>
      <c r="D1854" s="11" t="s">
        <v>3418</v>
      </c>
      <c r="E1854" s="11"/>
      <c r="F1854" s="11" t="s">
        <v>3373</v>
      </c>
      <c r="G1854" s="11" t="s">
        <v>13</v>
      </c>
      <c r="H1854" s="19" t="str">
        <f>IFERROR(VLOOKUP(Table2[[#This Row], [Ticket]],Okey!A:B,2,0),"")</f>
        <v/>
      </c>
      <c r="I1854" s="11" t="s">
        <v>276</v>
      </c>
      <c r="J1854" s="19" t="e">
        <f>VLOOKUP(Table2[[#This Row], [Author]],People!A:B,2,0)</f>
        <v>#VALUE!</v>
      </c>
      <c r="K1854" s="11" t="s">
        <v>3297</v>
      </c>
      <c r="L1854" s="11"/>
      <c r="M1854" s="20" t="s">
        <v>277</v>
      </c>
    </row>
    <row r="1855" spans="1:13" ht="19.5" customHeight="1">
      <c r="A1855" s="21">
        <f t="shared" si="28"/>
        <v>1854</v>
      </c>
      <c r="B1855" s="13" t="s">
        <v>3295</v>
      </c>
      <c r="C1855" s="13" t="s">
        <v>94</v>
      </c>
      <c r="D1855" s="13" t="s">
        <v>3419</v>
      </c>
      <c r="E1855" s="13"/>
      <c r="F1855" s="13" t="s">
        <v>3373</v>
      </c>
      <c r="G1855" s="13" t="s">
        <v>13</v>
      </c>
      <c r="H1855" s="22" t="str">
        <f>IFERROR(VLOOKUP(Table2[[#This Row], [Ticket]],Okey!A:B,2,0),"")</f>
        <v/>
      </c>
      <c r="I1855" s="13" t="s">
        <v>276</v>
      </c>
      <c r="J1855" s="22" t="e">
        <f>VLOOKUP(Table2[[#This Row], [Author]],People!A:B,2,0)</f>
        <v>#VALUE!</v>
      </c>
      <c r="K1855" s="13" t="s">
        <v>3297</v>
      </c>
      <c r="L1855" s="13"/>
      <c r="M1855" s="23" t="s">
        <v>277</v>
      </c>
    </row>
    <row r="1856" spans="1:13" ht="19.5" customHeight="1">
      <c r="A1856" s="18">
        <f t="shared" si="28"/>
        <v>1855</v>
      </c>
      <c r="B1856" s="11" t="s">
        <v>3295</v>
      </c>
      <c r="C1856" s="11" t="s">
        <v>94</v>
      </c>
      <c r="D1856" s="11" t="s">
        <v>3420</v>
      </c>
      <c r="E1856" s="11"/>
      <c r="F1856" s="11" t="s">
        <v>3373</v>
      </c>
      <c r="G1856" s="11" t="s">
        <v>13</v>
      </c>
      <c r="H1856" s="19" t="str">
        <f>IFERROR(VLOOKUP(Table2[[#This Row], [Ticket]],Okey!A:B,2,0),"")</f>
        <v/>
      </c>
      <c r="I1856" s="11" t="s">
        <v>276</v>
      </c>
      <c r="J1856" s="19" t="e">
        <f>VLOOKUP(Table2[[#This Row], [Author]],People!A:B,2,0)</f>
        <v>#VALUE!</v>
      </c>
      <c r="K1856" s="11" t="s">
        <v>3297</v>
      </c>
      <c r="L1856" s="11"/>
      <c r="M1856" s="20" t="s">
        <v>277</v>
      </c>
    </row>
    <row r="1857" spans="1:13" ht="19.5" customHeight="1">
      <c r="A1857" s="21">
        <f t="shared" si="28"/>
        <v>1856</v>
      </c>
      <c r="B1857" s="13" t="s">
        <v>3295</v>
      </c>
      <c r="C1857" s="13" t="s">
        <v>94</v>
      </c>
      <c r="D1857" s="13" t="s">
        <v>3421</v>
      </c>
      <c r="E1857" s="13"/>
      <c r="F1857" s="13" t="s">
        <v>3373</v>
      </c>
      <c r="G1857" s="13" t="s">
        <v>13</v>
      </c>
      <c r="H1857" s="22" t="str">
        <f>IFERROR(VLOOKUP(Table2[[#This Row], [Ticket]],Okey!A:B,2,0),"")</f>
        <v/>
      </c>
      <c r="I1857" s="13" t="s">
        <v>276</v>
      </c>
      <c r="J1857" s="22" t="e">
        <f>VLOOKUP(Table2[[#This Row], [Author]],People!A:B,2,0)</f>
        <v>#VALUE!</v>
      </c>
      <c r="K1857" s="13" t="s">
        <v>3297</v>
      </c>
      <c r="L1857" s="13"/>
      <c r="M1857" s="23" t="s">
        <v>277</v>
      </c>
    </row>
    <row r="1858" spans="1:13" ht="19.5" customHeight="1">
      <c r="A1858" s="18">
        <f t="shared" si="28"/>
        <v>1857</v>
      </c>
      <c r="B1858" s="11" t="s">
        <v>3295</v>
      </c>
      <c r="C1858" s="11" t="s">
        <v>94</v>
      </c>
      <c r="D1858" s="11" t="s">
        <v>3422</v>
      </c>
      <c r="E1858" s="11"/>
      <c r="F1858" s="11" t="s">
        <v>3373</v>
      </c>
      <c r="G1858" s="11" t="s">
        <v>13</v>
      </c>
      <c r="H1858" s="19" t="str">
        <f>IFERROR(VLOOKUP(Table2[[#This Row], [Ticket]],Okey!A:B,2,0),"")</f>
        <v/>
      </c>
      <c r="I1858" s="11" t="s">
        <v>276</v>
      </c>
      <c r="J1858" s="19" t="e">
        <f>VLOOKUP(Table2[[#This Row], [Author]],People!A:B,2,0)</f>
        <v>#VALUE!</v>
      </c>
      <c r="K1858" s="11" t="s">
        <v>3297</v>
      </c>
      <c r="L1858" s="11"/>
      <c r="M1858" s="20" t="s">
        <v>277</v>
      </c>
    </row>
    <row r="1859" spans="1:13" ht="19.5" customHeight="1">
      <c r="A1859" s="21">
        <f t="shared" ref="A1859:A1922" si="29">1+A1858</f>
        <v>1858</v>
      </c>
      <c r="B1859" s="13" t="s">
        <v>3295</v>
      </c>
      <c r="C1859" s="13" t="s">
        <v>94</v>
      </c>
      <c r="D1859" s="13" t="s">
        <v>3423</v>
      </c>
      <c r="E1859" s="13"/>
      <c r="F1859" s="13" t="s">
        <v>3373</v>
      </c>
      <c r="G1859" s="13" t="s">
        <v>13</v>
      </c>
      <c r="H1859" s="22" t="str">
        <f>IFERROR(VLOOKUP(Table2[[#This Row], [Ticket]],Okey!A:B,2,0),"")</f>
        <v/>
      </c>
      <c r="I1859" s="13" t="s">
        <v>276</v>
      </c>
      <c r="J1859" s="22" t="e">
        <f>VLOOKUP(Table2[[#This Row], [Author]],People!A:B,2,0)</f>
        <v>#VALUE!</v>
      </c>
      <c r="K1859" s="13" t="s">
        <v>3297</v>
      </c>
      <c r="L1859" s="13"/>
      <c r="M1859" s="23" t="s">
        <v>277</v>
      </c>
    </row>
    <row r="1860" spans="1:13" ht="19.5" customHeight="1">
      <c r="A1860" s="18">
        <f t="shared" si="29"/>
        <v>1859</v>
      </c>
      <c r="B1860" s="11" t="s">
        <v>3295</v>
      </c>
      <c r="C1860" s="11" t="s">
        <v>94</v>
      </c>
      <c r="D1860" s="11" t="s">
        <v>3424</v>
      </c>
      <c r="E1860" s="11"/>
      <c r="F1860" s="11" t="s">
        <v>3373</v>
      </c>
      <c r="G1860" s="11" t="s">
        <v>13</v>
      </c>
      <c r="H1860" s="19" t="str">
        <f>IFERROR(VLOOKUP(Table2[[#This Row], [Ticket]],Okey!A:B,2,0),"")</f>
        <v/>
      </c>
      <c r="I1860" s="11" t="s">
        <v>276</v>
      </c>
      <c r="J1860" s="19" t="e">
        <f>VLOOKUP(Table2[[#This Row], [Author]],People!A:B,2,0)</f>
        <v>#VALUE!</v>
      </c>
      <c r="K1860" s="11" t="s">
        <v>3297</v>
      </c>
      <c r="L1860" s="11"/>
      <c r="M1860" s="20" t="s">
        <v>277</v>
      </c>
    </row>
    <row r="1861" spans="1:13" ht="19.5" customHeight="1">
      <c r="A1861" s="21">
        <f t="shared" si="29"/>
        <v>1860</v>
      </c>
      <c r="B1861" s="13" t="s">
        <v>3295</v>
      </c>
      <c r="C1861" s="13" t="s">
        <v>94</v>
      </c>
      <c r="D1861" s="13" t="s">
        <v>3425</v>
      </c>
      <c r="E1861" s="13"/>
      <c r="F1861" s="13" t="s">
        <v>3373</v>
      </c>
      <c r="G1861" s="13" t="s">
        <v>13</v>
      </c>
      <c r="H1861" s="22" t="str">
        <f>IFERROR(VLOOKUP(Table2[[#This Row], [Ticket]],Okey!A:B,2,0),"")</f>
        <v/>
      </c>
      <c r="I1861" s="13" t="s">
        <v>276</v>
      </c>
      <c r="J1861" s="22" t="e">
        <f>VLOOKUP(Table2[[#This Row], [Author]],People!A:B,2,0)</f>
        <v>#VALUE!</v>
      </c>
      <c r="K1861" s="13" t="s">
        <v>3297</v>
      </c>
      <c r="L1861" s="13"/>
      <c r="M1861" s="23" t="s">
        <v>277</v>
      </c>
    </row>
    <row r="1862" spans="1:13" ht="19.5" customHeight="1">
      <c r="A1862" s="18">
        <f t="shared" si="29"/>
        <v>1861</v>
      </c>
      <c r="B1862" s="11" t="s">
        <v>3295</v>
      </c>
      <c r="C1862" s="11" t="s">
        <v>94</v>
      </c>
      <c r="D1862" s="11" t="s">
        <v>3426</v>
      </c>
      <c r="E1862" s="11"/>
      <c r="F1862" s="11" t="s">
        <v>3373</v>
      </c>
      <c r="G1862" s="11" t="s">
        <v>13</v>
      </c>
      <c r="H1862" s="19" t="str">
        <f>IFERROR(VLOOKUP(Table2[[#This Row], [Ticket]],Okey!A:B,2,0),"")</f>
        <v/>
      </c>
      <c r="I1862" s="11" t="s">
        <v>276</v>
      </c>
      <c r="J1862" s="19" t="e">
        <f>VLOOKUP(Table2[[#This Row], [Author]],People!A:B,2,0)</f>
        <v>#VALUE!</v>
      </c>
      <c r="K1862" s="11" t="s">
        <v>3297</v>
      </c>
      <c r="L1862" s="11"/>
      <c r="M1862" s="20" t="s">
        <v>277</v>
      </c>
    </row>
    <row r="1863" spans="1:13" ht="19.5" customHeight="1">
      <c r="A1863" s="21">
        <f t="shared" si="29"/>
        <v>1862</v>
      </c>
      <c r="B1863" s="13" t="s">
        <v>3295</v>
      </c>
      <c r="C1863" s="13" t="s">
        <v>94</v>
      </c>
      <c r="D1863" s="13" t="s">
        <v>3427</v>
      </c>
      <c r="E1863" s="13"/>
      <c r="F1863" s="13" t="s">
        <v>3373</v>
      </c>
      <c r="G1863" s="13" t="s">
        <v>13</v>
      </c>
      <c r="H1863" s="22" t="str">
        <f>IFERROR(VLOOKUP(Table2[[#This Row], [Ticket]],Okey!A:B,2,0),"")</f>
        <v/>
      </c>
      <c r="I1863" s="13" t="s">
        <v>276</v>
      </c>
      <c r="J1863" s="22" t="e">
        <f>VLOOKUP(Table2[[#This Row], [Author]],People!A:B,2,0)</f>
        <v>#VALUE!</v>
      </c>
      <c r="K1863" s="13" t="s">
        <v>3297</v>
      </c>
      <c r="L1863" s="13"/>
      <c r="M1863" s="23" t="s">
        <v>277</v>
      </c>
    </row>
    <row r="1864" spans="1:13" ht="19.5" customHeight="1">
      <c r="A1864" s="18">
        <f t="shared" si="29"/>
        <v>1863</v>
      </c>
      <c r="B1864" s="11" t="s">
        <v>3295</v>
      </c>
      <c r="C1864" s="11" t="s">
        <v>94</v>
      </c>
      <c r="D1864" s="11" t="s">
        <v>3428</v>
      </c>
      <c r="E1864" s="11"/>
      <c r="F1864" s="11" t="s">
        <v>3373</v>
      </c>
      <c r="G1864" s="11" t="s">
        <v>13</v>
      </c>
      <c r="H1864" s="19" t="str">
        <f>IFERROR(VLOOKUP(Table2[[#This Row], [Ticket]],Okey!A:B,2,0),"")</f>
        <v/>
      </c>
      <c r="I1864" s="11" t="s">
        <v>276</v>
      </c>
      <c r="J1864" s="19" t="e">
        <f>VLOOKUP(Table2[[#This Row], [Author]],People!A:B,2,0)</f>
        <v>#VALUE!</v>
      </c>
      <c r="K1864" s="11" t="s">
        <v>3297</v>
      </c>
      <c r="L1864" s="11"/>
      <c r="M1864" s="20" t="s">
        <v>277</v>
      </c>
    </row>
    <row r="1865" spans="1:13" ht="19.5" customHeight="1">
      <c r="A1865" s="21">
        <f t="shared" si="29"/>
        <v>1864</v>
      </c>
      <c r="B1865" s="13" t="s">
        <v>3295</v>
      </c>
      <c r="C1865" s="13" t="s">
        <v>94</v>
      </c>
      <c r="D1865" s="13" t="s">
        <v>3429</v>
      </c>
      <c r="E1865" s="13"/>
      <c r="F1865" s="13" t="s">
        <v>3373</v>
      </c>
      <c r="G1865" s="13" t="s">
        <v>13</v>
      </c>
      <c r="H1865" s="22" t="str">
        <f>IFERROR(VLOOKUP(Table2[[#This Row], [Ticket]],Okey!A:B,2,0),"")</f>
        <v/>
      </c>
      <c r="I1865" s="13" t="s">
        <v>276</v>
      </c>
      <c r="J1865" s="22" t="e">
        <f>VLOOKUP(Table2[[#This Row], [Author]],People!A:B,2,0)</f>
        <v>#VALUE!</v>
      </c>
      <c r="K1865" s="13" t="s">
        <v>3297</v>
      </c>
      <c r="L1865" s="13"/>
      <c r="M1865" s="23" t="s">
        <v>277</v>
      </c>
    </row>
    <row r="1866" spans="1:13" ht="19.5" customHeight="1">
      <c r="A1866" s="18">
        <f t="shared" si="29"/>
        <v>1865</v>
      </c>
      <c r="B1866" s="11" t="s">
        <v>3295</v>
      </c>
      <c r="C1866" s="11" t="s">
        <v>94</v>
      </c>
      <c r="D1866" s="11" t="s">
        <v>3430</v>
      </c>
      <c r="E1866" s="11"/>
      <c r="F1866" s="11" t="s">
        <v>3373</v>
      </c>
      <c r="G1866" s="11" t="s">
        <v>13</v>
      </c>
      <c r="H1866" s="19" t="str">
        <f>IFERROR(VLOOKUP(Table2[[#This Row], [Ticket]],Okey!A:B,2,0),"")</f>
        <v/>
      </c>
      <c r="I1866" s="11" t="s">
        <v>276</v>
      </c>
      <c r="J1866" s="19" t="e">
        <f>VLOOKUP(Table2[[#This Row], [Author]],People!A:B,2,0)</f>
        <v>#VALUE!</v>
      </c>
      <c r="K1866" s="11" t="s">
        <v>3297</v>
      </c>
      <c r="L1866" s="11"/>
      <c r="M1866" s="20" t="s">
        <v>277</v>
      </c>
    </row>
    <row r="1867" spans="1:13" ht="19.5" customHeight="1">
      <c r="A1867" s="21">
        <f t="shared" si="29"/>
        <v>1866</v>
      </c>
      <c r="B1867" s="13" t="s">
        <v>3295</v>
      </c>
      <c r="C1867" s="13" t="s">
        <v>94</v>
      </c>
      <c r="D1867" s="13" t="s">
        <v>3431</v>
      </c>
      <c r="E1867" s="13"/>
      <c r="F1867" s="13" t="s">
        <v>3373</v>
      </c>
      <c r="G1867" s="13" t="s">
        <v>13</v>
      </c>
      <c r="H1867" s="22" t="str">
        <f>IFERROR(VLOOKUP(Table2[[#This Row], [Ticket]],Okey!A:B,2,0),"")</f>
        <v/>
      </c>
      <c r="I1867" s="13" t="s">
        <v>276</v>
      </c>
      <c r="J1867" s="22" t="e">
        <f>VLOOKUP(Table2[[#This Row], [Author]],People!A:B,2,0)</f>
        <v>#VALUE!</v>
      </c>
      <c r="K1867" s="13" t="s">
        <v>3297</v>
      </c>
      <c r="L1867" s="13"/>
      <c r="M1867" s="23" t="s">
        <v>277</v>
      </c>
    </row>
    <row r="1868" spans="1:13" ht="19.5" customHeight="1">
      <c r="A1868" s="18">
        <f t="shared" si="29"/>
        <v>1867</v>
      </c>
      <c r="B1868" s="11" t="s">
        <v>3295</v>
      </c>
      <c r="C1868" s="11" t="s">
        <v>94</v>
      </c>
      <c r="D1868" s="11" t="s">
        <v>3432</v>
      </c>
      <c r="E1868" s="11"/>
      <c r="F1868" s="11" t="s">
        <v>3373</v>
      </c>
      <c r="G1868" s="11" t="s">
        <v>13</v>
      </c>
      <c r="H1868" s="19" t="str">
        <f>IFERROR(VLOOKUP(Table2[[#This Row], [Ticket]],Okey!A:B,2,0),"")</f>
        <v/>
      </c>
      <c r="I1868" s="11" t="s">
        <v>276</v>
      </c>
      <c r="J1868" s="19" t="e">
        <f>VLOOKUP(Table2[[#This Row], [Author]],People!A:B,2,0)</f>
        <v>#VALUE!</v>
      </c>
      <c r="K1868" s="11" t="s">
        <v>3297</v>
      </c>
      <c r="L1868" s="11"/>
      <c r="M1868" s="20" t="s">
        <v>277</v>
      </c>
    </row>
    <row r="1869" spans="1:13" ht="19.5" customHeight="1">
      <c r="A1869" s="21">
        <f t="shared" si="29"/>
        <v>1868</v>
      </c>
      <c r="B1869" s="13" t="s">
        <v>3295</v>
      </c>
      <c r="C1869" s="13" t="s">
        <v>94</v>
      </c>
      <c r="D1869" s="13" t="s">
        <v>3433</v>
      </c>
      <c r="E1869" s="13"/>
      <c r="F1869" s="13" t="s">
        <v>3373</v>
      </c>
      <c r="G1869" s="13" t="s">
        <v>13</v>
      </c>
      <c r="H1869" s="22" t="str">
        <f>IFERROR(VLOOKUP(Table2[[#This Row], [Ticket]],Okey!A:B,2,0),"")</f>
        <v/>
      </c>
      <c r="I1869" s="13" t="s">
        <v>276</v>
      </c>
      <c r="J1869" s="22" t="e">
        <f>VLOOKUP(Table2[[#This Row], [Author]],People!A:B,2,0)</f>
        <v>#VALUE!</v>
      </c>
      <c r="K1869" s="13" t="s">
        <v>3297</v>
      </c>
      <c r="L1869" s="13"/>
      <c r="M1869" s="23" t="s">
        <v>277</v>
      </c>
    </row>
    <row r="1870" spans="1:13" ht="19.5" customHeight="1">
      <c r="A1870" s="18">
        <f t="shared" si="29"/>
        <v>1869</v>
      </c>
      <c r="B1870" s="11" t="s">
        <v>3295</v>
      </c>
      <c r="C1870" s="11" t="s">
        <v>94</v>
      </c>
      <c r="D1870" s="11" t="s">
        <v>3434</v>
      </c>
      <c r="E1870" s="11"/>
      <c r="F1870" s="11" t="s">
        <v>3373</v>
      </c>
      <c r="G1870" s="11" t="s">
        <v>13</v>
      </c>
      <c r="H1870" s="19" t="str">
        <f>IFERROR(VLOOKUP(Table2[[#This Row], [Ticket]],Okey!A:B,2,0),"")</f>
        <v/>
      </c>
      <c r="I1870" s="11" t="s">
        <v>276</v>
      </c>
      <c r="J1870" s="19" t="e">
        <f>VLOOKUP(Table2[[#This Row], [Author]],People!A:B,2,0)</f>
        <v>#VALUE!</v>
      </c>
      <c r="K1870" s="11" t="s">
        <v>3297</v>
      </c>
      <c r="L1870" s="11"/>
      <c r="M1870" s="20" t="s">
        <v>277</v>
      </c>
    </row>
    <row r="1871" spans="1:13" ht="19.5" customHeight="1">
      <c r="A1871" s="21">
        <f t="shared" si="29"/>
        <v>1870</v>
      </c>
      <c r="B1871" s="13" t="s">
        <v>3295</v>
      </c>
      <c r="C1871" s="13" t="s">
        <v>94</v>
      </c>
      <c r="D1871" s="13" t="s">
        <v>3435</v>
      </c>
      <c r="E1871" s="13"/>
      <c r="F1871" s="13" t="s">
        <v>3373</v>
      </c>
      <c r="G1871" s="13" t="s">
        <v>13</v>
      </c>
      <c r="H1871" s="22" t="str">
        <f>IFERROR(VLOOKUP(Table2[[#This Row], [Ticket]],Okey!A:B,2,0),"")</f>
        <v/>
      </c>
      <c r="I1871" s="13" t="s">
        <v>276</v>
      </c>
      <c r="J1871" s="22" t="e">
        <f>VLOOKUP(Table2[[#This Row], [Author]],People!A:B,2,0)</f>
        <v>#VALUE!</v>
      </c>
      <c r="K1871" s="13" t="s">
        <v>3297</v>
      </c>
      <c r="L1871" s="13"/>
      <c r="M1871" s="23" t="s">
        <v>277</v>
      </c>
    </row>
    <row r="1872" spans="1:13" ht="19.5" customHeight="1">
      <c r="A1872" s="18">
        <f t="shared" si="29"/>
        <v>1871</v>
      </c>
      <c r="B1872" s="11" t="s">
        <v>3295</v>
      </c>
      <c r="C1872" s="11" t="s">
        <v>94</v>
      </c>
      <c r="D1872" s="11" t="s">
        <v>3436</v>
      </c>
      <c r="E1872" s="11"/>
      <c r="F1872" s="11" t="s">
        <v>3373</v>
      </c>
      <c r="G1872" s="11" t="s">
        <v>13</v>
      </c>
      <c r="H1872" s="19" t="str">
        <f>IFERROR(VLOOKUP(Table2[[#This Row], [Ticket]],Okey!A:B,2,0),"")</f>
        <v/>
      </c>
      <c r="I1872" s="11" t="s">
        <v>276</v>
      </c>
      <c r="J1872" s="19" t="e">
        <f>VLOOKUP(Table2[[#This Row], [Author]],People!A:B,2,0)</f>
        <v>#VALUE!</v>
      </c>
      <c r="K1872" s="11" t="s">
        <v>3297</v>
      </c>
      <c r="L1872" s="11"/>
      <c r="M1872" s="20" t="s">
        <v>277</v>
      </c>
    </row>
    <row r="1873" spans="1:13" ht="19.5" customHeight="1">
      <c r="A1873" s="21">
        <f t="shared" si="29"/>
        <v>1872</v>
      </c>
      <c r="B1873" s="13" t="s">
        <v>3295</v>
      </c>
      <c r="C1873" s="13" t="s">
        <v>94</v>
      </c>
      <c r="D1873" s="13" t="s">
        <v>3437</v>
      </c>
      <c r="E1873" s="13"/>
      <c r="F1873" s="13" t="s">
        <v>3373</v>
      </c>
      <c r="G1873" s="13" t="s">
        <v>13</v>
      </c>
      <c r="H1873" s="22" t="str">
        <f>IFERROR(VLOOKUP(Table2[[#This Row], [Ticket]],Okey!A:B,2,0),"")</f>
        <v/>
      </c>
      <c r="I1873" s="13" t="s">
        <v>276</v>
      </c>
      <c r="J1873" s="22" t="e">
        <f>VLOOKUP(Table2[[#This Row], [Author]],People!A:B,2,0)</f>
        <v>#VALUE!</v>
      </c>
      <c r="K1873" s="13" t="s">
        <v>3297</v>
      </c>
      <c r="L1873" s="13"/>
      <c r="M1873" s="23" t="s">
        <v>277</v>
      </c>
    </row>
    <row r="1874" spans="1:13" ht="19.5" customHeight="1">
      <c r="A1874" s="18">
        <f t="shared" si="29"/>
        <v>1873</v>
      </c>
      <c r="B1874" s="11" t="s">
        <v>3295</v>
      </c>
      <c r="C1874" s="11" t="s">
        <v>94</v>
      </c>
      <c r="D1874" s="11" t="s">
        <v>3438</v>
      </c>
      <c r="E1874" s="11"/>
      <c r="F1874" s="11" t="s">
        <v>3373</v>
      </c>
      <c r="G1874" s="11" t="s">
        <v>13</v>
      </c>
      <c r="H1874" s="19" t="str">
        <f>IFERROR(VLOOKUP(Table2[[#This Row], [Ticket]],Okey!A:B,2,0),"")</f>
        <v/>
      </c>
      <c r="I1874" s="11" t="s">
        <v>276</v>
      </c>
      <c r="J1874" s="19" t="e">
        <f>VLOOKUP(Table2[[#This Row], [Author]],People!A:B,2,0)</f>
        <v>#VALUE!</v>
      </c>
      <c r="K1874" s="11" t="s">
        <v>3297</v>
      </c>
      <c r="L1874" s="11"/>
      <c r="M1874" s="20" t="s">
        <v>277</v>
      </c>
    </row>
    <row r="1875" spans="1:13" ht="19.5" customHeight="1">
      <c r="A1875" s="21">
        <f t="shared" si="29"/>
        <v>1874</v>
      </c>
      <c r="B1875" s="13" t="s">
        <v>3295</v>
      </c>
      <c r="C1875" s="13" t="s">
        <v>94</v>
      </c>
      <c r="D1875" s="13" t="s">
        <v>3439</v>
      </c>
      <c r="E1875" s="13"/>
      <c r="F1875" s="13" t="s">
        <v>3373</v>
      </c>
      <c r="G1875" s="13" t="s">
        <v>13</v>
      </c>
      <c r="H1875" s="22" t="str">
        <f>IFERROR(VLOOKUP(Table2[[#This Row], [Ticket]],Okey!A:B,2,0),"")</f>
        <v/>
      </c>
      <c r="I1875" s="13" t="s">
        <v>276</v>
      </c>
      <c r="J1875" s="22" t="e">
        <f>VLOOKUP(Table2[[#This Row], [Author]],People!A:B,2,0)</f>
        <v>#VALUE!</v>
      </c>
      <c r="K1875" s="13" t="s">
        <v>3297</v>
      </c>
      <c r="L1875" s="13"/>
      <c r="M1875" s="23" t="s">
        <v>277</v>
      </c>
    </row>
    <row r="1876" spans="1:13" ht="19.5" customHeight="1">
      <c r="A1876" s="18">
        <f t="shared" si="29"/>
        <v>1875</v>
      </c>
      <c r="B1876" s="11" t="s">
        <v>3295</v>
      </c>
      <c r="C1876" s="11" t="s">
        <v>94</v>
      </c>
      <c r="D1876" s="11" t="s">
        <v>3440</v>
      </c>
      <c r="E1876" s="11"/>
      <c r="F1876" s="11" t="s">
        <v>3373</v>
      </c>
      <c r="G1876" s="11" t="s">
        <v>13</v>
      </c>
      <c r="H1876" s="19" t="str">
        <f>IFERROR(VLOOKUP(Table2[[#This Row], [Ticket]],Okey!A:B,2,0),"")</f>
        <v/>
      </c>
      <c r="I1876" s="11" t="s">
        <v>276</v>
      </c>
      <c r="J1876" s="19" t="e">
        <f>VLOOKUP(Table2[[#This Row], [Author]],People!A:B,2,0)</f>
        <v>#VALUE!</v>
      </c>
      <c r="K1876" s="11" t="s">
        <v>3297</v>
      </c>
      <c r="L1876" s="11"/>
      <c r="M1876" s="20" t="s">
        <v>277</v>
      </c>
    </row>
    <row r="1877" spans="1:13" ht="19.5" customHeight="1">
      <c r="A1877" s="21">
        <f t="shared" si="29"/>
        <v>1876</v>
      </c>
      <c r="B1877" s="13" t="s">
        <v>3295</v>
      </c>
      <c r="C1877" s="13" t="s">
        <v>94</v>
      </c>
      <c r="D1877" s="13" t="s">
        <v>3441</v>
      </c>
      <c r="E1877" s="13"/>
      <c r="F1877" s="13" t="s">
        <v>3373</v>
      </c>
      <c r="G1877" s="13" t="s">
        <v>13</v>
      </c>
      <c r="H1877" s="22" t="str">
        <f>IFERROR(VLOOKUP(Table2[[#This Row], [Ticket]],Okey!A:B,2,0),"")</f>
        <v/>
      </c>
      <c r="I1877" s="13" t="s">
        <v>276</v>
      </c>
      <c r="J1877" s="22" t="e">
        <f>VLOOKUP(Table2[[#This Row], [Author]],People!A:B,2,0)</f>
        <v>#VALUE!</v>
      </c>
      <c r="K1877" s="13" t="s">
        <v>3297</v>
      </c>
      <c r="L1877" s="13"/>
      <c r="M1877" s="23" t="s">
        <v>277</v>
      </c>
    </row>
    <row r="1878" spans="1:13" ht="19.5" customHeight="1">
      <c r="A1878" s="18">
        <f t="shared" si="29"/>
        <v>1877</v>
      </c>
      <c r="B1878" s="11" t="s">
        <v>3295</v>
      </c>
      <c r="C1878" s="11" t="s">
        <v>94</v>
      </c>
      <c r="D1878" s="11" t="s">
        <v>3442</v>
      </c>
      <c r="E1878" s="11"/>
      <c r="F1878" s="11" t="s">
        <v>3373</v>
      </c>
      <c r="G1878" s="11" t="s">
        <v>13</v>
      </c>
      <c r="H1878" s="19" t="str">
        <f>IFERROR(VLOOKUP(Table2[[#This Row], [Ticket]],Okey!A:B,2,0),"")</f>
        <v/>
      </c>
      <c r="I1878" s="11" t="s">
        <v>276</v>
      </c>
      <c r="J1878" s="19" t="e">
        <f>VLOOKUP(Table2[[#This Row], [Author]],People!A:B,2,0)</f>
        <v>#VALUE!</v>
      </c>
      <c r="K1878" s="11" t="s">
        <v>3297</v>
      </c>
      <c r="L1878" s="11"/>
      <c r="M1878" s="20" t="s">
        <v>277</v>
      </c>
    </row>
    <row r="1879" spans="1:13" ht="19.5" customHeight="1">
      <c r="A1879" s="21">
        <f t="shared" si="29"/>
        <v>1878</v>
      </c>
      <c r="B1879" s="13" t="s">
        <v>3295</v>
      </c>
      <c r="C1879" s="13" t="s">
        <v>94</v>
      </c>
      <c r="D1879" s="13" t="s">
        <v>3443</v>
      </c>
      <c r="E1879" s="13"/>
      <c r="F1879" s="13" t="s">
        <v>3373</v>
      </c>
      <c r="G1879" s="13" t="s">
        <v>13</v>
      </c>
      <c r="H1879" s="22" t="str">
        <f>IFERROR(VLOOKUP(Table2[[#This Row], [Ticket]],Okey!A:B,2,0),"")</f>
        <v/>
      </c>
      <c r="I1879" s="13" t="s">
        <v>276</v>
      </c>
      <c r="J1879" s="22" t="e">
        <f>VLOOKUP(Table2[[#This Row], [Author]],People!A:B,2,0)</f>
        <v>#VALUE!</v>
      </c>
      <c r="K1879" s="13" t="s">
        <v>3297</v>
      </c>
      <c r="L1879" s="13"/>
      <c r="M1879" s="23" t="s">
        <v>277</v>
      </c>
    </row>
    <row r="1880" spans="1:13" ht="19.5" customHeight="1">
      <c r="A1880" s="18">
        <f t="shared" si="29"/>
        <v>1879</v>
      </c>
      <c r="B1880" s="11" t="s">
        <v>3295</v>
      </c>
      <c r="C1880" s="11" t="s">
        <v>94</v>
      </c>
      <c r="D1880" s="11" t="s">
        <v>3444</v>
      </c>
      <c r="E1880" s="11"/>
      <c r="F1880" s="11" t="s">
        <v>3373</v>
      </c>
      <c r="G1880" s="11" t="s">
        <v>13</v>
      </c>
      <c r="H1880" s="19" t="str">
        <f>IFERROR(VLOOKUP(Table2[[#This Row], [Ticket]],Okey!A:B,2,0),"")</f>
        <v/>
      </c>
      <c r="I1880" s="11" t="s">
        <v>276</v>
      </c>
      <c r="J1880" s="19" t="e">
        <f>VLOOKUP(Table2[[#This Row], [Author]],People!A:B,2,0)</f>
        <v>#VALUE!</v>
      </c>
      <c r="K1880" s="11" t="s">
        <v>3297</v>
      </c>
      <c r="L1880" s="11"/>
      <c r="M1880" s="20" t="s">
        <v>277</v>
      </c>
    </row>
    <row r="1881" spans="1:13" ht="19.5" customHeight="1">
      <c r="A1881" s="21">
        <f t="shared" si="29"/>
        <v>1880</v>
      </c>
      <c r="B1881" s="13" t="s">
        <v>3295</v>
      </c>
      <c r="C1881" s="13" t="s">
        <v>94</v>
      </c>
      <c r="D1881" s="13" t="s">
        <v>3445</v>
      </c>
      <c r="E1881" s="13"/>
      <c r="F1881" s="13" t="s">
        <v>3373</v>
      </c>
      <c r="G1881" s="13" t="s">
        <v>13</v>
      </c>
      <c r="H1881" s="22" t="str">
        <f>IFERROR(VLOOKUP(Table2[[#This Row], [Ticket]],Okey!A:B,2,0),"")</f>
        <v/>
      </c>
      <c r="I1881" s="13" t="s">
        <v>276</v>
      </c>
      <c r="J1881" s="22" t="e">
        <f>VLOOKUP(Table2[[#This Row], [Author]],People!A:B,2,0)</f>
        <v>#VALUE!</v>
      </c>
      <c r="K1881" s="13" t="s">
        <v>3297</v>
      </c>
      <c r="L1881" s="13"/>
      <c r="M1881" s="23" t="s">
        <v>277</v>
      </c>
    </row>
    <row r="1882" spans="1:13" ht="19.5" customHeight="1">
      <c r="A1882" s="18">
        <f t="shared" si="29"/>
        <v>1881</v>
      </c>
      <c r="B1882" s="11" t="s">
        <v>3295</v>
      </c>
      <c r="C1882" s="11" t="s">
        <v>94</v>
      </c>
      <c r="D1882" s="11" t="s">
        <v>3446</v>
      </c>
      <c r="E1882" s="11"/>
      <c r="F1882" s="11" t="s">
        <v>3447</v>
      </c>
      <c r="G1882" s="11" t="s">
        <v>13</v>
      </c>
      <c r="H1882" s="19" t="str">
        <f>IFERROR(VLOOKUP(Table2[[#This Row], [Ticket]],Okey!A:B,2,0),"")</f>
        <v/>
      </c>
      <c r="I1882" s="11" t="s">
        <v>276</v>
      </c>
      <c r="J1882" s="19" t="e">
        <f>VLOOKUP(Table2[[#This Row], [Author]],People!A:B,2,0)</f>
        <v>#VALUE!</v>
      </c>
      <c r="K1882" s="11" t="s">
        <v>3297</v>
      </c>
      <c r="L1882" s="11"/>
      <c r="M1882" s="20" t="s">
        <v>277</v>
      </c>
    </row>
    <row r="1883" spans="1:13" ht="19.5" customHeight="1">
      <c r="A1883" s="21">
        <f t="shared" si="29"/>
        <v>1882</v>
      </c>
      <c r="B1883" s="13" t="s">
        <v>3295</v>
      </c>
      <c r="C1883" s="13" t="s">
        <v>94</v>
      </c>
      <c r="D1883" s="13" t="s">
        <v>3448</v>
      </c>
      <c r="E1883" s="13"/>
      <c r="F1883" s="13" t="s">
        <v>3447</v>
      </c>
      <c r="G1883" s="13" t="s">
        <v>13</v>
      </c>
      <c r="H1883" s="22" t="str">
        <f>IFERROR(VLOOKUP(Table2[[#This Row], [Ticket]],Okey!A:B,2,0),"")</f>
        <v/>
      </c>
      <c r="I1883" s="13" t="s">
        <v>276</v>
      </c>
      <c r="J1883" s="22" t="e">
        <f>VLOOKUP(Table2[[#This Row], [Author]],People!A:B,2,0)</f>
        <v>#VALUE!</v>
      </c>
      <c r="K1883" s="13" t="s">
        <v>3297</v>
      </c>
      <c r="L1883" s="13"/>
      <c r="M1883" s="23" t="s">
        <v>277</v>
      </c>
    </row>
    <row r="1884" spans="1:13" ht="19.5" customHeight="1">
      <c r="A1884" s="18">
        <f t="shared" si="29"/>
        <v>1883</v>
      </c>
      <c r="B1884" s="11" t="s">
        <v>3295</v>
      </c>
      <c r="C1884" s="11" t="s">
        <v>94</v>
      </c>
      <c r="D1884" s="11" t="s">
        <v>3449</v>
      </c>
      <c r="E1884" s="11"/>
      <c r="F1884" s="11" t="s">
        <v>3447</v>
      </c>
      <c r="G1884" s="11" t="s">
        <v>13</v>
      </c>
      <c r="H1884" s="19" t="str">
        <f>IFERROR(VLOOKUP(Table2[[#This Row], [Ticket]],Okey!A:B,2,0),"")</f>
        <v/>
      </c>
      <c r="I1884" s="11" t="s">
        <v>276</v>
      </c>
      <c r="J1884" s="19" t="e">
        <f>VLOOKUP(Table2[[#This Row], [Author]],People!A:B,2,0)</f>
        <v>#VALUE!</v>
      </c>
      <c r="K1884" s="11" t="s">
        <v>3297</v>
      </c>
      <c r="L1884" s="11"/>
      <c r="M1884" s="20" t="s">
        <v>277</v>
      </c>
    </row>
    <row r="1885" spans="1:13" ht="19.5" customHeight="1">
      <c r="A1885" s="21">
        <f t="shared" si="29"/>
        <v>1884</v>
      </c>
      <c r="B1885" s="13" t="s">
        <v>3295</v>
      </c>
      <c r="C1885" s="13" t="s">
        <v>94</v>
      </c>
      <c r="D1885" s="13" t="s">
        <v>3450</v>
      </c>
      <c r="E1885" s="13"/>
      <c r="F1885" s="13" t="s">
        <v>3447</v>
      </c>
      <c r="G1885" s="13" t="s">
        <v>13</v>
      </c>
      <c r="H1885" s="22" t="str">
        <f>IFERROR(VLOOKUP(Table2[[#This Row], [Ticket]],Okey!A:B,2,0),"")</f>
        <v/>
      </c>
      <c r="I1885" s="13" t="s">
        <v>276</v>
      </c>
      <c r="J1885" s="22" t="e">
        <f>VLOOKUP(Table2[[#This Row], [Author]],People!A:B,2,0)</f>
        <v>#VALUE!</v>
      </c>
      <c r="K1885" s="13" t="s">
        <v>3297</v>
      </c>
      <c r="L1885" s="13"/>
      <c r="M1885" s="23" t="s">
        <v>277</v>
      </c>
    </row>
    <row r="1886" spans="1:13" ht="19.5" customHeight="1">
      <c r="A1886" s="18">
        <f t="shared" si="29"/>
        <v>1885</v>
      </c>
      <c r="B1886" s="11" t="s">
        <v>3295</v>
      </c>
      <c r="C1886" s="11" t="s">
        <v>94</v>
      </c>
      <c r="D1886" s="11" t="s">
        <v>3451</v>
      </c>
      <c r="E1886" s="11"/>
      <c r="F1886" s="11" t="s">
        <v>3447</v>
      </c>
      <c r="G1886" s="11" t="s">
        <v>13</v>
      </c>
      <c r="H1886" s="19" t="str">
        <f>IFERROR(VLOOKUP(Table2[[#This Row], [Ticket]],Okey!A:B,2,0),"")</f>
        <v/>
      </c>
      <c r="I1886" s="11" t="s">
        <v>276</v>
      </c>
      <c r="J1886" s="19" t="e">
        <f>VLOOKUP(Table2[[#This Row], [Author]],People!A:B,2,0)</f>
        <v>#VALUE!</v>
      </c>
      <c r="K1886" s="11" t="s">
        <v>3297</v>
      </c>
      <c r="L1886" s="11"/>
      <c r="M1886" s="20" t="s">
        <v>277</v>
      </c>
    </row>
    <row r="1887" spans="1:13" ht="19.5" customHeight="1">
      <c r="A1887" s="21">
        <f t="shared" si="29"/>
        <v>1886</v>
      </c>
      <c r="B1887" s="13" t="s">
        <v>3295</v>
      </c>
      <c r="C1887" s="13" t="s">
        <v>94</v>
      </c>
      <c r="D1887" s="13" t="s">
        <v>3452</v>
      </c>
      <c r="E1887" s="13"/>
      <c r="F1887" s="13" t="s">
        <v>3447</v>
      </c>
      <c r="G1887" s="13" t="s">
        <v>13</v>
      </c>
      <c r="H1887" s="22" t="str">
        <f>IFERROR(VLOOKUP(Table2[[#This Row], [Ticket]],Okey!A:B,2,0),"")</f>
        <v/>
      </c>
      <c r="I1887" s="13" t="s">
        <v>276</v>
      </c>
      <c r="J1887" s="22" t="e">
        <f>VLOOKUP(Table2[[#This Row], [Author]],People!A:B,2,0)</f>
        <v>#VALUE!</v>
      </c>
      <c r="K1887" s="13" t="s">
        <v>3297</v>
      </c>
      <c r="L1887" s="13"/>
      <c r="M1887" s="23" t="s">
        <v>277</v>
      </c>
    </row>
    <row r="1888" spans="1:13" ht="19.5" customHeight="1">
      <c r="A1888" s="18">
        <f t="shared" si="29"/>
        <v>1887</v>
      </c>
      <c r="B1888" s="11" t="s">
        <v>3295</v>
      </c>
      <c r="C1888" s="11" t="s">
        <v>94</v>
      </c>
      <c r="D1888" s="11" t="s">
        <v>3453</v>
      </c>
      <c r="E1888" s="11"/>
      <c r="F1888" s="11" t="s">
        <v>3447</v>
      </c>
      <c r="G1888" s="11" t="s">
        <v>13</v>
      </c>
      <c r="H1888" s="19" t="str">
        <f>IFERROR(VLOOKUP(Table2[[#This Row], [Ticket]],Okey!A:B,2,0),"")</f>
        <v/>
      </c>
      <c r="I1888" s="11" t="s">
        <v>276</v>
      </c>
      <c r="J1888" s="19" t="e">
        <f>VLOOKUP(Table2[[#This Row], [Author]],People!A:B,2,0)</f>
        <v>#VALUE!</v>
      </c>
      <c r="K1888" s="11" t="s">
        <v>3297</v>
      </c>
      <c r="L1888" s="11"/>
      <c r="M1888" s="20" t="s">
        <v>277</v>
      </c>
    </row>
    <row r="1889" spans="1:13" ht="19.5" customHeight="1">
      <c r="A1889" s="21">
        <f t="shared" si="29"/>
        <v>1888</v>
      </c>
      <c r="B1889" s="13" t="s">
        <v>3295</v>
      </c>
      <c r="C1889" s="13" t="s">
        <v>94</v>
      </c>
      <c r="D1889" s="13" t="s">
        <v>3454</v>
      </c>
      <c r="E1889" s="13"/>
      <c r="F1889" s="13" t="s">
        <v>3447</v>
      </c>
      <c r="G1889" s="13" t="s">
        <v>13</v>
      </c>
      <c r="H1889" s="22" t="str">
        <f>IFERROR(VLOOKUP(Table2[[#This Row], [Ticket]],Okey!A:B,2,0),"")</f>
        <v/>
      </c>
      <c r="I1889" s="13" t="s">
        <v>276</v>
      </c>
      <c r="J1889" s="22" t="e">
        <f>VLOOKUP(Table2[[#This Row], [Author]],People!A:B,2,0)</f>
        <v>#VALUE!</v>
      </c>
      <c r="K1889" s="13" t="s">
        <v>3297</v>
      </c>
      <c r="L1889" s="13"/>
      <c r="M1889" s="23" t="s">
        <v>277</v>
      </c>
    </row>
    <row r="1890" spans="1:13" ht="19.5" customHeight="1">
      <c r="A1890" s="18">
        <f t="shared" si="29"/>
        <v>1889</v>
      </c>
      <c r="B1890" s="11" t="s">
        <v>3295</v>
      </c>
      <c r="C1890" s="11" t="s">
        <v>94</v>
      </c>
      <c r="D1890" s="11" t="s">
        <v>3455</v>
      </c>
      <c r="E1890" s="11"/>
      <c r="F1890" s="11" t="s">
        <v>3447</v>
      </c>
      <c r="G1890" s="11" t="s">
        <v>13</v>
      </c>
      <c r="H1890" s="19" t="str">
        <f>IFERROR(VLOOKUP(Table2[[#This Row], [Ticket]],Okey!A:B,2,0),"")</f>
        <v/>
      </c>
      <c r="I1890" s="11" t="s">
        <v>276</v>
      </c>
      <c r="J1890" s="19" t="e">
        <f>VLOOKUP(Table2[[#This Row], [Author]],People!A:B,2,0)</f>
        <v>#VALUE!</v>
      </c>
      <c r="K1890" s="11" t="s">
        <v>3297</v>
      </c>
      <c r="L1890" s="11"/>
      <c r="M1890" s="20" t="s">
        <v>277</v>
      </c>
    </row>
    <row r="1891" spans="1:13" ht="19.5" customHeight="1">
      <c r="A1891" s="21">
        <f t="shared" si="29"/>
        <v>1890</v>
      </c>
      <c r="B1891" s="13" t="s">
        <v>3295</v>
      </c>
      <c r="C1891" s="13" t="s">
        <v>94</v>
      </c>
      <c r="D1891" s="13" t="s">
        <v>3456</v>
      </c>
      <c r="E1891" s="13"/>
      <c r="F1891" s="13" t="s">
        <v>3447</v>
      </c>
      <c r="G1891" s="13" t="s">
        <v>13</v>
      </c>
      <c r="H1891" s="22" t="str">
        <f>IFERROR(VLOOKUP(Table2[[#This Row], [Ticket]],Okey!A:B,2,0),"")</f>
        <v/>
      </c>
      <c r="I1891" s="13" t="s">
        <v>276</v>
      </c>
      <c r="J1891" s="22" t="e">
        <f>VLOOKUP(Table2[[#This Row], [Author]],People!A:B,2,0)</f>
        <v>#VALUE!</v>
      </c>
      <c r="K1891" s="13" t="s">
        <v>3297</v>
      </c>
      <c r="L1891" s="13"/>
      <c r="M1891" s="23" t="s">
        <v>277</v>
      </c>
    </row>
    <row r="1892" spans="1:13" ht="19.5" customHeight="1">
      <c r="A1892" s="18">
        <f t="shared" si="29"/>
        <v>1891</v>
      </c>
      <c r="B1892" s="11" t="s">
        <v>3295</v>
      </c>
      <c r="C1892" s="11" t="s">
        <v>94</v>
      </c>
      <c r="D1892" s="11" t="s">
        <v>3457</v>
      </c>
      <c r="E1892" s="11"/>
      <c r="F1892" s="11" t="s">
        <v>3447</v>
      </c>
      <c r="G1892" s="11" t="s">
        <v>13</v>
      </c>
      <c r="H1892" s="19" t="str">
        <f>IFERROR(VLOOKUP(Table2[[#This Row], [Ticket]],Okey!A:B,2,0),"")</f>
        <v/>
      </c>
      <c r="I1892" s="11" t="s">
        <v>276</v>
      </c>
      <c r="J1892" s="19" t="e">
        <f>VLOOKUP(Table2[[#This Row], [Author]],People!A:B,2,0)</f>
        <v>#VALUE!</v>
      </c>
      <c r="K1892" s="11" t="s">
        <v>3297</v>
      </c>
      <c r="L1892" s="11"/>
      <c r="M1892" s="20" t="s">
        <v>277</v>
      </c>
    </row>
    <row r="1893" spans="1:13" ht="19.5" customHeight="1">
      <c r="A1893" s="21">
        <f t="shared" si="29"/>
        <v>1892</v>
      </c>
      <c r="B1893" s="13" t="s">
        <v>3295</v>
      </c>
      <c r="C1893" s="13" t="s">
        <v>94</v>
      </c>
      <c r="D1893" s="13" t="s">
        <v>3458</v>
      </c>
      <c r="E1893" s="13"/>
      <c r="F1893" s="13" t="s">
        <v>3459</v>
      </c>
      <c r="G1893" s="13" t="s">
        <v>13</v>
      </c>
      <c r="H1893" s="22" t="str">
        <f>IFERROR(VLOOKUP(Table2[[#This Row], [Ticket]],Okey!A:B,2,0),"")</f>
        <v/>
      </c>
      <c r="I1893" s="13" t="s">
        <v>276</v>
      </c>
      <c r="J1893" s="22" t="e">
        <f>VLOOKUP(Table2[[#This Row], [Author]],People!A:B,2,0)</f>
        <v>#VALUE!</v>
      </c>
      <c r="K1893" s="13" t="s">
        <v>3297</v>
      </c>
      <c r="L1893" s="13"/>
      <c r="M1893" s="23" t="s">
        <v>277</v>
      </c>
    </row>
    <row r="1894" spans="1:13" ht="19.5" customHeight="1">
      <c r="A1894" s="18">
        <f t="shared" si="29"/>
        <v>1893</v>
      </c>
      <c r="B1894" s="11" t="s">
        <v>3295</v>
      </c>
      <c r="C1894" s="11" t="s">
        <v>94</v>
      </c>
      <c r="D1894" s="11" t="s">
        <v>3460</v>
      </c>
      <c r="E1894" s="11"/>
      <c r="F1894" s="11" t="s">
        <v>1350</v>
      </c>
      <c r="G1894" s="11" t="s">
        <v>13</v>
      </c>
      <c r="H1894" s="19" t="str">
        <f>IFERROR(VLOOKUP(Table2[[#This Row], [Ticket]],Okey!A:B,2,0),"")</f>
        <v/>
      </c>
      <c r="I1894" s="11" t="s">
        <v>276</v>
      </c>
      <c r="J1894" s="19" t="e">
        <f>VLOOKUP(Table2[[#This Row], [Author]],People!A:B,2,0)</f>
        <v>#VALUE!</v>
      </c>
      <c r="K1894" s="11" t="s">
        <v>3297</v>
      </c>
      <c r="L1894" s="11"/>
      <c r="M1894" s="20" t="s">
        <v>277</v>
      </c>
    </row>
    <row r="1895" spans="1:13" ht="19.5" customHeight="1">
      <c r="A1895" s="21">
        <f t="shared" si="29"/>
        <v>1894</v>
      </c>
      <c r="B1895" s="13" t="s">
        <v>3295</v>
      </c>
      <c r="C1895" s="13" t="s">
        <v>94</v>
      </c>
      <c r="D1895" s="13" t="s">
        <v>3461</v>
      </c>
      <c r="E1895" s="13"/>
      <c r="F1895" s="13" t="s">
        <v>1350</v>
      </c>
      <c r="G1895" s="13" t="s">
        <v>13</v>
      </c>
      <c r="H1895" s="22" t="str">
        <f>IFERROR(VLOOKUP(Table2[[#This Row], [Ticket]],Okey!A:B,2,0),"")</f>
        <v/>
      </c>
      <c r="I1895" s="13" t="s">
        <v>276</v>
      </c>
      <c r="J1895" s="22" t="e">
        <f>VLOOKUP(Table2[[#This Row], [Author]],People!A:B,2,0)</f>
        <v>#VALUE!</v>
      </c>
      <c r="K1895" s="13" t="s">
        <v>3297</v>
      </c>
      <c r="L1895" s="13"/>
      <c r="M1895" s="23" t="s">
        <v>277</v>
      </c>
    </row>
    <row r="1896" spans="1:13" ht="19.5" customHeight="1">
      <c r="A1896" s="18">
        <f t="shared" si="29"/>
        <v>1895</v>
      </c>
      <c r="B1896" s="11" t="s">
        <v>3295</v>
      </c>
      <c r="C1896" s="11" t="s">
        <v>94</v>
      </c>
      <c r="D1896" s="11" t="s">
        <v>3462</v>
      </c>
      <c r="E1896" s="11"/>
      <c r="F1896" s="11" t="s">
        <v>1350</v>
      </c>
      <c r="G1896" s="11" t="s">
        <v>13</v>
      </c>
      <c r="H1896" s="19" t="str">
        <f>IFERROR(VLOOKUP(Table2[[#This Row], [Ticket]],Okey!A:B,2,0),"")</f>
        <v/>
      </c>
      <c r="I1896" s="11" t="s">
        <v>276</v>
      </c>
      <c r="J1896" s="19" t="e">
        <f>VLOOKUP(Table2[[#This Row], [Author]],People!A:B,2,0)</f>
        <v>#VALUE!</v>
      </c>
      <c r="K1896" s="11" t="s">
        <v>3297</v>
      </c>
      <c r="L1896" s="11"/>
      <c r="M1896" s="20" t="s">
        <v>277</v>
      </c>
    </row>
    <row r="1897" spans="1:13" ht="19.5" customHeight="1">
      <c r="A1897" s="21">
        <f t="shared" si="29"/>
        <v>1896</v>
      </c>
      <c r="B1897" s="13" t="s">
        <v>3295</v>
      </c>
      <c r="C1897" s="13" t="s">
        <v>94</v>
      </c>
      <c r="D1897" s="13" t="s">
        <v>1447</v>
      </c>
      <c r="E1897" s="13"/>
      <c r="F1897" s="13" t="s">
        <v>1342</v>
      </c>
      <c r="G1897" s="13" t="s">
        <v>13</v>
      </c>
      <c r="H1897" s="22" t="str">
        <f>IFERROR(VLOOKUP(Table2[[#This Row], [Ticket]],Okey!A:B,2,0),"")</f>
        <v/>
      </c>
      <c r="I1897" s="13" t="s">
        <v>276</v>
      </c>
      <c r="J1897" s="22" t="e">
        <f>VLOOKUP(Table2[[#This Row], [Author]],People!A:B,2,0)</f>
        <v>#VALUE!</v>
      </c>
      <c r="K1897" s="13" t="s">
        <v>3297</v>
      </c>
      <c r="L1897" s="13"/>
      <c r="M1897" s="23" t="s">
        <v>277</v>
      </c>
    </row>
    <row r="1898" spans="1:13" ht="19.5" customHeight="1">
      <c r="A1898" s="18">
        <f t="shared" si="29"/>
        <v>1897</v>
      </c>
      <c r="B1898" s="11" t="s">
        <v>3295</v>
      </c>
      <c r="C1898" s="11" t="s">
        <v>94</v>
      </c>
      <c r="D1898" s="11" t="s">
        <v>3463</v>
      </c>
      <c r="E1898" s="11"/>
      <c r="F1898" s="11" t="s">
        <v>1746</v>
      </c>
      <c r="G1898" s="11" t="s">
        <v>13</v>
      </c>
      <c r="H1898" s="19" t="str">
        <f>IFERROR(VLOOKUP(Table2[[#This Row], [Ticket]],Okey!A:B,2,0),"")</f>
        <v/>
      </c>
      <c r="I1898" s="11" t="s">
        <v>276</v>
      </c>
      <c r="J1898" s="19" t="e">
        <f>VLOOKUP(Table2[[#This Row], [Author]],People!A:B,2,0)</f>
        <v>#VALUE!</v>
      </c>
      <c r="K1898" s="11" t="s">
        <v>3297</v>
      </c>
      <c r="L1898" s="11"/>
      <c r="M1898" s="20" t="s">
        <v>277</v>
      </c>
    </row>
    <row r="1899" spans="1:13" ht="19.5" customHeight="1">
      <c r="A1899" s="21">
        <f t="shared" si="29"/>
        <v>1898</v>
      </c>
      <c r="B1899" s="13" t="s">
        <v>3295</v>
      </c>
      <c r="C1899" s="13" t="s">
        <v>94</v>
      </c>
      <c r="D1899" s="13" t="s">
        <v>1816</v>
      </c>
      <c r="E1899" s="13"/>
      <c r="F1899" s="13" t="s">
        <v>1744</v>
      </c>
      <c r="G1899" s="13" t="s">
        <v>13</v>
      </c>
      <c r="H1899" s="22" t="str">
        <f>IFERROR(VLOOKUP(Table2[[#This Row], [Ticket]],Okey!A:B,2,0),"")</f>
        <v/>
      </c>
      <c r="I1899" s="13" t="s">
        <v>276</v>
      </c>
      <c r="J1899" s="22" t="e">
        <f>VLOOKUP(Table2[[#This Row], [Author]],People!A:B,2,0)</f>
        <v>#VALUE!</v>
      </c>
      <c r="K1899" s="13" t="s">
        <v>3297</v>
      </c>
      <c r="L1899" s="13"/>
      <c r="M1899" s="23" t="s">
        <v>277</v>
      </c>
    </row>
    <row r="1900" spans="1:13" ht="19.5" customHeight="1">
      <c r="A1900" s="18">
        <f t="shared" si="29"/>
        <v>1899</v>
      </c>
      <c r="B1900" s="11" t="s">
        <v>3295</v>
      </c>
      <c r="C1900" s="11" t="s">
        <v>94</v>
      </c>
      <c r="D1900" s="11" t="s">
        <v>1818</v>
      </c>
      <c r="E1900" s="11"/>
      <c r="F1900" s="11" t="s">
        <v>1754</v>
      </c>
      <c r="G1900" s="11" t="s">
        <v>13</v>
      </c>
      <c r="H1900" s="19" t="str">
        <f>IFERROR(VLOOKUP(Table2[[#This Row], [Ticket]],Okey!A:B,2,0),"")</f>
        <v/>
      </c>
      <c r="I1900" s="11" t="s">
        <v>276</v>
      </c>
      <c r="J1900" s="19" t="e">
        <f>VLOOKUP(Table2[[#This Row], [Author]],People!A:B,2,0)</f>
        <v>#VALUE!</v>
      </c>
      <c r="K1900" s="11" t="s">
        <v>3297</v>
      </c>
      <c r="L1900" s="11"/>
      <c r="M1900" s="20" t="s">
        <v>277</v>
      </c>
    </row>
    <row r="1901" spans="1:13" ht="19.5" customHeight="1">
      <c r="A1901" s="21">
        <f t="shared" si="29"/>
        <v>1900</v>
      </c>
      <c r="B1901" s="13" t="s">
        <v>3295</v>
      </c>
      <c r="C1901" s="13" t="s">
        <v>94</v>
      </c>
      <c r="D1901" s="13" t="s">
        <v>1820</v>
      </c>
      <c r="E1901" s="13"/>
      <c r="F1901" s="13" t="s">
        <v>1754</v>
      </c>
      <c r="G1901" s="13" t="s">
        <v>13</v>
      </c>
      <c r="H1901" s="22" t="str">
        <f>IFERROR(VLOOKUP(Table2[[#This Row], [Ticket]],Okey!A:B,2,0),"")</f>
        <v/>
      </c>
      <c r="I1901" s="13" t="s">
        <v>276</v>
      </c>
      <c r="J1901" s="22" t="e">
        <f>VLOOKUP(Table2[[#This Row], [Author]],People!A:B,2,0)</f>
        <v>#VALUE!</v>
      </c>
      <c r="K1901" s="13" t="s">
        <v>3297</v>
      </c>
      <c r="L1901" s="13"/>
      <c r="M1901" s="23" t="s">
        <v>277</v>
      </c>
    </row>
    <row r="1902" spans="1:13" ht="19.5" customHeight="1">
      <c r="A1902" s="18">
        <f t="shared" si="29"/>
        <v>1901</v>
      </c>
      <c r="B1902" s="11" t="s">
        <v>3295</v>
      </c>
      <c r="C1902" s="11" t="s">
        <v>94</v>
      </c>
      <c r="D1902" s="11" t="s">
        <v>1822</v>
      </c>
      <c r="E1902" s="11"/>
      <c r="F1902" s="11" t="s">
        <v>1754</v>
      </c>
      <c r="G1902" s="11" t="s">
        <v>13</v>
      </c>
      <c r="H1902" s="19" t="str">
        <f>IFERROR(VLOOKUP(Table2[[#This Row], [Ticket]],Okey!A:B,2,0),"")</f>
        <v/>
      </c>
      <c r="I1902" s="11" t="s">
        <v>276</v>
      </c>
      <c r="J1902" s="19" t="e">
        <f>VLOOKUP(Table2[[#This Row], [Author]],People!A:B,2,0)</f>
        <v>#VALUE!</v>
      </c>
      <c r="K1902" s="11" t="s">
        <v>3297</v>
      </c>
      <c r="L1902" s="11"/>
      <c r="M1902" s="20" t="s">
        <v>277</v>
      </c>
    </row>
    <row r="1903" spans="1:13" ht="19.5" customHeight="1">
      <c r="A1903" s="21">
        <f t="shared" si="29"/>
        <v>1902</v>
      </c>
      <c r="B1903" s="13" t="s">
        <v>3295</v>
      </c>
      <c r="C1903" s="13" t="s">
        <v>94</v>
      </c>
      <c r="D1903" s="13" t="s">
        <v>1824</v>
      </c>
      <c r="E1903" s="13"/>
      <c r="F1903" s="13" t="s">
        <v>1744</v>
      </c>
      <c r="G1903" s="13" t="s">
        <v>13</v>
      </c>
      <c r="H1903" s="22" t="str">
        <f>IFERROR(VLOOKUP(Table2[[#This Row], [Ticket]],Okey!A:B,2,0),"")</f>
        <v/>
      </c>
      <c r="I1903" s="13" t="s">
        <v>276</v>
      </c>
      <c r="J1903" s="22" t="e">
        <f>VLOOKUP(Table2[[#This Row], [Author]],People!A:B,2,0)</f>
        <v>#VALUE!</v>
      </c>
      <c r="K1903" s="13" t="s">
        <v>3297</v>
      </c>
      <c r="L1903" s="13"/>
      <c r="M1903" s="23" t="s">
        <v>277</v>
      </c>
    </row>
    <row r="1904" spans="1:13" ht="19.5" customHeight="1">
      <c r="A1904" s="18">
        <f t="shared" si="29"/>
        <v>1903</v>
      </c>
      <c r="B1904" s="11" t="s">
        <v>3295</v>
      </c>
      <c r="C1904" s="11" t="s">
        <v>94</v>
      </c>
      <c r="D1904" s="11" t="s">
        <v>1826</v>
      </c>
      <c r="E1904" s="11"/>
      <c r="F1904" s="11" t="s">
        <v>1744</v>
      </c>
      <c r="G1904" s="11" t="s">
        <v>13</v>
      </c>
      <c r="H1904" s="19" t="str">
        <f>IFERROR(VLOOKUP(Table2[[#This Row], [Ticket]],Okey!A:B,2,0),"")</f>
        <v/>
      </c>
      <c r="I1904" s="11" t="s">
        <v>276</v>
      </c>
      <c r="J1904" s="19" t="e">
        <f>VLOOKUP(Table2[[#This Row], [Author]],People!A:B,2,0)</f>
        <v>#VALUE!</v>
      </c>
      <c r="K1904" s="11" t="s">
        <v>3297</v>
      </c>
      <c r="L1904" s="11"/>
      <c r="M1904" s="20" t="s">
        <v>277</v>
      </c>
    </row>
    <row r="1905" spans="1:13" ht="19.5" customHeight="1">
      <c r="A1905" s="21">
        <f t="shared" si="29"/>
        <v>1904</v>
      </c>
      <c r="B1905" s="13" t="s">
        <v>3295</v>
      </c>
      <c r="C1905" s="13" t="s">
        <v>94</v>
      </c>
      <c r="D1905" s="13" t="s">
        <v>1828</v>
      </c>
      <c r="E1905" s="13"/>
      <c r="F1905" s="13" t="s">
        <v>1756</v>
      </c>
      <c r="G1905" s="13" t="s">
        <v>13</v>
      </c>
      <c r="H1905" s="22" t="str">
        <f>IFERROR(VLOOKUP(Table2[[#This Row], [Ticket]],Okey!A:B,2,0),"")</f>
        <v/>
      </c>
      <c r="I1905" s="13" t="s">
        <v>276</v>
      </c>
      <c r="J1905" s="22" t="e">
        <f>VLOOKUP(Table2[[#This Row], [Author]],People!A:B,2,0)</f>
        <v>#VALUE!</v>
      </c>
      <c r="K1905" s="13" t="s">
        <v>3297</v>
      </c>
      <c r="L1905" s="13"/>
      <c r="M1905" s="23" t="s">
        <v>277</v>
      </c>
    </row>
    <row r="1906" spans="1:13" ht="19.5" customHeight="1">
      <c r="A1906" s="18">
        <f t="shared" si="29"/>
        <v>1905</v>
      </c>
      <c r="B1906" s="11" t="s">
        <v>3295</v>
      </c>
      <c r="C1906" s="11" t="s">
        <v>94</v>
      </c>
      <c r="D1906" s="11" t="s">
        <v>1916</v>
      </c>
      <c r="E1906" s="11"/>
      <c r="F1906" s="11" t="s">
        <v>1768</v>
      </c>
      <c r="G1906" s="11" t="s">
        <v>13</v>
      </c>
      <c r="H1906" s="19" t="str">
        <f>IFERROR(VLOOKUP(Table2[[#This Row], [Ticket]],Okey!A:B,2,0),"")</f>
        <v/>
      </c>
      <c r="I1906" s="11" t="s">
        <v>276</v>
      </c>
      <c r="J1906" s="19" t="e">
        <f>VLOOKUP(Table2[[#This Row], [Author]],People!A:B,2,0)</f>
        <v>#VALUE!</v>
      </c>
      <c r="K1906" s="11" t="s">
        <v>3297</v>
      </c>
      <c r="L1906" s="11"/>
      <c r="M1906" s="20" t="s">
        <v>277</v>
      </c>
    </row>
    <row r="1907" spans="1:13" ht="19.5" customHeight="1">
      <c r="A1907" s="21">
        <f t="shared" si="29"/>
        <v>1906</v>
      </c>
      <c r="B1907" s="13" t="s">
        <v>3295</v>
      </c>
      <c r="C1907" s="13" t="s">
        <v>94</v>
      </c>
      <c r="D1907" s="13" t="s">
        <v>1830</v>
      </c>
      <c r="E1907" s="13"/>
      <c r="F1907" s="13" t="s">
        <v>1756</v>
      </c>
      <c r="G1907" s="13" t="s">
        <v>13</v>
      </c>
      <c r="H1907" s="22" t="str">
        <f>IFERROR(VLOOKUP(Table2[[#This Row], [Ticket]],Okey!A:B,2,0),"")</f>
        <v/>
      </c>
      <c r="I1907" s="13" t="s">
        <v>276</v>
      </c>
      <c r="J1907" s="22" t="e">
        <f>VLOOKUP(Table2[[#This Row], [Author]],People!A:B,2,0)</f>
        <v>#VALUE!</v>
      </c>
      <c r="K1907" s="13" t="s">
        <v>3297</v>
      </c>
      <c r="L1907" s="13"/>
      <c r="M1907" s="23" t="s">
        <v>277</v>
      </c>
    </row>
    <row r="1908" spans="1:13" ht="19.5" customHeight="1">
      <c r="A1908" s="18">
        <f t="shared" si="29"/>
        <v>1907</v>
      </c>
      <c r="B1908" s="11" t="s">
        <v>3295</v>
      </c>
      <c r="C1908" s="11" t="s">
        <v>94</v>
      </c>
      <c r="D1908" s="11" t="s">
        <v>1832</v>
      </c>
      <c r="E1908" s="11"/>
      <c r="F1908" s="11" t="s">
        <v>1756</v>
      </c>
      <c r="G1908" s="11" t="s">
        <v>13</v>
      </c>
      <c r="H1908" s="19" t="str">
        <f>IFERROR(VLOOKUP(Table2[[#This Row], [Ticket]],Okey!A:B,2,0),"")</f>
        <v/>
      </c>
      <c r="I1908" s="11" t="s">
        <v>276</v>
      </c>
      <c r="J1908" s="19" t="e">
        <f>VLOOKUP(Table2[[#This Row], [Author]],People!A:B,2,0)</f>
        <v>#VALUE!</v>
      </c>
      <c r="K1908" s="11" t="s">
        <v>3297</v>
      </c>
      <c r="L1908" s="11"/>
      <c r="M1908" s="20" t="s">
        <v>277</v>
      </c>
    </row>
    <row r="1909" spans="1:13" ht="19.5" customHeight="1">
      <c r="A1909" s="21">
        <f t="shared" si="29"/>
        <v>1908</v>
      </c>
      <c r="B1909" s="13" t="s">
        <v>3295</v>
      </c>
      <c r="C1909" s="13" t="s">
        <v>94</v>
      </c>
      <c r="D1909" s="13" t="s">
        <v>3464</v>
      </c>
      <c r="E1909" s="13"/>
      <c r="F1909" s="13" t="s">
        <v>1750</v>
      </c>
      <c r="G1909" s="13" t="s">
        <v>13</v>
      </c>
      <c r="H1909" s="22" t="str">
        <f>IFERROR(VLOOKUP(Table2[[#This Row], [Ticket]],Okey!A:B,2,0),"")</f>
        <v/>
      </c>
      <c r="I1909" s="13" t="s">
        <v>276</v>
      </c>
      <c r="J1909" s="22" t="e">
        <f>VLOOKUP(Table2[[#This Row], [Author]],People!A:B,2,0)</f>
        <v>#VALUE!</v>
      </c>
      <c r="K1909" s="13" t="s">
        <v>3297</v>
      </c>
      <c r="L1909" s="13"/>
      <c r="M1909" s="23" t="s">
        <v>277</v>
      </c>
    </row>
    <row r="1910" spans="1:13" ht="19.5" customHeight="1">
      <c r="A1910" s="18">
        <f t="shared" si="29"/>
        <v>1909</v>
      </c>
      <c r="B1910" s="11" t="s">
        <v>3295</v>
      </c>
      <c r="C1910" s="11" t="s">
        <v>94</v>
      </c>
      <c r="D1910" s="11" t="s">
        <v>3465</v>
      </c>
      <c r="E1910" s="11"/>
      <c r="F1910" s="11" t="s">
        <v>1774</v>
      </c>
      <c r="G1910" s="11" t="s">
        <v>13</v>
      </c>
      <c r="H1910" s="19" t="str">
        <f>IFERROR(VLOOKUP(Table2[[#This Row], [Ticket]],Okey!A:B,2,0),"")</f>
        <v/>
      </c>
      <c r="I1910" s="11" t="s">
        <v>276</v>
      </c>
      <c r="J1910" s="19" t="e">
        <f>VLOOKUP(Table2[[#This Row], [Author]],People!A:B,2,0)</f>
        <v>#VALUE!</v>
      </c>
      <c r="K1910" s="11" t="s">
        <v>3297</v>
      </c>
      <c r="L1910" s="11"/>
      <c r="M1910" s="20" t="s">
        <v>277</v>
      </c>
    </row>
    <row r="1911" spans="1:13" ht="19.5" customHeight="1">
      <c r="A1911" s="21">
        <f t="shared" si="29"/>
        <v>1910</v>
      </c>
      <c r="B1911" s="13" t="s">
        <v>3295</v>
      </c>
      <c r="C1911" s="13" t="s">
        <v>94</v>
      </c>
      <c r="D1911" s="13" t="s">
        <v>3466</v>
      </c>
      <c r="E1911" s="13"/>
      <c r="F1911" s="13" t="s">
        <v>1774</v>
      </c>
      <c r="G1911" s="13" t="s">
        <v>13</v>
      </c>
      <c r="H1911" s="22" t="str">
        <f>IFERROR(VLOOKUP(Table2[[#This Row], [Ticket]],Okey!A:B,2,0),"")</f>
        <v/>
      </c>
      <c r="I1911" s="13" t="s">
        <v>276</v>
      </c>
      <c r="J1911" s="22" t="e">
        <f>VLOOKUP(Table2[[#This Row], [Author]],People!A:B,2,0)</f>
        <v>#VALUE!</v>
      </c>
      <c r="K1911" s="13" t="s">
        <v>3297</v>
      </c>
      <c r="L1911" s="13"/>
      <c r="M1911" s="23" t="s">
        <v>277</v>
      </c>
    </row>
    <row r="1912" spans="1:13" ht="19.5" customHeight="1">
      <c r="A1912" s="18">
        <f t="shared" si="29"/>
        <v>1911</v>
      </c>
      <c r="B1912" s="11" t="s">
        <v>3295</v>
      </c>
      <c r="C1912" s="11" t="s">
        <v>94</v>
      </c>
      <c r="D1912" s="11" t="s">
        <v>3467</v>
      </c>
      <c r="E1912" s="11"/>
      <c r="F1912" s="11" t="s">
        <v>1774</v>
      </c>
      <c r="G1912" s="11" t="s">
        <v>13</v>
      </c>
      <c r="H1912" s="19" t="str">
        <f>IFERROR(VLOOKUP(Table2[[#This Row], [Ticket]],Okey!A:B,2,0),"")</f>
        <v/>
      </c>
      <c r="I1912" s="11" t="s">
        <v>276</v>
      </c>
      <c r="J1912" s="19" t="e">
        <f>VLOOKUP(Table2[[#This Row], [Author]],People!A:B,2,0)</f>
        <v>#VALUE!</v>
      </c>
      <c r="K1912" s="11" t="s">
        <v>3297</v>
      </c>
      <c r="L1912" s="11"/>
      <c r="M1912" s="20" t="s">
        <v>277</v>
      </c>
    </row>
    <row r="1913" spans="1:13" ht="19.5" customHeight="1">
      <c r="A1913" s="21">
        <f t="shared" si="29"/>
        <v>1912</v>
      </c>
      <c r="B1913" s="13" t="s">
        <v>3295</v>
      </c>
      <c r="C1913" s="13" t="s">
        <v>94</v>
      </c>
      <c r="D1913" s="13" t="s">
        <v>3468</v>
      </c>
      <c r="E1913" s="13"/>
      <c r="F1913" s="13" t="s">
        <v>1774</v>
      </c>
      <c r="G1913" s="13" t="s">
        <v>13</v>
      </c>
      <c r="H1913" s="22" t="str">
        <f>IFERROR(VLOOKUP(Table2[[#This Row], [Ticket]],Okey!A:B,2,0),"")</f>
        <v/>
      </c>
      <c r="I1913" s="13" t="s">
        <v>276</v>
      </c>
      <c r="J1913" s="22" t="e">
        <f>VLOOKUP(Table2[[#This Row], [Author]],People!A:B,2,0)</f>
        <v>#VALUE!</v>
      </c>
      <c r="K1913" s="13" t="s">
        <v>3297</v>
      </c>
      <c r="L1913" s="13"/>
      <c r="M1913" s="23" t="s">
        <v>277</v>
      </c>
    </row>
    <row r="1914" spans="1:13" ht="19.5" customHeight="1">
      <c r="A1914" s="18">
        <f t="shared" si="29"/>
        <v>1913</v>
      </c>
      <c r="B1914" s="11" t="s">
        <v>3295</v>
      </c>
      <c r="C1914" s="11" t="s">
        <v>94</v>
      </c>
      <c r="D1914" s="11" t="s">
        <v>3469</v>
      </c>
      <c r="E1914" s="11"/>
      <c r="F1914" s="11" t="s">
        <v>1774</v>
      </c>
      <c r="G1914" s="11" t="s">
        <v>13</v>
      </c>
      <c r="H1914" s="19" t="str">
        <f>IFERROR(VLOOKUP(Table2[[#This Row], [Ticket]],Okey!A:B,2,0),"")</f>
        <v/>
      </c>
      <c r="I1914" s="11" t="s">
        <v>276</v>
      </c>
      <c r="J1914" s="19" t="e">
        <f>VLOOKUP(Table2[[#This Row], [Author]],People!A:B,2,0)</f>
        <v>#VALUE!</v>
      </c>
      <c r="K1914" s="11" t="s">
        <v>3297</v>
      </c>
      <c r="L1914" s="11"/>
      <c r="M1914" s="20" t="s">
        <v>277</v>
      </c>
    </row>
    <row r="1915" spans="1:13" ht="19.5" customHeight="1">
      <c r="A1915" s="21">
        <f t="shared" si="29"/>
        <v>1914</v>
      </c>
      <c r="B1915" s="13" t="s">
        <v>3295</v>
      </c>
      <c r="C1915" s="13" t="s">
        <v>94</v>
      </c>
      <c r="D1915" s="13" t="s">
        <v>3470</v>
      </c>
      <c r="E1915" s="13"/>
      <c r="F1915" s="13" t="s">
        <v>1768</v>
      </c>
      <c r="G1915" s="13" t="s">
        <v>13</v>
      </c>
      <c r="H1915" s="22" t="str">
        <f>IFERROR(VLOOKUP(Table2[[#This Row], [Ticket]],Okey!A:B,2,0),"")</f>
        <v/>
      </c>
      <c r="I1915" s="13" t="s">
        <v>276</v>
      </c>
      <c r="J1915" s="22" t="e">
        <f>VLOOKUP(Table2[[#This Row], [Author]],People!A:B,2,0)</f>
        <v>#VALUE!</v>
      </c>
      <c r="K1915" s="13" t="s">
        <v>3297</v>
      </c>
      <c r="L1915" s="13"/>
      <c r="M1915" s="23" t="s">
        <v>277</v>
      </c>
    </row>
    <row r="1916" spans="1:13" ht="19.5" customHeight="1">
      <c r="A1916" s="18">
        <f t="shared" si="29"/>
        <v>1915</v>
      </c>
      <c r="B1916" s="11" t="s">
        <v>3295</v>
      </c>
      <c r="C1916" s="11" t="s">
        <v>94</v>
      </c>
      <c r="D1916" s="11" t="s">
        <v>1915</v>
      </c>
      <c r="E1916" s="11"/>
      <c r="F1916" s="11" t="s">
        <v>1762</v>
      </c>
      <c r="G1916" s="11" t="s">
        <v>13</v>
      </c>
      <c r="H1916" s="19" t="str">
        <f>IFERROR(VLOOKUP(Table2[[#This Row], [Ticket]],Okey!A:B,2,0),"")</f>
        <v/>
      </c>
      <c r="I1916" s="11" t="s">
        <v>276</v>
      </c>
      <c r="J1916" s="19" t="e">
        <f>VLOOKUP(Table2[[#This Row], [Author]],People!A:B,2,0)</f>
        <v>#VALUE!</v>
      </c>
      <c r="K1916" s="11" t="s">
        <v>3297</v>
      </c>
      <c r="L1916" s="11"/>
      <c r="M1916" s="20" t="s">
        <v>277</v>
      </c>
    </row>
    <row r="1917" spans="1:13" ht="19.5" customHeight="1">
      <c r="A1917" s="21">
        <f t="shared" si="29"/>
        <v>1916</v>
      </c>
      <c r="B1917" s="13" t="s">
        <v>3295</v>
      </c>
      <c r="C1917" s="13" t="s">
        <v>94</v>
      </c>
      <c r="D1917" s="13" t="s">
        <v>1836</v>
      </c>
      <c r="E1917" s="13"/>
      <c r="F1917" s="13" t="s">
        <v>1750</v>
      </c>
      <c r="G1917" s="13" t="s">
        <v>13</v>
      </c>
      <c r="H1917" s="22" t="str">
        <f>IFERROR(VLOOKUP(Table2[[#This Row], [Ticket]],Okey!A:B,2,0),"")</f>
        <v/>
      </c>
      <c r="I1917" s="13" t="s">
        <v>276</v>
      </c>
      <c r="J1917" s="22" t="e">
        <f>VLOOKUP(Table2[[#This Row], [Author]],People!A:B,2,0)</f>
        <v>#VALUE!</v>
      </c>
      <c r="K1917" s="13" t="s">
        <v>3297</v>
      </c>
      <c r="L1917" s="13"/>
      <c r="M1917" s="23" t="s">
        <v>277</v>
      </c>
    </row>
    <row r="1918" spans="1:13" ht="19.5" customHeight="1">
      <c r="A1918" s="18">
        <f t="shared" si="29"/>
        <v>1917</v>
      </c>
      <c r="B1918" s="11" t="s">
        <v>3295</v>
      </c>
      <c r="C1918" s="11" t="s">
        <v>94</v>
      </c>
      <c r="D1918" s="11" t="s">
        <v>1838</v>
      </c>
      <c r="E1918" s="11"/>
      <c r="F1918" s="11" t="s">
        <v>1754</v>
      </c>
      <c r="G1918" s="11" t="s">
        <v>13</v>
      </c>
      <c r="H1918" s="19" t="str">
        <f>IFERROR(VLOOKUP(Table2[[#This Row], [Ticket]],Okey!A:B,2,0),"")</f>
        <v/>
      </c>
      <c r="I1918" s="11" t="s">
        <v>276</v>
      </c>
      <c r="J1918" s="19" t="e">
        <f>VLOOKUP(Table2[[#This Row], [Author]],People!A:B,2,0)</f>
        <v>#VALUE!</v>
      </c>
      <c r="K1918" s="11" t="s">
        <v>3297</v>
      </c>
      <c r="L1918" s="11"/>
      <c r="M1918" s="20" t="s">
        <v>277</v>
      </c>
    </row>
    <row r="1919" spans="1:13" ht="19.5" customHeight="1">
      <c r="A1919" s="21">
        <f t="shared" si="29"/>
        <v>1918</v>
      </c>
      <c r="B1919" s="13" t="s">
        <v>3295</v>
      </c>
      <c r="C1919" s="13" t="s">
        <v>94</v>
      </c>
      <c r="D1919" s="13" t="s">
        <v>1840</v>
      </c>
      <c r="E1919" s="13"/>
      <c r="F1919" s="13" t="s">
        <v>1742</v>
      </c>
      <c r="G1919" s="13" t="s">
        <v>13</v>
      </c>
      <c r="H1919" s="22" t="str">
        <f>IFERROR(VLOOKUP(Table2[[#This Row], [Ticket]],Okey!A:B,2,0),"")</f>
        <v/>
      </c>
      <c r="I1919" s="13" t="s">
        <v>276</v>
      </c>
      <c r="J1919" s="22" t="e">
        <f>VLOOKUP(Table2[[#This Row], [Author]],People!A:B,2,0)</f>
        <v>#VALUE!</v>
      </c>
      <c r="K1919" s="13" t="s">
        <v>3297</v>
      </c>
      <c r="L1919" s="13"/>
      <c r="M1919" s="23" t="s">
        <v>277</v>
      </c>
    </row>
    <row r="1920" spans="1:13" ht="19.5" customHeight="1">
      <c r="A1920" s="18">
        <f t="shared" si="29"/>
        <v>1919</v>
      </c>
      <c r="B1920" s="11" t="s">
        <v>3295</v>
      </c>
      <c r="C1920" s="11" t="s">
        <v>94</v>
      </c>
      <c r="D1920" s="11" t="s">
        <v>1742</v>
      </c>
      <c r="E1920" s="11"/>
      <c r="F1920" s="11" t="s">
        <v>1740</v>
      </c>
      <c r="G1920" s="11" t="s">
        <v>13</v>
      </c>
      <c r="H1920" s="19" t="str">
        <f>IFERROR(VLOOKUP(Table2[[#This Row], [Ticket]],Okey!A:B,2,0),"")</f>
        <v/>
      </c>
      <c r="I1920" s="11" t="s">
        <v>276</v>
      </c>
      <c r="J1920" s="19" t="e">
        <f>VLOOKUP(Table2[[#This Row], [Author]],People!A:B,2,0)</f>
        <v>#VALUE!</v>
      </c>
      <c r="K1920" s="11" t="s">
        <v>3297</v>
      </c>
      <c r="L1920" s="11"/>
      <c r="M1920" s="20" t="s">
        <v>277</v>
      </c>
    </row>
    <row r="1921" spans="1:13" ht="19.5" customHeight="1">
      <c r="A1921" s="21">
        <f t="shared" si="29"/>
        <v>1920</v>
      </c>
      <c r="B1921" s="13" t="s">
        <v>3295</v>
      </c>
      <c r="C1921" s="13" t="s">
        <v>94</v>
      </c>
      <c r="D1921" s="13" t="s">
        <v>1744</v>
      </c>
      <c r="E1921" s="13"/>
      <c r="F1921" s="13" t="s">
        <v>1740</v>
      </c>
      <c r="G1921" s="13" t="s">
        <v>13</v>
      </c>
      <c r="H1921" s="22" t="str">
        <f>IFERROR(VLOOKUP(Table2[[#This Row], [Ticket]],Okey!A:B,2,0),"")</f>
        <v/>
      </c>
      <c r="I1921" s="13" t="s">
        <v>276</v>
      </c>
      <c r="J1921" s="22" t="e">
        <f>VLOOKUP(Table2[[#This Row], [Author]],People!A:B,2,0)</f>
        <v>#VALUE!</v>
      </c>
      <c r="K1921" s="13" t="s">
        <v>3297</v>
      </c>
      <c r="L1921" s="13"/>
      <c r="M1921" s="23" t="s">
        <v>277</v>
      </c>
    </row>
    <row r="1922" spans="1:13" ht="19.5" customHeight="1">
      <c r="A1922" s="18">
        <f t="shared" si="29"/>
        <v>1921</v>
      </c>
      <c r="B1922" s="11" t="s">
        <v>3295</v>
      </c>
      <c r="C1922" s="11" t="s">
        <v>94</v>
      </c>
      <c r="D1922" s="11" t="s">
        <v>1746</v>
      </c>
      <c r="E1922" s="11"/>
      <c r="F1922" s="11" t="s">
        <v>1744</v>
      </c>
      <c r="G1922" s="11" t="s">
        <v>13</v>
      </c>
      <c r="H1922" s="19" t="str">
        <f>IFERROR(VLOOKUP(Table2[[#This Row], [Ticket]],Okey!A:B,2,0),"")</f>
        <v/>
      </c>
      <c r="I1922" s="11" t="s">
        <v>276</v>
      </c>
      <c r="J1922" s="19" t="e">
        <f>VLOOKUP(Table2[[#This Row], [Author]],People!A:B,2,0)</f>
        <v>#VALUE!</v>
      </c>
      <c r="K1922" s="11" t="s">
        <v>3297</v>
      </c>
      <c r="L1922" s="11"/>
      <c r="M1922" s="20" t="s">
        <v>277</v>
      </c>
    </row>
    <row r="1923" spans="1:13" ht="19.5" customHeight="1">
      <c r="A1923" s="21">
        <f t="shared" ref="A1923:A1986" si="30">1+A1922</f>
        <v>1922</v>
      </c>
      <c r="B1923" s="13" t="s">
        <v>3295</v>
      </c>
      <c r="C1923" s="13" t="s">
        <v>94</v>
      </c>
      <c r="D1923" s="13" t="s">
        <v>1748</v>
      </c>
      <c r="E1923" s="13"/>
      <c r="F1923" s="13" t="s">
        <v>1744</v>
      </c>
      <c r="G1923" s="13" t="s">
        <v>13</v>
      </c>
      <c r="H1923" s="22" t="str">
        <f>IFERROR(VLOOKUP(Table2[[#This Row], [Ticket]],Okey!A:B,2,0),"")</f>
        <v/>
      </c>
      <c r="I1923" s="13" t="s">
        <v>276</v>
      </c>
      <c r="J1923" s="22" t="e">
        <f>VLOOKUP(Table2[[#This Row], [Author]],People!A:B,2,0)</f>
        <v>#VALUE!</v>
      </c>
      <c r="K1923" s="13" t="s">
        <v>3297</v>
      </c>
      <c r="L1923" s="13"/>
      <c r="M1923" s="23" t="s">
        <v>277</v>
      </c>
    </row>
    <row r="1924" spans="1:13" ht="19.5" customHeight="1">
      <c r="A1924" s="18">
        <f t="shared" si="30"/>
        <v>1923</v>
      </c>
      <c r="B1924" s="11" t="s">
        <v>3295</v>
      </c>
      <c r="C1924" s="11" t="s">
        <v>94</v>
      </c>
      <c r="D1924" s="11" t="s">
        <v>1752</v>
      </c>
      <c r="E1924" s="11"/>
      <c r="F1924" s="11" t="s">
        <v>1774</v>
      </c>
      <c r="G1924" s="11" t="s">
        <v>13</v>
      </c>
      <c r="H1924" s="19" t="str">
        <f>IFERROR(VLOOKUP(Table2[[#This Row], [Ticket]],Okey!A:B,2,0),"")</f>
        <v/>
      </c>
      <c r="I1924" s="11" t="s">
        <v>276</v>
      </c>
      <c r="J1924" s="19" t="e">
        <f>VLOOKUP(Table2[[#This Row], [Author]],People!A:B,2,0)</f>
        <v>#VALUE!</v>
      </c>
      <c r="K1924" s="11" t="s">
        <v>3297</v>
      </c>
      <c r="L1924" s="11"/>
      <c r="M1924" s="20" t="s">
        <v>277</v>
      </c>
    </row>
    <row r="1925" spans="1:13" ht="19.5" customHeight="1">
      <c r="A1925" s="21">
        <f t="shared" si="30"/>
        <v>1924</v>
      </c>
      <c r="B1925" s="13" t="s">
        <v>3295</v>
      </c>
      <c r="C1925" s="13" t="s">
        <v>94</v>
      </c>
      <c r="D1925" s="13" t="s">
        <v>1754</v>
      </c>
      <c r="E1925" s="13"/>
      <c r="F1925" s="13" t="s">
        <v>1742</v>
      </c>
      <c r="G1925" s="13" t="s">
        <v>13</v>
      </c>
      <c r="H1925" s="22" t="str">
        <f>IFERROR(VLOOKUP(Table2[[#This Row], [Ticket]],Okey!A:B,2,0),"")</f>
        <v/>
      </c>
      <c r="I1925" s="13" t="s">
        <v>276</v>
      </c>
      <c r="J1925" s="22" t="e">
        <f>VLOOKUP(Table2[[#This Row], [Author]],People!A:B,2,0)</f>
        <v>#VALUE!</v>
      </c>
      <c r="K1925" s="13" t="s">
        <v>3297</v>
      </c>
      <c r="L1925" s="13"/>
      <c r="M1925" s="23" t="s">
        <v>277</v>
      </c>
    </row>
    <row r="1926" spans="1:13" ht="19.5" customHeight="1">
      <c r="A1926" s="18">
        <f t="shared" si="30"/>
        <v>1925</v>
      </c>
      <c r="B1926" s="11" t="s">
        <v>3295</v>
      </c>
      <c r="C1926" s="11" t="s">
        <v>94</v>
      </c>
      <c r="D1926" s="11" t="s">
        <v>1756</v>
      </c>
      <c r="E1926" s="11"/>
      <c r="F1926" s="11" t="s">
        <v>1742</v>
      </c>
      <c r="G1926" s="11" t="s">
        <v>13</v>
      </c>
      <c r="H1926" s="19" t="str">
        <f>IFERROR(VLOOKUP(Table2[[#This Row], [Ticket]],Okey!A:B,2,0),"")</f>
        <v/>
      </c>
      <c r="I1926" s="11" t="s">
        <v>276</v>
      </c>
      <c r="J1926" s="19" t="e">
        <f>VLOOKUP(Table2[[#This Row], [Author]],People!A:B,2,0)</f>
        <v>#VALUE!</v>
      </c>
      <c r="K1926" s="11" t="s">
        <v>3297</v>
      </c>
      <c r="L1926" s="11"/>
      <c r="M1926" s="20" t="s">
        <v>277</v>
      </c>
    </row>
    <row r="1927" spans="1:13" ht="19.5" customHeight="1">
      <c r="A1927" s="21">
        <f t="shared" si="30"/>
        <v>1926</v>
      </c>
      <c r="B1927" s="13" t="s">
        <v>3295</v>
      </c>
      <c r="C1927" s="13" t="s">
        <v>94</v>
      </c>
      <c r="D1927" s="13" t="s">
        <v>1758</v>
      </c>
      <c r="E1927" s="13"/>
      <c r="F1927" s="13" t="s">
        <v>1742</v>
      </c>
      <c r="G1927" s="13" t="s">
        <v>13</v>
      </c>
      <c r="H1927" s="22" t="str">
        <f>IFERROR(VLOOKUP(Table2[[#This Row], [Ticket]],Okey!A:B,2,0),"")</f>
        <v/>
      </c>
      <c r="I1927" s="13" t="s">
        <v>276</v>
      </c>
      <c r="J1927" s="22" t="e">
        <f>VLOOKUP(Table2[[#This Row], [Author]],People!A:B,2,0)</f>
        <v>#VALUE!</v>
      </c>
      <c r="K1927" s="13" t="s">
        <v>3297</v>
      </c>
      <c r="L1927" s="13"/>
      <c r="M1927" s="23" t="s">
        <v>277</v>
      </c>
    </row>
    <row r="1928" spans="1:13" ht="19.5" customHeight="1">
      <c r="A1928" s="18">
        <f t="shared" si="30"/>
        <v>1927</v>
      </c>
      <c r="B1928" s="11" t="s">
        <v>3295</v>
      </c>
      <c r="C1928" s="11" t="s">
        <v>94</v>
      </c>
      <c r="D1928" s="11" t="s">
        <v>1760</v>
      </c>
      <c r="E1928" s="11"/>
      <c r="F1928" s="11" t="s">
        <v>1742</v>
      </c>
      <c r="G1928" s="11" t="s">
        <v>13</v>
      </c>
      <c r="H1928" s="19" t="str">
        <f>IFERROR(VLOOKUP(Table2[[#This Row], [Ticket]],Okey!A:B,2,0),"")</f>
        <v/>
      </c>
      <c r="I1928" s="11" t="s">
        <v>276</v>
      </c>
      <c r="J1928" s="19" t="e">
        <f>VLOOKUP(Table2[[#This Row], [Author]],People!A:B,2,0)</f>
        <v>#VALUE!</v>
      </c>
      <c r="K1928" s="11" t="s">
        <v>3297</v>
      </c>
      <c r="L1928" s="11"/>
      <c r="M1928" s="20" t="s">
        <v>277</v>
      </c>
    </row>
    <row r="1929" spans="1:13" ht="19.5" customHeight="1">
      <c r="A1929" s="21">
        <f t="shared" si="30"/>
        <v>1928</v>
      </c>
      <c r="B1929" s="13" t="s">
        <v>3295</v>
      </c>
      <c r="C1929" s="13" t="s">
        <v>94</v>
      </c>
      <c r="D1929" s="13" t="s">
        <v>1762</v>
      </c>
      <c r="E1929" s="13"/>
      <c r="F1929" s="13" t="s">
        <v>1742</v>
      </c>
      <c r="G1929" s="13" t="s">
        <v>13</v>
      </c>
      <c r="H1929" s="22" t="str">
        <f>IFERROR(VLOOKUP(Table2[[#This Row], [Ticket]],Okey!A:B,2,0),"")</f>
        <v/>
      </c>
      <c r="I1929" s="13" t="s">
        <v>276</v>
      </c>
      <c r="J1929" s="22" t="e">
        <f>VLOOKUP(Table2[[#This Row], [Author]],People!A:B,2,0)</f>
        <v>#VALUE!</v>
      </c>
      <c r="K1929" s="13" t="s">
        <v>3297</v>
      </c>
      <c r="L1929" s="13"/>
      <c r="M1929" s="23" t="s">
        <v>277</v>
      </c>
    </row>
    <row r="1930" spans="1:13" ht="19.5" customHeight="1">
      <c r="A1930" s="18">
        <f t="shared" si="30"/>
        <v>1929</v>
      </c>
      <c r="B1930" s="11" t="s">
        <v>3295</v>
      </c>
      <c r="C1930" s="11" t="s">
        <v>94</v>
      </c>
      <c r="D1930" s="11" t="s">
        <v>1764</v>
      </c>
      <c r="E1930" s="11"/>
      <c r="F1930" s="11" t="s">
        <v>1742</v>
      </c>
      <c r="G1930" s="11" t="s">
        <v>13</v>
      </c>
      <c r="H1930" s="19" t="str">
        <f>IFERROR(VLOOKUP(Table2[[#This Row], [Ticket]],Okey!A:B,2,0),"")</f>
        <v/>
      </c>
      <c r="I1930" s="11" t="s">
        <v>276</v>
      </c>
      <c r="J1930" s="19" t="e">
        <f>VLOOKUP(Table2[[#This Row], [Author]],People!A:B,2,0)</f>
        <v>#VALUE!</v>
      </c>
      <c r="K1930" s="11" t="s">
        <v>3297</v>
      </c>
      <c r="L1930" s="11"/>
      <c r="M1930" s="20" t="s">
        <v>277</v>
      </c>
    </row>
    <row r="1931" spans="1:13" ht="19.5" customHeight="1">
      <c r="A1931" s="21">
        <f t="shared" si="30"/>
        <v>1930</v>
      </c>
      <c r="B1931" s="13" t="s">
        <v>3295</v>
      </c>
      <c r="C1931" s="13" t="s">
        <v>94</v>
      </c>
      <c r="D1931" s="13" t="s">
        <v>1766</v>
      </c>
      <c r="E1931" s="13"/>
      <c r="F1931" s="13" t="s">
        <v>1742</v>
      </c>
      <c r="G1931" s="13" t="s">
        <v>13</v>
      </c>
      <c r="H1931" s="22" t="str">
        <f>IFERROR(VLOOKUP(Table2[[#This Row], [Ticket]],Okey!A:B,2,0),"")</f>
        <v/>
      </c>
      <c r="I1931" s="13" t="s">
        <v>276</v>
      </c>
      <c r="J1931" s="22" t="e">
        <f>VLOOKUP(Table2[[#This Row], [Author]],People!A:B,2,0)</f>
        <v>#VALUE!</v>
      </c>
      <c r="K1931" s="13" t="s">
        <v>3297</v>
      </c>
      <c r="L1931" s="13"/>
      <c r="M1931" s="23" t="s">
        <v>277</v>
      </c>
    </row>
    <row r="1932" spans="1:13" ht="19.5" customHeight="1">
      <c r="A1932" s="18">
        <f t="shared" si="30"/>
        <v>1931</v>
      </c>
      <c r="B1932" s="11" t="s">
        <v>3295</v>
      </c>
      <c r="C1932" s="11" t="s">
        <v>94</v>
      </c>
      <c r="D1932" s="11" t="s">
        <v>1768</v>
      </c>
      <c r="E1932" s="11"/>
      <c r="F1932" s="11" t="s">
        <v>1744</v>
      </c>
      <c r="G1932" s="11" t="s">
        <v>13</v>
      </c>
      <c r="H1932" s="19" t="str">
        <f>IFERROR(VLOOKUP(Table2[[#This Row], [Ticket]],Okey!A:B,2,0),"")</f>
        <v/>
      </c>
      <c r="I1932" s="11" t="s">
        <v>276</v>
      </c>
      <c r="J1932" s="19" t="e">
        <f>VLOOKUP(Table2[[#This Row], [Author]],People!A:B,2,0)</f>
        <v>#VALUE!</v>
      </c>
      <c r="K1932" s="11" t="s">
        <v>3297</v>
      </c>
      <c r="L1932" s="11"/>
      <c r="M1932" s="20" t="s">
        <v>277</v>
      </c>
    </row>
    <row r="1933" spans="1:13" ht="19.5" customHeight="1">
      <c r="A1933" s="21">
        <f t="shared" si="30"/>
        <v>1932</v>
      </c>
      <c r="B1933" s="13" t="s">
        <v>3295</v>
      </c>
      <c r="C1933" s="13" t="s">
        <v>94</v>
      </c>
      <c r="D1933" s="13" t="s">
        <v>1770</v>
      </c>
      <c r="E1933" s="13"/>
      <c r="F1933" s="13" t="s">
        <v>1750</v>
      </c>
      <c r="G1933" s="13" t="s">
        <v>13</v>
      </c>
      <c r="H1933" s="22" t="str">
        <f>IFERROR(VLOOKUP(Table2[[#This Row], [Ticket]],Okey!A:B,2,0),"")</f>
        <v/>
      </c>
      <c r="I1933" s="13" t="s">
        <v>276</v>
      </c>
      <c r="J1933" s="22" t="e">
        <f>VLOOKUP(Table2[[#This Row], [Author]],People!A:B,2,0)</f>
        <v>#VALUE!</v>
      </c>
      <c r="K1933" s="13" t="s">
        <v>3297</v>
      </c>
      <c r="L1933" s="13"/>
      <c r="M1933" s="23" t="s">
        <v>277</v>
      </c>
    </row>
    <row r="1934" spans="1:13" ht="19.5" customHeight="1">
      <c r="A1934" s="18">
        <f t="shared" si="30"/>
        <v>1933</v>
      </c>
      <c r="B1934" s="11" t="s">
        <v>3295</v>
      </c>
      <c r="C1934" s="11" t="s">
        <v>94</v>
      </c>
      <c r="D1934" s="11" t="s">
        <v>1772</v>
      </c>
      <c r="E1934" s="11"/>
      <c r="F1934" s="11" t="s">
        <v>1750</v>
      </c>
      <c r="G1934" s="11" t="s">
        <v>13</v>
      </c>
      <c r="H1934" s="19" t="str">
        <f>IFERROR(VLOOKUP(Table2[[#This Row], [Ticket]],Okey!A:B,2,0),"")</f>
        <v/>
      </c>
      <c r="I1934" s="11" t="s">
        <v>276</v>
      </c>
      <c r="J1934" s="19" t="e">
        <f>VLOOKUP(Table2[[#This Row], [Author]],People!A:B,2,0)</f>
        <v>#VALUE!</v>
      </c>
      <c r="K1934" s="11" t="s">
        <v>3297</v>
      </c>
      <c r="L1934" s="11"/>
      <c r="M1934" s="20" t="s">
        <v>277</v>
      </c>
    </row>
    <row r="1935" spans="1:13" ht="19.5" customHeight="1">
      <c r="A1935" s="21">
        <f t="shared" si="30"/>
        <v>1934</v>
      </c>
      <c r="B1935" s="13" t="s">
        <v>3295</v>
      </c>
      <c r="C1935" s="13" t="s">
        <v>94</v>
      </c>
      <c r="D1935" s="13" t="s">
        <v>1776</v>
      </c>
      <c r="E1935" s="13"/>
      <c r="F1935" s="13" t="s">
        <v>1768</v>
      </c>
      <c r="G1935" s="13" t="s">
        <v>13</v>
      </c>
      <c r="H1935" s="22" t="str">
        <f>IFERROR(VLOOKUP(Table2[[#This Row], [Ticket]],Okey!A:B,2,0),"")</f>
        <v/>
      </c>
      <c r="I1935" s="13" t="s">
        <v>276</v>
      </c>
      <c r="J1935" s="22" t="e">
        <f>VLOOKUP(Table2[[#This Row], [Author]],People!A:B,2,0)</f>
        <v>#VALUE!</v>
      </c>
      <c r="K1935" s="13" t="s">
        <v>3297</v>
      </c>
      <c r="L1935" s="13"/>
      <c r="M1935" s="23" t="s">
        <v>277</v>
      </c>
    </row>
    <row r="1936" spans="1:13" ht="19.5" customHeight="1">
      <c r="A1936" s="18">
        <f t="shared" si="30"/>
        <v>1935</v>
      </c>
      <c r="B1936" s="11" t="s">
        <v>3295</v>
      </c>
      <c r="C1936" s="11" t="s">
        <v>94</v>
      </c>
      <c r="D1936" s="11" t="s">
        <v>1778</v>
      </c>
      <c r="E1936" s="11"/>
      <c r="F1936" s="11" t="s">
        <v>1768</v>
      </c>
      <c r="G1936" s="11" t="s">
        <v>13</v>
      </c>
      <c r="H1936" s="19" t="str">
        <f>IFERROR(VLOOKUP(Table2[[#This Row], [Ticket]],Okey!A:B,2,0),"")</f>
        <v/>
      </c>
      <c r="I1936" s="11" t="s">
        <v>276</v>
      </c>
      <c r="J1936" s="19" t="e">
        <f>VLOOKUP(Table2[[#This Row], [Author]],People!A:B,2,0)</f>
        <v>#VALUE!</v>
      </c>
      <c r="K1936" s="11" t="s">
        <v>3297</v>
      </c>
      <c r="L1936" s="11"/>
      <c r="M1936" s="20" t="s">
        <v>277</v>
      </c>
    </row>
    <row r="1937" spans="1:13" ht="19.5" customHeight="1">
      <c r="A1937" s="21">
        <f t="shared" si="30"/>
        <v>1936</v>
      </c>
      <c r="B1937" s="13" t="s">
        <v>3295</v>
      </c>
      <c r="C1937" s="13" t="s">
        <v>94</v>
      </c>
      <c r="D1937" s="13" t="s">
        <v>3339</v>
      </c>
      <c r="E1937" s="13"/>
      <c r="F1937" s="13" t="s">
        <v>1782</v>
      </c>
      <c r="G1937" s="13" t="s">
        <v>13</v>
      </c>
      <c r="H1937" s="22" t="str">
        <f>IFERROR(VLOOKUP(Table2[[#This Row], [Ticket]],Okey!A:B,2,0),"")</f>
        <v/>
      </c>
      <c r="I1937" s="13" t="s">
        <v>276</v>
      </c>
      <c r="J1937" s="22" t="e">
        <f>VLOOKUP(Table2[[#This Row], [Author]],People!A:B,2,0)</f>
        <v>#VALUE!</v>
      </c>
      <c r="K1937" s="13" t="s">
        <v>3297</v>
      </c>
      <c r="L1937" s="13"/>
      <c r="M1937" s="23" t="s">
        <v>277</v>
      </c>
    </row>
    <row r="1938" spans="1:13" ht="19.5" customHeight="1">
      <c r="A1938" s="18">
        <f t="shared" si="30"/>
        <v>1937</v>
      </c>
      <c r="B1938" s="11" t="s">
        <v>3295</v>
      </c>
      <c r="C1938" s="11" t="s">
        <v>94</v>
      </c>
      <c r="D1938" s="11" t="s">
        <v>3471</v>
      </c>
      <c r="E1938" s="11"/>
      <c r="F1938" s="11" t="s">
        <v>3472</v>
      </c>
      <c r="G1938" s="11" t="s">
        <v>13</v>
      </c>
      <c r="H1938" s="19" t="str">
        <f>IFERROR(VLOOKUP(Table2[[#This Row], [Ticket]],Okey!A:B,2,0),"")</f>
        <v/>
      </c>
      <c r="I1938" s="11" t="s">
        <v>276</v>
      </c>
      <c r="J1938" s="19" t="e">
        <f>VLOOKUP(Table2[[#This Row], [Author]],People!A:B,2,0)</f>
        <v>#VALUE!</v>
      </c>
      <c r="K1938" s="11" t="s">
        <v>3473</v>
      </c>
      <c r="L1938" s="11"/>
      <c r="M1938" s="20" t="s">
        <v>277</v>
      </c>
    </row>
    <row r="1939" spans="1:13" ht="19.5" customHeight="1">
      <c r="A1939" s="21">
        <f t="shared" si="30"/>
        <v>1938</v>
      </c>
      <c r="B1939" s="13" t="s">
        <v>3295</v>
      </c>
      <c r="C1939" s="13" t="s">
        <v>94</v>
      </c>
      <c r="D1939" s="13" t="s">
        <v>3474</v>
      </c>
      <c r="E1939" s="13"/>
      <c r="F1939" s="13" t="s">
        <v>3472</v>
      </c>
      <c r="G1939" s="13" t="s">
        <v>13</v>
      </c>
      <c r="H1939" s="22" t="str">
        <f>IFERROR(VLOOKUP(Table2[[#This Row], [Ticket]],Okey!A:B,2,0),"")</f>
        <v/>
      </c>
      <c r="I1939" s="13" t="s">
        <v>276</v>
      </c>
      <c r="J1939" s="22" t="e">
        <f>VLOOKUP(Table2[[#This Row], [Author]],People!A:B,2,0)</f>
        <v>#VALUE!</v>
      </c>
      <c r="K1939" s="13" t="s">
        <v>3473</v>
      </c>
      <c r="L1939" s="13"/>
      <c r="M1939" s="23" t="s">
        <v>277</v>
      </c>
    </row>
    <row r="1940" spans="1:13" ht="19.5" customHeight="1">
      <c r="A1940" s="18">
        <f t="shared" si="30"/>
        <v>1939</v>
      </c>
      <c r="B1940" s="11" t="s">
        <v>3295</v>
      </c>
      <c r="C1940" s="11" t="s">
        <v>94</v>
      </c>
      <c r="D1940" s="11" t="s">
        <v>3475</v>
      </c>
      <c r="E1940" s="11"/>
      <c r="F1940" s="11" t="s">
        <v>3472</v>
      </c>
      <c r="G1940" s="11" t="s">
        <v>13</v>
      </c>
      <c r="H1940" s="19" t="str">
        <f>IFERROR(VLOOKUP(Table2[[#This Row], [Ticket]],Okey!A:B,2,0),"")</f>
        <v/>
      </c>
      <c r="I1940" s="11" t="s">
        <v>276</v>
      </c>
      <c r="J1940" s="19" t="e">
        <f>VLOOKUP(Table2[[#This Row], [Author]],People!A:B,2,0)</f>
        <v>#VALUE!</v>
      </c>
      <c r="K1940" s="11" t="s">
        <v>3473</v>
      </c>
      <c r="L1940" s="11"/>
      <c r="M1940" s="20" t="s">
        <v>277</v>
      </c>
    </row>
    <row r="1941" spans="1:13" ht="19.5" customHeight="1">
      <c r="A1941" s="21">
        <f t="shared" si="30"/>
        <v>1940</v>
      </c>
      <c r="B1941" s="13" t="s">
        <v>3295</v>
      </c>
      <c r="C1941" s="13" t="s">
        <v>94</v>
      </c>
      <c r="D1941" s="13" t="s">
        <v>3476</v>
      </c>
      <c r="E1941" s="13"/>
      <c r="F1941" s="13" t="s">
        <v>3477</v>
      </c>
      <c r="G1941" s="13" t="s">
        <v>13</v>
      </c>
      <c r="H1941" s="22" t="str">
        <f>IFERROR(VLOOKUP(Table2[[#This Row], [Ticket]],Okey!A:B,2,0),"")</f>
        <v/>
      </c>
      <c r="I1941" s="13" t="s">
        <v>276</v>
      </c>
      <c r="J1941" s="22" t="e">
        <f>VLOOKUP(Table2[[#This Row], [Author]],People!A:B,2,0)</f>
        <v>#VALUE!</v>
      </c>
      <c r="K1941" s="13" t="s">
        <v>3297</v>
      </c>
      <c r="L1941" s="13"/>
      <c r="M1941" s="23" t="s">
        <v>277</v>
      </c>
    </row>
    <row r="1942" spans="1:13" ht="19.5" customHeight="1">
      <c r="A1942" s="18">
        <f t="shared" si="30"/>
        <v>1941</v>
      </c>
      <c r="B1942" s="11" t="s">
        <v>3295</v>
      </c>
      <c r="C1942" s="11" t="s">
        <v>94</v>
      </c>
      <c r="D1942" s="11" t="s">
        <v>3369</v>
      </c>
      <c r="E1942" s="11"/>
      <c r="F1942" s="11" t="s">
        <v>1309</v>
      </c>
      <c r="G1942" s="11" t="s">
        <v>13</v>
      </c>
      <c r="H1942" s="19" t="str">
        <f>IFERROR(VLOOKUP(Table2[[#This Row], [Ticket]],Okey!A:B,2,0),"")</f>
        <v/>
      </c>
      <c r="I1942" s="11" t="s">
        <v>276</v>
      </c>
      <c r="J1942" s="19" t="e">
        <f>VLOOKUP(Table2[[#This Row], [Author]],People!A:B,2,0)</f>
        <v>#VALUE!</v>
      </c>
      <c r="K1942" s="11" t="s">
        <v>3297</v>
      </c>
      <c r="L1942" s="11"/>
      <c r="M1942" s="20" t="s">
        <v>277</v>
      </c>
    </row>
    <row r="1943" spans="1:13" ht="19.5" customHeight="1">
      <c r="A1943" s="21">
        <f t="shared" si="30"/>
        <v>1942</v>
      </c>
      <c r="B1943" s="13" t="s">
        <v>3295</v>
      </c>
      <c r="C1943" s="13" t="s">
        <v>96</v>
      </c>
      <c r="D1943" s="13" t="s">
        <v>3478</v>
      </c>
      <c r="E1943" s="13"/>
      <c r="F1943" s="13" t="s">
        <v>3479</v>
      </c>
      <c r="G1943" s="13" t="s">
        <v>13</v>
      </c>
      <c r="H1943" s="22" t="str">
        <f>IFERROR(VLOOKUP(Table2[[#This Row], [Ticket]],Okey!A:B,2,0),"")</f>
        <v/>
      </c>
      <c r="I1943" s="13" t="s">
        <v>276</v>
      </c>
      <c r="J1943" s="22" t="e">
        <f>VLOOKUP(Table2[[#This Row], [Author]],People!A:B,2,0)</f>
        <v>#VALUE!</v>
      </c>
      <c r="K1943" s="13" t="s">
        <v>3297</v>
      </c>
      <c r="L1943" s="13"/>
      <c r="M1943" s="23" t="s">
        <v>277</v>
      </c>
    </row>
    <row r="1944" spans="1:13" ht="19.5" customHeight="1">
      <c r="A1944" s="18">
        <f t="shared" si="30"/>
        <v>1943</v>
      </c>
      <c r="B1944" s="11" t="s">
        <v>3295</v>
      </c>
      <c r="C1944" s="11" t="s">
        <v>96</v>
      </c>
      <c r="D1944" s="11" t="s">
        <v>3480</v>
      </c>
      <c r="E1944" s="11"/>
      <c r="F1944" s="11" t="s">
        <v>3479</v>
      </c>
      <c r="G1944" s="11" t="s">
        <v>13</v>
      </c>
      <c r="H1944" s="19" t="str">
        <f>IFERROR(VLOOKUP(Table2[[#This Row], [Ticket]],Okey!A:B,2,0),"")</f>
        <v/>
      </c>
      <c r="I1944" s="11" t="s">
        <v>276</v>
      </c>
      <c r="J1944" s="19" t="e">
        <f>VLOOKUP(Table2[[#This Row], [Author]],People!A:B,2,0)</f>
        <v>#VALUE!</v>
      </c>
      <c r="K1944" s="11" t="s">
        <v>3297</v>
      </c>
      <c r="L1944" s="11"/>
      <c r="M1944" s="20" t="s">
        <v>277</v>
      </c>
    </row>
    <row r="1945" spans="1:13" ht="19.5" customHeight="1">
      <c r="A1945" s="21">
        <f t="shared" si="30"/>
        <v>1944</v>
      </c>
      <c r="B1945" s="13" t="s">
        <v>3295</v>
      </c>
      <c r="C1945" s="13" t="s">
        <v>96</v>
      </c>
      <c r="D1945" s="13" t="s">
        <v>3481</v>
      </c>
      <c r="E1945" s="13"/>
      <c r="F1945" s="13" t="s">
        <v>3479</v>
      </c>
      <c r="G1945" s="13" t="s">
        <v>13</v>
      </c>
      <c r="H1945" s="22" t="str">
        <f>IFERROR(VLOOKUP(Table2[[#This Row], [Ticket]],Okey!A:B,2,0),"")</f>
        <v/>
      </c>
      <c r="I1945" s="13" t="s">
        <v>276</v>
      </c>
      <c r="J1945" s="22" t="e">
        <f>VLOOKUP(Table2[[#This Row], [Author]],People!A:B,2,0)</f>
        <v>#VALUE!</v>
      </c>
      <c r="K1945" s="13" t="s">
        <v>3297</v>
      </c>
      <c r="L1945" s="13"/>
      <c r="M1945" s="23" t="s">
        <v>277</v>
      </c>
    </row>
    <row r="1946" spans="1:13" ht="19.5" customHeight="1">
      <c r="A1946" s="18">
        <f t="shared" si="30"/>
        <v>1945</v>
      </c>
      <c r="B1946" s="11" t="s">
        <v>3295</v>
      </c>
      <c r="C1946" s="11" t="s">
        <v>96</v>
      </c>
      <c r="D1946" s="11" t="s">
        <v>3482</v>
      </c>
      <c r="E1946" s="11"/>
      <c r="F1946" s="11" t="s">
        <v>3479</v>
      </c>
      <c r="G1946" s="11" t="s">
        <v>13</v>
      </c>
      <c r="H1946" s="19" t="str">
        <f>IFERROR(VLOOKUP(Table2[[#This Row], [Ticket]],Okey!A:B,2,0),"")</f>
        <v/>
      </c>
      <c r="I1946" s="11" t="s">
        <v>276</v>
      </c>
      <c r="J1946" s="19" t="e">
        <f>VLOOKUP(Table2[[#This Row], [Author]],People!A:B,2,0)</f>
        <v>#VALUE!</v>
      </c>
      <c r="K1946" s="11" t="s">
        <v>3297</v>
      </c>
      <c r="L1946" s="11"/>
      <c r="M1946" s="20" t="s">
        <v>277</v>
      </c>
    </row>
    <row r="1947" spans="1:13" ht="19.5" customHeight="1">
      <c r="A1947" s="21">
        <f t="shared" si="30"/>
        <v>1946</v>
      </c>
      <c r="B1947" s="13" t="s">
        <v>3295</v>
      </c>
      <c r="C1947" s="13" t="s">
        <v>96</v>
      </c>
      <c r="D1947" s="13" t="s">
        <v>3483</v>
      </c>
      <c r="E1947" s="13"/>
      <c r="F1947" s="13" t="s">
        <v>3484</v>
      </c>
      <c r="G1947" s="13" t="s">
        <v>13</v>
      </c>
      <c r="H1947" s="22" t="str">
        <f>IFERROR(VLOOKUP(Table2[[#This Row], [Ticket]],Okey!A:B,2,0),"")</f>
        <v/>
      </c>
      <c r="I1947" s="13" t="s">
        <v>276</v>
      </c>
      <c r="J1947" s="22" t="e">
        <f>VLOOKUP(Table2[[#This Row], [Author]],People!A:B,2,0)</f>
        <v>#VALUE!</v>
      </c>
      <c r="K1947" s="13" t="s">
        <v>3297</v>
      </c>
      <c r="L1947" s="13"/>
      <c r="M1947" s="23" t="s">
        <v>277</v>
      </c>
    </row>
    <row r="1948" spans="1:13" ht="19.5" customHeight="1">
      <c r="A1948" s="18">
        <f t="shared" si="30"/>
        <v>1947</v>
      </c>
      <c r="B1948" s="11" t="s">
        <v>3295</v>
      </c>
      <c r="C1948" s="11" t="s">
        <v>96</v>
      </c>
      <c r="D1948" s="11" t="s">
        <v>3485</v>
      </c>
      <c r="E1948" s="11"/>
      <c r="F1948" s="11" t="s">
        <v>3486</v>
      </c>
      <c r="G1948" s="11" t="s">
        <v>13</v>
      </c>
      <c r="H1948" s="19" t="str">
        <f>IFERROR(VLOOKUP(Table2[[#This Row], [Ticket]],Okey!A:B,2,0),"")</f>
        <v/>
      </c>
      <c r="I1948" s="11" t="s">
        <v>276</v>
      </c>
      <c r="J1948" s="19" t="e">
        <f>VLOOKUP(Table2[[#This Row], [Author]],People!A:B,2,0)</f>
        <v>#VALUE!</v>
      </c>
      <c r="K1948" s="11" t="s">
        <v>3297</v>
      </c>
      <c r="L1948" s="11"/>
      <c r="M1948" s="20" t="s">
        <v>277</v>
      </c>
    </row>
    <row r="1949" spans="1:13" ht="19.5" customHeight="1">
      <c r="A1949" s="21">
        <f t="shared" si="30"/>
        <v>1948</v>
      </c>
      <c r="B1949" s="13" t="s">
        <v>3295</v>
      </c>
      <c r="C1949" s="13" t="s">
        <v>96</v>
      </c>
      <c r="D1949" s="13" t="s">
        <v>3487</v>
      </c>
      <c r="E1949" s="13"/>
      <c r="F1949" s="13" t="s">
        <v>3488</v>
      </c>
      <c r="G1949" s="13" t="s">
        <v>13</v>
      </c>
      <c r="H1949" s="22" t="str">
        <f>IFERROR(VLOOKUP(Table2[[#This Row], [Ticket]],Okey!A:B,2,0),"")</f>
        <v/>
      </c>
      <c r="I1949" s="13" t="s">
        <v>276</v>
      </c>
      <c r="J1949" s="22" t="e">
        <f>VLOOKUP(Table2[[#This Row], [Author]],People!A:B,2,0)</f>
        <v>#VALUE!</v>
      </c>
      <c r="K1949" s="13" t="s">
        <v>3297</v>
      </c>
      <c r="L1949" s="13"/>
      <c r="M1949" s="23" t="s">
        <v>277</v>
      </c>
    </row>
    <row r="1950" spans="1:13" ht="19.5" customHeight="1">
      <c r="A1950" s="18">
        <f t="shared" si="30"/>
        <v>1949</v>
      </c>
      <c r="B1950" s="11" t="s">
        <v>3295</v>
      </c>
      <c r="C1950" s="11" t="s">
        <v>96</v>
      </c>
      <c r="D1950" s="11" t="s">
        <v>3489</v>
      </c>
      <c r="E1950" s="11"/>
      <c r="F1950" s="11" t="s">
        <v>3490</v>
      </c>
      <c r="G1950" s="11" t="s">
        <v>13</v>
      </c>
      <c r="H1950" s="19" t="str">
        <f>IFERROR(VLOOKUP(Table2[[#This Row], [Ticket]],Okey!A:B,2,0),"")</f>
        <v/>
      </c>
      <c r="I1950" s="11" t="s">
        <v>276</v>
      </c>
      <c r="J1950" s="19" t="e">
        <f>VLOOKUP(Table2[[#This Row], [Author]],People!A:B,2,0)</f>
        <v>#VALUE!</v>
      </c>
      <c r="K1950" s="11" t="s">
        <v>3297</v>
      </c>
      <c r="L1950" s="11"/>
      <c r="M1950" s="20" t="s">
        <v>277</v>
      </c>
    </row>
    <row r="1951" spans="1:13" ht="19.5" customHeight="1">
      <c r="A1951" s="21">
        <f t="shared" si="30"/>
        <v>1950</v>
      </c>
      <c r="B1951" s="13" t="s">
        <v>3295</v>
      </c>
      <c r="C1951" s="13" t="s">
        <v>96</v>
      </c>
      <c r="D1951" s="13" t="s">
        <v>3491</v>
      </c>
      <c r="E1951" s="13"/>
      <c r="F1951" s="13" t="s">
        <v>3488</v>
      </c>
      <c r="G1951" s="13" t="s">
        <v>13</v>
      </c>
      <c r="H1951" s="22" t="str">
        <f>IFERROR(VLOOKUP(Table2[[#This Row], [Ticket]],Okey!A:B,2,0),"")</f>
        <v/>
      </c>
      <c r="I1951" s="13" t="s">
        <v>276</v>
      </c>
      <c r="J1951" s="22" t="e">
        <f>VLOOKUP(Table2[[#This Row], [Author]],People!A:B,2,0)</f>
        <v>#VALUE!</v>
      </c>
      <c r="K1951" s="13" t="s">
        <v>3297</v>
      </c>
      <c r="L1951" s="13"/>
      <c r="M1951" s="23" t="s">
        <v>277</v>
      </c>
    </row>
    <row r="1952" spans="1:13" ht="19.5" customHeight="1">
      <c r="A1952" s="18">
        <f t="shared" si="30"/>
        <v>1951</v>
      </c>
      <c r="B1952" s="11" t="s">
        <v>3295</v>
      </c>
      <c r="C1952" s="11" t="s">
        <v>96</v>
      </c>
      <c r="D1952" s="11" t="s">
        <v>3492</v>
      </c>
      <c r="E1952" s="11"/>
      <c r="F1952" s="11" t="s">
        <v>3493</v>
      </c>
      <c r="G1952" s="11" t="s">
        <v>13</v>
      </c>
      <c r="H1952" s="19" t="str">
        <f>IFERROR(VLOOKUP(Table2[[#This Row], [Ticket]],Okey!A:B,2,0),"")</f>
        <v/>
      </c>
      <c r="I1952" s="11" t="s">
        <v>276</v>
      </c>
      <c r="J1952" s="19" t="e">
        <f>VLOOKUP(Table2[[#This Row], [Author]],People!A:B,2,0)</f>
        <v>#VALUE!</v>
      </c>
      <c r="K1952" s="11" t="s">
        <v>3297</v>
      </c>
      <c r="L1952" s="11"/>
      <c r="M1952" s="20" t="s">
        <v>277</v>
      </c>
    </row>
    <row r="1953" spans="1:13" ht="19.5" customHeight="1">
      <c r="A1953" s="21">
        <f t="shared" si="30"/>
        <v>1952</v>
      </c>
      <c r="B1953" s="13" t="s">
        <v>3295</v>
      </c>
      <c r="C1953" s="13" t="s">
        <v>96</v>
      </c>
      <c r="D1953" s="13" t="s">
        <v>3494</v>
      </c>
      <c r="E1953" s="13"/>
      <c r="F1953" s="13" t="s">
        <v>3495</v>
      </c>
      <c r="G1953" s="13" t="s">
        <v>13</v>
      </c>
      <c r="H1953" s="22" t="str">
        <f>IFERROR(VLOOKUP(Table2[[#This Row], [Ticket]],Okey!A:B,2,0),"")</f>
        <v/>
      </c>
      <c r="I1953" s="13" t="s">
        <v>276</v>
      </c>
      <c r="J1953" s="22" t="e">
        <f>VLOOKUP(Table2[[#This Row], [Author]],People!A:B,2,0)</f>
        <v>#VALUE!</v>
      </c>
      <c r="K1953" s="13" t="s">
        <v>3297</v>
      </c>
      <c r="L1953" s="13"/>
      <c r="M1953" s="23" t="s">
        <v>277</v>
      </c>
    </row>
    <row r="1954" spans="1:13" ht="19.5" customHeight="1">
      <c r="A1954" s="18">
        <f t="shared" si="30"/>
        <v>1953</v>
      </c>
      <c r="B1954" s="11" t="s">
        <v>3295</v>
      </c>
      <c r="C1954" s="11" t="s">
        <v>96</v>
      </c>
      <c r="D1954" s="11" t="s">
        <v>3496</v>
      </c>
      <c r="E1954" s="11"/>
      <c r="F1954" s="11" t="s">
        <v>3497</v>
      </c>
      <c r="G1954" s="11" t="s">
        <v>13</v>
      </c>
      <c r="H1954" s="19" t="str">
        <f>IFERROR(VLOOKUP(Table2[[#This Row], [Ticket]],Okey!A:B,2,0),"")</f>
        <v/>
      </c>
      <c r="I1954" s="11" t="s">
        <v>276</v>
      </c>
      <c r="J1954" s="19" t="e">
        <f>VLOOKUP(Table2[[#This Row], [Author]],People!A:B,2,0)</f>
        <v>#VALUE!</v>
      </c>
      <c r="K1954" s="11" t="s">
        <v>3297</v>
      </c>
      <c r="L1954" s="11"/>
      <c r="M1954" s="20" t="s">
        <v>277</v>
      </c>
    </row>
    <row r="1955" spans="1:13" ht="19.5" customHeight="1">
      <c r="A1955" s="21">
        <f t="shared" si="30"/>
        <v>1954</v>
      </c>
      <c r="B1955" s="13" t="s">
        <v>3295</v>
      </c>
      <c r="C1955" s="13" t="s">
        <v>96</v>
      </c>
      <c r="D1955" s="13" t="s">
        <v>3498</v>
      </c>
      <c r="E1955" s="13"/>
      <c r="F1955" s="13" t="s">
        <v>3499</v>
      </c>
      <c r="G1955" s="13" t="s">
        <v>13</v>
      </c>
      <c r="H1955" s="22" t="str">
        <f>IFERROR(VLOOKUP(Table2[[#This Row], [Ticket]],Okey!A:B,2,0),"")</f>
        <v/>
      </c>
      <c r="I1955" s="13" t="s">
        <v>276</v>
      </c>
      <c r="J1955" s="22" t="e">
        <f>VLOOKUP(Table2[[#This Row], [Author]],People!A:B,2,0)</f>
        <v>#VALUE!</v>
      </c>
      <c r="K1955" s="13" t="s">
        <v>3297</v>
      </c>
      <c r="L1955" s="13"/>
      <c r="M1955" s="23" t="s">
        <v>277</v>
      </c>
    </row>
    <row r="1956" spans="1:13" ht="19.5" customHeight="1">
      <c r="A1956" s="18">
        <f t="shared" si="30"/>
        <v>1955</v>
      </c>
      <c r="B1956" s="11" t="s">
        <v>3295</v>
      </c>
      <c r="C1956" s="11" t="s">
        <v>96</v>
      </c>
      <c r="D1956" s="11" t="s">
        <v>3500</v>
      </c>
      <c r="E1956" s="11"/>
      <c r="F1956" s="11" t="s">
        <v>3501</v>
      </c>
      <c r="G1956" s="11" t="s">
        <v>13</v>
      </c>
      <c r="H1956" s="19" t="str">
        <f>IFERROR(VLOOKUP(Table2[[#This Row], [Ticket]],Okey!A:B,2,0),"")</f>
        <v/>
      </c>
      <c r="I1956" s="11" t="s">
        <v>276</v>
      </c>
      <c r="J1956" s="19" t="e">
        <f>VLOOKUP(Table2[[#This Row], [Author]],People!A:B,2,0)</f>
        <v>#VALUE!</v>
      </c>
      <c r="K1956" s="11" t="s">
        <v>3297</v>
      </c>
      <c r="L1956" s="11"/>
      <c r="M1956" s="20" t="s">
        <v>277</v>
      </c>
    </row>
    <row r="1957" spans="1:13" ht="19.5" customHeight="1">
      <c r="A1957" s="21">
        <f t="shared" si="30"/>
        <v>1956</v>
      </c>
      <c r="B1957" s="13" t="s">
        <v>3295</v>
      </c>
      <c r="C1957" s="13" t="s">
        <v>96</v>
      </c>
      <c r="D1957" s="13" t="s">
        <v>3502</v>
      </c>
      <c r="E1957" s="13"/>
      <c r="F1957" s="13" t="s">
        <v>3501</v>
      </c>
      <c r="G1957" s="13" t="s">
        <v>13</v>
      </c>
      <c r="H1957" s="22" t="str">
        <f>IFERROR(VLOOKUP(Table2[[#This Row], [Ticket]],Okey!A:B,2,0),"")</f>
        <v/>
      </c>
      <c r="I1957" s="13" t="s">
        <v>276</v>
      </c>
      <c r="J1957" s="22" t="e">
        <f>VLOOKUP(Table2[[#This Row], [Author]],People!A:B,2,0)</f>
        <v>#VALUE!</v>
      </c>
      <c r="K1957" s="13" t="s">
        <v>3297</v>
      </c>
      <c r="L1957" s="13"/>
      <c r="M1957" s="23" t="s">
        <v>277</v>
      </c>
    </row>
    <row r="1958" spans="1:13" ht="19.5" customHeight="1">
      <c r="A1958" s="18">
        <f t="shared" si="30"/>
        <v>1957</v>
      </c>
      <c r="B1958" s="11" t="s">
        <v>3295</v>
      </c>
      <c r="C1958" s="11" t="s">
        <v>96</v>
      </c>
      <c r="D1958" s="11" t="s">
        <v>3503</v>
      </c>
      <c r="E1958" s="11"/>
      <c r="F1958" s="11" t="s">
        <v>3504</v>
      </c>
      <c r="G1958" s="11" t="s">
        <v>13</v>
      </c>
      <c r="H1958" s="19" t="str">
        <f>IFERROR(VLOOKUP(Table2[[#This Row], [Ticket]],Okey!A:B,2,0),"")</f>
        <v/>
      </c>
      <c r="I1958" s="11" t="s">
        <v>276</v>
      </c>
      <c r="J1958" s="19" t="e">
        <f>VLOOKUP(Table2[[#This Row], [Author]],People!A:B,2,0)</f>
        <v>#VALUE!</v>
      </c>
      <c r="K1958" s="11" t="s">
        <v>3297</v>
      </c>
      <c r="L1958" s="11"/>
      <c r="M1958" s="20" t="s">
        <v>277</v>
      </c>
    </row>
    <row r="1959" spans="1:13" ht="19.5" customHeight="1">
      <c r="A1959" s="21">
        <f t="shared" si="30"/>
        <v>1958</v>
      </c>
      <c r="B1959" s="13" t="s">
        <v>3295</v>
      </c>
      <c r="C1959" s="13" t="s">
        <v>96</v>
      </c>
      <c r="D1959" s="13" t="s">
        <v>3505</v>
      </c>
      <c r="E1959" s="13"/>
      <c r="F1959" s="13" t="s">
        <v>3506</v>
      </c>
      <c r="G1959" s="13" t="s">
        <v>13</v>
      </c>
      <c r="H1959" s="22" t="str">
        <f>IFERROR(VLOOKUP(Table2[[#This Row], [Ticket]],Okey!A:B,2,0),"")</f>
        <v/>
      </c>
      <c r="I1959" s="13" t="s">
        <v>276</v>
      </c>
      <c r="J1959" s="22" t="e">
        <f>VLOOKUP(Table2[[#This Row], [Author]],People!A:B,2,0)</f>
        <v>#VALUE!</v>
      </c>
      <c r="K1959" s="13" t="s">
        <v>3297</v>
      </c>
      <c r="L1959" s="13"/>
      <c r="M1959" s="23" t="s">
        <v>277</v>
      </c>
    </row>
    <row r="1960" spans="1:13" ht="19.5" customHeight="1">
      <c r="A1960" s="18">
        <f t="shared" si="30"/>
        <v>1959</v>
      </c>
      <c r="B1960" s="11" t="s">
        <v>3295</v>
      </c>
      <c r="C1960" s="11" t="s">
        <v>96</v>
      </c>
      <c r="D1960" s="11" t="s">
        <v>3507</v>
      </c>
      <c r="E1960" s="11"/>
      <c r="F1960" s="11" t="s">
        <v>3508</v>
      </c>
      <c r="G1960" s="11" t="s">
        <v>13</v>
      </c>
      <c r="H1960" s="19" t="str">
        <f>IFERROR(VLOOKUP(Table2[[#This Row], [Ticket]],Okey!A:B,2,0),"")</f>
        <v/>
      </c>
      <c r="I1960" s="11" t="s">
        <v>276</v>
      </c>
      <c r="J1960" s="19" t="e">
        <f>VLOOKUP(Table2[[#This Row], [Author]],People!A:B,2,0)</f>
        <v>#VALUE!</v>
      </c>
      <c r="K1960" s="11" t="s">
        <v>3297</v>
      </c>
      <c r="L1960" s="11"/>
      <c r="M1960" s="20" t="s">
        <v>277</v>
      </c>
    </row>
    <row r="1961" spans="1:13" ht="19.5" customHeight="1">
      <c r="A1961" s="21">
        <f t="shared" si="30"/>
        <v>1960</v>
      </c>
      <c r="B1961" s="13" t="s">
        <v>3295</v>
      </c>
      <c r="C1961" s="13" t="s">
        <v>96</v>
      </c>
      <c r="D1961" s="13" t="s">
        <v>3509</v>
      </c>
      <c r="E1961" s="13"/>
      <c r="F1961" s="13" t="s">
        <v>3508</v>
      </c>
      <c r="G1961" s="13" t="s">
        <v>13</v>
      </c>
      <c r="H1961" s="22" t="str">
        <f>IFERROR(VLOOKUP(Table2[[#This Row], [Ticket]],Okey!A:B,2,0),"")</f>
        <v/>
      </c>
      <c r="I1961" s="13" t="s">
        <v>276</v>
      </c>
      <c r="J1961" s="22" t="e">
        <f>VLOOKUP(Table2[[#This Row], [Author]],People!A:B,2,0)</f>
        <v>#VALUE!</v>
      </c>
      <c r="K1961" s="13" t="s">
        <v>3297</v>
      </c>
      <c r="L1961" s="13"/>
      <c r="M1961" s="23" t="s">
        <v>277</v>
      </c>
    </row>
    <row r="1962" spans="1:13" ht="19.5" customHeight="1">
      <c r="A1962" s="18">
        <f t="shared" si="30"/>
        <v>1961</v>
      </c>
      <c r="B1962" s="11" t="s">
        <v>3295</v>
      </c>
      <c r="C1962" s="11" t="s">
        <v>96</v>
      </c>
      <c r="D1962" s="11" t="s">
        <v>3510</v>
      </c>
      <c r="E1962" s="11"/>
      <c r="F1962" s="11" t="s">
        <v>3506</v>
      </c>
      <c r="G1962" s="11" t="s">
        <v>13</v>
      </c>
      <c r="H1962" s="19" t="str">
        <f>IFERROR(VLOOKUP(Table2[[#This Row], [Ticket]],Okey!A:B,2,0),"")</f>
        <v/>
      </c>
      <c r="I1962" s="11" t="s">
        <v>276</v>
      </c>
      <c r="J1962" s="19" t="e">
        <f>VLOOKUP(Table2[[#This Row], [Author]],People!A:B,2,0)</f>
        <v>#VALUE!</v>
      </c>
      <c r="K1962" s="11" t="s">
        <v>3297</v>
      </c>
      <c r="L1962" s="11"/>
      <c r="M1962" s="20" t="s">
        <v>277</v>
      </c>
    </row>
    <row r="1963" spans="1:13" ht="19.5" customHeight="1">
      <c r="A1963" s="21">
        <f t="shared" si="30"/>
        <v>1962</v>
      </c>
      <c r="B1963" s="13" t="s">
        <v>3295</v>
      </c>
      <c r="C1963" s="13" t="s">
        <v>96</v>
      </c>
      <c r="D1963" s="13" t="s">
        <v>3511</v>
      </c>
      <c r="E1963" s="13"/>
      <c r="F1963" s="13" t="s">
        <v>3512</v>
      </c>
      <c r="G1963" s="13" t="s">
        <v>13</v>
      </c>
      <c r="H1963" s="22" t="str">
        <f>IFERROR(VLOOKUP(Table2[[#This Row], [Ticket]],Okey!A:B,2,0),"")</f>
        <v/>
      </c>
      <c r="I1963" s="13" t="s">
        <v>276</v>
      </c>
      <c r="J1963" s="22" t="e">
        <f>VLOOKUP(Table2[[#This Row], [Author]],People!A:B,2,0)</f>
        <v>#VALUE!</v>
      </c>
      <c r="K1963" s="13" t="s">
        <v>3297</v>
      </c>
      <c r="L1963" s="13"/>
      <c r="M1963" s="23" t="s">
        <v>277</v>
      </c>
    </row>
    <row r="1964" spans="1:13" ht="19.5" customHeight="1">
      <c r="A1964" s="18">
        <f t="shared" si="30"/>
        <v>1963</v>
      </c>
      <c r="B1964" s="11" t="s">
        <v>3295</v>
      </c>
      <c r="C1964" s="11" t="s">
        <v>96</v>
      </c>
      <c r="D1964" s="11" t="s">
        <v>3513</v>
      </c>
      <c r="E1964" s="11"/>
      <c r="F1964" s="11" t="s">
        <v>3488</v>
      </c>
      <c r="G1964" s="11" t="s">
        <v>13</v>
      </c>
      <c r="H1964" s="19" t="str">
        <f>IFERROR(VLOOKUP(Table2[[#This Row], [Ticket]],Okey!A:B,2,0),"")</f>
        <v/>
      </c>
      <c r="I1964" s="11" t="s">
        <v>276</v>
      </c>
      <c r="J1964" s="19" t="e">
        <f>VLOOKUP(Table2[[#This Row], [Author]],People!A:B,2,0)</f>
        <v>#VALUE!</v>
      </c>
      <c r="K1964" s="11" t="s">
        <v>3297</v>
      </c>
      <c r="L1964" s="11"/>
      <c r="M1964" s="20" t="s">
        <v>277</v>
      </c>
    </row>
    <row r="1965" spans="1:13" ht="19.5" customHeight="1">
      <c r="A1965" s="21">
        <f t="shared" si="30"/>
        <v>1964</v>
      </c>
      <c r="B1965" s="13" t="s">
        <v>3295</v>
      </c>
      <c r="C1965" s="13" t="s">
        <v>96</v>
      </c>
      <c r="D1965" s="13" t="s">
        <v>1437</v>
      </c>
      <c r="E1965" s="13"/>
      <c r="F1965" s="13" t="s">
        <v>3514</v>
      </c>
      <c r="G1965" s="13" t="s">
        <v>13</v>
      </c>
      <c r="H1965" s="22" t="str">
        <f>IFERROR(VLOOKUP(Table2[[#This Row], [Ticket]],Okey!A:B,2,0),"")</f>
        <v/>
      </c>
      <c r="I1965" s="13" t="s">
        <v>276</v>
      </c>
      <c r="J1965" s="22" t="e">
        <f>VLOOKUP(Table2[[#This Row], [Author]],People!A:B,2,0)</f>
        <v>#VALUE!</v>
      </c>
      <c r="K1965" s="13" t="s">
        <v>3297</v>
      </c>
      <c r="L1965" s="13"/>
      <c r="M1965" s="23" t="s">
        <v>277</v>
      </c>
    </row>
    <row r="1966" spans="1:13" ht="19.5" customHeight="1">
      <c r="A1966" s="18">
        <f t="shared" si="30"/>
        <v>1965</v>
      </c>
      <c r="B1966" s="11" t="s">
        <v>3295</v>
      </c>
      <c r="C1966" s="11" t="s">
        <v>96</v>
      </c>
      <c r="D1966" s="11" t="s">
        <v>3515</v>
      </c>
      <c r="E1966" s="11"/>
      <c r="F1966" s="11" t="s">
        <v>3514</v>
      </c>
      <c r="G1966" s="11" t="s">
        <v>13</v>
      </c>
      <c r="H1966" s="19" t="str">
        <f>IFERROR(VLOOKUP(Table2[[#This Row], [Ticket]],Okey!A:B,2,0),"")</f>
        <v/>
      </c>
      <c r="I1966" s="11" t="s">
        <v>276</v>
      </c>
      <c r="J1966" s="19" t="e">
        <f>VLOOKUP(Table2[[#This Row], [Author]],People!A:B,2,0)</f>
        <v>#VALUE!</v>
      </c>
      <c r="K1966" s="11" t="s">
        <v>3297</v>
      </c>
      <c r="L1966" s="11"/>
      <c r="M1966" s="20" t="s">
        <v>277</v>
      </c>
    </row>
    <row r="1967" spans="1:13" ht="19.5" customHeight="1">
      <c r="A1967" s="21">
        <f t="shared" si="30"/>
        <v>1966</v>
      </c>
      <c r="B1967" s="13" t="s">
        <v>3295</v>
      </c>
      <c r="C1967" s="13" t="s">
        <v>96</v>
      </c>
      <c r="D1967" s="13" t="s">
        <v>3516</v>
      </c>
      <c r="E1967" s="13"/>
      <c r="F1967" s="13" t="s">
        <v>3517</v>
      </c>
      <c r="G1967" s="13" t="s">
        <v>13</v>
      </c>
      <c r="H1967" s="22" t="str">
        <f>IFERROR(VLOOKUP(Table2[[#This Row], [Ticket]],Okey!A:B,2,0),"")</f>
        <v/>
      </c>
      <c r="I1967" s="13" t="s">
        <v>276</v>
      </c>
      <c r="J1967" s="22" t="e">
        <f>VLOOKUP(Table2[[#This Row], [Author]],People!A:B,2,0)</f>
        <v>#VALUE!</v>
      </c>
      <c r="K1967" s="13" t="s">
        <v>3297</v>
      </c>
      <c r="L1967" s="13"/>
      <c r="M1967" s="23" t="s">
        <v>277</v>
      </c>
    </row>
    <row r="1968" spans="1:13" ht="19.5" customHeight="1">
      <c r="A1968" s="18">
        <f t="shared" si="30"/>
        <v>1967</v>
      </c>
      <c r="B1968" s="11" t="s">
        <v>3295</v>
      </c>
      <c r="C1968" s="11" t="s">
        <v>96</v>
      </c>
      <c r="D1968" s="11" t="s">
        <v>3518</v>
      </c>
      <c r="E1968" s="11"/>
      <c r="F1968" s="11" t="s">
        <v>3519</v>
      </c>
      <c r="G1968" s="11" t="s">
        <v>13</v>
      </c>
      <c r="H1968" s="19" t="str">
        <f>IFERROR(VLOOKUP(Table2[[#This Row], [Ticket]],Okey!A:B,2,0),"")</f>
        <v/>
      </c>
      <c r="I1968" s="11" t="s">
        <v>276</v>
      </c>
      <c r="J1968" s="19" t="e">
        <f>VLOOKUP(Table2[[#This Row], [Author]],People!A:B,2,0)</f>
        <v>#VALUE!</v>
      </c>
      <c r="K1968" s="11" t="s">
        <v>3297</v>
      </c>
      <c r="L1968" s="11"/>
      <c r="M1968" s="20" t="s">
        <v>277</v>
      </c>
    </row>
    <row r="1969" spans="1:13" ht="19.5" customHeight="1">
      <c r="A1969" s="21">
        <f t="shared" si="30"/>
        <v>1968</v>
      </c>
      <c r="B1969" s="13" t="s">
        <v>3295</v>
      </c>
      <c r="C1969" s="13" t="s">
        <v>96</v>
      </c>
      <c r="D1969" s="13" t="s">
        <v>3520</v>
      </c>
      <c r="E1969" s="13"/>
      <c r="F1969" s="13" t="s">
        <v>3521</v>
      </c>
      <c r="G1969" s="13" t="s">
        <v>13</v>
      </c>
      <c r="H1969" s="22" t="str">
        <f>IFERROR(VLOOKUP(Table2[[#This Row], [Ticket]],Okey!A:B,2,0),"")</f>
        <v/>
      </c>
      <c r="I1969" s="13" t="s">
        <v>276</v>
      </c>
      <c r="J1969" s="22" t="e">
        <f>VLOOKUP(Table2[[#This Row], [Author]],People!A:B,2,0)</f>
        <v>#VALUE!</v>
      </c>
      <c r="K1969" s="13" t="s">
        <v>3297</v>
      </c>
      <c r="L1969" s="13"/>
      <c r="M1969" s="23" t="s">
        <v>277</v>
      </c>
    </row>
    <row r="1970" spans="1:13" ht="19.5" customHeight="1">
      <c r="A1970" s="18">
        <f t="shared" si="30"/>
        <v>1969</v>
      </c>
      <c r="B1970" s="11" t="s">
        <v>3295</v>
      </c>
      <c r="C1970" s="11" t="s">
        <v>96</v>
      </c>
      <c r="D1970" s="11" t="s">
        <v>3522</v>
      </c>
      <c r="E1970" s="11"/>
      <c r="F1970" s="11" t="s">
        <v>3523</v>
      </c>
      <c r="G1970" s="11" t="s">
        <v>13</v>
      </c>
      <c r="H1970" s="19" t="str">
        <f>IFERROR(VLOOKUP(Table2[[#This Row], [Ticket]],Okey!A:B,2,0),"")</f>
        <v/>
      </c>
      <c r="I1970" s="11" t="s">
        <v>276</v>
      </c>
      <c r="J1970" s="19" t="e">
        <f>VLOOKUP(Table2[[#This Row], [Author]],People!A:B,2,0)</f>
        <v>#VALUE!</v>
      </c>
      <c r="K1970" s="11" t="s">
        <v>3297</v>
      </c>
      <c r="L1970" s="11"/>
      <c r="M1970" s="20" t="s">
        <v>277</v>
      </c>
    </row>
    <row r="1971" spans="1:13" ht="19.5" customHeight="1">
      <c r="A1971" s="21">
        <f t="shared" si="30"/>
        <v>1970</v>
      </c>
      <c r="B1971" s="13" t="s">
        <v>3295</v>
      </c>
      <c r="C1971" s="13" t="s">
        <v>96</v>
      </c>
      <c r="D1971" s="13" t="s">
        <v>3524</v>
      </c>
      <c r="E1971" s="13"/>
      <c r="F1971" s="13" t="s">
        <v>3519</v>
      </c>
      <c r="G1971" s="13" t="s">
        <v>13</v>
      </c>
      <c r="H1971" s="22" t="str">
        <f>IFERROR(VLOOKUP(Table2[[#This Row], [Ticket]],Okey!A:B,2,0),"")</f>
        <v/>
      </c>
      <c r="I1971" s="13" t="s">
        <v>276</v>
      </c>
      <c r="J1971" s="22" t="e">
        <f>VLOOKUP(Table2[[#This Row], [Author]],People!A:B,2,0)</f>
        <v>#VALUE!</v>
      </c>
      <c r="K1971" s="13" t="s">
        <v>3297</v>
      </c>
      <c r="L1971" s="13"/>
      <c r="M1971" s="23" t="s">
        <v>277</v>
      </c>
    </row>
    <row r="1972" spans="1:13" ht="19.5" customHeight="1">
      <c r="A1972" s="18">
        <f t="shared" si="30"/>
        <v>1971</v>
      </c>
      <c r="B1972" s="11" t="s">
        <v>3295</v>
      </c>
      <c r="C1972" s="11" t="s">
        <v>96</v>
      </c>
      <c r="D1972" s="11" t="s">
        <v>3525</v>
      </c>
      <c r="E1972" s="11"/>
      <c r="F1972" s="11" t="s">
        <v>3484</v>
      </c>
      <c r="G1972" s="11" t="s">
        <v>13</v>
      </c>
      <c r="H1972" s="19" t="str">
        <f>IFERROR(VLOOKUP(Table2[[#This Row], [Ticket]],Okey!A:B,2,0),"")</f>
        <v/>
      </c>
      <c r="I1972" s="11" t="s">
        <v>276</v>
      </c>
      <c r="J1972" s="19" t="e">
        <f>VLOOKUP(Table2[[#This Row], [Author]],People!A:B,2,0)</f>
        <v>#VALUE!</v>
      </c>
      <c r="K1972" s="11" t="s">
        <v>3297</v>
      </c>
      <c r="L1972" s="11"/>
      <c r="M1972" s="20" t="s">
        <v>277</v>
      </c>
    </row>
    <row r="1973" spans="1:13" ht="19.5" customHeight="1">
      <c r="A1973" s="21">
        <f t="shared" si="30"/>
        <v>1972</v>
      </c>
      <c r="B1973" s="13" t="s">
        <v>3295</v>
      </c>
      <c r="C1973" s="13" t="s">
        <v>96</v>
      </c>
      <c r="D1973" s="13" t="s">
        <v>3526</v>
      </c>
      <c r="E1973" s="13"/>
      <c r="F1973" s="13" t="s">
        <v>3523</v>
      </c>
      <c r="G1973" s="13" t="s">
        <v>13</v>
      </c>
      <c r="H1973" s="22" t="str">
        <f>IFERROR(VLOOKUP(Table2[[#This Row], [Ticket]],Okey!A:B,2,0),"")</f>
        <v/>
      </c>
      <c r="I1973" s="13" t="s">
        <v>276</v>
      </c>
      <c r="J1973" s="22" t="e">
        <f>VLOOKUP(Table2[[#This Row], [Author]],People!A:B,2,0)</f>
        <v>#VALUE!</v>
      </c>
      <c r="K1973" s="13" t="s">
        <v>3297</v>
      </c>
      <c r="L1973" s="13"/>
      <c r="M1973" s="23" t="s">
        <v>277</v>
      </c>
    </row>
    <row r="1974" spans="1:13" ht="19.5" customHeight="1">
      <c r="A1974" s="18">
        <f t="shared" si="30"/>
        <v>1973</v>
      </c>
      <c r="B1974" s="11" t="s">
        <v>3295</v>
      </c>
      <c r="C1974" s="11" t="s">
        <v>96</v>
      </c>
      <c r="D1974" s="11" t="s">
        <v>3527</v>
      </c>
      <c r="E1974" s="11"/>
      <c r="F1974" s="11" t="s">
        <v>3519</v>
      </c>
      <c r="G1974" s="11" t="s">
        <v>13</v>
      </c>
      <c r="H1974" s="19" t="str">
        <f>IFERROR(VLOOKUP(Table2[[#This Row], [Ticket]],Okey!A:B,2,0),"")</f>
        <v/>
      </c>
      <c r="I1974" s="11" t="s">
        <v>276</v>
      </c>
      <c r="J1974" s="19" t="e">
        <f>VLOOKUP(Table2[[#This Row], [Author]],People!A:B,2,0)</f>
        <v>#VALUE!</v>
      </c>
      <c r="K1974" s="11" t="s">
        <v>3297</v>
      </c>
      <c r="L1974" s="11"/>
      <c r="M1974" s="20" t="s">
        <v>277</v>
      </c>
    </row>
    <row r="1975" spans="1:13" ht="19.5" customHeight="1">
      <c r="A1975" s="21">
        <f t="shared" si="30"/>
        <v>1974</v>
      </c>
      <c r="B1975" s="13" t="s">
        <v>3295</v>
      </c>
      <c r="C1975" s="13" t="s">
        <v>96</v>
      </c>
      <c r="D1975" s="13" t="s">
        <v>3528</v>
      </c>
      <c r="E1975" s="13"/>
      <c r="F1975" s="13" t="s">
        <v>3488</v>
      </c>
      <c r="G1975" s="13" t="s">
        <v>13</v>
      </c>
      <c r="H1975" s="22" t="str">
        <f>IFERROR(VLOOKUP(Table2[[#This Row], [Ticket]],Okey!A:B,2,0),"")</f>
        <v/>
      </c>
      <c r="I1975" s="13" t="s">
        <v>276</v>
      </c>
      <c r="J1975" s="22" t="e">
        <f>VLOOKUP(Table2[[#This Row], [Author]],People!A:B,2,0)</f>
        <v>#VALUE!</v>
      </c>
      <c r="K1975" s="13" t="s">
        <v>3297</v>
      </c>
      <c r="L1975" s="13"/>
      <c r="M1975" s="23" t="s">
        <v>277</v>
      </c>
    </row>
    <row r="1976" spans="1:13" ht="19.5" customHeight="1">
      <c r="A1976" s="18">
        <f t="shared" si="30"/>
        <v>1975</v>
      </c>
      <c r="B1976" s="11" t="s">
        <v>3295</v>
      </c>
      <c r="C1976" s="11" t="s">
        <v>96</v>
      </c>
      <c r="D1976" s="11" t="s">
        <v>3529</v>
      </c>
      <c r="E1976" s="11"/>
      <c r="F1976" s="11" t="s">
        <v>3488</v>
      </c>
      <c r="G1976" s="11" t="s">
        <v>13</v>
      </c>
      <c r="H1976" s="19" t="str">
        <f>IFERROR(VLOOKUP(Table2[[#This Row], [Ticket]],Okey!A:B,2,0),"")</f>
        <v/>
      </c>
      <c r="I1976" s="11" t="s">
        <v>276</v>
      </c>
      <c r="J1976" s="19" t="e">
        <f>VLOOKUP(Table2[[#This Row], [Author]],People!A:B,2,0)</f>
        <v>#VALUE!</v>
      </c>
      <c r="K1976" s="11" t="s">
        <v>3297</v>
      </c>
      <c r="L1976" s="11"/>
      <c r="M1976" s="20" t="s">
        <v>277</v>
      </c>
    </row>
    <row r="1977" spans="1:13" ht="19.5" customHeight="1">
      <c r="A1977" s="21">
        <f t="shared" si="30"/>
        <v>1976</v>
      </c>
      <c r="B1977" s="13" t="s">
        <v>3295</v>
      </c>
      <c r="C1977" s="13" t="s">
        <v>96</v>
      </c>
      <c r="D1977" s="13" t="s">
        <v>3530</v>
      </c>
      <c r="E1977" s="13"/>
      <c r="F1977" s="13" t="s">
        <v>3531</v>
      </c>
      <c r="G1977" s="13" t="s">
        <v>13</v>
      </c>
      <c r="H1977" s="22" t="str">
        <f>IFERROR(VLOOKUP(Table2[[#This Row], [Ticket]],Okey!A:B,2,0),"")</f>
        <v/>
      </c>
      <c r="I1977" s="13" t="s">
        <v>276</v>
      </c>
      <c r="J1977" s="22" t="e">
        <f>VLOOKUP(Table2[[#This Row], [Author]],People!A:B,2,0)</f>
        <v>#VALUE!</v>
      </c>
      <c r="K1977" s="13" t="s">
        <v>3297</v>
      </c>
      <c r="L1977" s="13"/>
      <c r="M1977" s="23" t="s">
        <v>277</v>
      </c>
    </row>
    <row r="1978" spans="1:13" ht="19.5" customHeight="1">
      <c r="A1978" s="18">
        <f t="shared" si="30"/>
        <v>1977</v>
      </c>
      <c r="B1978" s="11" t="s">
        <v>3295</v>
      </c>
      <c r="C1978" s="11" t="s">
        <v>96</v>
      </c>
      <c r="D1978" s="11" t="s">
        <v>3532</v>
      </c>
      <c r="E1978" s="11"/>
      <c r="F1978" s="11" t="s">
        <v>3531</v>
      </c>
      <c r="G1978" s="11" t="s">
        <v>13</v>
      </c>
      <c r="H1978" s="19" t="str">
        <f>IFERROR(VLOOKUP(Table2[[#This Row], [Ticket]],Okey!A:B,2,0),"")</f>
        <v/>
      </c>
      <c r="I1978" s="11" t="s">
        <v>276</v>
      </c>
      <c r="J1978" s="19" t="e">
        <f>VLOOKUP(Table2[[#This Row], [Author]],People!A:B,2,0)</f>
        <v>#VALUE!</v>
      </c>
      <c r="K1978" s="11" t="s">
        <v>3297</v>
      </c>
      <c r="L1978" s="11"/>
      <c r="M1978" s="20" t="s">
        <v>277</v>
      </c>
    </row>
    <row r="1979" spans="1:13" ht="19.5" customHeight="1">
      <c r="A1979" s="21">
        <f t="shared" si="30"/>
        <v>1978</v>
      </c>
      <c r="B1979" s="13" t="s">
        <v>3295</v>
      </c>
      <c r="C1979" s="13" t="s">
        <v>96</v>
      </c>
      <c r="D1979" s="13" t="s">
        <v>3533</v>
      </c>
      <c r="E1979" s="13"/>
      <c r="F1979" s="13" t="s">
        <v>3531</v>
      </c>
      <c r="G1979" s="13" t="s">
        <v>13</v>
      </c>
      <c r="H1979" s="22" t="str">
        <f>IFERROR(VLOOKUP(Table2[[#This Row], [Ticket]],Okey!A:B,2,0),"")</f>
        <v/>
      </c>
      <c r="I1979" s="13" t="s">
        <v>276</v>
      </c>
      <c r="J1979" s="22" t="e">
        <f>VLOOKUP(Table2[[#This Row], [Author]],People!A:B,2,0)</f>
        <v>#VALUE!</v>
      </c>
      <c r="K1979" s="13" t="s">
        <v>3297</v>
      </c>
      <c r="L1979" s="13"/>
      <c r="M1979" s="23" t="s">
        <v>277</v>
      </c>
    </row>
    <row r="1980" spans="1:13" ht="19.5" customHeight="1">
      <c r="A1980" s="18">
        <f t="shared" si="30"/>
        <v>1979</v>
      </c>
      <c r="B1980" s="11" t="s">
        <v>3295</v>
      </c>
      <c r="C1980" s="11" t="s">
        <v>96</v>
      </c>
      <c r="D1980" s="11" t="s">
        <v>3534</v>
      </c>
      <c r="E1980" s="11"/>
      <c r="F1980" s="11" t="s">
        <v>3531</v>
      </c>
      <c r="G1980" s="11" t="s">
        <v>13</v>
      </c>
      <c r="H1980" s="19" t="str">
        <f>IFERROR(VLOOKUP(Table2[[#This Row], [Ticket]],Okey!A:B,2,0),"")</f>
        <v/>
      </c>
      <c r="I1980" s="11" t="s">
        <v>276</v>
      </c>
      <c r="J1980" s="19" t="e">
        <f>VLOOKUP(Table2[[#This Row], [Author]],People!A:B,2,0)</f>
        <v>#VALUE!</v>
      </c>
      <c r="K1980" s="11" t="s">
        <v>3297</v>
      </c>
      <c r="L1980" s="11"/>
      <c r="M1980" s="20" t="s">
        <v>277</v>
      </c>
    </row>
    <row r="1981" spans="1:13" ht="19.5" customHeight="1">
      <c r="A1981" s="21">
        <f t="shared" si="30"/>
        <v>1980</v>
      </c>
      <c r="B1981" s="13" t="s">
        <v>3295</v>
      </c>
      <c r="C1981" s="13" t="s">
        <v>96</v>
      </c>
      <c r="D1981" s="13" t="s">
        <v>3535</v>
      </c>
      <c r="E1981" s="13"/>
      <c r="F1981" s="13" t="s">
        <v>3531</v>
      </c>
      <c r="G1981" s="13" t="s">
        <v>13</v>
      </c>
      <c r="H1981" s="22" t="str">
        <f>IFERROR(VLOOKUP(Table2[[#This Row], [Ticket]],Okey!A:B,2,0),"")</f>
        <v/>
      </c>
      <c r="I1981" s="13" t="s">
        <v>276</v>
      </c>
      <c r="J1981" s="22" t="e">
        <f>VLOOKUP(Table2[[#This Row], [Author]],People!A:B,2,0)</f>
        <v>#VALUE!</v>
      </c>
      <c r="K1981" s="13" t="s">
        <v>3297</v>
      </c>
      <c r="L1981" s="13"/>
      <c r="M1981" s="23" t="s">
        <v>277</v>
      </c>
    </row>
    <row r="1982" spans="1:13" ht="19.5" customHeight="1">
      <c r="A1982" s="18">
        <f t="shared" si="30"/>
        <v>1981</v>
      </c>
      <c r="B1982" s="11" t="s">
        <v>3295</v>
      </c>
      <c r="C1982" s="11" t="s">
        <v>96</v>
      </c>
      <c r="D1982" s="11" t="s">
        <v>3536</v>
      </c>
      <c r="E1982" s="11"/>
      <c r="F1982" s="11" t="s">
        <v>3531</v>
      </c>
      <c r="G1982" s="11" t="s">
        <v>13</v>
      </c>
      <c r="H1982" s="19" t="str">
        <f>IFERROR(VLOOKUP(Table2[[#This Row], [Ticket]],Okey!A:B,2,0),"")</f>
        <v/>
      </c>
      <c r="I1982" s="11" t="s">
        <v>276</v>
      </c>
      <c r="J1982" s="19" t="e">
        <f>VLOOKUP(Table2[[#This Row], [Author]],People!A:B,2,0)</f>
        <v>#VALUE!</v>
      </c>
      <c r="K1982" s="11" t="s">
        <v>3297</v>
      </c>
      <c r="L1982" s="11"/>
      <c r="M1982" s="20" t="s">
        <v>277</v>
      </c>
    </row>
    <row r="1983" spans="1:13" ht="19.5" customHeight="1">
      <c r="A1983" s="21">
        <f t="shared" si="30"/>
        <v>1982</v>
      </c>
      <c r="B1983" s="13" t="s">
        <v>3295</v>
      </c>
      <c r="C1983" s="13" t="s">
        <v>96</v>
      </c>
      <c r="D1983" s="13" t="s">
        <v>3537</v>
      </c>
      <c r="E1983" s="13"/>
      <c r="F1983" s="13" t="s">
        <v>3531</v>
      </c>
      <c r="G1983" s="13" t="s">
        <v>13</v>
      </c>
      <c r="H1983" s="22" t="str">
        <f>IFERROR(VLOOKUP(Table2[[#This Row], [Ticket]],Okey!A:B,2,0),"")</f>
        <v/>
      </c>
      <c r="I1983" s="13" t="s">
        <v>276</v>
      </c>
      <c r="J1983" s="22" t="e">
        <f>VLOOKUP(Table2[[#This Row], [Author]],People!A:B,2,0)</f>
        <v>#VALUE!</v>
      </c>
      <c r="K1983" s="13" t="s">
        <v>3297</v>
      </c>
      <c r="L1983" s="13"/>
      <c r="M1983" s="23" t="s">
        <v>277</v>
      </c>
    </row>
    <row r="1984" spans="1:13" ht="19.5" customHeight="1">
      <c r="A1984" s="18">
        <f t="shared" si="30"/>
        <v>1983</v>
      </c>
      <c r="B1984" s="11" t="s">
        <v>3295</v>
      </c>
      <c r="C1984" s="11" t="s">
        <v>96</v>
      </c>
      <c r="D1984" s="11" t="s">
        <v>3538</v>
      </c>
      <c r="E1984" s="11"/>
      <c r="F1984" s="11" t="s">
        <v>3531</v>
      </c>
      <c r="G1984" s="11" t="s">
        <v>13</v>
      </c>
      <c r="H1984" s="19" t="str">
        <f>IFERROR(VLOOKUP(Table2[[#This Row], [Ticket]],Okey!A:B,2,0),"")</f>
        <v/>
      </c>
      <c r="I1984" s="11" t="s">
        <v>276</v>
      </c>
      <c r="J1984" s="19" t="e">
        <f>VLOOKUP(Table2[[#This Row], [Author]],People!A:B,2,0)</f>
        <v>#VALUE!</v>
      </c>
      <c r="K1984" s="11" t="s">
        <v>3297</v>
      </c>
      <c r="L1984" s="11"/>
      <c r="M1984" s="20" t="s">
        <v>277</v>
      </c>
    </row>
    <row r="1985" spans="1:13" ht="19.5" customHeight="1">
      <c r="A1985" s="21">
        <f t="shared" si="30"/>
        <v>1984</v>
      </c>
      <c r="B1985" s="13" t="s">
        <v>3295</v>
      </c>
      <c r="C1985" s="13" t="s">
        <v>96</v>
      </c>
      <c r="D1985" s="13" t="s">
        <v>3539</v>
      </c>
      <c r="E1985" s="13"/>
      <c r="F1985" s="13" t="s">
        <v>3488</v>
      </c>
      <c r="G1985" s="13" t="s">
        <v>13</v>
      </c>
      <c r="H1985" s="22" t="str">
        <f>IFERROR(VLOOKUP(Table2[[#This Row], [Ticket]],Okey!A:B,2,0),"")</f>
        <v/>
      </c>
      <c r="I1985" s="13" t="s">
        <v>276</v>
      </c>
      <c r="J1985" s="22" t="e">
        <f>VLOOKUP(Table2[[#This Row], [Author]],People!A:B,2,0)</f>
        <v>#VALUE!</v>
      </c>
      <c r="K1985" s="13" t="s">
        <v>3297</v>
      </c>
      <c r="L1985" s="13"/>
      <c r="M1985" s="23" t="s">
        <v>277</v>
      </c>
    </row>
    <row r="1986" spans="1:13" ht="19.5" customHeight="1">
      <c r="A1986" s="18">
        <f t="shared" si="30"/>
        <v>1985</v>
      </c>
      <c r="B1986" s="11" t="s">
        <v>3295</v>
      </c>
      <c r="C1986" s="11" t="s">
        <v>96</v>
      </c>
      <c r="D1986" s="11" t="s">
        <v>3540</v>
      </c>
      <c r="E1986" s="11"/>
      <c r="F1986" s="11" t="s">
        <v>3541</v>
      </c>
      <c r="G1986" s="11" t="s">
        <v>13</v>
      </c>
      <c r="H1986" s="19" t="str">
        <f>IFERROR(VLOOKUP(Table2[[#This Row], [Ticket]],Okey!A:B,2,0),"")</f>
        <v/>
      </c>
      <c r="I1986" s="11" t="s">
        <v>276</v>
      </c>
      <c r="J1986" s="19" t="e">
        <f>VLOOKUP(Table2[[#This Row], [Author]],People!A:B,2,0)</f>
        <v>#VALUE!</v>
      </c>
      <c r="K1986" s="11" t="s">
        <v>3297</v>
      </c>
      <c r="L1986" s="11"/>
      <c r="M1986" s="20" t="s">
        <v>277</v>
      </c>
    </row>
    <row r="1987" spans="1:13" ht="19.5" customHeight="1">
      <c r="A1987" s="21">
        <f t="shared" ref="A1987:A2050" si="31">1+A1986</f>
        <v>1986</v>
      </c>
      <c r="B1987" s="13" t="s">
        <v>3295</v>
      </c>
      <c r="C1987" s="13" t="s">
        <v>96</v>
      </c>
      <c r="D1987" s="13" t="s">
        <v>3542</v>
      </c>
      <c r="E1987" s="13"/>
      <c r="F1987" s="13" t="s">
        <v>3541</v>
      </c>
      <c r="G1987" s="13" t="s">
        <v>13</v>
      </c>
      <c r="H1987" s="22" t="str">
        <f>IFERROR(VLOOKUP(Table2[[#This Row], [Ticket]],Okey!A:B,2,0),"")</f>
        <v/>
      </c>
      <c r="I1987" s="13" t="s">
        <v>276</v>
      </c>
      <c r="J1987" s="22" t="e">
        <f>VLOOKUP(Table2[[#This Row], [Author]],People!A:B,2,0)</f>
        <v>#VALUE!</v>
      </c>
      <c r="K1987" s="13" t="s">
        <v>3297</v>
      </c>
      <c r="L1987" s="13"/>
      <c r="M1987" s="23" t="s">
        <v>277</v>
      </c>
    </row>
    <row r="1988" spans="1:13" ht="19.5" customHeight="1">
      <c r="A1988" s="18">
        <f t="shared" si="31"/>
        <v>1987</v>
      </c>
      <c r="B1988" s="11" t="s">
        <v>3295</v>
      </c>
      <c r="C1988" s="11" t="s">
        <v>96</v>
      </c>
      <c r="D1988" s="11" t="s">
        <v>3543</v>
      </c>
      <c r="E1988" s="11"/>
      <c r="F1988" s="11" t="s">
        <v>3541</v>
      </c>
      <c r="G1988" s="11" t="s">
        <v>13</v>
      </c>
      <c r="H1988" s="19" t="str">
        <f>IFERROR(VLOOKUP(Table2[[#This Row], [Ticket]],Okey!A:B,2,0),"")</f>
        <v/>
      </c>
      <c r="I1988" s="11" t="s">
        <v>276</v>
      </c>
      <c r="J1988" s="19" t="e">
        <f>VLOOKUP(Table2[[#This Row], [Author]],People!A:B,2,0)</f>
        <v>#VALUE!</v>
      </c>
      <c r="K1988" s="11" t="s">
        <v>3297</v>
      </c>
      <c r="L1988" s="11"/>
      <c r="M1988" s="20" t="s">
        <v>277</v>
      </c>
    </row>
    <row r="1989" spans="1:13" ht="19.5" customHeight="1">
      <c r="A1989" s="21">
        <f t="shared" si="31"/>
        <v>1988</v>
      </c>
      <c r="B1989" s="13" t="s">
        <v>3295</v>
      </c>
      <c r="C1989" s="13" t="s">
        <v>96</v>
      </c>
      <c r="D1989" s="13" t="s">
        <v>3544</v>
      </c>
      <c r="E1989" s="13"/>
      <c r="F1989" s="13" t="s">
        <v>3541</v>
      </c>
      <c r="G1989" s="13" t="s">
        <v>13</v>
      </c>
      <c r="H1989" s="22" t="str">
        <f>IFERROR(VLOOKUP(Table2[[#This Row], [Ticket]],Okey!A:B,2,0),"")</f>
        <v/>
      </c>
      <c r="I1989" s="13" t="s">
        <v>276</v>
      </c>
      <c r="J1989" s="22" t="e">
        <f>VLOOKUP(Table2[[#This Row], [Author]],People!A:B,2,0)</f>
        <v>#VALUE!</v>
      </c>
      <c r="K1989" s="13" t="s">
        <v>3297</v>
      </c>
      <c r="L1989" s="13"/>
      <c r="M1989" s="23" t="s">
        <v>277</v>
      </c>
    </row>
    <row r="1990" spans="1:13" ht="19.5" customHeight="1">
      <c r="A1990" s="18">
        <f t="shared" si="31"/>
        <v>1989</v>
      </c>
      <c r="B1990" s="11" t="s">
        <v>3295</v>
      </c>
      <c r="C1990" s="11" t="s">
        <v>96</v>
      </c>
      <c r="D1990" s="11" t="s">
        <v>3545</v>
      </c>
      <c r="E1990" s="11"/>
      <c r="F1990" s="11" t="s">
        <v>3541</v>
      </c>
      <c r="G1990" s="11" t="s">
        <v>13</v>
      </c>
      <c r="H1990" s="19" t="str">
        <f>IFERROR(VLOOKUP(Table2[[#This Row], [Ticket]],Okey!A:B,2,0),"")</f>
        <v/>
      </c>
      <c r="I1990" s="11" t="s">
        <v>276</v>
      </c>
      <c r="J1990" s="19" t="e">
        <f>VLOOKUP(Table2[[#This Row], [Author]],People!A:B,2,0)</f>
        <v>#VALUE!</v>
      </c>
      <c r="K1990" s="11" t="s">
        <v>3297</v>
      </c>
      <c r="L1990" s="11"/>
      <c r="M1990" s="20" t="s">
        <v>277</v>
      </c>
    </row>
    <row r="1991" spans="1:13" ht="19.5" customHeight="1">
      <c r="A1991" s="21">
        <f t="shared" si="31"/>
        <v>1990</v>
      </c>
      <c r="B1991" s="13" t="s">
        <v>3295</v>
      </c>
      <c r="C1991" s="13" t="s">
        <v>96</v>
      </c>
      <c r="D1991" s="13" t="s">
        <v>3546</v>
      </c>
      <c r="E1991" s="13"/>
      <c r="F1991" s="13" t="s">
        <v>3541</v>
      </c>
      <c r="G1991" s="13" t="s">
        <v>13</v>
      </c>
      <c r="H1991" s="22" t="str">
        <f>IFERROR(VLOOKUP(Table2[[#This Row], [Ticket]],Okey!A:B,2,0),"")</f>
        <v/>
      </c>
      <c r="I1991" s="13" t="s">
        <v>276</v>
      </c>
      <c r="J1991" s="22" t="e">
        <f>VLOOKUP(Table2[[#This Row], [Author]],People!A:B,2,0)</f>
        <v>#VALUE!</v>
      </c>
      <c r="K1991" s="13" t="s">
        <v>3297</v>
      </c>
      <c r="L1991" s="13"/>
      <c r="M1991" s="23" t="s">
        <v>277</v>
      </c>
    </row>
    <row r="1992" spans="1:13" ht="19.5" customHeight="1">
      <c r="A1992" s="18">
        <f t="shared" si="31"/>
        <v>1991</v>
      </c>
      <c r="B1992" s="11" t="s">
        <v>3295</v>
      </c>
      <c r="C1992" s="11" t="s">
        <v>96</v>
      </c>
      <c r="D1992" s="11" t="s">
        <v>3547</v>
      </c>
      <c r="E1992" s="11"/>
      <c r="F1992" s="11" t="s">
        <v>3541</v>
      </c>
      <c r="G1992" s="11" t="s">
        <v>13</v>
      </c>
      <c r="H1992" s="19" t="str">
        <f>IFERROR(VLOOKUP(Table2[[#This Row], [Ticket]],Okey!A:B,2,0),"")</f>
        <v/>
      </c>
      <c r="I1992" s="11" t="s">
        <v>276</v>
      </c>
      <c r="J1992" s="19" t="e">
        <f>VLOOKUP(Table2[[#This Row], [Author]],People!A:B,2,0)</f>
        <v>#VALUE!</v>
      </c>
      <c r="K1992" s="11" t="s">
        <v>3297</v>
      </c>
      <c r="L1992" s="11"/>
      <c r="M1992" s="20" t="s">
        <v>277</v>
      </c>
    </row>
    <row r="1993" spans="1:13" ht="19.5" customHeight="1">
      <c r="A1993" s="21">
        <f t="shared" si="31"/>
        <v>1992</v>
      </c>
      <c r="B1993" s="13" t="s">
        <v>3295</v>
      </c>
      <c r="C1993" s="13" t="s">
        <v>96</v>
      </c>
      <c r="D1993" s="13" t="s">
        <v>3548</v>
      </c>
      <c r="E1993" s="13"/>
      <c r="F1993" s="13" t="s">
        <v>3541</v>
      </c>
      <c r="G1993" s="13" t="s">
        <v>13</v>
      </c>
      <c r="H1993" s="22" t="str">
        <f>IFERROR(VLOOKUP(Table2[[#This Row], [Ticket]],Okey!A:B,2,0),"")</f>
        <v/>
      </c>
      <c r="I1993" s="13" t="s">
        <v>276</v>
      </c>
      <c r="J1993" s="22" t="e">
        <f>VLOOKUP(Table2[[#This Row], [Author]],People!A:B,2,0)</f>
        <v>#VALUE!</v>
      </c>
      <c r="K1993" s="13" t="s">
        <v>3297</v>
      </c>
      <c r="L1993" s="13"/>
      <c r="M1993" s="23" t="s">
        <v>277</v>
      </c>
    </row>
    <row r="1994" spans="1:13" ht="19.5" customHeight="1">
      <c r="A1994" s="18">
        <f t="shared" si="31"/>
        <v>1993</v>
      </c>
      <c r="B1994" s="11" t="s">
        <v>3295</v>
      </c>
      <c r="C1994" s="11" t="s">
        <v>96</v>
      </c>
      <c r="D1994" s="11" t="s">
        <v>3549</v>
      </c>
      <c r="E1994" s="11"/>
      <c r="F1994" s="11" t="s">
        <v>3541</v>
      </c>
      <c r="G1994" s="11" t="s">
        <v>13</v>
      </c>
      <c r="H1994" s="19" t="str">
        <f>IFERROR(VLOOKUP(Table2[[#This Row], [Ticket]],Okey!A:B,2,0),"")</f>
        <v/>
      </c>
      <c r="I1994" s="11" t="s">
        <v>276</v>
      </c>
      <c r="J1994" s="19" t="e">
        <f>VLOOKUP(Table2[[#This Row], [Author]],People!A:B,2,0)</f>
        <v>#VALUE!</v>
      </c>
      <c r="K1994" s="11" t="s">
        <v>3297</v>
      </c>
      <c r="L1994" s="11"/>
      <c r="M1994" s="20" t="s">
        <v>277</v>
      </c>
    </row>
    <row r="1995" spans="1:13" ht="19.5" customHeight="1">
      <c r="A1995" s="21">
        <f t="shared" si="31"/>
        <v>1994</v>
      </c>
      <c r="B1995" s="13" t="s">
        <v>3295</v>
      </c>
      <c r="C1995" s="13" t="s">
        <v>96</v>
      </c>
      <c r="D1995" s="13" t="s">
        <v>3550</v>
      </c>
      <c r="E1995" s="13"/>
      <c r="F1995" s="13" t="s">
        <v>3541</v>
      </c>
      <c r="G1995" s="13" t="s">
        <v>13</v>
      </c>
      <c r="H1995" s="22" t="str">
        <f>IFERROR(VLOOKUP(Table2[[#This Row], [Ticket]],Okey!A:B,2,0),"")</f>
        <v/>
      </c>
      <c r="I1995" s="13" t="s">
        <v>276</v>
      </c>
      <c r="J1995" s="22" t="e">
        <f>VLOOKUP(Table2[[#This Row], [Author]],People!A:B,2,0)</f>
        <v>#VALUE!</v>
      </c>
      <c r="K1995" s="13" t="s">
        <v>3297</v>
      </c>
      <c r="L1995" s="13"/>
      <c r="M1995" s="23" t="s">
        <v>277</v>
      </c>
    </row>
    <row r="1996" spans="1:13" ht="19.5" customHeight="1">
      <c r="A1996" s="18">
        <f t="shared" si="31"/>
        <v>1995</v>
      </c>
      <c r="B1996" s="11" t="s">
        <v>3295</v>
      </c>
      <c r="C1996" s="11" t="s">
        <v>96</v>
      </c>
      <c r="D1996" s="11" t="s">
        <v>3551</v>
      </c>
      <c r="E1996" s="11"/>
      <c r="F1996" s="11" t="s">
        <v>3541</v>
      </c>
      <c r="G1996" s="11" t="s">
        <v>13</v>
      </c>
      <c r="H1996" s="19" t="str">
        <f>IFERROR(VLOOKUP(Table2[[#This Row], [Ticket]],Okey!A:B,2,0),"")</f>
        <v/>
      </c>
      <c r="I1996" s="11" t="s">
        <v>276</v>
      </c>
      <c r="J1996" s="19" t="e">
        <f>VLOOKUP(Table2[[#This Row], [Author]],People!A:B,2,0)</f>
        <v>#VALUE!</v>
      </c>
      <c r="K1996" s="11" t="s">
        <v>3297</v>
      </c>
      <c r="L1996" s="11"/>
      <c r="M1996" s="20" t="s">
        <v>277</v>
      </c>
    </row>
    <row r="1997" spans="1:13" ht="19.5" customHeight="1">
      <c r="A1997" s="21">
        <f t="shared" si="31"/>
        <v>1996</v>
      </c>
      <c r="B1997" s="13" t="s">
        <v>3295</v>
      </c>
      <c r="C1997" s="13" t="s">
        <v>96</v>
      </c>
      <c r="D1997" s="13" t="s">
        <v>3552</v>
      </c>
      <c r="E1997" s="13"/>
      <c r="F1997" s="13" t="s">
        <v>3541</v>
      </c>
      <c r="G1997" s="13" t="s">
        <v>13</v>
      </c>
      <c r="H1997" s="22" t="str">
        <f>IFERROR(VLOOKUP(Table2[[#This Row], [Ticket]],Okey!A:B,2,0),"")</f>
        <v/>
      </c>
      <c r="I1997" s="13" t="s">
        <v>276</v>
      </c>
      <c r="J1997" s="22" t="e">
        <f>VLOOKUP(Table2[[#This Row], [Author]],People!A:B,2,0)</f>
        <v>#VALUE!</v>
      </c>
      <c r="K1997" s="13" t="s">
        <v>3297</v>
      </c>
      <c r="L1997" s="13"/>
      <c r="M1997" s="23" t="s">
        <v>277</v>
      </c>
    </row>
    <row r="1998" spans="1:13" ht="19.5" customHeight="1">
      <c r="A1998" s="18">
        <f t="shared" si="31"/>
        <v>1997</v>
      </c>
      <c r="B1998" s="11" t="s">
        <v>3295</v>
      </c>
      <c r="C1998" s="11" t="s">
        <v>96</v>
      </c>
      <c r="D1998" s="11" t="s">
        <v>3553</v>
      </c>
      <c r="E1998" s="11"/>
      <c r="F1998" s="11" t="s">
        <v>3531</v>
      </c>
      <c r="G1998" s="11" t="s">
        <v>13</v>
      </c>
      <c r="H1998" s="19" t="str">
        <f>IFERROR(VLOOKUP(Table2[[#This Row], [Ticket]],Okey!A:B,2,0),"")</f>
        <v/>
      </c>
      <c r="I1998" s="11" t="s">
        <v>276</v>
      </c>
      <c r="J1998" s="19" t="e">
        <f>VLOOKUP(Table2[[#This Row], [Author]],People!A:B,2,0)</f>
        <v>#VALUE!</v>
      </c>
      <c r="K1998" s="11" t="s">
        <v>3297</v>
      </c>
      <c r="L1998" s="11"/>
      <c r="M1998" s="20" t="s">
        <v>277</v>
      </c>
    </row>
    <row r="1999" spans="1:13" ht="19.5" customHeight="1">
      <c r="A1999" s="21">
        <f t="shared" si="31"/>
        <v>1998</v>
      </c>
      <c r="B1999" s="13" t="s">
        <v>3295</v>
      </c>
      <c r="C1999" s="13" t="s">
        <v>96</v>
      </c>
      <c r="D1999" s="13" t="s">
        <v>3554</v>
      </c>
      <c r="E1999" s="13"/>
      <c r="F1999" s="13" t="s">
        <v>3514</v>
      </c>
      <c r="G1999" s="13" t="s">
        <v>13</v>
      </c>
      <c r="H1999" s="22" t="str">
        <f>IFERROR(VLOOKUP(Table2[[#This Row], [Ticket]],Okey!A:B,2,0),"")</f>
        <v/>
      </c>
      <c r="I1999" s="13" t="s">
        <v>276</v>
      </c>
      <c r="J1999" s="22" t="e">
        <f>VLOOKUP(Table2[[#This Row], [Author]],People!A:B,2,0)</f>
        <v>#VALUE!</v>
      </c>
      <c r="K1999" s="13" t="s">
        <v>3297</v>
      </c>
      <c r="L1999" s="13"/>
      <c r="M1999" s="23" t="s">
        <v>277</v>
      </c>
    </row>
    <row r="2000" spans="1:13" ht="19.5" customHeight="1">
      <c r="A2000" s="18">
        <f t="shared" si="31"/>
        <v>1999</v>
      </c>
      <c r="B2000" s="11" t="s">
        <v>3295</v>
      </c>
      <c r="C2000" s="11" t="s">
        <v>96</v>
      </c>
      <c r="D2000" s="11" t="s">
        <v>3555</v>
      </c>
      <c r="E2000" s="11"/>
      <c r="F2000" s="11" t="s">
        <v>3531</v>
      </c>
      <c r="G2000" s="11" t="s">
        <v>13</v>
      </c>
      <c r="H2000" s="19" t="str">
        <f>IFERROR(VLOOKUP(Table2[[#This Row], [Ticket]],Okey!A:B,2,0),"")</f>
        <v/>
      </c>
      <c r="I2000" s="11" t="s">
        <v>276</v>
      </c>
      <c r="J2000" s="19" t="e">
        <f>VLOOKUP(Table2[[#This Row], [Author]],People!A:B,2,0)</f>
        <v>#VALUE!</v>
      </c>
      <c r="K2000" s="11" t="s">
        <v>3297</v>
      </c>
      <c r="L2000" s="11"/>
      <c r="M2000" s="20" t="s">
        <v>277</v>
      </c>
    </row>
    <row r="2001" spans="1:13" ht="19.5" customHeight="1">
      <c r="A2001" s="21">
        <f t="shared" si="31"/>
        <v>2000</v>
      </c>
      <c r="B2001" s="13" t="s">
        <v>3295</v>
      </c>
      <c r="C2001" s="13" t="s">
        <v>96</v>
      </c>
      <c r="D2001" s="13" t="s">
        <v>3556</v>
      </c>
      <c r="E2001" s="13"/>
      <c r="F2001" s="13" t="s">
        <v>3557</v>
      </c>
      <c r="G2001" s="13" t="s">
        <v>13</v>
      </c>
      <c r="H2001" s="22" t="str">
        <f>IFERROR(VLOOKUP(Table2[[#This Row], [Ticket]],Okey!A:B,2,0),"")</f>
        <v/>
      </c>
      <c r="I2001" s="13" t="s">
        <v>276</v>
      </c>
      <c r="J2001" s="22" t="e">
        <f>VLOOKUP(Table2[[#This Row], [Author]],People!A:B,2,0)</f>
        <v>#VALUE!</v>
      </c>
      <c r="K2001" s="13" t="s">
        <v>3297</v>
      </c>
      <c r="L2001" s="13"/>
      <c r="M2001" s="23" t="s">
        <v>277</v>
      </c>
    </row>
    <row r="2002" spans="1:13" ht="19.5" customHeight="1">
      <c r="A2002" s="18">
        <f t="shared" si="31"/>
        <v>2001</v>
      </c>
      <c r="B2002" s="11" t="s">
        <v>3295</v>
      </c>
      <c r="C2002" s="11" t="s">
        <v>96</v>
      </c>
      <c r="D2002" s="11" t="s">
        <v>3558</v>
      </c>
      <c r="E2002" s="11"/>
      <c r="F2002" s="11" t="s">
        <v>3488</v>
      </c>
      <c r="G2002" s="11" t="s">
        <v>13</v>
      </c>
      <c r="H2002" s="19" t="str">
        <f>IFERROR(VLOOKUP(Table2[[#This Row], [Ticket]],Okey!A:B,2,0),"")</f>
        <v/>
      </c>
      <c r="I2002" s="11" t="s">
        <v>276</v>
      </c>
      <c r="J2002" s="19" t="e">
        <f>VLOOKUP(Table2[[#This Row], [Author]],People!A:B,2,0)</f>
        <v>#VALUE!</v>
      </c>
      <c r="K2002" s="11" t="s">
        <v>3297</v>
      </c>
      <c r="L2002" s="11"/>
      <c r="M2002" s="20" t="s">
        <v>277</v>
      </c>
    </row>
    <row r="2003" spans="1:13" ht="19.5" customHeight="1">
      <c r="A2003" s="21">
        <f t="shared" si="31"/>
        <v>2002</v>
      </c>
      <c r="B2003" s="13" t="s">
        <v>3295</v>
      </c>
      <c r="C2003" s="13" t="s">
        <v>96</v>
      </c>
      <c r="D2003" s="13" t="s">
        <v>3559</v>
      </c>
      <c r="E2003" s="13"/>
      <c r="F2003" s="13" t="s">
        <v>3560</v>
      </c>
      <c r="G2003" s="13" t="s">
        <v>13</v>
      </c>
      <c r="H2003" s="22" t="str">
        <f>IFERROR(VLOOKUP(Table2[[#This Row], [Ticket]],Okey!A:B,2,0),"")</f>
        <v/>
      </c>
      <c r="I2003" s="13" t="s">
        <v>276</v>
      </c>
      <c r="J2003" s="22" t="e">
        <f>VLOOKUP(Table2[[#This Row], [Author]],People!A:B,2,0)</f>
        <v>#VALUE!</v>
      </c>
      <c r="K2003" s="13" t="s">
        <v>3297</v>
      </c>
      <c r="L2003" s="13"/>
      <c r="M2003" s="23" t="s">
        <v>277</v>
      </c>
    </row>
    <row r="2004" spans="1:13" ht="19.5" customHeight="1">
      <c r="A2004" s="18">
        <f t="shared" si="31"/>
        <v>2003</v>
      </c>
      <c r="B2004" s="11" t="s">
        <v>3295</v>
      </c>
      <c r="C2004" s="11" t="s">
        <v>96</v>
      </c>
      <c r="D2004" s="11" t="s">
        <v>3561</v>
      </c>
      <c r="E2004" s="11"/>
      <c r="F2004" s="11" t="s">
        <v>3562</v>
      </c>
      <c r="G2004" s="11" t="s">
        <v>13</v>
      </c>
      <c r="H2004" s="19" t="str">
        <f>IFERROR(VLOOKUP(Table2[[#This Row], [Ticket]],Okey!A:B,2,0),"")</f>
        <v/>
      </c>
      <c r="I2004" s="11" t="s">
        <v>276</v>
      </c>
      <c r="J2004" s="19" t="e">
        <f>VLOOKUP(Table2[[#This Row], [Author]],People!A:B,2,0)</f>
        <v>#VALUE!</v>
      </c>
      <c r="K2004" s="11" t="s">
        <v>3297</v>
      </c>
      <c r="L2004" s="11"/>
      <c r="M2004" s="20" t="s">
        <v>277</v>
      </c>
    </row>
    <row r="2005" spans="1:13" ht="19.5" customHeight="1">
      <c r="A2005" s="21">
        <f t="shared" si="31"/>
        <v>2004</v>
      </c>
      <c r="B2005" s="13" t="s">
        <v>3295</v>
      </c>
      <c r="C2005" s="13" t="s">
        <v>96</v>
      </c>
      <c r="D2005" s="13" t="s">
        <v>3563</v>
      </c>
      <c r="E2005" s="13"/>
      <c r="F2005" s="13" t="s">
        <v>3564</v>
      </c>
      <c r="G2005" s="13" t="s">
        <v>13</v>
      </c>
      <c r="H2005" s="22" t="str">
        <f>IFERROR(VLOOKUP(Table2[[#This Row], [Ticket]],Okey!A:B,2,0),"")</f>
        <v/>
      </c>
      <c r="I2005" s="13" t="s">
        <v>276</v>
      </c>
      <c r="J2005" s="22" t="e">
        <f>VLOOKUP(Table2[[#This Row], [Author]],People!A:B,2,0)</f>
        <v>#VALUE!</v>
      </c>
      <c r="K2005" s="13" t="s">
        <v>3297</v>
      </c>
      <c r="L2005" s="13"/>
      <c r="M2005" s="23" t="s">
        <v>277</v>
      </c>
    </row>
    <row r="2006" spans="1:13" ht="19.5" customHeight="1">
      <c r="A2006" s="18">
        <f t="shared" si="31"/>
        <v>2005</v>
      </c>
      <c r="B2006" s="11" t="s">
        <v>3295</v>
      </c>
      <c r="C2006" s="11" t="s">
        <v>96</v>
      </c>
      <c r="D2006" s="11" t="s">
        <v>3565</v>
      </c>
      <c r="E2006" s="11"/>
      <c r="F2006" s="11" t="s">
        <v>3564</v>
      </c>
      <c r="G2006" s="11" t="s">
        <v>13</v>
      </c>
      <c r="H2006" s="19" t="str">
        <f>IFERROR(VLOOKUP(Table2[[#This Row], [Ticket]],Okey!A:B,2,0),"")</f>
        <v/>
      </c>
      <c r="I2006" s="11" t="s">
        <v>276</v>
      </c>
      <c r="J2006" s="19" t="e">
        <f>VLOOKUP(Table2[[#This Row], [Author]],People!A:B,2,0)</f>
        <v>#VALUE!</v>
      </c>
      <c r="K2006" s="11" t="s">
        <v>3297</v>
      </c>
      <c r="L2006" s="11"/>
      <c r="M2006" s="20" t="s">
        <v>277</v>
      </c>
    </row>
    <row r="2007" spans="1:13" ht="19.5" customHeight="1">
      <c r="A2007" s="21">
        <f t="shared" si="31"/>
        <v>2006</v>
      </c>
      <c r="B2007" s="13" t="s">
        <v>3295</v>
      </c>
      <c r="C2007" s="13" t="s">
        <v>96</v>
      </c>
      <c r="D2007" s="13" t="s">
        <v>3566</v>
      </c>
      <c r="E2007" s="13"/>
      <c r="F2007" s="13" t="s">
        <v>3564</v>
      </c>
      <c r="G2007" s="13" t="s">
        <v>13</v>
      </c>
      <c r="H2007" s="22" t="str">
        <f>IFERROR(VLOOKUP(Table2[[#This Row], [Ticket]],Okey!A:B,2,0),"")</f>
        <v/>
      </c>
      <c r="I2007" s="13" t="s">
        <v>276</v>
      </c>
      <c r="J2007" s="22" t="e">
        <f>VLOOKUP(Table2[[#This Row], [Author]],People!A:B,2,0)</f>
        <v>#VALUE!</v>
      </c>
      <c r="K2007" s="13" t="s">
        <v>3297</v>
      </c>
      <c r="L2007" s="13"/>
      <c r="M2007" s="23" t="s">
        <v>277</v>
      </c>
    </row>
    <row r="2008" spans="1:13" ht="19.5" customHeight="1">
      <c r="A2008" s="18">
        <f t="shared" si="31"/>
        <v>2007</v>
      </c>
      <c r="B2008" s="11" t="s">
        <v>3295</v>
      </c>
      <c r="C2008" s="11" t="s">
        <v>96</v>
      </c>
      <c r="D2008" s="11" t="s">
        <v>3567</v>
      </c>
      <c r="E2008" s="11"/>
      <c r="F2008" s="11" t="s">
        <v>3568</v>
      </c>
      <c r="G2008" s="11" t="s">
        <v>13</v>
      </c>
      <c r="H2008" s="19" t="str">
        <f>IFERROR(VLOOKUP(Table2[[#This Row], [Ticket]],Okey!A:B,2,0),"")</f>
        <v/>
      </c>
      <c r="I2008" s="11" t="s">
        <v>276</v>
      </c>
      <c r="J2008" s="19" t="e">
        <f>VLOOKUP(Table2[[#This Row], [Author]],People!A:B,2,0)</f>
        <v>#VALUE!</v>
      </c>
      <c r="K2008" s="11" t="s">
        <v>3297</v>
      </c>
      <c r="L2008" s="11"/>
      <c r="M2008" s="20" t="s">
        <v>277</v>
      </c>
    </row>
    <row r="2009" spans="1:13" ht="19.5" customHeight="1">
      <c r="A2009" s="21">
        <f t="shared" si="31"/>
        <v>2008</v>
      </c>
      <c r="B2009" s="13" t="s">
        <v>3295</v>
      </c>
      <c r="C2009" s="13" t="s">
        <v>96</v>
      </c>
      <c r="D2009" s="13" t="s">
        <v>3569</v>
      </c>
      <c r="E2009" s="13"/>
      <c r="F2009" s="13" t="s">
        <v>3570</v>
      </c>
      <c r="G2009" s="13" t="s">
        <v>13</v>
      </c>
      <c r="H2009" s="22" t="str">
        <f>IFERROR(VLOOKUP(Table2[[#This Row], [Ticket]],Okey!A:B,2,0),"")</f>
        <v/>
      </c>
      <c r="I2009" s="13" t="s">
        <v>276</v>
      </c>
      <c r="J2009" s="22" t="e">
        <f>VLOOKUP(Table2[[#This Row], [Author]],People!A:B,2,0)</f>
        <v>#VALUE!</v>
      </c>
      <c r="K2009" s="13" t="s">
        <v>3297</v>
      </c>
      <c r="L2009" s="13"/>
      <c r="M2009" s="23" t="s">
        <v>277</v>
      </c>
    </row>
    <row r="2010" spans="1:13" ht="19.5" customHeight="1">
      <c r="A2010" s="18">
        <f t="shared" si="31"/>
        <v>2009</v>
      </c>
      <c r="B2010" s="11" t="s">
        <v>3295</v>
      </c>
      <c r="C2010" s="11" t="s">
        <v>96</v>
      </c>
      <c r="D2010" s="11" t="s">
        <v>3571</v>
      </c>
      <c r="E2010" s="11"/>
      <c r="F2010" s="11" t="s">
        <v>3564</v>
      </c>
      <c r="G2010" s="11" t="s">
        <v>13</v>
      </c>
      <c r="H2010" s="19" t="str">
        <f>IFERROR(VLOOKUP(Table2[[#This Row], [Ticket]],Okey!A:B,2,0),"")</f>
        <v/>
      </c>
      <c r="I2010" s="11" t="s">
        <v>276</v>
      </c>
      <c r="J2010" s="19" t="e">
        <f>VLOOKUP(Table2[[#This Row], [Author]],People!A:B,2,0)</f>
        <v>#VALUE!</v>
      </c>
      <c r="K2010" s="11" t="s">
        <v>3297</v>
      </c>
      <c r="L2010" s="11"/>
      <c r="M2010" s="20" t="s">
        <v>277</v>
      </c>
    </row>
    <row r="2011" spans="1:13" ht="19.5" customHeight="1">
      <c r="A2011" s="21">
        <f t="shared" si="31"/>
        <v>2010</v>
      </c>
      <c r="B2011" s="13" t="s">
        <v>3295</v>
      </c>
      <c r="C2011" s="13" t="s">
        <v>96</v>
      </c>
      <c r="D2011" s="13" t="s">
        <v>3572</v>
      </c>
      <c r="E2011" s="13"/>
      <c r="F2011" s="13" t="s">
        <v>3564</v>
      </c>
      <c r="G2011" s="13" t="s">
        <v>13</v>
      </c>
      <c r="H2011" s="22" t="str">
        <f>IFERROR(VLOOKUP(Table2[[#This Row], [Ticket]],Okey!A:B,2,0),"")</f>
        <v/>
      </c>
      <c r="I2011" s="13" t="s">
        <v>276</v>
      </c>
      <c r="J2011" s="22" t="e">
        <f>VLOOKUP(Table2[[#This Row], [Author]],People!A:B,2,0)</f>
        <v>#VALUE!</v>
      </c>
      <c r="K2011" s="13" t="s">
        <v>3297</v>
      </c>
      <c r="L2011" s="13"/>
      <c r="M2011" s="23" t="s">
        <v>277</v>
      </c>
    </row>
    <row r="2012" spans="1:13" ht="19.5" customHeight="1">
      <c r="A2012" s="18">
        <f t="shared" si="31"/>
        <v>2011</v>
      </c>
      <c r="B2012" s="11" t="s">
        <v>3295</v>
      </c>
      <c r="C2012" s="11" t="s">
        <v>96</v>
      </c>
      <c r="D2012" s="11" t="s">
        <v>3573</v>
      </c>
      <c r="E2012" s="11"/>
      <c r="F2012" s="11" t="s">
        <v>3568</v>
      </c>
      <c r="G2012" s="11" t="s">
        <v>13</v>
      </c>
      <c r="H2012" s="19" t="str">
        <f>IFERROR(VLOOKUP(Table2[[#This Row], [Ticket]],Okey!A:B,2,0),"")</f>
        <v/>
      </c>
      <c r="I2012" s="11" t="s">
        <v>276</v>
      </c>
      <c r="J2012" s="19" t="e">
        <f>VLOOKUP(Table2[[#This Row], [Author]],People!A:B,2,0)</f>
        <v>#VALUE!</v>
      </c>
      <c r="K2012" s="11" t="s">
        <v>3297</v>
      </c>
      <c r="L2012" s="11"/>
      <c r="M2012" s="20" t="s">
        <v>277</v>
      </c>
    </row>
    <row r="2013" spans="1:13" ht="19.5" customHeight="1">
      <c r="A2013" s="21">
        <f t="shared" si="31"/>
        <v>2012</v>
      </c>
      <c r="B2013" s="13" t="s">
        <v>3295</v>
      </c>
      <c r="C2013" s="13" t="s">
        <v>96</v>
      </c>
      <c r="D2013" s="13" t="s">
        <v>3574</v>
      </c>
      <c r="E2013" s="13"/>
      <c r="F2013" s="13" t="s">
        <v>3564</v>
      </c>
      <c r="G2013" s="13" t="s">
        <v>13</v>
      </c>
      <c r="H2013" s="22" t="str">
        <f>IFERROR(VLOOKUP(Table2[[#This Row], [Ticket]],Okey!A:B,2,0),"")</f>
        <v/>
      </c>
      <c r="I2013" s="13" t="s">
        <v>276</v>
      </c>
      <c r="J2013" s="22" t="e">
        <f>VLOOKUP(Table2[[#This Row], [Author]],People!A:B,2,0)</f>
        <v>#VALUE!</v>
      </c>
      <c r="K2013" s="13" t="s">
        <v>3297</v>
      </c>
      <c r="L2013" s="13"/>
      <c r="M2013" s="23" t="s">
        <v>277</v>
      </c>
    </row>
    <row r="2014" spans="1:13" ht="19.5" customHeight="1">
      <c r="A2014" s="18">
        <f t="shared" si="31"/>
        <v>2013</v>
      </c>
      <c r="B2014" s="11" t="s">
        <v>3295</v>
      </c>
      <c r="C2014" s="11" t="s">
        <v>96</v>
      </c>
      <c r="D2014" s="11" t="s">
        <v>3575</v>
      </c>
      <c r="E2014" s="11"/>
      <c r="F2014" s="11" t="s">
        <v>3564</v>
      </c>
      <c r="G2014" s="11" t="s">
        <v>13</v>
      </c>
      <c r="H2014" s="19" t="str">
        <f>IFERROR(VLOOKUP(Table2[[#This Row], [Ticket]],Okey!A:B,2,0),"")</f>
        <v/>
      </c>
      <c r="I2014" s="11" t="s">
        <v>276</v>
      </c>
      <c r="J2014" s="19" t="e">
        <f>VLOOKUP(Table2[[#This Row], [Author]],People!A:B,2,0)</f>
        <v>#VALUE!</v>
      </c>
      <c r="K2014" s="11" t="s">
        <v>3297</v>
      </c>
      <c r="L2014" s="11"/>
      <c r="M2014" s="20" t="s">
        <v>277</v>
      </c>
    </row>
    <row r="2015" spans="1:13" ht="19.5" customHeight="1">
      <c r="A2015" s="21">
        <f t="shared" si="31"/>
        <v>2014</v>
      </c>
      <c r="B2015" s="13" t="s">
        <v>3295</v>
      </c>
      <c r="C2015" s="13" t="s">
        <v>96</v>
      </c>
      <c r="D2015" s="13" t="s">
        <v>3576</v>
      </c>
      <c r="E2015" s="13"/>
      <c r="F2015" s="13" t="s">
        <v>3577</v>
      </c>
      <c r="G2015" s="13" t="s">
        <v>13</v>
      </c>
      <c r="H2015" s="22" t="str">
        <f>IFERROR(VLOOKUP(Table2[[#This Row], [Ticket]],Okey!A:B,2,0),"")</f>
        <v/>
      </c>
      <c r="I2015" s="13" t="s">
        <v>276</v>
      </c>
      <c r="J2015" s="22" t="e">
        <f>VLOOKUP(Table2[[#This Row], [Author]],People!A:B,2,0)</f>
        <v>#VALUE!</v>
      </c>
      <c r="K2015" s="13" t="s">
        <v>3297</v>
      </c>
      <c r="L2015" s="13"/>
      <c r="M2015" s="23" t="s">
        <v>277</v>
      </c>
    </row>
    <row r="2016" spans="1:13" ht="19.5" customHeight="1">
      <c r="A2016" s="18">
        <f t="shared" si="31"/>
        <v>2015</v>
      </c>
      <c r="B2016" s="11" t="s">
        <v>3295</v>
      </c>
      <c r="C2016" s="11" t="s">
        <v>96</v>
      </c>
      <c r="D2016" s="11" t="s">
        <v>3578</v>
      </c>
      <c r="E2016" s="11"/>
      <c r="F2016" s="11" t="s">
        <v>3570</v>
      </c>
      <c r="G2016" s="11" t="s">
        <v>13</v>
      </c>
      <c r="H2016" s="19" t="str">
        <f>IFERROR(VLOOKUP(Table2[[#This Row], [Ticket]],Okey!A:B,2,0),"")</f>
        <v/>
      </c>
      <c r="I2016" s="11" t="s">
        <v>276</v>
      </c>
      <c r="J2016" s="19" t="e">
        <f>VLOOKUP(Table2[[#This Row], [Author]],People!A:B,2,0)</f>
        <v>#VALUE!</v>
      </c>
      <c r="K2016" s="11" t="s">
        <v>3297</v>
      </c>
      <c r="L2016" s="11"/>
      <c r="M2016" s="20" t="s">
        <v>277</v>
      </c>
    </row>
    <row r="2017" spans="1:13" ht="19.5" customHeight="1">
      <c r="A2017" s="21">
        <f t="shared" si="31"/>
        <v>2016</v>
      </c>
      <c r="B2017" s="13" t="s">
        <v>3295</v>
      </c>
      <c r="C2017" s="13" t="s">
        <v>96</v>
      </c>
      <c r="D2017" s="13" t="s">
        <v>3579</v>
      </c>
      <c r="E2017" s="13"/>
      <c r="F2017" s="13" t="s">
        <v>3570</v>
      </c>
      <c r="G2017" s="13" t="s">
        <v>13</v>
      </c>
      <c r="H2017" s="22" t="str">
        <f>IFERROR(VLOOKUP(Table2[[#This Row], [Ticket]],Okey!A:B,2,0),"")</f>
        <v/>
      </c>
      <c r="I2017" s="13" t="s">
        <v>276</v>
      </c>
      <c r="J2017" s="22" t="e">
        <f>VLOOKUP(Table2[[#This Row], [Author]],People!A:B,2,0)</f>
        <v>#VALUE!</v>
      </c>
      <c r="K2017" s="13" t="s">
        <v>3297</v>
      </c>
      <c r="L2017" s="13"/>
      <c r="M2017" s="23" t="s">
        <v>277</v>
      </c>
    </row>
    <row r="2018" spans="1:13" ht="19.5" customHeight="1">
      <c r="A2018" s="18">
        <f t="shared" si="31"/>
        <v>2017</v>
      </c>
      <c r="B2018" s="11" t="s">
        <v>3295</v>
      </c>
      <c r="C2018" s="11" t="s">
        <v>96</v>
      </c>
      <c r="D2018" s="11" t="s">
        <v>3580</v>
      </c>
      <c r="E2018" s="11"/>
      <c r="F2018" s="11" t="s">
        <v>3577</v>
      </c>
      <c r="G2018" s="11" t="s">
        <v>13</v>
      </c>
      <c r="H2018" s="19" t="str">
        <f>IFERROR(VLOOKUP(Table2[[#This Row], [Ticket]],Okey!A:B,2,0),"")</f>
        <v/>
      </c>
      <c r="I2018" s="11" t="s">
        <v>276</v>
      </c>
      <c r="J2018" s="19" t="e">
        <f>VLOOKUP(Table2[[#This Row], [Author]],People!A:B,2,0)</f>
        <v>#VALUE!</v>
      </c>
      <c r="K2018" s="11" t="s">
        <v>3297</v>
      </c>
      <c r="L2018" s="11"/>
      <c r="M2018" s="20" t="s">
        <v>277</v>
      </c>
    </row>
    <row r="2019" spans="1:13" ht="19.5" customHeight="1">
      <c r="A2019" s="21">
        <f t="shared" si="31"/>
        <v>2018</v>
      </c>
      <c r="B2019" s="13" t="s">
        <v>3295</v>
      </c>
      <c r="C2019" s="13" t="s">
        <v>96</v>
      </c>
      <c r="D2019" s="13" t="s">
        <v>3581</v>
      </c>
      <c r="E2019" s="13"/>
      <c r="F2019" s="13" t="s">
        <v>3570</v>
      </c>
      <c r="G2019" s="13" t="s">
        <v>13</v>
      </c>
      <c r="H2019" s="22" t="str">
        <f>IFERROR(VLOOKUP(Table2[[#This Row], [Ticket]],Okey!A:B,2,0),"")</f>
        <v/>
      </c>
      <c r="I2019" s="13" t="s">
        <v>276</v>
      </c>
      <c r="J2019" s="22" t="e">
        <f>VLOOKUP(Table2[[#This Row], [Author]],People!A:B,2,0)</f>
        <v>#VALUE!</v>
      </c>
      <c r="K2019" s="13" t="s">
        <v>3297</v>
      </c>
      <c r="L2019" s="13"/>
      <c r="M2019" s="23" t="s">
        <v>277</v>
      </c>
    </row>
    <row r="2020" spans="1:13" ht="19.5" customHeight="1">
      <c r="A2020" s="18">
        <f t="shared" si="31"/>
        <v>2019</v>
      </c>
      <c r="B2020" s="11" t="s">
        <v>3295</v>
      </c>
      <c r="C2020" s="11" t="s">
        <v>96</v>
      </c>
      <c r="D2020" s="11" t="s">
        <v>3582</v>
      </c>
      <c r="E2020" s="11"/>
      <c r="F2020" s="11" t="s">
        <v>3570</v>
      </c>
      <c r="G2020" s="11" t="s">
        <v>13</v>
      </c>
      <c r="H2020" s="19" t="str">
        <f>IFERROR(VLOOKUP(Table2[[#This Row], [Ticket]],Okey!A:B,2,0),"")</f>
        <v/>
      </c>
      <c r="I2020" s="11" t="s">
        <v>276</v>
      </c>
      <c r="J2020" s="19" t="e">
        <f>VLOOKUP(Table2[[#This Row], [Author]],People!A:B,2,0)</f>
        <v>#VALUE!</v>
      </c>
      <c r="K2020" s="11" t="s">
        <v>3297</v>
      </c>
      <c r="L2020" s="11"/>
      <c r="M2020" s="20" t="s">
        <v>277</v>
      </c>
    </row>
    <row r="2021" spans="1:13" ht="19.5" customHeight="1">
      <c r="A2021" s="21">
        <f t="shared" si="31"/>
        <v>2020</v>
      </c>
      <c r="B2021" s="13" t="s">
        <v>3295</v>
      </c>
      <c r="C2021" s="13" t="s">
        <v>96</v>
      </c>
      <c r="D2021" s="13" t="s">
        <v>3583</v>
      </c>
      <c r="E2021" s="13"/>
      <c r="F2021" s="13" t="s">
        <v>3577</v>
      </c>
      <c r="G2021" s="13" t="s">
        <v>13</v>
      </c>
      <c r="H2021" s="22" t="str">
        <f>IFERROR(VLOOKUP(Table2[[#This Row], [Ticket]],Okey!A:B,2,0),"")</f>
        <v/>
      </c>
      <c r="I2021" s="13" t="s">
        <v>276</v>
      </c>
      <c r="J2021" s="22" t="e">
        <f>VLOOKUP(Table2[[#This Row], [Author]],People!A:B,2,0)</f>
        <v>#VALUE!</v>
      </c>
      <c r="K2021" s="13" t="s">
        <v>3297</v>
      </c>
      <c r="L2021" s="13"/>
      <c r="M2021" s="23" t="s">
        <v>277</v>
      </c>
    </row>
    <row r="2022" spans="1:13" ht="19.5" customHeight="1">
      <c r="A2022" s="18">
        <f t="shared" si="31"/>
        <v>2021</v>
      </c>
      <c r="B2022" s="11" t="s">
        <v>3295</v>
      </c>
      <c r="C2022" s="11" t="s">
        <v>96</v>
      </c>
      <c r="D2022" s="11" t="s">
        <v>3584</v>
      </c>
      <c r="E2022" s="11"/>
      <c r="F2022" s="11" t="s">
        <v>3564</v>
      </c>
      <c r="G2022" s="11" t="s">
        <v>13</v>
      </c>
      <c r="H2022" s="19" t="str">
        <f>IFERROR(VLOOKUP(Table2[[#This Row], [Ticket]],Okey!A:B,2,0),"")</f>
        <v/>
      </c>
      <c r="I2022" s="11" t="s">
        <v>276</v>
      </c>
      <c r="J2022" s="19" t="e">
        <f>VLOOKUP(Table2[[#This Row], [Author]],People!A:B,2,0)</f>
        <v>#VALUE!</v>
      </c>
      <c r="K2022" s="11" t="s">
        <v>3297</v>
      </c>
      <c r="L2022" s="11"/>
      <c r="M2022" s="20" t="s">
        <v>277</v>
      </c>
    </row>
    <row r="2023" spans="1:13" ht="19.5" customHeight="1">
      <c r="A2023" s="21">
        <f t="shared" si="31"/>
        <v>2022</v>
      </c>
      <c r="B2023" s="13" t="s">
        <v>3295</v>
      </c>
      <c r="C2023" s="13" t="s">
        <v>96</v>
      </c>
      <c r="D2023" s="13" t="s">
        <v>3585</v>
      </c>
      <c r="E2023" s="13"/>
      <c r="F2023" s="13" t="s">
        <v>3568</v>
      </c>
      <c r="G2023" s="13" t="s">
        <v>13</v>
      </c>
      <c r="H2023" s="22" t="str">
        <f>IFERROR(VLOOKUP(Table2[[#This Row], [Ticket]],Okey!A:B,2,0),"")</f>
        <v/>
      </c>
      <c r="I2023" s="13" t="s">
        <v>276</v>
      </c>
      <c r="J2023" s="22" t="e">
        <f>VLOOKUP(Table2[[#This Row], [Author]],People!A:B,2,0)</f>
        <v>#VALUE!</v>
      </c>
      <c r="K2023" s="13" t="s">
        <v>3297</v>
      </c>
      <c r="L2023" s="13"/>
      <c r="M2023" s="23" t="s">
        <v>277</v>
      </c>
    </row>
    <row r="2024" spans="1:13" ht="19.5" customHeight="1">
      <c r="A2024" s="18">
        <f t="shared" si="31"/>
        <v>2023</v>
      </c>
      <c r="B2024" s="11" t="s">
        <v>3295</v>
      </c>
      <c r="C2024" s="11" t="s">
        <v>96</v>
      </c>
      <c r="D2024" s="11" t="s">
        <v>3586</v>
      </c>
      <c r="E2024" s="11"/>
      <c r="F2024" s="11" t="s">
        <v>3564</v>
      </c>
      <c r="G2024" s="11" t="s">
        <v>13</v>
      </c>
      <c r="H2024" s="19" t="str">
        <f>IFERROR(VLOOKUP(Table2[[#This Row], [Ticket]],Okey!A:B,2,0),"")</f>
        <v/>
      </c>
      <c r="I2024" s="11" t="s">
        <v>276</v>
      </c>
      <c r="J2024" s="19" t="e">
        <f>VLOOKUP(Table2[[#This Row], [Author]],People!A:B,2,0)</f>
        <v>#VALUE!</v>
      </c>
      <c r="K2024" s="11" t="s">
        <v>3297</v>
      </c>
      <c r="L2024" s="11"/>
      <c r="M2024" s="20" t="s">
        <v>277</v>
      </c>
    </row>
    <row r="2025" spans="1:13" ht="19.5" customHeight="1">
      <c r="A2025" s="21">
        <f t="shared" si="31"/>
        <v>2024</v>
      </c>
      <c r="B2025" s="13" t="s">
        <v>3295</v>
      </c>
      <c r="C2025" s="13" t="s">
        <v>96</v>
      </c>
      <c r="D2025" s="13" t="s">
        <v>3587</v>
      </c>
      <c r="E2025" s="13"/>
      <c r="F2025" s="13" t="s">
        <v>3519</v>
      </c>
      <c r="G2025" s="13" t="s">
        <v>13</v>
      </c>
      <c r="H2025" s="22" t="str">
        <f>IFERROR(VLOOKUP(Table2[[#This Row], [Ticket]],Okey!A:B,2,0),"")</f>
        <v/>
      </c>
      <c r="I2025" s="13" t="s">
        <v>276</v>
      </c>
      <c r="J2025" s="22" t="e">
        <f>VLOOKUP(Table2[[#This Row], [Author]],People!A:B,2,0)</f>
        <v>#VALUE!</v>
      </c>
      <c r="K2025" s="13" t="s">
        <v>3297</v>
      </c>
      <c r="L2025" s="13"/>
      <c r="M2025" s="23" t="s">
        <v>277</v>
      </c>
    </row>
    <row r="2026" spans="1:13" ht="19.5" customHeight="1">
      <c r="A2026" s="18">
        <f t="shared" si="31"/>
        <v>2025</v>
      </c>
      <c r="B2026" s="11" t="s">
        <v>3295</v>
      </c>
      <c r="C2026" s="11" t="s">
        <v>96</v>
      </c>
      <c r="D2026" s="11" t="s">
        <v>3588</v>
      </c>
      <c r="E2026" s="11"/>
      <c r="F2026" s="11" t="s">
        <v>3564</v>
      </c>
      <c r="G2026" s="11" t="s">
        <v>13</v>
      </c>
      <c r="H2026" s="19" t="str">
        <f>IFERROR(VLOOKUP(Table2[[#This Row], [Ticket]],Okey!A:B,2,0),"")</f>
        <v/>
      </c>
      <c r="I2026" s="11" t="s">
        <v>276</v>
      </c>
      <c r="J2026" s="19" t="e">
        <f>VLOOKUP(Table2[[#This Row], [Author]],People!A:B,2,0)</f>
        <v>#VALUE!</v>
      </c>
      <c r="K2026" s="11" t="s">
        <v>3297</v>
      </c>
      <c r="L2026" s="11"/>
      <c r="M2026" s="20" t="s">
        <v>277</v>
      </c>
    </row>
    <row r="2027" spans="1:13" ht="19.5" customHeight="1">
      <c r="A2027" s="21">
        <f t="shared" si="31"/>
        <v>2026</v>
      </c>
      <c r="B2027" s="13" t="s">
        <v>3295</v>
      </c>
      <c r="C2027" s="13" t="s">
        <v>96</v>
      </c>
      <c r="D2027" s="13" t="s">
        <v>3589</v>
      </c>
      <c r="E2027" s="13"/>
      <c r="F2027" s="13" t="s">
        <v>3590</v>
      </c>
      <c r="G2027" s="13" t="s">
        <v>13</v>
      </c>
      <c r="H2027" s="22" t="str">
        <f>IFERROR(VLOOKUP(Table2[[#This Row], [Ticket]],Okey!A:B,2,0),"")</f>
        <v/>
      </c>
      <c r="I2027" s="13" t="s">
        <v>276</v>
      </c>
      <c r="J2027" s="22" t="e">
        <f>VLOOKUP(Table2[[#This Row], [Author]],People!A:B,2,0)</f>
        <v>#VALUE!</v>
      </c>
      <c r="K2027" s="13" t="s">
        <v>3297</v>
      </c>
      <c r="L2027" s="13"/>
      <c r="M2027" s="23" t="s">
        <v>277</v>
      </c>
    </row>
    <row r="2028" spans="1:13" ht="19.5" customHeight="1">
      <c r="A2028" s="18">
        <f t="shared" si="31"/>
        <v>2027</v>
      </c>
      <c r="B2028" s="11" t="s">
        <v>3295</v>
      </c>
      <c r="C2028" s="11" t="s">
        <v>96</v>
      </c>
      <c r="D2028" s="11" t="s">
        <v>3591</v>
      </c>
      <c r="E2028" s="11"/>
      <c r="F2028" s="11" t="s">
        <v>3592</v>
      </c>
      <c r="G2028" s="11" t="s">
        <v>13</v>
      </c>
      <c r="H2028" s="19" t="str">
        <f>IFERROR(VLOOKUP(Table2[[#This Row], [Ticket]],Okey!A:B,2,0),"")</f>
        <v/>
      </c>
      <c r="I2028" s="11" t="s">
        <v>276</v>
      </c>
      <c r="J2028" s="19" t="e">
        <f>VLOOKUP(Table2[[#This Row], [Author]],People!A:B,2,0)</f>
        <v>#VALUE!</v>
      </c>
      <c r="K2028" s="11" t="s">
        <v>3297</v>
      </c>
      <c r="L2028" s="11"/>
      <c r="M2028" s="20" t="s">
        <v>277</v>
      </c>
    </row>
    <row r="2029" spans="1:13" ht="19.5" customHeight="1">
      <c r="A2029" s="21">
        <f t="shared" si="31"/>
        <v>2028</v>
      </c>
      <c r="B2029" s="13" t="s">
        <v>3295</v>
      </c>
      <c r="C2029" s="13" t="s">
        <v>96</v>
      </c>
      <c r="D2029" s="13" t="s">
        <v>3593</v>
      </c>
      <c r="E2029" s="13"/>
      <c r="F2029" s="13" t="s">
        <v>3564</v>
      </c>
      <c r="G2029" s="13" t="s">
        <v>13</v>
      </c>
      <c r="H2029" s="22" t="str">
        <f>IFERROR(VLOOKUP(Table2[[#This Row], [Ticket]],Okey!A:B,2,0),"")</f>
        <v/>
      </c>
      <c r="I2029" s="13" t="s">
        <v>276</v>
      </c>
      <c r="J2029" s="22" t="e">
        <f>VLOOKUP(Table2[[#This Row], [Author]],People!A:B,2,0)</f>
        <v>#VALUE!</v>
      </c>
      <c r="K2029" s="13" t="s">
        <v>3297</v>
      </c>
      <c r="L2029" s="13"/>
      <c r="M2029" s="23" t="s">
        <v>277</v>
      </c>
    </row>
    <row r="2030" spans="1:13" ht="19.5" customHeight="1">
      <c r="A2030" s="18">
        <f t="shared" si="31"/>
        <v>2029</v>
      </c>
      <c r="B2030" s="11" t="s">
        <v>3295</v>
      </c>
      <c r="C2030" s="11" t="s">
        <v>96</v>
      </c>
      <c r="D2030" s="11" t="s">
        <v>3594</v>
      </c>
      <c r="E2030" s="11"/>
      <c r="F2030" s="11" t="s">
        <v>3564</v>
      </c>
      <c r="G2030" s="11" t="s">
        <v>13</v>
      </c>
      <c r="H2030" s="19" t="str">
        <f>IFERROR(VLOOKUP(Table2[[#This Row], [Ticket]],Okey!A:B,2,0),"")</f>
        <v/>
      </c>
      <c r="I2030" s="11" t="s">
        <v>276</v>
      </c>
      <c r="J2030" s="19" t="e">
        <f>VLOOKUP(Table2[[#This Row], [Author]],People!A:B,2,0)</f>
        <v>#VALUE!</v>
      </c>
      <c r="K2030" s="11" t="s">
        <v>3297</v>
      </c>
      <c r="L2030" s="11"/>
      <c r="M2030" s="20" t="s">
        <v>277</v>
      </c>
    </row>
    <row r="2031" spans="1:13" ht="19.5" customHeight="1">
      <c r="A2031" s="21">
        <f t="shared" si="31"/>
        <v>2030</v>
      </c>
      <c r="B2031" s="13" t="s">
        <v>3295</v>
      </c>
      <c r="C2031" s="13" t="s">
        <v>96</v>
      </c>
      <c r="D2031" s="13" t="s">
        <v>3595</v>
      </c>
      <c r="E2031" s="13"/>
      <c r="F2031" s="13" t="s">
        <v>3564</v>
      </c>
      <c r="G2031" s="13" t="s">
        <v>13</v>
      </c>
      <c r="H2031" s="22" t="str">
        <f>IFERROR(VLOOKUP(Table2[[#This Row], [Ticket]],Okey!A:B,2,0),"")</f>
        <v/>
      </c>
      <c r="I2031" s="13" t="s">
        <v>276</v>
      </c>
      <c r="J2031" s="22" t="e">
        <f>VLOOKUP(Table2[[#This Row], [Author]],People!A:B,2,0)</f>
        <v>#VALUE!</v>
      </c>
      <c r="K2031" s="13" t="s">
        <v>3297</v>
      </c>
      <c r="L2031" s="13"/>
      <c r="M2031" s="23" t="s">
        <v>277</v>
      </c>
    </row>
    <row r="2032" spans="1:13" ht="19.5" customHeight="1">
      <c r="A2032" s="18">
        <f t="shared" si="31"/>
        <v>2031</v>
      </c>
      <c r="B2032" s="11" t="s">
        <v>3295</v>
      </c>
      <c r="C2032" s="11" t="s">
        <v>96</v>
      </c>
      <c r="D2032" s="11" t="s">
        <v>3596</v>
      </c>
      <c r="E2032" s="11"/>
      <c r="F2032" s="11" t="s">
        <v>3592</v>
      </c>
      <c r="G2032" s="11" t="s">
        <v>13</v>
      </c>
      <c r="H2032" s="19" t="str">
        <f>IFERROR(VLOOKUP(Table2[[#This Row], [Ticket]],Okey!A:B,2,0),"")</f>
        <v/>
      </c>
      <c r="I2032" s="11" t="s">
        <v>276</v>
      </c>
      <c r="J2032" s="19" t="e">
        <f>VLOOKUP(Table2[[#This Row], [Author]],People!A:B,2,0)</f>
        <v>#VALUE!</v>
      </c>
      <c r="K2032" s="11" t="s">
        <v>3297</v>
      </c>
      <c r="L2032" s="11"/>
      <c r="M2032" s="20" t="s">
        <v>277</v>
      </c>
    </row>
    <row r="2033" spans="1:13" ht="19.5" customHeight="1">
      <c r="A2033" s="21">
        <f t="shared" si="31"/>
        <v>2032</v>
      </c>
      <c r="B2033" s="13" t="s">
        <v>3295</v>
      </c>
      <c r="C2033" s="13" t="s">
        <v>96</v>
      </c>
      <c r="D2033" s="13" t="s">
        <v>3597</v>
      </c>
      <c r="E2033" s="13"/>
      <c r="F2033" s="13" t="s">
        <v>3592</v>
      </c>
      <c r="G2033" s="13" t="s">
        <v>13</v>
      </c>
      <c r="H2033" s="22" t="str">
        <f>IFERROR(VLOOKUP(Table2[[#This Row], [Ticket]],Okey!A:B,2,0),"")</f>
        <v/>
      </c>
      <c r="I2033" s="13" t="s">
        <v>276</v>
      </c>
      <c r="J2033" s="22" t="e">
        <f>VLOOKUP(Table2[[#This Row], [Author]],People!A:B,2,0)</f>
        <v>#VALUE!</v>
      </c>
      <c r="K2033" s="13" t="s">
        <v>3297</v>
      </c>
      <c r="L2033" s="13"/>
      <c r="M2033" s="23" t="s">
        <v>277</v>
      </c>
    </row>
    <row r="2034" spans="1:13" ht="19.5" customHeight="1">
      <c r="A2034" s="18">
        <f t="shared" si="31"/>
        <v>2033</v>
      </c>
      <c r="B2034" s="11" t="s">
        <v>3295</v>
      </c>
      <c r="C2034" s="11" t="s">
        <v>96</v>
      </c>
      <c r="D2034" s="11" t="s">
        <v>3598</v>
      </c>
      <c r="E2034" s="11"/>
      <c r="F2034" s="11" t="s">
        <v>3592</v>
      </c>
      <c r="G2034" s="11" t="s">
        <v>13</v>
      </c>
      <c r="H2034" s="19" t="str">
        <f>IFERROR(VLOOKUP(Table2[[#This Row], [Ticket]],Okey!A:B,2,0),"")</f>
        <v/>
      </c>
      <c r="I2034" s="11" t="s">
        <v>276</v>
      </c>
      <c r="J2034" s="19" t="e">
        <f>VLOOKUP(Table2[[#This Row], [Author]],People!A:B,2,0)</f>
        <v>#VALUE!</v>
      </c>
      <c r="K2034" s="11" t="s">
        <v>3297</v>
      </c>
      <c r="L2034" s="11"/>
      <c r="M2034" s="20" t="s">
        <v>277</v>
      </c>
    </row>
    <row r="2035" spans="1:13" ht="19.5" customHeight="1">
      <c r="A2035" s="21">
        <f t="shared" si="31"/>
        <v>2034</v>
      </c>
      <c r="B2035" s="13" t="s">
        <v>3295</v>
      </c>
      <c r="C2035" s="13" t="s">
        <v>96</v>
      </c>
      <c r="D2035" s="13" t="s">
        <v>3599</v>
      </c>
      <c r="E2035" s="13"/>
      <c r="F2035" s="13" t="s">
        <v>3592</v>
      </c>
      <c r="G2035" s="13" t="s">
        <v>13</v>
      </c>
      <c r="H2035" s="22" t="str">
        <f>IFERROR(VLOOKUP(Table2[[#This Row], [Ticket]],Okey!A:B,2,0),"")</f>
        <v/>
      </c>
      <c r="I2035" s="13" t="s">
        <v>276</v>
      </c>
      <c r="J2035" s="22" t="e">
        <f>VLOOKUP(Table2[[#This Row], [Author]],People!A:B,2,0)</f>
        <v>#VALUE!</v>
      </c>
      <c r="K2035" s="13" t="s">
        <v>3297</v>
      </c>
      <c r="L2035" s="13"/>
      <c r="M2035" s="23" t="s">
        <v>277</v>
      </c>
    </row>
    <row r="2036" spans="1:13" ht="19.5" customHeight="1">
      <c r="A2036" s="18">
        <f t="shared" si="31"/>
        <v>2035</v>
      </c>
      <c r="B2036" s="11" t="s">
        <v>3295</v>
      </c>
      <c r="C2036" s="11" t="s">
        <v>96</v>
      </c>
      <c r="D2036" s="11" t="s">
        <v>3600</v>
      </c>
      <c r="E2036" s="11"/>
      <c r="F2036" s="11" t="s">
        <v>3601</v>
      </c>
      <c r="G2036" s="11" t="s">
        <v>13</v>
      </c>
      <c r="H2036" s="19" t="str">
        <f>IFERROR(VLOOKUP(Table2[[#This Row], [Ticket]],Okey!A:B,2,0),"")</f>
        <v/>
      </c>
      <c r="I2036" s="11" t="s">
        <v>276</v>
      </c>
      <c r="J2036" s="19" t="e">
        <f>VLOOKUP(Table2[[#This Row], [Author]],People!A:B,2,0)</f>
        <v>#VALUE!</v>
      </c>
      <c r="K2036" s="11" t="s">
        <v>3297</v>
      </c>
      <c r="L2036" s="11"/>
      <c r="M2036" s="20" t="s">
        <v>277</v>
      </c>
    </row>
    <row r="2037" spans="1:13" ht="19.5" customHeight="1">
      <c r="A2037" s="21">
        <f t="shared" si="31"/>
        <v>2036</v>
      </c>
      <c r="B2037" s="13" t="s">
        <v>3295</v>
      </c>
      <c r="C2037" s="13" t="s">
        <v>96</v>
      </c>
      <c r="D2037" s="13" t="s">
        <v>3602</v>
      </c>
      <c r="E2037" s="13"/>
      <c r="F2037" s="13" t="s">
        <v>3601</v>
      </c>
      <c r="G2037" s="13" t="s">
        <v>13</v>
      </c>
      <c r="H2037" s="22" t="str">
        <f>IFERROR(VLOOKUP(Table2[[#This Row], [Ticket]],Okey!A:B,2,0),"")</f>
        <v/>
      </c>
      <c r="I2037" s="13" t="s">
        <v>276</v>
      </c>
      <c r="J2037" s="22" t="e">
        <f>VLOOKUP(Table2[[#This Row], [Author]],People!A:B,2,0)</f>
        <v>#VALUE!</v>
      </c>
      <c r="K2037" s="13" t="s">
        <v>3297</v>
      </c>
      <c r="L2037" s="13"/>
      <c r="M2037" s="23" t="s">
        <v>277</v>
      </c>
    </row>
    <row r="2038" spans="1:13" ht="19.5" customHeight="1">
      <c r="A2038" s="18">
        <f t="shared" si="31"/>
        <v>2037</v>
      </c>
      <c r="B2038" s="11" t="s">
        <v>3295</v>
      </c>
      <c r="C2038" s="11" t="s">
        <v>96</v>
      </c>
      <c r="D2038" s="11" t="s">
        <v>3603</v>
      </c>
      <c r="E2038" s="11"/>
      <c r="F2038" s="11" t="s">
        <v>3604</v>
      </c>
      <c r="G2038" s="11" t="s">
        <v>13</v>
      </c>
      <c r="H2038" s="19" t="str">
        <f>IFERROR(VLOOKUP(Table2[[#This Row], [Ticket]],Okey!A:B,2,0),"")</f>
        <v/>
      </c>
      <c r="I2038" s="11" t="s">
        <v>276</v>
      </c>
      <c r="J2038" s="19" t="e">
        <f>VLOOKUP(Table2[[#This Row], [Author]],People!A:B,2,0)</f>
        <v>#VALUE!</v>
      </c>
      <c r="K2038" s="11" t="s">
        <v>3297</v>
      </c>
      <c r="L2038" s="11"/>
      <c r="M2038" s="20" t="s">
        <v>277</v>
      </c>
    </row>
    <row r="2039" spans="1:13" ht="19.5" customHeight="1">
      <c r="A2039" s="21">
        <f t="shared" si="31"/>
        <v>2038</v>
      </c>
      <c r="B2039" s="13" t="s">
        <v>3295</v>
      </c>
      <c r="C2039" s="13" t="s">
        <v>96</v>
      </c>
      <c r="D2039" s="13" t="s">
        <v>3605</v>
      </c>
      <c r="E2039" s="13"/>
      <c r="F2039" s="13" t="s">
        <v>3604</v>
      </c>
      <c r="G2039" s="13" t="s">
        <v>13</v>
      </c>
      <c r="H2039" s="22" t="str">
        <f>IFERROR(VLOOKUP(Table2[[#This Row], [Ticket]],Okey!A:B,2,0),"")</f>
        <v/>
      </c>
      <c r="I2039" s="13" t="s">
        <v>276</v>
      </c>
      <c r="J2039" s="22" t="e">
        <f>VLOOKUP(Table2[[#This Row], [Author]],People!A:B,2,0)</f>
        <v>#VALUE!</v>
      </c>
      <c r="K2039" s="13" t="s">
        <v>3297</v>
      </c>
      <c r="L2039" s="13"/>
      <c r="M2039" s="23" t="s">
        <v>277</v>
      </c>
    </row>
    <row r="2040" spans="1:13" ht="19.5" customHeight="1">
      <c r="A2040" s="18">
        <f t="shared" si="31"/>
        <v>2039</v>
      </c>
      <c r="B2040" s="11" t="s">
        <v>3295</v>
      </c>
      <c r="C2040" s="11" t="s">
        <v>96</v>
      </c>
      <c r="D2040" s="11" t="s">
        <v>3606</v>
      </c>
      <c r="E2040" s="11"/>
      <c r="F2040" s="11" t="s">
        <v>3607</v>
      </c>
      <c r="G2040" s="11" t="s">
        <v>13</v>
      </c>
      <c r="H2040" s="19" t="str">
        <f>IFERROR(VLOOKUP(Table2[[#This Row], [Ticket]],Okey!A:B,2,0),"")</f>
        <v/>
      </c>
      <c r="I2040" s="11" t="s">
        <v>276</v>
      </c>
      <c r="J2040" s="19" t="e">
        <f>VLOOKUP(Table2[[#This Row], [Author]],People!A:B,2,0)</f>
        <v>#VALUE!</v>
      </c>
      <c r="K2040" s="11" t="s">
        <v>3297</v>
      </c>
      <c r="L2040" s="11"/>
      <c r="M2040" s="20" t="s">
        <v>277</v>
      </c>
    </row>
    <row r="2041" spans="1:13" ht="19.5" customHeight="1">
      <c r="A2041" s="21">
        <f t="shared" si="31"/>
        <v>2040</v>
      </c>
      <c r="B2041" s="13" t="s">
        <v>3295</v>
      </c>
      <c r="C2041" s="13" t="s">
        <v>96</v>
      </c>
      <c r="D2041" s="13" t="s">
        <v>3608</v>
      </c>
      <c r="E2041" s="13"/>
      <c r="F2041" s="13" t="s">
        <v>3609</v>
      </c>
      <c r="G2041" s="13" t="s">
        <v>13</v>
      </c>
      <c r="H2041" s="22" t="str">
        <f>IFERROR(VLOOKUP(Table2[[#This Row], [Ticket]],Okey!A:B,2,0),"")</f>
        <v/>
      </c>
      <c r="I2041" s="13" t="s">
        <v>276</v>
      </c>
      <c r="J2041" s="22" t="e">
        <f>VLOOKUP(Table2[[#This Row], [Author]],People!A:B,2,0)</f>
        <v>#VALUE!</v>
      </c>
      <c r="K2041" s="13" t="s">
        <v>3297</v>
      </c>
      <c r="L2041" s="13"/>
      <c r="M2041" s="23" t="s">
        <v>277</v>
      </c>
    </row>
    <row r="2042" spans="1:13" ht="19.5" customHeight="1">
      <c r="A2042" s="18">
        <f t="shared" si="31"/>
        <v>2041</v>
      </c>
      <c r="B2042" s="11" t="s">
        <v>3295</v>
      </c>
      <c r="C2042" s="11" t="s">
        <v>96</v>
      </c>
      <c r="D2042" s="11" t="s">
        <v>3610</v>
      </c>
      <c r="E2042" s="11"/>
      <c r="F2042" s="11" t="s">
        <v>3608</v>
      </c>
      <c r="G2042" s="11" t="s">
        <v>13</v>
      </c>
      <c r="H2042" s="19" t="str">
        <f>IFERROR(VLOOKUP(Table2[[#This Row], [Ticket]],Okey!A:B,2,0),"")</f>
        <v/>
      </c>
      <c r="I2042" s="11" t="s">
        <v>276</v>
      </c>
      <c r="J2042" s="19" t="e">
        <f>VLOOKUP(Table2[[#This Row], [Author]],People!A:B,2,0)</f>
        <v>#VALUE!</v>
      </c>
      <c r="K2042" s="11" t="s">
        <v>3297</v>
      </c>
      <c r="L2042" s="11"/>
      <c r="M2042" s="20" t="s">
        <v>277</v>
      </c>
    </row>
    <row r="2043" spans="1:13" ht="19.5" customHeight="1">
      <c r="A2043" s="21">
        <f t="shared" si="31"/>
        <v>2042</v>
      </c>
      <c r="B2043" s="13" t="s">
        <v>3295</v>
      </c>
      <c r="C2043" s="13" t="s">
        <v>96</v>
      </c>
      <c r="D2043" s="13" t="s">
        <v>3611</v>
      </c>
      <c r="E2043" s="13"/>
      <c r="F2043" s="13" t="s">
        <v>3488</v>
      </c>
      <c r="G2043" s="13" t="s">
        <v>13</v>
      </c>
      <c r="H2043" s="22" t="str">
        <f>IFERROR(VLOOKUP(Table2[[#This Row], [Ticket]],Okey!A:B,2,0),"")</f>
        <v/>
      </c>
      <c r="I2043" s="13" t="s">
        <v>276</v>
      </c>
      <c r="J2043" s="22" t="e">
        <f>VLOOKUP(Table2[[#This Row], [Author]],People!A:B,2,0)</f>
        <v>#VALUE!</v>
      </c>
      <c r="K2043" s="13" t="s">
        <v>3297</v>
      </c>
      <c r="L2043" s="13"/>
      <c r="M2043" s="23" t="s">
        <v>277</v>
      </c>
    </row>
    <row r="2044" spans="1:13" ht="19.5" customHeight="1">
      <c r="A2044" s="18">
        <f t="shared" si="31"/>
        <v>2043</v>
      </c>
      <c r="B2044" s="11" t="s">
        <v>3295</v>
      </c>
      <c r="C2044" s="11" t="s">
        <v>96</v>
      </c>
      <c r="D2044" s="11" t="s">
        <v>3612</v>
      </c>
      <c r="E2044" s="11"/>
      <c r="F2044" s="11" t="s">
        <v>3499</v>
      </c>
      <c r="G2044" s="11" t="s">
        <v>13</v>
      </c>
      <c r="H2044" s="19" t="str">
        <f>IFERROR(VLOOKUP(Table2[[#This Row], [Ticket]],Okey!A:B,2,0),"")</f>
        <v/>
      </c>
      <c r="I2044" s="11" t="s">
        <v>276</v>
      </c>
      <c r="J2044" s="19" t="e">
        <f>VLOOKUP(Table2[[#This Row], [Author]],People!A:B,2,0)</f>
        <v>#VALUE!</v>
      </c>
      <c r="K2044" s="11" t="s">
        <v>3297</v>
      </c>
      <c r="L2044" s="11"/>
      <c r="M2044" s="20" t="s">
        <v>277</v>
      </c>
    </row>
    <row r="2045" spans="1:13" ht="19.5" customHeight="1">
      <c r="A2045" s="21">
        <f t="shared" si="31"/>
        <v>2044</v>
      </c>
      <c r="B2045" s="13" t="s">
        <v>3295</v>
      </c>
      <c r="C2045" s="13" t="s">
        <v>96</v>
      </c>
      <c r="D2045" s="13" t="s">
        <v>3613</v>
      </c>
      <c r="E2045" s="13"/>
      <c r="F2045" s="13" t="s">
        <v>3515</v>
      </c>
      <c r="G2045" s="13" t="s">
        <v>13</v>
      </c>
      <c r="H2045" s="22" t="str">
        <f>IFERROR(VLOOKUP(Table2[[#This Row], [Ticket]],Okey!A:B,2,0),"")</f>
        <v/>
      </c>
      <c r="I2045" s="13" t="s">
        <v>276</v>
      </c>
      <c r="J2045" s="22" t="e">
        <f>VLOOKUP(Table2[[#This Row], [Author]],People!A:B,2,0)</f>
        <v>#VALUE!</v>
      </c>
      <c r="K2045" s="13" t="s">
        <v>3297</v>
      </c>
      <c r="L2045" s="13"/>
      <c r="M2045" s="23" t="s">
        <v>277</v>
      </c>
    </row>
    <row r="2046" spans="1:13" ht="19.5" customHeight="1">
      <c r="A2046" s="18">
        <f t="shared" si="31"/>
        <v>2045</v>
      </c>
      <c r="B2046" s="11" t="s">
        <v>3295</v>
      </c>
      <c r="C2046" s="11" t="s">
        <v>96</v>
      </c>
      <c r="D2046" s="11" t="s">
        <v>3614</v>
      </c>
      <c r="E2046" s="11"/>
      <c r="F2046" s="11" t="s">
        <v>3515</v>
      </c>
      <c r="G2046" s="11" t="s">
        <v>13</v>
      </c>
      <c r="H2046" s="19" t="str">
        <f>IFERROR(VLOOKUP(Table2[[#This Row], [Ticket]],Okey!A:B,2,0),"")</f>
        <v/>
      </c>
      <c r="I2046" s="11" t="s">
        <v>276</v>
      </c>
      <c r="J2046" s="19" t="e">
        <f>VLOOKUP(Table2[[#This Row], [Author]],People!A:B,2,0)</f>
        <v>#VALUE!</v>
      </c>
      <c r="K2046" s="11" t="s">
        <v>3297</v>
      </c>
      <c r="L2046" s="11"/>
      <c r="M2046" s="20" t="s">
        <v>277</v>
      </c>
    </row>
    <row r="2047" spans="1:13" ht="19.5" customHeight="1">
      <c r="A2047" s="21">
        <f t="shared" si="31"/>
        <v>2046</v>
      </c>
      <c r="B2047" s="13" t="s">
        <v>3295</v>
      </c>
      <c r="C2047" s="13" t="s">
        <v>96</v>
      </c>
      <c r="D2047" s="13" t="s">
        <v>3615</v>
      </c>
      <c r="E2047" s="13"/>
      <c r="F2047" s="13" t="s">
        <v>3515</v>
      </c>
      <c r="G2047" s="13" t="s">
        <v>13</v>
      </c>
      <c r="H2047" s="22" t="str">
        <f>IFERROR(VLOOKUP(Table2[[#This Row], [Ticket]],Okey!A:B,2,0),"")</f>
        <v/>
      </c>
      <c r="I2047" s="13" t="s">
        <v>276</v>
      </c>
      <c r="J2047" s="22" t="e">
        <f>VLOOKUP(Table2[[#This Row], [Author]],People!A:B,2,0)</f>
        <v>#VALUE!</v>
      </c>
      <c r="K2047" s="13" t="s">
        <v>3297</v>
      </c>
      <c r="L2047" s="13"/>
      <c r="M2047" s="23" t="s">
        <v>277</v>
      </c>
    </row>
    <row r="2048" spans="1:13" ht="19.5" customHeight="1">
      <c r="A2048" s="18">
        <f t="shared" si="31"/>
        <v>2047</v>
      </c>
      <c r="B2048" s="11" t="s">
        <v>3295</v>
      </c>
      <c r="C2048" s="11" t="s">
        <v>96</v>
      </c>
      <c r="D2048" s="11" t="s">
        <v>3616</v>
      </c>
      <c r="E2048" s="11"/>
      <c r="F2048" s="11" t="s">
        <v>3506</v>
      </c>
      <c r="G2048" s="11" t="s">
        <v>13</v>
      </c>
      <c r="H2048" s="19" t="str">
        <f>IFERROR(VLOOKUP(Table2[[#This Row], [Ticket]],Okey!A:B,2,0),"")</f>
        <v/>
      </c>
      <c r="I2048" s="11" t="s">
        <v>276</v>
      </c>
      <c r="J2048" s="19" t="e">
        <f>VLOOKUP(Table2[[#This Row], [Author]],People!A:B,2,0)</f>
        <v>#VALUE!</v>
      </c>
      <c r="K2048" s="11" t="s">
        <v>3297</v>
      </c>
      <c r="L2048" s="11"/>
      <c r="M2048" s="20" t="s">
        <v>277</v>
      </c>
    </row>
    <row r="2049" spans="1:13" ht="19.5" customHeight="1">
      <c r="A2049" s="21">
        <f t="shared" si="31"/>
        <v>2048</v>
      </c>
      <c r="B2049" s="13" t="s">
        <v>3295</v>
      </c>
      <c r="C2049" s="13" t="s">
        <v>96</v>
      </c>
      <c r="D2049" s="13" t="s">
        <v>3617</v>
      </c>
      <c r="E2049" s="13"/>
      <c r="F2049" s="13" t="s">
        <v>3497</v>
      </c>
      <c r="G2049" s="13" t="s">
        <v>13</v>
      </c>
      <c r="H2049" s="22" t="str">
        <f>IFERROR(VLOOKUP(Table2[[#This Row], [Ticket]],Okey!A:B,2,0),"")</f>
        <v/>
      </c>
      <c r="I2049" s="13" t="s">
        <v>276</v>
      </c>
      <c r="J2049" s="22" t="e">
        <f>VLOOKUP(Table2[[#This Row], [Author]],People!A:B,2,0)</f>
        <v>#VALUE!</v>
      </c>
      <c r="K2049" s="13" t="s">
        <v>3297</v>
      </c>
      <c r="L2049" s="13"/>
      <c r="M2049" s="23" t="s">
        <v>277</v>
      </c>
    </row>
    <row r="2050" spans="1:13" ht="19.5" customHeight="1">
      <c r="A2050" s="18">
        <f t="shared" si="31"/>
        <v>2049</v>
      </c>
      <c r="B2050" s="11" t="s">
        <v>3295</v>
      </c>
      <c r="C2050" s="11" t="s">
        <v>96</v>
      </c>
      <c r="D2050" s="11" t="s">
        <v>3618</v>
      </c>
      <c r="E2050" s="11"/>
      <c r="F2050" s="11" t="s">
        <v>3619</v>
      </c>
      <c r="G2050" s="11" t="s">
        <v>13</v>
      </c>
      <c r="H2050" s="19" t="str">
        <f>IFERROR(VLOOKUP(Table2[[#This Row], [Ticket]],Okey!A:B,2,0),"")</f>
        <v/>
      </c>
      <c r="I2050" s="11" t="s">
        <v>276</v>
      </c>
      <c r="J2050" s="19" t="e">
        <f>VLOOKUP(Table2[[#This Row], [Author]],People!A:B,2,0)</f>
        <v>#VALUE!</v>
      </c>
      <c r="K2050" s="11" t="s">
        <v>3297</v>
      </c>
      <c r="L2050" s="11"/>
      <c r="M2050" s="20" t="s">
        <v>277</v>
      </c>
    </row>
    <row r="2051" spans="1:13" ht="19.5" customHeight="1">
      <c r="A2051" s="21">
        <f t="shared" ref="A2051:A2114" si="32">1+A2050</f>
        <v>2050</v>
      </c>
      <c r="B2051" s="13" t="s">
        <v>3295</v>
      </c>
      <c r="C2051" s="13" t="s">
        <v>96</v>
      </c>
      <c r="D2051" s="13" t="s">
        <v>3620</v>
      </c>
      <c r="E2051" s="13"/>
      <c r="F2051" s="13" t="s">
        <v>3621</v>
      </c>
      <c r="G2051" s="13" t="s">
        <v>13</v>
      </c>
      <c r="H2051" s="22" t="str">
        <f>IFERROR(VLOOKUP(Table2[[#This Row], [Ticket]],Okey!A:B,2,0),"")</f>
        <v/>
      </c>
      <c r="I2051" s="13" t="s">
        <v>276</v>
      </c>
      <c r="J2051" s="22" t="e">
        <f>VLOOKUP(Table2[[#This Row], [Author]],People!A:B,2,0)</f>
        <v>#VALUE!</v>
      </c>
      <c r="K2051" s="13" t="s">
        <v>3297</v>
      </c>
      <c r="L2051" s="13"/>
      <c r="M2051" s="23" t="s">
        <v>277</v>
      </c>
    </row>
    <row r="2052" spans="1:13" ht="19.5" customHeight="1">
      <c r="A2052" s="18">
        <f t="shared" si="32"/>
        <v>2051</v>
      </c>
      <c r="B2052" s="11" t="s">
        <v>3295</v>
      </c>
      <c r="C2052" s="11" t="s">
        <v>96</v>
      </c>
      <c r="D2052" s="11" t="s">
        <v>3622</v>
      </c>
      <c r="E2052" s="11"/>
      <c r="F2052" s="11" t="s">
        <v>3497</v>
      </c>
      <c r="G2052" s="11" t="s">
        <v>13</v>
      </c>
      <c r="H2052" s="19" t="str">
        <f>IFERROR(VLOOKUP(Table2[[#This Row], [Ticket]],Okey!A:B,2,0),"")</f>
        <v/>
      </c>
      <c r="I2052" s="11" t="s">
        <v>276</v>
      </c>
      <c r="J2052" s="19" t="e">
        <f>VLOOKUP(Table2[[#This Row], [Author]],People!A:B,2,0)</f>
        <v>#VALUE!</v>
      </c>
      <c r="K2052" s="11" t="s">
        <v>3297</v>
      </c>
      <c r="L2052" s="11"/>
      <c r="M2052" s="20" t="s">
        <v>277</v>
      </c>
    </row>
    <row r="2053" spans="1:13" ht="19.5" customHeight="1">
      <c r="A2053" s="21">
        <f t="shared" si="32"/>
        <v>2052</v>
      </c>
      <c r="B2053" s="13" t="s">
        <v>3295</v>
      </c>
      <c r="C2053" s="13" t="s">
        <v>96</v>
      </c>
      <c r="D2053" s="13" t="s">
        <v>3623</v>
      </c>
      <c r="E2053" s="13"/>
      <c r="F2053" s="13" t="s">
        <v>3484</v>
      </c>
      <c r="G2053" s="13" t="s">
        <v>13</v>
      </c>
      <c r="H2053" s="22" t="str">
        <f>IFERROR(VLOOKUP(Table2[[#This Row], [Ticket]],Okey!A:B,2,0),"")</f>
        <v/>
      </c>
      <c r="I2053" s="13" t="s">
        <v>276</v>
      </c>
      <c r="J2053" s="22" t="e">
        <f>VLOOKUP(Table2[[#This Row], [Author]],People!A:B,2,0)</f>
        <v>#VALUE!</v>
      </c>
      <c r="K2053" s="13" t="s">
        <v>3297</v>
      </c>
      <c r="L2053" s="13"/>
      <c r="M2053" s="23" t="s">
        <v>277</v>
      </c>
    </row>
    <row r="2054" spans="1:13" ht="19.5" customHeight="1">
      <c r="A2054" s="18">
        <f t="shared" si="32"/>
        <v>2053</v>
      </c>
      <c r="B2054" s="11" t="s">
        <v>3295</v>
      </c>
      <c r="C2054" s="11" t="s">
        <v>96</v>
      </c>
      <c r="D2054" s="11" t="s">
        <v>3624</v>
      </c>
      <c r="E2054" s="11"/>
      <c r="F2054" s="11" t="s">
        <v>3508</v>
      </c>
      <c r="G2054" s="11" t="s">
        <v>13</v>
      </c>
      <c r="H2054" s="19" t="str">
        <f>IFERROR(VLOOKUP(Table2[[#This Row], [Ticket]],Okey!A:B,2,0),"")</f>
        <v/>
      </c>
      <c r="I2054" s="11" t="s">
        <v>276</v>
      </c>
      <c r="J2054" s="19" t="e">
        <f>VLOOKUP(Table2[[#This Row], [Author]],People!A:B,2,0)</f>
        <v>#VALUE!</v>
      </c>
      <c r="K2054" s="11" t="s">
        <v>3297</v>
      </c>
      <c r="L2054" s="11"/>
      <c r="M2054" s="20" t="s">
        <v>277</v>
      </c>
    </row>
    <row r="2055" spans="1:13" ht="19.5" customHeight="1">
      <c r="A2055" s="21">
        <f t="shared" si="32"/>
        <v>2054</v>
      </c>
      <c r="B2055" s="13" t="s">
        <v>3295</v>
      </c>
      <c r="C2055" s="13" t="s">
        <v>95</v>
      </c>
      <c r="D2055" s="13" t="s">
        <v>3625</v>
      </c>
      <c r="E2055" s="13"/>
      <c r="F2055" s="13" t="s">
        <v>3626</v>
      </c>
      <c r="G2055" s="13" t="s">
        <v>13</v>
      </c>
      <c r="H2055" s="22" t="str">
        <f>IFERROR(VLOOKUP(Table2[[#This Row], [Ticket]],Okey!A:B,2,0),"")</f>
        <v/>
      </c>
      <c r="I2055" s="13" t="s">
        <v>276</v>
      </c>
      <c r="J2055" s="22" t="e">
        <f>VLOOKUP(Table2[[#This Row], [Author]],People!A:B,2,0)</f>
        <v>#VALUE!</v>
      </c>
      <c r="K2055" s="13" t="s">
        <v>3297</v>
      </c>
      <c r="L2055" s="13"/>
      <c r="M2055" s="23" t="s">
        <v>277</v>
      </c>
    </row>
    <row r="2056" spans="1:13" ht="19.5" customHeight="1">
      <c r="A2056" s="18">
        <f t="shared" si="32"/>
        <v>2055</v>
      </c>
      <c r="B2056" s="11" t="s">
        <v>3295</v>
      </c>
      <c r="C2056" s="11" t="s">
        <v>95</v>
      </c>
      <c r="D2056" s="11" t="s">
        <v>3627</v>
      </c>
      <c r="E2056" s="11"/>
      <c r="F2056" s="11" t="s">
        <v>3628</v>
      </c>
      <c r="G2056" s="11" t="s">
        <v>13</v>
      </c>
      <c r="H2056" s="19" t="str">
        <f>IFERROR(VLOOKUP(Table2[[#This Row], [Ticket]],Okey!A:B,2,0),"")</f>
        <v/>
      </c>
      <c r="I2056" s="11" t="s">
        <v>276</v>
      </c>
      <c r="J2056" s="19" t="e">
        <f>VLOOKUP(Table2[[#This Row], [Author]],People!A:B,2,0)</f>
        <v>#VALUE!</v>
      </c>
      <c r="K2056" s="11" t="s">
        <v>3297</v>
      </c>
      <c r="L2056" s="11"/>
      <c r="M2056" s="20" t="s">
        <v>277</v>
      </c>
    </row>
    <row r="2057" spans="1:13" ht="19.5" customHeight="1">
      <c r="A2057" s="21">
        <f t="shared" si="32"/>
        <v>2056</v>
      </c>
      <c r="B2057" s="13" t="s">
        <v>3295</v>
      </c>
      <c r="C2057" s="13" t="s">
        <v>95</v>
      </c>
      <c r="D2057" s="13" t="s">
        <v>3629</v>
      </c>
      <c r="E2057" s="13"/>
      <c r="F2057" s="13" t="s">
        <v>3630</v>
      </c>
      <c r="G2057" s="13" t="s">
        <v>13</v>
      </c>
      <c r="H2057" s="22" t="str">
        <f>IFERROR(VLOOKUP(Table2[[#This Row], [Ticket]],Okey!A:B,2,0),"")</f>
        <v/>
      </c>
      <c r="I2057" s="13" t="s">
        <v>276</v>
      </c>
      <c r="J2057" s="22" t="e">
        <f>VLOOKUP(Table2[[#This Row], [Author]],People!A:B,2,0)</f>
        <v>#VALUE!</v>
      </c>
      <c r="K2057" s="13" t="s">
        <v>3297</v>
      </c>
      <c r="L2057" s="13"/>
      <c r="M2057" s="23" t="s">
        <v>277</v>
      </c>
    </row>
    <row r="2058" spans="1:13" ht="19.5" customHeight="1">
      <c r="A2058" s="18">
        <f t="shared" si="32"/>
        <v>2057</v>
      </c>
      <c r="B2058" s="11" t="s">
        <v>3295</v>
      </c>
      <c r="C2058" s="11" t="s">
        <v>95</v>
      </c>
      <c r="D2058" s="11" t="s">
        <v>3631</v>
      </c>
      <c r="E2058" s="11"/>
      <c r="F2058" s="11" t="s">
        <v>3632</v>
      </c>
      <c r="G2058" s="11" t="s">
        <v>13</v>
      </c>
      <c r="H2058" s="19" t="str">
        <f>IFERROR(VLOOKUP(Table2[[#This Row], [Ticket]],Okey!A:B,2,0),"")</f>
        <v/>
      </c>
      <c r="I2058" s="11" t="s">
        <v>276</v>
      </c>
      <c r="J2058" s="19" t="e">
        <f>VLOOKUP(Table2[[#This Row], [Author]],People!A:B,2,0)</f>
        <v>#VALUE!</v>
      </c>
      <c r="K2058" s="11" t="s">
        <v>3297</v>
      </c>
      <c r="L2058" s="11"/>
      <c r="M2058" s="20" t="s">
        <v>277</v>
      </c>
    </row>
    <row r="2059" spans="1:13" ht="19.5" customHeight="1">
      <c r="A2059" s="21">
        <f t="shared" si="32"/>
        <v>2058</v>
      </c>
      <c r="B2059" s="13" t="s">
        <v>3295</v>
      </c>
      <c r="C2059" s="13" t="s">
        <v>95</v>
      </c>
      <c r="D2059" s="13" t="s">
        <v>3633</v>
      </c>
      <c r="E2059" s="13"/>
      <c r="F2059" s="13" t="s">
        <v>3632</v>
      </c>
      <c r="G2059" s="13" t="s">
        <v>13</v>
      </c>
      <c r="H2059" s="22" t="str">
        <f>IFERROR(VLOOKUP(Table2[[#This Row], [Ticket]],Okey!A:B,2,0),"")</f>
        <v/>
      </c>
      <c r="I2059" s="13" t="s">
        <v>276</v>
      </c>
      <c r="J2059" s="22" t="e">
        <f>VLOOKUP(Table2[[#This Row], [Author]],People!A:B,2,0)</f>
        <v>#VALUE!</v>
      </c>
      <c r="K2059" s="13" t="s">
        <v>3297</v>
      </c>
      <c r="L2059" s="13"/>
      <c r="M2059" s="23" t="s">
        <v>277</v>
      </c>
    </row>
    <row r="2060" spans="1:13" ht="19.5" customHeight="1">
      <c r="A2060" s="18">
        <f t="shared" si="32"/>
        <v>2059</v>
      </c>
      <c r="B2060" s="11" t="s">
        <v>3295</v>
      </c>
      <c r="C2060" s="11" t="s">
        <v>95</v>
      </c>
      <c r="D2060" s="11" t="s">
        <v>3634</v>
      </c>
      <c r="E2060" s="11"/>
      <c r="F2060" s="11" t="s">
        <v>3628</v>
      </c>
      <c r="G2060" s="11" t="s">
        <v>13</v>
      </c>
      <c r="H2060" s="19" t="str">
        <f>IFERROR(VLOOKUP(Table2[[#This Row], [Ticket]],Okey!A:B,2,0),"")</f>
        <v/>
      </c>
      <c r="I2060" s="11" t="s">
        <v>276</v>
      </c>
      <c r="J2060" s="19" t="e">
        <f>VLOOKUP(Table2[[#This Row], [Author]],People!A:B,2,0)</f>
        <v>#VALUE!</v>
      </c>
      <c r="K2060" s="11" t="s">
        <v>3297</v>
      </c>
      <c r="L2060" s="11"/>
      <c r="M2060" s="20" t="s">
        <v>277</v>
      </c>
    </row>
    <row r="2061" spans="1:13" ht="19.5" customHeight="1">
      <c r="A2061" s="21">
        <f t="shared" si="32"/>
        <v>2060</v>
      </c>
      <c r="B2061" s="13" t="s">
        <v>3295</v>
      </c>
      <c r="C2061" s="13" t="s">
        <v>95</v>
      </c>
      <c r="D2061" s="13" t="s">
        <v>3635</v>
      </c>
      <c r="E2061" s="13"/>
      <c r="F2061" s="13" t="s">
        <v>3628</v>
      </c>
      <c r="G2061" s="13" t="s">
        <v>13</v>
      </c>
      <c r="H2061" s="22" t="str">
        <f>IFERROR(VLOOKUP(Table2[[#This Row], [Ticket]],Okey!A:B,2,0),"")</f>
        <v/>
      </c>
      <c r="I2061" s="13" t="s">
        <v>276</v>
      </c>
      <c r="J2061" s="22" t="e">
        <f>VLOOKUP(Table2[[#This Row], [Author]],People!A:B,2,0)</f>
        <v>#VALUE!</v>
      </c>
      <c r="K2061" s="13" t="s">
        <v>3297</v>
      </c>
      <c r="L2061" s="13"/>
      <c r="M2061" s="23" t="s">
        <v>277</v>
      </c>
    </row>
    <row r="2062" spans="1:13" ht="19.5" customHeight="1">
      <c r="A2062" s="18">
        <f t="shared" si="32"/>
        <v>2061</v>
      </c>
      <c r="B2062" s="11" t="s">
        <v>3295</v>
      </c>
      <c r="C2062" s="11" t="s">
        <v>95</v>
      </c>
      <c r="D2062" s="11" t="s">
        <v>3636</v>
      </c>
      <c r="E2062" s="11"/>
      <c r="F2062" s="11" t="s">
        <v>3628</v>
      </c>
      <c r="G2062" s="11" t="s">
        <v>13</v>
      </c>
      <c r="H2062" s="19" t="str">
        <f>IFERROR(VLOOKUP(Table2[[#This Row], [Ticket]],Okey!A:B,2,0),"")</f>
        <v/>
      </c>
      <c r="I2062" s="11" t="s">
        <v>276</v>
      </c>
      <c r="J2062" s="19" t="e">
        <f>VLOOKUP(Table2[[#This Row], [Author]],People!A:B,2,0)</f>
        <v>#VALUE!</v>
      </c>
      <c r="K2062" s="11" t="s">
        <v>3297</v>
      </c>
      <c r="L2062" s="11"/>
      <c r="M2062" s="20" t="s">
        <v>277</v>
      </c>
    </row>
    <row r="2063" spans="1:13" ht="19.5" customHeight="1">
      <c r="A2063" s="21">
        <f t="shared" si="32"/>
        <v>2062</v>
      </c>
      <c r="B2063" s="13" t="s">
        <v>3295</v>
      </c>
      <c r="C2063" s="13" t="s">
        <v>95</v>
      </c>
      <c r="D2063" s="13" t="s">
        <v>3637</v>
      </c>
      <c r="E2063" s="13"/>
      <c r="F2063" s="13" t="s">
        <v>3628</v>
      </c>
      <c r="G2063" s="13" t="s">
        <v>13</v>
      </c>
      <c r="H2063" s="22" t="str">
        <f>IFERROR(VLOOKUP(Table2[[#This Row], [Ticket]],Okey!A:B,2,0),"")</f>
        <v/>
      </c>
      <c r="I2063" s="13" t="s">
        <v>276</v>
      </c>
      <c r="J2063" s="22" t="e">
        <f>VLOOKUP(Table2[[#This Row], [Author]],People!A:B,2,0)</f>
        <v>#VALUE!</v>
      </c>
      <c r="K2063" s="13" t="s">
        <v>3297</v>
      </c>
      <c r="L2063" s="13"/>
      <c r="M2063" s="23" t="s">
        <v>277</v>
      </c>
    </row>
    <row r="2064" spans="1:13" ht="19.5" customHeight="1">
      <c r="A2064" s="18">
        <f t="shared" si="32"/>
        <v>2063</v>
      </c>
      <c r="B2064" s="11" t="s">
        <v>3295</v>
      </c>
      <c r="C2064" s="11" t="s">
        <v>95</v>
      </c>
      <c r="D2064" s="11" t="s">
        <v>3638</v>
      </c>
      <c r="E2064" s="11"/>
      <c r="F2064" s="11" t="s">
        <v>3639</v>
      </c>
      <c r="G2064" s="11" t="s">
        <v>13</v>
      </c>
      <c r="H2064" s="19" t="str">
        <f>IFERROR(VLOOKUP(Table2[[#This Row], [Ticket]],Okey!A:B,2,0),"")</f>
        <v/>
      </c>
      <c r="I2064" s="11" t="s">
        <v>276</v>
      </c>
      <c r="J2064" s="19" t="e">
        <f>VLOOKUP(Table2[[#This Row], [Author]],People!A:B,2,0)</f>
        <v>#VALUE!</v>
      </c>
      <c r="K2064" s="11" t="s">
        <v>3297</v>
      </c>
      <c r="L2064" s="11"/>
      <c r="M2064" s="20" t="s">
        <v>277</v>
      </c>
    </row>
    <row r="2065" spans="1:13" ht="19.5" customHeight="1">
      <c r="A2065" s="21">
        <f t="shared" si="32"/>
        <v>2064</v>
      </c>
      <c r="B2065" s="13" t="s">
        <v>3295</v>
      </c>
      <c r="C2065" s="13" t="s">
        <v>95</v>
      </c>
      <c r="D2065" s="13" t="s">
        <v>3640</v>
      </c>
      <c r="E2065" s="13"/>
      <c r="F2065" s="13" t="s">
        <v>3641</v>
      </c>
      <c r="G2065" s="13" t="s">
        <v>13</v>
      </c>
      <c r="H2065" s="22" t="str">
        <f>IFERROR(VLOOKUP(Table2[[#This Row], [Ticket]],Okey!A:B,2,0),"")</f>
        <v/>
      </c>
      <c r="I2065" s="13" t="s">
        <v>276</v>
      </c>
      <c r="J2065" s="22" t="e">
        <f>VLOOKUP(Table2[[#This Row], [Author]],People!A:B,2,0)</f>
        <v>#VALUE!</v>
      </c>
      <c r="K2065" s="13" t="s">
        <v>3297</v>
      </c>
      <c r="L2065" s="13"/>
      <c r="M2065" s="23" t="s">
        <v>277</v>
      </c>
    </row>
    <row r="2066" spans="1:13" ht="19.5" customHeight="1">
      <c r="A2066" s="18">
        <f t="shared" si="32"/>
        <v>2065</v>
      </c>
      <c r="B2066" s="11" t="s">
        <v>3295</v>
      </c>
      <c r="C2066" s="11" t="s">
        <v>95</v>
      </c>
      <c r="D2066" s="11" t="s">
        <v>1300</v>
      </c>
      <c r="E2066" s="11"/>
      <c r="F2066" s="11" t="s">
        <v>3642</v>
      </c>
      <c r="G2066" s="11" t="s">
        <v>13</v>
      </c>
      <c r="H2066" s="19" t="str">
        <f>IFERROR(VLOOKUP(Table2[[#This Row], [Ticket]],Okey!A:B,2,0),"")</f>
        <v/>
      </c>
      <c r="I2066" s="11" t="s">
        <v>276</v>
      </c>
      <c r="J2066" s="19" t="e">
        <f>VLOOKUP(Table2[[#This Row], [Author]],People!A:B,2,0)</f>
        <v>#VALUE!</v>
      </c>
      <c r="K2066" s="11" t="s">
        <v>3297</v>
      </c>
      <c r="L2066" s="11"/>
      <c r="M2066" s="20" t="s">
        <v>277</v>
      </c>
    </row>
    <row r="2067" spans="1:13" ht="19.5" customHeight="1">
      <c r="A2067" s="21">
        <f t="shared" si="32"/>
        <v>2066</v>
      </c>
      <c r="B2067" s="13" t="s">
        <v>3295</v>
      </c>
      <c r="C2067" s="13" t="s">
        <v>95</v>
      </c>
      <c r="D2067" s="13" t="s">
        <v>1298</v>
      </c>
      <c r="E2067" s="13"/>
      <c r="F2067" s="13" t="s">
        <v>1300</v>
      </c>
      <c r="G2067" s="13" t="s">
        <v>13</v>
      </c>
      <c r="H2067" s="22" t="str">
        <f>IFERROR(VLOOKUP(Table2[[#This Row], [Ticket]],Okey!A:B,2,0),"")</f>
        <v/>
      </c>
      <c r="I2067" s="13" t="s">
        <v>276</v>
      </c>
      <c r="J2067" s="22" t="e">
        <f>VLOOKUP(Table2[[#This Row], [Author]],People!A:B,2,0)</f>
        <v>#VALUE!</v>
      </c>
      <c r="K2067" s="13" t="s">
        <v>3297</v>
      </c>
      <c r="L2067" s="13"/>
      <c r="M2067" s="23" t="s">
        <v>277</v>
      </c>
    </row>
    <row r="2068" spans="1:13" ht="19.5" customHeight="1">
      <c r="A2068" s="18">
        <f t="shared" si="32"/>
        <v>2067</v>
      </c>
      <c r="B2068" s="11" t="s">
        <v>3295</v>
      </c>
      <c r="C2068" s="11" t="s">
        <v>95</v>
      </c>
      <c r="D2068" s="11" t="s">
        <v>1301</v>
      </c>
      <c r="E2068" s="11"/>
      <c r="F2068" s="11" t="s">
        <v>1300</v>
      </c>
      <c r="G2068" s="11" t="s">
        <v>13</v>
      </c>
      <c r="H2068" s="19" t="str">
        <f>IFERROR(VLOOKUP(Table2[[#This Row], [Ticket]],Okey!A:B,2,0),"")</f>
        <v/>
      </c>
      <c r="I2068" s="11" t="s">
        <v>276</v>
      </c>
      <c r="J2068" s="19" t="e">
        <f>VLOOKUP(Table2[[#This Row], [Author]],People!A:B,2,0)</f>
        <v>#VALUE!</v>
      </c>
      <c r="K2068" s="11" t="s">
        <v>3297</v>
      </c>
      <c r="L2068" s="11"/>
      <c r="M2068" s="20" t="s">
        <v>277</v>
      </c>
    </row>
    <row r="2069" spans="1:13" ht="19.5" customHeight="1">
      <c r="A2069" s="21">
        <f t="shared" si="32"/>
        <v>2068</v>
      </c>
      <c r="B2069" s="13" t="s">
        <v>3295</v>
      </c>
      <c r="C2069" s="13" t="s">
        <v>95</v>
      </c>
      <c r="D2069" s="13" t="s">
        <v>1303</v>
      </c>
      <c r="E2069" s="13"/>
      <c r="F2069" s="13" t="s">
        <v>1300</v>
      </c>
      <c r="G2069" s="13" t="s">
        <v>13</v>
      </c>
      <c r="H2069" s="22" t="str">
        <f>IFERROR(VLOOKUP(Table2[[#This Row], [Ticket]],Okey!A:B,2,0),"")</f>
        <v/>
      </c>
      <c r="I2069" s="13" t="s">
        <v>276</v>
      </c>
      <c r="J2069" s="22" t="e">
        <f>VLOOKUP(Table2[[#This Row], [Author]],People!A:B,2,0)</f>
        <v>#VALUE!</v>
      </c>
      <c r="K2069" s="13" t="s">
        <v>3297</v>
      </c>
      <c r="L2069" s="13"/>
      <c r="M2069" s="23" t="s">
        <v>277</v>
      </c>
    </row>
    <row r="2070" spans="1:13" ht="19.5" customHeight="1">
      <c r="A2070" s="18">
        <f t="shared" si="32"/>
        <v>2069</v>
      </c>
      <c r="B2070" s="11" t="s">
        <v>3295</v>
      </c>
      <c r="C2070" s="11" t="s">
        <v>95</v>
      </c>
      <c r="D2070" s="11" t="s">
        <v>1305</v>
      </c>
      <c r="E2070" s="11"/>
      <c r="F2070" s="11" t="s">
        <v>1300</v>
      </c>
      <c r="G2070" s="11" t="s">
        <v>13</v>
      </c>
      <c r="H2070" s="19" t="str">
        <f>IFERROR(VLOOKUP(Table2[[#This Row], [Ticket]],Okey!A:B,2,0),"")</f>
        <v/>
      </c>
      <c r="I2070" s="11" t="s">
        <v>276</v>
      </c>
      <c r="J2070" s="19" t="e">
        <f>VLOOKUP(Table2[[#This Row], [Author]],People!A:B,2,0)</f>
        <v>#VALUE!</v>
      </c>
      <c r="K2070" s="11" t="s">
        <v>3297</v>
      </c>
      <c r="L2070" s="11"/>
      <c r="M2070" s="20" t="s">
        <v>277</v>
      </c>
    </row>
    <row r="2071" spans="1:13" ht="19.5" customHeight="1">
      <c r="A2071" s="21">
        <f t="shared" si="32"/>
        <v>2070</v>
      </c>
      <c r="B2071" s="13" t="s">
        <v>3295</v>
      </c>
      <c r="C2071" s="13" t="s">
        <v>97</v>
      </c>
      <c r="D2071" s="13" t="s">
        <v>3375</v>
      </c>
      <c r="E2071" s="13"/>
      <c r="F2071" s="13" t="s">
        <v>3372</v>
      </c>
      <c r="G2071" s="13" t="s">
        <v>13</v>
      </c>
      <c r="H2071" s="22" t="str">
        <f>IFERROR(VLOOKUP(Table2[[#This Row], [Ticket]],Okey!A:B,2,0),"")</f>
        <v/>
      </c>
      <c r="I2071" s="13" t="s">
        <v>276</v>
      </c>
      <c r="J2071" s="22" t="e">
        <f>VLOOKUP(Table2[[#This Row], [Author]],People!A:B,2,0)</f>
        <v>#VALUE!</v>
      </c>
      <c r="K2071" s="13" t="s">
        <v>3297</v>
      </c>
      <c r="L2071" s="13"/>
      <c r="M2071" s="23" t="s">
        <v>277</v>
      </c>
    </row>
    <row r="2072" spans="1:13" ht="19.5" customHeight="1">
      <c r="A2072" s="18">
        <f t="shared" si="32"/>
        <v>2071</v>
      </c>
      <c r="B2072" s="11" t="s">
        <v>3295</v>
      </c>
      <c r="C2072" s="11" t="s">
        <v>97</v>
      </c>
      <c r="D2072" s="11" t="s">
        <v>3413</v>
      </c>
      <c r="E2072" s="11"/>
      <c r="F2072" s="11" t="s">
        <v>3412</v>
      </c>
      <c r="G2072" s="11" t="s">
        <v>13</v>
      </c>
      <c r="H2072" s="19" t="str">
        <f>IFERROR(VLOOKUP(Table2[[#This Row], [Ticket]],Okey!A:B,2,0),"")</f>
        <v/>
      </c>
      <c r="I2072" s="11" t="s">
        <v>276</v>
      </c>
      <c r="J2072" s="19" t="e">
        <f>VLOOKUP(Table2[[#This Row], [Author]],People!A:B,2,0)</f>
        <v>#VALUE!</v>
      </c>
      <c r="K2072" s="11" t="s">
        <v>3297</v>
      </c>
      <c r="L2072" s="11"/>
      <c r="M2072" s="20" t="s">
        <v>277</v>
      </c>
    </row>
    <row r="2073" spans="1:13" ht="19.5" customHeight="1">
      <c r="A2073" s="21">
        <f t="shared" si="32"/>
        <v>2072</v>
      </c>
      <c r="B2073" s="13" t="s">
        <v>3295</v>
      </c>
      <c r="C2073" s="13" t="s">
        <v>97</v>
      </c>
      <c r="D2073" s="13" t="s">
        <v>3390</v>
      </c>
      <c r="E2073" s="13"/>
      <c r="F2073" s="13" t="s">
        <v>3389</v>
      </c>
      <c r="G2073" s="13" t="s">
        <v>13</v>
      </c>
      <c r="H2073" s="22" t="str">
        <f>IFERROR(VLOOKUP(Table2[[#This Row], [Ticket]],Okey!A:B,2,0),"")</f>
        <v/>
      </c>
      <c r="I2073" s="13" t="s">
        <v>276</v>
      </c>
      <c r="J2073" s="22" t="e">
        <f>VLOOKUP(Table2[[#This Row], [Author]],People!A:B,2,0)</f>
        <v>#VALUE!</v>
      </c>
      <c r="K2073" s="13" t="s">
        <v>3297</v>
      </c>
      <c r="L2073" s="13"/>
      <c r="M2073" s="23" t="s">
        <v>277</v>
      </c>
    </row>
    <row r="2074" spans="1:13" ht="19.5" customHeight="1">
      <c r="A2074" s="18">
        <f t="shared" si="32"/>
        <v>2073</v>
      </c>
      <c r="B2074" s="11" t="s">
        <v>3295</v>
      </c>
      <c r="C2074" s="11" t="s">
        <v>97</v>
      </c>
      <c r="D2074" s="11" t="s">
        <v>3414</v>
      </c>
      <c r="E2074" s="11"/>
      <c r="F2074" s="11" t="s">
        <v>3412</v>
      </c>
      <c r="G2074" s="11" t="s">
        <v>13</v>
      </c>
      <c r="H2074" s="19" t="str">
        <f>IFERROR(VLOOKUP(Table2[[#This Row], [Ticket]],Okey!A:B,2,0),"")</f>
        <v/>
      </c>
      <c r="I2074" s="11" t="s">
        <v>276</v>
      </c>
      <c r="J2074" s="19" t="e">
        <f>VLOOKUP(Table2[[#This Row], [Author]],People!A:B,2,0)</f>
        <v>#VALUE!</v>
      </c>
      <c r="K2074" s="11" t="s">
        <v>3297</v>
      </c>
      <c r="L2074" s="11"/>
      <c r="M2074" s="20" t="s">
        <v>277</v>
      </c>
    </row>
    <row r="2075" spans="1:13" ht="19.5" customHeight="1">
      <c r="A2075" s="21">
        <f t="shared" si="32"/>
        <v>2074</v>
      </c>
      <c r="B2075" s="13" t="s">
        <v>3295</v>
      </c>
      <c r="C2075" s="13" t="s">
        <v>97</v>
      </c>
      <c r="D2075" s="13" t="s">
        <v>3382</v>
      </c>
      <c r="E2075" s="13"/>
      <c r="F2075" s="13" t="s">
        <v>3381</v>
      </c>
      <c r="G2075" s="13" t="s">
        <v>13</v>
      </c>
      <c r="H2075" s="22" t="str">
        <f>IFERROR(VLOOKUP(Table2[[#This Row], [Ticket]],Okey!A:B,2,0),"")</f>
        <v/>
      </c>
      <c r="I2075" s="13" t="s">
        <v>276</v>
      </c>
      <c r="J2075" s="22" t="e">
        <f>VLOOKUP(Table2[[#This Row], [Author]],People!A:B,2,0)</f>
        <v>#VALUE!</v>
      </c>
      <c r="K2075" s="13" t="s">
        <v>3297</v>
      </c>
      <c r="L2075" s="13"/>
      <c r="M2075" s="23" t="s">
        <v>277</v>
      </c>
    </row>
    <row r="2076" spans="1:13" ht="19.5" customHeight="1">
      <c r="A2076" s="18">
        <f t="shared" si="32"/>
        <v>2075</v>
      </c>
      <c r="B2076" s="11" t="s">
        <v>3295</v>
      </c>
      <c r="C2076" s="11" t="s">
        <v>97</v>
      </c>
      <c r="D2076" s="11" t="s">
        <v>3403</v>
      </c>
      <c r="E2076" s="11"/>
      <c r="F2076" s="11" t="s">
        <v>3402</v>
      </c>
      <c r="G2076" s="11" t="s">
        <v>13</v>
      </c>
      <c r="H2076" s="19" t="str">
        <f>IFERROR(VLOOKUP(Table2[[#This Row], [Ticket]],Okey!A:B,2,0),"")</f>
        <v/>
      </c>
      <c r="I2076" s="11" t="s">
        <v>276</v>
      </c>
      <c r="J2076" s="19" t="e">
        <f>VLOOKUP(Table2[[#This Row], [Author]],People!A:B,2,0)</f>
        <v>#VALUE!</v>
      </c>
      <c r="K2076" s="11" t="s">
        <v>3297</v>
      </c>
      <c r="L2076" s="11"/>
      <c r="M2076" s="20" t="s">
        <v>277</v>
      </c>
    </row>
    <row r="2077" spans="1:13" ht="19.5" customHeight="1">
      <c r="A2077" s="21">
        <f t="shared" si="32"/>
        <v>2076</v>
      </c>
      <c r="B2077" s="13" t="s">
        <v>3295</v>
      </c>
      <c r="C2077" s="13" t="s">
        <v>97</v>
      </c>
      <c r="D2077" s="13" t="s">
        <v>3437</v>
      </c>
      <c r="E2077" s="13"/>
      <c r="F2077" s="13" t="s">
        <v>3436</v>
      </c>
      <c r="G2077" s="13" t="s">
        <v>13</v>
      </c>
      <c r="H2077" s="22" t="str">
        <f>IFERROR(VLOOKUP(Table2[[#This Row], [Ticket]],Okey!A:B,2,0),"")</f>
        <v/>
      </c>
      <c r="I2077" s="13" t="s">
        <v>276</v>
      </c>
      <c r="J2077" s="22" t="e">
        <f>VLOOKUP(Table2[[#This Row], [Author]],People!A:B,2,0)</f>
        <v>#VALUE!</v>
      </c>
      <c r="K2077" s="13" t="s">
        <v>3297</v>
      </c>
      <c r="L2077" s="13"/>
      <c r="M2077" s="23" t="s">
        <v>277</v>
      </c>
    </row>
    <row r="2078" spans="1:13" ht="19.5" customHeight="1">
      <c r="A2078" s="18">
        <f t="shared" si="32"/>
        <v>2077</v>
      </c>
      <c r="B2078" s="11" t="s">
        <v>3295</v>
      </c>
      <c r="C2078" s="11" t="s">
        <v>97</v>
      </c>
      <c r="D2078" s="11" t="s">
        <v>3430</v>
      </c>
      <c r="E2078" s="11"/>
      <c r="F2078" s="11" t="s">
        <v>3429</v>
      </c>
      <c r="G2078" s="11" t="s">
        <v>13</v>
      </c>
      <c r="H2078" s="19" t="str">
        <f>IFERROR(VLOOKUP(Table2[[#This Row], [Ticket]],Okey!A:B,2,0),"")</f>
        <v/>
      </c>
      <c r="I2078" s="11" t="s">
        <v>276</v>
      </c>
      <c r="J2078" s="19" t="e">
        <f>VLOOKUP(Table2[[#This Row], [Author]],People!A:B,2,0)</f>
        <v>#VALUE!</v>
      </c>
      <c r="K2078" s="11" t="s">
        <v>3297</v>
      </c>
      <c r="L2078" s="11"/>
      <c r="M2078" s="20" t="s">
        <v>277</v>
      </c>
    </row>
    <row r="2079" spans="1:13" ht="19.5" customHeight="1">
      <c r="A2079" s="21">
        <f t="shared" si="32"/>
        <v>2078</v>
      </c>
      <c r="B2079" s="13" t="s">
        <v>3295</v>
      </c>
      <c r="C2079" s="13" t="s">
        <v>97</v>
      </c>
      <c r="D2079" s="13" t="s">
        <v>3438</v>
      </c>
      <c r="E2079" s="13"/>
      <c r="F2079" s="13" t="s">
        <v>3436</v>
      </c>
      <c r="G2079" s="13" t="s">
        <v>13</v>
      </c>
      <c r="H2079" s="22" t="str">
        <f>IFERROR(VLOOKUP(Table2[[#This Row], [Ticket]],Okey!A:B,2,0),"")</f>
        <v/>
      </c>
      <c r="I2079" s="13" t="s">
        <v>276</v>
      </c>
      <c r="J2079" s="22" t="e">
        <f>VLOOKUP(Table2[[#This Row], [Author]],People!A:B,2,0)</f>
        <v>#VALUE!</v>
      </c>
      <c r="K2079" s="13" t="s">
        <v>3297</v>
      </c>
      <c r="L2079" s="13"/>
      <c r="M2079" s="23" t="s">
        <v>277</v>
      </c>
    </row>
    <row r="2080" spans="1:13" ht="19.5" customHeight="1">
      <c r="A2080" s="18">
        <f t="shared" si="32"/>
        <v>2079</v>
      </c>
      <c r="B2080" s="11" t="s">
        <v>3295</v>
      </c>
      <c r="C2080" s="11" t="s">
        <v>97</v>
      </c>
      <c r="D2080" s="11" t="s">
        <v>3431</v>
      </c>
      <c r="E2080" s="11"/>
      <c r="F2080" s="11" t="s">
        <v>3429</v>
      </c>
      <c r="G2080" s="11" t="s">
        <v>13</v>
      </c>
      <c r="H2080" s="19" t="str">
        <f>IFERROR(VLOOKUP(Table2[[#This Row], [Ticket]],Okey!A:B,2,0),"")</f>
        <v/>
      </c>
      <c r="I2080" s="11" t="s">
        <v>276</v>
      </c>
      <c r="J2080" s="19" t="e">
        <f>VLOOKUP(Table2[[#This Row], [Author]],People!A:B,2,0)</f>
        <v>#VALUE!</v>
      </c>
      <c r="K2080" s="11" t="s">
        <v>3297</v>
      </c>
      <c r="L2080" s="11"/>
      <c r="M2080" s="20" t="s">
        <v>277</v>
      </c>
    </row>
    <row r="2081" spans="1:13" ht="19.5" customHeight="1">
      <c r="A2081" s="21">
        <f t="shared" si="32"/>
        <v>2080</v>
      </c>
      <c r="B2081" s="13" t="s">
        <v>3295</v>
      </c>
      <c r="C2081" s="13" t="s">
        <v>97</v>
      </c>
      <c r="D2081" s="13" t="s">
        <v>3432</v>
      </c>
      <c r="E2081" s="13"/>
      <c r="F2081" s="13" t="s">
        <v>3429</v>
      </c>
      <c r="G2081" s="13" t="s">
        <v>13</v>
      </c>
      <c r="H2081" s="22" t="str">
        <f>IFERROR(VLOOKUP(Table2[[#This Row], [Ticket]],Okey!A:B,2,0),"")</f>
        <v/>
      </c>
      <c r="I2081" s="13" t="s">
        <v>276</v>
      </c>
      <c r="J2081" s="22" t="e">
        <f>VLOOKUP(Table2[[#This Row], [Author]],People!A:B,2,0)</f>
        <v>#VALUE!</v>
      </c>
      <c r="K2081" s="13" t="s">
        <v>3297</v>
      </c>
      <c r="L2081" s="13"/>
      <c r="M2081" s="23" t="s">
        <v>277</v>
      </c>
    </row>
    <row r="2082" spans="1:13" ht="19.5" customHeight="1">
      <c r="A2082" s="18">
        <f t="shared" si="32"/>
        <v>2081</v>
      </c>
      <c r="B2082" s="11" t="s">
        <v>3295</v>
      </c>
      <c r="C2082" s="11" t="s">
        <v>97</v>
      </c>
      <c r="D2082" s="11" t="s">
        <v>3439</v>
      </c>
      <c r="E2082" s="11"/>
      <c r="F2082" s="11" t="s">
        <v>3436</v>
      </c>
      <c r="G2082" s="11" t="s">
        <v>13</v>
      </c>
      <c r="H2082" s="19" t="str">
        <f>IFERROR(VLOOKUP(Table2[[#This Row], [Ticket]],Okey!A:B,2,0),"")</f>
        <v/>
      </c>
      <c r="I2082" s="11" t="s">
        <v>276</v>
      </c>
      <c r="J2082" s="19" t="e">
        <f>VLOOKUP(Table2[[#This Row], [Author]],People!A:B,2,0)</f>
        <v>#VALUE!</v>
      </c>
      <c r="K2082" s="11" t="s">
        <v>3297</v>
      </c>
      <c r="L2082" s="11"/>
      <c r="M2082" s="20" t="s">
        <v>277</v>
      </c>
    </row>
    <row r="2083" spans="1:13" ht="19.5" customHeight="1">
      <c r="A2083" s="21">
        <f t="shared" si="32"/>
        <v>2082</v>
      </c>
      <c r="B2083" s="13" t="s">
        <v>3295</v>
      </c>
      <c r="C2083" s="13" t="s">
        <v>97</v>
      </c>
      <c r="D2083" s="13" t="s">
        <v>3444</v>
      </c>
      <c r="E2083" s="13"/>
      <c r="F2083" s="13" t="s">
        <v>3443</v>
      </c>
      <c r="G2083" s="13" t="s">
        <v>13</v>
      </c>
      <c r="H2083" s="22" t="str">
        <f>IFERROR(VLOOKUP(Table2[[#This Row], [Ticket]],Okey!A:B,2,0),"")</f>
        <v/>
      </c>
      <c r="I2083" s="13" t="s">
        <v>276</v>
      </c>
      <c r="J2083" s="22" t="e">
        <f>VLOOKUP(Table2[[#This Row], [Author]],People!A:B,2,0)</f>
        <v>#VALUE!</v>
      </c>
      <c r="K2083" s="13" t="s">
        <v>3297</v>
      </c>
      <c r="L2083" s="13"/>
      <c r="M2083" s="23" t="s">
        <v>277</v>
      </c>
    </row>
    <row r="2084" spans="1:13" ht="19.5" customHeight="1">
      <c r="A2084" s="18">
        <f t="shared" si="32"/>
        <v>2083</v>
      </c>
      <c r="B2084" s="11" t="s">
        <v>3295</v>
      </c>
      <c r="C2084" s="11" t="s">
        <v>97</v>
      </c>
      <c r="D2084" s="11" t="s">
        <v>3442</v>
      </c>
      <c r="E2084" s="11"/>
      <c r="F2084" s="11" t="s">
        <v>3441</v>
      </c>
      <c r="G2084" s="11" t="s">
        <v>13</v>
      </c>
      <c r="H2084" s="19" t="str">
        <f>IFERROR(VLOOKUP(Table2[[#This Row], [Ticket]],Okey!A:B,2,0),"")</f>
        <v/>
      </c>
      <c r="I2084" s="11" t="s">
        <v>276</v>
      </c>
      <c r="J2084" s="19" t="e">
        <f>VLOOKUP(Table2[[#This Row], [Author]],People!A:B,2,0)</f>
        <v>#VALUE!</v>
      </c>
      <c r="K2084" s="11" t="s">
        <v>3297</v>
      </c>
      <c r="L2084" s="11"/>
      <c r="M2084" s="20" t="s">
        <v>277</v>
      </c>
    </row>
    <row r="2085" spans="1:13" ht="19.5" customHeight="1">
      <c r="A2085" s="21">
        <f t="shared" si="32"/>
        <v>2084</v>
      </c>
      <c r="B2085" s="13" t="s">
        <v>3295</v>
      </c>
      <c r="C2085" s="13" t="s">
        <v>97</v>
      </c>
      <c r="D2085" s="13" t="s">
        <v>3445</v>
      </c>
      <c r="E2085" s="13"/>
      <c r="F2085" s="13" t="s">
        <v>3443</v>
      </c>
      <c r="G2085" s="13" t="s">
        <v>13</v>
      </c>
      <c r="H2085" s="22" t="str">
        <f>IFERROR(VLOOKUP(Table2[[#This Row], [Ticket]],Okey!A:B,2,0),"")</f>
        <v/>
      </c>
      <c r="I2085" s="13" t="s">
        <v>276</v>
      </c>
      <c r="J2085" s="22" t="e">
        <f>VLOOKUP(Table2[[#This Row], [Author]],People!A:B,2,0)</f>
        <v>#VALUE!</v>
      </c>
      <c r="K2085" s="13" t="s">
        <v>3297</v>
      </c>
      <c r="L2085" s="13"/>
      <c r="M2085" s="23" t="s">
        <v>277</v>
      </c>
    </row>
    <row r="2086" spans="1:13" ht="19.5" customHeight="1">
      <c r="A2086" s="18">
        <f t="shared" si="32"/>
        <v>2085</v>
      </c>
      <c r="B2086" s="11" t="s">
        <v>3295</v>
      </c>
      <c r="C2086" s="11" t="s">
        <v>97</v>
      </c>
      <c r="D2086" s="11" t="s">
        <v>3440</v>
      </c>
      <c r="E2086" s="11"/>
      <c r="F2086" s="11" t="s">
        <v>3436</v>
      </c>
      <c r="G2086" s="11" t="s">
        <v>13</v>
      </c>
      <c r="H2086" s="19" t="str">
        <f>IFERROR(VLOOKUP(Table2[[#This Row], [Ticket]],Okey!A:B,2,0),"")</f>
        <v/>
      </c>
      <c r="I2086" s="11" t="s">
        <v>276</v>
      </c>
      <c r="J2086" s="19" t="e">
        <f>VLOOKUP(Table2[[#This Row], [Author]],People!A:B,2,0)</f>
        <v>#VALUE!</v>
      </c>
      <c r="K2086" s="11" t="s">
        <v>3297</v>
      </c>
      <c r="L2086" s="11"/>
      <c r="M2086" s="20" t="s">
        <v>277</v>
      </c>
    </row>
    <row r="2087" spans="1:13" ht="19.5" customHeight="1">
      <c r="A2087" s="21">
        <f t="shared" si="32"/>
        <v>2086</v>
      </c>
      <c r="B2087" s="13" t="s">
        <v>3295</v>
      </c>
      <c r="C2087" s="13" t="s">
        <v>97</v>
      </c>
      <c r="D2087" s="13" t="s">
        <v>3433</v>
      </c>
      <c r="E2087" s="13"/>
      <c r="F2087" s="13" t="s">
        <v>3429</v>
      </c>
      <c r="G2087" s="13" t="s">
        <v>13</v>
      </c>
      <c r="H2087" s="22" t="str">
        <f>IFERROR(VLOOKUP(Table2[[#This Row], [Ticket]],Okey!A:B,2,0),"")</f>
        <v/>
      </c>
      <c r="I2087" s="13" t="s">
        <v>276</v>
      </c>
      <c r="J2087" s="22" t="e">
        <f>VLOOKUP(Table2[[#This Row], [Author]],People!A:B,2,0)</f>
        <v>#VALUE!</v>
      </c>
      <c r="K2087" s="13" t="s">
        <v>3297</v>
      </c>
      <c r="L2087" s="13"/>
      <c r="M2087" s="23" t="s">
        <v>277</v>
      </c>
    </row>
    <row r="2088" spans="1:13" ht="19.5" customHeight="1">
      <c r="A2088" s="18">
        <f t="shared" si="32"/>
        <v>2087</v>
      </c>
      <c r="B2088" s="11" t="s">
        <v>3295</v>
      </c>
      <c r="C2088" s="11" t="s">
        <v>97</v>
      </c>
      <c r="D2088" s="11" t="s">
        <v>3434</v>
      </c>
      <c r="E2088" s="11"/>
      <c r="F2088" s="11" t="s">
        <v>3429</v>
      </c>
      <c r="G2088" s="11" t="s">
        <v>13</v>
      </c>
      <c r="H2088" s="19" t="str">
        <f>IFERROR(VLOOKUP(Table2[[#This Row], [Ticket]],Okey!A:B,2,0),"")</f>
        <v/>
      </c>
      <c r="I2088" s="11" t="s">
        <v>276</v>
      </c>
      <c r="J2088" s="19" t="e">
        <f>VLOOKUP(Table2[[#This Row], [Author]],People!A:B,2,0)</f>
        <v>#VALUE!</v>
      </c>
      <c r="K2088" s="11" t="s">
        <v>3297</v>
      </c>
      <c r="L2088" s="11"/>
      <c r="M2088" s="20" t="s">
        <v>277</v>
      </c>
    </row>
    <row r="2089" spans="1:13" ht="19.5" customHeight="1">
      <c r="A2089" s="21">
        <f t="shared" si="32"/>
        <v>2088</v>
      </c>
      <c r="B2089" s="13" t="s">
        <v>3295</v>
      </c>
      <c r="C2089" s="13" t="s">
        <v>97</v>
      </c>
      <c r="D2089" s="13" t="s">
        <v>3404</v>
      </c>
      <c r="E2089" s="13"/>
      <c r="F2089" s="13" t="s">
        <v>3402</v>
      </c>
      <c r="G2089" s="13" t="s">
        <v>13</v>
      </c>
      <c r="H2089" s="22" t="str">
        <f>IFERROR(VLOOKUP(Table2[[#This Row], [Ticket]],Okey!A:B,2,0),"")</f>
        <v/>
      </c>
      <c r="I2089" s="13" t="s">
        <v>276</v>
      </c>
      <c r="J2089" s="22" t="e">
        <f>VLOOKUP(Table2[[#This Row], [Author]],People!A:B,2,0)</f>
        <v>#VALUE!</v>
      </c>
      <c r="K2089" s="13" t="s">
        <v>3297</v>
      </c>
      <c r="L2089" s="13"/>
      <c r="M2089" s="23" t="s">
        <v>277</v>
      </c>
    </row>
    <row r="2090" spans="1:13" ht="19.5" customHeight="1">
      <c r="A2090" s="18">
        <f t="shared" si="32"/>
        <v>2089</v>
      </c>
      <c r="B2090" s="11" t="s">
        <v>3295</v>
      </c>
      <c r="C2090" s="11" t="s">
        <v>97</v>
      </c>
      <c r="D2090" s="11" t="s">
        <v>3383</v>
      </c>
      <c r="E2090" s="11"/>
      <c r="F2090" s="11" t="s">
        <v>3381</v>
      </c>
      <c r="G2090" s="11" t="s">
        <v>13</v>
      </c>
      <c r="H2090" s="19" t="str">
        <f>IFERROR(VLOOKUP(Table2[[#This Row], [Ticket]],Okey!A:B,2,0),"")</f>
        <v/>
      </c>
      <c r="I2090" s="11" t="s">
        <v>276</v>
      </c>
      <c r="J2090" s="19" t="e">
        <f>VLOOKUP(Table2[[#This Row], [Author]],People!A:B,2,0)</f>
        <v>#VALUE!</v>
      </c>
      <c r="K2090" s="11" t="s">
        <v>3297</v>
      </c>
      <c r="L2090" s="11"/>
      <c r="M2090" s="20" t="s">
        <v>277</v>
      </c>
    </row>
    <row r="2091" spans="1:13" ht="19.5" customHeight="1">
      <c r="A2091" s="21">
        <f t="shared" si="32"/>
        <v>2090</v>
      </c>
      <c r="B2091" s="13" t="s">
        <v>3295</v>
      </c>
      <c r="C2091" s="13" t="s">
        <v>97</v>
      </c>
      <c r="D2091" s="13" t="s">
        <v>3384</v>
      </c>
      <c r="E2091" s="13"/>
      <c r="F2091" s="13" t="s">
        <v>3381</v>
      </c>
      <c r="G2091" s="13" t="s">
        <v>13</v>
      </c>
      <c r="H2091" s="22" t="str">
        <f>IFERROR(VLOOKUP(Table2[[#This Row], [Ticket]],Okey!A:B,2,0),"")</f>
        <v/>
      </c>
      <c r="I2091" s="13" t="s">
        <v>276</v>
      </c>
      <c r="J2091" s="22" t="e">
        <f>VLOOKUP(Table2[[#This Row], [Author]],People!A:B,2,0)</f>
        <v>#VALUE!</v>
      </c>
      <c r="K2091" s="13" t="s">
        <v>3297</v>
      </c>
      <c r="L2091" s="13"/>
      <c r="M2091" s="23" t="s">
        <v>277</v>
      </c>
    </row>
    <row r="2092" spans="1:13" ht="19.5" customHeight="1">
      <c r="A2092" s="18">
        <f t="shared" si="32"/>
        <v>2091</v>
      </c>
      <c r="B2092" s="11" t="s">
        <v>3295</v>
      </c>
      <c r="C2092" s="11" t="s">
        <v>97</v>
      </c>
      <c r="D2092" s="11" t="s">
        <v>3374</v>
      </c>
      <c r="E2092" s="11"/>
      <c r="F2092" s="11" t="s">
        <v>3372</v>
      </c>
      <c r="G2092" s="11" t="s">
        <v>13</v>
      </c>
      <c r="H2092" s="19" t="str">
        <f>IFERROR(VLOOKUP(Table2[[#This Row], [Ticket]],Okey!A:B,2,0),"")</f>
        <v/>
      </c>
      <c r="I2092" s="11" t="s">
        <v>276</v>
      </c>
      <c r="J2092" s="19" t="e">
        <f>VLOOKUP(Table2[[#This Row], [Author]],People!A:B,2,0)</f>
        <v>#VALUE!</v>
      </c>
      <c r="K2092" s="11" t="s">
        <v>3297</v>
      </c>
      <c r="L2092" s="11"/>
      <c r="M2092" s="20" t="s">
        <v>277</v>
      </c>
    </row>
    <row r="2093" spans="1:13" ht="19.5" customHeight="1">
      <c r="A2093" s="21">
        <f t="shared" si="32"/>
        <v>2092</v>
      </c>
      <c r="B2093" s="13" t="s">
        <v>3295</v>
      </c>
      <c r="C2093" s="13" t="s">
        <v>97</v>
      </c>
      <c r="D2093" s="13" t="s">
        <v>3376</v>
      </c>
      <c r="E2093" s="13"/>
      <c r="F2093" s="13" t="s">
        <v>3372</v>
      </c>
      <c r="G2093" s="13" t="s">
        <v>13</v>
      </c>
      <c r="H2093" s="22" t="str">
        <f>IFERROR(VLOOKUP(Table2[[#This Row], [Ticket]],Okey!A:B,2,0),"")</f>
        <v/>
      </c>
      <c r="I2093" s="13" t="s">
        <v>276</v>
      </c>
      <c r="J2093" s="22" t="e">
        <f>VLOOKUP(Table2[[#This Row], [Author]],People!A:B,2,0)</f>
        <v>#VALUE!</v>
      </c>
      <c r="K2093" s="13" t="s">
        <v>3297</v>
      </c>
      <c r="L2093" s="13"/>
      <c r="M2093" s="23" t="s">
        <v>277</v>
      </c>
    </row>
    <row r="2094" spans="1:13" ht="19.5" customHeight="1">
      <c r="A2094" s="18">
        <f t="shared" si="32"/>
        <v>2093</v>
      </c>
      <c r="B2094" s="11" t="s">
        <v>3295</v>
      </c>
      <c r="C2094" s="11" t="s">
        <v>97</v>
      </c>
      <c r="D2094" s="11" t="s">
        <v>3377</v>
      </c>
      <c r="E2094" s="11"/>
      <c r="F2094" s="11" t="s">
        <v>3372</v>
      </c>
      <c r="G2094" s="11" t="s">
        <v>13</v>
      </c>
      <c r="H2094" s="19" t="str">
        <f>IFERROR(VLOOKUP(Table2[[#This Row], [Ticket]],Okey!A:B,2,0),"")</f>
        <v/>
      </c>
      <c r="I2094" s="11" t="s">
        <v>276</v>
      </c>
      <c r="J2094" s="19" t="e">
        <f>VLOOKUP(Table2[[#This Row], [Author]],People!A:B,2,0)</f>
        <v>#VALUE!</v>
      </c>
      <c r="K2094" s="11" t="s">
        <v>3297</v>
      </c>
      <c r="L2094" s="11"/>
      <c r="M2094" s="20" t="s">
        <v>277</v>
      </c>
    </row>
    <row r="2095" spans="1:13" ht="19.5" customHeight="1">
      <c r="A2095" s="21">
        <f t="shared" si="32"/>
        <v>2094</v>
      </c>
      <c r="B2095" s="13" t="s">
        <v>3295</v>
      </c>
      <c r="C2095" s="13" t="s">
        <v>97</v>
      </c>
      <c r="D2095" s="13" t="s">
        <v>3378</v>
      </c>
      <c r="E2095" s="13"/>
      <c r="F2095" s="13" t="s">
        <v>3372</v>
      </c>
      <c r="G2095" s="13" t="s">
        <v>13</v>
      </c>
      <c r="H2095" s="22" t="str">
        <f>IFERROR(VLOOKUP(Table2[[#This Row], [Ticket]],Okey!A:B,2,0),"")</f>
        <v/>
      </c>
      <c r="I2095" s="13" t="s">
        <v>276</v>
      </c>
      <c r="J2095" s="22" t="e">
        <f>VLOOKUP(Table2[[#This Row], [Author]],People!A:B,2,0)</f>
        <v>#VALUE!</v>
      </c>
      <c r="K2095" s="13" t="s">
        <v>3297</v>
      </c>
      <c r="L2095" s="13"/>
      <c r="M2095" s="23" t="s">
        <v>277</v>
      </c>
    </row>
    <row r="2096" spans="1:13" ht="19.5" customHeight="1">
      <c r="A2096" s="18">
        <f t="shared" si="32"/>
        <v>2095</v>
      </c>
      <c r="B2096" s="11" t="s">
        <v>3295</v>
      </c>
      <c r="C2096" s="11" t="s">
        <v>97</v>
      </c>
      <c r="D2096" s="11" t="s">
        <v>3379</v>
      </c>
      <c r="E2096" s="11"/>
      <c r="F2096" s="11" t="s">
        <v>3372</v>
      </c>
      <c r="G2096" s="11" t="s">
        <v>13</v>
      </c>
      <c r="H2096" s="19" t="str">
        <f>IFERROR(VLOOKUP(Table2[[#This Row], [Ticket]],Okey!A:B,2,0),"")</f>
        <v/>
      </c>
      <c r="I2096" s="11" t="s">
        <v>276</v>
      </c>
      <c r="J2096" s="19" t="e">
        <f>VLOOKUP(Table2[[#This Row], [Author]],People!A:B,2,0)</f>
        <v>#VALUE!</v>
      </c>
      <c r="K2096" s="11" t="s">
        <v>3297</v>
      </c>
      <c r="L2096" s="11"/>
      <c r="M2096" s="20" t="s">
        <v>277</v>
      </c>
    </row>
    <row r="2097" spans="1:13" ht="19.5" customHeight="1">
      <c r="A2097" s="21">
        <f t="shared" si="32"/>
        <v>2096</v>
      </c>
      <c r="B2097" s="13" t="s">
        <v>3295</v>
      </c>
      <c r="C2097" s="13" t="s">
        <v>97</v>
      </c>
      <c r="D2097" s="13" t="s">
        <v>3380</v>
      </c>
      <c r="E2097" s="13"/>
      <c r="F2097" s="13" t="s">
        <v>3372</v>
      </c>
      <c r="G2097" s="13" t="s">
        <v>13</v>
      </c>
      <c r="H2097" s="22" t="str">
        <f>IFERROR(VLOOKUP(Table2[[#This Row], [Ticket]],Okey!A:B,2,0),"")</f>
        <v/>
      </c>
      <c r="I2097" s="13" t="s">
        <v>276</v>
      </c>
      <c r="J2097" s="22" t="e">
        <f>VLOOKUP(Table2[[#This Row], [Author]],People!A:B,2,0)</f>
        <v>#VALUE!</v>
      </c>
      <c r="K2097" s="13" t="s">
        <v>3297</v>
      </c>
      <c r="L2097" s="13"/>
      <c r="M2097" s="23" t="s">
        <v>277</v>
      </c>
    </row>
    <row r="2098" spans="1:13" ht="19.5" customHeight="1">
      <c r="A2098" s="18">
        <f t="shared" si="32"/>
        <v>2097</v>
      </c>
      <c r="B2098" s="11" t="s">
        <v>3295</v>
      </c>
      <c r="C2098" s="11" t="s">
        <v>97</v>
      </c>
      <c r="D2098" s="11" t="s">
        <v>3391</v>
      </c>
      <c r="E2098" s="11"/>
      <c r="F2098" s="11" t="s">
        <v>3389</v>
      </c>
      <c r="G2098" s="11" t="s">
        <v>13</v>
      </c>
      <c r="H2098" s="19" t="str">
        <f>IFERROR(VLOOKUP(Table2[[#This Row], [Ticket]],Okey!A:B,2,0),"")</f>
        <v/>
      </c>
      <c r="I2098" s="11" t="s">
        <v>276</v>
      </c>
      <c r="J2098" s="19" t="e">
        <f>VLOOKUP(Table2[[#This Row], [Author]],People!A:B,2,0)</f>
        <v>#VALUE!</v>
      </c>
      <c r="K2098" s="11" t="s">
        <v>3297</v>
      </c>
      <c r="L2098" s="11"/>
      <c r="M2098" s="20" t="s">
        <v>277</v>
      </c>
    </row>
    <row r="2099" spans="1:13" ht="19.5" customHeight="1">
      <c r="A2099" s="21">
        <f t="shared" si="32"/>
        <v>2098</v>
      </c>
      <c r="B2099" s="13" t="s">
        <v>3295</v>
      </c>
      <c r="C2099" s="13" t="s">
        <v>97</v>
      </c>
      <c r="D2099" s="13" t="s">
        <v>3392</v>
      </c>
      <c r="E2099" s="13"/>
      <c r="F2099" s="13" t="s">
        <v>3389</v>
      </c>
      <c r="G2099" s="13" t="s">
        <v>13</v>
      </c>
      <c r="H2099" s="22" t="str">
        <f>IFERROR(VLOOKUP(Table2[[#This Row], [Ticket]],Okey!A:B,2,0),"")</f>
        <v/>
      </c>
      <c r="I2099" s="13" t="s">
        <v>276</v>
      </c>
      <c r="J2099" s="22" t="e">
        <f>VLOOKUP(Table2[[#This Row], [Author]],People!A:B,2,0)</f>
        <v>#VALUE!</v>
      </c>
      <c r="K2099" s="13" t="s">
        <v>3297</v>
      </c>
      <c r="L2099" s="13"/>
      <c r="M2099" s="23" t="s">
        <v>277</v>
      </c>
    </row>
    <row r="2100" spans="1:13" ht="19.5" customHeight="1">
      <c r="A2100" s="18">
        <f t="shared" si="32"/>
        <v>2099</v>
      </c>
      <c r="B2100" s="11" t="s">
        <v>3295</v>
      </c>
      <c r="C2100" s="11" t="s">
        <v>97</v>
      </c>
      <c r="D2100" s="11" t="s">
        <v>3393</v>
      </c>
      <c r="E2100" s="11"/>
      <c r="F2100" s="11" t="s">
        <v>3389</v>
      </c>
      <c r="G2100" s="11" t="s">
        <v>13</v>
      </c>
      <c r="H2100" s="19" t="str">
        <f>IFERROR(VLOOKUP(Table2[[#This Row], [Ticket]],Okey!A:B,2,0),"")</f>
        <v/>
      </c>
      <c r="I2100" s="11" t="s">
        <v>276</v>
      </c>
      <c r="J2100" s="19" t="e">
        <f>VLOOKUP(Table2[[#This Row], [Author]],People!A:B,2,0)</f>
        <v>#VALUE!</v>
      </c>
      <c r="K2100" s="11" t="s">
        <v>3297</v>
      </c>
      <c r="L2100" s="11"/>
      <c r="M2100" s="20" t="s">
        <v>277</v>
      </c>
    </row>
    <row r="2101" spans="1:13" ht="19.5" customHeight="1">
      <c r="A2101" s="21">
        <f t="shared" si="32"/>
        <v>2100</v>
      </c>
      <c r="B2101" s="13" t="s">
        <v>3295</v>
      </c>
      <c r="C2101" s="13" t="s">
        <v>97</v>
      </c>
      <c r="D2101" s="13" t="s">
        <v>3394</v>
      </c>
      <c r="E2101" s="13"/>
      <c r="F2101" s="13" t="s">
        <v>3389</v>
      </c>
      <c r="G2101" s="13" t="s">
        <v>13</v>
      </c>
      <c r="H2101" s="22" t="str">
        <f>IFERROR(VLOOKUP(Table2[[#This Row], [Ticket]],Okey!A:B,2,0),"")</f>
        <v/>
      </c>
      <c r="I2101" s="13" t="s">
        <v>276</v>
      </c>
      <c r="J2101" s="22" t="e">
        <f>VLOOKUP(Table2[[#This Row], [Author]],People!A:B,2,0)</f>
        <v>#VALUE!</v>
      </c>
      <c r="K2101" s="13" t="s">
        <v>3297</v>
      </c>
      <c r="L2101" s="13"/>
      <c r="M2101" s="23" t="s">
        <v>277</v>
      </c>
    </row>
    <row r="2102" spans="1:13" ht="19.5" customHeight="1">
      <c r="A2102" s="18">
        <f t="shared" si="32"/>
        <v>2101</v>
      </c>
      <c r="B2102" s="11" t="s">
        <v>3295</v>
      </c>
      <c r="C2102" s="11" t="s">
        <v>97</v>
      </c>
      <c r="D2102" s="11" t="s">
        <v>3395</v>
      </c>
      <c r="E2102" s="11"/>
      <c r="F2102" s="11" t="s">
        <v>3389</v>
      </c>
      <c r="G2102" s="11" t="s">
        <v>13</v>
      </c>
      <c r="H2102" s="19" t="str">
        <f>IFERROR(VLOOKUP(Table2[[#This Row], [Ticket]],Okey!A:B,2,0),"")</f>
        <v/>
      </c>
      <c r="I2102" s="11" t="s">
        <v>276</v>
      </c>
      <c r="J2102" s="19" t="e">
        <f>VLOOKUP(Table2[[#This Row], [Author]],People!A:B,2,0)</f>
        <v>#VALUE!</v>
      </c>
      <c r="K2102" s="11" t="s">
        <v>3297</v>
      </c>
      <c r="L2102" s="11"/>
      <c r="M2102" s="20" t="s">
        <v>277</v>
      </c>
    </row>
    <row r="2103" spans="1:13" ht="19.5" customHeight="1">
      <c r="A2103" s="21">
        <f t="shared" si="32"/>
        <v>2102</v>
      </c>
      <c r="B2103" s="13" t="s">
        <v>3295</v>
      </c>
      <c r="C2103" s="13" t="s">
        <v>97</v>
      </c>
      <c r="D2103" s="13" t="s">
        <v>3396</v>
      </c>
      <c r="E2103" s="13"/>
      <c r="F2103" s="13" t="s">
        <v>3389</v>
      </c>
      <c r="G2103" s="13" t="s">
        <v>13</v>
      </c>
      <c r="H2103" s="22" t="str">
        <f>IFERROR(VLOOKUP(Table2[[#This Row], [Ticket]],Okey!A:B,2,0),"")</f>
        <v/>
      </c>
      <c r="I2103" s="13" t="s">
        <v>276</v>
      </c>
      <c r="J2103" s="22" t="e">
        <f>VLOOKUP(Table2[[#This Row], [Author]],People!A:B,2,0)</f>
        <v>#VALUE!</v>
      </c>
      <c r="K2103" s="13" t="s">
        <v>3297</v>
      </c>
      <c r="L2103" s="13"/>
      <c r="M2103" s="23" t="s">
        <v>277</v>
      </c>
    </row>
    <row r="2104" spans="1:13" ht="19.5" customHeight="1">
      <c r="A2104" s="18">
        <f t="shared" si="32"/>
        <v>2103</v>
      </c>
      <c r="B2104" s="11" t="s">
        <v>3295</v>
      </c>
      <c r="C2104" s="11" t="s">
        <v>97</v>
      </c>
      <c r="D2104" s="11" t="s">
        <v>3397</v>
      </c>
      <c r="E2104" s="11"/>
      <c r="F2104" s="11" t="s">
        <v>3389</v>
      </c>
      <c r="G2104" s="11" t="s">
        <v>13</v>
      </c>
      <c r="H2104" s="19" t="str">
        <f>IFERROR(VLOOKUP(Table2[[#This Row], [Ticket]],Okey!A:B,2,0),"")</f>
        <v/>
      </c>
      <c r="I2104" s="11" t="s">
        <v>276</v>
      </c>
      <c r="J2104" s="19" t="e">
        <f>VLOOKUP(Table2[[#This Row], [Author]],People!A:B,2,0)</f>
        <v>#VALUE!</v>
      </c>
      <c r="K2104" s="11" t="s">
        <v>3297</v>
      </c>
      <c r="L2104" s="11"/>
      <c r="M2104" s="20" t="s">
        <v>277</v>
      </c>
    </row>
    <row r="2105" spans="1:13" ht="19.5" customHeight="1">
      <c r="A2105" s="21">
        <f t="shared" si="32"/>
        <v>2104</v>
      </c>
      <c r="B2105" s="13" t="s">
        <v>3295</v>
      </c>
      <c r="C2105" s="13" t="s">
        <v>97</v>
      </c>
      <c r="D2105" s="13" t="s">
        <v>3398</v>
      </c>
      <c r="E2105" s="13"/>
      <c r="F2105" s="13" t="s">
        <v>3389</v>
      </c>
      <c r="G2105" s="13" t="s">
        <v>13</v>
      </c>
      <c r="H2105" s="22" t="str">
        <f>IFERROR(VLOOKUP(Table2[[#This Row], [Ticket]],Okey!A:B,2,0),"")</f>
        <v/>
      </c>
      <c r="I2105" s="13" t="s">
        <v>276</v>
      </c>
      <c r="J2105" s="22" t="e">
        <f>VLOOKUP(Table2[[#This Row], [Author]],People!A:B,2,0)</f>
        <v>#VALUE!</v>
      </c>
      <c r="K2105" s="13" t="s">
        <v>3297</v>
      </c>
      <c r="L2105" s="13"/>
      <c r="M2105" s="23" t="s">
        <v>277</v>
      </c>
    </row>
    <row r="2106" spans="1:13" ht="19.5" customHeight="1">
      <c r="A2106" s="18">
        <f t="shared" si="32"/>
        <v>2105</v>
      </c>
      <c r="B2106" s="11" t="s">
        <v>3295</v>
      </c>
      <c r="C2106" s="11" t="s">
        <v>97</v>
      </c>
      <c r="D2106" s="11" t="s">
        <v>3399</v>
      </c>
      <c r="E2106" s="11"/>
      <c r="F2106" s="11" t="s">
        <v>3389</v>
      </c>
      <c r="G2106" s="11" t="s">
        <v>13</v>
      </c>
      <c r="H2106" s="19" t="str">
        <f>IFERROR(VLOOKUP(Table2[[#This Row], [Ticket]],Okey!A:B,2,0),"")</f>
        <v/>
      </c>
      <c r="I2106" s="11" t="s">
        <v>276</v>
      </c>
      <c r="J2106" s="19" t="e">
        <f>VLOOKUP(Table2[[#This Row], [Author]],People!A:B,2,0)</f>
        <v>#VALUE!</v>
      </c>
      <c r="K2106" s="11" t="s">
        <v>3297</v>
      </c>
      <c r="L2106" s="11"/>
      <c r="M2106" s="20" t="s">
        <v>277</v>
      </c>
    </row>
    <row r="2107" spans="1:13" ht="19.5" customHeight="1">
      <c r="A2107" s="21">
        <f t="shared" si="32"/>
        <v>2106</v>
      </c>
      <c r="B2107" s="13" t="s">
        <v>3295</v>
      </c>
      <c r="C2107" s="13" t="s">
        <v>97</v>
      </c>
      <c r="D2107" s="13" t="s">
        <v>3416</v>
      </c>
      <c r="E2107" s="13"/>
      <c r="F2107" s="13" t="s">
        <v>3412</v>
      </c>
      <c r="G2107" s="13" t="s">
        <v>13</v>
      </c>
      <c r="H2107" s="22" t="str">
        <f>IFERROR(VLOOKUP(Table2[[#This Row], [Ticket]],Okey!A:B,2,0),"")</f>
        <v/>
      </c>
      <c r="I2107" s="13" t="s">
        <v>276</v>
      </c>
      <c r="J2107" s="22" t="e">
        <f>VLOOKUP(Table2[[#This Row], [Author]],People!A:B,2,0)</f>
        <v>#VALUE!</v>
      </c>
      <c r="K2107" s="13" t="s">
        <v>3297</v>
      </c>
      <c r="L2107" s="13"/>
      <c r="M2107" s="23" t="s">
        <v>277</v>
      </c>
    </row>
    <row r="2108" spans="1:13" ht="19.5" customHeight="1">
      <c r="A2108" s="18">
        <f t="shared" si="32"/>
        <v>2107</v>
      </c>
      <c r="B2108" s="11" t="s">
        <v>3295</v>
      </c>
      <c r="C2108" s="11" t="s">
        <v>97</v>
      </c>
      <c r="D2108" s="11" t="s">
        <v>3400</v>
      </c>
      <c r="E2108" s="11"/>
      <c r="F2108" s="11" t="s">
        <v>3389</v>
      </c>
      <c r="G2108" s="11" t="s">
        <v>13</v>
      </c>
      <c r="H2108" s="19" t="str">
        <f>IFERROR(VLOOKUP(Table2[[#This Row], [Ticket]],Okey!A:B,2,0),"")</f>
        <v/>
      </c>
      <c r="I2108" s="11" t="s">
        <v>276</v>
      </c>
      <c r="J2108" s="19" t="e">
        <f>VLOOKUP(Table2[[#This Row], [Author]],People!A:B,2,0)</f>
        <v>#VALUE!</v>
      </c>
      <c r="K2108" s="11" t="s">
        <v>3297</v>
      </c>
      <c r="L2108" s="11"/>
      <c r="M2108" s="20" t="s">
        <v>277</v>
      </c>
    </row>
    <row r="2109" spans="1:13" ht="19.5" customHeight="1">
      <c r="A2109" s="21">
        <f t="shared" si="32"/>
        <v>2108</v>
      </c>
      <c r="B2109" s="13" t="s">
        <v>3295</v>
      </c>
      <c r="C2109" s="13" t="s">
        <v>97</v>
      </c>
      <c r="D2109" s="13" t="s">
        <v>3405</v>
      </c>
      <c r="E2109" s="13"/>
      <c r="F2109" s="13" t="s">
        <v>3402</v>
      </c>
      <c r="G2109" s="13" t="s">
        <v>13</v>
      </c>
      <c r="H2109" s="22" t="str">
        <f>IFERROR(VLOOKUP(Table2[[#This Row], [Ticket]],Okey!A:B,2,0),"")</f>
        <v/>
      </c>
      <c r="I2109" s="13" t="s">
        <v>276</v>
      </c>
      <c r="J2109" s="22" t="e">
        <f>VLOOKUP(Table2[[#This Row], [Author]],People!A:B,2,0)</f>
        <v>#VALUE!</v>
      </c>
      <c r="K2109" s="13" t="s">
        <v>3297</v>
      </c>
      <c r="L2109" s="13"/>
      <c r="M2109" s="23" t="s">
        <v>277</v>
      </c>
    </row>
    <row r="2110" spans="1:13" ht="19.5" customHeight="1">
      <c r="A2110" s="18">
        <f t="shared" si="32"/>
        <v>2109</v>
      </c>
      <c r="B2110" s="11" t="s">
        <v>3295</v>
      </c>
      <c r="C2110" s="11" t="s">
        <v>97</v>
      </c>
      <c r="D2110" s="11" t="s">
        <v>3406</v>
      </c>
      <c r="E2110" s="11"/>
      <c r="F2110" s="11" t="s">
        <v>3402</v>
      </c>
      <c r="G2110" s="11" t="s">
        <v>13</v>
      </c>
      <c r="H2110" s="19" t="str">
        <f>IFERROR(VLOOKUP(Table2[[#This Row], [Ticket]],Okey!A:B,2,0),"")</f>
        <v/>
      </c>
      <c r="I2110" s="11" t="s">
        <v>276</v>
      </c>
      <c r="J2110" s="19" t="e">
        <f>VLOOKUP(Table2[[#This Row], [Author]],People!A:B,2,0)</f>
        <v>#VALUE!</v>
      </c>
      <c r="K2110" s="11" t="s">
        <v>3297</v>
      </c>
      <c r="L2110" s="11"/>
      <c r="M2110" s="20" t="s">
        <v>277</v>
      </c>
    </row>
    <row r="2111" spans="1:13" ht="19.5" customHeight="1">
      <c r="A2111" s="21">
        <f t="shared" si="32"/>
        <v>2110</v>
      </c>
      <c r="B2111" s="13" t="s">
        <v>3295</v>
      </c>
      <c r="C2111" s="13" t="s">
        <v>97</v>
      </c>
      <c r="D2111" s="13" t="s">
        <v>3408</v>
      </c>
      <c r="E2111" s="13"/>
      <c r="F2111" s="13" t="s">
        <v>3407</v>
      </c>
      <c r="G2111" s="13" t="s">
        <v>13</v>
      </c>
      <c r="H2111" s="22" t="str">
        <f>IFERROR(VLOOKUP(Table2[[#This Row], [Ticket]],Okey!A:B,2,0),"")</f>
        <v/>
      </c>
      <c r="I2111" s="13" t="s">
        <v>276</v>
      </c>
      <c r="J2111" s="22" t="e">
        <f>VLOOKUP(Table2[[#This Row], [Author]],People!A:B,2,0)</f>
        <v>#VALUE!</v>
      </c>
      <c r="K2111" s="13" t="s">
        <v>3297</v>
      </c>
      <c r="L2111" s="13"/>
      <c r="M2111" s="23" t="s">
        <v>277</v>
      </c>
    </row>
    <row r="2112" spans="1:13" ht="19.5" customHeight="1">
      <c r="A2112" s="18">
        <f t="shared" si="32"/>
        <v>2111</v>
      </c>
      <c r="B2112" s="11" t="s">
        <v>3295</v>
      </c>
      <c r="C2112" s="11" t="s">
        <v>97</v>
      </c>
      <c r="D2112" s="11" t="s">
        <v>3409</v>
      </c>
      <c r="E2112" s="11"/>
      <c r="F2112" s="11" t="s">
        <v>3407</v>
      </c>
      <c r="G2112" s="11" t="s">
        <v>13</v>
      </c>
      <c r="H2112" s="19" t="str">
        <f>IFERROR(VLOOKUP(Table2[[#This Row], [Ticket]],Okey!A:B,2,0),"")</f>
        <v/>
      </c>
      <c r="I2112" s="11" t="s">
        <v>276</v>
      </c>
      <c r="J2112" s="19" t="e">
        <f>VLOOKUP(Table2[[#This Row], [Author]],People!A:B,2,0)</f>
        <v>#VALUE!</v>
      </c>
      <c r="K2112" s="11" t="s">
        <v>3297</v>
      </c>
      <c r="L2112" s="11"/>
      <c r="M2112" s="20" t="s">
        <v>277</v>
      </c>
    </row>
    <row r="2113" spans="1:13" ht="19.5" customHeight="1">
      <c r="A2113" s="21">
        <f t="shared" si="32"/>
        <v>2112</v>
      </c>
      <c r="B2113" s="13" t="s">
        <v>3295</v>
      </c>
      <c r="C2113" s="13" t="s">
        <v>97</v>
      </c>
      <c r="D2113" s="13" t="s">
        <v>3417</v>
      </c>
      <c r="E2113" s="13"/>
      <c r="F2113" s="13" t="s">
        <v>3412</v>
      </c>
      <c r="G2113" s="13" t="s">
        <v>13</v>
      </c>
      <c r="H2113" s="22" t="str">
        <f>IFERROR(VLOOKUP(Table2[[#This Row], [Ticket]],Okey!A:B,2,0),"")</f>
        <v/>
      </c>
      <c r="I2113" s="13" t="s">
        <v>276</v>
      </c>
      <c r="J2113" s="22" t="e">
        <f>VLOOKUP(Table2[[#This Row], [Author]],People!A:B,2,0)</f>
        <v>#VALUE!</v>
      </c>
      <c r="K2113" s="13" t="s">
        <v>3297</v>
      </c>
      <c r="L2113" s="13"/>
      <c r="M2113" s="23" t="s">
        <v>277</v>
      </c>
    </row>
    <row r="2114" spans="1:13" ht="19.5" customHeight="1">
      <c r="A2114" s="18">
        <f t="shared" si="32"/>
        <v>2113</v>
      </c>
      <c r="B2114" s="11" t="s">
        <v>3295</v>
      </c>
      <c r="C2114" s="11" t="s">
        <v>97</v>
      </c>
      <c r="D2114" s="11" t="s">
        <v>3415</v>
      </c>
      <c r="E2114" s="11"/>
      <c r="F2114" s="11" t="s">
        <v>3412</v>
      </c>
      <c r="G2114" s="11" t="s">
        <v>13</v>
      </c>
      <c r="H2114" s="19" t="str">
        <f>IFERROR(VLOOKUP(Table2[[#This Row], [Ticket]],Okey!A:B,2,0),"")</f>
        <v/>
      </c>
      <c r="I2114" s="11" t="s">
        <v>276</v>
      </c>
      <c r="J2114" s="19" t="e">
        <f>VLOOKUP(Table2[[#This Row], [Author]],People!A:B,2,0)</f>
        <v>#VALUE!</v>
      </c>
      <c r="K2114" s="11" t="s">
        <v>3297</v>
      </c>
      <c r="L2114" s="11"/>
      <c r="M2114" s="20" t="s">
        <v>277</v>
      </c>
    </row>
    <row r="2115" spans="1:13" ht="19.5" customHeight="1">
      <c r="A2115" s="21">
        <f t="shared" ref="A2115:A2178" si="33">1+A2114</f>
        <v>2114</v>
      </c>
      <c r="B2115" s="13" t="s">
        <v>3295</v>
      </c>
      <c r="C2115" s="13" t="s">
        <v>97</v>
      </c>
      <c r="D2115" s="13" t="s">
        <v>3410</v>
      </c>
      <c r="E2115" s="13"/>
      <c r="F2115" s="13" t="s">
        <v>3407</v>
      </c>
      <c r="G2115" s="13" t="s">
        <v>13</v>
      </c>
      <c r="H2115" s="22" t="str">
        <f>IFERROR(VLOOKUP(Table2[[#This Row], [Ticket]],Okey!A:B,2,0),"")</f>
        <v/>
      </c>
      <c r="I2115" s="13" t="s">
        <v>276</v>
      </c>
      <c r="J2115" s="22" t="e">
        <f>VLOOKUP(Table2[[#This Row], [Author]],People!A:B,2,0)</f>
        <v>#VALUE!</v>
      </c>
      <c r="K2115" s="13" t="s">
        <v>3297</v>
      </c>
      <c r="L2115" s="13"/>
      <c r="M2115" s="23" t="s">
        <v>277</v>
      </c>
    </row>
    <row r="2116" spans="1:13" ht="19.5" customHeight="1">
      <c r="A2116" s="18">
        <f t="shared" si="33"/>
        <v>2115</v>
      </c>
      <c r="B2116" s="11" t="s">
        <v>3295</v>
      </c>
      <c r="C2116" s="11" t="s">
        <v>97</v>
      </c>
      <c r="D2116" s="11" t="s">
        <v>3388</v>
      </c>
      <c r="E2116" s="11"/>
      <c r="F2116" s="11" t="s">
        <v>3387</v>
      </c>
      <c r="G2116" s="11" t="s">
        <v>13</v>
      </c>
      <c r="H2116" s="19" t="str">
        <f>IFERROR(VLOOKUP(Table2[[#This Row], [Ticket]],Okey!A:B,2,0),"")</f>
        <v/>
      </c>
      <c r="I2116" s="11" t="s">
        <v>276</v>
      </c>
      <c r="J2116" s="19" t="e">
        <f>VLOOKUP(Table2[[#This Row], [Author]],People!A:B,2,0)</f>
        <v>#VALUE!</v>
      </c>
      <c r="K2116" s="11" t="s">
        <v>3297</v>
      </c>
      <c r="L2116" s="11"/>
      <c r="M2116" s="20" t="s">
        <v>277</v>
      </c>
    </row>
    <row r="2117" spans="1:13" ht="19.5" customHeight="1">
      <c r="A2117" s="21">
        <f t="shared" si="33"/>
        <v>2116</v>
      </c>
      <c r="B2117" s="13" t="s">
        <v>3295</v>
      </c>
      <c r="C2117" s="13" t="s">
        <v>97</v>
      </c>
      <c r="D2117" s="13" t="s">
        <v>3411</v>
      </c>
      <c r="E2117" s="13"/>
      <c r="F2117" s="13" t="s">
        <v>3407</v>
      </c>
      <c r="G2117" s="13" t="s">
        <v>13</v>
      </c>
      <c r="H2117" s="22" t="str">
        <f>IFERROR(VLOOKUP(Table2[[#This Row], [Ticket]],Okey!A:B,2,0),"")</f>
        <v/>
      </c>
      <c r="I2117" s="13" t="s">
        <v>276</v>
      </c>
      <c r="J2117" s="22" t="e">
        <f>VLOOKUP(Table2[[#This Row], [Author]],People!A:B,2,0)</f>
        <v>#VALUE!</v>
      </c>
      <c r="K2117" s="13" t="s">
        <v>3297</v>
      </c>
      <c r="L2117" s="13"/>
      <c r="M2117" s="23" t="s">
        <v>277</v>
      </c>
    </row>
    <row r="2118" spans="1:13" ht="19.5" customHeight="1">
      <c r="A2118" s="18">
        <f t="shared" si="33"/>
        <v>2117</v>
      </c>
      <c r="B2118" s="11" t="s">
        <v>3295</v>
      </c>
      <c r="C2118" s="11" t="s">
        <v>97</v>
      </c>
      <c r="D2118" s="11" t="s">
        <v>3385</v>
      </c>
      <c r="E2118" s="11"/>
      <c r="F2118" s="11" t="s">
        <v>3381</v>
      </c>
      <c r="G2118" s="11" t="s">
        <v>13</v>
      </c>
      <c r="H2118" s="19" t="str">
        <f>IFERROR(VLOOKUP(Table2[[#This Row], [Ticket]],Okey!A:B,2,0),"")</f>
        <v/>
      </c>
      <c r="I2118" s="11" t="s">
        <v>276</v>
      </c>
      <c r="J2118" s="19" t="e">
        <f>VLOOKUP(Table2[[#This Row], [Author]],People!A:B,2,0)</f>
        <v>#VALUE!</v>
      </c>
      <c r="K2118" s="11" t="s">
        <v>3297</v>
      </c>
      <c r="L2118" s="11"/>
      <c r="M2118" s="20" t="s">
        <v>277</v>
      </c>
    </row>
    <row r="2119" spans="1:13" ht="19.5" customHeight="1">
      <c r="A2119" s="21">
        <f t="shared" si="33"/>
        <v>2118</v>
      </c>
      <c r="B2119" s="13" t="s">
        <v>3295</v>
      </c>
      <c r="C2119" s="13" t="s">
        <v>97</v>
      </c>
      <c r="D2119" s="13" t="s">
        <v>3386</v>
      </c>
      <c r="E2119" s="13"/>
      <c r="F2119" s="13" t="s">
        <v>3381</v>
      </c>
      <c r="G2119" s="13" t="s">
        <v>13</v>
      </c>
      <c r="H2119" s="22" t="str">
        <f>IFERROR(VLOOKUP(Table2[[#This Row], [Ticket]],Okey!A:B,2,0),"")</f>
        <v/>
      </c>
      <c r="I2119" s="13" t="s">
        <v>276</v>
      </c>
      <c r="J2119" s="22" t="e">
        <f>VLOOKUP(Table2[[#This Row], [Author]],People!A:B,2,0)</f>
        <v>#VALUE!</v>
      </c>
      <c r="K2119" s="13" t="s">
        <v>3297</v>
      </c>
      <c r="L2119" s="13"/>
      <c r="M2119" s="23" t="s">
        <v>277</v>
      </c>
    </row>
    <row r="2120" spans="1:13" ht="19.5" customHeight="1">
      <c r="A2120" s="18">
        <f t="shared" si="33"/>
        <v>2119</v>
      </c>
      <c r="B2120" s="11" t="s">
        <v>3295</v>
      </c>
      <c r="C2120" s="11" t="s">
        <v>97</v>
      </c>
      <c r="D2120" s="11" t="s">
        <v>3418</v>
      </c>
      <c r="E2120" s="11"/>
      <c r="F2120" s="11" t="s">
        <v>3412</v>
      </c>
      <c r="G2120" s="11" t="s">
        <v>13</v>
      </c>
      <c r="H2120" s="19" t="str">
        <f>IFERROR(VLOOKUP(Table2[[#This Row], [Ticket]],Okey!A:B,2,0),"")</f>
        <v/>
      </c>
      <c r="I2120" s="11" t="s">
        <v>276</v>
      </c>
      <c r="J2120" s="19" t="e">
        <f>VLOOKUP(Table2[[#This Row], [Author]],People!A:B,2,0)</f>
        <v>#VALUE!</v>
      </c>
      <c r="K2120" s="11" t="s">
        <v>3297</v>
      </c>
      <c r="L2120" s="11"/>
      <c r="M2120" s="20" t="s">
        <v>277</v>
      </c>
    </row>
    <row r="2121" spans="1:13" ht="19.5" customHeight="1">
      <c r="A2121" s="21">
        <f t="shared" si="33"/>
        <v>2120</v>
      </c>
      <c r="B2121" s="13" t="s">
        <v>3295</v>
      </c>
      <c r="C2121" s="13" t="s">
        <v>97</v>
      </c>
      <c r="D2121" s="13" t="s">
        <v>3419</v>
      </c>
      <c r="E2121" s="13"/>
      <c r="F2121" s="13" t="s">
        <v>3412</v>
      </c>
      <c r="G2121" s="13" t="s">
        <v>13</v>
      </c>
      <c r="H2121" s="22" t="str">
        <f>IFERROR(VLOOKUP(Table2[[#This Row], [Ticket]],Okey!A:B,2,0),"")</f>
        <v/>
      </c>
      <c r="I2121" s="13" t="s">
        <v>276</v>
      </c>
      <c r="J2121" s="22" t="e">
        <f>VLOOKUP(Table2[[#This Row], [Author]],People!A:B,2,0)</f>
        <v>#VALUE!</v>
      </c>
      <c r="K2121" s="13" t="s">
        <v>3297</v>
      </c>
      <c r="L2121" s="13"/>
      <c r="M2121" s="23" t="s">
        <v>277</v>
      </c>
    </row>
    <row r="2122" spans="1:13" ht="19.5" customHeight="1">
      <c r="A2122" s="18">
        <f t="shared" si="33"/>
        <v>2121</v>
      </c>
      <c r="B2122" s="11" t="s">
        <v>3295</v>
      </c>
      <c r="C2122" s="11" t="s">
        <v>97</v>
      </c>
      <c r="D2122" s="11" t="s">
        <v>3420</v>
      </c>
      <c r="E2122" s="11"/>
      <c r="F2122" s="11" t="s">
        <v>3412</v>
      </c>
      <c r="G2122" s="11" t="s">
        <v>13</v>
      </c>
      <c r="H2122" s="19" t="str">
        <f>IFERROR(VLOOKUP(Table2[[#This Row], [Ticket]],Okey!A:B,2,0),"")</f>
        <v/>
      </c>
      <c r="I2122" s="11" t="s">
        <v>276</v>
      </c>
      <c r="J2122" s="19" t="e">
        <f>VLOOKUP(Table2[[#This Row], [Author]],People!A:B,2,0)</f>
        <v>#VALUE!</v>
      </c>
      <c r="K2122" s="11" t="s">
        <v>3297</v>
      </c>
      <c r="L2122" s="11"/>
      <c r="M2122" s="20" t="s">
        <v>277</v>
      </c>
    </row>
    <row r="2123" spans="1:13" ht="19.5" customHeight="1">
      <c r="A2123" s="21">
        <f t="shared" si="33"/>
        <v>2122</v>
      </c>
      <c r="B2123" s="13" t="s">
        <v>3295</v>
      </c>
      <c r="C2123" s="13" t="s">
        <v>97</v>
      </c>
      <c r="D2123" s="13" t="s">
        <v>3401</v>
      </c>
      <c r="E2123" s="13"/>
      <c r="F2123" s="13" t="s">
        <v>3389</v>
      </c>
      <c r="G2123" s="13" t="s">
        <v>13</v>
      </c>
      <c r="H2123" s="22" t="str">
        <f>IFERROR(VLOOKUP(Table2[[#This Row], [Ticket]],Okey!A:B,2,0),"")</f>
        <v/>
      </c>
      <c r="I2123" s="13" t="s">
        <v>276</v>
      </c>
      <c r="J2123" s="22" t="e">
        <f>VLOOKUP(Table2[[#This Row], [Author]],People!A:B,2,0)</f>
        <v>#VALUE!</v>
      </c>
      <c r="K2123" s="13" t="s">
        <v>3297</v>
      </c>
      <c r="L2123" s="13"/>
      <c r="M2123" s="23" t="s">
        <v>277</v>
      </c>
    </row>
    <row r="2124" spans="1:13" ht="19.5" customHeight="1">
      <c r="A2124" s="18">
        <f t="shared" si="33"/>
        <v>2123</v>
      </c>
      <c r="B2124" s="11" t="s">
        <v>3295</v>
      </c>
      <c r="C2124" s="11" t="s">
        <v>97</v>
      </c>
      <c r="D2124" s="11" t="s">
        <v>3435</v>
      </c>
      <c r="E2124" s="11"/>
      <c r="F2124" s="11" t="s">
        <v>3429</v>
      </c>
      <c r="G2124" s="11" t="s">
        <v>13</v>
      </c>
      <c r="H2124" s="19" t="str">
        <f>IFERROR(VLOOKUP(Table2[[#This Row], [Ticket]],Okey!A:B,2,0),"")</f>
        <v/>
      </c>
      <c r="I2124" s="11" t="s">
        <v>276</v>
      </c>
      <c r="J2124" s="19" t="e">
        <f>VLOOKUP(Table2[[#This Row], [Author]],People!A:B,2,0)</f>
        <v>#VALUE!</v>
      </c>
      <c r="K2124" s="11" t="s">
        <v>3297</v>
      </c>
      <c r="L2124" s="11"/>
      <c r="M2124" s="20" t="s">
        <v>277</v>
      </c>
    </row>
    <row r="2125" spans="1:13" ht="19.5" customHeight="1">
      <c r="A2125" s="21">
        <f t="shared" si="33"/>
        <v>2124</v>
      </c>
      <c r="B2125" s="13" t="s">
        <v>3295</v>
      </c>
      <c r="C2125" s="13" t="s">
        <v>97</v>
      </c>
      <c r="D2125" s="13" t="s">
        <v>3422</v>
      </c>
      <c r="E2125" s="13"/>
      <c r="F2125" s="13" t="s">
        <v>3421</v>
      </c>
      <c r="G2125" s="13" t="s">
        <v>13</v>
      </c>
      <c r="H2125" s="22" t="str">
        <f>IFERROR(VLOOKUP(Table2[[#This Row], [Ticket]],Okey!A:B,2,0),"")</f>
        <v/>
      </c>
      <c r="I2125" s="13" t="s">
        <v>276</v>
      </c>
      <c r="J2125" s="22" t="e">
        <f>VLOOKUP(Table2[[#This Row], [Author]],People!A:B,2,0)</f>
        <v>#VALUE!</v>
      </c>
      <c r="K2125" s="13" t="s">
        <v>3297</v>
      </c>
      <c r="L2125" s="13"/>
      <c r="M2125" s="23" t="s">
        <v>277</v>
      </c>
    </row>
    <row r="2126" spans="1:13" ht="19.5" customHeight="1">
      <c r="A2126" s="18">
        <f t="shared" si="33"/>
        <v>2125</v>
      </c>
      <c r="B2126" s="11" t="s">
        <v>3295</v>
      </c>
      <c r="C2126" s="11" t="s">
        <v>97</v>
      </c>
      <c r="D2126" s="11" t="s">
        <v>3423</v>
      </c>
      <c r="E2126" s="11"/>
      <c r="F2126" s="11" t="s">
        <v>3421</v>
      </c>
      <c r="G2126" s="11" t="s">
        <v>13</v>
      </c>
      <c r="H2126" s="19" t="str">
        <f>IFERROR(VLOOKUP(Table2[[#This Row], [Ticket]],Okey!A:B,2,0),"")</f>
        <v/>
      </c>
      <c r="I2126" s="11" t="s">
        <v>276</v>
      </c>
      <c r="J2126" s="19" t="e">
        <f>VLOOKUP(Table2[[#This Row], [Author]],People!A:B,2,0)</f>
        <v>#VALUE!</v>
      </c>
      <c r="K2126" s="11" t="s">
        <v>3297</v>
      </c>
      <c r="L2126" s="11"/>
      <c r="M2126" s="20" t="s">
        <v>277</v>
      </c>
    </row>
    <row r="2127" spans="1:13" ht="19.5" customHeight="1">
      <c r="A2127" s="21">
        <f t="shared" si="33"/>
        <v>2126</v>
      </c>
      <c r="B2127" s="13" t="s">
        <v>3295</v>
      </c>
      <c r="C2127" s="13" t="s">
        <v>97</v>
      </c>
      <c r="D2127" s="13" t="s">
        <v>3424</v>
      </c>
      <c r="E2127" s="13"/>
      <c r="F2127" s="13" t="s">
        <v>3421</v>
      </c>
      <c r="G2127" s="13" t="s">
        <v>13</v>
      </c>
      <c r="H2127" s="22" t="str">
        <f>IFERROR(VLOOKUP(Table2[[#This Row], [Ticket]],Okey!A:B,2,0),"")</f>
        <v/>
      </c>
      <c r="I2127" s="13" t="s">
        <v>276</v>
      </c>
      <c r="J2127" s="22" t="e">
        <f>VLOOKUP(Table2[[#This Row], [Author]],People!A:B,2,0)</f>
        <v>#VALUE!</v>
      </c>
      <c r="K2127" s="13" t="s">
        <v>3297</v>
      </c>
      <c r="L2127" s="13"/>
      <c r="M2127" s="23" t="s">
        <v>277</v>
      </c>
    </row>
    <row r="2128" spans="1:13" ht="19.5" customHeight="1">
      <c r="A2128" s="18">
        <f t="shared" si="33"/>
        <v>2127</v>
      </c>
      <c r="B2128" s="11" t="s">
        <v>3295</v>
      </c>
      <c r="C2128" s="11" t="s">
        <v>97</v>
      </c>
      <c r="D2128" s="11" t="s">
        <v>3425</v>
      </c>
      <c r="E2128" s="11"/>
      <c r="F2128" s="11" t="s">
        <v>3421</v>
      </c>
      <c r="G2128" s="11" t="s">
        <v>13</v>
      </c>
      <c r="H2128" s="19" t="str">
        <f>IFERROR(VLOOKUP(Table2[[#This Row], [Ticket]],Okey!A:B,2,0),"")</f>
        <v/>
      </c>
      <c r="I2128" s="11" t="s">
        <v>276</v>
      </c>
      <c r="J2128" s="19" t="e">
        <f>VLOOKUP(Table2[[#This Row], [Author]],People!A:B,2,0)</f>
        <v>#VALUE!</v>
      </c>
      <c r="K2128" s="11" t="s">
        <v>3297</v>
      </c>
      <c r="L2128" s="11"/>
      <c r="M2128" s="20" t="s">
        <v>277</v>
      </c>
    </row>
    <row r="2129" spans="1:13" ht="19.5" customHeight="1">
      <c r="A2129" s="21">
        <f t="shared" si="33"/>
        <v>2128</v>
      </c>
      <c r="B2129" s="13" t="s">
        <v>3295</v>
      </c>
      <c r="C2129" s="13" t="s">
        <v>97</v>
      </c>
      <c r="D2129" s="13" t="s">
        <v>3426</v>
      </c>
      <c r="E2129" s="13"/>
      <c r="F2129" s="13" t="s">
        <v>3421</v>
      </c>
      <c r="G2129" s="13" t="s">
        <v>13</v>
      </c>
      <c r="H2129" s="22" t="str">
        <f>IFERROR(VLOOKUP(Table2[[#This Row], [Ticket]],Okey!A:B,2,0),"")</f>
        <v/>
      </c>
      <c r="I2129" s="13" t="s">
        <v>276</v>
      </c>
      <c r="J2129" s="22" t="e">
        <f>VLOOKUP(Table2[[#This Row], [Author]],People!A:B,2,0)</f>
        <v>#VALUE!</v>
      </c>
      <c r="K2129" s="13" t="s">
        <v>3297</v>
      </c>
      <c r="L2129" s="13"/>
      <c r="M2129" s="23" t="s">
        <v>277</v>
      </c>
    </row>
    <row r="2130" spans="1:13" ht="19.5" customHeight="1">
      <c r="A2130" s="18">
        <f t="shared" si="33"/>
        <v>2129</v>
      </c>
      <c r="B2130" s="11" t="s">
        <v>3295</v>
      </c>
      <c r="C2130" s="11" t="s">
        <v>97</v>
      </c>
      <c r="D2130" s="11" t="s">
        <v>3427</v>
      </c>
      <c r="E2130" s="11"/>
      <c r="F2130" s="11" t="s">
        <v>3421</v>
      </c>
      <c r="G2130" s="11" t="s">
        <v>13</v>
      </c>
      <c r="H2130" s="19" t="str">
        <f>IFERROR(VLOOKUP(Table2[[#This Row], [Ticket]],Okey!A:B,2,0),"")</f>
        <v/>
      </c>
      <c r="I2130" s="11" t="s">
        <v>276</v>
      </c>
      <c r="J2130" s="19" t="e">
        <f>VLOOKUP(Table2[[#This Row], [Author]],People!A:B,2,0)</f>
        <v>#VALUE!</v>
      </c>
      <c r="K2130" s="11" t="s">
        <v>3297</v>
      </c>
      <c r="L2130" s="11"/>
      <c r="M2130" s="20" t="s">
        <v>277</v>
      </c>
    </row>
    <row r="2131" spans="1:13" ht="19.5" customHeight="1">
      <c r="A2131" s="21">
        <f t="shared" si="33"/>
        <v>2130</v>
      </c>
      <c r="B2131" s="13" t="s">
        <v>3295</v>
      </c>
      <c r="C2131" s="13" t="s">
        <v>97</v>
      </c>
      <c r="D2131" s="13" t="s">
        <v>3428</v>
      </c>
      <c r="E2131" s="13"/>
      <c r="F2131" s="13" t="s">
        <v>3421</v>
      </c>
      <c r="G2131" s="13" t="s">
        <v>13</v>
      </c>
      <c r="H2131" s="22" t="str">
        <f>IFERROR(VLOOKUP(Table2[[#This Row], [Ticket]],Okey!A:B,2,0),"")</f>
        <v/>
      </c>
      <c r="I2131" s="13" t="s">
        <v>276</v>
      </c>
      <c r="J2131" s="22" t="e">
        <f>VLOOKUP(Table2[[#This Row], [Author]],People!A:B,2,0)</f>
        <v>#VALUE!</v>
      </c>
      <c r="K2131" s="13" t="s">
        <v>3297</v>
      </c>
      <c r="L2131" s="13"/>
      <c r="M2131" s="23" t="s">
        <v>277</v>
      </c>
    </row>
    <row r="2132" spans="1:13" ht="19.5" customHeight="1">
      <c r="A2132" s="18">
        <f t="shared" si="33"/>
        <v>2131</v>
      </c>
      <c r="B2132" s="11" t="s">
        <v>3295</v>
      </c>
      <c r="C2132" s="11" t="s">
        <v>97</v>
      </c>
      <c r="D2132" s="11" t="s">
        <v>3448</v>
      </c>
      <c r="E2132" s="11"/>
      <c r="F2132" s="11" t="s">
        <v>3446</v>
      </c>
      <c r="G2132" s="11" t="s">
        <v>13</v>
      </c>
      <c r="H2132" s="19" t="str">
        <f>IFERROR(VLOOKUP(Table2[[#This Row], [Ticket]],Okey!A:B,2,0),"")</f>
        <v/>
      </c>
      <c r="I2132" s="11" t="s">
        <v>276</v>
      </c>
      <c r="J2132" s="19" t="e">
        <f>VLOOKUP(Table2[[#This Row], [Author]],People!A:B,2,0)</f>
        <v>#VALUE!</v>
      </c>
      <c r="K2132" s="11" t="s">
        <v>3297</v>
      </c>
      <c r="L2132" s="11"/>
      <c r="M2132" s="20" t="s">
        <v>277</v>
      </c>
    </row>
    <row r="2133" spans="1:13" ht="19.5" customHeight="1">
      <c r="A2133" s="21">
        <f t="shared" si="33"/>
        <v>2132</v>
      </c>
      <c r="B2133" s="13" t="s">
        <v>3295</v>
      </c>
      <c r="C2133" s="13" t="s">
        <v>97</v>
      </c>
      <c r="D2133" s="13" t="s">
        <v>3449</v>
      </c>
      <c r="E2133" s="13"/>
      <c r="F2133" s="13" t="s">
        <v>3446</v>
      </c>
      <c r="G2133" s="13" t="s">
        <v>13</v>
      </c>
      <c r="H2133" s="22" t="str">
        <f>IFERROR(VLOOKUP(Table2[[#This Row], [Ticket]],Okey!A:B,2,0),"")</f>
        <v/>
      </c>
      <c r="I2133" s="13" t="s">
        <v>276</v>
      </c>
      <c r="J2133" s="22" t="e">
        <f>VLOOKUP(Table2[[#This Row], [Author]],People!A:B,2,0)</f>
        <v>#VALUE!</v>
      </c>
      <c r="K2133" s="13" t="s">
        <v>3297</v>
      </c>
      <c r="L2133" s="13"/>
      <c r="M2133" s="23" t="s">
        <v>277</v>
      </c>
    </row>
    <row r="2134" spans="1:13" ht="19.5" customHeight="1">
      <c r="A2134" s="18">
        <f t="shared" si="33"/>
        <v>2133</v>
      </c>
      <c r="B2134" s="11" t="s">
        <v>3295</v>
      </c>
      <c r="C2134" s="11" t="s">
        <v>97</v>
      </c>
      <c r="D2134" s="11" t="s">
        <v>3450</v>
      </c>
      <c r="E2134" s="11"/>
      <c r="F2134" s="11" t="s">
        <v>3446</v>
      </c>
      <c r="G2134" s="11" t="s">
        <v>13</v>
      </c>
      <c r="H2134" s="19" t="str">
        <f>IFERROR(VLOOKUP(Table2[[#This Row], [Ticket]],Okey!A:B,2,0),"")</f>
        <v/>
      </c>
      <c r="I2134" s="11" t="s">
        <v>276</v>
      </c>
      <c r="J2134" s="19" t="e">
        <f>VLOOKUP(Table2[[#This Row], [Author]],People!A:B,2,0)</f>
        <v>#VALUE!</v>
      </c>
      <c r="K2134" s="11" t="s">
        <v>3297</v>
      </c>
      <c r="L2134" s="11"/>
      <c r="M2134" s="20" t="s">
        <v>277</v>
      </c>
    </row>
    <row r="2135" spans="1:13" ht="19.5" customHeight="1">
      <c r="A2135" s="21">
        <f t="shared" si="33"/>
        <v>2134</v>
      </c>
      <c r="B2135" s="13" t="s">
        <v>3295</v>
      </c>
      <c r="C2135" s="13" t="s">
        <v>97</v>
      </c>
      <c r="D2135" s="13" t="s">
        <v>3451</v>
      </c>
      <c r="E2135" s="13"/>
      <c r="F2135" s="13" t="s">
        <v>3446</v>
      </c>
      <c r="G2135" s="13" t="s">
        <v>13</v>
      </c>
      <c r="H2135" s="22" t="str">
        <f>IFERROR(VLOOKUP(Table2[[#This Row], [Ticket]],Okey!A:B,2,0),"")</f>
        <v/>
      </c>
      <c r="I2135" s="13" t="s">
        <v>276</v>
      </c>
      <c r="J2135" s="22" t="e">
        <f>VLOOKUP(Table2[[#This Row], [Author]],People!A:B,2,0)</f>
        <v>#VALUE!</v>
      </c>
      <c r="K2135" s="13" t="s">
        <v>3297</v>
      </c>
      <c r="L2135" s="13"/>
      <c r="M2135" s="23" t="s">
        <v>277</v>
      </c>
    </row>
    <row r="2136" spans="1:13" ht="19.5" customHeight="1">
      <c r="A2136" s="18">
        <f t="shared" si="33"/>
        <v>2135</v>
      </c>
      <c r="B2136" s="11" t="s">
        <v>3295</v>
      </c>
      <c r="C2136" s="11" t="s">
        <v>97</v>
      </c>
      <c r="D2136" s="11" t="s">
        <v>3452</v>
      </c>
      <c r="E2136" s="11"/>
      <c r="F2136" s="11" t="s">
        <v>3446</v>
      </c>
      <c r="G2136" s="11" t="s">
        <v>13</v>
      </c>
      <c r="H2136" s="19" t="str">
        <f>IFERROR(VLOOKUP(Table2[[#This Row], [Ticket]],Okey!A:B,2,0),"")</f>
        <v/>
      </c>
      <c r="I2136" s="11" t="s">
        <v>276</v>
      </c>
      <c r="J2136" s="19" t="e">
        <f>VLOOKUP(Table2[[#This Row], [Author]],People!A:B,2,0)</f>
        <v>#VALUE!</v>
      </c>
      <c r="K2136" s="11" t="s">
        <v>3297</v>
      </c>
      <c r="L2136" s="11"/>
      <c r="M2136" s="20" t="s">
        <v>277</v>
      </c>
    </row>
    <row r="2137" spans="1:13" ht="19.5" customHeight="1">
      <c r="A2137" s="21">
        <f t="shared" si="33"/>
        <v>2136</v>
      </c>
      <c r="B2137" s="13" t="s">
        <v>3295</v>
      </c>
      <c r="C2137" s="13" t="s">
        <v>97</v>
      </c>
      <c r="D2137" s="13" t="s">
        <v>3453</v>
      </c>
      <c r="E2137" s="13"/>
      <c r="F2137" s="13" t="s">
        <v>3446</v>
      </c>
      <c r="G2137" s="13" t="s">
        <v>13</v>
      </c>
      <c r="H2137" s="22" t="str">
        <f>IFERROR(VLOOKUP(Table2[[#This Row], [Ticket]],Okey!A:B,2,0),"")</f>
        <v/>
      </c>
      <c r="I2137" s="13" t="s">
        <v>276</v>
      </c>
      <c r="J2137" s="22" t="e">
        <f>VLOOKUP(Table2[[#This Row], [Author]],People!A:B,2,0)</f>
        <v>#VALUE!</v>
      </c>
      <c r="K2137" s="13" t="s">
        <v>3297</v>
      </c>
      <c r="L2137" s="13"/>
      <c r="M2137" s="23" t="s">
        <v>277</v>
      </c>
    </row>
    <row r="2138" spans="1:13" ht="19.5" customHeight="1">
      <c r="A2138" s="18">
        <f t="shared" si="33"/>
        <v>2137</v>
      </c>
      <c r="B2138" s="11" t="s">
        <v>3295</v>
      </c>
      <c r="C2138" s="11" t="s">
        <v>97</v>
      </c>
      <c r="D2138" s="11" t="s">
        <v>3455</v>
      </c>
      <c r="E2138" s="11"/>
      <c r="F2138" s="11" t="s">
        <v>3454</v>
      </c>
      <c r="G2138" s="11" t="s">
        <v>13</v>
      </c>
      <c r="H2138" s="19" t="str">
        <f>IFERROR(VLOOKUP(Table2[[#This Row], [Ticket]],Okey!A:B,2,0),"")</f>
        <v/>
      </c>
      <c r="I2138" s="11" t="s">
        <v>276</v>
      </c>
      <c r="J2138" s="19" t="e">
        <f>VLOOKUP(Table2[[#This Row], [Author]],People!A:B,2,0)</f>
        <v>#VALUE!</v>
      </c>
      <c r="K2138" s="11" t="s">
        <v>3297</v>
      </c>
      <c r="L2138" s="11"/>
      <c r="M2138" s="20" t="s">
        <v>277</v>
      </c>
    </row>
    <row r="2139" spans="1:13" ht="19.5" customHeight="1">
      <c r="A2139" s="21">
        <f t="shared" si="33"/>
        <v>2138</v>
      </c>
      <c r="B2139" s="13" t="s">
        <v>3295</v>
      </c>
      <c r="C2139" s="13" t="s">
        <v>97</v>
      </c>
      <c r="D2139" s="13" t="s">
        <v>3456</v>
      </c>
      <c r="E2139" s="13"/>
      <c r="F2139" s="13" t="s">
        <v>3454</v>
      </c>
      <c r="G2139" s="13" t="s">
        <v>13</v>
      </c>
      <c r="H2139" s="22" t="str">
        <f>IFERROR(VLOOKUP(Table2[[#This Row], [Ticket]],Okey!A:B,2,0),"")</f>
        <v/>
      </c>
      <c r="I2139" s="13" t="s">
        <v>276</v>
      </c>
      <c r="J2139" s="22" t="e">
        <f>VLOOKUP(Table2[[#This Row], [Author]],People!A:B,2,0)</f>
        <v>#VALUE!</v>
      </c>
      <c r="K2139" s="13" t="s">
        <v>3297</v>
      </c>
      <c r="L2139" s="13"/>
      <c r="M2139" s="23" t="s">
        <v>277</v>
      </c>
    </row>
    <row r="2140" spans="1:13" ht="19.5" customHeight="1">
      <c r="A2140" s="18">
        <f t="shared" si="33"/>
        <v>2139</v>
      </c>
      <c r="B2140" s="11" t="s">
        <v>3295</v>
      </c>
      <c r="C2140" s="11" t="s">
        <v>97</v>
      </c>
      <c r="D2140" s="11" t="s">
        <v>3457</v>
      </c>
      <c r="E2140" s="11"/>
      <c r="F2140" s="11" t="s">
        <v>3454</v>
      </c>
      <c r="G2140" s="11" t="s">
        <v>13</v>
      </c>
      <c r="H2140" s="19" t="str">
        <f>IFERROR(VLOOKUP(Table2[[#This Row], [Ticket]],Okey!A:B,2,0),"")</f>
        <v/>
      </c>
      <c r="I2140" s="11" t="s">
        <v>276</v>
      </c>
      <c r="J2140" s="19" t="e">
        <f>VLOOKUP(Table2[[#This Row], [Author]],People!A:B,2,0)</f>
        <v>#VALUE!</v>
      </c>
      <c r="K2140" s="11" t="s">
        <v>3297</v>
      </c>
      <c r="L2140" s="11"/>
      <c r="M2140" s="20" t="s">
        <v>277</v>
      </c>
    </row>
    <row r="2141" spans="1:13" ht="19.5" customHeight="1">
      <c r="A2141" s="21">
        <f t="shared" si="33"/>
        <v>2140</v>
      </c>
      <c r="B2141" s="13" t="s">
        <v>3295</v>
      </c>
      <c r="C2141" s="13" t="s">
        <v>74</v>
      </c>
      <c r="D2141" s="13" t="s">
        <v>3643</v>
      </c>
      <c r="E2141" s="13" t="s">
        <v>3644</v>
      </c>
      <c r="F2141" s="13" t="s">
        <v>3645</v>
      </c>
      <c r="G2141" s="13" t="s">
        <v>14</v>
      </c>
      <c r="H2141" s="22" t="str">
        <f>IFERROR(VLOOKUP(Table2[[#This Row], [Ticket]],Okey!A:B,2,0),"")</f>
        <v/>
      </c>
      <c r="I2141" s="13" t="s">
        <v>276</v>
      </c>
      <c r="J2141" s="22" t="e">
        <f>VLOOKUP(Table2[[#This Row], [Author]],People!A:B,2,0)</f>
        <v>#VALUE!</v>
      </c>
      <c r="K2141" s="13" t="s">
        <v>3297</v>
      </c>
      <c r="L2141" s="13"/>
      <c r="M2141" s="23" t="s">
        <v>3325</v>
      </c>
    </row>
    <row r="2142" spans="1:13" ht="19.5" customHeight="1">
      <c r="A2142" s="18">
        <f t="shared" si="33"/>
        <v>2141</v>
      </c>
      <c r="B2142" s="11" t="s">
        <v>3295</v>
      </c>
      <c r="C2142" s="11" t="s">
        <v>74</v>
      </c>
      <c r="D2142" s="11" t="s">
        <v>3646</v>
      </c>
      <c r="E2142" s="11" t="s">
        <v>3647</v>
      </c>
      <c r="F2142" s="11" t="s">
        <v>3648</v>
      </c>
      <c r="G2142" s="11" t="s">
        <v>14</v>
      </c>
      <c r="H2142" s="19" t="str">
        <f>IFERROR(VLOOKUP(Table2[[#This Row], [Ticket]],Okey!A:B,2,0),"")</f>
        <v/>
      </c>
      <c r="I2142" s="11" t="s">
        <v>276</v>
      </c>
      <c r="J2142" s="19" t="e">
        <f>VLOOKUP(Table2[[#This Row], [Author]],People!A:B,2,0)</f>
        <v>#VALUE!</v>
      </c>
      <c r="K2142" s="11" t="s">
        <v>3297</v>
      </c>
      <c r="L2142" s="11"/>
      <c r="M2142" s="20" t="s">
        <v>3325</v>
      </c>
    </row>
    <row r="2143" spans="1:13" ht="19.5" customHeight="1">
      <c r="A2143" s="21">
        <f t="shared" si="33"/>
        <v>2142</v>
      </c>
      <c r="B2143" s="13" t="s">
        <v>3295</v>
      </c>
      <c r="C2143" s="13" t="s">
        <v>74</v>
      </c>
      <c r="D2143" s="13" t="s">
        <v>3649</v>
      </c>
      <c r="E2143" s="13" t="s">
        <v>3650</v>
      </c>
      <c r="F2143" s="13" t="s">
        <v>3648</v>
      </c>
      <c r="G2143" s="13" t="s">
        <v>14</v>
      </c>
      <c r="H2143" s="22" t="str">
        <f>IFERROR(VLOOKUP(Table2[[#This Row], [Ticket]],Okey!A:B,2,0),"")</f>
        <v/>
      </c>
      <c r="I2143" s="13" t="s">
        <v>276</v>
      </c>
      <c r="J2143" s="22" t="e">
        <f>VLOOKUP(Table2[[#This Row], [Author]],People!A:B,2,0)</f>
        <v>#VALUE!</v>
      </c>
      <c r="K2143" s="13" t="s">
        <v>3297</v>
      </c>
      <c r="L2143" s="13"/>
      <c r="M2143" s="23" t="s">
        <v>3325</v>
      </c>
    </row>
    <row r="2144" spans="1:13" ht="19.5" customHeight="1">
      <c r="A2144" s="18">
        <f t="shared" si="33"/>
        <v>2143</v>
      </c>
      <c r="B2144" s="11" t="s">
        <v>3295</v>
      </c>
      <c r="C2144" s="11" t="s">
        <v>74</v>
      </c>
      <c r="D2144" s="11" t="s">
        <v>3651</v>
      </c>
      <c r="E2144" s="11" t="s">
        <v>3652</v>
      </c>
      <c r="F2144" s="11" t="s">
        <v>3648</v>
      </c>
      <c r="G2144" s="11" t="s">
        <v>14</v>
      </c>
      <c r="H2144" s="19" t="str">
        <f>IFERROR(VLOOKUP(Table2[[#This Row], [Ticket]],Okey!A:B,2,0),"")</f>
        <v/>
      </c>
      <c r="I2144" s="11" t="s">
        <v>276</v>
      </c>
      <c r="J2144" s="19" t="e">
        <f>VLOOKUP(Table2[[#This Row], [Author]],People!A:B,2,0)</f>
        <v>#VALUE!</v>
      </c>
      <c r="K2144" s="11" t="s">
        <v>3297</v>
      </c>
      <c r="L2144" s="11"/>
      <c r="M2144" s="20" t="s">
        <v>3325</v>
      </c>
    </row>
    <row r="2145" spans="1:13" ht="19.5" customHeight="1">
      <c r="A2145" s="21">
        <f t="shared" si="33"/>
        <v>2144</v>
      </c>
      <c r="B2145" s="13" t="s">
        <v>3295</v>
      </c>
      <c r="C2145" s="13" t="s">
        <v>74</v>
      </c>
      <c r="D2145" s="13" t="s">
        <v>3653</v>
      </c>
      <c r="E2145" s="13" t="s">
        <v>3654</v>
      </c>
      <c r="F2145" s="13" t="s">
        <v>3655</v>
      </c>
      <c r="G2145" s="13" t="s">
        <v>14</v>
      </c>
      <c r="H2145" s="22" t="str">
        <f>IFERROR(VLOOKUP(Table2[[#This Row], [Ticket]],Okey!A:B,2,0),"")</f>
        <v/>
      </c>
      <c r="I2145" s="13" t="s">
        <v>276</v>
      </c>
      <c r="J2145" s="22" t="e">
        <f>VLOOKUP(Table2[[#This Row], [Author]],People!A:B,2,0)</f>
        <v>#VALUE!</v>
      </c>
      <c r="K2145" s="13" t="s">
        <v>3297</v>
      </c>
      <c r="L2145" s="13"/>
      <c r="M2145" s="23" t="s">
        <v>3325</v>
      </c>
    </row>
    <row r="2146" spans="1:13" ht="19.5" customHeight="1">
      <c r="A2146" s="18">
        <f t="shared" si="33"/>
        <v>2145</v>
      </c>
      <c r="B2146" s="11" t="s">
        <v>3295</v>
      </c>
      <c r="C2146" s="11" t="s">
        <v>74</v>
      </c>
      <c r="D2146" s="11" t="s">
        <v>3656</v>
      </c>
      <c r="E2146" s="11" t="s">
        <v>3657</v>
      </c>
      <c r="F2146" s="11" t="s">
        <v>3655</v>
      </c>
      <c r="G2146" s="11" t="s">
        <v>14</v>
      </c>
      <c r="H2146" s="19" t="str">
        <f>IFERROR(VLOOKUP(Table2[[#This Row], [Ticket]],Okey!A:B,2,0),"")</f>
        <v/>
      </c>
      <c r="I2146" s="11" t="s">
        <v>276</v>
      </c>
      <c r="J2146" s="19" t="e">
        <f>VLOOKUP(Table2[[#This Row], [Author]],People!A:B,2,0)</f>
        <v>#VALUE!</v>
      </c>
      <c r="K2146" s="11" t="s">
        <v>3297</v>
      </c>
      <c r="L2146" s="11"/>
      <c r="M2146" s="20" t="s">
        <v>3325</v>
      </c>
    </row>
    <row r="2147" spans="1:13" ht="19.5" customHeight="1">
      <c r="A2147" s="21">
        <f t="shared" si="33"/>
        <v>2146</v>
      </c>
      <c r="B2147" s="13" t="s">
        <v>3295</v>
      </c>
      <c r="C2147" s="13" t="s">
        <v>74</v>
      </c>
      <c r="D2147" s="13" t="s">
        <v>3658</v>
      </c>
      <c r="E2147" s="13" t="s">
        <v>3659</v>
      </c>
      <c r="F2147" s="13" t="s">
        <v>3660</v>
      </c>
      <c r="G2147" s="13" t="s">
        <v>14</v>
      </c>
      <c r="H2147" s="22" t="str">
        <f>IFERROR(VLOOKUP(Table2[[#This Row], [Ticket]],Okey!A:B,2,0),"")</f>
        <v/>
      </c>
      <c r="I2147" s="13" t="s">
        <v>276</v>
      </c>
      <c r="J2147" s="22" t="e">
        <f>VLOOKUP(Table2[[#This Row], [Author]],People!A:B,2,0)</f>
        <v>#VALUE!</v>
      </c>
      <c r="K2147" s="13" t="s">
        <v>3297</v>
      </c>
      <c r="L2147" s="13"/>
      <c r="M2147" s="23" t="s">
        <v>3325</v>
      </c>
    </row>
    <row r="2148" spans="1:13" ht="19.5" customHeight="1">
      <c r="A2148" s="18">
        <f t="shared" si="33"/>
        <v>2147</v>
      </c>
      <c r="B2148" s="11" t="s">
        <v>3295</v>
      </c>
      <c r="C2148" s="11" t="s">
        <v>74</v>
      </c>
      <c r="D2148" s="11" t="s">
        <v>3661</v>
      </c>
      <c r="E2148" s="11" t="s">
        <v>3662</v>
      </c>
      <c r="F2148" s="11" t="s">
        <v>3660</v>
      </c>
      <c r="G2148" s="11" t="s">
        <v>14</v>
      </c>
      <c r="H2148" s="19" t="str">
        <f>IFERROR(VLOOKUP(Table2[[#This Row], [Ticket]],Okey!A:B,2,0),"")</f>
        <v/>
      </c>
      <c r="I2148" s="11" t="s">
        <v>276</v>
      </c>
      <c r="J2148" s="19" t="e">
        <f>VLOOKUP(Table2[[#This Row], [Author]],People!A:B,2,0)</f>
        <v>#VALUE!</v>
      </c>
      <c r="K2148" s="11" t="s">
        <v>3297</v>
      </c>
      <c r="L2148" s="11"/>
      <c r="M2148" s="20" t="s">
        <v>3325</v>
      </c>
    </row>
    <row r="2149" spans="1:13" ht="19.5" customHeight="1">
      <c r="A2149" s="21">
        <f t="shared" si="33"/>
        <v>2148</v>
      </c>
      <c r="B2149" s="13" t="s">
        <v>3295</v>
      </c>
      <c r="C2149" s="13" t="s">
        <v>74</v>
      </c>
      <c r="D2149" s="13" t="s">
        <v>3663</v>
      </c>
      <c r="E2149" s="13" t="s">
        <v>3664</v>
      </c>
      <c r="F2149" s="13"/>
      <c r="G2149" s="13" t="s">
        <v>15</v>
      </c>
      <c r="H2149" s="22" t="str">
        <f>IFERROR(VLOOKUP(Table2[[#This Row], [Ticket]],Okey!A:B,2,0),"")</f>
        <v/>
      </c>
      <c r="I2149" s="13" t="s">
        <v>276</v>
      </c>
      <c r="J2149" s="22" t="e">
        <f>VLOOKUP(Table2[[#This Row], [Author]],People!A:B,2,0)</f>
        <v>#VALUE!</v>
      </c>
      <c r="K2149" s="13" t="s">
        <v>3297</v>
      </c>
      <c r="L2149" s="13"/>
      <c r="M2149" s="23" t="s">
        <v>3325</v>
      </c>
    </row>
    <row r="2150" spans="1:13" ht="19.5" customHeight="1">
      <c r="A2150" s="18">
        <f t="shared" si="33"/>
        <v>2149</v>
      </c>
      <c r="B2150" s="11" t="s">
        <v>3295</v>
      </c>
      <c r="C2150" s="11" t="s">
        <v>74</v>
      </c>
      <c r="D2150" s="11" t="s">
        <v>3665</v>
      </c>
      <c r="E2150" s="11" t="s">
        <v>3666</v>
      </c>
      <c r="F2150" s="11"/>
      <c r="G2150" s="11" t="s">
        <v>15</v>
      </c>
      <c r="H2150" s="19" t="str">
        <f>IFERROR(VLOOKUP(Table2[[#This Row], [Ticket]],Okey!A:B,2,0),"")</f>
        <v/>
      </c>
      <c r="I2150" s="11" t="s">
        <v>276</v>
      </c>
      <c r="J2150" s="19" t="e">
        <f>VLOOKUP(Table2[[#This Row], [Author]],People!A:B,2,0)</f>
        <v>#VALUE!</v>
      </c>
      <c r="K2150" s="11" t="s">
        <v>3297</v>
      </c>
      <c r="L2150" s="11"/>
      <c r="M2150" s="20" t="s">
        <v>3325</v>
      </c>
    </row>
    <row r="2151" spans="1:13" ht="19.5" customHeight="1">
      <c r="A2151" s="21">
        <f t="shared" si="33"/>
        <v>2150</v>
      </c>
      <c r="B2151" s="13" t="s">
        <v>3295</v>
      </c>
      <c r="C2151" s="13" t="s">
        <v>74</v>
      </c>
      <c r="D2151" s="13" t="s">
        <v>3667</v>
      </c>
      <c r="E2151" s="13" t="s">
        <v>3668</v>
      </c>
      <c r="F2151" s="13"/>
      <c r="G2151" s="13" t="s">
        <v>15</v>
      </c>
      <c r="H2151" s="22" t="str">
        <f>IFERROR(VLOOKUP(Table2[[#This Row], [Ticket]],Okey!A:B,2,0),"")</f>
        <v/>
      </c>
      <c r="I2151" s="13" t="s">
        <v>276</v>
      </c>
      <c r="J2151" s="22" t="e">
        <f>VLOOKUP(Table2[[#This Row], [Author]],People!A:B,2,0)</f>
        <v>#VALUE!</v>
      </c>
      <c r="K2151" s="13" t="s">
        <v>3297</v>
      </c>
      <c r="L2151" s="13"/>
      <c r="M2151" s="23" t="s">
        <v>3325</v>
      </c>
    </row>
    <row r="2152" spans="1:13" ht="19.5" customHeight="1">
      <c r="A2152" s="18">
        <f t="shared" si="33"/>
        <v>2151</v>
      </c>
      <c r="B2152" s="11" t="s">
        <v>3295</v>
      </c>
      <c r="C2152" s="11" t="s">
        <v>74</v>
      </c>
      <c r="D2152" s="11" t="s">
        <v>3669</v>
      </c>
      <c r="E2152" s="11" t="s">
        <v>3670</v>
      </c>
      <c r="F2152" s="11"/>
      <c r="G2152" s="11" t="s">
        <v>15</v>
      </c>
      <c r="H2152" s="19" t="str">
        <f>IFERROR(VLOOKUP(Table2[[#This Row], [Ticket]],Okey!A:B,2,0),"")</f>
        <v/>
      </c>
      <c r="I2152" s="11" t="s">
        <v>276</v>
      </c>
      <c r="J2152" s="19" t="e">
        <f>VLOOKUP(Table2[[#This Row], [Author]],People!A:B,2,0)</f>
        <v>#VALUE!</v>
      </c>
      <c r="K2152" s="11" t="s">
        <v>3297</v>
      </c>
      <c r="L2152" s="11"/>
      <c r="M2152" s="20" t="s">
        <v>3325</v>
      </c>
    </row>
    <row r="2153" spans="1:13" ht="19.5" customHeight="1">
      <c r="A2153" s="21">
        <f t="shared" si="33"/>
        <v>2152</v>
      </c>
      <c r="B2153" s="13" t="s">
        <v>3295</v>
      </c>
      <c r="C2153" s="13" t="s">
        <v>74</v>
      </c>
      <c r="D2153" s="13" t="s">
        <v>3671</v>
      </c>
      <c r="E2153" s="13" t="s">
        <v>3672</v>
      </c>
      <c r="F2153" s="13"/>
      <c r="G2153" s="13" t="s">
        <v>15</v>
      </c>
      <c r="H2153" s="22" t="str">
        <f>IFERROR(VLOOKUP(Table2[[#This Row], [Ticket]],Okey!A:B,2,0),"")</f>
        <v/>
      </c>
      <c r="I2153" s="13" t="s">
        <v>276</v>
      </c>
      <c r="J2153" s="22" t="e">
        <f>VLOOKUP(Table2[[#This Row], [Author]],People!A:B,2,0)</f>
        <v>#VALUE!</v>
      </c>
      <c r="K2153" s="13" t="s">
        <v>3297</v>
      </c>
      <c r="L2153" s="13"/>
      <c r="M2153" s="23" t="s">
        <v>3325</v>
      </c>
    </row>
    <row r="2154" spans="1:13" ht="19.5" customHeight="1">
      <c r="A2154" s="18">
        <f t="shared" si="33"/>
        <v>2153</v>
      </c>
      <c r="B2154" s="11" t="s">
        <v>3295</v>
      </c>
      <c r="C2154" s="11" t="s">
        <v>74</v>
      </c>
      <c r="D2154" s="11" t="s">
        <v>3673</v>
      </c>
      <c r="E2154" s="11" t="s">
        <v>3674</v>
      </c>
      <c r="F2154" s="11"/>
      <c r="G2154" s="11" t="s">
        <v>15</v>
      </c>
      <c r="H2154" s="19" t="str">
        <f>IFERROR(VLOOKUP(Table2[[#This Row], [Ticket]],Okey!A:B,2,0),"")</f>
        <v/>
      </c>
      <c r="I2154" s="11" t="s">
        <v>276</v>
      </c>
      <c r="J2154" s="19" t="e">
        <f>VLOOKUP(Table2[[#This Row], [Author]],People!A:B,2,0)</f>
        <v>#VALUE!</v>
      </c>
      <c r="K2154" s="11" t="s">
        <v>3297</v>
      </c>
      <c r="L2154" s="11"/>
      <c r="M2154" s="20" t="s">
        <v>3325</v>
      </c>
    </row>
    <row r="2155" spans="1:13" ht="19.5" customHeight="1">
      <c r="A2155" s="21">
        <f t="shared" si="33"/>
        <v>2154</v>
      </c>
      <c r="B2155" s="13" t="s">
        <v>3295</v>
      </c>
      <c r="C2155" s="13" t="s">
        <v>74</v>
      </c>
      <c r="D2155" s="13" t="s">
        <v>3675</v>
      </c>
      <c r="E2155" s="13" t="s">
        <v>3676</v>
      </c>
      <c r="F2155" s="13"/>
      <c r="G2155" s="13" t="s">
        <v>15</v>
      </c>
      <c r="H2155" s="22" t="str">
        <f>IFERROR(VLOOKUP(Table2[[#This Row], [Ticket]],Okey!A:B,2,0),"")</f>
        <v/>
      </c>
      <c r="I2155" s="13" t="s">
        <v>276</v>
      </c>
      <c r="J2155" s="22" t="e">
        <f>VLOOKUP(Table2[[#This Row], [Author]],People!A:B,2,0)</f>
        <v>#VALUE!</v>
      </c>
      <c r="K2155" s="13" t="s">
        <v>3297</v>
      </c>
      <c r="L2155" s="13"/>
      <c r="M2155" s="23" t="s">
        <v>3325</v>
      </c>
    </row>
    <row r="2156" spans="1:13" ht="19.5" customHeight="1">
      <c r="A2156" s="18">
        <f t="shared" si="33"/>
        <v>2155</v>
      </c>
      <c r="B2156" s="11" t="s">
        <v>3295</v>
      </c>
      <c r="C2156" s="11" t="s">
        <v>74</v>
      </c>
      <c r="D2156" s="11" t="s">
        <v>3677</v>
      </c>
      <c r="E2156" s="11" t="s">
        <v>3678</v>
      </c>
      <c r="F2156" s="11"/>
      <c r="G2156" s="11" t="s">
        <v>15</v>
      </c>
      <c r="H2156" s="19" t="str">
        <f>IFERROR(VLOOKUP(Table2[[#This Row], [Ticket]],Okey!A:B,2,0),"")</f>
        <v/>
      </c>
      <c r="I2156" s="11" t="s">
        <v>276</v>
      </c>
      <c r="J2156" s="19" t="e">
        <f>VLOOKUP(Table2[[#This Row], [Author]],People!A:B,2,0)</f>
        <v>#VALUE!</v>
      </c>
      <c r="K2156" s="11" t="s">
        <v>3297</v>
      </c>
      <c r="L2156" s="11"/>
      <c r="M2156" s="20" t="s">
        <v>3325</v>
      </c>
    </row>
    <row r="2157" spans="1:13" ht="19.5" customHeight="1">
      <c r="A2157" s="21">
        <f t="shared" si="33"/>
        <v>2156</v>
      </c>
      <c r="B2157" s="13" t="s">
        <v>3295</v>
      </c>
      <c r="C2157" s="13" t="s">
        <v>74</v>
      </c>
      <c r="D2157" s="13" t="s">
        <v>3679</v>
      </c>
      <c r="E2157" s="13" t="s">
        <v>3680</v>
      </c>
      <c r="F2157" s="13"/>
      <c r="G2157" s="13" t="s">
        <v>15</v>
      </c>
      <c r="H2157" s="22" t="str">
        <f>IFERROR(VLOOKUP(Table2[[#This Row], [Ticket]],Okey!A:B,2,0),"")</f>
        <v/>
      </c>
      <c r="I2157" s="13" t="s">
        <v>276</v>
      </c>
      <c r="J2157" s="22" t="e">
        <f>VLOOKUP(Table2[[#This Row], [Author]],People!A:B,2,0)</f>
        <v>#VALUE!</v>
      </c>
      <c r="K2157" s="13" t="s">
        <v>3297</v>
      </c>
      <c r="L2157" s="13"/>
      <c r="M2157" s="23" t="s">
        <v>3325</v>
      </c>
    </row>
    <row r="2158" spans="1:13" ht="19.5" customHeight="1">
      <c r="A2158" s="18">
        <f t="shared" si="33"/>
        <v>2157</v>
      </c>
      <c r="B2158" s="11" t="s">
        <v>3295</v>
      </c>
      <c r="C2158" s="11" t="s">
        <v>74</v>
      </c>
      <c r="D2158" s="11" t="s">
        <v>3681</v>
      </c>
      <c r="E2158" s="11" t="s">
        <v>3682</v>
      </c>
      <c r="F2158" s="11"/>
      <c r="G2158" s="11" t="s">
        <v>15</v>
      </c>
      <c r="H2158" s="19" t="str">
        <f>IFERROR(VLOOKUP(Table2[[#This Row], [Ticket]],Okey!A:B,2,0),"")</f>
        <v/>
      </c>
      <c r="I2158" s="11" t="s">
        <v>276</v>
      </c>
      <c r="J2158" s="19" t="e">
        <f>VLOOKUP(Table2[[#This Row], [Author]],People!A:B,2,0)</f>
        <v>#VALUE!</v>
      </c>
      <c r="K2158" s="11" t="s">
        <v>3297</v>
      </c>
      <c r="L2158" s="11"/>
      <c r="M2158" s="20" t="s">
        <v>3325</v>
      </c>
    </row>
    <row r="2159" spans="1:13" ht="19.5" customHeight="1">
      <c r="A2159" s="21">
        <f t="shared" si="33"/>
        <v>2158</v>
      </c>
      <c r="B2159" s="13" t="s">
        <v>3295</v>
      </c>
      <c r="C2159" s="13" t="s">
        <v>74</v>
      </c>
      <c r="D2159" s="13" t="s">
        <v>3683</v>
      </c>
      <c r="E2159" s="13" t="s">
        <v>3684</v>
      </c>
      <c r="F2159" s="13"/>
      <c r="G2159" s="13" t="s">
        <v>15</v>
      </c>
      <c r="H2159" s="22" t="str">
        <f>IFERROR(VLOOKUP(Table2[[#This Row], [Ticket]],Okey!A:B,2,0),"")</f>
        <v/>
      </c>
      <c r="I2159" s="13" t="s">
        <v>276</v>
      </c>
      <c r="J2159" s="22" t="e">
        <f>VLOOKUP(Table2[[#This Row], [Author]],People!A:B,2,0)</f>
        <v>#VALUE!</v>
      </c>
      <c r="K2159" s="13" t="s">
        <v>3297</v>
      </c>
      <c r="L2159" s="13"/>
      <c r="M2159" s="23" t="s">
        <v>3325</v>
      </c>
    </row>
    <row r="2160" spans="1:13" ht="19.5" customHeight="1">
      <c r="A2160" s="18">
        <f t="shared" si="33"/>
        <v>2159</v>
      </c>
      <c r="B2160" s="11" t="s">
        <v>3295</v>
      </c>
      <c r="C2160" s="11" t="s">
        <v>73</v>
      </c>
      <c r="D2160" s="11" t="s">
        <v>3685</v>
      </c>
      <c r="E2160" s="11" t="s">
        <v>3686</v>
      </c>
      <c r="F2160" s="11" t="s">
        <v>375</v>
      </c>
      <c r="G2160" s="11" t="s">
        <v>14</v>
      </c>
      <c r="H2160" s="19" t="str">
        <f>IFERROR(VLOOKUP(Table2[[#This Row], [Ticket]],Okey!A:B,2,0),"")</f>
        <v/>
      </c>
      <c r="I2160" s="11" t="s">
        <v>276</v>
      </c>
      <c r="J2160" s="19" t="e">
        <f>VLOOKUP(Table2[[#This Row], [Author]],People!A:B,2,0)</f>
        <v>#VALUE!</v>
      </c>
      <c r="K2160" s="11" t="s">
        <v>3297</v>
      </c>
      <c r="L2160" s="11"/>
      <c r="M2160" s="20" t="s">
        <v>677</v>
      </c>
    </row>
    <row r="2161" spans="1:13" ht="19.5" customHeight="1">
      <c r="A2161" s="21">
        <f t="shared" si="33"/>
        <v>2160</v>
      </c>
      <c r="B2161" s="13" t="s">
        <v>3295</v>
      </c>
      <c r="C2161" s="13" t="s">
        <v>73</v>
      </c>
      <c r="D2161" s="13" t="s">
        <v>3687</v>
      </c>
      <c r="E2161" s="13" t="s">
        <v>3688</v>
      </c>
      <c r="F2161" s="13" t="s">
        <v>375</v>
      </c>
      <c r="G2161" s="13" t="s">
        <v>14</v>
      </c>
      <c r="H2161" s="22" t="str">
        <f>IFERROR(VLOOKUP(Table2[[#This Row], [Ticket]],Okey!A:B,2,0),"")</f>
        <v/>
      </c>
      <c r="I2161" s="13" t="s">
        <v>276</v>
      </c>
      <c r="J2161" s="22" t="e">
        <f>VLOOKUP(Table2[[#This Row], [Author]],People!A:B,2,0)</f>
        <v>#VALUE!</v>
      </c>
      <c r="K2161" s="13" t="s">
        <v>3297</v>
      </c>
      <c r="L2161" s="13"/>
      <c r="M2161" s="23" t="s">
        <v>677</v>
      </c>
    </row>
    <row r="2162" spans="1:13" ht="19.5" customHeight="1">
      <c r="A2162" s="18">
        <f t="shared" si="33"/>
        <v>2161</v>
      </c>
      <c r="B2162" s="11" t="s">
        <v>3295</v>
      </c>
      <c r="C2162" s="11" t="s">
        <v>73</v>
      </c>
      <c r="D2162" s="11" t="s">
        <v>451</v>
      </c>
      <c r="E2162" s="11" t="s">
        <v>3689</v>
      </c>
      <c r="F2162" s="11" t="s">
        <v>375</v>
      </c>
      <c r="G2162" s="11" t="s">
        <v>16</v>
      </c>
      <c r="H2162" s="19" t="str">
        <f>IFERROR(VLOOKUP(Table2[[#This Row], [Ticket]],Okey!A:B,2,0),"")</f>
        <v/>
      </c>
      <c r="I2162" s="11" t="s">
        <v>276</v>
      </c>
      <c r="J2162" s="19" t="e">
        <f>VLOOKUP(Table2[[#This Row], [Author]],People!A:B,2,0)</f>
        <v>#VALUE!</v>
      </c>
      <c r="K2162" s="11" t="s">
        <v>3297</v>
      </c>
      <c r="L2162" s="11"/>
      <c r="M2162" s="20" t="s">
        <v>677</v>
      </c>
    </row>
    <row r="2163" spans="1:13" ht="19.5" customHeight="1">
      <c r="A2163" s="21">
        <f t="shared" si="33"/>
        <v>2162</v>
      </c>
      <c r="B2163" s="13" t="s">
        <v>3295</v>
      </c>
      <c r="C2163" s="13" t="s">
        <v>73</v>
      </c>
      <c r="D2163" s="13" t="s">
        <v>449</v>
      </c>
      <c r="E2163" s="13" t="s">
        <v>3690</v>
      </c>
      <c r="F2163" s="13" t="s">
        <v>375</v>
      </c>
      <c r="G2163" s="13" t="s">
        <v>16</v>
      </c>
      <c r="H2163" s="22" t="str">
        <f>IFERROR(VLOOKUP(Table2[[#This Row], [Ticket]],Okey!A:B,2,0),"")</f>
        <v/>
      </c>
      <c r="I2163" s="13" t="s">
        <v>276</v>
      </c>
      <c r="J2163" s="22" t="e">
        <f>VLOOKUP(Table2[[#This Row], [Author]],People!A:B,2,0)</f>
        <v>#VALUE!</v>
      </c>
      <c r="K2163" s="13" t="s">
        <v>3297</v>
      </c>
      <c r="L2163" s="13"/>
      <c r="M2163" s="23" t="s">
        <v>677</v>
      </c>
    </row>
    <row r="2164" spans="1:13" ht="19.5" customHeight="1">
      <c r="A2164" s="18">
        <f t="shared" si="33"/>
        <v>2163</v>
      </c>
      <c r="B2164" s="11" t="s">
        <v>3295</v>
      </c>
      <c r="C2164" s="11" t="s">
        <v>73</v>
      </c>
      <c r="D2164" s="11" t="s">
        <v>1484</v>
      </c>
      <c r="E2164" s="11" t="s">
        <v>3691</v>
      </c>
      <c r="F2164" s="11" t="s">
        <v>375</v>
      </c>
      <c r="G2164" s="11" t="s">
        <v>16</v>
      </c>
      <c r="H2164" s="19" t="str">
        <f>IFERROR(VLOOKUP(Table2[[#This Row], [Ticket]],Okey!A:B,2,0),"")</f>
        <v/>
      </c>
      <c r="I2164" s="11" t="s">
        <v>276</v>
      </c>
      <c r="J2164" s="19" t="e">
        <f>VLOOKUP(Table2[[#This Row], [Author]],People!A:B,2,0)</f>
        <v>#VALUE!</v>
      </c>
      <c r="K2164" s="11" t="s">
        <v>3297</v>
      </c>
      <c r="L2164" s="11"/>
      <c r="M2164" s="20" t="s">
        <v>677</v>
      </c>
    </row>
    <row r="2165" spans="1:13" ht="19.5" customHeight="1">
      <c r="A2165" s="21">
        <f t="shared" si="33"/>
        <v>2164</v>
      </c>
      <c r="B2165" s="13" t="s">
        <v>3295</v>
      </c>
      <c r="C2165" s="13" t="s">
        <v>73</v>
      </c>
      <c r="D2165" s="13" t="s">
        <v>859</v>
      </c>
      <c r="E2165" s="13" t="s">
        <v>860</v>
      </c>
      <c r="F2165" s="13" t="s">
        <v>856</v>
      </c>
      <c r="G2165" s="13" t="s">
        <v>16</v>
      </c>
      <c r="H2165" s="22" t="str">
        <f>IFERROR(VLOOKUP(Table2[[#This Row], [Ticket]],Okey!A:B,2,0),"")</f>
        <v/>
      </c>
      <c r="I2165" s="13" t="s">
        <v>276</v>
      </c>
      <c r="J2165" s="22" t="e">
        <f>VLOOKUP(Table2[[#This Row], [Author]],People!A:B,2,0)</f>
        <v>#VALUE!</v>
      </c>
      <c r="K2165" s="13" t="s">
        <v>3297</v>
      </c>
      <c r="L2165" s="13"/>
      <c r="M2165" s="23" t="s">
        <v>677</v>
      </c>
    </row>
    <row r="2166" spans="1:13" ht="19.5" customHeight="1">
      <c r="A2166" s="18">
        <f t="shared" si="33"/>
        <v>2165</v>
      </c>
      <c r="B2166" s="11" t="s">
        <v>3295</v>
      </c>
      <c r="C2166" s="11" t="s">
        <v>73</v>
      </c>
      <c r="D2166" s="11" t="s">
        <v>861</v>
      </c>
      <c r="E2166" s="11" t="s">
        <v>862</v>
      </c>
      <c r="F2166" s="11" t="s">
        <v>856</v>
      </c>
      <c r="G2166" s="11" t="s">
        <v>16</v>
      </c>
      <c r="H2166" s="19" t="str">
        <f>IFERROR(VLOOKUP(Table2[[#This Row], [Ticket]],Okey!A:B,2,0),"")</f>
        <v/>
      </c>
      <c r="I2166" s="11" t="s">
        <v>276</v>
      </c>
      <c r="J2166" s="19" t="e">
        <f>VLOOKUP(Table2[[#This Row], [Author]],People!A:B,2,0)</f>
        <v>#VALUE!</v>
      </c>
      <c r="K2166" s="11" t="s">
        <v>3297</v>
      </c>
      <c r="L2166" s="11"/>
      <c r="M2166" s="20" t="s">
        <v>677</v>
      </c>
    </row>
    <row r="2167" spans="1:13" ht="19.5" customHeight="1">
      <c r="A2167" s="21">
        <f t="shared" si="33"/>
        <v>2166</v>
      </c>
      <c r="B2167" s="13" t="s">
        <v>3295</v>
      </c>
      <c r="C2167" s="13" t="s">
        <v>73</v>
      </c>
      <c r="D2167" s="13" t="s">
        <v>863</v>
      </c>
      <c r="E2167" s="13" t="s">
        <v>864</v>
      </c>
      <c r="F2167" s="13" t="s">
        <v>856</v>
      </c>
      <c r="G2167" s="13" t="s">
        <v>16</v>
      </c>
      <c r="H2167" s="22" t="str">
        <f>IFERROR(VLOOKUP(Table2[[#This Row], [Ticket]],Okey!A:B,2,0),"")</f>
        <v/>
      </c>
      <c r="I2167" s="13" t="s">
        <v>276</v>
      </c>
      <c r="J2167" s="22" t="e">
        <f>VLOOKUP(Table2[[#This Row], [Author]],People!A:B,2,0)</f>
        <v>#VALUE!</v>
      </c>
      <c r="K2167" s="13" t="s">
        <v>3297</v>
      </c>
      <c r="L2167" s="13"/>
      <c r="M2167" s="23" t="s">
        <v>677</v>
      </c>
    </row>
    <row r="2168" spans="1:13" ht="19.5" customHeight="1">
      <c r="A2168" s="18">
        <f t="shared" si="33"/>
        <v>2167</v>
      </c>
      <c r="B2168" s="11" t="s">
        <v>3295</v>
      </c>
      <c r="C2168" s="11" t="s">
        <v>77</v>
      </c>
      <c r="D2168" s="11" t="s">
        <v>3692</v>
      </c>
      <c r="E2168" s="11" t="s">
        <v>3693</v>
      </c>
      <c r="F2168" s="11" t="s">
        <v>3694</v>
      </c>
      <c r="G2168" s="11" t="s">
        <v>14</v>
      </c>
      <c r="H2168" s="19" t="str">
        <f>IFERROR(VLOOKUP(Table2[[#This Row], [Ticket]],Okey!A:B,2,0),"")</f>
        <v/>
      </c>
      <c r="I2168" s="11" t="s">
        <v>276</v>
      </c>
      <c r="J2168" s="19" t="e">
        <f>VLOOKUP(Table2[[#This Row], [Author]],People!A:B,2,0)</f>
        <v>#VALUE!</v>
      </c>
      <c r="K2168" s="11"/>
      <c r="L2168" s="11"/>
      <c r="M2168" s="20" t="s">
        <v>3325</v>
      </c>
    </row>
    <row r="2169" spans="1:13" ht="19.5" customHeight="1">
      <c r="A2169" s="21">
        <f t="shared" si="33"/>
        <v>2168</v>
      </c>
      <c r="B2169" s="13" t="s">
        <v>3295</v>
      </c>
      <c r="C2169" s="13" t="s">
        <v>77</v>
      </c>
      <c r="D2169" s="13" t="s">
        <v>3683</v>
      </c>
      <c r="E2169" s="13" t="s">
        <v>3695</v>
      </c>
      <c r="F2169" s="13" t="s">
        <v>3696</v>
      </c>
      <c r="G2169" s="13" t="s">
        <v>16</v>
      </c>
      <c r="H2169" s="22" t="str">
        <f>IFERROR(VLOOKUP(Table2[[#This Row], [Ticket]],Okey!A:B,2,0),"")</f>
        <v/>
      </c>
      <c r="I2169" s="13" t="s">
        <v>276</v>
      </c>
      <c r="J2169" s="22" t="e">
        <f>VLOOKUP(Table2[[#This Row], [Author]],People!A:B,2,0)</f>
        <v>#VALUE!</v>
      </c>
      <c r="K2169" s="13"/>
      <c r="L2169" s="13"/>
      <c r="M2169" s="23" t="s">
        <v>3325</v>
      </c>
    </row>
    <row r="2170" spans="1:13" ht="19.5" customHeight="1">
      <c r="A2170" s="18">
        <f t="shared" si="33"/>
        <v>2169</v>
      </c>
      <c r="B2170" s="11" t="s">
        <v>3295</v>
      </c>
      <c r="C2170" s="11" t="s">
        <v>77</v>
      </c>
      <c r="D2170" s="11" t="s">
        <v>3697</v>
      </c>
      <c r="E2170" s="11" t="s">
        <v>3698</v>
      </c>
      <c r="F2170" s="11" t="s">
        <v>3692</v>
      </c>
      <c r="G2170" s="11" t="s">
        <v>14</v>
      </c>
      <c r="H2170" s="19" t="str">
        <f>IFERROR(VLOOKUP(Table2[[#This Row], [Ticket]],Okey!A:B,2,0),"")</f>
        <v/>
      </c>
      <c r="I2170" s="11" t="s">
        <v>276</v>
      </c>
      <c r="J2170" s="19" t="e">
        <f>VLOOKUP(Table2[[#This Row], [Author]],People!A:B,2,0)</f>
        <v>#VALUE!</v>
      </c>
      <c r="K2170" s="11"/>
      <c r="L2170" s="11"/>
      <c r="M2170" s="20" t="s">
        <v>3325</v>
      </c>
    </row>
    <row r="2171" spans="1:13" ht="19.5" customHeight="1">
      <c r="A2171" s="21">
        <f t="shared" si="33"/>
        <v>2170</v>
      </c>
      <c r="B2171" s="13" t="s">
        <v>3295</v>
      </c>
      <c r="C2171" s="13" t="s">
        <v>77</v>
      </c>
      <c r="D2171" s="13" t="s">
        <v>3699</v>
      </c>
      <c r="E2171" s="13" t="s">
        <v>3700</v>
      </c>
      <c r="F2171" s="13" t="s">
        <v>3692</v>
      </c>
      <c r="G2171" s="13" t="s">
        <v>14</v>
      </c>
      <c r="H2171" s="22" t="str">
        <f>IFERROR(VLOOKUP(Table2[[#This Row], [Ticket]],Okey!A:B,2,0),"")</f>
        <v/>
      </c>
      <c r="I2171" s="13" t="s">
        <v>276</v>
      </c>
      <c r="J2171" s="22" t="e">
        <f>VLOOKUP(Table2[[#This Row], [Author]],People!A:B,2,0)</f>
        <v>#VALUE!</v>
      </c>
      <c r="K2171" s="13"/>
      <c r="L2171" s="13"/>
      <c r="M2171" s="23" t="s">
        <v>3325</v>
      </c>
    </row>
    <row r="2172" spans="1:13" ht="19.5" customHeight="1">
      <c r="A2172" s="18">
        <f t="shared" si="33"/>
        <v>2171</v>
      </c>
      <c r="B2172" s="11" t="s">
        <v>3295</v>
      </c>
      <c r="C2172" s="11" t="s">
        <v>77</v>
      </c>
      <c r="D2172" s="11" t="s">
        <v>3701</v>
      </c>
      <c r="E2172" s="11" t="s">
        <v>3702</v>
      </c>
      <c r="F2172" s="11" t="s">
        <v>3692</v>
      </c>
      <c r="G2172" s="11" t="s">
        <v>14</v>
      </c>
      <c r="H2172" s="19" t="str">
        <f>IFERROR(VLOOKUP(Table2[[#This Row], [Ticket]],Okey!A:B,2,0),"")</f>
        <v/>
      </c>
      <c r="I2172" s="11" t="s">
        <v>276</v>
      </c>
      <c r="J2172" s="19" t="e">
        <f>VLOOKUP(Table2[[#This Row], [Author]],People!A:B,2,0)</f>
        <v>#VALUE!</v>
      </c>
      <c r="K2172" s="11"/>
      <c r="L2172" s="11"/>
      <c r="M2172" s="20" t="s">
        <v>3325</v>
      </c>
    </row>
    <row r="2173" spans="1:13" ht="19.5" customHeight="1">
      <c r="A2173" s="21">
        <f t="shared" si="33"/>
        <v>2172</v>
      </c>
      <c r="B2173" s="13" t="s">
        <v>3295</v>
      </c>
      <c r="C2173" s="13" t="s">
        <v>77</v>
      </c>
      <c r="D2173" s="13" t="s">
        <v>3703</v>
      </c>
      <c r="E2173" s="13" t="s">
        <v>3704</v>
      </c>
      <c r="F2173" s="13" t="s">
        <v>3692</v>
      </c>
      <c r="G2173" s="13" t="s">
        <v>14</v>
      </c>
      <c r="H2173" s="22" t="str">
        <f>IFERROR(VLOOKUP(Table2[[#This Row], [Ticket]],Okey!A:B,2,0),"")</f>
        <v/>
      </c>
      <c r="I2173" s="13" t="s">
        <v>276</v>
      </c>
      <c r="J2173" s="22" t="e">
        <f>VLOOKUP(Table2[[#This Row], [Author]],People!A:B,2,0)</f>
        <v>#VALUE!</v>
      </c>
      <c r="K2173" s="13"/>
      <c r="L2173" s="13"/>
      <c r="M2173" s="23" t="s">
        <v>3325</v>
      </c>
    </row>
    <row r="2174" spans="1:13" ht="19.5" customHeight="1">
      <c r="A2174" s="18">
        <f t="shared" si="33"/>
        <v>2173</v>
      </c>
      <c r="B2174" s="11" t="s">
        <v>3295</v>
      </c>
      <c r="C2174" s="11" t="s">
        <v>76</v>
      </c>
      <c r="D2174" s="11" t="s">
        <v>3705</v>
      </c>
      <c r="E2174" s="11" t="s">
        <v>3706</v>
      </c>
      <c r="F2174" s="11" t="s">
        <v>3707</v>
      </c>
      <c r="G2174" s="11" t="s">
        <v>14</v>
      </c>
      <c r="H2174" s="19" t="str">
        <f>IFERROR(VLOOKUP(Table2[[#This Row], [Ticket]],Okey!A:B,2,0),"")</f>
        <v/>
      </c>
      <c r="I2174" s="11" t="s">
        <v>276</v>
      </c>
      <c r="J2174" s="19" t="e">
        <f>VLOOKUP(Table2[[#This Row], [Author]],People!A:B,2,0)</f>
        <v>#VALUE!</v>
      </c>
      <c r="K2174" s="11"/>
      <c r="L2174" s="11"/>
      <c r="M2174" s="20" t="s">
        <v>1230</v>
      </c>
    </row>
    <row r="2175" spans="1:13" ht="19.5" customHeight="1">
      <c r="A2175" s="21">
        <f t="shared" si="33"/>
        <v>2174</v>
      </c>
      <c r="B2175" s="13" t="s">
        <v>3295</v>
      </c>
      <c r="C2175" s="13" t="s">
        <v>76</v>
      </c>
      <c r="D2175" s="13" t="s">
        <v>3708</v>
      </c>
      <c r="E2175" s="13" t="s">
        <v>3709</v>
      </c>
      <c r="F2175" s="13" t="s">
        <v>3710</v>
      </c>
      <c r="G2175" s="13" t="s">
        <v>14</v>
      </c>
      <c r="H2175" s="22" t="str">
        <f>IFERROR(VLOOKUP(Table2[[#This Row], [Ticket]],Okey!A:B,2,0),"")</f>
        <v/>
      </c>
      <c r="I2175" s="13" t="s">
        <v>276</v>
      </c>
      <c r="J2175" s="22" t="e">
        <f>VLOOKUP(Table2[[#This Row], [Author]],People!A:B,2,0)</f>
        <v>#VALUE!</v>
      </c>
      <c r="K2175" s="13"/>
      <c r="L2175" s="13"/>
      <c r="M2175" s="23" t="s">
        <v>1230</v>
      </c>
    </row>
    <row r="2176" spans="1:13" ht="19.5" customHeight="1">
      <c r="A2176" s="18">
        <f t="shared" si="33"/>
        <v>2175</v>
      </c>
      <c r="B2176" s="11" t="s">
        <v>3295</v>
      </c>
      <c r="C2176" s="11" t="s">
        <v>76</v>
      </c>
      <c r="D2176" s="11" t="s">
        <v>3711</v>
      </c>
      <c r="E2176" s="11" t="s">
        <v>3712</v>
      </c>
      <c r="F2176" s="11" t="s">
        <v>3332</v>
      </c>
      <c r="G2176" s="11" t="s">
        <v>14</v>
      </c>
      <c r="H2176" s="19" t="str">
        <f>IFERROR(VLOOKUP(Table2[[#This Row], [Ticket]],Okey!A:B,2,0),"")</f>
        <v/>
      </c>
      <c r="I2176" s="11" t="s">
        <v>276</v>
      </c>
      <c r="J2176" s="19" t="e">
        <f>VLOOKUP(Table2[[#This Row], [Author]],People!A:B,2,0)</f>
        <v>#VALUE!</v>
      </c>
      <c r="K2176" s="11"/>
      <c r="L2176" s="11"/>
      <c r="M2176" s="20" t="s">
        <v>1230</v>
      </c>
    </row>
    <row r="2177" spans="1:13" ht="19.5" customHeight="1">
      <c r="A2177" s="21">
        <f t="shared" si="33"/>
        <v>2176</v>
      </c>
      <c r="B2177" s="13" t="s">
        <v>3295</v>
      </c>
      <c r="C2177" s="13" t="s">
        <v>76</v>
      </c>
      <c r="D2177" s="13" t="s">
        <v>3713</v>
      </c>
      <c r="E2177" s="13" t="s">
        <v>3714</v>
      </c>
      <c r="F2177" s="13" t="s">
        <v>3715</v>
      </c>
      <c r="G2177" s="13" t="s">
        <v>14</v>
      </c>
      <c r="H2177" s="22" t="str">
        <f>IFERROR(VLOOKUP(Table2[[#This Row], [Ticket]],Okey!A:B,2,0),"")</f>
        <v/>
      </c>
      <c r="I2177" s="13" t="s">
        <v>276</v>
      </c>
      <c r="J2177" s="22" t="e">
        <f>VLOOKUP(Table2[[#This Row], [Author]],People!A:B,2,0)</f>
        <v>#VALUE!</v>
      </c>
      <c r="K2177" s="13"/>
      <c r="L2177" s="13"/>
      <c r="M2177" s="23" t="s">
        <v>1230</v>
      </c>
    </row>
    <row r="2178" spans="1:13" ht="19.5" customHeight="1">
      <c r="A2178" s="18">
        <f t="shared" si="33"/>
        <v>2177</v>
      </c>
      <c r="B2178" s="11" t="s">
        <v>3295</v>
      </c>
      <c r="C2178" s="11" t="s">
        <v>76</v>
      </c>
      <c r="D2178" s="11" t="s">
        <v>3716</v>
      </c>
      <c r="E2178" s="11" t="s">
        <v>3717</v>
      </c>
      <c r="F2178" s="11" t="s">
        <v>3718</v>
      </c>
      <c r="G2178" s="11" t="s">
        <v>14</v>
      </c>
      <c r="H2178" s="19" t="str">
        <f>IFERROR(VLOOKUP(Table2[[#This Row], [Ticket]],Okey!A:B,2,0),"")</f>
        <v/>
      </c>
      <c r="I2178" s="11" t="s">
        <v>276</v>
      </c>
      <c r="J2178" s="19" t="e">
        <f>VLOOKUP(Table2[[#This Row], [Author]],People!A:B,2,0)</f>
        <v>#VALUE!</v>
      </c>
      <c r="K2178" s="11"/>
      <c r="L2178" s="11"/>
      <c r="M2178" s="20" t="s">
        <v>1230</v>
      </c>
    </row>
    <row r="2179" spans="1:13" ht="19.5" customHeight="1">
      <c r="A2179" s="21">
        <f t="shared" ref="A2179:A2209" si="34">1+A2178</f>
        <v>2178</v>
      </c>
      <c r="B2179" s="13" t="s">
        <v>3295</v>
      </c>
      <c r="C2179" s="13" t="s">
        <v>76</v>
      </c>
      <c r="D2179" s="13" t="s">
        <v>3719</v>
      </c>
      <c r="E2179" s="13" t="s">
        <v>3720</v>
      </c>
      <c r="F2179" s="13" t="s">
        <v>3721</v>
      </c>
      <c r="G2179" s="13" t="s">
        <v>14</v>
      </c>
      <c r="H2179" s="22" t="str">
        <f>IFERROR(VLOOKUP(Table2[[#This Row], [Ticket]],Okey!A:B,2,0),"")</f>
        <v/>
      </c>
      <c r="I2179" s="13" t="s">
        <v>276</v>
      </c>
      <c r="J2179" s="22" t="e">
        <f>VLOOKUP(Table2[[#This Row], [Author]],People!A:B,2,0)</f>
        <v>#VALUE!</v>
      </c>
      <c r="K2179" s="13"/>
      <c r="L2179" s="13"/>
      <c r="M2179" s="23" t="s">
        <v>1230</v>
      </c>
    </row>
    <row r="2180" spans="1:13" ht="19.5" customHeight="1">
      <c r="A2180" s="18">
        <f t="shared" si="34"/>
        <v>2179</v>
      </c>
      <c r="B2180" s="11" t="s">
        <v>3295</v>
      </c>
      <c r="C2180" s="11" t="s">
        <v>76</v>
      </c>
      <c r="D2180" s="11" t="s">
        <v>3722</v>
      </c>
      <c r="E2180" s="11" t="s">
        <v>3723</v>
      </c>
      <c r="F2180" s="11" t="s">
        <v>3724</v>
      </c>
      <c r="G2180" s="11" t="s">
        <v>14</v>
      </c>
      <c r="H2180" s="19" t="str">
        <f>IFERROR(VLOOKUP(Table2[[#This Row], [Ticket]],Okey!A:B,2,0),"")</f>
        <v/>
      </c>
      <c r="I2180" s="11" t="s">
        <v>276</v>
      </c>
      <c r="J2180" s="19" t="e">
        <f>VLOOKUP(Table2[[#This Row], [Author]],People!A:B,2,0)</f>
        <v>#VALUE!</v>
      </c>
      <c r="K2180" s="11"/>
      <c r="L2180" s="11"/>
      <c r="M2180" s="20" t="s">
        <v>1230</v>
      </c>
    </row>
    <row r="2181" spans="1:13" ht="19.5" customHeight="1">
      <c r="A2181" s="21">
        <f t="shared" si="34"/>
        <v>2180</v>
      </c>
      <c r="B2181" s="13" t="s">
        <v>3295</v>
      </c>
      <c r="C2181" s="13" t="s">
        <v>76</v>
      </c>
      <c r="D2181" s="13" t="s">
        <v>3725</v>
      </c>
      <c r="E2181" s="13" t="s">
        <v>3726</v>
      </c>
      <c r="F2181" s="13" t="s">
        <v>3727</v>
      </c>
      <c r="G2181" s="13" t="s">
        <v>14</v>
      </c>
      <c r="H2181" s="22" t="str">
        <f>IFERROR(VLOOKUP(Table2[[#This Row], [Ticket]],Okey!A:B,2,0),"")</f>
        <v/>
      </c>
      <c r="I2181" s="13" t="s">
        <v>276</v>
      </c>
      <c r="J2181" s="22" t="e">
        <f>VLOOKUP(Table2[[#This Row], [Author]],People!A:B,2,0)</f>
        <v>#VALUE!</v>
      </c>
      <c r="K2181" s="13"/>
      <c r="L2181" s="13"/>
      <c r="M2181" s="23" t="s">
        <v>1230</v>
      </c>
    </row>
    <row r="2182" spans="1:13" ht="19.5" customHeight="1">
      <c r="A2182" s="18">
        <f t="shared" si="34"/>
        <v>2181</v>
      </c>
      <c r="B2182" s="11" t="s">
        <v>3295</v>
      </c>
      <c r="C2182" s="11" t="s">
        <v>76</v>
      </c>
      <c r="D2182" s="11" t="s">
        <v>3728</v>
      </c>
      <c r="E2182" s="11" t="s">
        <v>3729</v>
      </c>
      <c r="F2182" s="11" t="s">
        <v>3730</v>
      </c>
      <c r="G2182" s="11" t="s">
        <v>14</v>
      </c>
      <c r="H2182" s="19" t="str">
        <f>IFERROR(VLOOKUP(Table2[[#This Row], [Ticket]],Okey!A:B,2,0),"")</f>
        <v/>
      </c>
      <c r="I2182" s="11" t="s">
        <v>276</v>
      </c>
      <c r="J2182" s="19" t="e">
        <f>VLOOKUP(Table2[[#This Row], [Author]],People!A:B,2,0)</f>
        <v>#VALUE!</v>
      </c>
      <c r="K2182" s="11"/>
      <c r="L2182" s="11"/>
      <c r="M2182" s="20" t="s">
        <v>1230</v>
      </c>
    </row>
    <row r="2183" spans="1:13" ht="19.5" customHeight="1">
      <c r="A2183" s="21">
        <f t="shared" si="34"/>
        <v>2182</v>
      </c>
      <c r="B2183" s="13" t="s">
        <v>3295</v>
      </c>
      <c r="C2183" s="13" t="s">
        <v>81</v>
      </c>
      <c r="D2183" s="13" t="s">
        <v>814</v>
      </c>
      <c r="E2183" s="13" t="s">
        <v>3731</v>
      </c>
      <c r="F2183" s="13" t="s">
        <v>511</v>
      </c>
      <c r="G2183" s="13" t="s">
        <v>16</v>
      </c>
      <c r="H2183" s="22" t="str">
        <f>IFERROR(VLOOKUP(Table2[[#This Row], [Ticket]],Okey!A:B,2,0),"")</f>
        <v/>
      </c>
      <c r="I2183" s="13" t="s">
        <v>276</v>
      </c>
      <c r="J2183" s="22" t="e">
        <f>VLOOKUP(Table2[[#This Row], [Author]],People!A:B,2,0)</f>
        <v>#VALUE!</v>
      </c>
      <c r="K2183" s="13"/>
      <c r="L2183" s="13"/>
      <c r="M2183" s="23" t="s">
        <v>677</v>
      </c>
    </row>
    <row r="2184" spans="1:13" ht="19.5" customHeight="1">
      <c r="A2184" s="18">
        <f t="shared" si="34"/>
        <v>2183</v>
      </c>
      <c r="B2184" s="11" t="s">
        <v>3295</v>
      </c>
      <c r="C2184" s="11" t="s">
        <v>81</v>
      </c>
      <c r="D2184" s="11" t="s">
        <v>1503</v>
      </c>
      <c r="E2184" s="11" t="s">
        <v>3732</v>
      </c>
      <c r="F2184" s="11" t="s">
        <v>1491</v>
      </c>
      <c r="G2184" s="11" t="s">
        <v>16</v>
      </c>
      <c r="H2184" s="19" t="str">
        <f>IFERROR(VLOOKUP(Table2[[#This Row], [Ticket]],Okey!A:B,2,0),"")</f>
        <v/>
      </c>
      <c r="I2184" s="11" t="s">
        <v>276</v>
      </c>
      <c r="J2184" s="19" t="e">
        <f>VLOOKUP(Table2[[#This Row], [Author]],People!A:B,2,0)</f>
        <v>#VALUE!</v>
      </c>
      <c r="K2184" s="11"/>
      <c r="L2184" s="11"/>
      <c r="M2184" s="20" t="s">
        <v>677</v>
      </c>
    </row>
    <row r="2185" spans="1:13" ht="19.5" customHeight="1">
      <c r="A2185" s="21">
        <f t="shared" si="34"/>
        <v>2184</v>
      </c>
      <c r="B2185" s="13" t="s">
        <v>3295</v>
      </c>
      <c r="C2185" s="13" t="s">
        <v>81</v>
      </c>
      <c r="D2185" s="13" t="s">
        <v>1511</v>
      </c>
      <c r="E2185" s="13" t="s">
        <v>3733</v>
      </c>
      <c r="F2185" s="13" t="s">
        <v>1497</v>
      </c>
      <c r="G2185" s="13" t="s">
        <v>16</v>
      </c>
      <c r="H2185" s="22" t="str">
        <f>IFERROR(VLOOKUP(Table2[[#This Row], [Ticket]],Okey!A:B,2,0),"")</f>
        <v/>
      </c>
      <c r="I2185" s="13" t="s">
        <v>276</v>
      </c>
      <c r="J2185" s="22" t="e">
        <f>VLOOKUP(Table2[[#This Row], [Author]],People!A:B,2,0)</f>
        <v>#VALUE!</v>
      </c>
      <c r="K2185" s="13"/>
      <c r="L2185" s="13"/>
      <c r="M2185" s="23" t="s">
        <v>677</v>
      </c>
    </row>
    <row r="2186" spans="1:13" ht="19.5" customHeight="1">
      <c r="A2186" s="18">
        <f t="shared" si="34"/>
        <v>2185</v>
      </c>
      <c r="B2186" s="11" t="s">
        <v>3295</v>
      </c>
      <c r="C2186" s="11" t="s">
        <v>81</v>
      </c>
      <c r="D2186" s="11" t="s">
        <v>1513</v>
      </c>
      <c r="E2186" s="11" t="s">
        <v>3734</v>
      </c>
      <c r="F2186" s="11" t="s">
        <v>1511</v>
      </c>
      <c r="G2186" s="11" t="s">
        <v>16</v>
      </c>
      <c r="H2186" s="19" t="str">
        <f>IFERROR(VLOOKUP(Table2[[#This Row], [Ticket]],Okey!A:B,2,0),"")</f>
        <v/>
      </c>
      <c r="I2186" s="11" t="s">
        <v>276</v>
      </c>
      <c r="J2186" s="19" t="e">
        <f>VLOOKUP(Table2[[#This Row], [Author]],People!A:B,2,0)</f>
        <v>#VALUE!</v>
      </c>
      <c r="K2186" s="11"/>
      <c r="L2186" s="11"/>
      <c r="M2186" s="20" t="s">
        <v>677</v>
      </c>
    </row>
    <row r="2187" spans="1:13" ht="19.5" customHeight="1">
      <c r="A2187" s="21">
        <f t="shared" si="34"/>
        <v>2186</v>
      </c>
      <c r="B2187" s="13" t="s">
        <v>3295</v>
      </c>
      <c r="C2187" s="13" t="s">
        <v>81</v>
      </c>
      <c r="D2187" s="13" t="s">
        <v>1515</v>
      </c>
      <c r="E2187" s="13" t="s">
        <v>3735</v>
      </c>
      <c r="F2187" s="13" t="s">
        <v>1511</v>
      </c>
      <c r="G2187" s="13" t="s">
        <v>16</v>
      </c>
      <c r="H2187" s="22" t="str">
        <f>IFERROR(VLOOKUP(Table2[[#This Row], [Ticket]],Okey!A:B,2,0),"")</f>
        <v/>
      </c>
      <c r="I2187" s="13" t="s">
        <v>276</v>
      </c>
      <c r="J2187" s="22" t="e">
        <f>VLOOKUP(Table2[[#This Row], [Author]],People!A:B,2,0)</f>
        <v>#VALUE!</v>
      </c>
      <c r="K2187" s="13"/>
      <c r="L2187" s="13"/>
      <c r="M2187" s="23" t="s">
        <v>677</v>
      </c>
    </row>
    <row r="2188" spans="1:13" ht="19.5" customHeight="1">
      <c r="A2188" s="18">
        <f t="shared" si="34"/>
        <v>2187</v>
      </c>
      <c r="B2188" s="11" t="s">
        <v>3295</v>
      </c>
      <c r="C2188" s="11" t="s">
        <v>81</v>
      </c>
      <c r="D2188" s="11" t="s">
        <v>1519</v>
      </c>
      <c r="E2188" s="11" t="s">
        <v>3736</v>
      </c>
      <c r="F2188" s="11" t="s">
        <v>1499</v>
      </c>
      <c r="G2188" s="11" t="s">
        <v>16</v>
      </c>
      <c r="H2188" s="19" t="str">
        <f>IFERROR(VLOOKUP(Table2[[#This Row], [Ticket]],Okey!A:B,2,0),"")</f>
        <v/>
      </c>
      <c r="I2188" s="11" t="s">
        <v>276</v>
      </c>
      <c r="J2188" s="19" t="e">
        <f>VLOOKUP(Table2[[#This Row], [Author]],People!A:B,2,0)</f>
        <v>#VALUE!</v>
      </c>
      <c r="K2188" s="11"/>
      <c r="L2188" s="11"/>
      <c r="M2188" s="20" t="s">
        <v>677</v>
      </c>
    </row>
    <row r="2189" spans="1:13" ht="19.5" customHeight="1">
      <c r="A2189" s="21">
        <f t="shared" si="34"/>
        <v>2188</v>
      </c>
      <c r="B2189" s="13" t="s">
        <v>3295</v>
      </c>
      <c r="C2189" s="13" t="s">
        <v>81</v>
      </c>
      <c r="D2189" s="13" t="s">
        <v>1521</v>
      </c>
      <c r="E2189" s="13" t="s">
        <v>3737</v>
      </c>
      <c r="F2189" s="13" t="s">
        <v>1499</v>
      </c>
      <c r="G2189" s="13" t="s">
        <v>16</v>
      </c>
      <c r="H2189" s="22" t="str">
        <f>IFERROR(VLOOKUP(Table2[[#This Row], [Ticket]],Okey!A:B,2,0),"")</f>
        <v/>
      </c>
      <c r="I2189" s="13" t="s">
        <v>276</v>
      </c>
      <c r="J2189" s="22" t="e">
        <f>VLOOKUP(Table2[[#This Row], [Author]],People!A:B,2,0)</f>
        <v>#VALUE!</v>
      </c>
      <c r="K2189" s="13"/>
      <c r="L2189" s="13"/>
      <c r="M2189" s="23" t="s">
        <v>677</v>
      </c>
    </row>
    <row r="2190" spans="1:13" ht="19.5" customHeight="1">
      <c r="A2190" s="18">
        <f t="shared" si="34"/>
        <v>2189</v>
      </c>
      <c r="B2190" s="11" t="s">
        <v>3295</v>
      </c>
      <c r="C2190" s="11" t="s">
        <v>81</v>
      </c>
      <c r="D2190" s="11" t="s">
        <v>852</v>
      </c>
      <c r="E2190" s="11" t="s">
        <v>3731</v>
      </c>
      <c r="F2190" s="11" t="s">
        <v>1195</v>
      </c>
      <c r="G2190" s="11" t="s">
        <v>16</v>
      </c>
      <c r="H2190" s="19" t="str">
        <f>IFERROR(VLOOKUP(Table2[[#This Row], [Ticket]],Okey!A:B,2,0),"")</f>
        <v/>
      </c>
      <c r="I2190" s="11" t="s">
        <v>276</v>
      </c>
      <c r="J2190" s="19" t="e">
        <f>VLOOKUP(Table2[[#This Row], [Author]],People!A:B,2,0)</f>
        <v>#VALUE!</v>
      </c>
      <c r="K2190" s="11"/>
      <c r="L2190" s="11"/>
      <c r="M2190" s="20" t="s">
        <v>677</v>
      </c>
    </row>
    <row r="2191" spans="1:13" ht="19.5" customHeight="1">
      <c r="A2191" s="21">
        <f t="shared" si="34"/>
        <v>2190</v>
      </c>
      <c r="B2191" s="13" t="s">
        <v>3295</v>
      </c>
      <c r="C2191" s="13" t="s">
        <v>81</v>
      </c>
      <c r="D2191" s="13" t="s">
        <v>1192</v>
      </c>
      <c r="E2191" s="13" t="s">
        <v>3738</v>
      </c>
      <c r="F2191" s="13" t="s">
        <v>852</v>
      </c>
      <c r="G2191" s="13" t="s">
        <v>16</v>
      </c>
      <c r="H2191" s="22" t="str">
        <f>IFERROR(VLOOKUP(Table2[[#This Row], [Ticket]],Okey!A:B,2,0),"")</f>
        <v/>
      </c>
      <c r="I2191" s="13" t="s">
        <v>276</v>
      </c>
      <c r="J2191" s="22" t="e">
        <f>VLOOKUP(Table2[[#This Row], [Author]],People!A:B,2,0)</f>
        <v>#VALUE!</v>
      </c>
      <c r="K2191" s="13"/>
      <c r="L2191" s="13"/>
      <c r="M2191" s="23" t="s">
        <v>677</v>
      </c>
    </row>
    <row r="2192" spans="1:13" ht="19.5" customHeight="1">
      <c r="A2192" s="18">
        <f t="shared" si="34"/>
        <v>2191</v>
      </c>
      <c r="B2192" s="11" t="s">
        <v>3295</v>
      </c>
      <c r="C2192" s="11" t="s">
        <v>81</v>
      </c>
      <c r="D2192" s="11" t="s">
        <v>865</v>
      </c>
      <c r="E2192" s="11" t="s">
        <v>3739</v>
      </c>
      <c r="F2192" s="11" t="s">
        <v>852</v>
      </c>
      <c r="G2192" s="11" t="s">
        <v>16</v>
      </c>
      <c r="H2192" s="19" t="str">
        <f>IFERROR(VLOOKUP(Table2[[#This Row], [Ticket]],Okey!A:B,2,0),"")</f>
        <v/>
      </c>
      <c r="I2192" s="11" t="s">
        <v>276</v>
      </c>
      <c r="J2192" s="19" t="e">
        <f>VLOOKUP(Table2[[#This Row], [Author]],People!A:B,2,0)</f>
        <v>#VALUE!</v>
      </c>
      <c r="K2192" s="11"/>
      <c r="L2192" s="11"/>
      <c r="M2192" s="20" t="s">
        <v>677</v>
      </c>
    </row>
    <row r="2193" spans="1:13" ht="19.5" customHeight="1">
      <c r="A2193" s="21">
        <f t="shared" si="34"/>
        <v>2192</v>
      </c>
      <c r="B2193" s="13" t="s">
        <v>3295</v>
      </c>
      <c r="C2193" s="13" t="s">
        <v>81</v>
      </c>
      <c r="D2193" s="13" t="s">
        <v>1221</v>
      </c>
      <c r="E2193" s="13" t="s">
        <v>3740</v>
      </c>
      <c r="F2193" s="13" t="s">
        <v>1202</v>
      </c>
      <c r="G2193" s="13" t="s">
        <v>16</v>
      </c>
      <c r="H2193" s="22" t="str">
        <f>IFERROR(VLOOKUP(Table2[[#This Row], [Ticket]],Okey!A:B,2,0),"")</f>
        <v/>
      </c>
      <c r="I2193" s="13" t="s">
        <v>276</v>
      </c>
      <c r="J2193" s="22" t="e">
        <f>VLOOKUP(Table2[[#This Row], [Author]],People!A:B,2,0)</f>
        <v>#VALUE!</v>
      </c>
      <c r="K2193" s="13"/>
      <c r="L2193" s="13"/>
      <c r="M2193" s="23" t="s">
        <v>677</v>
      </c>
    </row>
    <row r="2194" spans="1:13" ht="19.5" customHeight="1">
      <c r="A2194" s="18">
        <f t="shared" si="34"/>
        <v>2193</v>
      </c>
      <c r="B2194" s="11" t="s">
        <v>3295</v>
      </c>
      <c r="C2194" s="11" t="s">
        <v>81</v>
      </c>
      <c r="D2194" s="11" t="s">
        <v>855</v>
      </c>
      <c r="E2194" s="11" t="s">
        <v>1486</v>
      </c>
      <c r="F2194" s="11" t="s">
        <v>3685</v>
      </c>
      <c r="G2194" s="11" t="s">
        <v>16</v>
      </c>
      <c r="H2194" s="19" t="str">
        <f>IFERROR(VLOOKUP(Table2[[#This Row], [Ticket]],Okey!A:B,2,0),"")</f>
        <v/>
      </c>
      <c r="I2194" s="11" t="s">
        <v>276</v>
      </c>
      <c r="J2194" s="19" t="e">
        <f>VLOOKUP(Table2[[#This Row], [Author]],People!A:B,2,0)</f>
        <v>#VALUE!</v>
      </c>
      <c r="K2194" s="11"/>
      <c r="L2194" s="11"/>
      <c r="M2194" s="20" t="s">
        <v>677</v>
      </c>
    </row>
    <row r="2195" spans="1:13" ht="19.5" customHeight="1">
      <c r="A2195" s="21">
        <f t="shared" si="34"/>
        <v>2194</v>
      </c>
      <c r="B2195" s="13" t="s">
        <v>3295</v>
      </c>
      <c r="C2195" s="13" t="s">
        <v>81</v>
      </c>
      <c r="D2195" s="13" t="s">
        <v>451</v>
      </c>
      <c r="E2195" s="13" t="s">
        <v>3689</v>
      </c>
      <c r="F2195" s="13" t="s">
        <v>3685</v>
      </c>
      <c r="G2195" s="13" t="s">
        <v>16</v>
      </c>
      <c r="H2195" s="22" t="str">
        <f>IFERROR(VLOOKUP(Table2[[#This Row], [Ticket]],Okey!A:B,2,0),"")</f>
        <v/>
      </c>
      <c r="I2195" s="13" t="s">
        <v>276</v>
      </c>
      <c r="J2195" s="22" t="e">
        <f>VLOOKUP(Table2[[#This Row], [Author]],People!A:B,2,0)</f>
        <v>#VALUE!</v>
      </c>
      <c r="K2195" s="13"/>
      <c r="L2195" s="13"/>
      <c r="M2195" s="23" t="s">
        <v>677</v>
      </c>
    </row>
    <row r="2196" spans="1:13" ht="19.5" customHeight="1">
      <c r="A2196" s="18">
        <f t="shared" si="34"/>
        <v>2195</v>
      </c>
      <c r="B2196" s="11" t="s">
        <v>3295</v>
      </c>
      <c r="C2196" s="11" t="s">
        <v>81</v>
      </c>
      <c r="D2196" s="11" t="s">
        <v>449</v>
      </c>
      <c r="E2196" s="11" t="s">
        <v>3741</v>
      </c>
      <c r="F2196" s="11" t="s">
        <v>3687</v>
      </c>
      <c r="G2196" s="11" t="s">
        <v>16</v>
      </c>
      <c r="H2196" s="19" t="str">
        <f>IFERROR(VLOOKUP(Table2[[#This Row], [Ticket]],Okey!A:B,2,0),"")</f>
        <v/>
      </c>
      <c r="I2196" s="11" t="s">
        <v>276</v>
      </c>
      <c r="J2196" s="19" t="e">
        <f>VLOOKUP(Table2[[#This Row], [Author]],People!A:B,2,0)</f>
        <v>#VALUE!</v>
      </c>
      <c r="K2196" s="11"/>
      <c r="L2196" s="11"/>
      <c r="M2196" s="20" t="s">
        <v>677</v>
      </c>
    </row>
    <row r="2197" spans="1:13" ht="19.5" customHeight="1">
      <c r="A2197" s="21">
        <f t="shared" si="34"/>
        <v>2196</v>
      </c>
      <c r="B2197" s="13" t="s">
        <v>3295</v>
      </c>
      <c r="C2197" s="13" t="s">
        <v>81</v>
      </c>
      <c r="D2197" s="13" t="s">
        <v>1484</v>
      </c>
      <c r="E2197" s="13" t="s">
        <v>3742</v>
      </c>
      <c r="F2197" s="13" t="s">
        <v>3687</v>
      </c>
      <c r="G2197" s="13" t="s">
        <v>16</v>
      </c>
      <c r="H2197" s="22" t="str">
        <f>IFERROR(VLOOKUP(Table2[[#This Row], [Ticket]],Okey!A:B,2,0),"")</f>
        <v/>
      </c>
      <c r="I2197" s="13" t="s">
        <v>276</v>
      </c>
      <c r="J2197" s="22" t="e">
        <f>VLOOKUP(Table2[[#This Row], [Author]],People!A:B,2,0)</f>
        <v>#VALUE!</v>
      </c>
      <c r="K2197" s="13"/>
      <c r="L2197" s="13"/>
      <c r="M2197" s="23" t="s">
        <v>677</v>
      </c>
    </row>
    <row r="2198" spans="1:13" ht="19.5" customHeight="1">
      <c r="A2198" s="18">
        <f t="shared" si="34"/>
        <v>2197</v>
      </c>
      <c r="B2198" s="11" t="s">
        <v>3295</v>
      </c>
      <c r="C2198" s="11" t="s">
        <v>83</v>
      </c>
      <c r="D2198" s="11" t="s">
        <v>655</v>
      </c>
      <c r="E2198" s="11" t="s">
        <v>3743</v>
      </c>
      <c r="F2198" s="11"/>
      <c r="G2198" s="11" t="s">
        <v>15</v>
      </c>
      <c r="H2198" s="19" t="str">
        <f>IFERROR(VLOOKUP(Table2[[#This Row], [Ticket]],Okey!A:B,2,0),"")</f>
        <v/>
      </c>
      <c r="I2198" s="11" t="s">
        <v>276</v>
      </c>
      <c r="J2198" s="19" t="e">
        <f>VLOOKUP(Table2[[#This Row], [Author]],People!A:B,2,0)</f>
        <v>#VALUE!</v>
      </c>
      <c r="K2198" s="11"/>
      <c r="L2198" s="11"/>
      <c r="M2198" s="20" t="s">
        <v>658</v>
      </c>
    </row>
    <row r="2199" spans="1:13" ht="19.5" customHeight="1">
      <c r="A2199" s="21">
        <f t="shared" si="34"/>
        <v>2198</v>
      </c>
      <c r="B2199" s="13" t="s">
        <v>3295</v>
      </c>
      <c r="C2199" s="13" t="s">
        <v>80</v>
      </c>
      <c r="D2199" s="13" t="s">
        <v>3744</v>
      </c>
      <c r="E2199" s="13" t="s">
        <v>3745</v>
      </c>
      <c r="F2199" s="13" t="s">
        <v>1713</v>
      </c>
      <c r="G2199" s="13" t="s">
        <v>14</v>
      </c>
      <c r="H2199" s="22" t="str">
        <f>IFERROR(VLOOKUP(Table2[[#This Row], [Ticket]],Okey!A:B,2,0),"")</f>
        <v/>
      </c>
      <c r="I2199" s="13" t="s">
        <v>276</v>
      </c>
      <c r="J2199" s="22" t="e">
        <f>VLOOKUP(Table2[[#This Row], [Author]],People!A:B,2,0)</f>
        <v>#VALUE!</v>
      </c>
      <c r="K2199" s="13"/>
      <c r="L2199" s="13"/>
      <c r="M2199" s="23" t="s">
        <v>658</v>
      </c>
    </row>
    <row r="2200" spans="1:13" ht="19.5" customHeight="1">
      <c r="A2200" s="18">
        <f t="shared" si="34"/>
        <v>2199</v>
      </c>
      <c r="B2200" s="11" t="s">
        <v>3295</v>
      </c>
      <c r="C2200" s="11" t="s">
        <v>80</v>
      </c>
      <c r="D2200" s="11" t="s">
        <v>3746</v>
      </c>
      <c r="E2200" s="11" t="s">
        <v>3747</v>
      </c>
      <c r="F2200" s="11" t="s">
        <v>1715</v>
      </c>
      <c r="G2200" s="11" t="s">
        <v>14</v>
      </c>
      <c r="H2200" s="19" t="str">
        <f>IFERROR(VLOOKUP(Table2[[#This Row], [Ticket]],Okey!A:B,2,0),"")</f>
        <v/>
      </c>
      <c r="I2200" s="11" t="s">
        <v>276</v>
      </c>
      <c r="J2200" s="19" t="e">
        <f>VLOOKUP(Table2[[#This Row], [Author]],People!A:B,2,0)</f>
        <v>#VALUE!</v>
      </c>
      <c r="K2200" s="11"/>
      <c r="L2200" s="11"/>
      <c r="M2200" s="20" t="s">
        <v>658</v>
      </c>
    </row>
    <row r="2201" spans="1:13" ht="19.5" customHeight="1">
      <c r="A2201" s="21">
        <f t="shared" si="34"/>
        <v>2200</v>
      </c>
      <c r="B2201" s="13" t="s">
        <v>3295</v>
      </c>
      <c r="C2201" s="13" t="s">
        <v>80</v>
      </c>
      <c r="D2201" s="13" t="s">
        <v>3748</v>
      </c>
      <c r="E2201" s="13" t="s">
        <v>3749</v>
      </c>
      <c r="F2201" s="13" t="s">
        <v>3746</v>
      </c>
      <c r="G2201" s="13" t="s">
        <v>14</v>
      </c>
      <c r="H2201" s="22" t="str">
        <f>IFERROR(VLOOKUP(Table2[[#This Row], [Ticket]],Okey!A:B,2,0),"")</f>
        <v/>
      </c>
      <c r="I2201" s="13" t="s">
        <v>276</v>
      </c>
      <c r="J2201" s="22" t="e">
        <f>VLOOKUP(Table2[[#This Row], [Author]],People!A:B,2,0)</f>
        <v>#VALUE!</v>
      </c>
      <c r="K2201" s="13"/>
      <c r="L2201" s="13"/>
      <c r="M2201" s="23" t="s">
        <v>658</v>
      </c>
    </row>
    <row r="2202" spans="1:13" ht="19.5" customHeight="1">
      <c r="A2202" s="18">
        <f t="shared" si="34"/>
        <v>2201</v>
      </c>
      <c r="B2202" s="11" t="s">
        <v>3295</v>
      </c>
      <c r="C2202" s="11" t="s">
        <v>80</v>
      </c>
      <c r="D2202" s="11" t="s">
        <v>3750</v>
      </c>
      <c r="E2202" s="11" t="s">
        <v>3751</v>
      </c>
      <c r="F2202" s="11" t="s">
        <v>3746</v>
      </c>
      <c r="G2202" s="11" t="s">
        <v>14</v>
      </c>
      <c r="H2202" s="19" t="str">
        <f>IFERROR(VLOOKUP(Table2[[#This Row], [Ticket]],Okey!A:B,2,0),"")</f>
        <v/>
      </c>
      <c r="I2202" s="11" t="s">
        <v>276</v>
      </c>
      <c r="J2202" s="19" t="e">
        <f>VLOOKUP(Table2[[#This Row], [Author]],People!A:B,2,0)</f>
        <v>#VALUE!</v>
      </c>
      <c r="K2202" s="11"/>
      <c r="L2202" s="11"/>
      <c r="M2202" s="20" t="s">
        <v>658</v>
      </c>
    </row>
    <row r="2203" spans="1:13" ht="19.5" customHeight="1">
      <c r="A2203" s="21">
        <f t="shared" si="34"/>
        <v>2202</v>
      </c>
      <c r="B2203" s="13" t="s">
        <v>3295</v>
      </c>
      <c r="C2203" s="13" t="s">
        <v>80</v>
      </c>
      <c r="D2203" s="13" t="s">
        <v>3752</v>
      </c>
      <c r="E2203" s="13" t="s">
        <v>3753</v>
      </c>
      <c r="F2203" s="13" t="s">
        <v>3746</v>
      </c>
      <c r="G2203" s="13" t="s">
        <v>14</v>
      </c>
      <c r="H2203" s="22" t="str">
        <f>IFERROR(VLOOKUP(Table2[[#This Row], [Ticket]],Okey!A:B,2,0),"")</f>
        <v/>
      </c>
      <c r="I2203" s="13" t="s">
        <v>276</v>
      </c>
      <c r="J2203" s="22" t="e">
        <f>VLOOKUP(Table2[[#This Row], [Author]],People!A:B,2,0)</f>
        <v>#VALUE!</v>
      </c>
      <c r="K2203" s="13"/>
      <c r="L2203" s="13"/>
      <c r="M2203" s="23" t="s">
        <v>658</v>
      </c>
    </row>
    <row r="2204" spans="1:13" ht="19.5" customHeight="1">
      <c r="A2204" s="18">
        <f t="shared" si="34"/>
        <v>2203</v>
      </c>
      <c r="B2204" s="11" t="s">
        <v>3295</v>
      </c>
      <c r="C2204" s="11" t="s">
        <v>80</v>
      </c>
      <c r="D2204" s="11" t="s">
        <v>3754</v>
      </c>
      <c r="E2204" s="11" t="s">
        <v>3755</v>
      </c>
      <c r="F2204" s="11" t="s">
        <v>3746</v>
      </c>
      <c r="G2204" s="11" t="s">
        <v>14</v>
      </c>
      <c r="H2204" s="19" t="str">
        <f>IFERROR(VLOOKUP(Table2[[#This Row], [Ticket]],Okey!A:B,2,0),"")</f>
        <v/>
      </c>
      <c r="I2204" s="11" t="s">
        <v>276</v>
      </c>
      <c r="J2204" s="19" t="e">
        <f>VLOOKUP(Table2[[#This Row], [Author]],People!A:B,2,0)</f>
        <v>#VALUE!</v>
      </c>
      <c r="K2204" s="11"/>
      <c r="L2204" s="11"/>
      <c r="M2204" s="20" t="s">
        <v>658</v>
      </c>
    </row>
    <row r="2205" spans="1:13" ht="19.5" customHeight="1">
      <c r="A2205" s="21">
        <f t="shared" si="34"/>
        <v>2204</v>
      </c>
      <c r="B2205" s="13" t="s">
        <v>3295</v>
      </c>
      <c r="C2205" s="13" t="s">
        <v>80</v>
      </c>
      <c r="D2205" s="13" t="s">
        <v>3756</v>
      </c>
      <c r="E2205" s="13" t="s">
        <v>3757</v>
      </c>
      <c r="F2205" s="13" t="s">
        <v>3744</v>
      </c>
      <c r="G2205" s="13" t="s">
        <v>14</v>
      </c>
      <c r="H2205" s="22" t="str">
        <f>IFERROR(VLOOKUP(Table2[[#This Row], [Ticket]],Okey!A:B,2,0),"")</f>
        <v/>
      </c>
      <c r="I2205" s="13" t="s">
        <v>276</v>
      </c>
      <c r="J2205" s="22" t="e">
        <f>VLOOKUP(Table2[[#This Row], [Author]],People!A:B,2,0)</f>
        <v>#VALUE!</v>
      </c>
      <c r="K2205" s="13"/>
      <c r="L2205" s="13"/>
      <c r="M2205" s="23" t="s">
        <v>658</v>
      </c>
    </row>
    <row r="2206" spans="1:13" ht="19.5" customHeight="1">
      <c r="A2206" s="18">
        <f t="shared" si="34"/>
        <v>2205</v>
      </c>
      <c r="B2206" s="11" t="s">
        <v>3295</v>
      </c>
      <c r="C2206" s="11" t="s">
        <v>80</v>
      </c>
      <c r="D2206" s="11" t="s">
        <v>3758</v>
      </c>
      <c r="E2206" s="11" t="s">
        <v>3759</v>
      </c>
      <c r="F2206" s="11" t="s">
        <v>3756</v>
      </c>
      <c r="G2206" s="11" t="s">
        <v>14</v>
      </c>
      <c r="H2206" s="19" t="str">
        <f>IFERROR(VLOOKUP(Table2[[#This Row], [Ticket]],Okey!A:B,2,0),"")</f>
        <v/>
      </c>
      <c r="I2206" s="11" t="s">
        <v>276</v>
      </c>
      <c r="J2206" s="19" t="e">
        <f>VLOOKUP(Table2[[#This Row], [Author]],People!A:B,2,0)</f>
        <v>#VALUE!</v>
      </c>
      <c r="K2206" s="11"/>
      <c r="L2206" s="11"/>
      <c r="M2206" s="20" t="s">
        <v>658</v>
      </c>
    </row>
    <row r="2207" spans="1:13" ht="19.5" customHeight="1">
      <c r="A2207" s="21">
        <f t="shared" si="34"/>
        <v>2206</v>
      </c>
      <c r="B2207" s="13" t="s">
        <v>3295</v>
      </c>
      <c r="C2207" s="13" t="s">
        <v>80</v>
      </c>
      <c r="D2207" s="13" t="s">
        <v>3760</v>
      </c>
      <c r="E2207" s="13" t="s">
        <v>3761</v>
      </c>
      <c r="F2207" s="13" t="s">
        <v>3756</v>
      </c>
      <c r="G2207" s="13" t="s">
        <v>14</v>
      </c>
      <c r="H2207" s="22" t="str">
        <f>IFERROR(VLOOKUP(Table2[[#This Row], [Ticket]],Okey!A:B,2,0),"")</f>
        <v/>
      </c>
      <c r="I2207" s="13" t="s">
        <v>276</v>
      </c>
      <c r="J2207" s="22" t="e">
        <f>VLOOKUP(Table2[[#This Row], [Author]],People!A:B,2,0)</f>
        <v>#VALUE!</v>
      </c>
      <c r="K2207" s="13"/>
      <c r="L2207" s="13"/>
      <c r="M2207" s="23" t="s">
        <v>658</v>
      </c>
    </row>
    <row r="2208" spans="1:13" ht="19.5" customHeight="1">
      <c r="A2208" s="18">
        <f t="shared" si="34"/>
        <v>2207</v>
      </c>
      <c r="B2208" s="11" t="s">
        <v>3295</v>
      </c>
      <c r="C2208" s="11" t="s">
        <v>80</v>
      </c>
      <c r="D2208" s="11" t="s">
        <v>3762</v>
      </c>
      <c r="E2208" s="11" t="s">
        <v>3763</v>
      </c>
      <c r="F2208" s="11" t="s">
        <v>3756</v>
      </c>
      <c r="G2208" s="11" t="s">
        <v>14</v>
      </c>
      <c r="H2208" s="19" t="str">
        <f>IFERROR(VLOOKUP(Table2[[#This Row], [Ticket]],Okey!A:B,2,0),"")</f>
        <v/>
      </c>
      <c r="I2208" s="11" t="s">
        <v>276</v>
      </c>
      <c r="J2208" s="19" t="e">
        <f>VLOOKUP(Table2[[#This Row], [Author]],People!A:B,2,0)</f>
        <v>#VALUE!</v>
      </c>
      <c r="K2208" s="11"/>
      <c r="L2208" s="11"/>
      <c r="M2208" s="20" t="s">
        <v>658</v>
      </c>
    </row>
    <row r="2209" spans="1:13" ht="19.5" customHeight="1">
      <c r="A2209" s="21">
        <f t="shared" si="34"/>
        <v>2208</v>
      </c>
      <c r="B2209" s="13" t="s">
        <v>3295</v>
      </c>
      <c r="C2209" s="13" t="s">
        <v>80</v>
      </c>
      <c r="D2209" s="13" t="s">
        <v>3764</v>
      </c>
      <c r="E2209" s="13" t="s">
        <v>3765</v>
      </c>
      <c r="F2209" s="13" t="s">
        <v>3756</v>
      </c>
      <c r="G2209" s="13" t="s">
        <v>14</v>
      </c>
      <c r="H2209" s="22" t="str">
        <f>IFERROR(VLOOKUP(Table2[[#This Row], [Ticket]],Okey!A:B,2,0),"")</f>
        <v/>
      </c>
      <c r="I2209" s="13" t="s">
        <v>276</v>
      </c>
      <c r="J2209" s="22" t="e">
        <f>VLOOKUP(Table2[[#This Row], [Author]],People!A:B,2,0)</f>
        <v>#VALUE!</v>
      </c>
      <c r="K2209" s="13"/>
      <c r="L2209" s="13"/>
      <c r="M2209" s="23" t="s">
        <v>658</v>
      </c>
    </row>
    <row r="2210" spans="1:13" ht="19.5" customHeight="1">
      <c r="A2210" s="18">
        <f>+A2209+1</f>
        <v>2209</v>
      </c>
      <c r="B2210" s="11" t="s">
        <v>3295</v>
      </c>
      <c r="C2210" s="11" t="s">
        <v>84</v>
      </c>
      <c r="D2210" s="11" t="s">
        <v>391</v>
      </c>
      <c r="E2210" s="11" t="s">
        <v>3766</v>
      </c>
      <c r="F2210" s="11"/>
      <c r="G2210" s="11" t="s">
        <v>15</v>
      </c>
      <c r="H2210" s="19" t="str">
        <f>IFERROR(VLOOKUP(Table2[[#This Row], [Ticket]],Okey!A:B,2,0),"")</f>
        <v/>
      </c>
      <c r="I2210" s="11" t="s">
        <v>276</v>
      </c>
      <c r="J2210" s="19" t="e">
        <f>VLOOKUP(Table2[[#This Row], [Author]],People!A:B,2,0)</f>
        <v>#VALUE!</v>
      </c>
      <c r="K2210" s="11"/>
      <c r="L2210" s="11"/>
      <c r="M2210" s="20" t="s">
        <v>3767</v>
      </c>
    </row>
    <row r="2211" spans="1:13" ht="19.5" customHeight="1">
      <c r="A2211" s="21">
        <f t="shared" ref="A2211:A2274" si="35">1+A2210</f>
        <v>2210</v>
      </c>
      <c r="B2211" s="13" t="s">
        <v>3295</v>
      </c>
      <c r="C2211" s="13" t="s">
        <v>84</v>
      </c>
      <c r="D2211" s="13" t="s">
        <v>355</v>
      </c>
      <c r="E2211" s="13" t="s">
        <v>3768</v>
      </c>
      <c r="F2211" s="13"/>
      <c r="G2211" s="13" t="s">
        <v>15</v>
      </c>
      <c r="H2211" s="22" t="str">
        <f>IFERROR(VLOOKUP(Table2[[#This Row], [Ticket]],Okey!A:B,2,0),"")</f>
        <v/>
      </c>
      <c r="I2211" s="13" t="s">
        <v>276</v>
      </c>
      <c r="J2211" s="22" t="e">
        <f>VLOOKUP(Table2[[#This Row], [Author]],People!A:B,2,0)</f>
        <v>#VALUE!</v>
      </c>
      <c r="K2211" s="13"/>
      <c r="L2211" s="13"/>
      <c r="M2211" s="23" t="s">
        <v>3767</v>
      </c>
    </row>
    <row r="2212" spans="1:13" ht="19.5" customHeight="1">
      <c r="A2212" s="18">
        <f t="shared" si="35"/>
        <v>2211</v>
      </c>
      <c r="B2212" s="11" t="s">
        <v>3295</v>
      </c>
      <c r="C2212" s="11" t="s">
        <v>84</v>
      </c>
      <c r="D2212" s="11" t="s">
        <v>461</v>
      </c>
      <c r="E2212" s="11" t="s">
        <v>3769</v>
      </c>
      <c r="F2212" s="11"/>
      <c r="G2212" s="11" t="s">
        <v>15</v>
      </c>
      <c r="H2212" s="19" t="str">
        <f>IFERROR(VLOOKUP(Table2[[#This Row], [Ticket]],Okey!A:B,2,0),"")</f>
        <v/>
      </c>
      <c r="I2212" s="11" t="s">
        <v>276</v>
      </c>
      <c r="J2212" s="19" t="e">
        <f>VLOOKUP(Table2[[#This Row], [Author]],People!A:B,2,0)</f>
        <v>#VALUE!</v>
      </c>
      <c r="K2212" s="11"/>
      <c r="L2212" s="11"/>
      <c r="M2212" s="20" t="s">
        <v>3767</v>
      </c>
    </row>
    <row r="2213" spans="1:13" ht="19.5" customHeight="1">
      <c r="A2213" s="21">
        <f t="shared" si="35"/>
        <v>2212</v>
      </c>
      <c r="B2213" s="13" t="s">
        <v>3295</v>
      </c>
      <c r="C2213" s="13" t="s">
        <v>84</v>
      </c>
      <c r="D2213" s="13" t="s">
        <v>421</v>
      </c>
      <c r="E2213" s="13" t="s">
        <v>3770</v>
      </c>
      <c r="F2213" s="13"/>
      <c r="G2213" s="13" t="s">
        <v>15</v>
      </c>
      <c r="H2213" s="22" t="str">
        <f>IFERROR(VLOOKUP(Table2[[#This Row], [Ticket]],Okey!A:B,2,0),"")</f>
        <v/>
      </c>
      <c r="I2213" s="13" t="s">
        <v>276</v>
      </c>
      <c r="J2213" s="22" t="e">
        <f>VLOOKUP(Table2[[#This Row], [Author]],People!A:B,2,0)</f>
        <v>#VALUE!</v>
      </c>
      <c r="K2213" s="13"/>
      <c r="L2213" s="13"/>
      <c r="M2213" s="23" t="s">
        <v>3767</v>
      </c>
    </row>
    <row r="2214" spans="1:13" ht="19.5" customHeight="1">
      <c r="A2214" s="18">
        <f t="shared" si="35"/>
        <v>2213</v>
      </c>
      <c r="B2214" s="11" t="s">
        <v>3295</v>
      </c>
      <c r="C2214" s="11" t="s">
        <v>84</v>
      </c>
      <c r="D2214" s="11" t="s">
        <v>423</v>
      </c>
      <c r="E2214" s="11" t="s">
        <v>3771</v>
      </c>
      <c r="F2214" s="11"/>
      <c r="G2214" s="11" t="s">
        <v>15</v>
      </c>
      <c r="H2214" s="19" t="str">
        <f>IFERROR(VLOOKUP(Table2[[#This Row], [Ticket]],Okey!A:B,2,0),"")</f>
        <v/>
      </c>
      <c r="I2214" s="11" t="s">
        <v>276</v>
      </c>
      <c r="J2214" s="19" t="e">
        <f>VLOOKUP(Table2[[#This Row], [Author]],People!A:B,2,0)</f>
        <v>#VALUE!</v>
      </c>
      <c r="K2214" s="11"/>
      <c r="L2214" s="11"/>
      <c r="M2214" s="20" t="s">
        <v>3767</v>
      </c>
    </row>
    <row r="2215" spans="1:13" ht="19.5" customHeight="1">
      <c r="A2215" s="21">
        <f t="shared" si="35"/>
        <v>2214</v>
      </c>
      <c r="B2215" s="13" t="s">
        <v>3295</v>
      </c>
      <c r="C2215" s="13" t="s">
        <v>85</v>
      </c>
      <c r="D2215" s="13" t="s">
        <v>3772</v>
      </c>
      <c r="E2215" s="13" t="s">
        <v>3773</v>
      </c>
      <c r="F2215" s="13" t="s">
        <v>1688</v>
      </c>
      <c r="G2215" s="13" t="s">
        <v>14</v>
      </c>
      <c r="H2215" s="22" t="str">
        <f>IFERROR(VLOOKUP(Table2[[#This Row], [Ticket]],Okey!A:B,2,0),"")</f>
        <v/>
      </c>
      <c r="I2215" s="13" t="s">
        <v>276</v>
      </c>
      <c r="J2215" s="22" t="e">
        <f>VLOOKUP(Table2[[#This Row], [Author]],People!A:B,2,0)</f>
        <v>#VALUE!</v>
      </c>
      <c r="K2215" s="13"/>
      <c r="L2215" s="13"/>
      <c r="M2215" s="23" t="s">
        <v>1689</v>
      </c>
    </row>
    <row r="2216" spans="1:13" ht="19.5" customHeight="1">
      <c r="A2216" s="18">
        <f t="shared" si="35"/>
        <v>2215</v>
      </c>
      <c r="B2216" s="11" t="s">
        <v>3295</v>
      </c>
      <c r="C2216" s="11" t="s">
        <v>85</v>
      </c>
      <c r="D2216" s="11" t="s">
        <v>3774</v>
      </c>
      <c r="E2216" s="11" t="s">
        <v>3775</v>
      </c>
      <c r="F2216" s="11" t="s">
        <v>1688</v>
      </c>
      <c r="G2216" s="11" t="s">
        <v>14</v>
      </c>
      <c r="H2216" s="19" t="str">
        <f>IFERROR(VLOOKUP(Table2[[#This Row], [Ticket]],Okey!A:B,2,0),"")</f>
        <v/>
      </c>
      <c r="I2216" s="11" t="s">
        <v>276</v>
      </c>
      <c r="J2216" s="19" t="e">
        <f>VLOOKUP(Table2[[#This Row], [Author]],People!A:B,2,0)</f>
        <v>#VALUE!</v>
      </c>
      <c r="K2216" s="11"/>
      <c r="L2216" s="11"/>
      <c r="M2216" s="20" t="s">
        <v>1689</v>
      </c>
    </row>
    <row r="2217" spans="1:13" ht="19.5" customHeight="1">
      <c r="A2217" s="21">
        <f t="shared" si="35"/>
        <v>2216</v>
      </c>
      <c r="B2217" s="13" t="s">
        <v>3295</v>
      </c>
      <c r="C2217" s="13" t="s">
        <v>85</v>
      </c>
      <c r="D2217" s="13" t="s">
        <v>3776</v>
      </c>
      <c r="E2217" s="13" t="s">
        <v>3777</v>
      </c>
      <c r="F2217" s="13" t="s">
        <v>3778</v>
      </c>
      <c r="G2217" s="13" t="s">
        <v>14</v>
      </c>
      <c r="H2217" s="22" t="str">
        <f>IFERROR(VLOOKUP(Table2[[#This Row], [Ticket]],Okey!A:B,2,0),"")</f>
        <v/>
      </c>
      <c r="I2217" s="13" t="s">
        <v>276</v>
      </c>
      <c r="J2217" s="22" t="e">
        <f>VLOOKUP(Table2[[#This Row], [Author]],People!A:B,2,0)</f>
        <v>#VALUE!</v>
      </c>
      <c r="K2217" s="13"/>
      <c r="L2217" s="13"/>
      <c r="M2217" s="23" t="s">
        <v>1689</v>
      </c>
    </row>
    <row r="2218" spans="1:13" ht="19.5" customHeight="1">
      <c r="A2218" s="18">
        <f t="shared" si="35"/>
        <v>2217</v>
      </c>
      <c r="B2218" s="11" t="s">
        <v>3295</v>
      </c>
      <c r="C2218" s="11" t="s">
        <v>85</v>
      </c>
      <c r="D2218" s="11" t="s">
        <v>3779</v>
      </c>
      <c r="E2218" s="11" t="s">
        <v>3780</v>
      </c>
      <c r="F2218" s="11" t="s">
        <v>3781</v>
      </c>
      <c r="G2218" s="11" t="s">
        <v>14</v>
      </c>
      <c r="H2218" s="19" t="str">
        <f>IFERROR(VLOOKUP(Table2[[#This Row], [Ticket]],Okey!A:B,2,0),"")</f>
        <v/>
      </c>
      <c r="I2218" s="11" t="s">
        <v>276</v>
      </c>
      <c r="J2218" s="19" t="e">
        <f>VLOOKUP(Table2[[#This Row], [Author]],People!A:B,2,0)</f>
        <v>#VALUE!</v>
      </c>
      <c r="K2218" s="11"/>
      <c r="L2218" s="11"/>
      <c r="M2218" s="20" t="s">
        <v>1689</v>
      </c>
    </row>
    <row r="2219" spans="1:13" ht="19.5" customHeight="1">
      <c r="A2219" s="21">
        <f t="shared" si="35"/>
        <v>2218</v>
      </c>
      <c r="B2219" s="13" t="s">
        <v>3295</v>
      </c>
      <c r="C2219" s="13" t="s">
        <v>85</v>
      </c>
      <c r="D2219" s="13" t="s">
        <v>3782</v>
      </c>
      <c r="E2219" s="13" t="s">
        <v>3783</v>
      </c>
      <c r="F2219" s="13" t="s">
        <v>1690</v>
      </c>
      <c r="G2219" s="13" t="s">
        <v>14</v>
      </c>
      <c r="H2219" s="22" t="str">
        <f>IFERROR(VLOOKUP(Table2[[#This Row], [Ticket]],Okey!A:B,2,0),"")</f>
        <v/>
      </c>
      <c r="I2219" s="13" t="s">
        <v>276</v>
      </c>
      <c r="J2219" s="22" t="e">
        <f>VLOOKUP(Table2[[#This Row], [Author]],People!A:B,2,0)</f>
        <v>#VALUE!</v>
      </c>
      <c r="K2219" s="13"/>
      <c r="L2219" s="13"/>
      <c r="M2219" s="23" t="s">
        <v>1689</v>
      </c>
    </row>
    <row r="2220" spans="1:13" ht="19.5" customHeight="1">
      <c r="A2220" s="18">
        <f t="shared" si="35"/>
        <v>2219</v>
      </c>
      <c r="B2220" s="11" t="s">
        <v>3295</v>
      </c>
      <c r="C2220" s="11" t="s">
        <v>85</v>
      </c>
      <c r="D2220" s="11" t="s">
        <v>3784</v>
      </c>
      <c r="E2220" s="11" t="s">
        <v>3783</v>
      </c>
      <c r="F2220" s="11" t="s">
        <v>1692</v>
      </c>
      <c r="G2220" s="11" t="s">
        <v>14</v>
      </c>
      <c r="H2220" s="19" t="str">
        <f>IFERROR(VLOOKUP(Table2[[#This Row], [Ticket]],Okey!A:B,2,0),"")</f>
        <v/>
      </c>
      <c r="I2220" s="11" t="s">
        <v>276</v>
      </c>
      <c r="J2220" s="19" t="e">
        <f>VLOOKUP(Table2[[#This Row], [Author]],People!A:B,2,0)</f>
        <v>#VALUE!</v>
      </c>
      <c r="K2220" s="11"/>
      <c r="L2220" s="11"/>
      <c r="M2220" s="20" t="s">
        <v>1689</v>
      </c>
    </row>
    <row r="2221" spans="1:13" ht="19.5" customHeight="1">
      <c r="A2221" s="21">
        <f t="shared" si="35"/>
        <v>2220</v>
      </c>
      <c r="B2221" s="13" t="s">
        <v>3295</v>
      </c>
      <c r="C2221" s="13" t="s">
        <v>85</v>
      </c>
      <c r="D2221" s="13" t="s">
        <v>3785</v>
      </c>
      <c r="E2221" s="13" t="s">
        <v>3786</v>
      </c>
      <c r="F2221" s="13" t="s">
        <v>3772</v>
      </c>
      <c r="G2221" s="13" t="s">
        <v>14</v>
      </c>
      <c r="H2221" s="22" t="str">
        <f>IFERROR(VLOOKUP(Table2[[#This Row], [Ticket]],Okey!A:B,2,0),"")</f>
        <v/>
      </c>
      <c r="I2221" s="13" t="s">
        <v>276</v>
      </c>
      <c r="J2221" s="22" t="e">
        <f>VLOOKUP(Table2[[#This Row], [Author]],People!A:B,2,0)</f>
        <v>#VALUE!</v>
      </c>
      <c r="K2221" s="13"/>
      <c r="L2221" s="13"/>
      <c r="M2221" s="23" t="s">
        <v>1689</v>
      </c>
    </row>
    <row r="2222" spans="1:13" ht="19.5" customHeight="1">
      <c r="A2222" s="18">
        <f t="shared" si="35"/>
        <v>2221</v>
      </c>
      <c r="B2222" s="11" t="s">
        <v>3295</v>
      </c>
      <c r="C2222" s="11" t="s">
        <v>85</v>
      </c>
      <c r="D2222" s="11" t="s">
        <v>3787</v>
      </c>
      <c r="E2222" s="11" t="s">
        <v>3786</v>
      </c>
      <c r="F2222" s="11" t="s">
        <v>3788</v>
      </c>
      <c r="G2222" s="11" t="s">
        <v>14</v>
      </c>
      <c r="H2222" s="19" t="str">
        <f>IFERROR(VLOOKUP(Table2[[#This Row], [Ticket]],Okey!A:B,2,0),"")</f>
        <v/>
      </c>
      <c r="I2222" s="11" t="s">
        <v>276</v>
      </c>
      <c r="J2222" s="19" t="e">
        <f>VLOOKUP(Table2[[#This Row], [Author]],People!A:B,2,0)</f>
        <v>#VALUE!</v>
      </c>
      <c r="K2222" s="11"/>
      <c r="L2222" s="11"/>
      <c r="M2222" s="20" t="s">
        <v>1689</v>
      </c>
    </row>
    <row r="2223" spans="1:13" ht="19.5" customHeight="1">
      <c r="A2223" s="21">
        <f t="shared" si="35"/>
        <v>2222</v>
      </c>
      <c r="B2223" s="13" t="s">
        <v>3295</v>
      </c>
      <c r="C2223" s="13" t="s">
        <v>85</v>
      </c>
      <c r="D2223" s="13" t="s">
        <v>3788</v>
      </c>
      <c r="E2223" s="13" t="s">
        <v>1691</v>
      </c>
      <c r="F2223" s="13" t="s">
        <v>3789</v>
      </c>
      <c r="G2223" s="13" t="s">
        <v>14</v>
      </c>
      <c r="H2223" s="22" t="str">
        <f>IFERROR(VLOOKUP(Table2[[#This Row], [Ticket]],Okey!A:B,2,0),"")</f>
        <v/>
      </c>
      <c r="I2223" s="13" t="s">
        <v>276</v>
      </c>
      <c r="J2223" s="22" t="e">
        <f>VLOOKUP(Table2[[#This Row], [Author]],People!A:B,2,0)</f>
        <v>#VALUE!</v>
      </c>
      <c r="K2223" s="13"/>
      <c r="L2223" s="13"/>
      <c r="M2223" s="23" t="s">
        <v>1689</v>
      </c>
    </row>
    <row r="2224" spans="1:13" ht="19.5" customHeight="1">
      <c r="A2224" s="18">
        <f t="shared" si="35"/>
        <v>2223</v>
      </c>
      <c r="B2224" s="11" t="s">
        <v>3295</v>
      </c>
      <c r="C2224" s="11" t="s">
        <v>85</v>
      </c>
      <c r="D2224" s="11" t="s">
        <v>3789</v>
      </c>
      <c r="E2224" s="11" t="s">
        <v>1693</v>
      </c>
      <c r="F2224" s="11" t="s">
        <v>3785</v>
      </c>
      <c r="G2224" s="11" t="s">
        <v>14</v>
      </c>
      <c r="H2224" s="19" t="str">
        <f>IFERROR(VLOOKUP(Table2[[#This Row], [Ticket]],Okey!A:B,2,0),"")</f>
        <v/>
      </c>
      <c r="I2224" s="11" t="s">
        <v>276</v>
      </c>
      <c r="J2224" s="19" t="e">
        <f>VLOOKUP(Table2[[#This Row], [Author]],People!A:B,2,0)</f>
        <v>#VALUE!</v>
      </c>
      <c r="K2224" s="11"/>
      <c r="L2224" s="11"/>
      <c r="M2224" s="20" t="s">
        <v>1689</v>
      </c>
    </row>
    <row r="2225" spans="1:13" ht="19.5" customHeight="1">
      <c r="A2225" s="21">
        <f t="shared" si="35"/>
        <v>2224</v>
      </c>
      <c r="B2225" s="13" t="s">
        <v>3295</v>
      </c>
      <c r="C2225" s="13" t="s">
        <v>85</v>
      </c>
      <c r="D2225" s="13" t="s">
        <v>3790</v>
      </c>
      <c r="E2225" s="13" t="s">
        <v>1691</v>
      </c>
      <c r="F2225" s="13" t="s">
        <v>3787</v>
      </c>
      <c r="G2225" s="13" t="s">
        <v>14</v>
      </c>
      <c r="H2225" s="22" t="str">
        <f>IFERROR(VLOOKUP(Table2[[#This Row], [Ticket]],Okey!A:B,2,0),"")</f>
        <v/>
      </c>
      <c r="I2225" s="13" t="s">
        <v>276</v>
      </c>
      <c r="J2225" s="22" t="e">
        <f>VLOOKUP(Table2[[#This Row], [Author]],People!A:B,2,0)</f>
        <v>#VALUE!</v>
      </c>
      <c r="K2225" s="13"/>
      <c r="L2225" s="13"/>
      <c r="M2225" s="23" t="s">
        <v>1689</v>
      </c>
    </row>
    <row r="2226" spans="1:13" ht="19.5" customHeight="1">
      <c r="A2226" s="18">
        <f t="shared" si="35"/>
        <v>2225</v>
      </c>
      <c r="B2226" s="11" t="s">
        <v>3295</v>
      </c>
      <c r="C2226" s="11" t="s">
        <v>85</v>
      </c>
      <c r="D2226" s="11" t="s">
        <v>3791</v>
      </c>
      <c r="E2226" s="11" t="s">
        <v>1693</v>
      </c>
      <c r="F2226" s="11" t="s">
        <v>3787</v>
      </c>
      <c r="G2226" s="11" t="s">
        <v>14</v>
      </c>
      <c r="H2226" s="19" t="str">
        <f>IFERROR(VLOOKUP(Table2[[#This Row], [Ticket]],Okey!A:B,2,0),"")</f>
        <v/>
      </c>
      <c r="I2226" s="11" t="s">
        <v>276</v>
      </c>
      <c r="J2226" s="19" t="e">
        <f>VLOOKUP(Table2[[#This Row], [Author]],People!A:B,2,0)</f>
        <v>#VALUE!</v>
      </c>
      <c r="K2226" s="11"/>
      <c r="L2226" s="11"/>
      <c r="M2226" s="20" t="s">
        <v>1689</v>
      </c>
    </row>
    <row r="2227" spans="1:13" ht="19.5" customHeight="1">
      <c r="A2227" s="21">
        <f t="shared" si="35"/>
        <v>2226</v>
      </c>
      <c r="B2227" s="13" t="s">
        <v>3295</v>
      </c>
      <c r="C2227" s="13" t="s">
        <v>85</v>
      </c>
      <c r="D2227" s="13" t="s">
        <v>3792</v>
      </c>
      <c r="E2227" s="13" t="s">
        <v>3775</v>
      </c>
      <c r="F2227" s="13" t="s">
        <v>3774</v>
      </c>
      <c r="G2227" s="13" t="s">
        <v>14</v>
      </c>
      <c r="H2227" s="22" t="str">
        <f>IFERROR(VLOOKUP(Table2[[#This Row], [Ticket]],Okey!A:B,2,0),"")</f>
        <v/>
      </c>
      <c r="I2227" s="13" t="s">
        <v>276</v>
      </c>
      <c r="J2227" s="22" t="e">
        <f>VLOOKUP(Table2[[#This Row], [Author]],People!A:B,2,0)</f>
        <v>#VALUE!</v>
      </c>
      <c r="K2227" s="13"/>
      <c r="L2227" s="13"/>
      <c r="M2227" s="23" t="s">
        <v>1689</v>
      </c>
    </row>
    <row r="2228" spans="1:13" ht="19.5" customHeight="1">
      <c r="A2228" s="18">
        <f t="shared" si="35"/>
        <v>2227</v>
      </c>
      <c r="B2228" s="11" t="s">
        <v>3295</v>
      </c>
      <c r="C2228" s="11" t="s">
        <v>85</v>
      </c>
      <c r="D2228" s="11" t="s">
        <v>3793</v>
      </c>
      <c r="E2228" s="11" t="s">
        <v>3775</v>
      </c>
      <c r="F2228" s="11" t="s">
        <v>3790</v>
      </c>
      <c r="G2228" s="11" t="s">
        <v>14</v>
      </c>
      <c r="H2228" s="19" t="str">
        <f>IFERROR(VLOOKUP(Table2[[#This Row], [Ticket]],Okey!A:B,2,0),"")</f>
        <v/>
      </c>
      <c r="I2228" s="11" t="s">
        <v>276</v>
      </c>
      <c r="J2228" s="19" t="e">
        <f>VLOOKUP(Table2[[#This Row], [Author]],People!A:B,2,0)</f>
        <v>#VALUE!</v>
      </c>
      <c r="K2228" s="11"/>
      <c r="L2228" s="11"/>
      <c r="M2228" s="20" t="s">
        <v>1689</v>
      </c>
    </row>
    <row r="2229" spans="1:13" ht="19.5" customHeight="1">
      <c r="A2229" s="21">
        <f t="shared" si="35"/>
        <v>2228</v>
      </c>
      <c r="B2229" s="13" t="s">
        <v>3295</v>
      </c>
      <c r="C2229" s="13" t="s">
        <v>85</v>
      </c>
      <c r="D2229" s="13" t="s">
        <v>3794</v>
      </c>
      <c r="E2229" s="13" t="s">
        <v>3795</v>
      </c>
      <c r="F2229" s="13"/>
      <c r="G2229" s="13" t="s">
        <v>15</v>
      </c>
      <c r="H2229" s="22" t="str">
        <f>IFERROR(VLOOKUP(Table2[[#This Row], [Ticket]],Okey!A:B,2,0),"")</f>
        <v/>
      </c>
      <c r="I2229" s="13" t="s">
        <v>276</v>
      </c>
      <c r="J2229" s="22" t="e">
        <f>VLOOKUP(Table2[[#This Row], [Author]],People!A:B,2,0)</f>
        <v>#VALUE!</v>
      </c>
      <c r="K2229" s="13"/>
      <c r="L2229" s="13"/>
      <c r="M2229" s="23" t="s">
        <v>1689</v>
      </c>
    </row>
    <row r="2230" spans="1:13" ht="19.5" customHeight="1">
      <c r="A2230" s="18">
        <f t="shared" si="35"/>
        <v>2229</v>
      </c>
      <c r="B2230" s="11" t="s">
        <v>3295</v>
      </c>
      <c r="C2230" s="11" t="s">
        <v>85</v>
      </c>
      <c r="D2230" s="11" t="s">
        <v>3796</v>
      </c>
      <c r="E2230" s="11" t="s">
        <v>3797</v>
      </c>
      <c r="F2230" s="11"/>
      <c r="G2230" s="11" t="s">
        <v>15</v>
      </c>
      <c r="H2230" s="19" t="str">
        <f>IFERROR(VLOOKUP(Table2[[#This Row], [Ticket]],Okey!A:B,2,0),"")</f>
        <v/>
      </c>
      <c r="I2230" s="11" t="s">
        <v>276</v>
      </c>
      <c r="J2230" s="19" t="e">
        <f>VLOOKUP(Table2[[#This Row], [Author]],People!A:B,2,0)</f>
        <v>#VALUE!</v>
      </c>
      <c r="K2230" s="11"/>
      <c r="L2230" s="11"/>
      <c r="M2230" s="20" t="s">
        <v>1689</v>
      </c>
    </row>
    <row r="2231" spans="1:13" ht="19.5" customHeight="1">
      <c r="A2231" s="21">
        <f t="shared" si="35"/>
        <v>2230</v>
      </c>
      <c r="B2231" s="13" t="s">
        <v>3295</v>
      </c>
      <c r="C2231" s="13" t="s">
        <v>85</v>
      </c>
      <c r="D2231" s="13" t="s">
        <v>3798</v>
      </c>
      <c r="E2231" s="13" t="s">
        <v>3799</v>
      </c>
      <c r="F2231" s="13"/>
      <c r="G2231" s="13" t="s">
        <v>15</v>
      </c>
      <c r="H2231" s="22" t="str">
        <f>IFERROR(VLOOKUP(Table2[[#This Row], [Ticket]],Okey!A:B,2,0),"")</f>
        <v/>
      </c>
      <c r="I2231" s="13" t="s">
        <v>276</v>
      </c>
      <c r="J2231" s="22" t="e">
        <f>VLOOKUP(Table2[[#This Row], [Author]],People!A:B,2,0)</f>
        <v>#VALUE!</v>
      </c>
      <c r="K2231" s="13"/>
      <c r="L2231" s="13"/>
      <c r="M2231" s="23" t="s">
        <v>1689</v>
      </c>
    </row>
    <row r="2232" spans="1:13" ht="19.5" customHeight="1">
      <c r="A2232" s="18">
        <f t="shared" si="35"/>
        <v>2231</v>
      </c>
      <c r="B2232" s="11" t="s">
        <v>3295</v>
      </c>
      <c r="C2232" s="11" t="s">
        <v>85</v>
      </c>
      <c r="D2232" s="11" t="s">
        <v>3800</v>
      </c>
      <c r="E2232" s="11" t="s">
        <v>3801</v>
      </c>
      <c r="F2232" s="11"/>
      <c r="G2232" s="11" t="s">
        <v>15</v>
      </c>
      <c r="H2232" s="19" t="str">
        <f>IFERROR(VLOOKUP(Table2[[#This Row], [Ticket]],Okey!A:B,2,0),"")</f>
        <v/>
      </c>
      <c r="I2232" s="11" t="s">
        <v>276</v>
      </c>
      <c r="J2232" s="19" t="e">
        <f>VLOOKUP(Table2[[#This Row], [Author]],People!A:B,2,0)</f>
        <v>#VALUE!</v>
      </c>
      <c r="K2232" s="11"/>
      <c r="L2232" s="11"/>
      <c r="M2232" s="20" t="s">
        <v>1689</v>
      </c>
    </row>
    <row r="2233" spans="1:13" ht="19.5" customHeight="1">
      <c r="A2233" s="21">
        <f t="shared" si="35"/>
        <v>2232</v>
      </c>
      <c r="B2233" s="13" t="s">
        <v>3295</v>
      </c>
      <c r="C2233" s="13" t="s">
        <v>85</v>
      </c>
      <c r="D2233" s="13" t="s">
        <v>3802</v>
      </c>
      <c r="E2233" s="13" t="s">
        <v>3803</v>
      </c>
      <c r="F2233" s="13"/>
      <c r="G2233" s="13" t="s">
        <v>15</v>
      </c>
      <c r="H2233" s="22" t="str">
        <f>IFERROR(VLOOKUP(Table2[[#This Row], [Ticket]],Okey!A:B,2,0),"")</f>
        <v/>
      </c>
      <c r="I2233" s="13" t="s">
        <v>276</v>
      </c>
      <c r="J2233" s="22" t="e">
        <f>VLOOKUP(Table2[[#This Row], [Author]],People!A:B,2,0)</f>
        <v>#VALUE!</v>
      </c>
      <c r="K2233" s="13"/>
      <c r="L2233" s="13"/>
      <c r="M2233" s="23" t="s">
        <v>1689</v>
      </c>
    </row>
    <row r="2234" spans="1:13" ht="19.5" customHeight="1">
      <c r="A2234" s="18">
        <f t="shared" si="35"/>
        <v>2233</v>
      </c>
      <c r="B2234" s="11" t="s">
        <v>3295</v>
      </c>
      <c r="C2234" s="11" t="s">
        <v>85</v>
      </c>
      <c r="D2234" s="11" t="s">
        <v>3804</v>
      </c>
      <c r="E2234" s="11" t="s">
        <v>3805</v>
      </c>
      <c r="F2234" s="11"/>
      <c r="G2234" s="11" t="s">
        <v>15</v>
      </c>
      <c r="H2234" s="19" t="str">
        <f>IFERROR(VLOOKUP(Table2[[#This Row], [Ticket]],Okey!A:B,2,0),"")</f>
        <v/>
      </c>
      <c r="I2234" s="11" t="s">
        <v>276</v>
      </c>
      <c r="J2234" s="19" t="e">
        <f>VLOOKUP(Table2[[#This Row], [Author]],People!A:B,2,0)</f>
        <v>#VALUE!</v>
      </c>
      <c r="K2234" s="11"/>
      <c r="L2234" s="11"/>
      <c r="M2234" s="20" t="s">
        <v>1689</v>
      </c>
    </row>
    <row r="2235" spans="1:13" ht="19.5" customHeight="1">
      <c r="A2235" s="21">
        <f t="shared" si="35"/>
        <v>2234</v>
      </c>
      <c r="B2235" s="13" t="s">
        <v>3295</v>
      </c>
      <c r="C2235" s="13" t="s">
        <v>85</v>
      </c>
      <c r="D2235" s="13" t="s">
        <v>3806</v>
      </c>
      <c r="E2235" s="13" t="s">
        <v>3797</v>
      </c>
      <c r="F2235" s="13"/>
      <c r="G2235" s="13" t="s">
        <v>15</v>
      </c>
      <c r="H2235" s="22" t="str">
        <f>IFERROR(VLOOKUP(Table2[[#This Row], [Ticket]],Okey!A:B,2,0),"")</f>
        <v/>
      </c>
      <c r="I2235" s="13" t="s">
        <v>276</v>
      </c>
      <c r="J2235" s="22" t="e">
        <f>VLOOKUP(Table2[[#This Row], [Author]],People!A:B,2,0)</f>
        <v>#VALUE!</v>
      </c>
      <c r="K2235" s="13"/>
      <c r="L2235" s="13"/>
      <c r="M2235" s="23" t="s">
        <v>1689</v>
      </c>
    </row>
    <row r="2236" spans="1:13" ht="19.5" customHeight="1">
      <c r="A2236" s="18">
        <f t="shared" si="35"/>
        <v>2235</v>
      </c>
      <c r="B2236" s="11" t="s">
        <v>3295</v>
      </c>
      <c r="C2236" s="11" t="s">
        <v>85</v>
      </c>
      <c r="D2236" s="11" t="s">
        <v>3807</v>
      </c>
      <c r="E2236" s="11" t="s">
        <v>3799</v>
      </c>
      <c r="F2236" s="11"/>
      <c r="G2236" s="11" t="s">
        <v>15</v>
      </c>
      <c r="H2236" s="19" t="str">
        <f>IFERROR(VLOOKUP(Table2[[#This Row], [Ticket]],Okey!A:B,2,0),"")</f>
        <v/>
      </c>
      <c r="I2236" s="11" t="s">
        <v>276</v>
      </c>
      <c r="J2236" s="19" t="e">
        <f>VLOOKUP(Table2[[#This Row], [Author]],People!A:B,2,0)</f>
        <v>#VALUE!</v>
      </c>
      <c r="K2236" s="11"/>
      <c r="L2236" s="11"/>
      <c r="M2236" s="20" t="s">
        <v>1689</v>
      </c>
    </row>
    <row r="2237" spans="1:13" ht="19.5" customHeight="1">
      <c r="A2237" s="21">
        <f t="shared" si="35"/>
        <v>2236</v>
      </c>
      <c r="B2237" s="13" t="s">
        <v>3295</v>
      </c>
      <c r="C2237" s="13" t="s">
        <v>85</v>
      </c>
      <c r="D2237" s="13" t="s">
        <v>3808</v>
      </c>
      <c r="E2237" s="13" t="s">
        <v>3801</v>
      </c>
      <c r="F2237" s="13"/>
      <c r="G2237" s="13" t="s">
        <v>15</v>
      </c>
      <c r="H2237" s="22" t="str">
        <f>IFERROR(VLOOKUP(Table2[[#This Row], [Ticket]],Okey!A:B,2,0),"")</f>
        <v/>
      </c>
      <c r="I2237" s="13" t="s">
        <v>276</v>
      </c>
      <c r="J2237" s="22" t="e">
        <f>VLOOKUP(Table2[[#This Row], [Author]],People!A:B,2,0)</f>
        <v>#VALUE!</v>
      </c>
      <c r="K2237" s="13"/>
      <c r="L2237" s="13"/>
      <c r="M2237" s="23" t="s">
        <v>1689</v>
      </c>
    </row>
    <row r="2238" spans="1:13" ht="19.5" customHeight="1">
      <c r="A2238" s="18">
        <f t="shared" si="35"/>
        <v>2237</v>
      </c>
      <c r="B2238" s="11" t="s">
        <v>3295</v>
      </c>
      <c r="C2238" s="11" t="s">
        <v>85</v>
      </c>
      <c r="D2238" s="11" t="s">
        <v>3809</v>
      </c>
      <c r="E2238" s="11" t="s">
        <v>3803</v>
      </c>
      <c r="F2238" s="11"/>
      <c r="G2238" s="11" t="s">
        <v>15</v>
      </c>
      <c r="H2238" s="19" t="str">
        <f>IFERROR(VLOOKUP(Table2[[#This Row], [Ticket]],Okey!A:B,2,0),"")</f>
        <v/>
      </c>
      <c r="I2238" s="11" t="s">
        <v>276</v>
      </c>
      <c r="J2238" s="19" t="e">
        <f>VLOOKUP(Table2[[#This Row], [Author]],People!A:B,2,0)</f>
        <v>#VALUE!</v>
      </c>
      <c r="K2238" s="11"/>
      <c r="L2238" s="11"/>
      <c r="M2238" s="20" t="s">
        <v>1689</v>
      </c>
    </row>
    <row r="2239" spans="1:13" ht="19.5" customHeight="1">
      <c r="A2239" s="21">
        <f t="shared" si="35"/>
        <v>2238</v>
      </c>
      <c r="B2239" s="13" t="s">
        <v>3295</v>
      </c>
      <c r="C2239" s="13" t="s">
        <v>85</v>
      </c>
      <c r="D2239" s="13" t="s">
        <v>3810</v>
      </c>
      <c r="E2239" s="13" t="s">
        <v>3805</v>
      </c>
      <c r="F2239" s="13"/>
      <c r="G2239" s="13" t="s">
        <v>15</v>
      </c>
      <c r="H2239" s="22" t="str">
        <f>IFERROR(VLOOKUP(Table2[[#This Row], [Ticket]],Okey!A:B,2,0),"")</f>
        <v/>
      </c>
      <c r="I2239" s="13" t="s">
        <v>276</v>
      </c>
      <c r="J2239" s="22" t="e">
        <f>VLOOKUP(Table2[[#This Row], [Author]],People!A:B,2,0)</f>
        <v>#VALUE!</v>
      </c>
      <c r="K2239" s="13"/>
      <c r="L2239" s="13"/>
      <c r="M2239" s="23" t="s">
        <v>1689</v>
      </c>
    </row>
    <row r="2240" spans="1:13" ht="19.5" customHeight="1">
      <c r="A2240" s="18">
        <f t="shared" si="35"/>
        <v>2239</v>
      </c>
      <c r="B2240" s="11" t="s">
        <v>3295</v>
      </c>
      <c r="C2240" s="11" t="s">
        <v>85</v>
      </c>
      <c r="D2240" s="11" t="s">
        <v>3811</v>
      </c>
      <c r="E2240" s="11" t="s">
        <v>3797</v>
      </c>
      <c r="F2240" s="11"/>
      <c r="G2240" s="11" t="s">
        <v>15</v>
      </c>
      <c r="H2240" s="19" t="str">
        <f>IFERROR(VLOOKUP(Table2[[#This Row], [Ticket]],Okey!A:B,2,0),"")</f>
        <v/>
      </c>
      <c r="I2240" s="11" t="s">
        <v>276</v>
      </c>
      <c r="J2240" s="19" t="e">
        <f>VLOOKUP(Table2[[#This Row], [Author]],People!A:B,2,0)</f>
        <v>#VALUE!</v>
      </c>
      <c r="K2240" s="11"/>
      <c r="L2240" s="11"/>
      <c r="M2240" s="20" t="s">
        <v>1689</v>
      </c>
    </row>
    <row r="2241" spans="1:13" ht="19.5" customHeight="1">
      <c r="A2241" s="21">
        <f t="shared" si="35"/>
        <v>2240</v>
      </c>
      <c r="B2241" s="13" t="s">
        <v>3295</v>
      </c>
      <c r="C2241" s="13" t="s">
        <v>85</v>
      </c>
      <c r="D2241" s="13" t="s">
        <v>3812</v>
      </c>
      <c r="E2241" s="13" t="s">
        <v>3786</v>
      </c>
      <c r="F2241" s="13"/>
      <c r="G2241" s="13" t="s">
        <v>15</v>
      </c>
      <c r="H2241" s="22" t="str">
        <f>IFERROR(VLOOKUP(Table2[[#This Row], [Ticket]],Okey!A:B,2,0),"")</f>
        <v/>
      </c>
      <c r="I2241" s="13" t="s">
        <v>276</v>
      </c>
      <c r="J2241" s="22" t="e">
        <f>VLOOKUP(Table2[[#This Row], [Author]],People!A:B,2,0)</f>
        <v>#VALUE!</v>
      </c>
      <c r="K2241" s="13"/>
      <c r="L2241" s="13"/>
      <c r="M2241" s="23" t="s">
        <v>1689</v>
      </c>
    </row>
    <row r="2242" spans="1:13" ht="19.5" customHeight="1">
      <c r="A2242" s="18">
        <f t="shared" si="35"/>
        <v>2241</v>
      </c>
      <c r="B2242" s="11" t="s">
        <v>3295</v>
      </c>
      <c r="C2242" s="11" t="s">
        <v>85</v>
      </c>
      <c r="D2242" s="11" t="s">
        <v>3813</v>
      </c>
      <c r="E2242" s="11" t="s">
        <v>3801</v>
      </c>
      <c r="F2242" s="11"/>
      <c r="G2242" s="11" t="s">
        <v>15</v>
      </c>
      <c r="H2242" s="19" t="str">
        <f>IFERROR(VLOOKUP(Table2[[#This Row], [Ticket]],Okey!A:B,2,0),"")</f>
        <v/>
      </c>
      <c r="I2242" s="11" t="s">
        <v>276</v>
      </c>
      <c r="J2242" s="19" t="e">
        <f>VLOOKUP(Table2[[#This Row], [Author]],People!A:B,2,0)</f>
        <v>#VALUE!</v>
      </c>
      <c r="K2242" s="11"/>
      <c r="L2242" s="11"/>
      <c r="M2242" s="20" t="s">
        <v>1689</v>
      </c>
    </row>
    <row r="2243" spans="1:13" ht="19.5" customHeight="1">
      <c r="A2243" s="21">
        <f t="shared" si="35"/>
        <v>2242</v>
      </c>
      <c r="B2243" s="13" t="s">
        <v>3295</v>
      </c>
      <c r="C2243" s="13" t="s">
        <v>85</v>
      </c>
      <c r="D2243" s="13" t="s">
        <v>3814</v>
      </c>
      <c r="E2243" s="13" t="s">
        <v>3801</v>
      </c>
      <c r="F2243" s="13"/>
      <c r="G2243" s="13" t="s">
        <v>15</v>
      </c>
      <c r="H2243" s="22" t="str">
        <f>IFERROR(VLOOKUP(Table2[[#This Row], [Ticket]],Okey!A:B,2,0),"")</f>
        <v/>
      </c>
      <c r="I2243" s="13" t="s">
        <v>276</v>
      </c>
      <c r="J2243" s="22" t="e">
        <f>VLOOKUP(Table2[[#This Row], [Author]],People!A:B,2,0)</f>
        <v>#VALUE!</v>
      </c>
      <c r="K2243" s="13"/>
      <c r="L2243" s="13"/>
      <c r="M2243" s="23" t="s">
        <v>1689</v>
      </c>
    </row>
    <row r="2244" spans="1:13" ht="19.5" customHeight="1">
      <c r="A2244" s="18">
        <f t="shared" si="35"/>
        <v>2243</v>
      </c>
      <c r="B2244" s="11" t="s">
        <v>3295</v>
      </c>
      <c r="C2244" s="11" t="s">
        <v>85</v>
      </c>
      <c r="D2244" s="11" t="s">
        <v>3815</v>
      </c>
      <c r="E2244" s="11" t="s">
        <v>3786</v>
      </c>
      <c r="F2244" s="11"/>
      <c r="G2244" s="11" t="s">
        <v>15</v>
      </c>
      <c r="H2244" s="19" t="str">
        <f>IFERROR(VLOOKUP(Table2[[#This Row], [Ticket]],Okey!A:B,2,0),"")</f>
        <v/>
      </c>
      <c r="I2244" s="11" t="s">
        <v>276</v>
      </c>
      <c r="J2244" s="19" t="e">
        <f>VLOOKUP(Table2[[#This Row], [Author]],People!A:B,2,0)</f>
        <v>#VALUE!</v>
      </c>
      <c r="K2244" s="11"/>
      <c r="L2244" s="11"/>
      <c r="M2244" s="20" t="s">
        <v>1689</v>
      </c>
    </row>
    <row r="2245" spans="1:13" ht="19.5" customHeight="1">
      <c r="A2245" s="21">
        <f t="shared" si="35"/>
        <v>2244</v>
      </c>
      <c r="B2245" s="13" t="s">
        <v>3295</v>
      </c>
      <c r="C2245" s="13" t="s">
        <v>85</v>
      </c>
      <c r="D2245" s="13" t="s">
        <v>3816</v>
      </c>
      <c r="E2245" s="13" t="s">
        <v>3797</v>
      </c>
      <c r="F2245" s="13"/>
      <c r="G2245" s="13" t="s">
        <v>15</v>
      </c>
      <c r="H2245" s="22" t="str">
        <f>IFERROR(VLOOKUP(Table2[[#This Row], [Ticket]],Okey!A:B,2,0),"")</f>
        <v/>
      </c>
      <c r="I2245" s="13" t="s">
        <v>276</v>
      </c>
      <c r="J2245" s="22" t="e">
        <f>VLOOKUP(Table2[[#This Row], [Author]],People!A:B,2,0)</f>
        <v>#VALUE!</v>
      </c>
      <c r="K2245" s="13"/>
      <c r="L2245" s="13"/>
      <c r="M2245" s="23" t="s">
        <v>1689</v>
      </c>
    </row>
    <row r="2246" spans="1:13" ht="19.5" customHeight="1">
      <c r="A2246" s="18">
        <f t="shared" si="35"/>
        <v>2245</v>
      </c>
      <c r="B2246" s="11" t="s">
        <v>3295</v>
      </c>
      <c r="C2246" s="11" t="s">
        <v>85</v>
      </c>
      <c r="D2246" s="11" t="s">
        <v>3817</v>
      </c>
      <c r="E2246" s="11" t="s">
        <v>3801</v>
      </c>
      <c r="F2246" s="11"/>
      <c r="G2246" s="11" t="s">
        <v>15</v>
      </c>
      <c r="H2246" s="19" t="str">
        <f>IFERROR(VLOOKUP(Table2[[#This Row], [Ticket]],Okey!A:B,2,0),"")</f>
        <v/>
      </c>
      <c r="I2246" s="11" t="s">
        <v>276</v>
      </c>
      <c r="J2246" s="19" t="e">
        <f>VLOOKUP(Table2[[#This Row], [Author]],People!A:B,2,0)</f>
        <v>#VALUE!</v>
      </c>
      <c r="K2246" s="11"/>
      <c r="L2246" s="11"/>
      <c r="M2246" s="20" t="s">
        <v>1689</v>
      </c>
    </row>
    <row r="2247" spans="1:13" ht="19.5" customHeight="1">
      <c r="A2247" s="21">
        <f t="shared" si="35"/>
        <v>2246</v>
      </c>
      <c r="B2247" s="13" t="s">
        <v>3295</v>
      </c>
      <c r="C2247" s="13" t="s">
        <v>85</v>
      </c>
      <c r="D2247" s="13" t="s">
        <v>3818</v>
      </c>
      <c r="E2247" s="13" t="s">
        <v>3786</v>
      </c>
      <c r="F2247" s="13"/>
      <c r="G2247" s="13" t="s">
        <v>15</v>
      </c>
      <c r="H2247" s="22" t="str">
        <f>IFERROR(VLOOKUP(Table2[[#This Row], [Ticket]],Okey!A:B,2,0),"")</f>
        <v/>
      </c>
      <c r="I2247" s="13" t="s">
        <v>276</v>
      </c>
      <c r="J2247" s="22" t="e">
        <f>VLOOKUP(Table2[[#This Row], [Author]],People!A:B,2,0)</f>
        <v>#VALUE!</v>
      </c>
      <c r="K2247" s="13"/>
      <c r="L2247" s="13"/>
      <c r="M2247" s="23" t="s">
        <v>1689</v>
      </c>
    </row>
    <row r="2248" spans="1:13" ht="19.5" customHeight="1">
      <c r="A2248" s="18">
        <f t="shared" si="35"/>
        <v>2247</v>
      </c>
      <c r="B2248" s="11" t="s">
        <v>3295</v>
      </c>
      <c r="C2248" s="11" t="s">
        <v>85</v>
      </c>
      <c r="D2248" s="11" t="s">
        <v>3819</v>
      </c>
      <c r="E2248" s="11" t="s">
        <v>3797</v>
      </c>
      <c r="F2248" s="11"/>
      <c r="G2248" s="11" t="s">
        <v>15</v>
      </c>
      <c r="H2248" s="19" t="str">
        <f>IFERROR(VLOOKUP(Table2[[#This Row], [Ticket]],Okey!A:B,2,0),"")</f>
        <v/>
      </c>
      <c r="I2248" s="11" t="s">
        <v>276</v>
      </c>
      <c r="J2248" s="19" t="e">
        <f>VLOOKUP(Table2[[#This Row], [Author]],People!A:B,2,0)</f>
        <v>#VALUE!</v>
      </c>
      <c r="K2248" s="11"/>
      <c r="L2248" s="11"/>
      <c r="M2248" s="20" t="s">
        <v>1689</v>
      </c>
    </row>
    <row r="2249" spans="1:13" ht="19.5" customHeight="1">
      <c r="A2249" s="21">
        <f t="shared" si="35"/>
        <v>2248</v>
      </c>
      <c r="B2249" s="13" t="s">
        <v>3295</v>
      </c>
      <c r="C2249" s="13" t="s">
        <v>85</v>
      </c>
      <c r="D2249" s="13" t="s">
        <v>3820</v>
      </c>
      <c r="E2249" s="13" t="s">
        <v>3801</v>
      </c>
      <c r="F2249" s="13"/>
      <c r="G2249" s="13" t="s">
        <v>15</v>
      </c>
      <c r="H2249" s="22" t="str">
        <f>IFERROR(VLOOKUP(Table2[[#This Row], [Ticket]],Okey!A:B,2,0),"")</f>
        <v/>
      </c>
      <c r="I2249" s="13" t="s">
        <v>276</v>
      </c>
      <c r="J2249" s="22" t="e">
        <f>VLOOKUP(Table2[[#This Row], [Author]],People!A:B,2,0)</f>
        <v>#VALUE!</v>
      </c>
      <c r="K2249" s="13"/>
      <c r="L2249" s="13"/>
      <c r="M2249" s="23" t="s">
        <v>1689</v>
      </c>
    </row>
    <row r="2250" spans="1:13" ht="19.5" customHeight="1">
      <c r="A2250" s="18">
        <f t="shared" si="35"/>
        <v>2249</v>
      </c>
      <c r="B2250" s="11" t="s">
        <v>3295</v>
      </c>
      <c r="C2250" s="11" t="s">
        <v>85</v>
      </c>
      <c r="D2250" s="11" t="s">
        <v>3821</v>
      </c>
      <c r="E2250" s="11" t="s">
        <v>3786</v>
      </c>
      <c r="F2250" s="11"/>
      <c r="G2250" s="11" t="s">
        <v>15</v>
      </c>
      <c r="H2250" s="19" t="str">
        <f>IFERROR(VLOOKUP(Table2[[#This Row], [Ticket]],Okey!A:B,2,0),"")</f>
        <v/>
      </c>
      <c r="I2250" s="11" t="s">
        <v>276</v>
      </c>
      <c r="J2250" s="19" t="e">
        <f>VLOOKUP(Table2[[#This Row], [Author]],People!A:B,2,0)</f>
        <v>#VALUE!</v>
      </c>
      <c r="K2250" s="11"/>
      <c r="L2250" s="11"/>
      <c r="M2250" s="20" t="s">
        <v>1689</v>
      </c>
    </row>
    <row r="2251" spans="1:13" ht="19.5" customHeight="1">
      <c r="A2251" s="21">
        <f t="shared" si="35"/>
        <v>2250</v>
      </c>
      <c r="B2251" s="13" t="s">
        <v>3295</v>
      </c>
      <c r="C2251" s="13" t="s">
        <v>85</v>
      </c>
      <c r="D2251" s="13" t="s">
        <v>3822</v>
      </c>
      <c r="E2251" s="13" t="s">
        <v>3797</v>
      </c>
      <c r="F2251" s="13"/>
      <c r="G2251" s="13" t="s">
        <v>15</v>
      </c>
      <c r="H2251" s="22" t="str">
        <f>IFERROR(VLOOKUP(Table2[[#This Row], [Ticket]],Okey!A:B,2,0),"")</f>
        <v/>
      </c>
      <c r="I2251" s="13" t="s">
        <v>276</v>
      </c>
      <c r="J2251" s="22" t="e">
        <f>VLOOKUP(Table2[[#This Row], [Author]],People!A:B,2,0)</f>
        <v>#VALUE!</v>
      </c>
      <c r="K2251" s="13"/>
      <c r="L2251" s="13"/>
      <c r="M2251" s="23" t="s">
        <v>1689</v>
      </c>
    </row>
    <row r="2252" spans="1:13" ht="19.5" customHeight="1">
      <c r="A2252" s="18">
        <f t="shared" si="35"/>
        <v>2251</v>
      </c>
      <c r="B2252" s="11" t="s">
        <v>3295</v>
      </c>
      <c r="C2252" s="11" t="s">
        <v>85</v>
      </c>
      <c r="D2252" s="11" t="s">
        <v>3823</v>
      </c>
      <c r="E2252" s="11" t="s">
        <v>3824</v>
      </c>
      <c r="F2252" s="11"/>
      <c r="G2252" s="11" t="s">
        <v>15</v>
      </c>
      <c r="H2252" s="19" t="str">
        <f>IFERROR(VLOOKUP(Table2[[#This Row], [Ticket]],Okey!A:B,2,0),"")</f>
        <v/>
      </c>
      <c r="I2252" s="11" t="s">
        <v>276</v>
      </c>
      <c r="J2252" s="19" t="e">
        <f>VLOOKUP(Table2[[#This Row], [Author]],People!A:B,2,0)</f>
        <v>#VALUE!</v>
      </c>
      <c r="K2252" s="11"/>
      <c r="L2252" s="11"/>
      <c r="M2252" s="20" t="s">
        <v>1689</v>
      </c>
    </row>
    <row r="2253" spans="1:13" ht="19.5" customHeight="1">
      <c r="A2253" s="21">
        <f t="shared" si="35"/>
        <v>2252</v>
      </c>
      <c r="B2253" s="13" t="s">
        <v>3295</v>
      </c>
      <c r="C2253" s="13" t="s">
        <v>85</v>
      </c>
      <c r="D2253" s="13" t="s">
        <v>3825</v>
      </c>
      <c r="E2253" s="13" t="s">
        <v>3824</v>
      </c>
      <c r="F2253" s="13"/>
      <c r="G2253" s="13" t="s">
        <v>15</v>
      </c>
      <c r="H2253" s="22" t="str">
        <f>IFERROR(VLOOKUP(Table2[[#This Row], [Ticket]],Okey!A:B,2,0),"")</f>
        <v/>
      </c>
      <c r="I2253" s="13" t="s">
        <v>276</v>
      </c>
      <c r="J2253" s="22" t="e">
        <f>VLOOKUP(Table2[[#This Row], [Author]],People!A:B,2,0)</f>
        <v>#VALUE!</v>
      </c>
      <c r="K2253" s="13"/>
      <c r="L2253" s="13"/>
      <c r="M2253" s="23" t="s">
        <v>1689</v>
      </c>
    </row>
    <row r="2254" spans="1:13" ht="19.5" customHeight="1">
      <c r="A2254" s="18">
        <f t="shared" si="35"/>
        <v>2253</v>
      </c>
      <c r="B2254" s="11" t="s">
        <v>3295</v>
      </c>
      <c r="C2254" s="11" t="s">
        <v>85</v>
      </c>
      <c r="D2254" s="11" t="s">
        <v>3826</v>
      </c>
      <c r="E2254" s="11" t="s">
        <v>3824</v>
      </c>
      <c r="F2254" s="11"/>
      <c r="G2254" s="11" t="s">
        <v>15</v>
      </c>
      <c r="H2254" s="19" t="str">
        <f>IFERROR(VLOOKUP(Table2[[#This Row], [Ticket]],Okey!A:B,2,0),"")</f>
        <v/>
      </c>
      <c r="I2254" s="11" t="s">
        <v>276</v>
      </c>
      <c r="J2254" s="19" t="e">
        <f>VLOOKUP(Table2[[#This Row], [Author]],People!A:B,2,0)</f>
        <v>#VALUE!</v>
      </c>
      <c r="K2254" s="11"/>
      <c r="L2254" s="11"/>
      <c r="M2254" s="20" t="s">
        <v>1689</v>
      </c>
    </row>
    <row r="2255" spans="1:13" ht="19.5" customHeight="1">
      <c r="A2255" s="21">
        <f t="shared" si="35"/>
        <v>2254</v>
      </c>
      <c r="B2255" s="13" t="s">
        <v>3295</v>
      </c>
      <c r="C2255" s="13" t="s">
        <v>87</v>
      </c>
      <c r="D2255" s="13" t="s">
        <v>3827</v>
      </c>
      <c r="E2255" s="13" t="s">
        <v>3828</v>
      </c>
      <c r="F2255" s="13" t="s">
        <v>3679</v>
      </c>
      <c r="G2255" s="13" t="s">
        <v>14</v>
      </c>
      <c r="H2255" s="22" t="str">
        <f>IFERROR(VLOOKUP(Table2[[#This Row], [Ticket]],Okey!A:B,2,0),"")</f>
        <v/>
      </c>
      <c r="I2255" s="13" t="s">
        <v>276</v>
      </c>
      <c r="J2255" s="22" t="e">
        <f>VLOOKUP(Table2[[#This Row], [Author]],People!A:B,2,0)</f>
        <v>#VALUE!</v>
      </c>
      <c r="K2255" s="13" t="s">
        <v>3297</v>
      </c>
      <c r="L2255" s="13"/>
      <c r="M2255" s="23" t="s">
        <v>1230</v>
      </c>
    </row>
    <row r="2256" spans="1:13" ht="19.5" customHeight="1">
      <c r="A2256" s="18">
        <f t="shared" si="35"/>
        <v>2255</v>
      </c>
      <c r="B2256" s="11" t="s">
        <v>3295</v>
      </c>
      <c r="C2256" s="11" t="s">
        <v>87</v>
      </c>
      <c r="D2256" s="11" t="s">
        <v>3829</v>
      </c>
      <c r="E2256" s="11" t="s">
        <v>3830</v>
      </c>
      <c r="F2256" s="11" t="s">
        <v>1684</v>
      </c>
      <c r="G2256" s="11" t="s">
        <v>14</v>
      </c>
      <c r="H2256" s="19" t="str">
        <f>IFERROR(VLOOKUP(Table2[[#This Row], [Ticket]],Okey!A:B,2,0),"")</f>
        <v/>
      </c>
      <c r="I2256" s="11" t="s">
        <v>276</v>
      </c>
      <c r="J2256" s="19" t="e">
        <f>VLOOKUP(Table2[[#This Row], [Author]],People!A:B,2,0)</f>
        <v>#VALUE!</v>
      </c>
      <c r="K2256" s="11" t="s">
        <v>3297</v>
      </c>
      <c r="L2256" s="11"/>
      <c r="M2256" s="20" t="s">
        <v>1230</v>
      </c>
    </row>
    <row r="2257" spans="1:13" ht="19.5" customHeight="1">
      <c r="A2257" s="21">
        <f t="shared" si="35"/>
        <v>2256</v>
      </c>
      <c r="B2257" s="13" t="s">
        <v>3295</v>
      </c>
      <c r="C2257" s="13" t="s">
        <v>87</v>
      </c>
      <c r="D2257" s="13" t="s">
        <v>3831</v>
      </c>
      <c r="E2257" s="13" t="s">
        <v>3832</v>
      </c>
      <c r="F2257" s="13" t="s">
        <v>1684</v>
      </c>
      <c r="G2257" s="13" t="s">
        <v>14</v>
      </c>
      <c r="H2257" s="22" t="str">
        <f>IFERROR(VLOOKUP(Table2[[#This Row], [Ticket]],Okey!A:B,2,0),"")</f>
        <v/>
      </c>
      <c r="I2257" s="13" t="s">
        <v>276</v>
      </c>
      <c r="J2257" s="22" t="e">
        <f>VLOOKUP(Table2[[#This Row], [Author]],People!A:B,2,0)</f>
        <v>#VALUE!</v>
      </c>
      <c r="K2257" s="13" t="s">
        <v>3297</v>
      </c>
      <c r="L2257" s="13"/>
      <c r="M2257" s="23" t="s">
        <v>1230</v>
      </c>
    </row>
    <row r="2258" spans="1:13" ht="19.5" customHeight="1">
      <c r="A2258" s="18">
        <f t="shared" si="35"/>
        <v>2257</v>
      </c>
      <c r="B2258" s="11" t="s">
        <v>3295</v>
      </c>
      <c r="C2258" s="11" t="s">
        <v>87</v>
      </c>
      <c r="D2258" s="11" t="s">
        <v>3833</v>
      </c>
      <c r="E2258" s="11" t="s">
        <v>3830</v>
      </c>
      <c r="F2258" s="11" t="s">
        <v>3829</v>
      </c>
      <c r="G2258" s="11" t="s">
        <v>14</v>
      </c>
      <c r="H2258" s="19" t="str">
        <f>IFERROR(VLOOKUP(Table2[[#This Row], [Ticket]],Okey!A:B,2,0),"")</f>
        <v/>
      </c>
      <c r="I2258" s="11" t="s">
        <v>276</v>
      </c>
      <c r="J2258" s="19" t="e">
        <f>VLOOKUP(Table2[[#This Row], [Author]],People!A:B,2,0)</f>
        <v>#VALUE!</v>
      </c>
      <c r="K2258" s="11" t="s">
        <v>3297</v>
      </c>
      <c r="L2258" s="11"/>
      <c r="M2258" s="20" t="s">
        <v>1230</v>
      </c>
    </row>
    <row r="2259" spans="1:13" ht="19.5" customHeight="1">
      <c r="A2259" s="21">
        <f t="shared" si="35"/>
        <v>2258</v>
      </c>
      <c r="B2259" s="13" t="s">
        <v>3295</v>
      </c>
      <c r="C2259" s="13" t="s">
        <v>87</v>
      </c>
      <c r="D2259" s="13" t="s">
        <v>3834</v>
      </c>
      <c r="E2259" s="13" t="s">
        <v>3832</v>
      </c>
      <c r="F2259" s="13" t="s">
        <v>3831</v>
      </c>
      <c r="G2259" s="13" t="s">
        <v>14</v>
      </c>
      <c r="H2259" s="22" t="str">
        <f>IFERROR(VLOOKUP(Table2[[#This Row], [Ticket]],Okey!A:B,2,0),"")</f>
        <v/>
      </c>
      <c r="I2259" s="13" t="s">
        <v>276</v>
      </c>
      <c r="J2259" s="22" t="e">
        <f>VLOOKUP(Table2[[#This Row], [Author]],People!A:B,2,0)</f>
        <v>#VALUE!</v>
      </c>
      <c r="K2259" s="13" t="s">
        <v>3297</v>
      </c>
      <c r="L2259" s="13"/>
      <c r="M2259" s="23" t="s">
        <v>1230</v>
      </c>
    </row>
    <row r="2260" spans="1:13" ht="19.5" customHeight="1">
      <c r="A2260" s="18">
        <f t="shared" si="35"/>
        <v>2259</v>
      </c>
      <c r="B2260" s="11" t="s">
        <v>3295</v>
      </c>
      <c r="C2260" s="11" t="s">
        <v>87</v>
      </c>
      <c r="D2260" s="11" t="s">
        <v>3835</v>
      </c>
      <c r="E2260" s="11" t="s">
        <v>3836</v>
      </c>
      <c r="F2260" s="11" t="s">
        <v>3827</v>
      </c>
      <c r="G2260" s="11" t="s">
        <v>14</v>
      </c>
      <c r="H2260" s="19" t="str">
        <f>IFERROR(VLOOKUP(Table2[[#This Row], [Ticket]],Okey!A:B,2,0),"")</f>
        <v/>
      </c>
      <c r="I2260" s="11" t="s">
        <v>276</v>
      </c>
      <c r="J2260" s="19" t="e">
        <f>VLOOKUP(Table2[[#This Row], [Author]],People!A:B,2,0)</f>
        <v>#VALUE!</v>
      </c>
      <c r="K2260" s="11" t="s">
        <v>3297</v>
      </c>
      <c r="L2260" s="11"/>
      <c r="M2260" s="20" t="s">
        <v>1230</v>
      </c>
    </row>
    <row r="2261" spans="1:13" ht="19.5" customHeight="1">
      <c r="A2261" s="21">
        <f t="shared" si="35"/>
        <v>2260</v>
      </c>
      <c r="B2261" s="13" t="s">
        <v>3295</v>
      </c>
      <c r="C2261" s="13" t="s">
        <v>87</v>
      </c>
      <c r="D2261" s="13" t="s">
        <v>3837</v>
      </c>
      <c r="E2261" s="13" t="s">
        <v>3828</v>
      </c>
      <c r="F2261" s="13" t="s">
        <v>3827</v>
      </c>
      <c r="G2261" s="13" t="s">
        <v>14</v>
      </c>
      <c r="H2261" s="22" t="str">
        <f>IFERROR(VLOOKUP(Table2[[#This Row], [Ticket]],Okey!A:B,2,0),"")</f>
        <v/>
      </c>
      <c r="I2261" s="13" t="s">
        <v>276</v>
      </c>
      <c r="J2261" s="22" t="e">
        <f>VLOOKUP(Table2[[#This Row], [Author]],People!A:B,2,0)</f>
        <v>#VALUE!</v>
      </c>
      <c r="K2261" s="13" t="s">
        <v>3297</v>
      </c>
      <c r="L2261" s="13"/>
      <c r="M2261" s="23" t="s">
        <v>1230</v>
      </c>
    </row>
    <row r="2262" spans="1:13" ht="19.5" customHeight="1">
      <c r="A2262" s="18">
        <f t="shared" si="35"/>
        <v>2261</v>
      </c>
      <c r="B2262" s="11" t="s">
        <v>3295</v>
      </c>
      <c r="C2262" s="11" t="s">
        <v>87</v>
      </c>
      <c r="D2262" s="11" t="s">
        <v>3838</v>
      </c>
      <c r="E2262" s="11" t="s">
        <v>3839</v>
      </c>
      <c r="F2262" s="11" t="s">
        <v>3835</v>
      </c>
      <c r="G2262" s="11" t="s">
        <v>14</v>
      </c>
      <c r="H2262" s="19" t="str">
        <f>IFERROR(VLOOKUP(Table2[[#This Row], [Ticket]],Okey!A:B,2,0),"")</f>
        <v/>
      </c>
      <c r="I2262" s="11" t="s">
        <v>276</v>
      </c>
      <c r="J2262" s="19" t="e">
        <f>VLOOKUP(Table2[[#This Row], [Author]],People!A:B,2,0)</f>
        <v>#VALUE!</v>
      </c>
      <c r="K2262" s="11" t="s">
        <v>3297</v>
      </c>
      <c r="L2262" s="11"/>
      <c r="M2262" s="20" t="s">
        <v>1230</v>
      </c>
    </row>
    <row r="2263" spans="1:13" ht="19.5" customHeight="1">
      <c r="A2263" s="21">
        <f t="shared" si="35"/>
        <v>2262</v>
      </c>
      <c r="B2263" s="13" t="s">
        <v>3295</v>
      </c>
      <c r="C2263" s="13" t="s">
        <v>87</v>
      </c>
      <c r="D2263" s="13" t="s">
        <v>3840</v>
      </c>
      <c r="E2263" s="13" t="s">
        <v>3841</v>
      </c>
      <c r="F2263" s="13" t="s">
        <v>3835</v>
      </c>
      <c r="G2263" s="13" t="s">
        <v>14</v>
      </c>
      <c r="H2263" s="22" t="str">
        <f>IFERROR(VLOOKUP(Table2[[#This Row], [Ticket]],Okey!A:B,2,0),"")</f>
        <v/>
      </c>
      <c r="I2263" s="13" t="s">
        <v>276</v>
      </c>
      <c r="J2263" s="22" t="e">
        <f>VLOOKUP(Table2[[#This Row], [Author]],People!A:B,2,0)</f>
        <v>#VALUE!</v>
      </c>
      <c r="K2263" s="13" t="s">
        <v>3297</v>
      </c>
      <c r="L2263" s="13"/>
      <c r="M2263" s="23" t="s">
        <v>1230</v>
      </c>
    </row>
    <row r="2264" spans="1:13" ht="19.5" customHeight="1">
      <c r="A2264" s="18">
        <f t="shared" si="35"/>
        <v>2263</v>
      </c>
      <c r="B2264" s="11" t="s">
        <v>3295</v>
      </c>
      <c r="C2264" s="11" t="s">
        <v>87</v>
      </c>
      <c r="D2264" s="11" t="s">
        <v>3842</v>
      </c>
      <c r="E2264" s="11" t="s">
        <v>3836</v>
      </c>
      <c r="F2264" s="11" t="s">
        <v>3835</v>
      </c>
      <c r="G2264" s="11" t="s">
        <v>14</v>
      </c>
      <c r="H2264" s="19" t="str">
        <f>IFERROR(VLOOKUP(Table2[[#This Row], [Ticket]],Okey!A:B,2,0),"")</f>
        <v/>
      </c>
      <c r="I2264" s="11" t="s">
        <v>276</v>
      </c>
      <c r="J2264" s="19" t="e">
        <f>VLOOKUP(Table2[[#This Row], [Author]],People!A:B,2,0)</f>
        <v>#VALUE!</v>
      </c>
      <c r="K2264" s="11" t="s">
        <v>3297</v>
      </c>
      <c r="L2264" s="11"/>
      <c r="M2264" s="20" t="s">
        <v>1230</v>
      </c>
    </row>
    <row r="2265" spans="1:13" ht="19.5" customHeight="1">
      <c r="A2265" s="21">
        <f t="shared" si="35"/>
        <v>2264</v>
      </c>
      <c r="B2265" s="13" t="s">
        <v>3295</v>
      </c>
      <c r="C2265" s="13" t="s">
        <v>87</v>
      </c>
      <c r="D2265" s="13" t="s">
        <v>3843</v>
      </c>
      <c r="E2265" s="13" t="s">
        <v>3839</v>
      </c>
      <c r="F2265" s="13" t="s">
        <v>3838</v>
      </c>
      <c r="G2265" s="13" t="s">
        <v>14</v>
      </c>
      <c r="H2265" s="22" t="str">
        <f>IFERROR(VLOOKUP(Table2[[#This Row], [Ticket]],Okey!A:B,2,0),"")</f>
        <v/>
      </c>
      <c r="I2265" s="13" t="s">
        <v>276</v>
      </c>
      <c r="J2265" s="22" t="e">
        <f>VLOOKUP(Table2[[#This Row], [Author]],People!A:B,2,0)</f>
        <v>#VALUE!</v>
      </c>
      <c r="K2265" s="13" t="s">
        <v>3297</v>
      </c>
      <c r="L2265" s="13"/>
      <c r="M2265" s="23" t="s">
        <v>1230</v>
      </c>
    </row>
    <row r="2266" spans="1:13" ht="19.5" customHeight="1">
      <c r="A2266" s="18">
        <f t="shared" si="35"/>
        <v>2265</v>
      </c>
      <c r="B2266" s="11" t="s">
        <v>3295</v>
      </c>
      <c r="C2266" s="11" t="s">
        <v>87</v>
      </c>
      <c r="D2266" s="11" t="s">
        <v>3844</v>
      </c>
      <c r="E2266" s="11" t="s">
        <v>3841</v>
      </c>
      <c r="F2266" s="11" t="s">
        <v>3840</v>
      </c>
      <c r="G2266" s="11" t="s">
        <v>14</v>
      </c>
      <c r="H2266" s="19" t="str">
        <f>IFERROR(VLOOKUP(Table2[[#This Row], [Ticket]],Okey!A:B,2,0),"")</f>
        <v/>
      </c>
      <c r="I2266" s="11" t="s">
        <v>276</v>
      </c>
      <c r="J2266" s="19" t="e">
        <f>VLOOKUP(Table2[[#This Row], [Author]],People!A:B,2,0)</f>
        <v>#VALUE!</v>
      </c>
      <c r="K2266" s="11" t="s">
        <v>3297</v>
      </c>
      <c r="L2266" s="11"/>
      <c r="M2266" s="20" t="s">
        <v>1230</v>
      </c>
    </row>
    <row r="2267" spans="1:13" ht="19.5" customHeight="1">
      <c r="A2267" s="21">
        <f t="shared" si="35"/>
        <v>2266</v>
      </c>
      <c r="B2267" s="13" t="s">
        <v>3295</v>
      </c>
      <c r="C2267" s="13" t="s">
        <v>87</v>
      </c>
      <c r="D2267" s="13" t="s">
        <v>3845</v>
      </c>
      <c r="E2267" s="13" t="s">
        <v>3846</v>
      </c>
      <c r="F2267" s="13"/>
      <c r="G2267" s="13" t="s">
        <v>15</v>
      </c>
      <c r="H2267" s="22" t="str">
        <f>IFERROR(VLOOKUP(Table2[[#This Row], [Ticket]],Okey!A:B,2,0),"")</f>
        <v/>
      </c>
      <c r="I2267" s="13" t="s">
        <v>276</v>
      </c>
      <c r="J2267" s="22" t="e">
        <f>VLOOKUP(Table2[[#This Row], [Author]],People!A:B,2,0)</f>
        <v>#VALUE!</v>
      </c>
      <c r="K2267" s="13" t="s">
        <v>3297</v>
      </c>
      <c r="L2267" s="13"/>
      <c r="M2267" s="23" t="s">
        <v>1230</v>
      </c>
    </row>
    <row r="2268" spans="1:13" ht="19.5" customHeight="1">
      <c r="A2268" s="18">
        <f t="shared" si="35"/>
        <v>2267</v>
      </c>
      <c r="B2268" s="11" t="s">
        <v>3295</v>
      </c>
      <c r="C2268" s="11" t="s">
        <v>88</v>
      </c>
      <c r="D2268" s="11" t="s">
        <v>3847</v>
      </c>
      <c r="E2268" s="11" t="s">
        <v>3848</v>
      </c>
      <c r="F2268" s="11" t="s">
        <v>3849</v>
      </c>
      <c r="G2268" s="11" t="s">
        <v>16</v>
      </c>
      <c r="H2268" s="19" t="str">
        <f>IFERROR(VLOOKUP(Table2[[#This Row], [Ticket]],Okey!A:B,2,0),"")</f>
        <v/>
      </c>
      <c r="I2268" s="11" t="s">
        <v>276</v>
      </c>
      <c r="J2268" s="19" t="e">
        <f>VLOOKUP(Table2[[#This Row], [Author]],People!A:B,2,0)</f>
        <v>#VALUE!</v>
      </c>
      <c r="K2268" s="11" t="s">
        <v>3335</v>
      </c>
      <c r="L2268" s="11"/>
      <c r="M2268" s="20" t="s">
        <v>677</v>
      </c>
    </row>
    <row r="2269" spans="1:13" ht="19.5" customHeight="1">
      <c r="A2269" s="21">
        <f t="shared" si="35"/>
        <v>2268</v>
      </c>
      <c r="B2269" s="13" t="s">
        <v>3295</v>
      </c>
      <c r="C2269" s="13" t="s">
        <v>88</v>
      </c>
      <c r="D2269" s="13" t="s">
        <v>3850</v>
      </c>
      <c r="E2269" s="13" t="s">
        <v>3851</v>
      </c>
      <c r="F2269" s="13" t="s">
        <v>3849</v>
      </c>
      <c r="G2269" s="13" t="s">
        <v>16</v>
      </c>
      <c r="H2269" s="22" t="str">
        <f>IFERROR(VLOOKUP(Table2[[#This Row], [Ticket]],Okey!A:B,2,0),"")</f>
        <v/>
      </c>
      <c r="I2269" s="13" t="s">
        <v>276</v>
      </c>
      <c r="J2269" s="22" t="e">
        <f>VLOOKUP(Table2[[#This Row], [Author]],People!A:B,2,0)</f>
        <v>#VALUE!</v>
      </c>
      <c r="K2269" s="13" t="s">
        <v>3335</v>
      </c>
      <c r="L2269" s="13"/>
      <c r="M2269" s="23" t="s">
        <v>677</v>
      </c>
    </row>
    <row r="2270" spans="1:13" ht="19.5" customHeight="1">
      <c r="A2270" s="18">
        <f t="shared" si="35"/>
        <v>2269</v>
      </c>
      <c r="B2270" s="11" t="s">
        <v>3295</v>
      </c>
      <c r="C2270" s="11" t="s">
        <v>89</v>
      </c>
      <c r="D2270" s="11" t="s">
        <v>3852</v>
      </c>
      <c r="E2270" s="11" t="s">
        <v>3853</v>
      </c>
      <c r="F2270" s="11" t="s">
        <v>3854</v>
      </c>
      <c r="G2270" s="11" t="s">
        <v>14</v>
      </c>
      <c r="H2270" s="19" t="str">
        <f>IFERROR(VLOOKUP(Table2[[#This Row], [Ticket]],Okey!A:B,2,0),"")</f>
        <v/>
      </c>
      <c r="I2270" s="11" t="s">
        <v>276</v>
      </c>
      <c r="J2270" s="19" t="e">
        <f>VLOOKUP(Table2[[#This Row], [Author]],People!A:B,2,0)</f>
        <v>#VALUE!</v>
      </c>
      <c r="K2270" s="11" t="s">
        <v>3297</v>
      </c>
      <c r="L2270" s="11"/>
      <c r="M2270" s="20" t="s">
        <v>3855</v>
      </c>
    </row>
    <row r="2271" spans="1:13" ht="19.5" customHeight="1">
      <c r="A2271" s="21">
        <f t="shared" si="35"/>
        <v>2270</v>
      </c>
      <c r="B2271" s="13" t="s">
        <v>3295</v>
      </c>
      <c r="C2271" s="13" t="s">
        <v>89</v>
      </c>
      <c r="D2271" s="13" t="s">
        <v>3856</v>
      </c>
      <c r="E2271" s="13" t="s">
        <v>3857</v>
      </c>
      <c r="F2271" s="13" t="s">
        <v>879</v>
      </c>
      <c r="G2271" s="13" t="s">
        <v>14</v>
      </c>
      <c r="H2271" s="22" t="str">
        <f>IFERROR(VLOOKUP(Table2[[#This Row], [Ticket]],Okey!A:B,2,0),"")</f>
        <v/>
      </c>
      <c r="I2271" s="13" t="s">
        <v>276</v>
      </c>
      <c r="J2271" s="22" t="e">
        <f>VLOOKUP(Table2[[#This Row], [Author]],People!A:B,2,0)</f>
        <v>#VALUE!</v>
      </c>
      <c r="K2271" s="13" t="s">
        <v>3297</v>
      </c>
      <c r="L2271" s="13"/>
      <c r="M2271" s="23" t="s">
        <v>3855</v>
      </c>
    </row>
    <row r="2272" spans="1:13" ht="19.5" customHeight="1">
      <c r="A2272" s="18">
        <f t="shared" si="35"/>
        <v>2271</v>
      </c>
      <c r="B2272" s="11" t="s">
        <v>3295</v>
      </c>
      <c r="C2272" s="11" t="s">
        <v>90</v>
      </c>
      <c r="D2272" s="11" t="s">
        <v>3804</v>
      </c>
      <c r="E2272" s="11" t="s">
        <v>3858</v>
      </c>
      <c r="F2272" s="11"/>
      <c r="G2272" s="11" t="s">
        <v>15</v>
      </c>
      <c r="H2272" s="19" t="str">
        <f>IFERROR(VLOOKUP(Table2[[#This Row], [Ticket]],Okey!A:B,2,0),"")</f>
        <v/>
      </c>
      <c r="I2272" s="11" t="s">
        <v>276</v>
      </c>
      <c r="J2272" s="19" t="e">
        <f>VLOOKUP(Table2[[#This Row], [Author]],People!A:B,2,0)</f>
        <v>#VALUE!</v>
      </c>
      <c r="K2272" s="11" t="s">
        <v>3297</v>
      </c>
      <c r="L2272" s="11"/>
      <c r="M2272" s="20" t="s">
        <v>1689</v>
      </c>
    </row>
    <row r="2273" spans="1:13" ht="19.5" customHeight="1">
      <c r="A2273" s="21">
        <f t="shared" si="35"/>
        <v>2272</v>
      </c>
      <c r="B2273" s="13" t="s">
        <v>3295</v>
      </c>
      <c r="C2273" s="13" t="s">
        <v>90</v>
      </c>
      <c r="D2273" s="13" t="s">
        <v>3810</v>
      </c>
      <c r="E2273" s="13" t="s">
        <v>3858</v>
      </c>
      <c r="F2273" s="13"/>
      <c r="G2273" s="13" t="s">
        <v>15</v>
      </c>
      <c r="H2273" s="22" t="str">
        <f>IFERROR(VLOOKUP(Table2[[#This Row], [Ticket]],Okey!A:B,2,0),"")</f>
        <v/>
      </c>
      <c r="I2273" s="13" t="s">
        <v>276</v>
      </c>
      <c r="J2273" s="22" t="e">
        <f>VLOOKUP(Table2[[#This Row], [Author]],People!A:B,2,0)</f>
        <v>#VALUE!</v>
      </c>
      <c r="K2273" s="13" t="s">
        <v>3297</v>
      </c>
      <c r="L2273" s="13"/>
      <c r="M2273" s="23" t="s">
        <v>1689</v>
      </c>
    </row>
    <row r="2274" spans="1:13" ht="19.5" customHeight="1">
      <c r="A2274" s="18">
        <f t="shared" si="35"/>
        <v>2273</v>
      </c>
      <c r="B2274" s="11" t="s">
        <v>3295</v>
      </c>
      <c r="C2274" s="11" t="s">
        <v>91</v>
      </c>
      <c r="D2274" s="11" t="s">
        <v>3850</v>
      </c>
      <c r="E2274" s="11" t="s">
        <v>3851</v>
      </c>
      <c r="F2274" s="11" t="s">
        <v>1906</v>
      </c>
      <c r="G2274" s="11" t="s">
        <v>16</v>
      </c>
      <c r="H2274" s="19" t="str">
        <f>IFERROR(VLOOKUP(Table2[[#This Row], [Ticket]],Okey!A:B,2,0),"")</f>
        <v/>
      </c>
      <c r="I2274" s="11" t="s">
        <v>276</v>
      </c>
      <c r="J2274" s="19" t="e">
        <f>VLOOKUP(Table2[[#This Row], [Author]],People!A:B,2,0)</f>
        <v>#VALUE!</v>
      </c>
      <c r="K2274" s="11" t="s">
        <v>3297</v>
      </c>
      <c r="L2274" s="11"/>
      <c r="M2274" s="20" t="s">
        <v>677</v>
      </c>
    </row>
    <row r="2275" spans="1:13" ht="19.5" customHeight="1">
      <c r="A2275" s="21">
        <f t="shared" ref="A2275:A2338" si="36">1+A2274</f>
        <v>2274</v>
      </c>
      <c r="B2275" s="13" t="s">
        <v>3295</v>
      </c>
      <c r="C2275" s="13" t="s">
        <v>91</v>
      </c>
      <c r="D2275" s="13" t="s">
        <v>3847</v>
      </c>
      <c r="E2275" s="13" t="s">
        <v>3848</v>
      </c>
      <c r="F2275" s="13" t="s">
        <v>3337</v>
      </c>
      <c r="G2275" s="13" t="s">
        <v>16</v>
      </c>
      <c r="H2275" s="22" t="str">
        <f>IFERROR(VLOOKUP(Table2[[#This Row], [Ticket]],Okey!A:B,2,0),"")</f>
        <v/>
      </c>
      <c r="I2275" s="13" t="s">
        <v>276</v>
      </c>
      <c r="J2275" s="22" t="e">
        <f>VLOOKUP(Table2[[#This Row], [Author]],People!A:B,2,0)</f>
        <v>#VALUE!</v>
      </c>
      <c r="K2275" s="13" t="s">
        <v>3297</v>
      </c>
      <c r="L2275" s="13"/>
      <c r="M2275" s="23" t="s">
        <v>677</v>
      </c>
    </row>
    <row r="2276" spans="1:13" ht="19.5" customHeight="1">
      <c r="A2276" s="18">
        <f t="shared" si="36"/>
        <v>2275</v>
      </c>
      <c r="B2276" s="11" t="s">
        <v>3295</v>
      </c>
      <c r="C2276" s="11" t="s">
        <v>92</v>
      </c>
      <c r="D2276" s="11" t="s">
        <v>3859</v>
      </c>
      <c r="E2276" s="11" t="s">
        <v>3860</v>
      </c>
      <c r="F2276" s="11" t="s">
        <v>1206</v>
      </c>
      <c r="G2276" s="11" t="s">
        <v>14</v>
      </c>
      <c r="H2276" s="19" t="str">
        <f>IFERROR(VLOOKUP(Table2[[#This Row], [Ticket]],Okey!A:B,2,0),"")</f>
        <v/>
      </c>
      <c r="I2276" s="11" t="s">
        <v>276</v>
      </c>
      <c r="J2276" s="19" t="e">
        <f>VLOOKUP(Table2[[#This Row], [Author]],People!A:B,2,0)</f>
        <v>#VALUE!</v>
      </c>
      <c r="K2276" s="11" t="s">
        <v>3297</v>
      </c>
      <c r="L2276" s="11"/>
      <c r="M2276" s="20" t="s">
        <v>677</v>
      </c>
    </row>
    <row r="2277" spans="1:13" ht="19.5" customHeight="1">
      <c r="A2277" s="21">
        <f t="shared" si="36"/>
        <v>2276</v>
      </c>
      <c r="B2277" s="13" t="s">
        <v>3295</v>
      </c>
      <c r="C2277" s="13" t="s">
        <v>92</v>
      </c>
      <c r="D2277" s="13" t="s">
        <v>3861</v>
      </c>
      <c r="E2277" s="13" t="s">
        <v>1207</v>
      </c>
      <c r="F2277" s="13" t="s">
        <v>1206</v>
      </c>
      <c r="G2277" s="13" t="s">
        <v>16</v>
      </c>
      <c r="H2277" s="22" t="str">
        <f>IFERROR(VLOOKUP(Table2[[#This Row], [Ticket]],Okey!A:B,2,0),"")</f>
        <v/>
      </c>
      <c r="I2277" s="13" t="s">
        <v>276</v>
      </c>
      <c r="J2277" s="22" t="e">
        <f>VLOOKUP(Table2[[#This Row], [Author]],People!A:B,2,0)</f>
        <v>#VALUE!</v>
      </c>
      <c r="K2277" s="13" t="s">
        <v>3297</v>
      </c>
      <c r="L2277" s="13"/>
      <c r="M2277" s="23" t="s">
        <v>677</v>
      </c>
    </row>
    <row r="2278" spans="1:13" ht="19.5" customHeight="1">
      <c r="A2278" s="18">
        <f t="shared" si="36"/>
        <v>2277</v>
      </c>
      <c r="B2278" s="11" t="s">
        <v>3295</v>
      </c>
      <c r="C2278" s="11" t="s">
        <v>92</v>
      </c>
      <c r="D2278" s="11" t="s">
        <v>3862</v>
      </c>
      <c r="E2278" s="11" t="s">
        <v>3863</v>
      </c>
      <c r="F2278" s="11" t="s">
        <v>1206</v>
      </c>
      <c r="G2278" s="11" t="s">
        <v>16</v>
      </c>
      <c r="H2278" s="19" t="str">
        <f>IFERROR(VLOOKUP(Table2[[#This Row], [Ticket]],Okey!A:B,2,0),"")</f>
        <v/>
      </c>
      <c r="I2278" s="11" t="s">
        <v>276</v>
      </c>
      <c r="J2278" s="19" t="e">
        <f>VLOOKUP(Table2[[#This Row], [Author]],People!A:B,2,0)</f>
        <v>#VALUE!</v>
      </c>
      <c r="K2278" s="11" t="s">
        <v>3297</v>
      </c>
      <c r="L2278" s="11"/>
      <c r="M2278" s="20" t="s">
        <v>677</v>
      </c>
    </row>
    <row r="2279" spans="1:13" ht="19.5" customHeight="1">
      <c r="A2279" s="21">
        <f t="shared" si="36"/>
        <v>2278</v>
      </c>
      <c r="B2279" s="13" t="s">
        <v>3295</v>
      </c>
      <c r="C2279" s="13" t="s">
        <v>93</v>
      </c>
      <c r="D2279" s="13" t="s">
        <v>3864</v>
      </c>
      <c r="E2279" s="13" t="s">
        <v>3865</v>
      </c>
      <c r="F2279" s="13" t="s">
        <v>869</v>
      </c>
      <c r="G2279" s="13" t="s">
        <v>16</v>
      </c>
      <c r="H2279" s="22" t="str">
        <f>IFERROR(VLOOKUP(Table2[[#This Row], [Ticket]],Okey!A:B,2,0),"")</f>
        <v/>
      </c>
      <c r="I2279" s="13" t="s">
        <v>276</v>
      </c>
      <c r="J2279" s="22" t="e">
        <f>VLOOKUP(Table2[[#This Row], [Author]],People!A:B,2,0)</f>
        <v>#VALUE!</v>
      </c>
      <c r="K2279" s="13" t="s">
        <v>3297</v>
      </c>
      <c r="L2279" s="13"/>
      <c r="M2279" s="23" t="s">
        <v>677</v>
      </c>
    </row>
    <row r="2280" spans="1:13" ht="19.5" customHeight="1">
      <c r="A2280" s="18">
        <f t="shared" si="36"/>
        <v>2279</v>
      </c>
      <c r="B2280" s="11" t="s">
        <v>3295</v>
      </c>
      <c r="C2280" s="11" t="s">
        <v>93</v>
      </c>
      <c r="D2280" s="11" t="s">
        <v>320</v>
      </c>
      <c r="E2280" s="11" t="s">
        <v>3866</v>
      </c>
      <c r="F2280" s="11" t="s">
        <v>319</v>
      </c>
      <c r="G2280" s="11" t="s">
        <v>16</v>
      </c>
      <c r="H2280" s="19" t="str">
        <f>IFERROR(VLOOKUP(Table2[[#This Row], [Ticket]],Okey!A:B,2,0),"")</f>
        <v/>
      </c>
      <c r="I2280" s="11" t="s">
        <v>276</v>
      </c>
      <c r="J2280" s="19" t="e">
        <f>VLOOKUP(Table2[[#This Row], [Author]],People!A:B,2,0)</f>
        <v>#VALUE!</v>
      </c>
      <c r="K2280" s="11" t="s">
        <v>3297</v>
      </c>
      <c r="L2280" s="11"/>
      <c r="M2280" s="20" t="s">
        <v>677</v>
      </c>
    </row>
    <row r="2281" spans="1:13" ht="19.5" customHeight="1">
      <c r="A2281" s="21">
        <f t="shared" si="36"/>
        <v>2280</v>
      </c>
      <c r="B2281" s="13" t="s">
        <v>3295</v>
      </c>
      <c r="C2281" s="13" t="s">
        <v>94</v>
      </c>
      <c r="D2281" s="13" t="s">
        <v>3373</v>
      </c>
      <c r="E2281" s="13" t="s">
        <v>3867</v>
      </c>
      <c r="F2281" s="13" t="s">
        <v>3868</v>
      </c>
      <c r="G2281" s="13" t="s">
        <v>14</v>
      </c>
      <c r="H2281" s="22" t="str">
        <f>IFERROR(VLOOKUP(Table2[[#This Row], [Ticket]],Okey!A:B,2,0),"")</f>
        <v/>
      </c>
      <c r="I2281" s="13" t="s">
        <v>276</v>
      </c>
      <c r="J2281" s="22" t="e">
        <f>VLOOKUP(Table2[[#This Row], [Author]],People!A:B,2,0)</f>
        <v>#VALUE!</v>
      </c>
      <c r="K2281" s="13" t="s">
        <v>3297</v>
      </c>
      <c r="L2281" s="13"/>
      <c r="M2281" s="23" t="s">
        <v>277</v>
      </c>
    </row>
    <row r="2282" spans="1:13" ht="19.5" customHeight="1">
      <c r="A2282" s="18">
        <f t="shared" si="36"/>
        <v>2281</v>
      </c>
      <c r="B2282" s="11" t="s">
        <v>3295</v>
      </c>
      <c r="C2282" s="11" t="s">
        <v>94</v>
      </c>
      <c r="D2282" s="11" t="s">
        <v>3447</v>
      </c>
      <c r="E2282" s="11" t="s">
        <v>3869</v>
      </c>
      <c r="F2282" s="11" t="s">
        <v>3870</v>
      </c>
      <c r="G2282" s="11" t="s">
        <v>14</v>
      </c>
      <c r="H2282" s="19" t="str">
        <f>IFERROR(VLOOKUP(Table2[[#This Row], [Ticket]],Okey!A:B,2,0),"")</f>
        <v/>
      </c>
      <c r="I2282" s="11" t="s">
        <v>276</v>
      </c>
      <c r="J2282" s="19" t="e">
        <f>VLOOKUP(Table2[[#This Row], [Author]],People!A:B,2,0)</f>
        <v>#VALUE!</v>
      </c>
      <c r="K2282" s="11" t="s">
        <v>3297</v>
      </c>
      <c r="L2282" s="11"/>
      <c r="M2282" s="20" t="s">
        <v>277</v>
      </c>
    </row>
    <row r="2283" spans="1:13" ht="19.5" customHeight="1">
      <c r="A2283" s="21">
        <f t="shared" si="36"/>
        <v>2282</v>
      </c>
      <c r="B2283" s="13" t="s">
        <v>3295</v>
      </c>
      <c r="C2283" s="13" t="s">
        <v>94</v>
      </c>
      <c r="D2283" s="13" t="s">
        <v>3871</v>
      </c>
      <c r="E2283" s="13" t="s">
        <v>3872</v>
      </c>
      <c r="F2283" s="13" t="s">
        <v>3873</v>
      </c>
      <c r="G2283" s="13" t="s">
        <v>14</v>
      </c>
      <c r="H2283" s="22" t="str">
        <f>IFERROR(VLOOKUP(Table2[[#This Row], [Ticket]],Okey!A:B,2,0),"")</f>
        <v/>
      </c>
      <c r="I2283" s="13" t="s">
        <v>276</v>
      </c>
      <c r="J2283" s="22" t="e">
        <f>VLOOKUP(Table2[[#This Row], [Author]],People!A:B,2,0)</f>
        <v>#VALUE!</v>
      </c>
      <c r="K2283" s="13" t="s">
        <v>3297</v>
      </c>
      <c r="L2283" s="13"/>
      <c r="M2283" s="23" t="s">
        <v>277</v>
      </c>
    </row>
    <row r="2284" spans="1:13" ht="19.5" customHeight="1">
      <c r="A2284" s="18">
        <f t="shared" si="36"/>
        <v>2283</v>
      </c>
      <c r="B2284" s="11" t="s">
        <v>3295</v>
      </c>
      <c r="C2284" s="11" t="s">
        <v>94</v>
      </c>
      <c r="D2284" s="11" t="s">
        <v>3874</v>
      </c>
      <c r="E2284" s="11" t="s">
        <v>3875</v>
      </c>
      <c r="F2284" s="11" t="s">
        <v>3341</v>
      </c>
      <c r="G2284" s="11" t="s">
        <v>14</v>
      </c>
      <c r="H2284" s="19" t="str">
        <f>IFERROR(VLOOKUP(Table2[[#This Row], [Ticket]],Okey!A:B,2,0),"")</f>
        <v/>
      </c>
      <c r="I2284" s="11" t="s">
        <v>276</v>
      </c>
      <c r="J2284" s="19" t="e">
        <f>VLOOKUP(Table2[[#This Row], [Author]],People!A:B,2,0)</f>
        <v>#VALUE!</v>
      </c>
      <c r="K2284" s="11" t="s">
        <v>3297</v>
      </c>
      <c r="L2284" s="11"/>
      <c r="M2284" s="20" t="s">
        <v>277</v>
      </c>
    </row>
    <row r="2285" spans="1:13" ht="19.5" customHeight="1">
      <c r="A2285" s="21">
        <f t="shared" si="36"/>
        <v>2284</v>
      </c>
      <c r="B2285" s="13" t="s">
        <v>3295</v>
      </c>
      <c r="C2285" s="13" t="s">
        <v>94</v>
      </c>
      <c r="D2285" s="13" t="s">
        <v>3876</v>
      </c>
      <c r="E2285" s="13" t="s">
        <v>3877</v>
      </c>
      <c r="F2285" s="13" t="s">
        <v>3878</v>
      </c>
      <c r="G2285" s="13" t="s">
        <v>14</v>
      </c>
      <c r="H2285" s="22" t="str">
        <f>IFERROR(VLOOKUP(Table2[[#This Row], [Ticket]],Okey!A:B,2,0),"")</f>
        <v/>
      </c>
      <c r="I2285" s="13" t="s">
        <v>276</v>
      </c>
      <c r="J2285" s="22" t="e">
        <f>VLOOKUP(Table2[[#This Row], [Author]],People!A:B,2,0)</f>
        <v>#VALUE!</v>
      </c>
      <c r="K2285" s="13" t="s">
        <v>3297</v>
      </c>
      <c r="L2285" s="13"/>
      <c r="M2285" s="23" t="s">
        <v>277</v>
      </c>
    </row>
    <row r="2286" spans="1:13" ht="19.5" customHeight="1">
      <c r="A2286" s="18">
        <f t="shared" si="36"/>
        <v>2285</v>
      </c>
      <c r="B2286" s="11" t="s">
        <v>3295</v>
      </c>
      <c r="C2286" s="11" t="s">
        <v>94</v>
      </c>
      <c r="D2286" s="11" t="s">
        <v>3879</v>
      </c>
      <c r="E2286" s="11" t="s">
        <v>3880</v>
      </c>
      <c r="F2286" s="11" t="s">
        <v>1354</v>
      </c>
      <c r="G2286" s="11" t="s">
        <v>14</v>
      </c>
      <c r="H2286" s="19" t="str">
        <f>IFERROR(VLOOKUP(Table2[[#This Row], [Ticket]],Okey!A:B,2,0),"")</f>
        <v/>
      </c>
      <c r="I2286" s="11" t="s">
        <v>276</v>
      </c>
      <c r="J2286" s="19" t="e">
        <f>VLOOKUP(Table2[[#This Row], [Author]],People!A:B,2,0)</f>
        <v>#VALUE!</v>
      </c>
      <c r="K2286" s="11" t="s">
        <v>3297</v>
      </c>
      <c r="L2286" s="11"/>
      <c r="M2286" s="20" t="s">
        <v>277</v>
      </c>
    </row>
    <row r="2287" spans="1:13" ht="19.5" customHeight="1">
      <c r="A2287" s="21">
        <f t="shared" si="36"/>
        <v>2286</v>
      </c>
      <c r="B2287" s="13" t="s">
        <v>3295</v>
      </c>
      <c r="C2287" s="13" t="s">
        <v>94</v>
      </c>
      <c r="D2287" s="13" t="s">
        <v>3881</v>
      </c>
      <c r="E2287" s="13" t="s">
        <v>3882</v>
      </c>
      <c r="F2287" s="13" t="s">
        <v>1354</v>
      </c>
      <c r="G2287" s="13" t="s">
        <v>14</v>
      </c>
      <c r="H2287" s="22" t="str">
        <f>IFERROR(VLOOKUP(Table2[[#This Row], [Ticket]],Okey!A:B,2,0),"")</f>
        <v/>
      </c>
      <c r="I2287" s="13" t="s">
        <v>276</v>
      </c>
      <c r="J2287" s="22" t="e">
        <f>VLOOKUP(Table2[[#This Row], [Author]],People!A:B,2,0)</f>
        <v>#VALUE!</v>
      </c>
      <c r="K2287" s="13" t="s">
        <v>3297</v>
      </c>
      <c r="L2287" s="13"/>
      <c r="M2287" s="23" t="s">
        <v>277</v>
      </c>
    </row>
    <row r="2288" spans="1:13" ht="19.5" customHeight="1">
      <c r="A2288" s="18">
        <f t="shared" si="36"/>
        <v>2287</v>
      </c>
      <c r="B2288" s="11" t="s">
        <v>3295</v>
      </c>
      <c r="C2288" s="11" t="s">
        <v>94</v>
      </c>
      <c r="D2288" s="11" t="s">
        <v>3883</v>
      </c>
      <c r="E2288" s="11" t="s">
        <v>3884</v>
      </c>
      <c r="F2288" s="11" t="s">
        <v>1385</v>
      </c>
      <c r="G2288" s="11" t="s">
        <v>14</v>
      </c>
      <c r="H2288" s="19" t="str">
        <f>IFERROR(VLOOKUP(Table2[[#This Row], [Ticket]],Okey!A:B,2,0),"")</f>
        <v/>
      </c>
      <c r="I2288" s="11" t="s">
        <v>276</v>
      </c>
      <c r="J2288" s="19" t="e">
        <f>VLOOKUP(Table2[[#This Row], [Author]],People!A:B,2,0)</f>
        <v>#VALUE!</v>
      </c>
      <c r="K2288" s="11" t="s">
        <v>3297</v>
      </c>
      <c r="L2288" s="11"/>
      <c r="M2288" s="20" t="s">
        <v>277</v>
      </c>
    </row>
    <row r="2289" spans="1:13" ht="19.5" customHeight="1">
      <c r="A2289" s="21">
        <f t="shared" si="36"/>
        <v>2288</v>
      </c>
      <c r="B2289" s="13" t="s">
        <v>3295</v>
      </c>
      <c r="C2289" s="13" t="s">
        <v>94</v>
      </c>
      <c r="D2289" s="13" t="s">
        <v>3885</v>
      </c>
      <c r="E2289" s="13" t="s">
        <v>3886</v>
      </c>
      <c r="F2289" s="13" t="s">
        <v>1782</v>
      </c>
      <c r="G2289" s="13" t="s">
        <v>14</v>
      </c>
      <c r="H2289" s="22" t="str">
        <f>IFERROR(VLOOKUP(Table2[[#This Row], [Ticket]],Okey!A:B,2,0),"")</f>
        <v/>
      </c>
      <c r="I2289" s="13" t="s">
        <v>276</v>
      </c>
      <c r="J2289" s="22" t="e">
        <f>VLOOKUP(Table2[[#This Row], [Author]],People!A:B,2,0)</f>
        <v>#VALUE!</v>
      </c>
      <c r="K2289" s="13" t="s">
        <v>3297</v>
      </c>
      <c r="L2289" s="13"/>
      <c r="M2289" s="23" t="s">
        <v>277</v>
      </c>
    </row>
    <row r="2290" spans="1:13" ht="19.5" customHeight="1">
      <c r="A2290" s="18">
        <f t="shared" si="36"/>
        <v>2289</v>
      </c>
      <c r="B2290" s="11" t="s">
        <v>3295</v>
      </c>
      <c r="C2290" s="11" t="s">
        <v>94</v>
      </c>
      <c r="D2290" s="11" t="s">
        <v>3887</v>
      </c>
      <c r="E2290" s="11" t="s">
        <v>3888</v>
      </c>
      <c r="F2290" s="11"/>
      <c r="G2290" s="11" t="s">
        <v>15</v>
      </c>
      <c r="H2290" s="19" t="str">
        <f>IFERROR(VLOOKUP(Table2[[#This Row], [Ticket]],Okey!A:B,2,0),"")</f>
        <v/>
      </c>
      <c r="I2290" s="11" t="s">
        <v>276</v>
      </c>
      <c r="J2290" s="19" t="e">
        <f>VLOOKUP(Table2[[#This Row], [Author]],People!A:B,2,0)</f>
        <v>#VALUE!</v>
      </c>
      <c r="K2290" s="11" t="s">
        <v>3297</v>
      </c>
      <c r="L2290" s="11"/>
      <c r="M2290" s="20" t="s">
        <v>277</v>
      </c>
    </row>
    <row r="2291" spans="1:13" ht="19.5" customHeight="1">
      <c r="A2291" s="21">
        <f t="shared" si="36"/>
        <v>2290</v>
      </c>
      <c r="B2291" s="13" t="s">
        <v>3295</v>
      </c>
      <c r="C2291" s="13" t="s">
        <v>94</v>
      </c>
      <c r="D2291" s="13" t="s">
        <v>3889</v>
      </c>
      <c r="E2291" s="13" t="s">
        <v>3890</v>
      </c>
      <c r="F2291" s="13"/>
      <c r="G2291" s="13" t="s">
        <v>15</v>
      </c>
      <c r="H2291" s="22" t="str">
        <f>IFERROR(VLOOKUP(Table2[[#This Row], [Ticket]],Okey!A:B,2,0),"")</f>
        <v/>
      </c>
      <c r="I2291" s="13" t="s">
        <v>276</v>
      </c>
      <c r="J2291" s="22" t="e">
        <f>VLOOKUP(Table2[[#This Row], [Author]],People!A:B,2,0)</f>
        <v>#VALUE!</v>
      </c>
      <c r="K2291" s="13" t="s">
        <v>3297</v>
      </c>
      <c r="L2291" s="13"/>
      <c r="M2291" s="23" t="s">
        <v>277</v>
      </c>
    </row>
    <row r="2292" spans="1:13" ht="19.5" customHeight="1">
      <c r="A2292" s="18">
        <f t="shared" si="36"/>
        <v>2291</v>
      </c>
      <c r="B2292" s="11" t="s">
        <v>3295</v>
      </c>
      <c r="C2292" s="11" t="s">
        <v>94</v>
      </c>
      <c r="D2292" s="11" t="s">
        <v>3341</v>
      </c>
      <c r="E2292" s="11" t="s">
        <v>3891</v>
      </c>
      <c r="F2292" s="11"/>
      <c r="G2292" s="11" t="s">
        <v>15</v>
      </c>
      <c r="H2292" s="19" t="str">
        <f>IFERROR(VLOOKUP(Table2[[#This Row], [Ticket]],Okey!A:B,2,0),"")</f>
        <v/>
      </c>
      <c r="I2292" s="11" t="s">
        <v>276</v>
      </c>
      <c r="J2292" s="19" t="e">
        <f>VLOOKUP(Table2[[#This Row], [Author]],People!A:B,2,0)</f>
        <v>#VALUE!</v>
      </c>
      <c r="K2292" s="11" t="s">
        <v>3297</v>
      </c>
      <c r="L2292" s="11"/>
      <c r="M2292" s="20" t="s">
        <v>277</v>
      </c>
    </row>
    <row r="2293" spans="1:13" ht="19.5" customHeight="1">
      <c r="A2293" s="21">
        <f t="shared" si="36"/>
        <v>2292</v>
      </c>
      <c r="B2293" s="13" t="s">
        <v>3295</v>
      </c>
      <c r="C2293" s="13" t="s">
        <v>94</v>
      </c>
      <c r="D2293" s="13" t="s">
        <v>3892</v>
      </c>
      <c r="E2293" s="13" t="s">
        <v>3893</v>
      </c>
      <c r="F2293" s="13"/>
      <c r="G2293" s="13" t="s">
        <v>15</v>
      </c>
      <c r="H2293" s="22" t="str">
        <f>IFERROR(VLOOKUP(Table2[[#This Row], [Ticket]],Okey!A:B,2,0),"")</f>
        <v/>
      </c>
      <c r="I2293" s="13" t="s">
        <v>276</v>
      </c>
      <c r="J2293" s="22" t="e">
        <f>VLOOKUP(Table2[[#This Row], [Author]],People!A:B,2,0)</f>
        <v>#VALUE!</v>
      </c>
      <c r="K2293" s="13" t="s">
        <v>3297</v>
      </c>
      <c r="L2293" s="13"/>
      <c r="M2293" s="23" t="s">
        <v>277</v>
      </c>
    </row>
    <row r="2294" spans="1:13" ht="19.5" customHeight="1">
      <c r="A2294" s="18">
        <f t="shared" si="36"/>
        <v>2293</v>
      </c>
      <c r="B2294" s="11" t="s">
        <v>3295</v>
      </c>
      <c r="C2294" s="11" t="s">
        <v>94</v>
      </c>
      <c r="D2294" s="11" t="s">
        <v>3894</v>
      </c>
      <c r="E2294" s="11" t="s">
        <v>3895</v>
      </c>
      <c r="F2294" s="11"/>
      <c r="G2294" s="11" t="s">
        <v>15</v>
      </c>
      <c r="H2294" s="19" t="str">
        <f>IFERROR(VLOOKUP(Table2[[#This Row], [Ticket]],Okey!A:B,2,0),"")</f>
        <v/>
      </c>
      <c r="I2294" s="11" t="s">
        <v>276</v>
      </c>
      <c r="J2294" s="19" t="e">
        <f>VLOOKUP(Table2[[#This Row], [Author]],People!A:B,2,0)</f>
        <v>#VALUE!</v>
      </c>
      <c r="K2294" s="11" t="s">
        <v>3297</v>
      </c>
      <c r="L2294" s="11"/>
      <c r="M2294" s="20" t="s">
        <v>277</v>
      </c>
    </row>
    <row r="2295" spans="1:13" ht="19.5" customHeight="1">
      <c r="A2295" s="21">
        <f t="shared" si="36"/>
        <v>2294</v>
      </c>
      <c r="B2295" s="13" t="s">
        <v>3295</v>
      </c>
      <c r="C2295" s="13" t="s">
        <v>94</v>
      </c>
      <c r="D2295" s="13" t="s">
        <v>3896</v>
      </c>
      <c r="E2295" s="13" t="s">
        <v>3897</v>
      </c>
      <c r="F2295" s="13"/>
      <c r="G2295" s="13" t="s">
        <v>15</v>
      </c>
      <c r="H2295" s="22" t="str">
        <f>IFERROR(VLOOKUP(Table2[[#This Row], [Ticket]],Okey!A:B,2,0),"")</f>
        <v/>
      </c>
      <c r="I2295" s="13" t="s">
        <v>276</v>
      </c>
      <c r="J2295" s="22" t="e">
        <f>VLOOKUP(Table2[[#This Row], [Author]],People!A:B,2,0)</f>
        <v>#VALUE!</v>
      </c>
      <c r="K2295" s="13" t="s">
        <v>3297</v>
      </c>
      <c r="L2295" s="13"/>
      <c r="M2295" s="23" t="s">
        <v>277</v>
      </c>
    </row>
    <row r="2296" spans="1:13" ht="19.5" customHeight="1">
      <c r="A2296" s="18">
        <f t="shared" si="36"/>
        <v>2295</v>
      </c>
      <c r="B2296" s="11" t="s">
        <v>3295</v>
      </c>
      <c r="C2296" s="11" t="s">
        <v>94</v>
      </c>
      <c r="D2296" s="11" t="s">
        <v>3898</v>
      </c>
      <c r="E2296" s="11" t="s">
        <v>3899</v>
      </c>
      <c r="F2296" s="11"/>
      <c r="G2296" s="11" t="s">
        <v>15</v>
      </c>
      <c r="H2296" s="19" t="str">
        <f>IFERROR(VLOOKUP(Table2[[#This Row], [Ticket]],Okey!A:B,2,0),"")</f>
        <v/>
      </c>
      <c r="I2296" s="11" t="s">
        <v>276</v>
      </c>
      <c r="J2296" s="19" t="e">
        <f>VLOOKUP(Table2[[#This Row], [Author]],People!A:B,2,0)</f>
        <v>#VALUE!</v>
      </c>
      <c r="K2296" s="11" t="s">
        <v>3297</v>
      </c>
      <c r="L2296" s="11"/>
      <c r="M2296" s="20" t="s">
        <v>277</v>
      </c>
    </row>
    <row r="2297" spans="1:13" ht="19.5" customHeight="1">
      <c r="A2297" s="21">
        <f t="shared" si="36"/>
        <v>2296</v>
      </c>
      <c r="B2297" s="13" t="s">
        <v>3295</v>
      </c>
      <c r="C2297" s="13" t="s">
        <v>94</v>
      </c>
      <c r="D2297" s="13" t="s">
        <v>3900</v>
      </c>
      <c r="E2297" s="13" t="s">
        <v>3901</v>
      </c>
      <c r="F2297" s="13"/>
      <c r="G2297" s="13" t="s">
        <v>15</v>
      </c>
      <c r="H2297" s="22" t="str">
        <f>IFERROR(VLOOKUP(Table2[[#This Row], [Ticket]],Okey!A:B,2,0),"")</f>
        <v/>
      </c>
      <c r="I2297" s="13" t="s">
        <v>276</v>
      </c>
      <c r="J2297" s="22" t="e">
        <f>VLOOKUP(Table2[[#This Row], [Author]],People!A:B,2,0)</f>
        <v>#VALUE!</v>
      </c>
      <c r="K2297" s="13" t="s">
        <v>3297</v>
      </c>
      <c r="L2297" s="13"/>
      <c r="M2297" s="23" t="s">
        <v>277</v>
      </c>
    </row>
    <row r="2298" spans="1:13" ht="19.5" customHeight="1">
      <c r="A2298" s="18">
        <f t="shared" si="36"/>
        <v>2297</v>
      </c>
      <c r="B2298" s="11" t="s">
        <v>3295</v>
      </c>
      <c r="C2298" s="11" t="s">
        <v>94</v>
      </c>
      <c r="D2298" s="11" t="s">
        <v>3902</v>
      </c>
      <c r="E2298" s="11" t="s">
        <v>3903</v>
      </c>
      <c r="F2298" s="11"/>
      <c r="G2298" s="11" t="s">
        <v>15</v>
      </c>
      <c r="H2298" s="19" t="str">
        <f>IFERROR(VLOOKUP(Table2[[#This Row], [Ticket]],Okey!A:B,2,0),"")</f>
        <v/>
      </c>
      <c r="I2298" s="11" t="s">
        <v>276</v>
      </c>
      <c r="J2298" s="19" t="e">
        <f>VLOOKUP(Table2[[#This Row], [Author]],People!A:B,2,0)</f>
        <v>#VALUE!</v>
      </c>
      <c r="K2298" s="11" t="s">
        <v>3297</v>
      </c>
      <c r="L2298" s="11"/>
      <c r="M2298" s="20" t="s">
        <v>277</v>
      </c>
    </row>
    <row r="2299" spans="1:13" ht="19.5" customHeight="1">
      <c r="A2299" s="21">
        <f t="shared" si="36"/>
        <v>2298</v>
      </c>
      <c r="B2299" s="13" t="s">
        <v>3295</v>
      </c>
      <c r="C2299" s="13" t="s">
        <v>94</v>
      </c>
      <c r="D2299" s="13" t="s">
        <v>3904</v>
      </c>
      <c r="E2299" s="13" t="s">
        <v>3905</v>
      </c>
      <c r="F2299" s="13"/>
      <c r="G2299" s="13" t="s">
        <v>15</v>
      </c>
      <c r="H2299" s="22" t="str">
        <f>IFERROR(VLOOKUP(Table2[[#This Row], [Ticket]],Okey!A:B,2,0),"")</f>
        <v/>
      </c>
      <c r="I2299" s="13" t="s">
        <v>276</v>
      </c>
      <c r="J2299" s="22" t="e">
        <f>VLOOKUP(Table2[[#This Row], [Author]],People!A:B,2,0)</f>
        <v>#VALUE!</v>
      </c>
      <c r="K2299" s="13" t="s">
        <v>3297</v>
      </c>
      <c r="L2299" s="13"/>
      <c r="M2299" s="23" t="s">
        <v>277</v>
      </c>
    </row>
    <row r="2300" spans="1:13" ht="19.5" customHeight="1">
      <c r="A2300" s="18">
        <f t="shared" si="36"/>
        <v>2299</v>
      </c>
      <c r="B2300" s="11" t="s">
        <v>3295</v>
      </c>
      <c r="C2300" s="11" t="s">
        <v>94</v>
      </c>
      <c r="D2300" s="11" t="s">
        <v>3477</v>
      </c>
      <c r="E2300" s="11" t="s">
        <v>3906</v>
      </c>
      <c r="F2300" s="11"/>
      <c r="G2300" s="11" t="s">
        <v>15</v>
      </c>
      <c r="H2300" s="19" t="str">
        <f>IFERROR(VLOOKUP(Table2[[#This Row], [Ticket]],Okey!A:B,2,0),"")</f>
        <v/>
      </c>
      <c r="I2300" s="11" t="s">
        <v>276</v>
      </c>
      <c r="J2300" s="19" t="e">
        <f>VLOOKUP(Table2[[#This Row], [Author]],People!A:B,2,0)</f>
        <v>#VALUE!</v>
      </c>
      <c r="K2300" s="11" t="s">
        <v>3297</v>
      </c>
      <c r="L2300" s="11"/>
      <c r="M2300" s="20" t="s">
        <v>277</v>
      </c>
    </row>
    <row r="2301" spans="1:13" ht="19.5" customHeight="1">
      <c r="A2301" s="21">
        <f t="shared" si="36"/>
        <v>2300</v>
      </c>
      <c r="B2301" s="13" t="s">
        <v>3295</v>
      </c>
      <c r="C2301" s="13" t="s">
        <v>96</v>
      </c>
      <c r="D2301" s="13" t="s">
        <v>3907</v>
      </c>
      <c r="E2301" s="13" t="s">
        <v>3908</v>
      </c>
      <c r="F2301" s="13" t="s">
        <v>3909</v>
      </c>
      <c r="G2301" s="13" t="s">
        <v>14</v>
      </c>
      <c r="H2301" s="22" t="str">
        <f>IFERROR(VLOOKUP(Table2[[#This Row], [Ticket]],Okey!A:B,2,0),"")</f>
        <v/>
      </c>
      <c r="I2301" s="13" t="s">
        <v>276</v>
      </c>
      <c r="J2301" s="22" t="e">
        <f>VLOOKUP(Table2[[#This Row], [Author]],People!A:B,2,0)</f>
        <v>#VALUE!</v>
      </c>
      <c r="K2301" s="13" t="s">
        <v>3297</v>
      </c>
      <c r="L2301" s="13"/>
      <c r="M2301" s="23" t="s">
        <v>277</v>
      </c>
    </row>
    <row r="2302" spans="1:13" ht="19.5" customHeight="1">
      <c r="A2302" s="18">
        <f t="shared" si="36"/>
        <v>2301</v>
      </c>
      <c r="B2302" s="11" t="s">
        <v>3295</v>
      </c>
      <c r="C2302" s="11" t="s">
        <v>96</v>
      </c>
      <c r="D2302" s="11" t="s">
        <v>3910</v>
      </c>
      <c r="E2302" s="11" t="s">
        <v>3911</v>
      </c>
      <c r="F2302" s="11" t="s">
        <v>3909</v>
      </c>
      <c r="G2302" s="11" t="s">
        <v>14</v>
      </c>
      <c r="H2302" s="19" t="str">
        <f>IFERROR(VLOOKUP(Table2[[#This Row], [Ticket]],Okey!A:B,2,0),"")</f>
        <v/>
      </c>
      <c r="I2302" s="11" t="s">
        <v>276</v>
      </c>
      <c r="J2302" s="19" t="e">
        <f>VLOOKUP(Table2[[#This Row], [Author]],People!A:B,2,0)</f>
        <v>#VALUE!</v>
      </c>
      <c r="K2302" s="11" t="s">
        <v>3297</v>
      </c>
      <c r="L2302" s="11"/>
      <c r="M2302" s="20" t="s">
        <v>277</v>
      </c>
    </row>
    <row r="2303" spans="1:13" ht="19.5" customHeight="1">
      <c r="A2303" s="21">
        <f t="shared" si="36"/>
        <v>2302</v>
      </c>
      <c r="B2303" s="13" t="s">
        <v>3295</v>
      </c>
      <c r="C2303" s="13" t="s">
        <v>96</v>
      </c>
      <c r="D2303" s="13" t="s">
        <v>3912</v>
      </c>
      <c r="E2303" s="13" t="s">
        <v>3913</v>
      </c>
      <c r="F2303" s="13" t="s">
        <v>3909</v>
      </c>
      <c r="G2303" s="13" t="s">
        <v>14</v>
      </c>
      <c r="H2303" s="22" t="str">
        <f>IFERROR(VLOOKUP(Table2[[#This Row], [Ticket]],Okey!A:B,2,0),"")</f>
        <v/>
      </c>
      <c r="I2303" s="13" t="s">
        <v>276</v>
      </c>
      <c r="J2303" s="22" t="e">
        <f>VLOOKUP(Table2[[#This Row], [Author]],People!A:B,2,0)</f>
        <v>#VALUE!</v>
      </c>
      <c r="K2303" s="13" t="s">
        <v>3297</v>
      </c>
      <c r="L2303" s="13"/>
      <c r="M2303" s="23" t="s">
        <v>277</v>
      </c>
    </row>
    <row r="2304" spans="1:13" ht="19.5" customHeight="1">
      <c r="A2304" s="18">
        <f t="shared" si="36"/>
        <v>2303</v>
      </c>
      <c r="B2304" s="11" t="s">
        <v>3295</v>
      </c>
      <c r="C2304" s="11" t="s">
        <v>96</v>
      </c>
      <c r="D2304" s="11" t="s">
        <v>3914</v>
      </c>
      <c r="E2304" s="11" t="s">
        <v>3915</v>
      </c>
      <c r="F2304" s="11" t="s">
        <v>3909</v>
      </c>
      <c r="G2304" s="11" t="s">
        <v>14</v>
      </c>
      <c r="H2304" s="19" t="str">
        <f>IFERROR(VLOOKUP(Table2[[#This Row], [Ticket]],Okey!A:B,2,0),"")</f>
        <v/>
      </c>
      <c r="I2304" s="11" t="s">
        <v>276</v>
      </c>
      <c r="J2304" s="19" t="e">
        <f>VLOOKUP(Table2[[#This Row], [Author]],People!A:B,2,0)</f>
        <v>#VALUE!</v>
      </c>
      <c r="K2304" s="11" t="s">
        <v>3297</v>
      </c>
      <c r="L2304" s="11"/>
      <c r="M2304" s="20" t="s">
        <v>277</v>
      </c>
    </row>
    <row r="2305" spans="1:13" ht="19.5" customHeight="1">
      <c r="A2305" s="21">
        <f t="shared" si="36"/>
        <v>2304</v>
      </c>
      <c r="B2305" s="13" t="s">
        <v>3295</v>
      </c>
      <c r="C2305" s="13" t="s">
        <v>96</v>
      </c>
      <c r="D2305" s="13" t="s">
        <v>3916</v>
      </c>
      <c r="E2305" s="13" t="s">
        <v>3917</v>
      </c>
      <c r="F2305" s="13" t="s">
        <v>3918</v>
      </c>
      <c r="G2305" s="13" t="s">
        <v>14</v>
      </c>
      <c r="H2305" s="22" t="str">
        <f>IFERROR(VLOOKUP(Table2[[#This Row], [Ticket]],Okey!A:B,2,0),"")</f>
        <v/>
      </c>
      <c r="I2305" s="13" t="s">
        <v>276</v>
      </c>
      <c r="J2305" s="22" t="e">
        <f>VLOOKUP(Table2[[#This Row], [Author]],People!A:B,2,0)</f>
        <v>#VALUE!</v>
      </c>
      <c r="K2305" s="13" t="s">
        <v>3297</v>
      </c>
      <c r="L2305" s="13"/>
      <c r="M2305" s="23" t="s">
        <v>277</v>
      </c>
    </row>
    <row r="2306" spans="1:13" ht="19.5" customHeight="1">
      <c r="A2306" s="18">
        <f t="shared" si="36"/>
        <v>2305</v>
      </c>
      <c r="B2306" s="11" t="s">
        <v>3295</v>
      </c>
      <c r="C2306" s="11" t="s">
        <v>96</v>
      </c>
      <c r="D2306" s="11" t="s">
        <v>3919</v>
      </c>
      <c r="E2306" s="11" t="s">
        <v>3920</v>
      </c>
      <c r="F2306" s="11" t="s">
        <v>3918</v>
      </c>
      <c r="G2306" s="11" t="s">
        <v>14</v>
      </c>
      <c r="H2306" s="19" t="str">
        <f>IFERROR(VLOOKUP(Table2[[#This Row], [Ticket]],Okey!A:B,2,0),"")</f>
        <v/>
      </c>
      <c r="I2306" s="11" t="s">
        <v>276</v>
      </c>
      <c r="J2306" s="19" t="e">
        <f>VLOOKUP(Table2[[#This Row], [Author]],People!A:B,2,0)</f>
        <v>#VALUE!</v>
      </c>
      <c r="K2306" s="11" t="s">
        <v>3297</v>
      </c>
      <c r="L2306" s="11"/>
      <c r="M2306" s="20" t="s">
        <v>277</v>
      </c>
    </row>
    <row r="2307" spans="1:13" ht="19.5" customHeight="1">
      <c r="A2307" s="21">
        <f t="shared" si="36"/>
        <v>2306</v>
      </c>
      <c r="B2307" s="13" t="s">
        <v>3295</v>
      </c>
      <c r="C2307" s="13" t="s">
        <v>96</v>
      </c>
      <c r="D2307" s="13" t="s">
        <v>3921</v>
      </c>
      <c r="E2307" s="13" t="s">
        <v>3922</v>
      </c>
      <c r="F2307" s="13" t="s">
        <v>3918</v>
      </c>
      <c r="G2307" s="13" t="s">
        <v>14</v>
      </c>
      <c r="H2307" s="22" t="str">
        <f>IFERROR(VLOOKUP(Table2[[#This Row], [Ticket]],Okey!A:B,2,0),"")</f>
        <v/>
      </c>
      <c r="I2307" s="13" t="s">
        <v>276</v>
      </c>
      <c r="J2307" s="22" t="e">
        <f>VLOOKUP(Table2[[#This Row], [Author]],People!A:B,2,0)</f>
        <v>#VALUE!</v>
      </c>
      <c r="K2307" s="13" t="s">
        <v>3297</v>
      </c>
      <c r="L2307" s="13"/>
      <c r="M2307" s="23" t="s">
        <v>277</v>
      </c>
    </row>
    <row r="2308" spans="1:13" ht="19.5" customHeight="1">
      <c r="A2308" s="18">
        <f t="shared" si="36"/>
        <v>2307</v>
      </c>
      <c r="B2308" s="11" t="s">
        <v>3295</v>
      </c>
      <c r="C2308" s="11" t="s">
        <v>96</v>
      </c>
      <c r="D2308" s="11" t="s">
        <v>3923</v>
      </c>
      <c r="E2308" s="11" t="s">
        <v>3924</v>
      </c>
      <c r="F2308" s="11" t="s">
        <v>3918</v>
      </c>
      <c r="G2308" s="11" t="s">
        <v>14</v>
      </c>
      <c r="H2308" s="19" t="str">
        <f>IFERROR(VLOOKUP(Table2[[#This Row], [Ticket]],Okey!A:B,2,0),"")</f>
        <v/>
      </c>
      <c r="I2308" s="11" t="s">
        <v>276</v>
      </c>
      <c r="J2308" s="19" t="e">
        <f>VLOOKUP(Table2[[#This Row], [Author]],People!A:B,2,0)</f>
        <v>#VALUE!</v>
      </c>
      <c r="K2308" s="11" t="s">
        <v>3297</v>
      </c>
      <c r="L2308" s="11"/>
      <c r="M2308" s="20" t="s">
        <v>277</v>
      </c>
    </row>
    <row r="2309" spans="1:13" ht="19.5" customHeight="1">
      <c r="A2309" s="21">
        <f t="shared" si="36"/>
        <v>2308</v>
      </c>
      <c r="B2309" s="13" t="s">
        <v>3295</v>
      </c>
      <c r="C2309" s="13" t="s">
        <v>96</v>
      </c>
      <c r="D2309" s="13" t="s">
        <v>3925</v>
      </c>
      <c r="E2309" s="13" t="s">
        <v>3926</v>
      </c>
      <c r="F2309" s="13" t="s">
        <v>3927</v>
      </c>
      <c r="G2309" s="13" t="s">
        <v>14</v>
      </c>
      <c r="H2309" s="22" t="str">
        <f>IFERROR(VLOOKUP(Table2[[#This Row], [Ticket]],Okey!A:B,2,0),"")</f>
        <v/>
      </c>
      <c r="I2309" s="13" t="s">
        <v>276</v>
      </c>
      <c r="J2309" s="22" t="e">
        <f>VLOOKUP(Table2[[#This Row], [Author]],People!A:B,2,0)</f>
        <v>#VALUE!</v>
      </c>
      <c r="K2309" s="13" t="s">
        <v>3297</v>
      </c>
      <c r="L2309" s="13"/>
      <c r="M2309" s="23" t="s">
        <v>277</v>
      </c>
    </row>
    <row r="2310" spans="1:13" ht="19.5" customHeight="1">
      <c r="A2310" s="18">
        <f t="shared" si="36"/>
        <v>2309</v>
      </c>
      <c r="B2310" s="11" t="s">
        <v>3295</v>
      </c>
      <c r="C2310" s="11" t="s">
        <v>96</v>
      </c>
      <c r="D2310" s="11" t="s">
        <v>3928</v>
      </c>
      <c r="E2310" s="11" t="s">
        <v>3929</v>
      </c>
      <c r="F2310" s="11" t="s">
        <v>3927</v>
      </c>
      <c r="G2310" s="11" t="s">
        <v>14</v>
      </c>
      <c r="H2310" s="19" t="str">
        <f>IFERROR(VLOOKUP(Table2[[#This Row], [Ticket]],Okey!A:B,2,0),"")</f>
        <v/>
      </c>
      <c r="I2310" s="11" t="s">
        <v>276</v>
      </c>
      <c r="J2310" s="19" t="e">
        <f>VLOOKUP(Table2[[#This Row], [Author]],People!A:B,2,0)</f>
        <v>#VALUE!</v>
      </c>
      <c r="K2310" s="11" t="s">
        <v>3297</v>
      </c>
      <c r="L2310" s="11"/>
      <c r="M2310" s="20" t="s">
        <v>277</v>
      </c>
    </row>
    <row r="2311" spans="1:13" ht="19.5" customHeight="1">
      <c r="A2311" s="21">
        <f t="shared" si="36"/>
        <v>2310</v>
      </c>
      <c r="B2311" s="13" t="s">
        <v>3295</v>
      </c>
      <c r="C2311" s="13" t="s">
        <v>96</v>
      </c>
      <c r="D2311" s="13" t="s">
        <v>3930</v>
      </c>
      <c r="E2311" s="13" t="s">
        <v>3931</v>
      </c>
      <c r="F2311" s="13" t="s">
        <v>3927</v>
      </c>
      <c r="G2311" s="13" t="s">
        <v>14</v>
      </c>
      <c r="H2311" s="22" t="str">
        <f>IFERROR(VLOOKUP(Table2[[#This Row], [Ticket]],Okey!A:B,2,0),"")</f>
        <v/>
      </c>
      <c r="I2311" s="13" t="s">
        <v>276</v>
      </c>
      <c r="J2311" s="22" t="e">
        <f>VLOOKUP(Table2[[#This Row], [Author]],People!A:B,2,0)</f>
        <v>#VALUE!</v>
      </c>
      <c r="K2311" s="13" t="s">
        <v>3297</v>
      </c>
      <c r="L2311" s="13"/>
      <c r="M2311" s="23" t="s">
        <v>277</v>
      </c>
    </row>
    <row r="2312" spans="1:13" ht="19.5" customHeight="1">
      <c r="A2312" s="18">
        <f t="shared" si="36"/>
        <v>2311</v>
      </c>
      <c r="B2312" s="11" t="s">
        <v>3295</v>
      </c>
      <c r="C2312" s="11" t="s">
        <v>96</v>
      </c>
      <c r="D2312" s="11" t="s">
        <v>3932</v>
      </c>
      <c r="E2312" s="11" t="s">
        <v>3933</v>
      </c>
      <c r="F2312" s="11" t="s">
        <v>3934</v>
      </c>
      <c r="G2312" s="11" t="s">
        <v>14</v>
      </c>
      <c r="H2312" s="19" t="str">
        <f>IFERROR(VLOOKUP(Table2[[#This Row], [Ticket]],Okey!A:B,2,0),"")</f>
        <v/>
      </c>
      <c r="I2312" s="11" t="s">
        <v>276</v>
      </c>
      <c r="J2312" s="19" t="e">
        <f>VLOOKUP(Table2[[#This Row], [Author]],People!A:B,2,0)</f>
        <v>#VALUE!</v>
      </c>
      <c r="K2312" s="11" t="s">
        <v>3297</v>
      </c>
      <c r="L2312" s="11"/>
      <c r="M2312" s="20" t="s">
        <v>277</v>
      </c>
    </row>
    <row r="2313" spans="1:13" ht="19.5" customHeight="1">
      <c r="A2313" s="21">
        <f t="shared" si="36"/>
        <v>2312</v>
      </c>
      <c r="B2313" s="13" t="s">
        <v>3295</v>
      </c>
      <c r="C2313" s="13" t="s">
        <v>96</v>
      </c>
      <c r="D2313" s="13" t="s">
        <v>3935</v>
      </c>
      <c r="E2313" s="13" t="s">
        <v>3936</v>
      </c>
      <c r="F2313" s="13" t="s">
        <v>3934</v>
      </c>
      <c r="G2313" s="13" t="s">
        <v>14</v>
      </c>
      <c r="H2313" s="22" t="str">
        <f>IFERROR(VLOOKUP(Table2[[#This Row], [Ticket]],Okey!A:B,2,0),"")</f>
        <v/>
      </c>
      <c r="I2313" s="13" t="s">
        <v>276</v>
      </c>
      <c r="J2313" s="22" t="e">
        <f>VLOOKUP(Table2[[#This Row], [Author]],People!A:B,2,0)</f>
        <v>#VALUE!</v>
      </c>
      <c r="K2313" s="13" t="s">
        <v>3297</v>
      </c>
      <c r="L2313" s="13"/>
      <c r="M2313" s="23" t="s">
        <v>277</v>
      </c>
    </row>
    <row r="2314" spans="1:13" ht="19.5" customHeight="1">
      <c r="A2314" s="18">
        <f t="shared" si="36"/>
        <v>2313</v>
      </c>
      <c r="B2314" s="11" t="s">
        <v>3295</v>
      </c>
      <c r="C2314" s="11" t="s">
        <v>96</v>
      </c>
      <c r="D2314" s="11" t="s">
        <v>3937</v>
      </c>
      <c r="E2314" s="11" t="s">
        <v>3938</v>
      </c>
      <c r="F2314" s="11" t="s">
        <v>3934</v>
      </c>
      <c r="G2314" s="11" t="s">
        <v>14</v>
      </c>
      <c r="H2314" s="19" t="str">
        <f>IFERROR(VLOOKUP(Table2[[#This Row], [Ticket]],Okey!A:B,2,0),"")</f>
        <v/>
      </c>
      <c r="I2314" s="11" t="s">
        <v>276</v>
      </c>
      <c r="J2314" s="19" t="e">
        <f>VLOOKUP(Table2[[#This Row], [Author]],People!A:B,2,0)</f>
        <v>#VALUE!</v>
      </c>
      <c r="K2314" s="11" t="s">
        <v>3297</v>
      </c>
      <c r="L2314" s="11"/>
      <c r="M2314" s="20" t="s">
        <v>277</v>
      </c>
    </row>
    <row r="2315" spans="1:13" ht="19.5" customHeight="1">
      <c r="A2315" s="21">
        <f t="shared" si="36"/>
        <v>2314</v>
      </c>
      <c r="B2315" s="13" t="s">
        <v>3295</v>
      </c>
      <c r="C2315" s="13" t="s">
        <v>96</v>
      </c>
      <c r="D2315" s="13" t="s">
        <v>3939</v>
      </c>
      <c r="E2315" s="13" t="s">
        <v>3940</v>
      </c>
      <c r="F2315" s="13" t="s">
        <v>3941</v>
      </c>
      <c r="G2315" s="13" t="s">
        <v>14</v>
      </c>
      <c r="H2315" s="22" t="str">
        <f>IFERROR(VLOOKUP(Table2[[#This Row], [Ticket]],Okey!A:B,2,0),"")</f>
        <v/>
      </c>
      <c r="I2315" s="13" t="s">
        <v>276</v>
      </c>
      <c r="J2315" s="22" t="e">
        <f>VLOOKUP(Table2[[#This Row], [Author]],People!A:B,2,0)</f>
        <v>#VALUE!</v>
      </c>
      <c r="K2315" s="13" t="s">
        <v>3297</v>
      </c>
      <c r="L2315" s="13"/>
      <c r="M2315" s="23" t="s">
        <v>277</v>
      </c>
    </row>
    <row r="2316" spans="1:13" ht="19.5" customHeight="1">
      <c r="A2316" s="18">
        <f t="shared" si="36"/>
        <v>2315</v>
      </c>
      <c r="B2316" s="11" t="s">
        <v>3295</v>
      </c>
      <c r="C2316" s="11" t="s">
        <v>96</v>
      </c>
      <c r="D2316" s="11" t="s">
        <v>3942</v>
      </c>
      <c r="E2316" s="11" t="s">
        <v>3943</v>
      </c>
      <c r="F2316" s="11" t="s">
        <v>3941</v>
      </c>
      <c r="G2316" s="11" t="s">
        <v>14</v>
      </c>
      <c r="H2316" s="19" t="str">
        <f>IFERROR(VLOOKUP(Table2[[#This Row], [Ticket]],Okey!A:B,2,0),"")</f>
        <v/>
      </c>
      <c r="I2316" s="11" t="s">
        <v>276</v>
      </c>
      <c r="J2316" s="19" t="e">
        <f>VLOOKUP(Table2[[#This Row], [Author]],People!A:B,2,0)</f>
        <v>#VALUE!</v>
      </c>
      <c r="K2316" s="11" t="s">
        <v>3297</v>
      </c>
      <c r="L2316" s="11"/>
      <c r="M2316" s="20" t="s">
        <v>277</v>
      </c>
    </row>
    <row r="2317" spans="1:13" ht="19.5" customHeight="1">
      <c r="A2317" s="21">
        <f t="shared" si="36"/>
        <v>2316</v>
      </c>
      <c r="B2317" s="13" t="s">
        <v>3295</v>
      </c>
      <c r="C2317" s="13" t="s">
        <v>96</v>
      </c>
      <c r="D2317" s="13" t="s">
        <v>3944</v>
      </c>
      <c r="E2317" s="13" t="s">
        <v>3945</v>
      </c>
      <c r="F2317" s="13" t="s">
        <v>3941</v>
      </c>
      <c r="G2317" s="13" t="s">
        <v>14</v>
      </c>
      <c r="H2317" s="22" t="str">
        <f>IFERROR(VLOOKUP(Table2[[#This Row], [Ticket]],Okey!A:B,2,0),"")</f>
        <v/>
      </c>
      <c r="I2317" s="13" t="s">
        <v>276</v>
      </c>
      <c r="J2317" s="22" t="e">
        <f>VLOOKUP(Table2[[#This Row], [Author]],People!A:B,2,0)</f>
        <v>#VALUE!</v>
      </c>
      <c r="K2317" s="13" t="s">
        <v>3297</v>
      </c>
      <c r="L2317" s="13"/>
      <c r="M2317" s="23" t="s">
        <v>277</v>
      </c>
    </row>
    <row r="2318" spans="1:13" ht="19.5" customHeight="1">
      <c r="A2318" s="18">
        <f t="shared" si="36"/>
        <v>2317</v>
      </c>
      <c r="B2318" s="11" t="s">
        <v>3295</v>
      </c>
      <c r="C2318" s="11" t="s">
        <v>96</v>
      </c>
      <c r="D2318" s="11" t="s">
        <v>3946</v>
      </c>
      <c r="E2318" s="11" t="s">
        <v>3947</v>
      </c>
      <c r="F2318" s="11" t="s">
        <v>3941</v>
      </c>
      <c r="G2318" s="11" t="s">
        <v>14</v>
      </c>
      <c r="H2318" s="19" t="str">
        <f>IFERROR(VLOOKUP(Table2[[#This Row], [Ticket]],Okey!A:B,2,0),"")</f>
        <v/>
      </c>
      <c r="I2318" s="11" t="s">
        <v>276</v>
      </c>
      <c r="J2318" s="19" t="e">
        <f>VLOOKUP(Table2[[#This Row], [Author]],People!A:B,2,0)</f>
        <v>#VALUE!</v>
      </c>
      <c r="K2318" s="11" t="s">
        <v>3297</v>
      </c>
      <c r="L2318" s="11"/>
      <c r="M2318" s="20" t="s">
        <v>277</v>
      </c>
    </row>
    <row r="2319" spans="1:13" ht="19.5" customHeight="1">
      <c r="A2319" s="21">
        <f t="shared" si="36"/>
        <v>2318</v>
      </c>
      <c r="B2319" s="13" t="s">
        <v>3295</v>
      </c>
      <c r="C2319" s="13" t="s">
        <v>96</v>
      </c>
      <c r="D2319" s="13" t="s">
        <v>3948</v>
      </c>
      <c r="E2319" s="13" t="s">
        <v>3949</v>
      </c>
      <c r="F2319" s="13" t="s">
        <v>3941</v>
      </c>
      <c r="G2319" s="13" t="s">
        <v>14</v>
      </c>
      <c r="H2319" s="22" t="str">
        <f>IFERROR(VLOOKUP(Table2[[#This Row], [Ticket]],Okey!A:B,2,0),"")</f>
        <v/>
      </c>
      <c r="I2319" s="13" t="s">
        <v>276</v>
      </c>
      <c r="J2319" s="22" t="e">
        <f>VLOOKUP(Table2[[#This Row], [Author]],People!A:B,2,0)</f>
        <v>#VALUE!</v>
      </c>
      <c r="K2319" s="13" t="s">
        <v>3297</v>
      </c>
      <c r="L2319" s="13"/>
      <c r="M2319" s="23" t="s">
        <v>277</v>
      </c>
    </row>
    <row r="2320" spans="1:13" ht="19.5" customHeight="1">
      <c r="A2320" s="18">
        <f t="shared" si="36"/>
        <v>2319</v>
      </c>
      <c r="B2320" s="11" t="s">
        <v>3295</v>
      </c>
      <c r="C2320" s="11" t="s">
        <v>96</v>
      </c>
      <c r="D2320" s="11" t="s">
        <v>3950</v>
      </c>
      <c r="E2320" s="11" t="s">
        <v>3951</v>
      </c>
      <c r="F2320" s="11" t="s">
        <v>3952</v>
      </c>
      <c r="G2320" s="11" t="s">
        <v>14</v>
      </c>
      <c r="H2320" s="19" t="str">
        <f>IFERROR(VLOOKUP(Table2[[#This Row], [Ticket]],Okey!A:B,2,0),"")</f>
        <v/>
      </c>
      <c r="I2320" s="11" t="s">
        <v>276</v>
      </c>
      <c r="J2320" s="19" t="e">
        <f>VLOOKUP(Table2[[#This Row], [Author]],People!A:B,2,0)</f>
        <v>#VALUE!</v>
      </c>
      <c r="K2320" s="11" t="s">
        <v>3297</v>
      </c>
      <c r="L2320" s="11"/>
      <c r="M2320" s="20" t="s">
        <v>277</v>
      </c>
    </row>
    <row r="2321" spans="1:13" ht="19.5" customHeight="1">
      <c r="A2321" s="21">
        <f t="shared" si="36"/>
        <v>2320</v>
      </c>
      <c r="B2321" s="13" t="s">
        <v>3295</v>
      </c>
      <c r="C2321" s="13" t="s">
        <v>96</v>
      </c>
      <c r="D2321" s="13" t="s">
        <v>3953</v>
      </c>
      <c r="E2321" s="13" t="s">
        <v>3954</v>
      </c>
      <c r="F2321" s="13" t="s">
        <v>3952</v>
      </c>
      <c r="G2321" s="13" t="s">
        <v>14</v>
      </c>
      <c r="H2321" s="22" t="str">
        <f>IFERROR(VLOOKUP(Table2[[#This Row], [Ticket]],Okey!A:B,2,0),"")</f>
        <v/>
      </c>
      <c r="I2321" s="13" t="s">
        <v>276</v>
      </c>
      <c r="J2321" s="22" t="e">
        <f>VLOOKUP(Table2[[#This Row], [Author]],People!A:B,2,0)</f>
        <v>#VALUE!</v>
      </c>
      <c r="K2321" s="13" t="s">
        <v>3297</v>
      </c>
      <c r="L2321" s="13"/>
      <c r="M2321" s="23" t="s">
        <v>277</v>
      </c>
    </row>
    <row r="2322" spans="1:13" ht="19.5" customHeight="1">
      <c r="A2322" s="18">
        <f t="shared" si="36"/>
        <v>2321</v>
      </c>
      <c r="B2322" s="11" t="s">
        <v>3295</v>
      </c>
      <c r="C2322" s="11" t="s">
        <v>96</v>
      </c>
      <c r="D2322" s="11" t="s">
        <v>3488</v>
      </c>
      <c r="E2322" s="11" t="s">
        <v>3955</v>
      </c>
      <c r="F2322" s="11" t="s">
        <v>3956</v>
      </c>
      <c r="G2322" s="11" t="s">
        <v>14</v>
      </c>
      <c r="H2322" s="19" t="str">
        <f>IFERROR(VLOOKUP(Table2[[#This Row], [Ticket]],Okey!A:B,2,0),"")</f>
        <v/>
      </c>
      <c r="I2322" s="11" t="s">
        <v>276</v>
      </c>
      <c r="J2322" s="19" t="e">
        <f>VLOOKUP(Table2[[#This Row], [Author]],People!A:B,2,0)</f>
        <v>#VALUE!</v>
      </c>
      <c r="K2322" s="11" t="s">
        <v>3297</v>
      </c>
      <c r="L2322" s="11"/>
      <c r="M2322" s="20" t="s">
        <v>277</v>
      </c>
    </row>
    <row r="2323" spans="1:13" ht="19.5" customHeight="1">
      <c r="A2323" s="21">
        <f t="shared" si="36"/>
        <v>2322</v>
      </c>
      <c r="B2323" s="13" t="s">
        <v>3295</v>
      </c>
      <c r="C2323" s="13" t="s">
        <v>96</v>
      </c>
      <c r="D2323" s="13" t="s">
        <v>3957</v>
      </c>
      <c r="E2323" s="13" t="s">
        <v>3958</v>
      </c>
      <c r="F2323" s="13" t="s">
        <v>3956</v>
      </c>
      <c r="G2323" s="13" t="s">
        <v>14</v>
      </c>
      <c r="H2323" s="22" t="str">
        <f>IFERROR(VLOOKUP(Table2[[#This Row], [Ticket]],Okey!A:B,2,0),"")</f>
        <v/>
      </c>
      <c r="I2323" s="13" t="s">
        <v>276</v>
      </c>
      <c r="J2323" s="22" t="e">
        <f>VLOOKUP(Table2[[#This Row], [Author]],People!A:B,2,0)</f>
        <v>#VALUE!</v>
      </c>
      <c r="K2323" s="13" t="s">
        <v>3297</v>
      </c>
      <c r="L2323" s="13"/>
      <c r="M2323" s="23" t="s">
        <v>277</v>
      </c>
    </row>
    <row r="2324" spans="1:13" ht="19.5" customHeight="1">
      <c r="A2324" s="18">
        <f t="shared" si="36"/>
        <v>2323</v>
      </c>
      <c r="B2324" s="11" t="s">
        <v>3295</v>
      </c>
      <c r="C2324" s="11" t="s">
        <v>96</v>
      </c>
      <c r="D2324" s="11" t="s">
        <v>3501</v>
      </c>
      <c r="E2324" s="11" t="s">
        <v>3959</v>
      </c>
      <c r="F2324" s="11" t="s">
        <v>3960</v>
      </c>
      <c r="G2324" s="11" t="s">
        <v>14</v>
      </c>
      <c r="H2324" s="19" t="str">
        <f>IFERROR(VLOOKUP(Table2[[#This Row], [Ticket]],Okey!A:B,2,0),"")</f>
        <v/>
      </c>
      <c r="I2324" s="11" t="s">
        <v>276</v>
      </c>
      <c r="J2324" s="19" t="e">
        <f>VLOOKUP(Table2[[#This Row], [Author]],People!A:B,2,0)</f>
        <v>#VALUE!</v>
      </c>
      <c r="K2324" s="11" t="s">
        <v>3297</v>
      </c>
      <c r="L2324" s="11"/>
      <c r="M2324" s="20" t="s">
        <v>277</v>
      </c>
    </row>
    <row r="2325" spans="1:13" ht="19.5" customHeight="1">
      <c r="A2325" s="21">
        <f t="shared" si="36"/>
        <v>2324</v>
      </c>
      <c r="B2325" s="13" t="s">
        <v>3295</v>
      </c>
      <c r="C2325" s="13" t="s">
        <v>96</v>
      </c>
      <c r="D2325" s="13" t="s">
        <v>3504</v>
      </c>
      <c r="E2325" s="13" t="s">
        <v>3961</v>
      </c>
      <c r="F2325" s="13" t="s">
        <v>3960</v>
      </c>
      <c r="G2325" s="13" t="s">
        <v>14</v>
      </c>
      <c r="H2325" s="22" t="str">
        <f>IFERROR(VLOOKUP(Table2[[#This Row], [Ticket]],Okey!A:B,2,0),"")</f>
        <v/>
      </c>
      <c r="I2325" s="13" t="s">
        <v>276</v>
      </c>
      <c r="J2325" s="22" t="e">
        <f>VLOOKUP(Table2[[#This Row], [Author]],People!A:B,2,0)</f>
        <v>#VALUE!</v>
      </c>
      <c r="K2325" s="13" t="s">
        <v>3297</v>
      </c>
      <c r="L2325" s="13"/>
      <c r="M2325" s="23" t="s">
        <v>277</v>
      </c>
    </row>
    <row r="2326" spans="1:13" ht="19.5" customHeight="1">
      <c r="A2326" s="18">
        <f t="shared" si="36"/>
        <v>2325</v>
      </c>
      <c r="B2326" s="11" t="s">
        <v>3295</v>
      </c>
      <c r="C2326" s="11" t="s">
        <v>96</v>
      </c>
      <c r="D2326" s="11" t="s">
        <v>3541</v>
      </c>
      <c r="E2326" s="11" t="s">
        <v>3962</v>
      </c>
      <c r="F2326" s="11" t="s">
        <v>3960</v>
      </c>
      <c r="G2326" s="11" t="s">
        <v>14</v>
      </c>
      <c r="H2326" s="19" t="str">
        <f>IFERROR(VLOOKUP(Table2[[#This Row], [Ticket]],Okey!A:B,2,0),"")</f>
        <v/>
      </c>
      <c r="I2326" s="11" t="s">
        <v>276</v>
      </c>
      <c r="J2326" s="19" t="e">
        <f>VLOOKUP(Table2[[#This Row], [Author]],People!A:B,2,0)</f>
        <v>#VALUE!</v>
      </c>
      <c r="K2326" s="11" t="s">
        <v>3297</v>
      </c>
      <c r="L2326" s="11"/>
      <c r="M2326" s="20" t="s">
        <v>277</v>
      </c>
    </row>
    <row r="2327" spans="1:13" ht="19.5" customHeight="1">
      <c r="A2327" s="21">
        <f t="shared" si="36"/>
        <v>2326</v>
      </c>
      <c r="B2327" s="13" t="s">
        <v>3295</v>
      </c>
      <c r="C2327" s="13" t="s">
        <v>96</v>
      </c>
      <c r="D2327" s="13" t="s">
        <v>3963</v>
      </c>
      <c r="E2327" s="13" t="s">
        <v>3964</v>
      </c>
      <c r="F2327" s="13" t="s">
        <v>3960</v>
      </c>
      <c r="G2327" s="13" t="s">
        <v>14</v>
      </c>
      <c r="H2327" s="22" t="str">
        <f>IFERROR(VLOOKUP(Table2[[#This Row], [Ticket]],Okey!A:B,2,0),"")</f>
        <v/>
      </c>
      <c r="I2327" s="13" t="s">
        <v>276</v>
      </c>
      <c r="J2327" s="22" t="e">
        <f>VLOOKUP(Table2[[#This Row], [Author]],People!A:B,2,0)</f>
        <v>#VALUE!</v>
      </c>
      <c r="K2327" s="13" t="s">
        <v>3297</v>
      </c>
      <c r="L2327" s="13"/>
      <c r="M2327" s="23" t="s">
        <v>277</v>
      </c>
    </row>
    <row r="2328" spans="1:13" ht="19.5" customHeight="1">
      <c r="A2328" s="18">
        <f t="shared" si="36"/>
        <v>2327</v>
      </c>
      <c r="B2328" s="11" t="s">
        <v>3295</v>
      </c>
      <c r="C2328" s="11" t="s">
        <v>96</v>
      </c>
      <c r="D2328" s="11" t="s">
        <v>3965</v>
      </c>
      <c r="E2328" s="11" t="s">
        <v>3966</v>
      </c>
      <c r="F2328" s="11" t="s">
        <v>3967</v>
      </c>
      <c r="G2328" s="11" t="s">
        <v>14</v>
      </c>
      <c r="H2328" s="19" t="str">
        <f>IFERROR(VLOOKUP(Table2[[#This Row], [Ticket]],Okey!A:B,2,0),"")</f>
        <v/>
      </c>
      <c r="I2328" s="11" t="s">
        <v>276</v>
      </c>
      <c r="J2328" s="19" t="e">
        <f>VLOOKUP(Table2[[#This Row], [Author]],People!A:B,2,0)</f>
        <v>#VALUE!</v>
      </c>
      <c r="K2328" s="11" t="s">
        <v>3297</v>
      </c>
      <c r="L2328" s="11"/>
      <c r="M2328" s="20" t="s">
        <v>277</v>
      </c>
    </row>
    <row r="2329" spans="1:13" ht="19.5" customHeight="1">
      <c r="A2329" s="21">
        <f t="shared" si="36"/>
        <v>2328</v>
      </c>
      <c r="B2329" s="13" t="s">
        <v>3295</v>
      </c>
      <c r="C2329" s="13" t="s">
        <v>96</v>
      </c>
      <c r="D2329" s="13" t="s">
        <v>3523</v>
      </c>
      <c r="E2329" s="13" t="s">
        <v>3968</v>
      </c>
      <c r="F2329" s="13" t="s">
        <v>3590</v>
      </c>
      <c r="G2329" s="13" t="s">
        <v>14</v>
      </c>
      <c r="H2329" s="22" t="str">
        <f>IFERROR(VLOOKUP(Table2[[#This Row], [Ticket]],Okey!A:B,2,0),"")</f>
        <v/>
      </c>
      <c r="I2329" s="13" t="s">
        <v>276</v>
      </c>
      <c r="J2329" s="22" t="e">
        <f>VLOOKUP(Table2[[#This Row], [Author]],People!A:B,2,0)</f>
        <v>#VALUE!</v>
      </c>
      <c r="K2329" s="13" t="s">
        <v>3297</v>
      </c>
      <c r="L2329" s="13"/>
      <c r="M2329" s="23" t="s">
        <v>277</v>
      </c>
    </row>
    <row r="2330" spans="1:13" ht="19.5" customHeight="1">
      <c r="A2330" s="18">
        <f t="shared" si="36"/>
        <v>2329</v>
      </c>
      <c r="B2330" s="11" t="s">
        <v>3295</v>
      </c>
      <c r="C2330" s="11" t="s">
        <v>96</v>
      </c>
      <c r="D2330" s="11" t="s">
        <v>3570</v>
      </c>
      <c r="E2330" s="11" t="s">
        <v>3969</v>
      </c>
      <c r="F2330" s="11" t="s">
        <v>3562</v>
      </c>
      <c r="G2330" s="11" t="s">
        <v>14</v>
      </c>
      <c r="H2330" s="19" t="str">
        <f>IFERROR(VLOOKUP(Table2[[#This Row], [Ticket]],Okey!A:B,2,0),"")</f>
        <v/>
      </c>
      <c r="I2330" s="11" t="s">
        <v>276</v>
      </c>
      <c r="J2330" s="19" t="e">
        <f>VLOOKUP(Table2[[#This Row], [Author]],People!A:B,2,0)</f>
        <v>#VALUE!</v>
      </c>
      <c r="K2330" s="11" t="s">
        <v>3297</v>
      </c>
      <c r="L2330" s="11"/>
      <c r="M2330" s="20" t="s">
        <v>277</v>
      </c>
    </row>
    <row r="2331" spans="1:13" ht="19.5" customHeight="1">
      <c r="A2331" s="21">
        <f t="shared" si="36"/>
        <v>2330</v>
      </c>
      <c r="B2331" s="13" t="s">
        <v>3295</v>
      </c>
      <c r="C2331" s="13" t="s">
        <v>96</v>
      </c>
      <c r="D2331" s="13" t="s">
        <v>3952</v>
      </c>
      <c r="E2331" s="13" t="s">
        <v>3970</v>
      </c>
      <c r="F2331" s="13" t="s">
        <v>3971</v>
      </c>
      <c r="G2331" s="13" t="s">
        <v>14</v>
      </c>
      <c r="H2331" s="22" t="str">
        <f>IFERROR(VLOOKUP(Table2[[#This Row], [Ticket]],Okey!A:B,2,0),"")</f>
        <v/>
      </c>
      <c r="I2331" s="13" t="s">
        <v>276</v>
      </c>
      <c r="J2331" s="22" t="e">
        <f>VLOOKUP(Table2[[#This Row], [Author]],People!A:B,2,0)</f>
        <v>#VALUE!</v>
      </c>
      <c r="K2331" s="13" t="s">
        <v>3297</v>
      </c>
      <c r="L2331" s="13"/>
      <c r="M2331" s="23" t="s">
        <v>277</v>
      </c>
    </row>
    <row r="2332" spans="1:13" ht="19.5" customHeight="1">
      <c r="A2332" s="18">
        <f t="shared" si="36"/>
        <v>2331</v>
      </c>
      <c r="B2332" s="11" t="s">
        <v>3295</v>
      </c>
      <c r="C2332" s="11" t="s">
        <v>96</v>
      </c>
      <c r="D2332" s="11" t="s">
        <v>3972</v>
      </c>
      <c r="E2332" s="11" t="s">
        <v>3973</v>
      </c>
      <c r="F2332" s="11" t="s">
        <v>3971</v>
      </c>
      <c r="G2332" s="11" t="s">
        <v>14</v>
      </c>
      <c r="H2332" s="19" t="str">
        <f>IFERROR(VLOOKUP(Table2[[#This Row], [Ticket]],Okey!A:B,2,0),"")</f>
        <v/>
      </c>
      <c r="I2332" s="11" t="s">
        <v>276</v>
      </c>
      <c r="J2332" s="19" t="e">
        <f>VLOOKUP(Table2[[#This Row], [Author]],People!A:B,2,0)</f>
        <v>#VALUE!</v>
      </c>
      <c r="K2332" s="11" t="s">
        <v>3297</v>
      </c>
      <c r="L2332" s="11"/>
      <c r="M2332" s="20" t="s">
        <v>277</v>
      </c>
    </row>
    <row r="2333" spans="1:13" ht="19.5" customHeight="1">
      <c r="A2333" s="21">
        <f t="shared" si="36"/>
        <v>2332</v>
      </c>
      <c r="B2333" s="13" t="s">
        <v>3295</v>
      </c>
      <c r="C2333" s="13" t="s">
        <v>96</v>
      </c>
      <c r="D2333" s="13" t="s">
        <v>3531</v>
      </c>
      <c r="E2333" s="13" t="s">
        <v>3974</v>
      </c>
      <c r="F2333" s="13" t="s">
        <v>3519</v>
      </c>
      <c r="G2333" s="13" t="s">
        <v>14</v>
      </c>
      <c r="H2333" s="22" t="str">
        <f>IFERROR(VLOOKUP(Table2[[#This Row], [Ticket]],Okey!A:B,2,0),"")</f>
        <v/>
      </c>
      <c r="I2333" s="13" t="s">
        <v>276</v>
      </c>
      <c r="J2333" s="22" t="e">
        <f>VLOOKUP(Table2[[#This Row], [Author]],People!A:B,2,0)</f>
        <v>#VALUE!</v>
      </c>
      <c r="K2333" s="13" t="s">
        <v>3297</v>
      </c>
      <c r="L2333" s="13"/>
      <c r="M2333" s="23" t="s">
        <v>277</v>
      </c>
    </row>
    <row r="2334" spans="1:13" ht="19.5" customHeight="1">
      <c r="A2334" s="18">
        <f t="shared" si="36"/>
        <v>2333</v>
      </c>
      <c r="B2334" s="11" t="s">
        <v>3295</v>
      </c>
      <c r="C2334" s="11" t="s">
        <v>96</v>
      </c>
      <c r="D2334" s="11" t="s">
        <v>3975</v>
      </c>
      <c r="E2334" s="11" t="s">
        <v>3976</v>
      </c>
      <c r="F2334" s="11" t="s">
        <v>3514</v>
      </c>
      <c r="G2334" s="11" t="s">
        <v>14</v>
      </c>
      <c r="H2334" s="19" t="str">
        <f>IFERROR(VLOOKUP(Table2[[#This Row], [Ticket]],Okey!A:B,2,0),"")</f>
        <v/>
      </c>
      <c r="I2334" s="11" t="s">
        <v>276</v>
      </c>
      <c r="J2334" s="19" t="e">
        <f>VLOOKUP(Table2[[#This Row], [Author]],People!A:B,2,0)</f>
        <v>#VALUE!</v>
      </c>
      <c r="K2334" s="11" t="s">
        <v>3297</v>
      </c>
      <c r="L2334" s="11"/>
      <c r="M2334" s="20" t="s">
        <v>277</v>
      </c>
    </row>
    <row r="2335" spans="1:13" ht="19.5" customHeight="1">
      <c r="A2335" s="21">
        <f t="shared" si="36"/>
        <v>2334</v>
      </c>
      <c r="B2335" s="13" t="s">
        <v>3295</v>
      </c>
      <c r="C2335" s="13" t="s">
        <v>96</v>
      </c>
      <c r="D2335" s="13" t="s">
        <v>3909</v>
      </c>
      <c r="E2335" s="13" t="s">
        <v>3977</v>
      </c>
      <c r="F2335" s="13" t="s">
        <v>3514</v>
      </c>
      <c r="G2335" s="13" t="s">
        <v>14</v>
      </c>
      <c r="H2335" s="22" t="str">
        <f>IFERROR(VLOOKUP(Table2[[#This Row], [Ticket]],Okey!A:B,2,0),"")</f>
        <v/>
      </c>
      <c r="I2335" s="13" t="s">
        <v>276</v>
      </c>
      <c r="J2335" s="22" t="e">
        <f>VLOOKUP(Table2[[#This Row], [Author]],People!A:B,2,0)</f>
        <v>#VALUE!</v>
      </c>
      <c r="K2335" s="13" t="s">
        <v>3297</v>
      </c>
      <c r="L2335" s="13"/>
      <c r="M2335" s="23" t="s">
        <v>277</v>
      </c>
    </row>
    <row r="2336" spans="1:13" ht="19.5" customHeight="1">
      <c r="A2336" s="18">
        <f t="shared" si="36"/>
        <v>2335</v>
      </c>
      <c r="B2336" s="11" t="s">
        <v>3295</v>
      </c>
      <c r="C2336" s="11" t="s">
        <v>96</v>
      </c>
      <c r="D2336" s="11" t="s">
        <v>3978</v>
      </c>
      <c r="E2336" s="11" t="s">
        <v>3979</v>
      </c>
      <c r="F2336" s="11" t="s">
        <v>3514</v>
      </c>
      <c r="G2336" s="11" t="s">
        <v>14</v>
      </c>
      <c r="H2336" s="19" t="str">
        <f>IFERROR(VLOOKUP(Table2[[#This Row], [Ticket]],Okey!A:B,2,0),"")</f>
        <v/>
      </c>
      <c r="I2336" s="11" t="s">
        <v>276</v>
      </c>
      <c r="J2336" s="19" t="e">
        <f>VLOOKUP(Table2[[#This Row], [Author]],People!A:B,2,0)</f>
        <v>#VALUE!</v>
      </c>
      <c r="K2336" s="11" t="s">
        <v>3297</v>
      </c>
      <c r="L2336" s="11"/>
      <c r="M2336" s="20" t="s">
        <v>277</v>
      </c>
    </row>
    <row r="2337" spans="1:13" ht="19.5" customHeight="1">
      <c r="A2337" s="21">
        <f t="shared" si="36"/>
        <v>2336</v>
      </c>
      <c r="B2337" s="13" t="s">
        <v>3295</v>
      </c>
      <c r="C2337" s="13" t="s">
        <v>96</v>
      </c>
      <c r="D2337" s="13" t="s">
        <v>3980</v>
      </c>
      <c r="E2337" s="13" t="s">
        <v>3981</v>
      </c>
      <c r="F2337" s="13" t="s">
        <v>3982</v>
      </c>
      <c r="G2337" s="13" t="s">
        <v>14</v>
      </c>
      <c r="H2337" s="22" t="str">
        <f>IFERROR(VLOOKUP(Table2[[#This Row], [Ticket]],Okey!A:B,2,0),"")</f>
        <v/>
      </c>
      <c r="I2337" s="13" t="s">
        <v>276</v>
      </c>
      <c r="J2337" s="22" t="e">
        <f>VLOOKUP(Table2[[#This Row], [Author]],People!A:B,2,0)</f>
        <v>#VALUE!</v>
      </c>
      <c r="K2337" s="13" t="s">
        <v>3297</v>
      </c>
      <c r="L2337" s="13"/>
      <c r="M2337" s="23" t="s">
        <v>277</v>
      </c>
    </row>
    <row r="2338" spans="1:13" ht="19.5" customHeight="1">
      <c r="A2338" s="18">
        <f t="shared" si="36"/>
        <v>2337</v>
      </c>
      <c r="B2338" s="11" t="s">
        <v>3295</v>
      </c>
      <c r="C2338" s="11" t="s">
        <v>96</v>
      </c>
      <c r="D2338" s="11" t="s">
        <v>3983</v>
      </c>
      <c r="E2338" s="11" t="s">
        <v>3984</v>
      </c>
      <c r="F2338" s="11" t="s">
        <v>3982</v>
      </c>
      <c r="G2338" s="11" t="s">
        <v>14</v>
      </c>
      <c r="H2338" s="19" t="str">
        <f>IFERROR(VLOOKUP(Table2[[#This Row], [Ticket]],Okey!A:B,2,0),"")</f>
        <v/>
      </c>
      <c r="I2338" s="11" t="s">
        <v>276</v>
      </c>
      <c r="J2338" s="19" t="e">
        <f>VLOOKUP(Table2[[#This Row], [Author]],People!A:B,2,0)</f>
        <v>#VALUE!</v>
      </c>
      <c r="K2338" s="11" t="s">
        <v>3297</v>
      </c>
      <c r="L2338" s="11"/>
      <c r="M2338" s="20" t="s">
        <v>277</v>
      </c>
    </row>
    <row r="2339" spans="1:13" ht="19.5" customHeight="1">
      <c r="A2339" s="21">
        <f t="shared" ref="A2339:A2402" si="37">1+A2338</f>
        <v>2338</v>
      </c>
      <c r="B2339" s="13" t="s">
        <v>3295</v>
      </c>
      <c r="C2339" s="13" t="s">
        <v>96</v>
      </c>
      <c r="D2339" s="13" t="s">
        <v>3985</v>
      </c>
      <c r="E2339" s="13" t="s">
        <v>3986</v>
      </c>
      <c r="F2339" s="13" t="s">
        <v>3982</v>
      </c>
      <c r="G2339" s="13" t="s">
        <v>14</v>
      </c>
      <c r="H2339" s="22" t="str">
        <f>IFERROR(VLOOKUP(Table2[[#This Row], [Ticket]],Okey!A:B,2,0),"")</f>
        <v/>
      </c>
      <c r="I2339" s="13" t="s">
        <v>276</v>
      </c>
      <c r="J2339" s="22" t="e">
        <f>VLOOKUP(Table2[[#This Row], [Author]],People!A:B,2,0)</f>
        <v>#VALUE!</v>
      </c>
      <c r="K2339" s="13" t="s">
        <v>3297</v>
      </c>
      <c r="L2339" s="13"/>
      <c r="M2339" s="23" t="s">
        <v>277</v>
      </c>
    </row>
    <row r="2340" spans="1:13" ht="19.5" customHeight="1">
      <c r="A2340" s="18">
        <f t="shared" si="37"/>
        <v>2339</v>
      </c>
      <c r="B2340" s="11" t="s">
        <v>3295</v>
      </c>
      <c r="C2340" s="11" t="s">
        <v>96</v>
      </c>
      <c r="D2340" s="11" t="s">
        <v>3987</v>
      </c>
      <c r="E2340" s="11" t="s">
        <v>3988</v>
      </c>
      <c r="F2340" s="11" t="s">
        <v>3982</v>
      </c>
      <c r="G2340" s="11" t="s">
        <v>14</v>
      </c>
      <c r="H2340" s="19" t="str">
        <f>IFERROR(VLOOKUP(Table2[[#This Row], [Ticket]],Okey!A:B,2,0),"")</f>
        <v/>
      </c>
      <c r="I2340" s="11" t="s">
        <v>276</v>
      </c>
      <c r="J2340" s="19" t="e">
        <f>VLOOKUP(Table2[[#This Row], [Author]],People!A:B,2,0)</f>
        <v>#VALUE!</v>
      </c>
      <c r="K2340" s="11" t="s">
        <v>3297</v>
      </c>
      <c r="L2340" s="11"/>
      <c r="M2340" s="20" t="s">
        <v>277</v>
      </c>
    </row>
    <row r="2341" spans="1:13" ht="19.5" customHeight="1">
      <c r="A2341" s="21">
        <f t="shared" si="37"/>
        <v>2340</v>
      </c>
      <c r="B2341" s="13" t="s">
        <v>3295</v>
      </c>
      <c r="C2341" s="13" t="s">
        <v>96</v>
      </c>
      <c r="D2341" s="13" t="s">
        <v>3989</v>
      </c>
      <c r="E2341" s="13" t="s">
        <v>3990</v>
      </c>
      <c r="F2341" s="13" t="s">
        <v>3991</v>
      </c>
      <c r="G2341" s="13" t="s">
        <v>14</v>
      </c>
      <c r="H2341" s="22" t="str">
        <f>IFERROR(VLOOKUP(Table2[[#This Row], [Ticket]],Okey!A:B,2,0),"")</f>
        <v/>
      </c>
      <c r="I2341" s="13" t="s">
        <v>276</v>
      </c>
      <c r="J2341" s="22" t="e">
        <f>VLOOKUP(Table2[[#This Row], [Author]],People!A:B,2,0)</f>
        <v>#VALUE!</v>
      </c>
      <c r="K2341" s="13" t="s">
        <v>3297</v>
      </c>
      <c r="L2341" s="13"/>
      <c r="M2341" s="23" t="s">
        <v>277</v>
      </c>
    </row>
    <row r="2342" spans="1:13" ht="19.5" customHeight="1">
      <c r="A2342" s="18">
        <f t="shared" si="37"/>
        <v>2341</v>
      </c>
      <c r="B2342" s="11" t="s">
        <v>3295</v>
      </c>
      <c r="C2342" s="11" t="s">
        <v>96</v>
      </c>
      <c r="D2342" s="11" t="s">
        <v>3992</v>
      </c>
      <c r="E2342" s="11" t="s">
        <v>3993</v>
      </c>
      <c r="F2342" s="11" t="s">
        <v>3991</v>
      </c>
      <c r="G2342" s="11" t="s">
        <v>14</v>
      </c>
      <c r="H2342" s="19" t="str">
        <f>IFERROR(VLOOKUP(Table2[[#This Row], [Ticket]],Okey!A:B,2,0),"")</f>
        <v/>
      </c>
      <c r="I2342" s="11" t="s">
        <v>276</v>
      </c>
      <c r="J2342" s="19" t="e">
        <f>VLOOKUP(Table2[[#This Row], [Author]],People!A:B,2,0)</f>
        <v>#VALUE!</v>
      </c>
      <c r="K2342" s="11" t="s">
        <v>3297</v>
      </c>
      <c r="L2342" s="11"/>
      <c r="M2342" s="20" t="s">
        <v>277</v>
      </c>
    </row>
    <row r="2343" spans="1:13" ht="19.5" customHeight="1">
      <c r="A2343" s="21">
        <f t="shared" si="37"/>
        <v>2342</v>
      </c>
      <c r="B2343" s="13" t="s">
        <v>3295</v>
      </c>
      <c r="C2343" s="13" t="s">
        <v>96</v>
      </c>
      <c r="D2343" s="13" t="s">
        <v>3994</v>
      </c>
      <c r="E2343" s="13" t="s">
        <v>3995</v>
      </c>
      <c r="F2343" s="13" t="s">
        <v>3996</v>
      </c>
      <c r="G2343" s="13" t="s">
        <v>14</v>
      </c>
      <c r="H2343" s="22" t="str">
        <f>IFERROR(VLOOKUP(Table2[[#This Row], [Ticket]],Okey!A:B,2,0),"")</f>
        <v/>
      </c>
      <c r="I2343" s="13" t="s">
        <v>276</v>
      </c>
      <c r="J2343" s="22" t="e">
        <f>VLOOKUP(Table2[[#This Row], [Author]],People!A:B,2,0)</f>
        <v>#VALUE!</v>
      </c>
      <c r="K2343" s="13" t="s">
        <v>3297</v>
      </c>
      <c r="L2343" s="13"/>
      <c r="M2343" s="23" t="s">
        <v>277</v>
      </c>
    </row>
    <row r="2344" spans="1:13" ht="19.5" customHeight="1">
      <c r="A2344" s="18">
        <f t="shared" si="37"/>
        <v>2343</v>
      </c>
      <c r="B2344" s="11" t="s">
        <v>3295</v>
      </c>
      <c r="C2344" s="11" t="s">
        <v>96</v>
      </c>
      <c r="D2344" s="11" t="s">
        <v>3997</v>
      </c>
      <c r="E2344" s="11" t="s">
        <v>3998</v>
      </c>
      <c r="F2344" s="11" t="s">
        <v>3996</v>
      </c>
      <c r="G2344" s="11" t="s">
        <v>14</v>
      </c>
      <c r="H2344" s="19" t="str">
        <f>IFERROR(VLOOKUP(Table2[[#This Row], [Ticket]],Okey!A:B,2,0),"")</f>
        <v/>
      </c>
      <c r="I2344" s="11" t="s">
        <v>276</v>
      </c>
      <c r="J2344" s="19" t="e">
        <f>VLOOKUP(Table2[[#This Row], [Author]],People!A:B,2,0)</f>
        <v>#VALUE!</v>
      </c>
      <c r="K2344" s="11" t="s">
        <v>3297</v>
      </c>
      <c r="L2344" s="11"/>
      <c r="M2344" s="20" t="s">
        <v>277</v>
      </c>
    </row>
    <row r="2345" spans="1:13" ht="19.5" customHeight="1">
      <c r="A2345" s="21">
        <f t="shared" si="37"/>
        <v>2344</v>
      </c>
      <c r="B2345" s="13" t="s">
        <v>3295</v>
      </c>
      <c r="C2345" s="13" t="s">
        <v>96</v>
      </c>
      <c r="D2345" s="13" t="s">
        <v>3999</v>
      </c>
      <c r="E2345" s="13" t="s">
        <v>4000</v>
      </c>
      <c r="F2345" s="13" t="s">
        <v>3996</v>
      </c>
      <c r="G2345" s="13" t="s">
        <v>14</v>
      </c>
      <c r="H2345" s="22" t="str">
        <f>IFERROR(VLOOKUP(Table2[[#This Row], [Ticket]],Okey!A:B,2,0),"")</f>
        <v/>
      </c>
      <c r="I2345" s="13" t="s">
        <v>276</v>
      </c>
      <c r="J2345" s="22" t="e">
        <f>VLOOKUP(Table2[[#This Row], [Author]],People!A:B,2,0)</f>
        <v>#VALUE!</v>
      </c>
      <c r="K2345" s="13" t="s">
        <v>3297</v>
      </c>
      <c r="L2345" s="13"/>
      <c r="M2345" s="23" t="s">
        <v>277</v>
      </c>
    </row>
    <row r="2346" spans="1:13" ht="19.5" customHeight="1">
      <c r="A2346" s="18">
        <f t="shared" si="37"/>
        <v>2345</v>
      </c>
      <c r="B2346" s="11" t="s">
        <v>3295</v>
      </c>
      <c r="C2346" s="11" t="s">
        <v>96</v>
      </c>
      <c r="D2346" s="11" t="s">
        <v>4001</v>
      </c>
      <c r="E2346" s="11" t="s">
        <v>4002</v>
      </c>
      <c r="F2346" s="11" t="s">
        <v>3996</v>
      </c>
      <c r="G2346" s="11" t="s">
        <v>14</v>
      </c>
      <c r="H2346" s="19" t="str">
        <f>IFERROR(VLOOKUP(Table2[[#This Row], [Ticket]],Okey!A:B,2,0),"")</f>
        <v/>
      </c>
      <c r="I2346" s="11" t="s">
        <v>276</v>
      </c>
      <c r="J2346" s="19" t="e">
        <f>VLOOKUP(Table2[[#This Row], [Author]],People!A:B,2,0)</f>
        <v>#VALUE!</v>
      </c>
      <c r="K2346" s="11" t="s">
        <v>3297</v>
      </c>
      <c r="L2346" s="11"/>
      <c r="M2346" s="20" t="s">
        <v>277</v>
      </c>
    </row>
    <row r="2347" spans="1:13" ht="19.5" customHeight="1">
      <c r="A2347" s="21">
        <f t="shared" si="37"/>
        <v>2346</v>
      </c>
      <c r="B2347" s="13" t="s">
        <v>3295</v>
      </c>
      <c r="C2347" s="13" t="s">
        <v>96</v>
      </c>
      <c r="D2347" s="13" t="s">
        <v>4003</v>
      </c>
      <c r="E2347" s="13" t="s">
        <v>4004</v>
      </c>
      <c r="F2347" s="13" t="s">
        <v>3996</v>
      </c>
      <c r="G2347" s="13" t="s">
        <v>14</v>
      </c>
      <c r="H2347" s="22" t="str">
        <f>IFERROR(VLOOKUP(Table2[[#This Row], [Ticket]],Okey!A:B,2,0),"")</f>
        <v/>
      </c>
      <c r="I2347" s="13" t="s">
        <v>276</v>
      </c>
      <c r="J2347" s="22" t="e">
        <f>VLOOKUP(Table2[[#This Row], [Author]],People!A:B,2,0)</f>
        <v>#VALUE!</v>
      </c>
      <c r="K2347" s="13" t="s">
        <v>3297</v>
      </c>
      <c r="L2347" s="13"/>
      <c r="M2347" s="23" t="s">
        <v>277</v>
      </c>
    </row>
    <row r="2348" spans="1:13" ht="19.5" customHeight="1">
      <c r="A2348" s="18">
        <f t="shared" si="37"/>
        <v>2347</v>
      </c>
      <c r="B2348" s="11" t="s">
        <v>3295</v>
      </c>
      <c r="C2348" s="11" t="s">
        <v>96</v>
      </c>
      <c r="D2348" s="11" t="s">
        <v>4005</v>
      </c>
      <c r="E2348" s="11" t="s">
        <v>4006</v>
      </c>
      <c r="F2348" s="11" t="s">
        <v>3996</v>
      </c>
      <c r="G2348" s="11" t="s">
        <v>14</v>
      </c>
      <c r="H2348" s="19" t="str">
        <f>IFERROR(VLOOKUP(Table2[[#This Row], [Ticket]],Okey!A:B,2,0),"")</f>
        <v/>
      </c>
      <c r="I2348" s="11" t="s">
        <v>276</v>
      </c>
      <c r="J2348" s="19" t="e">
        <f>VLOOKUP(Table2[[#This Row], [Author]],People!A:B,2,0)</f>
        <v>#VALUE!</v>
      </c>
      <c r="K2348" s="11" t="s">
        <v>3297</v>
      </c>
      <c r="L2348" s="11"/>
      <c r="M2348" s="20" t="s">
        <v>277</v>
      </c>
    </row>
    <row r="2349" spans="1:13" ht="19.5" customHeight="1">
      <c r="A2349" s="21">
        <f t="shared" si="37"/>
        <v>2348</v>
      </c>
      <c r="B2349" s="13" t="s">
        <v>3295</v>
      </c>
      <c r="C2349" s="13" t="s">
        <v>96</v>
      </c>
      <c r="D2349" s="13" t="s">
        <v>4007</v>
      </c>
      <c r="E2349" s="13" t="s">
        <v>4008</v>
      </c>
      <c r="F2349" s="13" t="s">
        <v>4009</v>
      </c>
      <c r="G2349" s="13" t="s">
        <v>14</v>
      </c>
      <c r="H2349" s="22" t="str">
        <f>IFERROR(VLOOKUP(Table2[[#This Row], [Ticket]],Okey!A:B,2,0),"")</f>
        <v/>
      </c>
      <c r="I2349" s="13" t="s">
        <v>276</v>
      </c>
      <c r="J2349" s="22" t="e">
        <f>VLOOKUP(Table2[[#This Row], [Author]],People!A:B,2,0)</f>
        <v>#VALUE!</v>
      </c>
      <c r="K2349" s="13" t="s">
        <v>3297</v>
      </c>
      <c r="L2349" s="13"/>
      <c r="M2349" s="23" t="s">
        <v>277</v>
      </c>
    </row>
    <row r="2350" spans="1:13" ht="19.5" customHeight="1">
      <c r="A2350" s="18">
        <f t="shared" si="37"/>
        <v>2349</v>
      </c>
      <c r="B2350" s="11" t="s">
        <v>3295</v>
      </c>
      <c r="C2350" s="11" t="s">
        <v>96</v>
      </c>
      <c r="D2350" s="11" t="s">
        <v>4010</v>
      </c>
      <c r="E2350" s="11" t="s">
        <v>4011</v>
      </c>
      <c r="F2350" s="11" t="s">
        <v>4009</v>
      </c>
      <c r="G2350" s="11" t="s">
        <v>14</v>
      </c>
      <c r="H2350" s="19" t="str">
        <f>IFERROR(VLOOKUP(Table2[[#This Row], [Ticket]],Okey!A:B,2,0),"")</f>
        <v/>
      </c>
      <c r="I2350" s="11" t="s">
        <v>276</v>
      </c>
      <c r="J2350" s="19" t="e">
        <f>VLOOKUP(Table2[[#This Row], [Author]],People!A:B,2,0)</f>
        <v>#VALUE!</v>
      </c>
      <c r="K2350" s="11" t="s">
        <v>3297</v>
      </c>
      <c r="L2350" s="11"/>
      <c r="M2350" s="20" t="s">
        <v>277</v>
      </c>
    </row>
    <row r="2351" spans="1:13" ht="19.5" customHeight="1">
      <c r="A2351" s="21">
        <f t="shared" si="37"/>
        <v>2350</v>
      </c>
      <c r="B2351" s="13" t="s">
        <v>3295</v>
      </c>
      <c r="C2351" s="13" t="s">
        <v>96</v>
      </c>
      <c r="D2351" s="13" t="s">
        <v>4012</v>
      </c>
      <c r="E2351" s="13" t="s">
        <v>4013</v>
      </c>
      <c r="F2351" s="13" t="s">
        <v>4009</v>
      </c>
      <c r="G2351" s="13" t="s">
        <v>14</v>
      </c>
      <c r="H2351" s="22" t="str">
        <f>IFERROR(VLOOKUP(Table2[[#This Row], [Ticket]],Okey!A:B,2,0),"")</f>
        <v/>
      </c>
      <c r="I2351" s="13" t="s">
        <v>276</v>
      </c>
      <c r="J2351" s="22" t="e">
        <f>VLOOKUP(Table2[[#This Row], [Author]],People!A:B,2,0)</f>
        <v>#VALUE!</v>
      </c>
      <c r="K2351" s="13" t="s">
        <v>3297</v>
      </c>
      <c r="L2351" s="13"/>
      <c r="M2351" s="23" t="s">
        <v>277</v>
      </c>
    </row>
    <row r="2352" spans="1:13" ht="19.5" customHeight="1">
      <c r="A2352" s="18">
        <f t="shared" si="37"/>
        <v>2351</v>
      </c>
      <c r="B2352" s="11" t="s">
        <v>3295</v>
      </c>
      <c r="C2352" s="11" t="s">
        <v>96</v>
      </c>
      <c r="D2352" s="11" t="s">
        <v>4014</v>
      </c>
      <c r="E2352" s="11" t="s">
        <v>4015</v>
      </c>
      <c r="F2352" s="11" t="s">
        <v>4009</v>
      </c>
      <c r="G2352" s="11" t="s">
        <v>14</v>
      </c>
      <c r="H2352" s="19" t="str">
        <f>IFERROR(VLOOKUP(Table2[[#This Row], [Ticket]],Okey!A:B,2,0),"")</f>
        <v/>
      </c>
      <c r="I2352" s="11" t="s">
        <v>276</v>
      </c>
      <c r="J2352" s="19" t="e">
        <f>VLOOKUP(Table2[[#This Row], [Author]],People!A:B,2,0)</f>
        <v>#VALUE!</v>
      </c>
      <c r="K2352" s="11" t="s">
        <v>3297</v>
      </c>
      <c r="L2352" s="11"/>
      <c r="M2352" s="20" t="s">
        <v>277</v>
      </c>
    </row>
    <row r="2353" spans="1:13" ht="19.5" customHeight="1">
      <c r="A2353" s="21">
        <f t="shared" si="37"/>
        <v>2352</v>
      </c>
      <c r="B2353" s="13" t="s">
        <v>3295</v>
      </c>
      <c r="C2353" s="13" t="s">
        <v>96</v>
      </c>
      <c r="D2353" s="13" t="s">
        <v>3607</v>
      </c>
      <c r="E2353" s="13" t="s">
        <v>4016</v>
      </c>
      <c r="F2353" s="13" t="s">
        <v>4009</v>
      </c>
      <c r="G2353" s="13" t="s">
        <v>14</v>
      </c>
      <c r="H2353" s="22" t="str">
        <f>IFERROR(VLOOKUP(Table2[[#This Row], [Ticket]],Okey!A:B,2,0),"")</f>
        <v/>
      </c>
      <c r="I2353" s="13" t="s">
        <v>276</v>
      </c>
      <c r="J2353" s="22" t="e">
        <f>VLOOKUP(Table2[[#This Row], [Author]],People!A:B,2,0)</f>
        <v>#VALUE!</v>
      </c>
      <c r="K2353" s="13" t="s">
        <v>3297</v>
      </c>
      <c r="L2353" s="13"/>
      <c r="M2353" s="23" t="s">
        <v>277</v>
      </c>
    </row>
    <row r="2354" spans="1:13" ht="19.5" customHeight="1">
      <c r="A2354" s="18">
        <f t="shared" si="37"/>
        <v>2353</v>
      </c>
      <c r="B2354" s="11" t="s">
        <v>3295</v>
      </c>
      <c r="C2354" s="11" t="s">
        <v>96</v>
      </c>
      <c r="D2354" s="11" t="s">
        <v>4017</v>
      </c>
      <c r="E2354" s="11" t="s">
        <v>4018</v>
      </c>
      <c r="F2354" s="11" t="s">
        <v>3515</v>
      </c>
      <c r="G2354" s="11" t="s">
        <v>14</v>
      </c>
      <c r="H2354" s="19" t="str">
        <f>IFERROR(VLOOKUP(Table2[[#This Row], [Ticket]],Okey!A:B,2,0),"")</f>
        <v/>
      </c>
      <c r="I2354" s="11" t="s">
        <v>276</v>
      </c>
      <c r="J2354" s="19" t="e">
        <f>VLOOKUP(Table2[[#This Row], [Author]],People!A:B,2,0)</f>
        <v>#VALUE!</v>
      </c>
      <c r="K2354" s="11" t="s">
        <v>3297</v>
      </c>
      <c r="L2354" s="11"/>
      <c r="M2354" s="20" t="s">
        <v>277</v>
      </c>
    </row>
    <row r="2355" spans="1:13" ht="19.5" customHeight="1">
      <c r="A2355" s="21">
        <f t="shared" si="37"/>
        <v>2354</v>
      </c>
      <c r="B2355" s="13" t="s">
        <v>3295</v>
      </c>
      <c r="C2355" s="13" t="s">
        <v>96</v>
      </c>
      <c r="D2355" s="13" t="s">
        <v>4019</v>
      </c>
      <c r="E2355" s="13" t="s">
        <v>4020</v>
      </c>
      <c r="F2355" s="13" t="s">
        <v>3515</v>
      </c>
      <c r="G2355" s="13" t="s">
        <v>14</v>
      </c>
      <c r="H2355" s="22" t="str">
        <f>IFERROR(VLOOKUP(Table2[[#This Row], [Ticket]],Okey!A:B,2,0),"")</f>
        <v/>
      </c>
      <c r="I2355" s="13" t="s">
        <v>276</v>
      </c>
      <c r="J2355" s="22" t="e">
        <f>VLOOKUP(Table2[[#This Row], [Author]],People!A:B,2,0)</f>
        <v>#VALUE!</v>
      </c>
      <c r="K2355" s="13" t="s">
        <v>3297</v>
      </c>
      <c r="L2355" s="13"/>
      <c r="M2355" s="23" t="s">
        <v>277</v>
      </c>
    </row>
    <row r="2356" spans="1:13" ht="19.5" customHeight="1">
      <c r="A2356" s="18">
        <f t="shared" si="37"/>
        <v>2355</v>
      </c>
      <c r="B2356" s="11" t="s">
        <v>3295</v>
      </c>
      <c r="C2356" s="11" t="s">
        <v>96</v>
      </c>
      <c r="D2356" s="11" t="s">
        <v>4021</v>
      </c>
      <c r="E2356" s="11" t="s">
        <v>4022</v>
      </c>
      <c r="F2356" s="11" t="s">
        <v>3515</v>
      </c>
      <c r="G2356" s="11" t="s">
        <v>14</v>
      </c>
      <c r="H2356" s="19" t="str">
        <f>IFERROR(VLOOKUP(Table2[[#This Row], [Ticket]],Okey!A:B,2,0),"")</f>
        <v/>
      </c>
      <c r="I2356" s="11" t="s">
        <v>276</v>
      </c>
      <c r="J2356" s="19" t="e">
        <f>VLOOKUP(Table2[[#This Row], [Author]],People!A:B,2,0)</f>
        <v>#VALUE!</v>
      </c>
      <c r="K2356" s="11" t="s">
        <v>3297</v>
      </c>
      <c r="L2356" s="11"/>
      <c r="M2356" s="20" t="s">
        <v>277</v>
      </c>
    </row>
    <row r="2357" spans="1:13" ht="19.5" customHeight="1">
      <c r="A2357" s="21">
        <f t="shared" si="37"/>
        <v>2356</v>
      </c>
      <c r="B2357" s="13" t="s">
        <v>3295</v>
      </c>
      <c r="C2357" s="13" t="s">
        <v>96</v>
      </c>
      <c r="D2357" s="13" t="s">
        <v>4023</v>
      </c>
      <c r="E2357" s="13" t="s">
        <v>4024</v>
      </c>
      <c r="F2357" s="13" t="s">
        <v>3515</v>
      </c>
      <c r="G2357" s="13" t="s">
        <v>14</v>
      </c>
      <c r="H2357" s="22" t="str">
        <f>IFERROR(VLOOKUP(Table2[[#This Row], [Ticket]],Okey!A:B,2,0),"")</f>
        <v/>
      </c>
      <c r="I2357" s="13" t="s">
        <v>276</v>
      </c>
      <c r="J2357" s="22" t="e">
        <f>VLOOKUP(Table2[[#This Row], [Author]],People!A:B,2,0)</f>
        <v>#VALUE!</v>
      </c>
      <c r="K2357" s="13" t="s">
        <v>3297</v>
      </c>
      <c r="L2357" s="13"/>
      <c r="M2357" s="23" t="s">
        <v>277</v>
      </c>
    </row>
    <row r="2358" spans="1:13" ht="19.5" customHeight="1">
      <c r="A2358" s="18">
        <f t="shared" si="37"/>
        <v>2357</v>
      </c>
      <c r="B2358" s="11" t="s">
        <v>3295</v>
      </c>
      <c r="C2358" s="11" t="s">
        <v>96</v>
      </c>
      <c r="D2358" s="11" t="s">
        <v>4025</v>
      </c>
      <c r="E2358" s="11" t="s">
        <v>4026</v>
      </c>
      <c r="F2358" s="11" t="s">
        <v>3515</v>
      </c>
      <c r="G2358" s="11" t="s">
        <v>14</v>
      </c>
      <c r="H2358" s="19" t="str">
        <f>IFERROR(VLOOKUP(Table2[[#This Row], [Ticket]],Okey!A:B,2,0),"")</f>
        <v/>
      </c>
      <c r="I2358" s="11" t="s">
        <v>276</v>
      </c>
      <c r="J2358" s="19" t="e">
        <f>VLOOKUP(Table2[[#This Row], [Author]],People!A:B,2,0)</f>
        <v>#VALUE!</v>
      </c>
      <c r="K2358" s="11" t="s">
        <v>3297</v>
      </c>
      <c r="L2358" s="11"/>
      <c r="M2358" s="20" t="s">
        <v>277</v>
      </c>
    </row>
    <row r="2359" spans="1:13" ht="19.5" customHeight="1">
      <c r="A2359" s="21">
        <f t="shared" si="37"/>
        <v>2358</v>
      </c>
      <c r="B2359" s="13" t="s">
        <v>3295</v>
      </c>
      <c r="C2359" s="13" t="s">
        <v>96</v>
      </c>
      <c r="D2359" s="13" t="s">
        <v>4027</v>
      </c>
      <c r="E2359" s="13" t="s">
        <v>4028</v>
      </c>
      <c r="F2359" s="13" t="s">
        <v>3515</v>
      </c>
      <c r="G2359" s="13" t="s">
        <v>14</v>
      </c>
      <c r="H2359" s="22" t="str">
        <f>IFERROR(VLOOKUP(Table2[[#This Row], [Ticket]],Okey!A:B,2,0),"")</f>
        <v/>
      </c>
      <c r="I2359" s="13" t="s">
        <v>276</v>
      </c>
      <c r="J2359" s="22" t="e">
        <f>VLOOKUP(Table2[[#This Row], [Author]],People!A:B,2,0)</f>
        <v>#VALUE!</v>
      </c>
      <c r="K2359" s="13" t="s">
        <v>3297</v>
      </c>
      <c r="L2359" s="13"/>
      <c r="M2359" s="23" t="s">
        <v>277</v>
      </c>
    </row>
    <row r="2360" spans="1:13" ht="19.5" customHeight="1">
      <c r="A2360" s="18">
        <f t="shared" si="37"/>
        <v>2359</v>
      </c>
      <c r="B2360" s="11" t="s">
        <v>3295</v>
      </c>
      <c r="C2360" s="11" t="s">
        <v>96</v>
      </c>
      <c r="D2360" s="11" t="s">
        <v>4029</v>
      </c>
      <c r="E2360" s="11" t="s">
        <v>4030</v>
      </c>
      <c r="F2360" s="11" t="s">
        <v>3517</v>
      </c>
      <c r="G2360" s="11" t="s">
        <v>14</v>
      </c>
      <c r="H2360" s="19" t="str">
        <f>IFERROR(VLOOKUP(Table2[[#This Row], [Ticket]],Okey!A:B,2,0),"")</f>
        <v/>
      </c>
      <c r="I2360" s="11" t="s">
        <v>276</v>
      </c>
      <c r="J2360" s="19" t="e">
        <f>VLOOKUP(Table2[[#This Row], [Author]],People!A:B,2,0)</f>
        <v>#VALUE!</v>
      </c>
      <c r="K2360" s="11" t="s">
        <v>3297</v>
      </c>
      <c r="L2360" s="11"/>
      <c r="M2360" s="20" t="s">
        <v>277</v>
      </c>
    </row>
    <row r="2361" spans="1:13" ht="19.5" customHeight="1">
      <c r="A2361" s="21">
        <f t="shared" si="37"/>
        <v>2360</v>
      </c>
      <c r="B2361" s="13" t="s">
        <v>3295</v>
      </c>
      <c r="C2361" s="13" t="s">
        <v>96</v>
      </c>
      <c r="D2361" s="13" t="s">
        <v>4031</v>
      </c>
      <c r="E2361" s="13" t="s">
        <v>4032</v>
      </c>
      <c r="F2361" s="13" t="s">
        <v>3517</v>
      </c>
      <c r="G2361" s="13" t="s">
        <v>14</v>
      </c>
      <c r="H2361" s="22" t="str">
        <f>IFERROR(VLOOKUP(Table2[[#This Row], [Ticket]],Okey!A:B,2,0),"")</f>
        <v/>
      </c>
      <c r="I2361" s="13" t="s">
        <v>276</v>
      </c>
      <c r="J2361" s="22" t="e">
        <f>VLOOKUP(Table2[[#This Row], [Author]],People!A:B,2,0)</f>
        <v>#VALUE!</v>
      </c>
      <c r="K2361" s="13" t="s">
        <v>3297</v>
      </c>
      <c r="L2361" s="13"/>
      <c r="M2361" s="23" t="s">
        <v>277</v>
      </c>
    </row>
    <row r="2362" spans="1:13" ht="19.5" customHeight="1">
      <c r="A2362" s="18">
        <f t="shared" si="37"/>
        <v>2361</v>
      </c>
      <c r="B2362" s="11" t="s">
        <v>3295</v>
      </c>
      <c r="C2362" s="11" t="s">
        <v>96</v>
      </c>
      <c r="D2362" s="11" t="s">
        <v>4033</v>
      </c>
      <c r="E2362" s="11" t="s">
        <v>4034</v>
      </c>
      <c r="F2362" s="11" t="s">
        <v>3517</v>
      </c>
      <c r="G2362" s="11" t="s">
        <v>14</v>
      </c>
      <c r="H2362" s="19" t="str">
        <f>IFERROR(VLOOKUP(Table2[[#This Row], [Ticket]],Okey!A:B,2,0),"")</f>
        <v/>
      </c>
      <c r="I2362" s="11" t="s">
        <v>276</v>
      </c>
      <c r="J2362" s="19" t="e">
        <f>VLOOKUP(Table2[[#This Row], [Author]],People!A:B,2,0)</f>
        <v>#VALUE!</v>
      </c>
      <c r="K2362" s="11" t="s">
        <v>3297</v>
      </c>
      <c r="L2362" s="11"/>
      <c r="M2362" s="20" t="s">
        <v>277</v>
      </c>
    </row>
    <row r="2363" spans="1:13" ht="19.5" customHeight="1">
      <c r="A2363" s="21">
        <f t="shared" si="37"/>
        <v>2362</v>
      </c>
      <c r="B2363" s="13" t="s">
        <v>3295</v>
      </c>
      <c r="C2363" s="13" t="s">
        <v>96</v>
      </c>
      <c r="D2363" s="13" t="s">
        <v>4035</v>
      </c>
      <c r="E2363" s="13" t="s">
        <v>4036</v>
      </c>
      <c r="F2363" s="13" t="s">
        <v>3517</v>
      </c>
      <c r="G2363" s="13" t="s">
        <v>14</v>
      </c>
      <c r="H2363" s="22" t="str">
        <f>IFERROR(VLOOKUP(Table2[[#This Row], [Ticket]],Okey!A:B,2,0),"")</f>
        <v/>
      </c>
      <c r="I2363" s="13" t="s">
        <v>276</v>
      </c>
      <c r="J2363" s="22" t="e">
        <f>VLOOKUP(Table2[[#This Row], [Author]],People!A:B,2,0)</f>
        <v>#VALUE!</v>
      </c>
      <c r="K2363" s="13" t="s">
        <v>3297</v>
      </c>
      <c r="L2363" s="13"/>
      <c r="M2363" s="23" t="s">
        <v>277</v>
      </c>
    </row>
    <row r="2364" spans="1:13" ht="19.5" customHeight="1">
      <c r="A2364" s="18">
        <f t="shared" si="37"/>
        <v>2363</v>
      </c>
      <c r="B2364" s="11" t="s">
        <v>3295</v>
      </c>
      <c r="C2364" s="11" t="s">
        <v>96</v>
      </c>
      <c r="D2364" s="11" t="s">
        <v>4037</v>
      </c>
      <c r="E2364" s="11" t="s">
        <v>4038</v>
      </c>
      <c r="F2364" s="11" t="s">
        <v>3517</v>
      </c>
      <c r="G2364" s="11" t="s">
        <v>14</v>
      </c>
      <c r="H2364" s="19" t="str">
        <f>IFERROR(VLOOKUP(Table2[[#This Row], [Ticket]],Okey!A:B,2,0),"")</f>
        <v/>
      </c>
      <c r="I2364" s="11" t="s">
        <v>276</v>
      </c>
      <c r="J2364" s="19" t="e">
        <f>VLOOKUP(Table2[[#This Row], [Author]],People!A:B,2,0)</f>
        <v>#VALUE!</v>
      </c>
      <c r="K2364" s="11" t="s">
        <v>3297</v>
      </c>
      <c r="L2364" s="11"/>
      <c r="M2364" s="20" t="s">
        <v>277</v>
      </c>
    </row>
    <row r="2365" spans="1:13" ht="19.5" customHeight="1">
      <c r="A2365" s="21">
        <f t="shared" si="37"/>
        <v>2364</v>
      </c>
      <c r="B2365" s="13" t="s">
        <v>3295</v>
      </c>
      <c r="C2365" s="13" t="s">
        <v>96</v>
      </c>
      <c r="D2365" s="13" t="s">
        <v>4039</v>
      </c>
      <c r="E2365" s="13" t="s">
        <v>4040</v>
      </c>
      <c r="F2365" s="13" t="s">
        <v>3517</v>
      </c>
      <c r="G2365" s="13" t="s">
        <v>14</v>
      </c>
      <c r="H2365" s="22" t="str">
        <f>IFERROR(VLOOKUP(Table2[[#This Row], [Ticket]],Okey!A:B,2,0),"")</f>
        <v/>
      </c>
      <c r="I2365" s="13" t="s">
        <v>276</v>
      </c>
      <c r="J2365" s="22" t="e">
        <f>VLOOKUP(Table2[[#This Row], [Author]],People!A:B,2,0)</f>
        <v>#VALUE!</v>
      </c>
      <c r="K2365" s="13" t="s">
        <v>3297</v>
      </c>
      <c r="L2365" s="13"/>
      <c r="M2365" s="23" t="s">
        <v>277</v>
      </c>
    </row>
    <row r="2366" spans="1:13" ht="19.5" customHeight="1">
      <c r="A2366" s="18">
        <f t="shared" si="37"/>
        <v>2365</v>
      </c>
      <c r="B2366" s="11" t="s">
        <v>3295</v>
      </c>
      <c r="C2366" s="11" t="s">
        <v>96</v>
      </c>
      <c r="D2366" s="11" t="s">
        <v>4041</v>
      </c>
      <c r="E2366" s="11" t="s">
        <v>4042</v>
      </c>
      <c r="F2366" s="11" t="s">
        <v>3517</v>
      </c>
      <c r="G2366" s="11" t="s">
        <v>14</v>
      </c>
      <c r="H2366" s="19" t="str">
        <f>IFERROR(VLOOKUP(Table2[[#This Row], [Ticket]],Okey!A:B,2,0),"")</f>
        <v/>
      </c>
      <c r="I2366" s="11" t="s">
        <v>276</v>
      </c>
      <c r="J2366" s="19" t="e">
        <f>VLOOKUP(Table2[[#This Row], [Author]],People!A:B,2,0)</f>
        <v>#VALUE!</v>
      </c>
      <c r="K2366" s="11" t="s">
        <v>3297</v>
      </c>
      <c r="L2366" s="11"/>
      <c r="M2366" s="20" t="s">
        <v>277</v>
      </c>
    </row>
    <row r="2367" spans="1:13" ht="19.5" customHeight="1">
      <c r="A2367" s="21">
        <f t="shared" si="37"/>
        <v>2366</v>
      </c>
      <c r="B2367" s="13" t="s">
        <v>3295</v>
      </c>
      <c r="C2367" s="13" t="s">
        <v>96</v>
      </c>
      <c r="D2367" s="13" t="s">
        <v>4043</v>
      </c>
      <c r="E2367" s="13" t="s">
        <v>4044</v>
      </c>
      <c r="F2367" s="13" t="s">
        <v>3517</v>
      </c>
      <c r="G2367" s="13" t="s">
        <v>14</v>
      </c>
      <c r="H2367" s="22" t="str">
        <f>IFERROR(VLOOKUP(Table2[[#This Row], [Ticket]],Okey!A:B,2,0),"")</f>
        <v/>
      </c>
      <c r="I2367" s="13" t="s">
        <v>276</v>
      </c>
      <c r="J2367" s="22" t="e">
        <f>VLOOKUP(Table2[[#This Row], [Author]],People!A:B,2,0)</f>
        <v>#VALUE!</v>
      </c>
      <c r="K2367" s="13" t="s">
        <v>3297</v>
      </c>
      <c r="L2367" s="13"/>
      <c r="M2367" s="23" t="s">
        <v>277</v>
      </c>
    </row>
    <row r="2368" spans="1:13" ht="19.5" customHeight="1">
      <c r="A2368" s="18">
        <f t="shared" si="37"/>
        <v>2367</v>
      </c>
      <c r="B2368" s="11" t="s">
        <v>3295</v>
      </c>
      <c r="C2368" s="11" t="s">
        <v>96</v>
      </c>
      <c r="D2368" s="11" t="s">
        <v>3506</v>
      </c>
      <c r="E2368" s="11" t="s">
        <v>4045</v>
      </c>
      <c r="F2368" s="11" t="s">
        <v>4046</v>
      </c>
      <c r="G2368" s="11" t="s">
        <v>14</v>
      </c>
      <c r="H2368" s="19" t="str">
        <f>IFERROR(VLOOKUP(Table2[[#This Row], [Ticket]],Okey!A:B,2,0),"")</f>
        <v/>
      </c>
      <c r="I2368" s="11" t="s">
        <v>276</v>
      </c>
      <c r="J2368" s="19" t="e">
        <f>VLOOKUP(Table2[[#This Row], [Author]],People!A:B,2,0)</f>
        <v>#VALUE!</v>
      </c>
      <c r="K2368" s="11" t="s">
        <v>3297</v>
      </c>
      <c r="L2368" s="11"/>
      <c r="M2368" s="20" t="s">
        <v>277</v>
      </c>
    </row>
    <row r="2369" spans="1:13" ht="19.5" customHeight="1">
      <c r="A2369" s="21">
        <f t="shared" si="37"/>
        <v>2368</v>
      </c>
      <c r="B2369" s="13" t="s">
        <v>3295</v>
      </c>
      <c r="C2369" s="13" t="s">
        <v>96</v>
      </c>
      <c r="D2369" s="13" t="s">
        <v>3512</v>
      </c>
      <c r="E2369" s="13" t="s">
        <v>4047</v>
      </c>
      <c r="F2369" s="13" t="s">
        <v>4046</v>
      </c>
      <c r="G2369" s="13" t="s">
        <v>14</v>
      </c>
      <c r="H2369" s="22" t="str">
        <f>IFERROR(VLOOKUP(Table2[[#This Row], [Ticket]],Okey!A:B,2,0),"")</f>
        <v/>
      </c>
      <c r="I2369" s="13" t="s">
        <v>276</v>
      </c>
      <c r="J2369" s="22" t="e">
        <f>VLOOKUP(Table2[[#This Row], [Author]],People!A:B,2,0)</f>
        <v>#VALUE!</v>
      </c>
      <c r="K2369" s="13" t="s">
        <v>3297</v>
      </c>
      <c r="L2369" s="13"/>
      <c r="M2369" s="23" t="s">
        <v>277</v>
      </c>
    </row>
    <row r="2370" spans="1:13" ht="19.5" customHeight="1">
      <c r="A2370" s="18">
        <f t="shared" si="37"/>
        <v>2369</v>
      </c>
      <c r="B2370" s="11" t="s">
        <v>3295</v>
      </c>
      <c r="C2370" s="11" t="s">
        <v>96</v>
      </c>
      <c r="D2370" s="11" t="s">
        <v>4048</v>
      </c>
      <c r="E2370" s="11" t="s">
        <v>4049</v>
      </c>
      <c r="F2370" s="11" t="s">
        <v>4046</v>
      </c>
      <c r="G2370" s="11" t="s">
        <v>14</v>
      </c>
      <c r="H2370" s="19" t="str">
        <f>IFERROR(VLOOKUP(Table2[[#This Row], [Ticket]],Okey!A:B,2,0),"")</f>
        <v/>
      </c>
      <c r="I2370" s="11" t="s">
        <v>276</v>
      </c>
      <c r="J2370" s="19" t="e">
        <f>VLOOKUP(Table2[[#This Row], [Author]],People!A:B,2,0)</f>
        <v>#VALUE!</v>
      </c>
      <c r="K2370" s="11" t="s">
        <v>3297</v>
      </c>
      <c r="L2370" s="11"/>
      <c r="M2370" s="20" t="s">
        <v>277</v>
      </c>
    </row>
    <row r="2371" spans="1:13" ht="19.5" customHeight="1">
      <c r="A2371" s="21">
        <f t="shared" si="37"/>
        <v>2370</v>
      </c>
      <c r="B2371" s="13" t="s">
        <v>3295</v>
      </c>
      <c r="C2371" s="13" t="s">
        <v>96</v>
      </c>
      <c r="D2371" s="13" t="s">
        <v>3497</v>
      </c>
      <c r="E2371" s="13" t="s">
        <v>4050</v>
      </c>
      <c r="F2371" s="13" t="s">
        <v>3488</v>
      </c>
      <c r="G2371" s="13" t="s">
        <v>14</v>
      </c>
      <c r="H2371" s="22" t="str">
        <f>IFERROR(VLOOKUP(Table2[[#This Row], [Ticket]],Okey!A:B,2,0),"")</f>
        <v/>
      </c>
      <c r="I2371" s="13" t="s">
        <v>276</v>
      </c>
      <c r="J2371" s="22" t="e">
        <f>VLOOKUP(Table2[[#This Row], [Author]],People!A:B,2,0)</f>
        <v>#VALUE!</v>
      </c>
      <c r="K2371" s="13" t="s">
        <v>3297</v>
      </c>
      <c r="L2371" s="13"/>
      <c r="M2371" s="23" t="s">
        <v>277</v>
      </c>
    </row>
    <row r="2372" spans="1:13" ht="19.5" customHeight="1">
      <c r="A2372" s="18">
        <f t="shared" si="37"/>
        <v>2371</v>
      </c>
      <c r="B2372" s="11" t="s">
        <v>3295</v>
      </c>
      <c r="C2372" s="11" t="s">
        <v>96</v>
      </c>
      <c r="D2372" s="11" t="s">
        <v>3495</v>
      </c>
      <c r="E2372" s="11" t="s">
        <v>4051</v>
      </c>
      <c r="F2372" s="11" t="s">
        <v>3488</v>
      </c>
      <c r="G2372" s="11" t="s">
        <v>14</v>
      </c>
      <c r="H2372" s="19" t="str">
        <f>IFERROR(VLOOKUP(Table2[[#This Row], [Ticket]],Okey!A:B,2,0),"")</f>
        <v/>
      </c>
      <c r="I2372" s="11" t="s">
        <v>276</v>
      </c>
      <c r="J2372" s="19" t="e">
        <f>VLOOKUP(Table2[[#This Row], [Author]],People!A:B,2,0)</f>
        <v>#VALUE!</v>
      </c>
      <c r="K2372" s="11" t="s">
        <v>3297</v>
      </c>
      <c r="L2372" s="11"/>
      <c r="M2372" s="20" t="s">
        <v>277</v>
      </c>
    </row>
    <row r="2373" spans="1:13" ht="19.5" customHeight="1">
      <c r="A2373" s="21">
        <f t="shared" si="37"/>
        <v>2372</v>
      </c>
      <c r="B2373" s="13" t="s">
        <v>3295</v>
      </c>
      <c r="C2373" s="13" t="s">
        <v>96</v>
      </c>
      <c r="D2373" s="13" t="s">
        <v>3493</v>
      </c>
      <c r="E2373" s="13" t="s">
        <v>4052</v>
      </c>
      <c r="F2373" s="13" t="s">
        <v>3488</v>
      </c>
      <c r="G2373" s="13" t="s">
        <v>14</v>
      </c>
      <c r="H2373" s="22" t="str">
        <f>IFERROR(VLOOKUP(Table2[[#This Row], [Ticket]],Okey!A:B,2,0),"")</f>
        <v/>
      </c>
      <c r="I2373" s="13" t="s">
        <v>276</v>
      </c>
      <c r="J2373" s="22" t="e">
        <f>VLOOKUP(Table2[[#This Row], [Author]],People!A:B,2,0)</f>
        <v>#VALUE!</v>
      </c>
      <c r="K2373" s="13" t="s">
        <v>3297</v>
      </c>
      <c r="L2373" s="13"/>
      <c r="M2373" s="23" t="s">
        <v>277</v>
      </c>
    </row>
    <row r="2374" spans="1:13" ht="19.5" customHeight="1">
      <c r="A2374" s="18">
        <f t="shared" si="37"/>
        <v>2373</v>
      </c>
      <c r="B2374" s="11" t="s">
        <v>3295</v>
      </c>
      <c r="C2374" s="11" t="s">
        <v>96</v>
      </c>
      <c r="D2374" s="11" t="s">
        <v>3479</v>
      </c>
      <c r="E2374" s="11" t="s">
        <v>4053</v>
      </c>
      <c r="F2374" s="11" t="s">
        <v>3488</v>
      </c>
      <c r="G2374" s="11" t="s">
        <v>14</v>
      </c>
      <c r="H2374" s="19" t="str">
        <f>IFERROR(VLOOKUP(Table2[[#This Row], [Ticket]],Okey!A:B,2,0),"")</f>
        <v/>
      </c>
      <c r="I2374" s="11" t="s">
        <v>276</v>
      </c>
      <c r="J2374" s="19" t="e">
        <f>VLOOKUP(Table2[[#This Row], [Author]],People!A:B,2,0)</f>
        <v>#VALUE!</v>
      </c>
      <c r="K2374" s="11" t="s">
        <v>3297</v>
      </c>
      <c r="L2374" s="11"/>
      <c r="M2374" s="20" t="s">
        <v>277</v>
      </c>
    </row>
    <row r="2375" spans="1:13" ht="19.5" customHeight="1">
      <c r="A2375" s="21">
        <f t="shared" si="37"/>
        <v>2374</v>
      </c>
      <c r="B2375" s="13" t="s">
        <v>3295</v>
      </c>
      <c r="C2375" s="13" t="s">
        <v>96</v>
      </c>
      <c r="D2375" s="13" t="s">
        <v>3508</v>
      </c>
      <c r="E2375" s="13" t="s">
        <v>4054</v>
      </c>
      <c r="F2375" s="13" t="s">
        <v>3488</v>
      </c>
      <c r="G2375" s="13" t="s">
        <v>14</v>
      </c>
      <c r="H2375" s="22" t="str">
        <f>IFERROR(VLOOKUP(Table2[[#This Row], [Ticket]],Okey!A:B,2,0),"")</f>
        <v/>
      </c>
      <c r="I2375" s="13" t="s">
        <v>276</v>
      </c>
      <c r="J2375" s="22" t="e">
        <f>VLOOKUP(Table2[[#This Row], [Author]],People!A:B,2,0)</f>
        <v>#VALUE!</v>
      </c>
      <c r="K2375" s="13" t="s">
        <v>3297</v>
      </c>
      <c r="L2375" s="13"/>
      <c r="M2375" s="23" t="s">
        <v>277</v>
      </c>
    </row>
    <row r="2376" spans="1:13" ht="19.5" customHeight="1">
      <c r="A2376" s="18">
        <f t="shared" si="37"/>
        <v>2375</v>
      </c>
      <c r="B2376" s="11" t="s">
        <v>3295</v>
      </c>
      <c r="C2376" s="11" t="s">
        <v>96</v>
      </c>
      <c r="D2376" s="11" t="s">
        <v>3484</v>
      </c>
      <c r="E2376" s="11" t="s">
        <v>4055</v>
      </c>
      <c r="F2376" s="11" t="s">
        <v>3488</v>
      </c>
      <c r="G2376" s="11" t="s">
        <v>14</v>
      </c>
      <c r="H2376" s="19" t="str">
        <f>IFERROR(VLOOKUP(Table2[[#This Row], [Ticket]],Okey!A:B,2,0),"")</f>
        <v/>
      </c>
      <c r="I2376" s="11" t="s">
        <v>276</v>
      </c>
      <c r="J2376" s="19" t="e">
        <f>VLOOKUP(Table2[[#This Row], [Author]],People!A:B,2,0)</f>
        <v>#VALUE!</v>
      </c>
      <c r="K2376" s="11" t="s">
        <v>3297</v>
      </c>
      <c r="L2376" s="11"/>
      <c r="M2376" s="20" t="s">
        <v>277</v>
      </c>
    </row>
    <row r="2377" spans="1:13" ht="19.5" customHeight="1">
      <c r="A2377" s="21">
        <f t="shared" si="37"/>
        <v>2376</v>
      </c>
      <c r="B2377" s="13" t="s">
        <v>3295</v>
      </c>
      <c r="C2377" s="13" t="s">
        <v>96</v>
      </c>
      <c r="D2377" s="13" t="s">
        <v>3499</v>
      </c>
      <c r="E2377" s="13" t="s">
        <v>4056</v>
      </c>
      <c r="F2377" s="13" t="s">
        <v>3488</v>
      </c>
      <c r="G2377" s="13" t="s">
        <v>14</v>
      </c>
      <c r="H2377" s="22" t="str">
        <f>IFERROR(VLOOKUP(Table2[[#This Row], [Ticket]],Okey!A:B,2,0),"")</f>
        <v/>
      </c>
      <c r="I2377" s="13" t="s">
        <v>276</v>
      </c>
      <c r="J2377" s="22" t="e">
        <f>VLOOKUP(Table2[[#This Row], [Author]],People!A:B,2,0)</f>
        <v>#VALUE!</v>
      </c>
      <c r="K2377" s="13" t="s">
        <v>3297</v>
      </c>
      <c r="L2377" s="13"/>
      <c r="M2377" s="23" t="s">
        <v>277</v>
      </c>
    </row>
    <row r="2378" spans="1:13" ht="19.5" customHeight="1">
      <c r="A2378" s="18">
        <f t="shared" si="37"/>
        <v>2377</v>
      </c>
      <c r="B2378" s="11" t="s">
        <v>3295</v>
      </c>
      <c r="C2378" s="11" t="s">
        <v>96</v>
      </c>
      <c r="D2378" s="11" t="s">
        <v>4057</v>
      </c>
      <c r="E2378" s="11" t="s">
        <v>4058</v>
      </c>
      <c r="F2378" s="11" t="s">
        <v>3488</v>
      </c>
      <c r="G2378" s="11" t="s">
        <v>14</v>
      </c>
      <c r="H2378" s="19" t="str">
        <f>IFERROR(VLOOKUP(Table2[[#This Row], [Ticket]],Okey!A:B,2,0),"")</f>
        <v/>
      </c>
      <c r="I2378" s="11" t="s">
        <v>276</v>
      </c>
      <c r="J2378" s="19" t="e">
        <f>VLOOKUP(Table2[[#This Row], [Author]],People!A:B,2,0)</f>
        <v>#VALUE!</v>
      </c>
      <c r="K2378" s="11" t="s">
        <v>3297</v>
      </c>
      <c r="L2378" s="11"/>
      <c r="M2378" s="20" t="s">
        <v>277</v>
      </c>
    </row>
    <row r="2379" spans="1:13" ht="19.5" customHeight="1">
      <c r="A2379" s="21">
        <f t="shared" si="37"/>
        <v>2378</v>
      </c>
      <c r="B2379" s="13" t="s">
        <v>3295</v>
      </c>
      <c r="C2379" s="13" t="s">
        <v>96</v>
      </c>
      <c r="D2379" s="13" t="s">
        <v>4059</v>
      </c>
      <c r="E2379" s="13" t="s">
        <v>3903</v>
      </c>
      <c r="F2379" s="13" t="s">
        <v>3488</v>
      </c>
      <c r="G2379" s="13" t="s">
        <v>14</v>
      </c>
      <c r="H2379" s="22" t="str">
        <f>IFERROR(VLOOKUP(Table2[[#This Row], [Ticket]],Okey!A:B,2,0),"")</f>
        <v/>
      </c>
      <c r="I2379" s="13" t="s">
        <v>276</v>
      </c>
      <c r="J2379" s="22" t="e">
        <f>VLOOKUP(Table2[[#This Row], [Author]],People!A:B,2,0)</f>
        <v>#VALUE!</v>
      </c>
      <c r="K2379" s="13" t="s">
        <v>3297</v>
      </c>
      <c r="L2379" s="13"/>
      <c r="M2379" s="23" t="s">
        <v>277</v>
      </c>
    </row>
    <row r="2380" spans="1:13" ht="19.5" customHeight="1">
      <c r="A2380" s="18">
        <f t="shared" si="37"/>
        <v>2379</v>
      </c>
      <c r="B2380" s="11" t="s">
        <v>3295</v>
      </c>
      <c r="C2380" s="11" t="s">
        <v>96</v>
      </c>
      <c r="D2380" s="11" t="s">
        <v>3490</v>
      </c>
      <c r="E2380" s="11" t="s">
        <v>4060</v>
      </c>
      <c r="F2380" s="11" t="s">
        <v>3488</v>
      </c>
      <c r="G2380" s="11" t="s">
        <v>14</v>
      </c>
      <c r="H2380" s="19" t="str">
        <f>IFERROR(VLOOKUP(Table2[[#This Row], [Ticket]],Okey!A:B,2,0),"")</f>
        <v/>
      </c>
      <c r="I2380" s="11" t="s">
        <v>276</v>
      </c>
      <c r="J2380" s="19" t="e">
        <f>VLOOKUP(Table2[[#This Row], [Author]],People!A:B,2,0)</f>
        <v>#VALUE!</v>
      </c>
      <c r="K2380" s="11" t="s">
        <v>3297</v>
      </c>
      <c r="L2380" s="11"/>
      <c r="M2380" s="20" t="s">
        <v>277</v>
      </c>
    </row>
    <row r="2381" spans="1:13" ht="19.5" customHeight="1">
      <c r="A2381" s="21">
        <f t="shared" si="37"/>
        <v>2380</v>
      </c>
      <c r="B2381" s="13" t="s">
        <v>3295</v>
      </c>
      <c r="C2381" s="13" t="s">
        <v>96</v>
      </c>
      <c r="D2381" s="13" t="s">
        <v>3941</v>
      </c>
      <c r="E2381" s="13" t="s">
        <v>4061</v>
      </c>
      <c r="F2381" s="13" t="s">
        <v>3957</v>
      </c>
      <c r="G2381" s="13" t="s">
        <v>14</v>
      </c>
      <c r="H2381" s="22" t="str">
        <f>IFERROR(VLOOKUP(Table2[[#This Row], [Ticket]],Okey!A:B,2,0),"")</f>
        <v/>
      </c>
      <c r="I2381" s="13" t="s">
        <v>276</v>
      </c>
      <c r="J2381" s="22" t="e">
        <f>VLOOKUP(Table2[[#This Row], [Author]],People!A:B,2,0)</f>
        <v>#VALUE!</v>
      </c>
      <c r="K2381" s="13" t="s">
        <v>3297</v>
      </c>
      <c r="L2381" s="13"/>
      <c r="M2381" s="23" t="s">
        <v>277</v>
      </c>
    </row>
    <row r="2382" spans="1:13" ht="19.5" customHeight="1">
      <c r="A2382" s="18">
        <f t="shared" si="37"/>
        <v>2381</v>
      </c>
      <c r="B2382" s="11" t="s">
        <v>3295</v>
      </c>
      <c r="C2382" s="11" t="s">
        <v>96</v>
      </c>
      <c r="D2382" s="11" t="s">
        <v>3918</v>
      </c>
      <c r="E2382" s="11" t="s">
        <v>4062</v>
      </c>
      <c r="F2382" s="11" t="s">
        <v>3957</v>
      </c>
      <c r="G2382" s="11" t="s">
        <v>14</v>
      </c>
      <c r="H2382" s="19" t="str">
        <f>IFERROR(VLOOKUP(Table2[[#This Row], [Ticket]],Okey!A:B,2,0),"")</f>
        <v/>
      </c>
      <c r="I2382" s="11" t="s">
        <v>276</v>
      </c>
      <c r="J2382" s="19" t="e">
        <f>VLOOKUP(Table2[[#This Row], [Author]],People!A:B,2,0)</f>
        <v>#VALUE!</v>
      </c>
      <c r="K2382" s="11" t="s">
        <v>3297</v>
      </c>
      <c r="L2382" s="11"/>
      <c r="M2382" s="20" t="s">
        <v>277</v>
      </c>
    </row>
    <row r="2383" spans="1:13" ht="19.5" customHeight="1">
      <c r="A2383" s="21">
        <f t="shared" si="37"/>
        <v>2382</v>
      </c>
      <c r="B2383" s="13" t="s">
        <v>3295</v>
      </c>
      <c r="C2383" s="13" t="s">
        <v>96</v>
      </c>
      <c r="D2383" s="13" t="s">
        <v>3934</v>
      </c>
      <c r="E2383" s="13" t="s">
        <v>4063</v>
      </c>
      <c r="F2383" s="13" t="s">
        <v>3957</v>
      </c>
      <c r="G2383" s="13" t="s">
        <v>14</v>
      </c>
      <c r="H2383" s="22" t="str">
        <f>IFERROR(VLOOKUP(Table2[[#This Row], [Ticket]],Okey!A:B,2,0),"")</f>
        <v/>
      </c>
      <c r="I2383" s="13" t="s">
        <v>276</v>
      </c>
      <c r="J2383" s="22" t="e">
        <f>VLOOKUP(Table2[[#This Row], [Author]],People!A:B,2,0)</f>
        <v>#VALUE!</v>
      </c>
      <c r="K2383" s="13" t="s">
        <v>3297</v>
      </c>
      <c r="L2383" s="13"/>
      <c r="M2383" s="23" t="s">
        <v>277</v>
      </c>
    </row>
    <row r="2384" spans="1:13" ht="19.5" customHeight="1">
      <c r="A2384" s="18">
        <f t="shared" si="37"/>
        <v>2383</v>
      </c>
      <c r="B2384" s="11" t="s">
        <v>3295</v>
      </c>
      <c r="C2384" s="11" t="s">
        <v>96</v>
      </c>
      <c r="D2384" s="11" t="s">
        <v>3927</v>
      </c>
      <c r="E2384" s="11" t="s">
        <v>4064</v>
      </c>
      <c r="F2384" s="11" t="s">
        <v>3957</v>
      </c>
      <c r="G2384" s="11" t="s">
        <v>14</v>
      </c>
      <c r="H2384" s="19" t="str">
        <f>IFERROR(VLOOKUP(Table2[[#This Row], [Ticket]],Okey!A:B,2,0),"")</f>
        <v/>
      </c>
      <c r="I2384" s="11" t="s">
        <v>276</v>
      </c>
      <c r="J2384" s="19" t="e">
        <f>VLOOKUP(Table2[[#This Row], [Author]],People!A:B,2,0)</f>
        <v>#VALUE!</v>
      </c>
      <c r="K2384" s="11" t="s">
        <v>3297</v>
      </c>
      <c r="L2384" s="11"/>
      <c r="M2384" s="20" t="s">
        <v>277</v>
      </c>
    </row>
    <row r="2385" spans="1:13" ht="19.5" customHeight="1">
      <c r="A2385" s="21">
        <f t="shared" si="37"/>
        <v>2384</v>
      </c>
      <c r="B2385" s="13" t="s">
        <v>3295</v>
      </c>
      <c r="C2385" s="13" t="s">
        <v>96</v>
      </c>
      <c r="D2385" s="13" t="s">
        <v>3621</v>
      </c>
      <c r="E2385" s="13" t="s">
        <v>4065</v>
      </c>
      <c r="F2385" s="13" t="s">
        <v>3497</v>
      </c>
      <c r="G2385" s="13" t="s">
        <v>14</v>
      </c>
      <c r="H2385" s="22" t="str">
        <f>IFERROR(VLOOKUP(Table2[[#This Row], [Ticket]],Okey!A:B,2,0),"")</f>
        <v/>
      </c>
      <c r="I2385" s="13" t="s">
        <v>276</v>
      </c>
      <c r="J2385" s="22" t="e">
        <f>VLOOKUP(Table2[[#This Row], [Author]],People!A:B,2,0)</f>
        <v>#VALUE!</v>
      </c>
      <c r="K2385" s="13" t="s">
        <v>3297</v>
      </c>
      <c r="L2385" s="13"/>
      <c r="M2385" s="23" t="s">
        <v>277</v>
      </c>
    </row>
    <row r="2386" spans="1:13" ht="19.5" customHeight="1">
      <c r="A2386" s="18">
        <f t="shared" si="37"/>
        <v>2385</v>
      </c>
      <c r="B2386" s="11" t="s">
        <v>3295</v>
      </c>
      <c r="C2386" s="11" t="s">
        <v>96</v>
      </c>
      <c r="D2386" s="11" t="s">
        <v>4066</v>
      </c>
      <c r="E2386" s="11" t="s">
        <v>4067</v>
      </c>
      <c r="F2386" s="11" t="s">
        <v>3479</v>
      </c>
      <c r="G2386" s="11" t="s">
        <v>16</v>
      </c>
      <c r="H2386" s="19" t="str">
        <f>IFERROR(VLOOKUP(Table2[[#This Row], [Ticket]],Okey!A:B,2,0),"")</f>
        <v/>
      </c>
      <c r="I2386" s="11" t="s">
        <v>276</v>
      </c>
      <c r="J2386" s="19" t="e">
        <f>VLOOKUP(Table2[[#This Row], [Author]],People!A:B,2,0)</f>
        <v>#VALUE!</v>
      </c>
      <c r="K2386" s="11" t="s">
        <v>3297</v>
      </c>
      <c r="L2386" s="11"/>
      <c r="M2386" s="20" t="s">
        <v>277</v>
      </c>
    </row>
    <row r="2387" spans="1:13" ht="19.5" customHeight="1">
      <c r="A2387" s="21">
        <f t="shared" si="37"/>
        <v>2386</v>
      </c>
      <c r="B2387" s="13" t="s">
        <v>3295</v>
      </c>
      <c r="C2387" s="13" t="s">
        <v>96</v>
      </c>
      <c r="D2387" s="13" t="s">
        <v>4068</v>
      </c>
      <c r="E2387" s="13" t="s">
        <v>4069</v>
      </c>
      <c r="F2387" s="13" t="s">
        <v>3927</v>
      </c>
      <c r="G2387" s="13" t="s">
        <v>16</v>
      </c>
      <c r="H2387" s="22" t="str">
        <f>IFERROR(VLOOKUP(Table2[[#This Row], [Ticket]],Okey!A:B,2,0),"")</f>
        <v/>
      </c>
      <c r="I2387" s="13" t="s">
        <v>276</v>
      </c>
      <c r="J2387" s="22" t="e">
        <f>VLOOKUP(Table2[[#This Row], [Author]],People!A:B,2,0)</f>
        <v>#VALUE!</v>
      </c>
      <c r="K2387" s="13" t="s">
        <v>3297</v>
      </c>
      <c r="L2387" s="13"/>
      <c r="M2387" s="23" t="s">
        <v>277</v>
      </c>
    </row>
    <row r="2388" spans="1:13" ht="19.5" customHeight="1">
      <c r="A2388" s="18">
        <f t="shared" si="37"/>
        <v>2387</v>
      </c>
      <c r="B2388" s="11" t="s">
        <v>3295</v>
      </c>
      <c r="C2388" s="11" t="s">
        <v>96</v>
      </c>
      <c r="D2388" s="11" t="s">
        <v>4070</v>
      </c>
      <c r="E2388" s="11" t="s">
        <v>4071</v>
      </c>
      <c r="F2388" s="11" t="s">
        <v>3934</v>
      </c>
      <c r="G2388" s="11" t="s">
        <v>16</v>
      </c>
      <c r="H2388" s="19" t="str">
        <f>IFERROR(VLOOKUP(Table2[[#This Row], [Ticket]],Okey!A:B,2,0),"")</f>
        <v/>
      </c>
      <c r="I2388" s="11" t="s">
        <v>276</v>
      </c>
      <c r="J2388" s="19" t="e">
        <f>VLOOKUP(Table2[[#This Row], [Author]],People!A:B,2,0)</f>
        <v>#VALUE!</v>
      </c>
      <c r="K2388" s="11" t="s">
        <v>3297</v>
      </c>
      <c r="L2388" s="11"/>
      <c r="M2388" s="20" t="s">
        <v>277</v>
      </c>
    </row>
    <row r="2389" spans="1:13" ht="19.5" customHeight="1">
      <c r="A2389" s="21">
        <f t="shared" si="37"/>
        <v>2388</v>
      </c>
      <c r="B2389" s="13" t="s">
        <v>3295</v>
      </c>
      <c r="C2389" s="13" t="s">
        <v>96</v>
      </c>
      <c r="D2389" s="13" t="s">
        <v>4072</v>
      </c>
      <c r="E2389" s="13" t="s">
        <v>4073</v>
      </c>
      <c r="F2389" s="13" t="s">
        <v>3490</v>
      </c>
      <c r="G2389" s="13" t="s">
        <v>16</v>
      </c>
      <c r="H2389" s="22" t="str">
        <f>IFERROR(VLOOKUP(Table2[[#This Row], [Ticket]],Okey!A:B,2,0),"")</f>
        <v/>
      </c>
      <c r="I2389" s="13" t="s">
        <v>276</v>
      </c>
      <c r="J2389" s="22" t="e">
        <f>VLOOKUP(Table2[[#This Row], [Author]],People!A:B,2,0)</f>
        <v>#VALUE!</v>
      </c>
      <c r="K2389" s="13" t="s">
        <v>3297</v>
      </c>
      <c r="L2389" s="13"/>
      <c r="M2389" s="23" t="s">
        <v>277</v>
      </c>
    </row>
    <row r="2390" spans="1:13" ht="19.5" customHeight="1">
      <c r="A2390" s="18">
        <f t="shared" si="37"/>
        <v>2389</v>
      </c>
      <c r="B2390" s="11" t="s">
        <v>3295</v>
      </c>
      <c r="C2390" s="11" t="s">
        <v>96</v>
      </c>
      <c r="D2390" s="11" t="s">
        <v>4074</v>
      </c>
      <c r="E2390" s="11" t="s">
        <v>4075</v>
      </c>
      <c r="F2390" s="11" t="s">
        <v>4076</v>
      </c>
      <c r="G2390" s="11" t="s">
        <v>16</v>
      </c>
      <c r="H2390" s="19" t="str">
        <f>IFERROR(VLOOKUP(Table2[[#This Row], [Ticket]],Okey!A:B,2,0),"")</f>
        <v/>
      </c>
      <c r="I2390" s="11" t="s">
        <v>276</v>
      </c>
      <c r="J2390" s="19" t="e">
        <f>VLOOKUP(Table2[[#This Row], [Author]],People!A:B,2,0)</f>
        <v>#VALUE!</v>
      </c>
      <c r="K2390" s="11" t="s">
        <v>3297</v>
      </c>
      <c r="L2390" s="11"/>
      <c r="M2390" s="20" t="s">
        <v>277</v>
      </c>
    </row>
    <row r="2391" spans="1:13" ht="19.5" customHeight="1">
      <c r="A2391" s="21">
        <f t="shared" si="37"/>
        <v>2390</v>
      </c>
      <c r="B2391" s="13" t="s">
        <v>3295</v>
      </c>
      <c r="C2391" s="13" t="s">
        <v>96</v>
      </c>
      <c r="D2391" s="13" t="s">
        <v>4077</v>
      </c>
      <c r="E2391" s="13" t="s">
        <v>4078</v>
      </c>
      <c r="F2391" s="13" t="s">
        <v>3484</v>
      </c>
      <c r="G2391" s="13" t="s">
        <v>16</v>
      </c>
      <c r="H2391" s="22" t="str">
        <f>IFERROR(VLOOKUP(Table2[[#This Row], [Ticket]],Okey!A:B,2,0),"")</f>
        <v/>
      </c>
      <c r="I2391" s="13" t="s">
        <v>276</v>
      </c>
      <c r="J2391" s="22" t="e">
        <f>VLOOKUP(Table2[[#This Row], [Author]],People!A:B,2,0)</f>
        <v>#VALUE!</v>
      </c>
      <c r="K2391" s="13" t="s">
        <v>3297</v>
      </c>
      <c r="L2391" s="13"/>
      <c r="M2391" s="23" t="s">
        <v>277</v>
      </c>
    </row>
    <row r="2392" spans="1:13" ht="19.5" customHeight="1">
      <c r="A2392" s="18">
        <f t="shared" si="37"/>
        <v>2391</v>
      </c>
      <c r="B2392" s="11" t="s">
        <v>3295</v>
      </c>
      <c r="C2392" s="11" t="s">
        <v>96</v>
      </c>
      <c r="D2392" s="11" t="s">
        <v>3960</v>
      </c>
      <c r="E2392" s="11" t="s">
        <v>4079</v>
      </c>
      <c r="F2392" s="11" t="s">
        <v>3956</v>
      </c>
      <c r="G2392" s="11" t="s">
        <v>16</v>
      </c>
      <c r="H2392" s="19" t="str">
        <f>IFERROR(VLOOKUP(Table2[[#This Row], [Ticket]],Okey!A:B,2,0),"")</f>
        <v/>
      </c>
      <c r="I2392" s="11" t="s">
        <v>276</v>
      </c>
      <c r="J2392" s="19" t="e">
        <f>VLOOKUP(Table2[[#This Row], [Author]],People!A:B,2,0)</f>
        <v>#VALUE!</v>
      </c>
      <c r="K2392" s="11" t="s">
        <v>3297</v>
      </c>
      <c r="L2392" s="11"/>
      <c r="M2392" s="20" t="s">
        <v>277</v>
      </c>
    </row>
    <row r="2393" spans="1:13" ht="19.5" customHeight="1">
      <c r="A2393" s="21">
        <f t="shared" si="37"/>
        <v>2392</v>
      </c>
      <c r="B2393" s="13" t="s">
        <v>3295</v>
      </c>
      <c r="C2393" s="13" t="s">
        <v>96</v>
      </c>
      <c r="D2393" s="13" t="s">
        <v>4046</v>
      </c>
      <c r="E2393" s="13" t="s">
        <v>4080</v>
      </c>
      <c r="F2393" s="13" t="s">
        <v>3956</v>
      </c>
      <c r="G2393" s="13" t="s">
        <v>16</v>
      </c>
      <c r="H2393" s="22" t="str">
        <f>IFERROR(VLOOKUP(Table2[[#This Row], [Ticket]],Okey!A:B,2,0),"")</f>
        <v/>
      </c>
      <c r="I2393" s="13" t="s">
        <v>276</v>
      </c>
      <c r="J2393" s="22" t="e">
        <f>VLOOKUP(Table2[[#This Row], [Author]],People!A:B,2,0)</f>
        <v>#VALUE!</v>
      </c>
      <c r="K2393" s="13" t="s">
        <v>3297</v>
      </c>
      <c r="L2393" s="13"/>
      <c r="M2393" s="23" t="s">
        <v>277</v>
      </c>
    </row>
    <row r="2394" spans="1:13" ht="19.5" customHeight="1">
      <c r="A2394" s="18">
        <f t="shared" si="37"/>
        <v>2393</v>
      </c>
      <c r="B2394" s="11" t="s">
        <v>3295</v>
      </c>
      <c r="C2394" s="11" t="s">
        <v>96</v>
      </c>
      <c r="D2394" s="11" t="s">
        <v>3514</v>
      </c>
      <c r="E2394" s="11" t="s">
        <v>4081</v>
      </c>
      <c r="F2394" s="11" t="s">
        <v>3956</v>
      </c>
      <c r="G2394" s="11" t="s">
        <v>16</v>
      </c>
      <c r="H2394" s="19" t="str">
        <f>IFERROR(VLOOKUP(Table2[[#This Row], [Ticket]],Okey!A:B,2,0),"")</f>
        <v/>
      </c>
      <c r="I2394" s="11" t="s">
        <v>276</v>
      </c>
      <c r="J2394" s="19" t="e">
        <f>VLOOKUP(Table2[[#This Row], [Author]],People!A:B,2,0)</f>
        <v>#VALUE!</v>
      </c>
      <c r="K2394" s="11" t="s">
        <v>3297</v>
      </c>
      <c r="L2394" s="11"/>
      <c r="M2394" s="20" t="s">
        <v>277</v>
      </c>
    </row>
    <row r="2395" spans="1:13" ht="19.5" customHeight="1">
      <c r="A2395" s="21">
        <f t="shared" si="37"/>
        <v>2394</v>
      </c>
      <c r="B2395" s="13" t="s">
        <v>3295</v>
      </c>
      <c r="C2395" s="13" t="s">
        <v>96</v>
      </c>
      <c r="D2395" s="13" t="s">
        <v>3486</v>
      </c>
      <c r="E2395" s="13" t="s">
        <v>4082</v>
      </c>
      <c r="F2395" s="13" t="s">
        <v>3960</v>
      </c>
      <c r="G2395" s="13" t="s">
        <v>16</v>
      </c>
      <c r="H2395" s="22" t="str">
        <f>IFERROR(VLOOKUP(Table2[[#This Row], [Ticket]],Okey!A:B,2,0),"")</f>
        <v/>
      </c>
      <c r="I2395" s="13" t="s">
        <v>276</v>
      </c>
      <c r="J2395" s="22" t="e">
        <f>VLOOKUP(Table2[[#This Row], [Author]],People!A:B,2,0)</f>
        <v>#VALUE!</v>
      </c>
      <c r="K2395" s="13" t="s">
        <v>3297</v>
      </c>
      <c r="L2395" s="13"/>
      <c r="M2395" s="23" t="s">
        <v>277</v>
      </c>
    </row>
    <row r="2396" spans="1:13" ht="19.5" customHeight="1">
      <c r="A2396" s="18">
        <f t="shared" si="37"/>
        <v>2395</v>
      </c>
      <c r="B2396" s="11" t="s">
        <v>3295</v>
      </c>
      <c r="C2396" s="11" t="s">
        <v>96</v>
      </c>
      <c r="D2396" s="11" t="s">
        <v>3996</v>
      </c>
      <c r="E2396" s="11" t="s">
        <v>4083</v>
      </c>
      <c r="F2396" s="11" t="s">
        <v>3514</v>
      </c>
      <c r="G2396" s="11" t="s">
        <v>16</v>
      </c>
      <c r="H2396" s="19" t="str">
        <f>IFERROR(VLOOKUP(Table2[[#This Row], [Ticket]],Okey!A:B,2,0),"")</f>
        <v/>
      </c>
      <c r="I2396" s="11" t="s">
        <v>276</v>
      </c>
      <c r="J2396" s="19" t="e">
        <f>VLOOKUP(Table2[[#This Row], [Author]],People!A:B,2,0)</f>
        <v>#VALUE!</v>
      </c>
      <c r="K2396" s="11" t="s">
        <v>3297</v>
      </c>
      <c r="L2396" s="11"/>
      <c r="M2396" s="20" t="s">
        <v>277</v>
      </c>
    </row>
    <row r="2397" spans="1:13" ht="19.5" customHeight="1">
      <c r="A2397" s="21">
        <f t="shared" si="37"/>
        <v>2396</v>
      </c>
      <c r="B2397" s="13" t="s">
        <v>3295</v>
      </c>
      <c r="C2397" s="13" t="s">
        <v>96</v>
      </c>
      <c r="D2397" s="13" t="s">
        <v>4009</v>
      </c>
      <c r="E2397" s="13" t="s">
        <v>4084</v>
      </c>
      <c r="F2397" s="13" t="s">
        <v>3514</v>
      </c>
      <c r="G2397" s="13" t="s">
        <v>16</v>
      </c>
      <c r="H2397" s="22" t="str">
        <f>IFERROR(VLOOKUP(Table2[[#This Row], [Ticket]],Okey!A:B,2,0),"")</f>
        <v/>
      </c>
      <c r="I2397" s="13" t="s">
        <v>276</v>
      </c>
      <c r="J2397" s="22" t="e">
        <f>VLOOKUP(Table2[[#This Row], [Author]],People!A:B,2,0)</f>
        <v>#VALUE!</v>
      </c>
      <c r="K2397" s="13" t="s">
        <v>3297</v>
      </c>
      <c r="L2397" s="13"/>
      <c r="M2397" s="23" t="s">
        <v>277</v>
      </c>
    </row>
    <row r="2398" spans="1:13" ht="19.5" customHeight="1">
      <c r="A2398" s="18">
        <f t="shared" si="37"/>
        <v>2397</v>
      </c>
      <c r="B2398" s="11" t="s">
        <v>3295</v>
      </c>
      <c r="C2398" s="11" t="s">
        <v>96</v>
      </c>
      <c r="D2398" s="11" t="s">
        <v>3517</v>
      </c>
      <c r="E2398" s="11" t="s">
        <v>4085</v>
      </c>
      <c r="F2398" s="11" t="s">
        <v>3514</v>
      </c>
      <c r="G2398" s="11" t="s">
        <v>16</v>
      </c>
      <c r="H2398" s="19" t="str">
        <f>IFERROR(VLOOKUP(Table2[[#This Row], [Ticket]],Okey!A:B,2,0),"")</f>
        <v/>
      </c>
      <c r="I2398" s="11" t="s">
        <v>276</v>
      </c>
      <c r="J2398" s="19" t="e">
        <f>VLOOKUP(Table2[[#This Row], [Author]],People!A:B,2,0)</f>
        <v>#VALUE!</v>
      </c>
      <c r="K2398" s="11" t="s">
        <v>3297</v>
      </c>
      <c r="L2398" s="11"/>
      <c r="M2398" s="20" t="s">
        <v>277</v>
      </c>
    </row>
    <row r="2399" spans="1:13" ht="19.5" customHeight="1">
      <c r="A2399" s="21">
        <f t="shared" si="37"/>
        <v>2398</v>
      </c>
      <c r="B2399" s="13" t="s">
        <v>3295</v>
      </c>
      <c r="C2399" s="13" t="s">
        <v>96</v>
      </c>
      <c r="D2399" s="13" t="s">
        <v>4086</v>
      </c>
      <c r="E2399" s="13" t="s">
        <v>4087</v>
      </c>
      <c r="F2399" s="13" t="s">
        <v>3514</v>
      </c>
      <c r="G2399" s="13" t="s">
        <v>16</v>
      </c>
      <c r="H2399" s="22" t="str">
        <f>IFERROR(VLOOKUP(Table2[[#This Row], [Ticket]],Okey!A:B,2,0),"")</f>
        <v/>
      </c>
      <c r="I2399" s="13" t="s">
        <v>276</v>
      </c>
      <c r="J2399" s="22" t="e">
        <f>VLOOKUP(Table2[[#This Row], [Author]],People!A:B,2,0)</f>
        <v>#VALUE!</v>
      </c>
      <c r="K2399" s="13" t="s">
        <v>3297</v>
      </c>
      <c r="L2399" s="13"/>
      <c r="M2399" s="23" t="s">
        <v>277</v>
      </c>
    </row>
    <row r="2400" spans="1:13" ht="19.5" customHeight="1">
      <c r="A2400" s="18">
        <f t="shared" si="37"/>
        <v>2399</v>
      </c>
      <c r="B2400" s="11" t="s">
        <v>3295</v>
      </c>
      <c r="C2400" s="11" t="s">
        <v>96</v>
      </c>
      <c r="D2400" s="11" t="s">
        <v>4088</v>
      </c>
      <c r="E2400" s="11" t="s">
        <v>4089</v>
      </c>
      <c r="F2400" s="11" t="s">
        <v>3488</v>
      </c>
      <c r="G2400" s="11" t="s">
        <v>16</v>
      </c>
      <c r="H2400" s="19" t="str">
        <f>IFERROR(VLOOKUP(Table2[[#This Row], [Ticket]],Okey!A:B,2,0),"")</f>
        <v/>
      </c>
      <c r="I2400" s="11" t="s">
        <v>276</v>
      </c>
      <c r="J2400" s="19" t="e">
        <f>VLOOKUP(Table2[[#This Row], [Author]],People!A:B,2,0)</f>
        <v>#VALUE!</v>
      </c>
      <c r="K2400" s="11" t="s">
        <v>3297</v>
      </c>
      <c r="L2400" s="11"/>
      <c r="M2400" s="20" t="s">
        <v>277</v>
      </c>
    </row>
    <row r="2401" spans="1:13" ht="19.5" customHeight="1">
      <c r="A2401" s="21">
        <f t="shared" si="37"/>
        <v>2400</v>
      </c>
      <c r="B2401" s="13" t="s">
        <v>3295</v>
      </c>
      <c r="C2401" s="13" t="s">
        <v>96</v>
      </c>
      <c r="D2401" s="13" t="s">
        <v>4090</v>
      </c>
      <c r="E2401" s="13" t="s">
        <v>4091</v>
      </c>
      <c r="F2401" s="13" t="s">
        <v>3488</v>
      </c>
      <c r="G2401" s="13" t="s">
        <v>16</v>
      </c>
      <c r="H2401" s="22" t="str">
        <f>IFERROR(VLOOKUP(Table2[[#This Row], [Ticket]],Okey!A:B,2,0),"")</f>
        <v/>
      </c>
      <c r="I2401" s="13" t="s">
        <v>276</v>
      </c>
      <c r="J2401" s="22" t="e">
        <f>VLOOKUP(Table2[[#This Row], [Author]],People!A:B,2,0)</f>
        <v>#VALUE!</v>
      </c>
      <c r="K2401" s="13" t="s">
        <v>3297</v>
      </c>
      <c r="L2401" s="13"/>
      <c r="M2401" s="23" t="s">
        <v>277</v>
      </c>
    </row>
    <row r="2402" spans="1:13" ht="19.5" customHeight="1">
      <c r="A2402" s="18">
        <f t="shared" si="37"/>
        <v>2401</v>
      </c>
      <c r="B2402" s="11" t="s">
        <v>3295</v>
      </c>
      <c r="C2402" s="11" t="s">
        <v>96</v>
      </c>
      <c r="D2402" s="11" t="s">
        <v>3982</v>
      </c>
      <c r="E2402" s="11" t="s">
        <v>4092</v>
      </c>
      <c r="F2402" s="11" t="s">
        <v>3957</v>
      </c>
      <c r="G2402" s="11" t="s">
        <v>16</v>
      </c>
      <c r="H2402" s="19" t="str">
        <f>IFERROR(VLOOKUP(Table2[[#This Row], [Ticket]],Okey!A:B,2,0),"")</f>
        <v/>
      </c>
      <c r="I2402" s="11" t="s">
        <v>276</v>
      </c>
      <c r="J2402" s="19" t="e">
        <f>VLOOKUP(Table2[[#This Row], [Author]],People!A:B,2,0)</f>
        <v>#VALUE!</v>
      </c>
      <c r="K2402" s="11" t="s">
        <v>3297</v>
      </c>
      <c r="L2402" s="11"/>
      <c r="M2402" s="20" t="s">
        <v>277</v>
      </c>
    </row>
    <row r="2403" spans="1:13" ht="19.5" customHeight="1">
      <c r="A2403" s="21">
        <f t="shared" ref="A2403:A2466" si="38">1+A2402</f>
        <v>2402</v>
      </c>
      <c r="B2403" s="13" t="s">
        <v>3295</v>
      </c>
      <c r="C2403" s="13" t="s">
        <v>96</v>
      </c>
      <c r="D2403" s="13" t="s">
        <v>4093</v>
      </c>
      <c r="E2403" s="13" t="s">
        <v>4094</v>
      </c>
      <c r="F2403" s="13" t="s">
        <v>4095</v>
      </c>
      <c r="G2403" s="13" t="s">
        <v>16</v>
      </c>
      <c r="H2403" s="22" t="str">
        <f>IFERROR(VLOOKUP(Table2[[#This Row], [Ticket]],Okey!A:B,2,0),"")</f>
        <v/>
      </c>
      <c r="I2403" s="13" t="s">
        <v>276</v>
      </c>
      <c r="J2403" s="22" t="e">
        <f>VLOOKUP(Table2[[#This Row], [Author]],People!A:B,2,0)</f>
        <v>#VALUE!</v>
      </c>
      <c r="K2403" s="13" t="s">
        <v>3297</v>
      </c>
      <c r="L2403" s="13"/>
      <c r="M2403" s="23" t="s">
        <v>277</v>
      </c>
    </row>
    <row r="2404" spans="1:13" ht="19.5" customHeight="1">
      <c r="A2404" s="18">
        <f t="shared" si="38"/>
        <v>2403</v>
      </c>
      <c r="B2404" s="11" t="s">
        <v>3295</v>
      </c>
      <c r="C2404" s="11" t="s">
        <v>96</v>
      </c>
      <c r="D2404" s="11" t="s">
        <v>4096</v>
      </c>
      <c r="E2404" s="11" t="s">
        <v>4097</v>
      </c>
      <c r="F2404" s="11" t="s">
        <v>3497</v>
      </c>
      <c r="G2404" s="11" t="s">
        <v>16</v>
      </c>
      <c r="H2404" s="19" t="str">
        <f>IFERROR(VLOOKUP(Table2[[#This Row], [Ticket]],Okey!A:B,2,0),"")</f>
        <v/>
      </c>
      <c r="I2404" s="11" t="s">
        <v>276</v>
      </c>
      <c r="J2404" s="19" t="e">
        <f>VLOOKUP(Table2[[#This Row], [Author]],People!A:B,2,0)</f>
        <v>#VALUE!</v>
      </c>
      <c r="K2404" s="11" t="s">
        <v>3297</v>
      </c>
      <c r="L2404" s="11"/>
      <c r="M2404" s="20" t="s">
        <v>277</v>
      </c>
    </row>
    <row r="2405" spans="1:13" ht="19.5" customHeight="1">
      <c r="A2405" s="21">
        <f t="shared" si="38"/>
        <v>2404</v>
      </c>
      <c r="B2405" s="13" t="s">
        <v>3295</v>
      </c>
      <c r="C2405" s="13" t="s">
        <v>96</v>
      </c>
      <c r="D2405" s="13" t="s">
        <v>3619</v>
      </c>
      <c r="E2405" s="13" t="s">
        <v>4098</v>
      </c>
      <c r="F2405" s="13" t="s">
        <v>3497</v>
      </c>
      <c r="G2405" s="13" t="s">
        <v>16</v>
      </c>
      <c r="H2405" s="22" t="str">
        <f>IFERROR(VLOOKUP(Table2[[#This Row], [Ticket]],Okey!A:B,2,0),"")</f>
        <v/>
      </c>
      <c r="I2405" s="13" t="s">
        <v>276</v>
      </c>
      <c r="J2405" s="22" t="e">
        <f>VLOOKUP(Table2[[#This Row], [Author]],People!A:B,2,0)</f>
        <v>#VALUE!</v>
      </c>
      <c r="K2405" s="13" t="s">
        <v>3297</v>
      </c>
      <c r="L2405" s="13"/>
      <c r="M2405" s="23" t="s">
        <v>277</v>
      </c>
    </row>
    <row r="2406" spans="1:13" ht="19.5" customHeight="1">
      <c r="A2406" s="18">
        <f t="shared" si="38"/>
        <v>2405</v>
      </c>
      <c r="B2406" s="11" t="s">
        <v>3295</v>
      </c>
      <c r="C2406" s="11" t="s">
        <v>96</v>
      </c>
      <c r="D2406" s="11" t="s">
        <v>4099</v>
      </c>
      <c r="E2406" s="11" t="s">
        <v>4100</v>
      </c>
      <c r="F2406" s="11" t="s">
        <v>3497</v>
      </c>
      <c r="G2406" s="11" t="s">
        <v>16</v>
      </c>
      <c r="H2406" s="19" t="str">
        <f>IFERROR(VLOOKUP(Table2[[#This Row], [Ticket]],Okey!A:B,2,0),"")</f>
        <v/>
      </c>
      <c r="I2406" s="11" t="s">
        <v>276</v>
      </c>
      <c r="J2406" s="19" t="e">
        <f>VLOOKUP(Table2[[#This Row], [Author]],People!A:B,2,0)</f>
        <v>#VALUE!</v>
      </c>
      <c r="K2406" s="11" t="s">
        <v>3297</v>
      </c>
      <c r="L2406" s="11"/>
      <c r="M2406" s="20" t="s">
        <v>277</v>
      </c>
    </row>
    <row r="2407" spans="1:13" ht="19.5" customHeight="1">
      <c r="A2407" s="21">
        <f t="shared" si="38"/>
        <v>2406</v>
      </c>
      <c r="B2407" s="13" t="s">
        <v>3295</v>
      </c>
      <c r="C2407" s="13" t="s">
        <v>96</v>
      </c>
      <c r="D2407" s="13" t="s">
        <v>4101</v>
      </c>
      <c r="E2407" s="13" t="s">
        <v>4102</v>
      </c>
      <c r="F2407" s="13" t="s">
        <v>3504</v>
      </c>
      <c r="G2407" s="13" t="s">
        <v>16</v>
      </c>
      <c r="H2407" s="22" t="str">
        <f>IFERROR(VLOOKUP(Table2[[#This Row], [Ticket]],Okey!A:B,2,0),"")</f>
        <v/>
      </c>
      <c r="I2407" s="13" t="s">
        <v>276</v>
      </c>
      <c r="J2407" s="22" t="e">
        <f>VLOOKUP(Table2[[#This Row], [Author]],People!A:B,2,0)</f>
        <v>#VALUE!</v>
      </c>
      <c r="K2407" s="13" t="s">
        <v>3297</v>
      </c>
      <c r="L2407" s="13"/>
      <c r="M2407" s="23" t="s">
        <v>277</v>
      </c>
    </row>
    <row r="2408" spans="1:13" ht="19.5" customHeight="1">
      <c r="A2408" s="18">
        <f t="shared" si="38"/>
        <v>2407</v>
      </c>
      <c r="B2408" s="11" t="s">
        <v>3295</v>
      </c>
      <c r="C2408" s="11" t="s">
        <v>96</v>
      </c>
      <c r="D2408" s="11" t="s">
        <v>4095</v>
      </c>
      <c r="E2408" s="11" t="s">
        <v>4103</v>
      </c>
      <c r="F2408" s="11"/>
      <c r="G2408" s="11" t="s">
        <v>15</v>
      </c>
      <c r="H2408" s="19" t="str">
        <f>IFERROR(VLOOKUP(Table2[[#This Row], [Ticket]],Okey!A:B,2,0),"")</f>
        <v/>
      </c>
      <c r="I2408" s="11" t="s">
        <v>276</v>
      </c>
      <c r="J2408" s="19" t="e">
        <f>VLOOKUP(Table2[[#This Row], [Author]],People!A:B,2,0)</f>
        <v>#VALUE!</v>
      </c>
      <c r="K2408" s="11" t="s">
        <v>3297</v>
      </c>
      <c r="L2408" s="11"/>
      <c r="M2408" s="20" t="s">
        <v>277</v>
      </c>
    </row>
    <row r="2409" spans="1:13" ht="19.5" customHeight="1">
      <c r="A2409" s="21">
        <f t="shared" si="38"/>
        <v>2408</v>
      </c>
      <c r="B2409" s="13" t="s">
        <v>3295</v>
      </c>
      <c r="C2409" s="13" t="s">
        <v>96</v>
      </c>
      <c r="D2409" s="13" t="s">
        <v>4104</v>
      </c>
      <c r="E2409" s="13" t="s">
        <v>4105</v>
      </c>
      <c r="F2409" s="13"/>
      <c r="G2409" s="13" t="s">
        <v>15</v>
      </c>
      <c r="H2409" s="22" t="str">
        <f>IFERROR(VLOOKUP(Table2[[#This Row], [Ticket]],Okey!A:B,2,0),"")</f>
        <v/>
      </c>
      <c r="I2409" s="13" t="s">
        <v>276</v>
      </c>
      <c r="J2409" s="22" t="e">
        <f>VLOOKUP(Table2[[#This Row], [Author]],People!A:B,2,0)</f>
        <v>#VALUE!</v>
      </c>
      <c r="K2409" s="13" t="s">
        <v>3297</v>
      </c>
      <c r="L2409" s="13"/>
      <c r="M2409" s="23" t="s">
        <v>277</v>
      </c>
    </row>
    <row r="2410" spans="1:13" ht="19.5" customHeight="1">
      <c r="A2410" s="18">
        <f t="shared" si="38"/>
        <v>2409</v>
      </c>
      <c r="B2410" s="11" t="s">
        <v>3295</v>
      </c>
      <c r="C2410" s="11" t="s">
        <v>96</v>
      </c>
      <c r="D2410" s="11" t="s">
        <v>4106</v>
      </c>
      <c r="E2410" s="11" t="s">
        <v>4107</v>
      </c>
      <c r="F2410" s="11"/>
      <c r="G2410" s="11" t="s">
        <v>15</v>
      </c>
      <c r="H2410" s="19" t="str">
        <f>IFERROR(VLOOKUP(Table2[[#This Row], [Ticket]],Okey!A:B,2,0),"")</f>
        <v/>
      </c>
      <c r="I2410" s="11" t="s">
        <v>276</v>
      </c>
      <c r="J2410" s="19" t="e">
        <f>VLOOKUP(Table2[[#This Row], [Author]],People!A:B,2,0)</f>
        <v>#VALUE!</v>
      </c>
      <c r="K2410" s="11" t="s">
        <v>3297</v>
      </c>
      <c r="L2410" s="11"/>
      <c r="M2410" s="20" t="s">
        <v>277</v>
      </c>
    </row>
    <row r="2411" spans="1:13" ht="19.5" customHeight="1">
      <c r="A2411" s="21">
        <f t="shared" si="38"/>
        <v>2410</v>
      </c>
      <c r="B2411" s="13" t="s">
        <v>3295</v>
      </c>
      <c r="C2411" s="13" t="s">
        <v>96</v>
      </c>
      <c r="D2411" s="13" t="s">
        <v>4108</v>
      </c>
      <c r="E2411" s="13" t="s">
        <v>4109</v>
      </c>
      <c r="F2411" s="13"/>
      <c r="G2411" s="13" t="s">
        <v>15</v>
      </c>
      <c r="H2411" s="22" t="str">
        <f>IFERROR(VLOOKUP(Table2[[#This Row], [Ticket]],Okey!A:B,2,0),"")</f>
        <v/>
      </c>
      <c r="I2411" s="13" t="s">
        <v>276</v>
      </c>
      <c r="J2411" s="22" t="e">
        <f>VLOOKUP(Table2[[#This Row], [Author]],People!A:B,2,0)</f>
        <v>#VALUE!</v>
      </c>
      <c r="K2411" s="13" t="s">
        <v>3297</v>
      </c>
      <c r="L2411" s="13"/>
      <c r="M2411" s="23" t="s">
        <v>277</v>
      </c>
    </row>
    <row r="2412" spans="1:13" ht="19.5" customHeight="1">
      <c r="A2412" s="18">
        <f t="shared" si="38"/>
        <v>2411</v>
      </c>
      <c r="B2412" s="11" t="s">
        <v>3295</v>
      </c>
      <c r="C2412" s="11" t="s">
        <v>96</v>
      </c>
      <c r="D2412" s="11" t="s">
        <v>4110</v>
      </c>
      <c r="E2412" s="11" t="s">
        <v>4111</v>
      </c>
      <c r="F2412" s="11"/>
      <c r="G2412" s="11" t="s">
        <v>15</v>
      </c>
      <c r="H2412" s="19" t="str">
        <f>IFERROR(VLOOKUP(Table2[[#This Row], [Ticket]],Okey!A:B,2,0),"")</f>
        <v/>
      </c>
      <c r="I2412" s="11" t="s">
        <v>276</v>
      </c>
      <c r="J2412" s="19" t="e">
        <f>VLOOKUP(Table2[[#This Row], [Author]],People!A:B,2,0)</f>
        <v>#VALUE!</v>
      </c>
      <c r="K2412" s="11" t="s">
        <v>3297</v>
      </c>
      <c r="L2412" s="11"/>
      <c r="M2412" s="20" t="s">
        <v>277</v>
      </c>
    </row>
    <row r="2413" spans="1:13" ht="19.5" customHeight="1">
      <c r="A2413" s="21">
        <f t="shared" si="38"/>
        <v>2412</v>
      </c>
      <c r="B2413" s="13" t="s">
        <v>3295</v>
      </c>
      <c r="C2413" s="13" t="s">
        <v>96</v>
      </c>
      <c r="D2413" s="13" t="s">
        <v>4112</v>
      </c>
      <c r="E2413" s="13" t="s">
        <v>4113</v>
      </c>
      <c r="F2413" s="13"/>
      <c r="G2413" s="13" t="s">
        <v>15</v>
      </c>
      <c r="H2413" s="22" t="str">
        <f>IFERROR(VLOOKUP(Table2[[#This Row], [Ticket]],Okey!A:B,2,0),"")</f>
        <v/>
      </c>
      <c r="I2413" s="13" t="s">
        <v>276</v>
      </c>
      <c r="J2413" s="22" t="e">
        <f>VLOOKUP(Table2[[#This Row], [Author]],People!A:B,2,0)</f>
        <v>#VALUE!</v>
      </c>
      <c r="K2413" s="13" t="s">
        <v>3297</v>
      </c>
      <c r="L2413" s="13"/>
      <c r="M2413" s="23" t="s">
        <v>277</v>
      </c>
    </row>
    <row r="2414" spans="1:13" ht="19.5" customHeight="1">
      <c r="A2414" s="18">
        <f t="shared" si="38"/>
        <v>2413</v>
      </c>
      <c r="B2414" s="11" t="s">
        <v>3295</v>
      </c>
      <c r="C2414" s="11" t="s">
        <v>96</v>
      </c>
      <c r="D2414" s="11" t="s">
        <v>3560</v>
      </c>
      <c r="E2414" s="11" t="s">
        <v>4114</v>
      </c>
      <c r="F2414" s="11"/>
      <c r="G2414" s="11" t="s">
        <v>15</v>
      </c>
      <c r="H2414" s="19" t="str">
        <f>IFERROR(VLOOKUP(Table2[[#This Row], [Ticket]],Okey!A:B,2,0),"")</f>
        <v/>
      </c>
      <c r="I2414" s="11" t="s">
        <v>276</v>
      </c>
      <c r="J2414" s="19" t="e">
        <f>VLOOKUP(Table2[[#This Row], [Author]],People!A:B,2,0)</f>
        <v>#VALUE!</v>
      </c>
      <c r="K2414" s="11" t="s">
        <v>3297</v>
      </c>
      <c r="L2414" s="11"/>
      <c r="M2414" s="20" t="s">
        <v>277</v>
      </c>
    </row>
    <row r="2415" spans="1:13" ht="19.5" customHeight="1">
      <c r="A2415" s="21">
        <f t="shared" si="38"/>
        <v>2414</v>
      </c>
      <c r="B2415" s="13" t="s">
        <v>3295</v>
      </c>
      <c r="C2415" s="13" t="s">
        <v>96</v>
      </c>
      <c r="D2415" s="13" t="s">
        <v>4115</v>
      </c>
      <c r="E2415" s="13" t="s">
        <v>4116</v>
      </c>
      <c r="F2415" s="13"/>
      <c r="G2415" s="13" t="s">
        <v>15</v>
      </c>
      <c r="H2415" s="22" t="str">
        <f>IFERROR(VLOOKUP(Table2[[#This Row], [Ticket]],Okey!A:B,2,0),"")</f>
        <v/>
      </c>
      <c r="I2415" s="13" t="s">
        <v>276</v>
      </c>
      <c r="J2415" s="22" t="e">
        <f>VLOOKUP(Table2[[#This Row], [Author]],People!A:B,2,0)</f>
        <v>#VALUE!</v>
      </c>
      <c r="K2415" s="13" t="s">
        <v>3297</v>
      </c>
      <c r="L2415" s="13"/>
      <c r="M2415" s="23" t="s">
        <v>277</v>
      </c>
    </row>
    <row r="2416" spans="1:13" ht="19.5" customHeight="1">
      <c r="A2416" s="18">
        <f t="shared" si="38"/>
        <v>2415</v>
      </c>
      <c r="B2416" s="11" t="s">
        <v>3295</v>
      </c>
      <c r="C2416" s="11" t="s">
        <v>96</v>
      </c>
      <c r="D2416" s="11" t="s">
        <v>4117</v>
      </c>
      <c r="E2416" s="11" t="s">
        <v>4118</v>
      </c>
      <c r="F2416" s="11"/>
      <c r="G2416" s="11" t="s">
        <v>15</v>
      </c>
      <c r="H2416" s="19" t="str">
        <f>IFERROR(VLOOKUP(Table2[[#This Row], [Ticket]],Okey!A:B,2,0),"")</f>
        <v/>
      </c>
      <c r="I2416" s="11" t="s">
        <v>276</v>
      </c>
      <c r="J2416" s="19" t="e">
        <f>VLOOKUP(Table2[[#This Row], [Author]],People!A:B,2,0)</f>
        <v>#VALUE!</v>
      </c>
      <c r="K2416" s="11" t="s">
        <v>3297</v>
      </c>
      <c r="L2416" s="11"/>
      <c r="M2416" s="20" t="s">
        <v>277</v>
      </c>
    </row>
    <row r="2417" spans="1:13" ht="19.5" customHeight="1">
      <c r="A2417" s="21">
        <f t="shared" si="38"/>
        <v>2416</v>
      </c>
      <c r="B2417" s="13" t="s">
        <v>3295</v>
      </c>
      <c r="C2417" s="13" t="s">
        <v>96</v>
      </c>
      <c r="D2417" s="13" t="s">
        <v>4119</v>
      </c>
      <c r="E2417" s="13" t="s">
        <v>4120</v>
      </c>
      <c r="F2417" s="13"/>
      <c r="G2417" s="13" t="s">
        <v>15</v>
      </c>
      <c r="H2417" s="22" t="str">
        <f>IFERROR(VLOOKUP(Table2[[#This Row], [Ticket]],Okey!A:B,2,0),"")</f>
        <v/>
      </c>
      <c r="I2417" s="13" t="s">
        <v>276</v>
      </c>
      <c r="J2417" s="22" t="e">
        <f>VLOOKUP(Table2[[#This Row], [Author]],People!A:B,2,0)</f>
        <v>#VALUE!</v>
      </c>
      <c r="K2417" s="13" t="s">
        <v>3297</v>
      </c>
      <c r="L2417" s="13"/>
      <c r="M2417" s="23" t="s">
        <v>277</v>
      </c>
    </row>
    <row r="2418" spans="1:13" ht="19.5" customHeight="1">
      <c r="A2418" s="18">
        <f t="shared" si="38"/>
        <v>2417</v>
      </c>
      <c r="B2418" s="11" t="s">
        <v>3295</v>
      </c>
      <c r="C2418" s="11" t="s">
        <v>96</v>
      </c>
      <c r="D2418" s="11" t="s">
        <v>4121</v>
      </c>
      <c r="E2418" s="11" t="s">
        <v>4122</v>
      </c>
      <c r="F2418" s="11"/>
      <c r="G2418" s="11" t="s">
        <v>15</v>
      </c>
      <c r="H2418" s="19" t="str">
        <f>IFERROR(VLOOKUP(Table2[[#This Row], [Ticket]],Okey!A:B,2,0),"")</f>
        <v/>
      </c>
      <c r="I2418" s="11" t="s">
        <v>276</v>
      </c>
      <c r="J2418" s="19" t="e">
        <f>VLOOKUP(Table2[[#This Row], [Author]],People!A:B,2,0)</f>
        <v>#VALUE!</v>
      </c>
      <c r="K2418" s="11" t="s">
        <v>3297</v>
      </c>
      <c r="L2418" s="11"/>
      <c r="M2418" s="20" t="s">
        <v>277</v>
      </c>
    </row>
    <row r="2419" spans="1:13" ht="19.5" customHeight="1">
      <c r="A2419" s="21">
        <f t="shared" si="38"/>
        <v>2418</v>
      </c>
      <c r="B2419" s="13" t="s">
        <v>3295</v>
      </c>
      <c r="C2419" s="13" t="s">
        <v>96</v>
      </c>
      <c r="D2419" s="13" t="s">
        <v>4123</v>
      </c>
      <c r="E2419" s="13" t="s">
        <v>4124</v>
      </c>
      <c r="F2419" s="13"/>
      <c r="G2419" s="13" t="s">
        <v>15</v>
      </c>
      <c r="H2419" s="22" t="str">
        <f>IFERROR(VLOOKUP(Table2[[#This Row], [Ticket]],Okey!A:B,2,0),"")</f>
        <v/>
      </c>
      <c r="I2419" s="13" t="s">
        <v>276</v>
      </c>
      <c r="J2419" s="22" t="e">
        <f>VLOOKUP(Table2[[#This Row], [Author]],People!A:B,2,0)</f>
        <v>#VALUE!</v>
      </c>
      <c r="K2419" s="13" t="s">
        <v>3297</v>
      </c>
      <c r="L2419" s="13"/>
      <c r="M2419" s="23" t="s">
        <v>277</v>
      </c>
    </row>
    <row r="2420" spans="1:13" ht="19.5" customHeight="1">
      <c r="A2420" s="18">
        <f t="shared" si="38"/>
        <v>2419</v>
      </c>
      <c r="B2420" s="11" t="s">
        <v>3295</v>
      </c>
      <c r="C2420" s="11" t="s">
        <v>96</v>
      </c>
      <c r="D2420" s="11" t="s">
        <v>3590</v>
      </c>
      <c r="E2420" s="11" t="s">
        <v>4125</v>
      </c>
      <c r="F2420" s="11"/>
      <c r="G2420" s="11" t="s">
        <v>15</v>
      </c>
      <c r="H2420" s="19" t="str">
        <f>IFERROR(VLOOKUP(Table2[[#This Row], [Ticket]],Okey!A:B,2,0),"")</f>
        <v/>
      </c>
      <c r="I2420" s="11" t="s">
        <v>276</v>
      </c>
      <c r="J2420" s="19" t="e">
        <f>VLOOKUP(Table2[[#This Row], [Author]],People!A:B,2,0)</f>
        <v>#VALUE!</v>
      </c>
      <c r="K2420" s="11" t="s">
        <v>3297</v>
      </c>
      <c r="L2420" s="11"/>
      <c r="M2420" s="20" t="s">
        <v>277</v>
      </c>
    </row>
    <row r="2421" spans="1:13" ht="19.5" customHeight="1">
      <c r="A2421" s="21">
        <f t="shared" si="38"/>
        <v>2420</v>
      </c>
      <c r="B2421" s="13" t="s">
        <v>3295</v>
      </c>
      <c r="C2421" s="13" t="s">
        <v>96</v>
      </c>
      <c r="D2421" s="13" t="s">
        <v>3562</v>
      </c>
      <c r="E2421" s="13" t="s">
        <v>4126</v>
      </c>
      <c r="F2421" s="13"/>
      <c r="G2421" s="13" t="s">
        <v>15</v>
      </c>
      <c r="H2421" s="22" t="str">
        <f>IFERROR(VLOOKUP(Table2[[#This Row], [Ticket]],Okey!A:B,2,0),"")</f>
        <v/>
      </c>
      <c r="I2421" s="13" t="s">
        <v>276</v>
      </c>
      <c r="J2421" s="22" t="e">
        <f>VLOOKUP(Table2[[#This Row], [Author]],People!A:B,2,0)</f>
        <v>#VALUE!</v>
      </c>
      <c r="K2421" s="13" t="s">
        <v>3297</v>
      </c>
      <c r="L2421" s="13"/>
      <c r="M2421" s="23" t="s">
        <v>277</v>
      </c>
    </row>
    <row r="2422" spans="1:13" ht="19.5" customHeight="1">
      <c r="A2422" s="18">
        <f t="shared" si="38"/>
        <v>2421</v>
      </c>
      <c r="B2422" s="11" t="s">
        <v>3295</v>
      </c>
      <c r="C2422" s="11" t="s">
        <v>96</v>
      </c>
      <c r="D2422" s="11" t="s">
        <v>3568</v>
      </c>
      <c r="E2422" s="11" t="s">
        <v>4127</v>
      </c>
      <c r="F2422" s="11"/>
      <c r="G2422" s="11" t="s">
        <v>15</v>
      </c>
      <c r="H2422" s="19" t="str">
        <f>IFERROR(VLOOKUP(Table2[[#This Row], [Ticket]],Okey!A:B,2,0),"")</f>
        <v/>
      </c>
      <c r="I2422" s="11" t="s">
        <v>276</v>
      </c>
      <c r="J2422" s="19" t="e">
        <f>VLOOKUP(Table2[[#This Row], [Author]],People!A:B,2,0)</f>
        <v>#VALUE!</v>
      </c>
      <c r="K2422" s="11" t="s">
        <v>3297</v>
      </c>
      <c r="L2422" s="11"/>
      <c r="M2422" s="20" t="s">
        <v>277</v>
      </c>
    </row>
    <row r="2423" spans="1:13" ht="19.5" customHeight="1">
      <c r="A2423" s="21">
        <f t="shared" si="38"/>
        <v>2422</v>
      </c>
      <c r="B2423" s="13" t="s">
        <v>3295</v>
      </c>
      <c r="C2423" s="13" t="s">
        <v>96</v>
      </c>
      <c r="D2423" s="13" t="s">
        <v>3564</v>
      </c>
      <c r="E2423" s="13" t="s">
        <v>4128</v>
      </c>
      <c r="F2423" s="13"/>
      <c r="G2423" s="13" t="s">
        <v>15</v>
      </c>
      <c r="H2423" s="22" t="str">
        <f>IFERROR(VLOOKUP(Table2[[#This Row], [Ticket]],Okey!A:B,2,0),"")</f>
        <v/>
      </c>
      <c r="I2423" s="13" t="s">
        <v>276</v>
      </c>
      <c r="J2423" s="22" t="e">
        <f>VLOOKUP(Table2[[#This Row], [Author]],People!A:B,2,0)</f>
        <v>#VALUE!</v>
      </c>
      <c r="K2423" s="13" t="s">
        <v>3297</v>
      </c>
      <c r="L2423" s="13"/>
      <c r="M2423" s="23" t="s">
        <v>277</v>
      </c>
    </row>
    <row r="2424" spans="1:13" ht="19.5" customHeight="1">
      <c r="A2424" s="18">
        <f t="shared" si="38"/>
        <v>2423</v>
      </c>
      <c r="B2424" s="11" t="s">
        <v>3295</v>
      </c>
      <c r="C2424" s="11" t="s">
        <v>96</v>
      </c>
      <c r="D2424" s="11" t="s">
        <v>3971</v>
      </c>
      <c r="E2424" s="11" t="s">
        <v>4129</v>
      </c>
      <c r="F2424" s="11"/>
      <c r="G2424" s="11" t="s">
        <v>15</v>
      </c>
      <c r="H2424" s="19" t="str">
        <f>IFERROR(VLOOKUP(Table2[[#This Row], [Ticket]],Okey!A:B,2,0),"")</f>
        <v/>
      </c>
      <c r="I2424" s="11" t="s">
        <v>276</v>
      </c>
      <c r="J2424" s="19" t="e">
        <f>VLOOKUP(Table2[[#This Row], [Author]],People!A:B,2,0)</f>
        <v>#VALUE!</v>
      </c>
      <c r="K2424" s="11" t="s">
        <v>3297</v>
      </c>
      <c r="L2424" s="11"/>
      <c r="M2424" s="20" t="s">
        <v>277</v>
      </c>
    </row>
    <row r="2425" spans="1:13" ht="19.5" customHeight="1">
      <c r="A2425" s="21">
        <f t="shared" si="38"/>
        <v>2424</v>
      </c>
      <c r="B2425" s="13" t="s">
        <v>3295</v>
      </c>
      <c r="C2425" s="13" t="s">
        <v>96</v>
      </c>
      <c r="D2425" s="13" t="s">
        <v>3519</v>
      </c>
      <c r="E2425" s="13" t="s">
        <v>4130</v>
      </c>
      <c r="F2425" s="13"/>
      <c r="G2425" s="13" t="s">
        <v>15</v>
      </c>
      <c r="H2425" s="22" t="str">
        <f>IFERROR(VLOOKUP(Table2[[#This Row], [Ticket]],Okey!A:B,2,0),"")</f>
        <v/>
      </c>
      <c r="I2425" s="13" t="s">
        <v>276</v>
      </c>
      <c r="J2425" s="22" t="e">
        <f>VLOOKUP(Table2[[#This Row], [Author]],People!A:B,2,0)</f>
        <v>#VALUE!</v>
      </c>
      <c r="K2425" s="13" t="s">
        <v>3297</v>
      </c>
      <c r="L2425" s="13"/>
      <c r="M2425" s="23" t="s">
        <v>277</v>
      </c>
    </row>
    <row r="2426" spans="1:13" ht="19.5" customHeight="1">
      <c r="A2426" s="18">
        <f t="shared" si="38"/>
        <v>2425</v>
      </c>
      <c r="B2426" s="11" t="s">
        <v>3295</v>
      </c>
      <c r="C2426" s="11" t="s">
        <v>96</v>
      </c>
      <c r="D2426" s="11" t="s">
        <v>3991</v>
      </c>
      <c r="E2426" s="11" t="s">
        <v>4131</v>
      </c>
      <c r="F2426" s="11"/>
      <c r="G2426" s="11" t="s">
        <v>15</v>
      </c>
      <c r="H2426" s="19" t="str">
        <f>IFERROR(VLOOKUP(Table2[[#This Row], [Ticket]],Okey!A:B,2,0),"")</f>
        <v/>
      </c>
      <c r="I2426" s="11" t="s">
        <v>276</v>
      </c>
      <c r="J2426" s="19" t="e">
        <f>VLOOKUP(Table2[[#This Row], [Author]],People!A:B,2,0)</f>
        <v>#VALUE!</v>
      </c>
      <c r="K2426" s="11" t="s">
        <v>3297</v>
      </c>
      <c r="L2426" s="11"/>
      <c r="M2426" s="20" t="s">
        <v>277</v>
      </c>
    </row>
    <row r="2427" spans="1:13" ht="19.5" customHeight="1">
      <c r="A2427" s="21">
        <f t="shared" si="38"/>
        <v>2426</v>
      </c>
      <c r="B2427" s="13" t="s">
        <v>3295</v>
      </c>
      <c r="C2427" s="13" t="s">
        <v>96</v>
      </c>
      <c r="D2427" s="13" t="s">
        <v>3557</v>
      </c>
      <c r="E2427" s="13" t="s">
        <v>4132</v>
      </c>
      <c r="F2427" s="13"/>
      <c r="G2427" s="13" t="s">
        <v>15</v>
      </c>
      <c r="H2427" s="22" t="str">
        <f>IFERROR(VLOOKUP(Table2[[#This Row], [Ticket]],Okey!A:B,2,0),"")</f>
        <v/>
      </c>
      <c r="I2427" s="13" t="s">
        <v>276</v>
      </c>
      <c r="J2427" s="22" t="e">
        <f>VLOOKUP(Table2[[#This Row], [Author]],People!A:B,2,0)</f>
        <v>#VALUE!</v>
      </c>
      <c r="K2427" s="13" t="s">
        <v>3297</v>
      </c>
      <c r="L2427" s="13"/>
      <c r="M2427" s="23" t="s">
        <v>277</v>
      </c>
    </row>
    <row r="2428" spans="1:13" ht="19.5" customHeight="1">
      <c r="A2428" s="18">
        <f t="shared" si="38"/>
        <v>2427</v>
      </c>
      <c r="B2428" s="11" t="s">
        <v>3295</v>
      </c>
      <c r="C2428" s="11" t="s">
        <v>96</v>
      </c>
      <c r="D2428" s="11" t="s">
        <v>4133</v>
      </c>
      <c r="E2428" s="11" t="s">
        <v>4134</v>
      </c>
      <c r="F2428" s="11"/>
      <c r="G2428" s="11" t="s">
        <v>15</v>
      </c>
      <c r="H2428" s="19" t="str">
        <f>IFERROR(VLOOKUP(Table2[[#This Row], [Ticket]],Okey!A:B,2,0),"")</f>
        <v/>
      </c>
      <c r="I2428" s="11" t="s">
        <v>276</v>
      </c>
      <c r="J2428" s="19" t="e">
        <f>VLOOKUP(Table2[[#This Row], [Author]],People!A:B,2,0)</f>
        <v>#VALUE!</v>
      </c>
      <c r="K2428" s="11" t="s">
        <v>3297</v>
      </c>
      <c r="L2428" s="11"/>
      <c r="M2428" s="20" t="s">
        <v>277</v>
      </c>
    </row>
    <row r="2429" spans="1:13" ht="19.5" customHeight="1">
      <c r="A2429" s="21">
        <f t="shared" si="38"/>
        <v>2428</v>
      </c>
      <c r="B2429" s="13" t="s">
        <v>3295</v>
      </c>
      <c r="C2429" s="13" t="s">
        <v>96</v>
      </c>
      <c r="D2429" s="13" t="s">
        <v>4135</v>
      </c>
      <c r="E2429" s="13" t="s">
        <v>4136</v>
      </c>
      <c r="F2429" s="13"/>
      <c r="G2429" s="13" t="s">
        <v>15</v>
      </c>
      <c r="H2429" s="22" t="str">
        <f>IFERROR(VLOOKUP(Table2[[#This Row], [Ticket]],Okey!A:B,2,0),"")</f>
        <v/>
      </c>
      <c r="I2429" s="13" t="s">
        <v>276</v>
      </c>
      <c r="J2429" s="22" t="e">
        <f>VLOOKUP(Table2[[#This Row], [Author]],People!A:B,2,0)</f>
        <v>#VALUE!</v>
      </c>
      <c r="K2429" s="13" t="s">
        <v>3297</v>
      </c>
      <c r="L2429" s="13"/>
      <c r="M2429" s="23" t="s">
        <v>277</v>
      </c>
    </row>
    <row r="2430" spans="1:13" ht="19.5" customHeight="1">
      <c r="A2430" s="18">
        <f t="shared" si="38"/>
        <v>2429</v>
      </c>
      <c r="B2430" s="11" t="s">
        <v>3295</v>
      </c>
      <c r="C2430" s="11" t="s">
        <v>96</v>
      </c>
      <c r="D2430" s="11" t="s">
        <v>4137</v>
      </c>
      <c r="E2430" s="11" t="s">
        <v>4138</v>
      </c>
      <c r="F2430" s="11"/>
      <c r="G2430" s="11" t="s">
        <v>15</v>
      </c>
      <c r="H2430" s="19" t="str">
        <f>IFERROR(VLOOKUP(Table2[[#This Row], [Ticket]],Okey!A:B,2,0),"")</f>
        <v/>
      </c>
      <c r="I2430" s="11" t="s">
        <v>276</v>
      </c>
      <c r="J2430" s="19" t="e">
        <f>VLOOKUP(Table2[[#This Row], [Author]],People!A:B,2,0)</f>
        <v>#VALUE!</v>
      </c>
      <c r="K2430" s="11" t="s">
        <v>3297</v>
      </c>
      <c r="L2430" s="11"/>
      <c r="M2430" s="20" t="s">
        <v>277</v>
      </c>
    </row>
    <row r="2431" spans="1:13" ht="19.5" customHeight="1">
      <c r="A2431" s="21">
        <f t="shared" si="38"/>
        <v>2430</v>
      </c>
      <c r="B2431" s="13" t="s">
        <v>3295</v>
      </c>
      <c r="C2431" s="13" t="s">
        <v>96</v>
      </c>
      <c r="D2431" s="13" t="s">
        <v>4076</v>
      </c>
      <c r="E2431" s="13" t="s">
        <v>4139</v>
      </c>
      <c r="F2431" s="13"/>
      <c r="G2431" s="13" t="s">
        <v>15</v>
      </c>
      <c r="H2431" s="22" t="str">
        <f>IFERROR(VLOOKUP(Table2[[#This Row], [Ticket]],Okey!A:B,2,0),"")</f>
        <v/>
      </c>
      <c r="I2431" s="13" t="s">
        <v>276</v>
      </c>
      <c r="J2431" s="22" t="e">
        <f>VLOOKUP(Table2[[#This Row], [Author]],People!A:B,2,0)</f>
        <v>#VALUE!</v>
      </c>
      <c r="K2431" s="13" t="s">
        <v>3297</v>
      </c>
      <c r="L2431" s="13"/>
      <c r="M2431" s="23" t="s">
        <v>277</v>
      </c>
    </row>
    <row r="2432" spans="1:13" ht="19.5" customHeight="1">
      <c r="A2432" s="18">
        <f t="shared" si="38"/>
        <v>2431</v>
      </c>
      <c r="B2432" s="11" t="s">
        <v>3295</v>
      </c>
      <c r="C2432" s="11" t="s">
        <v>96</v>
      </c>
      <c r="D2432" s="11" t="s">
        <v>4140</v>
      </c>
      <c r="E2432" s="11" t="s">
        <v>4141</v>
      </c>
      <c r="F2432" s="11"/>
      <c r="G2432" s="11" t="s">
        <v>15</v>
      </c>
      <c r="H2432" s="19" t="str">
        <f>IFERROR(VLOOKUP(Table2[[#This Row], [Ticket]],Okey!A:B,2,0),"")</f>
        <v/>
      </c>
      <c r="I2432" s="11" t="s">
        <v>276</v>
      </c>
      <c r="J2432" s="19" t="e">
        <f>VLOOKUP(Table2[[#This Row], [Author]],People!A:B,2,0)</f>
        <v>#VALUE!</v>
      </c>
      <c r="K2432" s="11" t="s">
        <v>3297</v>
      </c>
      <c r="L2432" s="11"/>
      <c r="M2432" s="20" t="s">
        <v>277</v>
      </c>
    </row>
    <row r="2433" spans="1:13" ht="19.5" customHeight="1">
      <c r="A2433" s="21">
        <f t="shared" si="38"/>
        <v>2432</v>
      </c>
      <c r="B2433" s="13" t="s">
        <v>3295</v>
      </c>
      <c r="C2433" s="13" t="s">
        <v>96</v>
      </c>
      <c r="D2433" s="13" t="s">
        <v>4142</v>
      </c>
      <c r="E2433" s="13" t="s">
        <v>4143</v>
      </c>
      <c r="F2433" s="13"/>
      <c r="G2433" s="13" t="s">
        <v>15</v>
      </c>
      <c r="H2433" s="22" t="str">
        <f>IFERROR(VLOOKUP(Table2[[#This Row], [Ticket]],Okey!A:B,2,0),"")</f>
        <v/>
      </c>
      <c r="I2433" s="13" t="s">
        <v>276</v>
      </c>
      <c r="J2433" s="22" t="e">
        <f>VLOOKUP(Table2[[#This Row], [Author]],People!A:B,2,0)</f>
        <v>#VALUE!</v>
      </c>
      <c r="K2433" s="13" t="s">
        <v>3297</v>
      </c>
      <c r="L2433" s="13"/>
      <c r="M2433" s="23" t="s">
        <v>277</v>
      </c>
    </row>
    <row r="2434" spans="1:13" ht="19.5" customHeight="1">
      <c r="A2434" s="18">
        <f t="shared" si="38"/>
        <v>2433</v>
      </c>
      <c r="B2434" s="11" t="s">
        <v>3295</v>
      </c>
      <c r="C2434" s="11" t="s">
        <v>96</v>
      </c>
      <c r="D2434" s="11" t="s">
        <v>4144</v>
      </c>
      <c r="E2434" s="11" t="s">
        <v>4145</v>
      </c>
      <c r="F2434" s="11"/>
      <c r="G2434" s="11" t="s">
        <v>15</v>
      </c>
      <c r="H2434" s="19" t="str">
        <f>IFERROR(VLOOKUP(Table2[[#This Row], [Ticket]],Okey!A:B,2,0),"")</f>
        <v/>
      </c>
      <c r="I2434" s="11" t="s">
        <v>276</v>
      </c>
      <c r="J2434" s="19" t="e">
        <f>VLOOKUP(Table2[[#This Row], [Author]],People!A:B,2,0)</f>
        <v>#VALUE!</v>
      </c>
      <c r="K2434" s="11" t="s">
        <v>3297</v>
      </c>
      <c r="L2434" s="11"/>
      <c r="M2434" s="20" t="s">
        <v>277</v>
      </c>
    </row>
    <row r="2435" spans="1:13" ht="19.5" customHeight="1">
      <c r="A2435" s="21">
        <f t="shared" si="38"/>
        <v>2434</v>
      </c>
      <c r="B2435" s="13" t="s">
        <v>3295</v>
      </c>
      <c r="C2435" s="13" t="s">
        <v>96</v>
      </c>
      <c r="D2435" s="13" t="s">
        <v>4146</v>
      </c>
      <c r="E2435" s="13" t="s">
        <v>4147</v>
      </c>
      <c r="F2435" s="13"/>
      <c r="G2435" s="13" t="s">
        <v>15</v>
      </c>
      <c r="H2435" s="22" t="str">
        <f>IFERROR(VLOOKUP(Table2[[#This Row], [Ticket]],Okey!A:B,2,0),"")</f>
        <v/>
      </c>
      <c r="I2435" s="13" t="s">
        <v>276</v>
      </c>
      <c r="J2435" s="22" t="e">
        <f>VLOOKUP(Table2[[#This Row], [Author]],People!A:B,2,0)</f>
        <v>#VALUE!</v>
      </c>
      <c r="K2435" s="13" t="s">
        <v>3297</v>
      </c>
      <c r="L2435" s="13"/>
      <c r="M2435" s="23" t="s">
        <v>277</v>
      </c>
    </row>
    <row r="2436" spans="1:13" ht="19.5" customHeight="1">
      <c r="A2436" s="18">
        <f t="shared" si="38"/>
        <v>2435</v>
      </c>
      <c r="B2436" s="11" t="s">
        <v>3295</v>
      </c>
      <c r="C2436" s="11" t="s">
        <v>96</v>
      </c>
      <c r="D2436" s="11" t="s">
        <v>4148</v>
      </c>
      <c r="E2436" s="11" t="s">
        <v>4149</v>
      </c>
      <c r="F2436" s="11"/>
      <c r="G2436" s="11" t="s">
        <v>15</v>
      </c>
      <c r="H2436" s="19" t="str">
        <f>IFERROR(VLOOKUP(Table2[[#This Row], [Ticket]],Okey!A:B,2,0),"")</f>
        <v/>
      </c>
      <c r="I2436" s="11" t="s">
        <v>276</v>
      </c>
      <c r="J2436" s="19" t="e">
        <f>VLOOKUP(Table2[[#This Row], [Author]],People!A:B,2,0)</f>
        <v>#VALUE!</v>
      </c>
      <c r="K2436" s="11" t="s">
        <v>3297</v>
      </c>
      <c r="L2436" s="11"/>
      <c r="M2436" s="20" t="s">
        <v>277</v>
      </c>
    </row>
    <row r="2437" spans="1:13" ht="19.5" customHeight="1">
      <c r="A2437" s="21">
        <f t="shared" si="38"/>
        <v>2436</v>
      </c>
      <c r="B2437" s="13" t="s">
        <v>3295</v>
      </c>
      <c r="C2437" s="13" t="s">
        <v>96</v>
      </c>
      <c r="D2437" s="13" t="s">
        <v>4150</v>
      </c>
      <c r="E2437" s="13" t="s">
        <v>4151</v>
      </c>
      <c r="F2437" s="13"/>
      <c r="G2437" s="13" t="s">
        <v>15</v>
      </c>
      <c r="H2437" s="22" t="str">
        <f>IFERROR(VLOOKUP(Table2[[#This Row], [Ticket]],Okey!A:B,2,0),"")</f>
        <v/>
      </c>
      <c r="I2437" s="13" t="s">
        <v>276</v>
      </c>
      <c r="J2437" s="22" t="e">
        <f>VLOOKUP(Table2[[#This Row], [Author]],People!A:B,2,0)</f>
        <v>#VALUE!</v>
      </c>
      <c r="K2437" s="13" t="s">
        <v>3297</v>
      </c>
      <c r="L2437" s="13"/>
      <c r="M2437" s="23" t="s">
        <v>277</v>
      </c>
    </row>
    <row r="2438" spans="1:13" ht="19.5" customHeight="1">
      <c r="A2438" s="18">
        <f t="shared" si="38"/>
        <v>2437</v>
      </c>
      <c r="B2438" s="11" t="s">
        <v>3295</v>
      </c>
      <c r="C2438" s="11" t="s">
        <v>96</v>
      </c>
      <c r="D2438" s="11" t="s">
        <v>4152</v>
      </c>
      <c r="E2438" s="11" t="s">
        <v>4153</v>
      </c>
      <c r="F2438" s="11"/>
      <c r="G2438" s="11" t="s">
        <v>15</v>
      </c>
      <c r="H2438" s="19" t="str">
        <f>IFERROR(VLOOKUP(Table2[[#This Row], [Ticket]],Okey!A:B,2,0),"")</f>
        <v/>
      </c>
      <c r="I2438" s="11" t="s">
        <v>276</v>
      </c>
      <c r="J2438" s="19" t="e">
        <f>VLOOKUP(Table2[[#This Row], [Author]],People!A:B,2,0)</f>
        <v>#VALUE!</v>
      </c>
      <c r="K2438" s="11" t="s">
        <v>3297</v>
      </c>
      <c r="L2438" s="11"/>
      <c r="M2438" s="20" t="s">
        <v>277</v>
      </c>
    </row>
    <row r="2439" spans="1:13" ht="19.5" customHeight="1">
      <c r="A2439" s="21">
        <f t="shared" si="38"/>
        <v>2438</v>
      </c>
      <c r="B2439" s="13" t="s">
        <v>3295</v>
      </c>
      <c r="C2439" s="13" t="s">
        <v>96</v>
      </c>
      <c r="D2439" s="13" t="s">
        <v>4154</v>
      </c>
      <c r="E2439" s="13" t="s">
        <v>4155</v>
      </c>
      <c r="F2439" s="13"/>
      <c r="G2439" s="13" t="s">
        <v>15</v>
      </c>
      <c r="H2439" s="22" t="str">
        <f>IFERROR(VLOOKUP(Table2[[#This Row], [Ticket]],Okey!A:B,2,0),"")</f>
        <v/>
      </c>
      <c r="I2439" s="13" t="s">
        <v>276</v>
      </c>
      <c r="J2439" s="22" t="e">
        <f>VLOOKUP(Table2[[#This Row], [Author]],People!A:B,2,0)</f>
        <v>#VALUE!</v>
      </c>
      <c r="K2439" s="13" t="s">
        <v>3297</v>
      </c>
      <c r="L2439" s="13"/>
      <c r="M2439" s="23" t="s">
        <v>277</v>
      </c>
    </row>
    <row r="2440" spans="1:13" ht="19.5" customHeight="1">
      <c r="A2440" s="18">
        <f t="shared" si="38"/>
        <v>2439</v>
      </c>
      <c r="B2440" s="11" t="s">
        <v>3295</v>
      </c>
      <c r="C2440" s="11" t="s">
        <v>96</v>
      </c>
      <c r="D2440" s="11" t="s">
        <v>4156</v>
      </c>
      <c r="E2440" s="11" t="s">
        <v>4157</v>
      </c>
      <c r="F2440" s="11"/>
      <c r="G2440" s="11" t="s">
        <v>15</v>
      </c>
      <c r="H2440" s="19" t="str">
        <f>IFERROR(VLOOKUP(Table2[[#This Row], [Ticket]],Okey!A:B,2,0),"")</f>
        <v/>
      </c>
      <c r="I2440" s="11" t="s">
        <v>276</v>
      </c>
      <c r="J2440" s="19" t="e">
        <f>VLOOKUP(Table2[[#This Row], [Author]],People!A:B,2,0)</f>
        <v>#VALUE!</v>
      </c>
      <c r="K2440" s="11" t="s">
        <v>3297</v>
      </c>
      <c r="L2440" s="11"/>
      <c r="M2440" s="20" t="s">
        <v>277</v>
      </c>
    </row>
    <row r="2441" spans="1:13" ht="19.5" customHeight="1">
      <c r="A2441" s="21">
        <f t="shared" si="38"/>
        <v>2440</v>
      </c>
      <c r="B2441" s="13" t="s">
        <v>3295</v>
      </c>
      <c r="C2441" s="13" t="s">
        <v>96</v>
      </c>
      <c r="D2441" s="13" t="s">
        <v>4158</v>
      </c>
      <c r="E2441" s="13" t="s">
        <v>4159</v>
      </c>
      <c r="F2441" s="13"/>
      <c r="G2441" s="13" t="s">
        <v>15</v>
      </c>
      <c r="H2441" s="22" t="str">
        <f>IFERROR(VLOOKUP(Table2[[#This Row], [Ticket]],Okey!A:B,2,0),"")</f>
        <v/>
      </c>
      <c r="I2441" s="13" t="s">
        <v>276</v>
      </c>
      <c r="J2441" s="22" t="e">
        <f>VLOOKUP(Table2[[#This Row], [Author]],People!A:B,2,0)</f>
        <v>#VALUE!</v>
      </c>
      <c r="K2441" s="13" t="s">
        <v>3297</v>
      </c>
      <c r="L2441" s="13"/>
      <c r="M2441" s="23" t="s">
        <v>277</v>
      </c>
    </row>
    <row r="2442" spans="1:13" ht="19.5" customHeight="1">
      <c r="A2442" s="18">
        <f t="shared" si="38"/>
        <v>2441</v>
      </c>
      <c r="B2442" s="11" t="s">
        <v>3295</v>
      </c>
      <c r="C2442" s="11" t="s">
        <v>96</v>
      </c>
      <c r="D2442" s="11" t="s">
        <v>4160</v>
      </c>
      <c r="E2442" s="11" t="s">
        <v>4161</v>
      </c>
      <c r="F2442" s="11"/>
      <c r="G2442" s="11" t="s">
        <v>15</v>
      </c>
      <c r="H2442" s="19" t="str">
        <f>IFERROR(VLOOKUP(Table2[[#This Row], [Ticket]],Okey!A:B,2,0),"")</f>
        <v/>
      </c>
      <c r="I2442" s="11" t="s">
        <v>276</v>
      </c>
      <c r="J2442" s="19" t="e">
        <f>VLOOKUP(Table2[[#This Row], [Author]],People!A:B,2,0)</f>
        <v>#VALUE!</v>
      </c>
      <c r="K2442" s="11" t="s">
        <v>3297</v>
      </c>
      <c r="L2442" s="11"/>
      <c r="M2442" s="20" t="s">
        <v>277</v>
      </c>
    </row>
    <row r="2443" spans="1:13" ht="19.5" customHeight="1">
      <c r="A2443" s="21">
        <f t="shared" si="38"/>
        <v>2442</v>
      </c>
      <c r="B2443" s="13" t="s">
        <v>3295</v>
      </c>
      <c r="C2443" s="13" t="s">
        <v>96</v>
      </c>
      <c r="D2443" s="13" t="s">
        <v>4162</v>
      </c>
      <c r="E2443" s="13" t="s">
        <v>4163</v>
      </c>
      <c r="F2443" s="13"/>
      <c r="G2443" s="13" t="s">
        <v>15</v>
      </c>
      <c r="H2443" s="22" t="str">
        <f>IFERROR(VLOOKUP(Table2[[#This Row], [Ticket]],Okey!A:B,2,0),"")</f>
        <v/>
      </c>
      <c r="I2443" s="13" t="s">
        <v>276</v>
      </c>
      <c r="J2443" s="22" t="e">
        <f>VLOOKUP(Table2[[#This Row], [Author]],People!A:B,2,0)</f>
        <v>#VALUE!</v>
      </c>
      <c r="K2443" s="13" t="s">
        <v>3297</v>
      </c>
      <c r="L2443" s="13"/>
      <c r="M2443" s="23" t="s">
        <v>277</v>
      </c>
    </row>
    <row r="2444" spans="1:13" ht="19.5" customHeight="1">
      <c r="A2444" s="18">
        <f t="shared" si="38"/>
        <v>2443</v>
      </c>
      <c r="B2444" s="11" t="s">
        <v>3295</v>
      </c>
      <c r="C2444" s="11" t="s">
        <v>96</v>
      </c>
      <c r="D2444" s="11" t="s">
        <v>4164</v>
      </c>
      <c r="E2444" s="11" t="s">
        <v>4165</v>
      </c>
      <c r="F2444" s="11"/>
      <c r="G2444" s="11" t="s">
        <v>15</v>
      </c>
      <c r="H2444" s="19" t="str">
        <f>IFERROR(VLOOKUP(Table2[[#This Row], [Ticket]],Okey!A:B,2,0),"")</f>
        <v/>
      </c>
      <c r="I2444" s="11" t="s">
        <v>276</v>
      </c>
      <c r="J2444" s="19" t="e">
        <f>VLOOKUP(Table2[[#This Row], [Author]],People!A:B,2,0)</f>
        <v>#VALUE!</v>
      </c>
      <c r="K2444" s="11" t="s">
        <v>3297</v>
      </c>
      <c r="L2444" s="11"/>
      <c r="M2444" s="20" t="s">
        <v>277</v>
      </c>
    </row>
    <row r="2445" spans="1:13" ht="19.5" customHeight="1">
      <c r="A2445" s="21">
        <f t="shared" si="38"/>
        <v>2444</v>
      </c>
      <c r="B2445" s="13" t="s">
        <v>3295</v>
      </c>
      <c r="C2445" s="13" t="s">
        <v>96</v>
      </c>
      <c r="D2445" s="13" t="s">
        <v>4166</v>
      </c>
      <c r="E2445" s="13" t="s">
        <v>4167</v>
      </c>
      <c r="F2445" s="13"/>
      <c r="G2445" s="13" t="s">
        <v>15</v>
      </c>
      <c r="H2445" s="22" t="str">
        <f>IFERROR(VLOOKUP(Table2[[#This Row], [Ticket]],Okey!A:B,2,0),"")</f>
        <v/>
      </c>
      <c r="I2445" s="13" t="s">
        <v>276</v>
      </c>
      <c r="J2445" s="22" t="e">
        <f>VLOOKUP(Table2[[#This Row], [Author]],People!A:B,2,0)</f>
        <v>#VALUE!</v>
      </c>
      <c r="K2445" s="13" t="s">
        <v>3297</v>
      </c>
      <c r="L2445" s="13"/>
      <c r="M2445" s="23" t="s">
        <v>277</v>
      </c>
    </row>
    <row r="2446" spans="1:13" ht="19.5" customHeight="1">
      <c r="A2446" s="18">
        <f t="shared" si="38"/>
        <v>2445</v>
      </c>
      <c r="B2446" s="11" t="s">
        <v>3295</v>
      </c>
      <c r="C2446" s="11" t="s">
        <v>96</v>
      </c>
      <c r="D2446" s="11" t="s">
        <v>4168</v>
      </c>
      <c r="E2446" s="11" t="s">
        <v>4169</v>
      </c>
      <c r="F2446" s="11"/>
      <c r="G2446" s="11" t="s">
        <v>15</v>
      </c>
      <c r="H2446" s="19" t="str">
        <f>IFERROR(VLOOKUP(Table2[[#This Row], [Ticket]],Okey!A:B,2,0),"")</f>
        <v/>
      </c>
      <c r="I2446" s="11" t="s">
        <v>276</v>
      </c>
      <c r="J2446" s="19" t="e">
        <f>VLOOKUP(Table2[[#This Row], [Author]],People!A:B,2,0)</f>
        <v>#VALUE!</v>
      </c>
      <c r="K2446" s="11" t="s">
        <v>3297</v>
      </c>
      <c r="L2446" s="11"/>
      <c r="M2446" s="20" t="s">
        <v>277</v>
      </c>
    </row>
    <row r="2447" spans="1:13" ht="19.5" customHeight="1">
      <c r="A2447" s="21">
        <f t="shared" si="38"/>
        <v>2446</v>
      </c>
      <c r="B2447" s="13" t="s">
        <v>3295</v>
      </c>
      <c r="C2447" s="13" t="s">
        <v>96</v>
      </c>
      <c r="D2447" s="13" t="s">
        <v>4170</v>
      </c>
      <c r="E2447" s="13" t="s">
        <v>4171</v>
      </c>
      <c r="F2447" s="13"/>
      <c r="G2447" s="13" t="s">
        <v>15</v>
      </c>
      <c r="H2447" s="22" t="str">
        <f>IFERROR(VLOOKUP(Table2[[#This Row], [Ticket]],Okey!A:B,2,0),"")</f>
        <v/>
      </c>
      <c r="I2447" s="13" t="s">
        <v>276</v>
      </c>
      <c r="J2447" s="22" t="e">
        <f>VLOOKUP(Table2[[#This Row], [Author]],People!A:B,2,0)</f>
        <v>#VALUE!</v>
      </c>
      <c r="K2447" s="13" t="s">
        <v>3297</v>
      </c>
      <c r="L2447" s="13"/>
      <c r="M2447" s="23" t="s">
        <v>277</v>
      </c>
    </row>
    <row r="2448" spans="1:13" ht="19.5" customHeight="1">
      <c r="A2448" s="18">
        <f t="shared" si="38"/>
        <v>2447</v>
      </c>
      <c r="B2448" s="11" t="s">
        <v>3295</v>
      </c>
      <c r="C2448" s="11" t="s">
        <v>96</v>
      </c>
      <c r="D2448" s="11" t="s">
        <v>4172</v>
      </c>
      <c r="E2448" s="11" t="s">
        <v>4173</v>
      </c>
      <c r="F2448" s="11"/>
      <c r="G2448" s="11" t="s">
        <v>15</v>
      </c>
      <c r="H2448" s="19" t="str">
        <f>IFERROR(VLOOKUP(Table2[[#This Row], [Ticket]],Okey!A:B,2,0),"")</f>
        <v/>
      </c>
      <c r="I2448" s="11" t="s">
        <v>276</v>
      </c>
      <c r="J2448" s="19" t="e">
        <f>VLOOKUP(Table2[[#This Row], [Author]],People!A:B,2,0)</f>
        <v>#VALUE!</v>
      </c>
      <c r="K2448" s="11" t="s">
        <v>3297</v>
      </c>
      <c r="L2448" s="11"/>
      <c r="M2448" s="20" t="s">
        <v>277</v>
      </c>
    </row>
    <row r="2449" spans="1:13" ht="19.5" customHeight="1">
      <c r="A2449" s="21">
        <f t="shared" si="38"/>
        <v>2448</v>
      </c>
      <c r="B2449" s="13" t="s">
        <v>3295</v>
      </c>
      <c r="C2449" s="13" t="s">
        <v>95</v>
      </c>
      <c r="D2449" s="13" t="s">
        <v>4174</v>
      </c>
      <c r="E2449" s="13" t="s">
        <v>4175</v>
      </c>
      <c r="F2449" s="13" t="s">
        <v>4176</v>
      </c>
      <c r="G2449" s="13" t="s">
        <v>14</v>
      </c>
      <c r="H2449" s="22" t="str">
        <f>IFERROR(VLOOKUP(Table2[[#This Row], [Ticket]],Okey!A:B,2,0),"")</f>
        <v/>
      </c>
      <c r="I2449" s="13" t="s">
        <v>276</v>
      </c>
      <c r="J2449" s="22" t="e">
        <f>VLOOKUP(Table2[[#This Row], [Author]],People!A:B,2,0)</f>
        <v>#VALUE!</v>
      </c>
      <c r="K2449" s="13" t="s">
        <v>3297</v>
      </c>
      <c r="L2449" s="13"/>
      <c r="M2449" s="23" t="s">
        <v>277</v>
      </c>
    </row>
    <row r="2450" spans="1:13" ht="19.5" customHeight="1">
      <c r="A2450" s="18">
        <f t="shared" si="38"/>
        <v>2449</v>
      </c>
      <c r="B2450" s="11" t="s">
        <v>3295</v>
      </c>
      <c r="C2450" s="11" t="s">
        <v>95</v>
      </c>
      <c r="D2450" s="11" t="s">
        <v>3628</v>
      </c>
      <c r="E2450" s="11" t="s">
        <v>4177</v>
      </c>
      <c r="F2450" s="11" t="s">
        <v>4178</v>
      </c>
      <c r="G2450" s="11" t="s">
        <v>14</v>
      </c>
      <c r="H2450" s="19" t="str">
        <f>IFERROR(VLOOKUP(Table2[[#This Row], [Ticket]],Okey!A:B,2,0),"")</f>
        <v/>
      </c>
      <c r="I2450" s="11" t="s">
        <v>276</v>
      </c>
      <c r="J2450" s="19" t="e">
        <f>VLOOKUP(Table2[[#This Row], [Author]],People!A:B,2,0)</f>
        <v>#VALUE!</v>
      </c>
      <c r="K2450" s="11" t="s">
        <v>3297</v>
      </c>
      <c r="L2450" s="11"/>
      <c r="M2450" s="20" t="s">
        <v>277</v>
      </c>
    </row>
    <row r="2451" spans="1:13" ht="19.5" customHeight="1">
      <c r="A2451" s="21">
        <f t="shared" si="38"/>
        <v>2450</v>
      </c>
      <c r="B2451" s="13" t="s">
        <v>3295</v>
      </c>
      <c r="C2451" s="13" t="s">
        <v>95</v>
      </c>
      <c r="D2451" s="13" t="s">
        <v>3642</v>
      </c>
      <c r="E2451" s="13" t="s">
        <v>4179</v>
      </c>
      <c r="F2451" s="13" t="s">
        <v>4180</v>
      </c>
      <c r="G2451" s="13" t="s">
        <v>14</v>
      </c>
      <c r="H2451" s="22" t="str">
        <f>IFERROR(VLOOKUP(Table2[[#This Row], [Ticket]],Okey!A:B,2,0),"")</f>
        <v/>
      </c>
      <c r="I2451" s="13" t="s">
        <v>276</v>
      </c>
      <c r="J2451" s="22" t="e">
        <f>VLOOKUP(Table2[[#This Row], [Author]],People!A:B,2,0)</f>
        <v>#VALUE!</v>
      </c>
      <c r="K2451" s="13" t="s">
        <v>3297</v>
      </c>
      <c r="L2451" s="13"/>
      <c r="M2451" s="23" t="s">
        <v>277</v>
      </c>
    </row>
    <row r="2452" spans="1:13" ht="19.5" customHeight="1">
      <c r="A2452" s="18">
        <f t="shared" si="38"/>
        <v>2451</v>
      </c>
      <c r="B2452" s="11" t="s">
        <v>3295</v>
      </c>
      <c r="C2452" s="11" t="s">
        <v>95</v>
      </c>
      <c r="D2452" s="11" t="s">
        <v>3630</v>
      </c>
      <c r="E2452" s="11" t="s">
        <v>4181</v>
      </c>
      <c r="F2452" s="11" t="s">
        <v>4182</v>
      </c>
      <c r="G2452" s="11" t="s">
        <v>14</v>
      </c>
      <c r="H2452" s="19" t="str">
        <f>IFERROR(VLOOKUP(Table2[[#This Row], [Ticket]],Okey!A:B,2,0),"")</f>
        <v/>
      </c>
      <c r="I2452" s="11" t="s">
        <v>276</v>
      </c>
      <c r="J2452" s="19" t="e">
        <f>VLOOKUP(Table2[[#This Row], [Author]],People!A:B,2,0)</f>
        <v>#VALUE!</v>
      </c>
      <c r="K2452" s="11" t="s">
        <v>3297</v>
      </c>
      <c r="L2452" s="11"/>
      <c r="M2452" s="20" t="s">
        <v>277</v>
      </c>
    </row>
    <row r="2453" spans="1:13" ht="19.5" customHeight="1">
      <c r="A2453" s="21">
        <f t="shared" si="38"/>
        <v>2452</v>
      </c>
      <c r="B2453" s="13" t="s">
        <v>3295</v>
      </c>
      <c r="C2453" s="13" t="s">
        <v>95</v>
      </c>
      <c r="D2453" s="13" t="s">
        <v>3632</v>
      </c>
      <c r="E2453" s="13" t="s">
        <v>4183</v>
      </c>
      <c r="F2453" s="13" t="s">
        <v>4184</v>
      </c>
      <c r="G2453" s="13" t="s">
        <v>14</v>
      </c>
      <c r="H2453" s="22" t="str">
        <f>IFERROR(VLOOKUP(Table2[[#This Row], [Ticket]],Okey!A:B,2,0),"")</f>
        <v/>
      </c>
      <c r="I2453" s="13" t="s">
        <v>276</v>
      </c>
      <c r="J2453" s="22" t="e">
        <f>VLOOKUP(Table2[[#This Row], [Author]],People!A:B,2,0)</f>
        <v>#VALUE!</v>
      </c>
      <c r="K2453" s="13" t="s">
        <v>3297</v>
      </c>
      <c r="L2453" s="13"/>
      <c r="M2453" s="23" t="s">
        <v>277</v>
      </c>
    </row>
    <row r="2454" spans="1:13" ht="19.5" customHeight="1">
      <c r="A2454" s="18">
        <f t="shared" si="38"/>
        <v>2453</v>
      </c>
      <c r="B2454" s="11" t="s">
        <v>3295</v>
      </c>
      <c r="C2454" s="11" t="s">
        <v>95</v>
      </c>
      <c r="D2454" s="11" t="s">
        <v>3641</v>
      </c>
      <c r="E2454" s="11" t="s">
        <v>4185</v>
      </c>
      <c r="F2454" s="11" t="s">
        <v>3642</v>
      </c>
      <c r="G2454" s="11" t="s">
        <v>16</v>
      </c>
      <c r="H2454" s="19" t="str">
        <f>IFERROR(VLOOKUP(Table2[[#This Row], [Ticket]],Okey!A:B,2,0),"")</f>
        <v/>
      </c>
      <c r="I2454" s="11" t="s">
        <v>276</v>
      </c>
      <c r="J2454" s="19" t="e">
        <f>VLOOKUP(Table2[[#This Row], [Author]],People!A:B,2,0)</f>
        <v>#VALUE!</v>
      </c>
      <c r="K2454" s="11" t="s">
        <v>3297</v>
      </c>
      <c r="L2454" s="11"/>
      <c r="M2454" s="20" t="s">
        <v>277</v>
      </c>
    </row>
    <row r="2455" spans="1:13" ht="19.5" customHeight="1">
      <c r="A2455" s="21">
        <f t="shared" si="38"/>
        <v>2454</v>
      </c>
      <c r="B2455" s="13" t="s">
        <v>3295</v>
      </c>
      <c r="C2455" s="13" t="s">
        <v>95</v>
      </c>
      <c r="D2455" s="13" t="s">
        <v>4176</v>
      </c>
      <c r="E2455" s="13" t="s">
        <v>4186</v>
      </c>
      <c r="F2455" s="13"/>
      <c r="G2455" s="13" t="s">
        <v>15</v>
      </c>
      <c r="H2455" s="22" t="str">
        <f>IFERROR(VLOOKUP(Table2[[#This Row], [Ticket]],Okey!A:B,2,0),"")</f>
        <v/>
      </c>
      <c r="I2455" s="13" t="s">
        <v>276</v>
      </c>
      <c r="J2455" s="22" t="e">
        <f>VLOOKUP(Table2[[#This Row], [Author]],People!A:B,2,0)</f>
        <v>#VALUE!</v>
      </c>
      <c r="K2455" s="13" t="s">
        <v>3297</v>
      </c>
      <c r="L2455" s="13"/>
      <c r="M2455" s="23" t="s">
        <v>277</v>
      </c>
    </row>
    <row r="2456" spans="1:13" ht="19.5" customHeight="1">
      <c r="A2456" s="18">
        <f t="shared" si="38"/>
        <v>2455</v>
      </c>
      <c r="B2456" s="11" t="s">
        <v>3295</v>
      </c>
      <c r="C2456" s="11" t="s">
        <v>95</v>
      </c>
      <c r="D2456" s="11" t="s">
        <v>4187</v>
      </c>
      <c r="E2456" s="11" t="s">
        <v>4188</v>
      </c>
      <c r="F2456" s="11"/>
      <c r="G2456" s="11" t="s">
        <v>15</v>
      </c>
      <c r="H2456" s="19" t="str">
        <f>IFERROR(VLOOKUP(Table2[[#This Row], [Ticket]],Okey!A:B,2,0),"")</f>
        <v/>
      </c>
      <c r="I2456" s="11" t="s">
        <v>276</v>
      </c>
      <c r="J2456" s="19" t="e">
        <f>VLOOKUP(Table2[[#This Row], [Author]],People!A:B,2,0)</f>
        <v>#VALUE!</v>
      </c>
      <c r="K2456" s="11" t="s">
        <v>3297</v>
      </c>
      <c r="L2456" s="11"/>
      <c r="M2456" s="20" t="s">
        <v>277</v>
      </c>
    </row>
    <row r="2457" spans="1:13" ht="19.5" customHeight="1">
      <c r="A2457" s="21">
        <f t="shared" si="38"/>
        <v>2456</v>
      </c>
      <c r="B2457" s="13" t="s">
        <v>3295</v>
      </c>
      <c r="C2457" s="13" t="s">
        <v>95</v>
      </c>
      <c r="D2457" s="13" t="s">
        <v>3626</v>
      </c>
      <c r="E2457" s="13" t="s">
        <v>4189</v>
      </c>
      <c r="F2457" s="13"/>
      <c r="G2457" s="13" t="s">
        <v>15</v>
      </c>
      <c r="H2457" s="22" t="str">
        <f>IFERROR(VLOOKUP(Table2[[#This Row], [Ticket]],Okey!A:B,2,0),"")</f>
        <v/>
      </c>
      <c r="I2457" s="13" t="s">
        <v>276</v>
      </c>
      <c r="J2457" s="22" t="e">
        <f>VLOOKUP(Table2[[#This Row], [Author]],People!A:B,2,0)</f>
        <v>#VALUE!</v>
      </c>
      <c r="K2457" s="13" t="s">
        <v>3297</v>
      </c>
      <c r="L2457" s="13"/>
      <c r="M2457" s="23" t="s">
        <v>277</v>
      </c>
    </row>
    <row r="2458" spans="1:13" ht="19.5" customHeight="1">
      <c r="A2458" s="18">
        <f t="shared" si="38"/>
        <v>2457</v>
      </c>
      <c r="B2458" s="11" t="s">
        <v>3295</v>
      </c>
      <c r="C2458" s="11" t="s">
        <v>95</v>
      </c>
      <c r="D2458" s="11" t="s">
        <v>4190</v>
      </c>
      <c r="E2458" s="11" t="s">
        <v>4191</v>
      </c>
      <c r="F2458" s="11"/>
      <c r="G2458" s="11" t="s">
        <v>15</v>
      </c>
      <c r="H2458" s="19" t="str">
        <f>IFERROR(VLOOKUP(Table2[[#This Row], [Ticket]],Okey!A:B,2,0),"")</f>
        <v/>
      </c>
      <c r="I2458" s="11" t="s">
        <v>276</v>
      </c>
      <c r="J2458" s="19" t="e">
        <f>VLOOKUP(Table2[[#This Row], [Author]],People!A:B,2,0)</f>
        <v>#VALUE!</v>
      </c>
      <c r="K2458" s="11" t="s">
        <v>3297</v>
      </c>
      <c r="L2458" s="11"/>
      <c r="M2458" s="20" t="s">
        <v>277</v>
      </c>
    </row>
    <row r="2459" spans="1:13" ht="19.5" customHeight="1">
      <c r="A2459" s="21">
        <f t="shared" si="38"/>
        <v>2458</v>
      </c>
      <c r="B2459" s="13" t="s">
        <v>3295</v>
      </c>
      <c r="C2459" s="13" t="s">
        <v>95</v>
      </c>
      <c r="D2459" s="13" t="s">
        <v>1421</v>
      </c>
      <c r="E2459" s="13" t="s">
        <v>4192</v>
      </c>
      <c r="F2459" s="13"/>
      <c r="G2459" s="13" t="s">
        <v>15</v>
      </c>
      <c r="H2459" s="22" t="str">
        <f>IFERROR(VLOOKUP(Table2[[#This Row], [Ticket]],Okey!A:B,2,0),"")</f>
        <v/>
      </c>
      <c r="I2459" s="13" t="s">
        <v>276</v>
      </c>
      <c r="J2459" s="22" t="e">
        <f>VLOOKUP(Table2[[#This Row], [Author]],People!A:B,2,0)</f>
        <v>#VALUE!</v>
      </c>
      <c r="K2459" s="13" t="s">
        <v>3297</v>
      </c>
      <c r="L2459" s="13"/>
      <c r="M2459" s="23" t="s">
        <v>277</v>
      </c>
    </row>
    <row r="2460" spans="1:13" ht="19.5" customHeight="1">
      <c r="A2460" s="18">
        <f t="shared" si="38"/>
        <v>2459</v>
      </c>
      <c r="B2460" s="11" t="s">
        <v>3295</v>
      </c>
      <c r="C2460" s="11" t="s">
        <v>95</v>
      </c>
      <c r="D2460" s="11" t="s">
        <v>4193</v>
      </c>
      <c r="E2460" s="11" t="s">
        <v>4194</v>
      </c>
      <c r="F2460" s="11"/>
      <c r="G2460" s="11" t="s">
        <v>15</v>
      </c>
      <c r="H2460" s="19" t="str">
        <f>IFERROR(VLOOKUP(Table2[[#This Row], [Ticket]],Okey!A:B,2,0),"")</f>
        <v/>
      </c>
      <c r="I2460" s="11" t="s">
        <v>276</v>
      </c>
      <c r="J2460" s="19" t="e">
        <f>VLOOKUP(Table2[[#This Row], [Author]],People!A:B,2,0)</f>
        <v>#VALUE!</v>
      </c>
      <c r="K2460" s="11" t="s">
        <v>3297</v>
      </c>
      <c r="L2460" s="11"/>
      <c r="M2460" s="20" t="s">
        <v>277</v>
      </c>
    </row>
    <row r="2461" spans="1:13" ht="19.5" customHeight="1">
      <c r="A2461" s="21">
        <f t="shared" si="38"/>
        <v>2460</v>
      </c>
      <c r="B2461" s="13" t="s">
        <v>3295</v>
      </c>
      <c r="C2461" s="13" t="s">
        <v>95</v>
      </c>
      <c r="D2461" s="13" t="s">
        <v>4195</v>
      </c>
      <c r="E2461" s="13" t="s">
        <v>4196</v>
      </c>
      <c r="F2461" s="13"/>
      <c r="G2461" s="13" t="s">
        <v>15</v>
      </c>
      <c r="H2461" s="22" t="str">
        <f>IFERROR(VLOOKUP(Table2[[#This Row], [Ticket]],Okey!A:B,2,0),"")</f>
        <v/>
      </c>
      <c r="I2461" s="13" t="s">
        <v>276</v>
      </c>
      <c r="J2461" s="22" t="e">
        <f>VLOOKUP(Table2[[#This Row], [Author]],People!A:B,2,0)</f>
        <v>#VALUE!</v>
      </c>
      <c r="K2461" s="13" t="s">
        <v>3297</v>
      </c>
      <c r="L2461" s="13"/>
      <c r="M2461" s="23" t="s">
        <v>277</v>
      </c>
    </row>
    <row r="2462" spans="1:13" ht="19.5" customHeight="1">
      <c r="A2462" s="18">
        <f t="shared" si="38"/>
        <v>2461</v>
      </c>
      <c r="B2462" s="11" t="s">
        <v>3295</v>
      </c>
      <c r="C2462" s="11" t="s">
        <v>95</v>
      </c>
      <c r="D2462" s="11" t="s">
        <v>4197</v>
      </c>
      <c r="E2462" s="11" t="s">
        <v>4198</v>
      </c>
      <c r="F2462" s="11"/>
      <c r="G2462" s="11" t="s">
        <v>15</v>
      </c>
      <c r="H2462" s="19" t="str">
        <f>IFERROR(VLOOKUP(Table2[[#This Row], [Ticket]],Okey!A:B,2,0),"")</f>
        <v/>
      </c>
      <c r="I2462" s="11" t="s">
        <v>276</v>
      </c>
      <c r="J2462" s="19" t="e">
        <f>VLOOKUP(Table2[[#This Row], [Author]],People!A:B,2,0)</f>
        <v>#VALUE!</v>
      </c>
      <c r="K2462" s="11" t="s">
        <v>3297</v>
      </c>
      <c r="L2462" s="11"/>
      <c r="M2462" s="20" t="s">
        <v>277</v>
      </c>
    </row>
    <row r="2463" spans="1:13" ht="19.5" customHeight="1">
      <c r="A2463" s="21">
        <f t="shared" si="38"/>
        <v>2462</v>
      </c>
      <c r="B2463" s="13" t="s">
        <v>3295</v>
      </c>
      <c r="C2463" s="13" t="s">
        <v>95</v>
      </c>
      <c r="D2463" s="13" t="s">
        <v>4199</v>
      </c>
      <c r="E2463" s="13" t="s">
        <v>4200</v>
      </c>
      <c r="F2463" s="13"/>
      <c r="G2463" s="13" t="s">
        <v>15</v>
      </c>
      <c r="H2463" s="22" t="str">
        <f>IFERROR(VLOOKUP(Table2[[#This Row], [Ticket]],Okey!A:B,2,0),"")</f>
        <v/>
      </c>
      <c r="I2463" s="13" t="s">
        <v>276</v>
      </c>
      <c r="J2463" s="22" t="e">
        <f>VLOOKUP(Table2[[#This Row], [Author]],People!A:B,2,0)</f>
        <v>#VALUE!</v>
      </c>
      <c r="K2463" s="13" t="s">
        <v>3297</v>
      </c>
      <c r="L2463" s="13"/>
      <c r="M2463" s="23" t="s">
        <v>277</v>
      </c>
    </row>
    <row r="2464" spans="1:13" ht="19.5" customHeight="1">
      <c r="A2464" s="18">
        <f t="shared" si="38"/>
        <v>2463</v>
      </c>
      <c r="B2464" s="11" t="s">
        <v>3295</v>
      </c>
      <c r="C2464" s="11" t="s">
        <v>95</v>
      </c>
      <c r="D2464" s="11" t="s">
        <v>4201</v>
      </c>
      <c r="E2464" s="11" t="s">
        <v>4202</v>
      </c>
      <c r="F2464" s="11"/>
      <c r="G2464" s="11" t="s">
        <v>15</v>
      </c>
      <c r="H2464" s="19" t="str">
        <f>IFERROR(VLOOKUP(Table2[[#This Row], [Ticket]],Okey!A:B,2,0),"")</f>
        <v/>
      </c>
      <c r="I2464" s="11" t="s">
        <v>276</v>
      </c>
      <c r="J2464" s="19" t="e">
        <f>VLOOKUP(Table2[[#This Row], [Author]],People!A:B,2,0)</f>
        <v>#VALUE!</v>
      </c>
      <c r="K2464" s="11" t="s">
        <v>3297</v>
      </c>
      <c r="L2464" s="11"/>
      <c r="M2464" s="20" t="s">
        <v>277</v>
      </c>
    </row>
    <row r="2465" spans="1:13" ht="19.5" customHeight="1">
      <c r="A2465" s="21">
        <f t="shared" si="38"/>
        <v>2464</v>
      </c>
      <c r="B2465" s="13" t="s">
        <v>3295</v>
      </c>
      <c r="C2465" s="13" t="s">
        <v>95</v>
      </c>
      <c r="D2465" s="13" t="s">
        <v>4203</v>
      </c>
      <c r="E2465" s="13" t="s">
        <v>4204</v>
      </c>
      <c r="F2465" s="13"/>
      <c r="G2465" s="13" t="s">
        <v>15</v>
      </c>
      <c r="H2465" s="22" t="str">
        <f>IFERROR(VLOOKUP(Table2[[#This Row], [Ticket]],Okey!A:B,2,0),"")</f>
        <v/>
      </c>
      <c r="I2465" s="13" t="s">
        <v>276</v>
      </c>
      <c r="J2465" s="22" t="e">
        <f>VLOOKUP(Table2[[#This Row], [Author]],People!A:B,2,0)</f>
        <v>#VALUE!</v>
      </c>
      <c r="K2465" s="13" t="s">
        <v>3297</v>
      </c>
      <c r="L2465" s="13"/>
      <c r="M2465" s="23" t="s">
        <v>277</v>
      </c>
    </row>
    <row r="2466" spans="1:13" ht="19.5" customHeight="1">
      <c r="A2466" s="18">
        <f t="shared" si="38"/>
        <v>2465</v>
      </c>
      <c r="B2466" s="11" t="s">
        <v>3295</v>
      </c>
      <c r="C2466" s="11" t="s">
        <v>95</v>
      </c>
      <c r="D2466" s="11" t="s">
        <v>4205</v>
      </c>
      <c r="E2466" s="11" t="s">
        <v>4206</v>
      </c>
      <c r="F2466" s="11"/>
      <c r="G2466" s="11" t="s">
        <v>15</v>
      </c>
      <c r="H2466" s="19" t="str">
        <f>IFERROR(VLOOKUP(Table2[[#This Row], [Ticket]],Okey!A:B,2,0),"")</f>
        <v/>
      </c>
      <c r="I2466" s="11" t="s">
        <v>276</v>
      </c>
      <c r="J2466" s="19" t="e">
        <f>VLOOKUP(Table2[[#This Row], [Author]],People!A:B,2,0)</f>
        <v>#VALUE!</v>
      </c>
      <c r="K2466" s="11" t="s">
        <v>3297</v>
      </c>
      <c r="L2466" s="11"/>
      <c r="M2466" s="20" t="s">
        <v>277</v>
      </c>
    </row>
    <row r="2467" spans="1:13" ht="19.5" customHeight="1">
      <c r="A2467" s="21">
        <f t="shared" ref="A2467:A2530" si="39">1+A2466</f>
        <v>2466</v>
      </c>
      <c r="B2467" s="13" t="s">
        <v>3295</v>
      </c>
      <c r="C2467" s="13" t="s">
        <v>95</v>
      </c>
      <c r="D2467" s="13" t="s">
        <v>3639</v>
      </c>
      <c r="E2467" s="13" t="s">
        <v>4207</v>
      </c>
      <c r="F2467" s="13"/>
      <c r="G2467" s="13" t="s">
        <v>15</v>
      </c>
      <c r="H2467" s="22" t="str">
        <f>IFERROR(VLOOKUP(Table2[[#This Row], [Ticket]],Okey!A:B,2,0),"")</f>
        <v/>
      </c>
      <c r="I2467" s="13" t="s">
        <v>276</v>
      </c>
      <c r="J2467" s="22" t="e">
        <f>VLOOKUP(Table2[[#This Row], [Author]],People!A:B,2,0)</f>
        <v>#VALUE!</v>
      </c>
      <c r="K2467" s="13" t="s">
        <v>3297</v>
      </c>
      <c r="L2467" s="13"/>
      <c r="M2467" s="23" t="s">
        <v>277</v>
      </c>
    </row>
    <row r="2468" spans="1:13" ht="19.5" customHeight="1">
      <c r="A2468" s="18">
        <f t="shared" si="39"/>
        <v>2467</v>
      </c>
      <c r="B2468" s="11" t="s">
        <v>3295</v>
      </c>
      <c r="C2468" s="11" t="s">
        <v>98</v>
      </c>
      <c r="D2468" s="11" t="s">
        <v>4208</v>
      </c>
      <c r="E2468" s="11" t="s">
        <v>4209</v>
      </c>
      <c r="F2468" s="11"/>
      <c r="G2468" s="11" t="s">
        <v>15</v>
      </c>
      <c r="H2468" s="19" t="str">
        <f>IFERROR(VLOOKUP(Table2[[#This Row], [Ticket]],Okey!A:B,2,0),"")</f>
        <v/>
      </c>
      <c r="I2468" s="11" t="s">
        <v>276</v>
      </c>
      <c r="J2468" s="19" t="e">
        <f>VLOOKUP(Table2[[#This Row], [Author]],People!A:B,2,0)</f>
        <v>#VALUE!</v>
      </c>
      <c r="K2468" s="11" t="s">
        <v>3297</v>
      </c>
      <c r="L2468" s="11"/>
      <c r="M2468" s="20" t="s">
        <v>1613</v>
      </c>
    </row>
    <row r="2469" spans="1:13" ht="19.5" customHeight="1">
      <c r="A2469" s="21">
        <f t="shared" si="39"/>
        <v>2468</v>
      </c>
      <c r="B2469" s="13" t="s">
        <v>3295</v>
      </c>
      <c r="C2469" s="13" t="s">
        <v>98</v>
      </c>
      <c r="D2469" s="13" t="s">
        <v>4210</v>
      </c>
      <c r="E2469" s="13" t="s">
        <v>4211</v>
      </c>
      <c r="F2469" s="13"/>
      <c r="G2469" s="13" t="s">
        <v>15</v>
      </c>
      <c r="H2469" s="22" t="str">
        <f>IFERROR(VLOOKUP(Table2[[#This Row], [Ticket]],Okey!A:B,2,0),"")</f>
        <v/>
      </c>
      <c r="I2469" s="13" t="s">
        <v>276</v>
      </c>
      <c r="J2469" s="22" t="e">
        <f>VLOOKUP(Table2[[#This Row], [Author]],People!A:B,2,0)</f>
        <v>#VALUE!</v>
      </c>
      <c r="K2469" s="13" t="s">
        <v>3297</v>
      </c>
      <c r="L2469" s="13"/>
      <c r="M2469" s="23" t="s">
        <v>1613</v>
      </c>
    </row>
    <row r="2470" spans="1:13" ht="19.5" customHeight="1">
      <c r="A2470" s="18">
        <f t="shared" si="39"/>
        <v>2469</v>
      </c>
      <c r="B2470" s="11" t="s">
        <v>3295</v>
      </c>
      <c r="C2470" s="11" t="s">
        <v>98</v>
      </c>
      <c r="D2470" s="11" t="s">
        <v>4212</v>
      </c>
      <c r="E2470" s="11" t="s">
        <v>4213</v>
      </c>
      <c r="F2470" s="11"/>
      <c r="G2470" s="11" t="s">
        <v>15</v>
      </c>
      <c r="H2470" s="19" t="str">
        <f>IFERROR(VLOOKUP(Table2[[#This Row], [Ticket]],Okey!A:B,2,0),"")</f>
        <v/>
      </c>
      <c r="I2470" s="11" t="s">
        <v>276</v>
      </c>
      <c r="J2470" s="19" t="e">
        <f>VLOOKUP(Table2[[#This Row], [Author]],People!A:B,2,0)</f>
        <v>#VALUE!</v>
      </c>
      <c r="K2470" s="11" t="s">
        <v>3297</v>
      </c>
      <c r="L2470" s="11"/>
      <c r="M2470" s="20" t="s">
        <v>1613</v>
      </c>
    </row>
    <row r="2471" spans="1:13" ht="19.5" customHeight="1">
      <c r="A2471" s="21">
        <f t="shared" si="39"/>
        <v>2470</v>
      </c>
      <c r="B2471" s="13" t="s">
        <v>3295</v>
      </c>
      <c r="C2471" s="13" t="s">
        <v>98</v>
      </c>
      <c r="D2471" s="13" t="s">
        <v>4214</v>
      </c>
      <c r="E2471" s="13" t="s">
        <v>4215</v>
      </c>
      <c r="F2471" s="13"/>
      <c r="G2471" s="13" t="s">
        <v>15</v>
      </c>
      <c r="H2471" s="22" t="str">
        <f>IFERROR(VLOOKUP(Table2[[#This Row], [Ticket]],Okey!A:B,2,0),"")</f>
        <v/>
      </c>
      <c r="I2471" s="13" t="s">
        <v>276</v>
      </c>
      <c r="J2471" s="22" t="e">
        <f>VLOOKUP(Table2[[#This Row], [Author]],People!A:B,2,0)</f>
        <v>#VALUE!</v>
      </c>
      <c r="K2471" s="13" t="s">
        <v>3297</v>
      </c>
      <c r="L2471" s="13"/>
      <c r="M2471" s="23" t="s">
        <v>1613</v>
      </c>
    </row>
    <row r="2472" spans="1:13" ht="19.5" customHeight="1">
      <c r="A2472" s="18">
        <f t="shared" si="39"/>
        <v>2471</v>
      </c>
      <c r="B2472" s="11" t="s">
        <v>3295</v>
      </c>
      <c r="C2472" s="11" t="s">
        <v>98</v>
      </c>
      <c r="D2472" s="11" t="s">
        <v>4216</v>
      </c>
      <c r="E2472" s="11" t="s">
        <v>4217</v>
      </c>
      <c r="F2472" s="11"/>
      <c r="G2472" s="11" t="s">
        <v>15</v>
      </c>
      <c r="H2472" s="19" t="str">
        <f>IFERROR(VLOOKUP(Table2[[#This Row], [Ticket]],Okey!A:B,2,0),"")</f>
        <v/>
      </c>
      <c r="I2472" s="11" t="s">
        <v>276</v>
      </c>
      <c r="J2472" s="19" t="e">
        <f>VLOOKUP(Table2[[#This Row], [Author]],People!A:B,2,0)</f>
        <v>#VALUE!</v>
      </c>
      <c r="K2472" s="11" t="s">
        <v>3297</v>
      </c>
      <c r="L2472" s="11"/>
      <c r="M2472" s="20" t="s">
        <v>1613</v>
      </c>
    </row>
    <row r="2473" spans="1:13" ht="19.5" customHeight="1">
      <c r="A2473" s="21">
        <f t="shared" si="39"/>
        <v>2472</v>
      </c>
      <c r="B2473" s="13" t="s">
        <v>3295</v>
      </c>
      <c r="C2473" s="13" t="s">
        <v>98</v>
      </c>
      <c r="D2473" s="13" t="s">
        <v>4218</v>
      </c>
      <c r="E2473" s="13" t="s">
        <v>4219</v>
      </c>
      <c r="F2473" s="13"/>
      <c r="G2473" s="13" t="s">
        <v>15</v>
      </c>
      <c r="H2473" s="22" t="str">
        <f>IFERROR(VLOOKUP(Table2[[#This Row], [Ticket]],Okey!A:B,2,0),"")</f>
        <v/>
      </c>
      <c r="I2473" s="13" t="s">
        <v>276</v>
      </c>
      <c r="J2473" s="22" t="e">
        <f>VLOOKUP(Table2[[#This Row], [Author]],People!A:B,2,0)</f>
        <v>#VALUE!</v>
      </c>
      <c r="K2473" s="13" t="s">
        <v>3297</v>
      </c>
      <c r="L2473" s="13"/>
      <c r="M2473" s="23" t="s">
        <v>1613</v>
      </c>
    </row>
    <row r="2474" spans="1:13" ht="19.5" customHeight="1">
      <c r="A2474" s="18">
        <f t="shared" si="39"/>
        <v>2473</v>
      </c>
      <c r="B2474" s="11" t="s">
        <v>3295</v>
      </c>
      <c r="C2474" s="11" t="s">
        <v>98</v>
      </c>
      <c r="D2474" s="11" t="s">
        <v>4220</v>
      </c>
      <c r="E2474" s="11" t="s">
        <v>4221</v>
      </c>
      <c r="F2474" s="11"/>
      <c r="G2474" s="11" t="s">
        <v>15</v>
      </c>
      <c r="H2474" s="19" t="str">
        <f>IFERROR(VLOOKUP(Table2[[#This Row], [Ticket]],Okey!A:B,2,0),"")</f>
        <v/>
      </c>
      <c r="I2474" s="11" t="s">
        <v>276</v>
      </c>
      <c r="J2474" s="19" t="e">
        <f>VLOOKUP(Table2[[#This Row], [Author]],People!A:B,2,0)</f>
        <v>#VALUE!</v>
      </c>
      <c r="K2474" s="11" t="s">
        <v>3297</v>
      </c>
      <c r="L2474" s="11"/>
      <c r="M2474" s="20" t="s">
        <v>1613</v>
      </c>
    </row>
    <row r="2475" spans="1:13" ht="19.5" customHeight="1">
      <c r="A2475" s="21">
        <f t="shared" si="39"/>
        <v>2474</v>
      </c>
      <c r="B2475" s="13" t="s">
        <v>3295</v>
      </c>
      <c r="C2475" s="13" t="s">
        <v>98</v>
      </c>
      <c r="D2475" s="13" t="s">
        <v>4222</v>
      </c>
      <c r="E2475" s="13" t="s">
        <v>4223</v>
      </c>
      <c r="F2475" s="13"/>
      <c r="G2475" s="13" t="s">
        <v>15</v>
      </c>
      <c r="H2475" s="22" t="str">
        <f>IFERROR(VLOOKUP(Table2[[#This Row], [Ticket]],Okey!A:B,2,0),"")</f>
        <v/>
      </c>
      <c r="I2475" s="13" t="s">
        <v>276</v>
      </c>
      <c r="J2475" s="22" t="e">
        <f>VLOOKUP(Table2[[#This Row], [Author]],People!A:B,2,0)</f>
        <v>#VALUE!</v>
      </c>
      <c r="K2475" s="13" t="s">
        <v>3297</v>
      </c>
      <c r="L2475" s="13"/>
      <c r="M2475" s="23" t="s">
        <v>1613</v>
      </c>
    </row>
    <row r="2476" spans="1:13" ht="19.5" customHeight="1">
      <c r="A2476" s="18">
        <f t="shared" si="39"/>
        <v>2475</v>
      </c>
      <c r="B2476" s="11" t="s">
        <v>3295</v>
      </c>
      <c r="C2476" s="11" t="s">
        <v>98</v>
      </c>
      <c r="D2476" s="11" t="s">
        <v>4224</v>
      </c>
      <c r="E2476" s="11" t="s">
        <v>4225</v>
      </c>
      <c r="F2476" s="11"/>
      <c r="G2476" s="11" t="s">
        <v>15</v>
      </c>
      <c r="H2476" s="19" t="str">
        <f>IFERROR(VLOOKUP(Table2[[#This Row], [Ticket]],Okey!A:B,2,0),"")</f>
        <v/>
      </c>
      <c r="I2476" s="11" t="s">
        <v>276</v>
      </c>
      <c r="J2476" s="19" t="e">
        <f>VLOOKUP(Table2[[#This Row], [Author]],People!A:B,2,0)</f>
        <v>#VALUE!</v>
      </c>
      <c r="K2476" s="11" t="s">
        <v>3297</v>
      </c>
      <c r="L2476" s="11"/>
      <c r="M2476" s="20" t="s">
        <v>1613</v>
      </c>
    </row>
    <row r="2477" spans="1:13" ht="19.5" customHeight="1">
      <c r="A2477" s="21">
        <f t="shared" si="39"/>
        <v>2476</v>
      </c>
      <c r="B2477" s="13" t="s">
        <v>3295</v>
      </c>
      <c r="C2477" s="13" t="s">
        <v>98</v>
      </c>
      <c r="D2477" s="13" t="s">
        <v>4226</v>
      </c>
      <c r="E2477" s="13" t="s">
        <v>4227</v>
      </c>
      <c r="F2477" s="13"/>
      <c r="G2477" s="13" t="s">
        <v>15</v>
      </c>
      <c r="H2477" s="22" t="str">
        <f>IFERROR(VLOOKUP(Table2[[#This Row], [Ticket]],Okey!A:B,2,0),"")</f>
        <v/>
      </c>
      <c r="I2477" s="13" t="s">
        <v>276</v>
      </c>
      <c r="J2477" s="22" t="e">
        <f>VLOOKUP(Table2[[#This Row], [Author]],People!A:B,2,0)</f>
        <v>#VALUE!</v>
      </c>
      <c r="K2477" s="13" t="s">
        <v>3297</v>
      </c>
      <c r="L2477" s="13"/>
      <c r="M2477" s="23" t="s">
        <v>1613</v>
      </c>
    </row>
    <row r="2478" spans="1:13" ht="19.5" customHeight="1">
      <c r="A2478" s="18">
        <f t="shared" si="39"/>
        <v>2477</v>
      </c>
      <c r="B2478" s="11" t="s">
        <v>3295</v>
      </c>
      <c r="C2478" s="11" t="s">
        <v>98</v>
      </c>
      <c r="D2478" s="11" t="s">
        <v>4228</v>
      </c>
      <c r="E2478" s="11" t="s">
        <v>4229</v>
      </c>
      <c r="F2478" s="11"/>
      <c r="G2478" s="11" t="s">
        <v>15</v>
      </c>
      <c r="H2478" s="19" t="str">
        <f>IFERROR(VLOOKUP(Table2[[#This Row], [Ticket]],Okey!A:B,2,0),"")</f>
        <v/>
      </c>
      <c r="I2478" s="11" t="s">
        <v>276</v>
      </c>
      <c r="J2478" s="19" t="e">
        <f>VLOOKUP(Table2[[#This Row], [Author]],People!A:B,2,0)</f>
        <v>#VALUE!</v>
      </c>
      <c r="K2478" s="11" t="s">
        <v>3297</v>
      </c>
      <c r="L2478" s="11"/>
      <c r="M2478" s="20" t="s">
        <v>1613</v>
      </c>
    </row>
    <row r="2479" spans="1:13" ht="19.5" customHeight="1">
      <c r="A2479" s="21">
        <f t="shared" si="39"/>
        <v>2478</v>
      </c>
      <c r="B2479" s="13" t="s">
        <v>3295</v>
      </c>
      <c r="C2479" s="13" t="s">
        <v>98</v>
      </c>
      <c r="D2479" s="13" t="s">
        <v>4230</v>
      </c>
      <c r="E2479" s="13" t="s">
        <v>4231</v>
      </c>
      <c r="F2479" s="13"/>
      <c r="G2479" s="13" t="s">
        <v>15</v>
      </c>
      <c r="H2479" s="22" t="str">
        <f>IFERROR(VLOOKUP(Table2[[#This Row], [Ticket]],Okey!A:B,2,0),"")</f>
        <v/>
      </c>
      <c r="I2479" s="13" t="s">
        <v>276</v>
      </c>
      <c r="J2479" s="22" t="e">
        <f>VLOOKUP(Table2[[#This Row], [Author]],People!A:B,2,0)</f>
        <v>#VALUE!</v>
      </c>
      <c r="K2479" s="13" t="s">
        <v>3297</v>
      </c>
      <c r="L2479" s="13"/>
      <c r="M2479" s="23" t="s">
        <v>1613</v>
      </c>
    </row>
    <row r="2480" spans="1:13" ht="19.5" customHeight="1">
      <c r="A2480" s="18">
        <f t="shared" si="39"/>
        <v>2479</v>
      </c>
      <c r="B2480" s="11" t="s">
        <v>3295</v>
      </c>
      <c r="C2480" s="11" t="s">
        <v>98</v>
      </c>
      <c r="D2480" s="11" t="s">
        <v>4232</v>
      </c>
      <c r="E2480" s="11" t="s">
        <v>4233</v>
      </c>
      <c r="F2480" s="11"/>
      <c r="G2480" s="11" t="s">
        <v>15</v>
      </c>
      <c r="H2480" s="19" t="str">
        <f>IFERROR(VLOOKUP(Table2[[#This Row], [Ticket]],Okey!A:B,2,0),"")</f>
        <v/>
      </c>
      <c r="I2480" s="11" t="s">
        <v>276</v>
      </c>
      <c r="J2480" s="19" t="e">
        <f>VLOOKUP(Table2[[#This Row], [Author]],People!A:B,2,0)</f>
        <v>#VALUE!</v>
      </c>
      <c r="K2480" s="11" t="s">
        <v>3297</v>
      </c>
      <c r="L2480" s="11"/>
      <c r="M2480" s="20" t="s">
        <v>1613</v>
      </c>
    </row>
    <row r="2481" spans="1:13" ht="19.5" customHeight="1">
      <c r="A2481" s="21">
        <f t="shared" si="39"/>
        <v>2480</v>
      </c>
      <c r="B2481" s="13" t="s">
        <v>3295</v>
      </c>
      <c r="C2481" s="13" t="s">
        <v>98</v>
      </c>
      <c r="D2481" s="13" t="s">
        <v>4234</v>
      </c>
      <c r="E2481" s="13" t="s">
        <v>4235</v>
      </c>
      <c r="F2481" s="13"/>
      <c r="G2481" s="13" t="s">
        <v>15</v>
      </c>
      <c r="H2481" s="22" t="str">
        <f>IFERROR(VLOOKUP(Table2[[#This Row], [Ticket]],Okey!A:B,2,0),"")</f>
        <v/>
      </c>
      <c r="I2481" s="13" t="s">
        <v>276</v>
      </c>
      <c r="J2481" s="22" t="e">
        <f>VLOOKUP(Table2[[#This Row], [Author]],People!A:B,2,0)</f>
        <v>#VALUE!</v>
      </c>
      <c r="K2481" s="13" t="s">
        <v>3297</v>
      </c>
      <c r="L2481" s="13"/>
      <c r="M2481" s="23" t="s">
        <v>1613</v>
      </c>
    </row>
    <row r="2482" spans="1:13" ht="19.5" customHeight="1">
      <c r="A2482" s="18">
        <f t="shared" si="39"/>
        <v>2481</v>
      </c>
      <c r="B2482" s="11" t="s">
        <v>3295</v>
      </c>
      <c r="C2482" s="11" t="s">
        <v>98</v>
      </c>
      <c r="D2482" s="11" t="s">
        <v>4236</v>
      </c>
      <c r="E2482" s="11" t="s">
        <v>4237</v>
      </c>
      <c r="F2482" s="11"/>
      <c r="G2482" s="11" t="s">
        <v>15</v>
      </c>
      <c r="H2482" s="19" t="str">
        <f>IFERROR(VLOOKUP(Table2[[#This Row], [Ticket]],Okey!A:B,2,0),"")</f>
        <v/>
      </c>
      <c r="I2482" s="11" t="s">
        <v>276</v>
      </c>
      <c r="J2482" s="19" t="e">
        <f>VLOOKUP(Table2[[#This Row], [Author]],People!A:B,2,0)</f>
        <v>#VALUE!</v>
      </c>
      <c r="K2482" s="11" t="s">
        <v>3297</v>
      </c>
      <c r="L2482" s="11"/>
      <c r="M2482" s="20" t="s">
        <v>1613</v>
      </c>
    </row>
    <row r="2483" spans="1:13" ht="19.5" customHeight="1">
      <c r="A2483" s="21">
        <f t="shared" si="39"/>
        <v>2482</v>
      </c>
      <c r="B2483" s="13" t="s">
        <v>3295</v>
      </c>
      <c r="C2483" s="13" t="s">
        <v>98</v>
      </c>
      <c r="D2483" s="13" t="s">
        <v>4238</v>
      </c>
      <c r="E2483" s="13" t="s">
        <v>4239</v>
      </c>
      <c r="F2483" s="13"/>
      <c r="G2483" s="13" t="s">
        <v>15</v>
      </c>
      <c r="H2483" s="22" t="str">
        <f>IFERROR(VLOOKUP(Table2[[#This Row], [Ticket]],Okey!A:B,2,0),"")</f>
        <v/>
      </c>
      <c r="I2483" s="13" t="s">
        <v>276</v>
      </c>
      <c r="J2483" s="22" t="e">
        <f>VLOOKUP(Table2[[#This Row], [Author]],People!A:B,2,0)</f>
        <v>#VALUE!</v>
      </c>
      <c r="K2483" s="13" t="s">
        <v>3297</v>
      </c>
      <c r="L2483" s="13"/>
      <c r="M2483" s="23" t="s">
        <v>1613</v>
      </c>
    </row>
    <row r="2484" spans="1:13" ht="19.5" customHeight="1">
      <c r="A2484" s="18">
        <f t="shared" si="39"/>
        <v>2483</v>
      </c>
      <c r="B2484" s="11" t="s">
        <v>3295</v>
      </c>
      <c r="C2484" s="11" t="s">
        <v>98</v>
      </c>
      <c r="D2484" s="11" t="s">
        <v>4240</v>
      </c>
      <c r="E2484" s="11" t="s">
        <v>4241</v>
      </c>
      <c r="F2484" s="11"/>
      <c r="G2484" s="11" t="s">
        <v>15</v>
      </c>
      <c r="H2484" s="19" t="str">
        <f>IFERROR(VLOOKUP(Table2[[#This Row], [Ticket]],Okey!A:B,2,0),"")</f>
        <v/>
      </c>
      <c r="I2484" s="11" t="s">
        <v>276</v>
      </c>
      <c r="J2484" s="19" t="e">
        <f>VLOOKUP(Table2[[#This Row], [Author]],People!A:B,2,0)</f>
        <v>#VALUE!</v>
      </c>
      <c r="K2484" s="11" t="s">
        <v>3297</v>
      </c>
      <c r="L2484" s="11"/>
      <c r="M2484" s="20" t="s">
        <v>1613</v>
      </c>
    </row>
    <row r="2485" spans="1:13" ht="19.5" customHeight="1">
      <c r="A2485" s="21">
        <f t="shared" si="39"/>
        <v>2484</v>
      </c>
      <c r="B2485" s="13" t="s">
        <v>3295</v>
      </c>
      <c r="C2485" s="13" t="s">
        <v>98</v>
      </c>
      <c r="D2485" s="13" t="s">
        <v>4242</v>
      </c>
      <c r="E2485" s="13" t="s">
        <v>4243</v>
      </c>
      <c r="F2485" s="13"/>
      <c r="G2485" s="13" t="s">
        <v>15</v>
      </c>
      <c r="H2485" s="22" t="str">
        <f>IFERROR(VLOOKUP(Table2[[#This Row], [Ticket]],Okey!A:B,2,0),"")</f>
        <v/>
      </c>
      <c r="I2485" s="13" t="s">
        <v>276</v>
      </c>
      <c r="J2485" s="22" t="e">
        <f>VLOOKUP(Table2[[#This Row], [Author]],People!A:B,2,0)</f>
        <v>#VALUE!</v>
      </c>
      <c r="K2485" s="13" t="s">
        <v>3297</v>
      </c>
      <c r="L2485" s="13"/>
      <c r="M2485" s="23" t="s">
        <v>1613</v>
      </c>
    </row>
    <row r="2486" spans="1:13" ht="19.5" customHeight="1">
      <c r="A2486" s="18">
        <f t="shared" si="39"/>
        <v>2485</v>
      </c>
      <c r="B2486" s="11" t="s">
        <v>3295</v>
      </c>
      <c r="C2486" s="11" t="s">
        <v>98</v>
      </c>
      <c r="D2486" s="11" t="s">
        <v>4244</v>
      </c>
      <c r="E2486" s="11" t="s">
        <v>4245</v>
      </c>
      <c r="F2486" s="11"/>
      <c r="G2486" s="11" t="s">
        <v>15</v>
      </c>
      <c r="H2486" s="19" t="str">
        <f>IFERROR(VLOOKUP(Table2[[#This Row], [Ticket]],Okey!A:B,2,0),"")</f>
        <v/>
      </c>
      <c r="I2486" s="11" t="s">
        <v>276</v>
      </c>
      <c r="J2486" s="19" t="e">
        <f>VLOOKUP(Table2[[#This Row], [Author]],People!A:B,2,0)</f>
        <v>#VALUE!</v>
      </c>
      <c r="K2486" s="11" t="s">
        <v>3297</v>
      </c>
      <c r="L2486" s="11"/>
      <c r="M2486" s="20" t="s">
        <v>1613</v>
      </c>
    </row>
    <row r="2487" spans="1:13" ht="19.5" customHeight="1">
      <c r="A2487" s="21">
        <f t="shared" si="39"/>
        <v>2486</v>
      </c>
      <c r="B2487" s="13" t="s">
        <v>3295</v>
      </c>
      <c r="C2487" s="13" t="s">
        <v>98</v>
      </c>
      <c r="D2487" s="13" t="s">
        <v>4246</v>
      </c>
      <c r="E2487" s="13" t="s">
        <v>4247</v>
      </c>
      <c r="F2487" s="13"/>
      <c r="G2487" s="13" t="s">
        <v>15</v>
      </c>
      <c r="H2487" s="22" t="str">
        <f>IFERROR(VLOOKUP(Table2[[#This Row], [Ticket]],Okey!A:B,2,0),"")</f>
        <v/>
      </c>
      <c r="I2487" s="13" t="s">
        <v>276</v>
      </c>
      <c r="J2487" s="22" t="e">
        <f>VLOOKUP(Table2[[#This Row], [Author]],People!A:B,2,0)</f>
        <v>#VALUE!</v>
      </c>
      <c r="K2487" s="13" t="s">
        <v>3297</v>
      </c>
      <c r="L2487" s="13"/>
      <c r="M2487" s="23" t="s">
        <v>1613</v>
      </c>
    </row>
    <row r="2488" spans="1:13" ht="19.5" customHeight="1">
      <c r="A2488" s="18">
        <f t="shared" si="39"/>
        <v>2487</v>
      </c>
      <c r="B2488" s="11" t="s">
        <v>3295</v>
      </c>
      <c r="C2488" s="11" t="s">
        <v>98</v>
      </c>
      <c r="D2488" s="11" t="s">
        <v>4248</v>
      </c>
      <c r="E2488" s="11" t="s">
        <v>4249</v>
      </c>
      <c r="F2488" s="11"/>
      <c r="G2488" s="11" t="s">
        <v>15</v>
      </c>
      <c r="H2488" s="19" t="str">
        <f>IFERROR(VLOOKUP(Table2[[#This Row], [Ticket]],Okey!A:B,2,0),"")</f>
        <v/>
      </c>
      <c r="I2488" s="11" t="s">
        <v>276</v>
      </c>
      <c r="J2488" s="19" t="e">
        <f>VLOOKUP(Table2[[#This Row], [Author]],People!A:B,2,0)</f>
        <v>#VALUE!</v>
      </c>
      <c r="K2488" s="11" t="s">
        <v>3297</v>
      </c>
      <c r="L2488" s="11"/>
      <c r="M2488" s="20" t="s">
        <v>1613</v>
      </c>
    </row>
    <row r="2489" spans="1:13" ht="19.5" customHeight="1">
      <c r="A2489" s="21">
        <f t="shared" si="39"/>
        <v>2488</v>
      </c>
      <c r="B2489" s="13" t="s">
        <v>3295</v>
      </c>
      <c r="C2489" s="13" t="s">
        <v>98</v>
      </c>
      <c r="D2489" s="13" t="s">
        <v>4250</v>
      </c>
      <c r="E2489" s="13" t="s">
        <v>4251</v>
      </c>
      <c r="F2489" s="13"/>
      <c r="G2489" s="13" t="s">
        <v>15</v>
      </c>
      <c r="H2489" s="22" t="str">
        <f>IFERROR(VLOOKUP(Table2[[#This Row], [Ticket]],Okey!A:B,2,0),"")</f>
        <v/>
      </c>
      <c r="I2489" s="13" t="s">
        <v>276</v>
      </c>
      <c r="J2489" s="22" t="e">
        <f>VLOOKUP(Table2[[#This Row], [Author]],People!A:B,2,0)</f>
        <v>#VALUE!</v>
      </c>
      <c r="K2489" s="13" t="s">
        <v>3297</v>
      </c>
      <c r="L2489" s="13"/>
      <c r="M2489" s="23" t="s">
        <v>1613</v>
      </c>
    </row>
    <row r="2490" spans="1:13" ht="19.5" customHeight="1">
      <c r="A2490" s="18">
        <f t="shared" si="39"/>
        <v>2489</v>
      </c>
      <c r="B2490" s="11" t="s">
        <v>3295</v>
      </c>
      <c r="C2490" s="11" t="s">
        <v>98</v>
      </c>
      <c r="D2490" s="11" t="s">
        <v>4252</v>
      </c>
      <c r="E2490" s="11" t="s">
        <v>4253</v>
      </c>
      <c r="F2490" s="11"/>
      <c r="G2490" s="11" t="s">
        <v>15</v>
      </c>
      <c r="H2490" s="19" t="str">
        <f>IFERROR(VLOOKUP(Table2[[#This Row], [Ticket]],Okey!A:B,2,0),"")</f>
        <v/>
      </c>
      <c r="I2490" s="11" t="s">
        <v>276</v>
      </c>
      <c r="J2490" s="19" t="e">
        <f>VLOOKUP(Table2[[#This Row], [Author]],People!A:B,2,0)</f>
        <v>#VALUE!</v>
      </c>
      <c r="K2490" s="11" t="s">
        <v>3297</v>
      </c>
      <c r="L2490" s="11"/>
      <c r="M2490" s="20" t="s">
        <v>1613</v>
      </c>
    </row>
    <row r="2491" spans="1:13" ht="19.5" customHeight="1">
      <c r="A2491" s="21">
        <f t="shared" si="39"/>
        <v>2490</v>
      </c>
      <c r="B2491" s="13" t="s">
        <v>3295</v>
      </c>
      <c r="C2491" s="13" t="s">
        <v>98</v>
      </c>
      <c r="D2491" s="13" t="s">
        <v>4254</v>
      </c>
      <c r="E2491" s="13" t="s">
        <v>4255</v>
      </c>
      <c r="F2491" s="13"/>
      <c r="G2491" s="13" t="s">
        <v>15</v>
      </c>
      <c r="H2491" s="22" t="str">
        <f>IFERROR(VLOOKUP(Table2[[#This Row], [Ticket]],Okey!A:B,2,0),"")</f>
        <v/>
      </c>
      <c r="I2491" s="13" t="s">
        <v>276</v>
      </c>
      <c r="J2491" s="22" t="e">
        <f>VLOOKUP(Table2[[#This Row], [Author]],People!A:B,2,0)</f>
        <v>#VALUE!</v>
      </c>
      <c r="K2491" s="13" t="s">
        <v>3297</v>
      </c>
      <c r="L2491" s="13"/>
      <c r="M2491" s="23" t="s">
        <v>1613</v>
      </c>
    </row>
    <row r="2492" spans="1:13" ht="19.5" customHeight="1">
      <c r="A2492" s="18">
        <f t="shared" si="39"/>
        <v>2491</v>
      </c>
      <c r="B2492" s="11" t="s">
        <v>3295</v>
      </c>
      <c r="C2492" s="11" t="s">
        <v>98</v>
      </c>
      <c r="D2492" s="11" t="s">
        <v>4256</v>
      </c>
      <c r="E2492" s="11" t="s">
        <v>4257</v>
      </c>
      <c r="F2492" s="11"/>
      <c r="G2492" s="11" t="s">
        <v>15</v>
      </c>
      <c r="H2492" s="19" t="str">
        <f>IFERROR(VLOOKUP(Table2[[#This Row], [Ticket]],Okey!A:B,2,0),"")</f>
        <v/>
      </c>
      <c r="I2492" s="11" t="s">
        <v>276</v>
      </c>
      <c r="J2492" s="19" t="e">
        <f>VLOOKUP(Table2[[#This Row], [Author]],People!A:B,2,0)</f>
        <v>#VALUE!</v>
      </c>
      <c r="K2492" s="11" t="s">
        <v>3297</v>
      </c>
      <c r="L2492" s="11"/>
      <c r="M2492" s="20" t="s">
        <v>1613</v>
      </c>
    </row>
    <row r="2493" spans="1:13" ht="19.5" customHeight="1">
      <c r="A2493" s="21">
        <f t="shared" si="39"/>
        <v>2492</v>
      </c>
      <c r="B2493" s="13" t="s">
        <v>3295</v>
      </c>
      <c r="C2493" s="13" t="s">
        <v>98</v>
      </c>
      <c r="D2493" s="13" t="s">
        <v>4258</v>
      </c>
      <c r="E2493" s="13" t="s">
        <v>4259</v>
      </c>
      <c r="F2493" s="13"/>
      <c r="G2493" s="13" t="s">
        <v>15</v>
      </c>
      <c r="H2493" s="22" t="str">
        <f>IFERROR(VLOOKUP(Table2[[#This Row], [Ticket]],Okey!A:B,2,0),"")</f>
        <v/>
      </c>
      <c r="I2493" s="13" t="s">
        <v>276</v>
      </c>
      <c r="J2493" s="22" t="e">
        <f>VLOOKUP(Table2[[#This Row], [Author]],People!A:B,2,0)</f>
        <v>#VALUE!</v>
      </c>
      <c r="K2493" s="13" t="s">
        <v>3297</v>
      </c>
      <c r="L2493" s="13"/>
      <c r="M2493" s="23" t="s">
        <v>1613</v>
      </c>
    </row>
    <row r="2494" spans="1:13" ht="19.5" customHeight="1">
      <c r="A2494" s="18">
        <f t="shared" si="39"/>
        <v>2493</v>
      </c>
      <c r="B2494" s="11" t="s">
        <v>3295</v>
      </c>
      <c r="C2494" s="11" t="s">
        <v>98</v>
      </c>
      <c r="D2494" s="11" t="s">
        <v>4260</v>
      </c>
      <c r="E2494" s="11" t="s">
        <v>4261</v>
      </c>
      <c r="F2494" s="11"/>
      <c r="G2494" s="11" t="s">
        <v>15</v>
      </c>
      <c r="H2494" s="19" t="str">
        <f>IFERROR(VLOOKUP(Table2[[#This Row], [Ticket]],Okey!A:B,2,0),"")</f>
        <v/>
      </c>
      <c r="I2494" s="11" t="s">
        <v>276</v>
      </c>
      <c r="J2494" s="19" t="e">
        <f>VLOOKUP(Table2[[#This Row], [Author]],People!A:B,2,0)</f>
        <v>#VALUE!</v>
      </c>
      <c r="K2494" s="11" t="s">
        <v>3297</v>
      </c>
      <c r="L2494" s="11"/>
      <c r="M2494" s="20" t="s">
        <v>1613</v>
      </c>
    </row>
    <row r="2495" spans="1:13" ht="19.5" customHeight="1">
      <c r="A2495" s="21">
        <f t="shared" si="39"/>
        <v>2494</v>
      </c>
      <c r="B2495" s="13" t="s">
        <v>3295</v>
      </c>
      <c r="C2495" s="13" t="s">
        <v>98</v>
      </c>
      <c r="D2495" s="13" t="s">
        <v>4262</v>
      </c>
      <c r="E2495" s="13" t="s">
        <v>4263</v>
      </c>
      <c r="F2495" s="13"/>
      <c r="G2495" s="13" t="s">
        <v>15</v>
      </c>
      <c r="H2495" s="22" t="str">
        <f>IFERROR(VLOOKUP(Table2[[#This Row], [Ticket]],Okey!A:B,2,0),"")</f>
        <v/>
      </c>
      <c r="I2495" s="13" t="s">
        <v>276</v>
      </c>
      <c r="J2495" s="22" t="e">
        <f>VLOOKUP(Table2[[#This Row], [Author]],People!A:B,2,0)</f>
        <v>#VALUE!</v>
      </c>
      <c r="K2495" s="13" t="s">
        <v>3297</v>
      </c>
      <c r="L2495" s="13"/>
      <c r="M2495" s="23" t="s">
        <v>1613</v>
      </c>
    </row>
    <row r="2496" spans="1:13" ht="19.5" customHeight="1">
      <c r="A2496" s="18">
        <f t="shared" si="39"/>
        <v>2495</v>
      </c>
      <c r="B2496" s="11" t="s">
        <v>3295</v>
      </c>
      <c r="C2496" s="11" t="s">
        <v>98</v>
      </c>
      <c r="D2496" s="11" t="s">
        <v>4264</v>
      </c>
      <c r="E2496" s="11" t="s">
        <v>4265</v>
      </c>
      <c r="F2496" s="11"/>
      <c r="G2496" s="11" t="s">
        <v>15</v>
      </c>
      <c r="H2496" s="19" t="str">
        <f>IFERROR(VLOOKUP(Table2[[#This Row], [Ticket]],Okey!A:B,2,0),"")</f>
        <v/>
      </c>
      <c r="I2496" s="11" t="s">
        <v>276</v>
      </c>
      <c r="J2496" s="19" t="e">
        <f>VLOOKUP(Table2[[#This Row], [Author]],People!A:B,2,0)</f>
        <v>#VALUE!</v>
      </c>
      <c r="K2496" s="11" t="s">
        <v>3297</v>
      </c>
      <c r="L2496" s="11"/>
      <c r="M2496" s="20" t="s">
        <v>1613</v>
      </c>
    </row>
    <row r="2497" spans="1:13" ht="19.5" customHeight="1">
      <c r="A2497" s="21">
        <f t="shared" si="39"/>
        <v>2496</v>
      </c>
      <c r="B2497" s="13" t="s">
        <v>3295</v>
      </c>
      <c r="C2497" s="13" t="s">
        <v>98</v>
      </c>
      <c r="D2497" s="13" t="s">
        <v>4266</v>
      </c>
      <c r="E2497" s="13" t="s">
        <v>4267</v>
      </c>
      <c r="F2497" s="13"/>
      <c r="G2497" s="13" t="s">
        <v>15</v>
      </c>
      <c r="H2497" s="22" t="str">
        <f>IFERROR(VLOOKUP(Table2[[#This Row], [Ticket]],Okey!A:B,2,0),"")</f>
        <v/>
      </c>
      <c r="I2497" s="13" t="s">
        <v>276</v>
      </c>
      <c r="J2497" s="22" t="e">
        <f>VLOOKUP(Table2[[#This Row], [Author]],People!A:B,2,0)</f>
        <v>#VALUE!</v>
      </c>
      <c r="K2497" s="13" t="s">
        <v>3297</v>
      </c>
      <c r="L2497" s="13"/>
      <c r="M2497" s="23" t="s">
        <v>1613</v>
      </c>
    </row>
    <row r="2498" spans="1:13" ht="19.5" customHeight="1">
      <c r="A2498" s="18">
        <f t="shared" si="39"/>
        <v>2497</v>
      </c>
      <c r="B2498" s="11" t="s">
        <v>3295</v>
      </c>
      <c r="C2498" s="11" t="s">
        <v>98</v>
      </c>
      <c r="D2498" s="11" t="s">
        <v>4268</v>
      </c>
      <c r="E2498" s="11" t="s">
        <v>4269</v>
      </c>
      <c r="F2498" s="11"/>
      <c r="G2498" s="11" t="s">
        <v>15</v>
      </c>
      <c r="H2498" s="19" t="str">
        <f>IFERROR(VLOOKUP(Table2[[#This Row], [Ticket]],Okey!A:B,2,0),"")</f>
        <v/>
      </c>
      <c r="I2498" s="11" t="s">
        <v>276</v>
      </c>
      <c r="J2498" s="19" t="e">
        <f>VLOOKUP(Table2[[#This Row], [Author]],People!A:B,2,0)</f>
        <v>#VALUE!</v>
      </c>
      <c r="K2498" s="11" t="s">
        <v>3297</v>
      </c>
      <c r="L2498" s="11"/>
      <c r="M2498" s="20" t="s">
        <v>1613</v>
      </c>
    </row>
    <row r="2499" spans="1:13" ht="19.5" customHeight="1">
      <c r="A2499" s="21">
        <f t="shared" si="39"/>
        <v>2498</v>
      </c>
      <c r="B2499" s="13" t="s">
        <v>3295</v>
      </c>
      <c r="C2499" s="13" t="s">
        <v>98</v>
      </c>
      <c r="D2499" s="13" t="s">
        <v>4270</v>
      </c>
      <c r="E2499" s="13" t="s">
        <v>4271</v>
      </c>
      <c r="F2499" s="13"/>
      <c r="G2499" s="13" t="s">
        <v>15</v>
      </c>
      <c r="H2499" s="22" t="str">
        <f>IFERROR(VLOOKUP(Table2[[#This Row], [Ticket]],Okey!A:B,2,0),"")</f>
        <v/>
      </c>
      <c r="I2499" s="13" t="s">
        <v>276</v>
      </c>
      <c r="J2499" s="22" t="e">
        <f>VLOOKUP(Table2[[#This Row], [Author]],People!A:B,2,0)</f>
        <v>#VALUE!</v>
      </c>
      <c r="K2499" s="13" t="s">
        <v>3297</v>
      </c>
      <c r="L2499" s="13"/>
      <c r="M2499" s="23" t="s">
        <v>1613</v>
      </c>
    </row>
    <row r="2500" spans="1:13" ht="19.5" customHeight="1">
      <c r="A2500" s="18">
        <f t="shared" si="39"/>
        <v>2499</v>
      </c>
      <c r="B2500" s="11" t="s">
        <v>3295</v>
      </c>
      <c r="C2500" s="11" t="s">
        <v>98</v>
      </c>
      <c r="D2500" s="11" t="s">
        <v>4272</v>
      </c>
      <c r="E2500" s="11" t="s">
        <v>4273</v>
      </c>
      <c r="F2500" s="11"/>
      <c r="G2500" s="11" t="s">
        <v>15</v>
      </c>
      <c r="H2500" s="19" t="str">
        <f>IFERROR(VLOOKUP(Table2[[#This Row], [Ticket]],Okey!A:B,2,0),"")</f>
        <v/>
      </c>
      <c r="I2500" s="11" t="s">
        <v>276</v>
      </c>
      <c r="J2500" s="19" t="e">
        <f>VLOOKUP(Table2[[#This Row], [Author]],People!A:B,2,0)</f>
        <v>#VALUE!</v>
      </c>
      <c r="K2500" s="11" t="s">
        <v>3297</v>
      </c>
      <c r="L2500" s="11"/>
      <c r="M2500" s="20" t="s">
        <v>1613</v>
      </c>
    </row>
    <row r="2501" spans="1:13" ht="19.5" customHeight="1">
      <c r="A2501" s="21">
        <f t="shared" si="39"/>
        <v>2500</v>
      </c>
      <c r="B2501" s="13" t="s">
        <v>3295</v>
      </c>
      <c r="C2501" s="13" t="s">
        <v>98</v>
      </c>
      <c r="D2501" s="13" t="s">
        <v>4274</v>
      </c>
      <c r="E2501" s="13" t="s">
        <v>4275</v>
      </c>
      <c r="F2501" s="13"/>
      <c r="G2501" s="13" t="s">
        <v>15</v>
      </c>
      <c r="H2501" s="22" t="str">
        <f>IFERROR(VLOOKUP(Table2[[#This Row], [Ticket]],Okey!A:B,2,0),"")</f>
        <v/>
      </c>
      <c r="I2501" s="13" t="s">
        <v>276</v>
      </c>
      <c r="J2501" s="22" t="e">
        <f>VLOOKUP(Table2[[#This Row], [Author]],People!A:B,2,0)</f>
        <v>#VALUE!</v>
      </c>
      <c r="K2501" s="13" t="s">
        <v>3297</v>
      </c>
      <c r="L2501" s="13"/>
      <c r="M2501" s="23" t="s">
        <v>1613</v>
      </c>
    </row>
    <row r="2502" spans="1:13" ht="19.5" customHeight="1">
      <c r="A2502" s="18">
        <f t="shared" si="39"/>
        <v>2501</v>
      </c>
      <c r="B2502" s="11" t="s">
        <v>3295</v>
      </c>
      <c r="C2502" s="11" t="s">
        <v>98</v>
      </c>
      <c r="D2502" s="11" t="s">
        <v>4276</v>
      </c>
      <c r="E2502" s="11" t="s">
        <v>4277</v>
      </c>
      <c r="F2502" s="11"/>
      <c r="G2502" s="11" t="s">
        <v>15</v>
      </c>
      <c r="H2502" s="19" t="str">
        <f>IFERROR(VLOOKUP(Table2[[#This Row], [Ticket]],Okey!A:B,2,0),"")</f>
        <v/>
      </c>
      <c r="I2502" s="11" t="s">
        <v>276</v>
      </c>
      <c r="J2502" s="19" t="e">
        <f>VLOOKUP(Table2[[#This Row], [Author]],People!A:B,2,0)</f>
        <v>#VALUE!</v>
      </c>
      <c r="K2502" s="11" t="s">
        <v>3297</v>
      </c>
      <c r="L2502" s="11"/>
      <c r="M2502" s="20" t="s">
        <v>1613</v>
      </c>
    </row>
    <row r="2503" spans="1:13" ht="19.5" customHeight="1">
      <c r="A2503" s="21">
        <f t="shared" si="39"/>
        <v>2502</v>
      </c>
      <c r="B2503" s="13" t="s">
        <v>3295</v>
      </c>
      <c r="C2503" s="13" t="s">
        <v>98</v>
      </c>
      <c r="D2503" s="13" t="s">
        <v>4278</v>
      </c>
      <c r="E2503" s="13" t="s">
        <v>4279</v>
      </c>
      <c r="F2503" s="13"/>
      <c r="G2503" s="13" t="s">
        <v>15</v>
      </c>
      <c r="H2503" s="22" t="str">
        <f>IFERROR(VLOOKUP(Table2[[#This Row], [Ticket]],Okey!A:B,2,0),"")</f>
        <v/>
      </c>
      <c r="I2503" s="13" t="s">
        <v>276</v>
      </c>
      <c r="J2503" s="22" t="e">
        <f>VLOOKUP(Table2[[#This Row], [Author]],People!A:B,2,0)</f>
        <v>#VALUE!</v>
      </c>
      <c r="K2503" s="13" t="s">
        <v>3297</v>
      </c>
      <c r="L2503" s="13"/>
      <c r="M2503" s="23" t="s">
        <v>1613</v>
      </c>
    </row>
    <row r="2504" spans="1:13" ht="19.5" customHeight="1">
      <c r="A2504" s="18">
        <f t="shared" si="39"/>
        <v>2503</v>
      </c>
      <c r="B2504" s="11" t="s">
        <v>3295</v>
      </c>
      <c r="C2504" s="11" t="s">
        <v>98</v>
      </c>
      <c r="D2504" s="11" t="s">
        <v>4280</v>
      </c>
      <c r="E2504" s="11" t="s">
        <v>4281</v>
      </c>
      <c r="F2504" s="11"/>
      <c r="G2504" s="11" t="s">
        <v>15</v>
      </c>
      <c r="H2504" s="19" t="str">
        <f>IFERROR(VLOOKUP(Table2[[#This Row], [Ticket]],Okey!A:B,2,0),"")</f>
        <v/>
      </c>
      <c r="I2504" s="11" t="s">
        <v>276</v>
      </c>
      <c r="J2504" s="19" t="e">
        <f>VLOOKUP(Table2[[#This Row], [Author]],People!A:B,2,0)</f>
        <v>#VALUE!</v>
      </c>
      <c r="K2504" s="11" t="s">
        <v>3297</v>
      </c>
      <c r="L2504" s="11"/>
      <c r="M2504" s="20" t="s">
        <v>1613</v>
      </c>
    </row>
    <row r="2505" spans="1:13" ht="19.5" customHeight="1">
      <c r="A2505" s="21">
        <f t="shared" si="39"/>
        <v>2504</v>
      </c>
      <c r="B2505" s="13" t="s">
        <v>3295</v>
      </c>
      <c r="C2505" s="13" t="s">
        <v>98</v>
      </c>
      <c r="D2505" s="13" t="s">
        <v>4282</v>
      </c>
      <c r="E2505" s="13" t="s">
        <v>4283</v>
      </c>
      <c r="F2505" s="13"/>
      <c r="G2505" s="13" t="s">
        <v>15</v>
      </c>
      <c r="H2505" s="22" t="str">
        <f>IFERROR(VLOOKUP(Table2[[#This Row], [Ticket]],Okey!A:B,2,0),"")</f>
        <v/>
      </c>
      <c r="I2505" s="13" t="s">
        <v>276</v>
      </c>
      <c r="J2505" s="22" t="e">
        <f>VLOOKUP(Table2[[#This Row], [Author]],People!A:B,2,0)</f>
        <v>#VALUE!</v>
      </c>
      <c r="K2505" s="13" t="s">
        <v>3297</v>
      </c>
      <c r="L2505" s="13"/>
      <c r="M2505" s="23" t="s">
        <v>1613</v>
      </c>
    </row>
    <row r="2506" spans="1:13" ht="19.5" customHeight="1">
      <c r="A2506" s="18">
        <f t="shared" si="39"/>
        <v>2505</v>
      </c>
      <c r="B2506" s="11" t="s">
        <v>3295</v>
      </c>
      <c r="C2506" s="11" t="s">
        <v>98</v>
      </c>
      <c r="D2506" s="11" t="s">
        <v>4284</v>
      </c>
      <c r="E2506" s="11" t="s">
        <v>4285</v>
      </c>
      <c r="F2506" s="11"/>
      <c r="G2506" s="11" t="s">
        <v>15</v>
      </c>
      <c r="H2506" s="19" t="str">
        <f>IFERROR(VLOOKUP(Table2[[#This Row], [Ticket]],Okey!A:B,2,0),"")</f>
        <v/>
      </c>
      <c r="I2506" s="11" t="s">
        <v>276</v>
      </c>
      <c r="J2506" s="19" t="e">
        <f>VLOOKUP(Table2[[#This Row], [Author]],People!A:B,2,0)</f>
        <v>#VALUE!</v>
      </c>
      <c r="K2506" s="11" t="s">
        <v>3297</v>
      </c>
      <c r="L2506" s="11"/>
      <c r="M2506" s="20" t="s">
        <v>1613</v>
      </c>
    </row>
    <row r="2507" spans="1:13" ht="19.5" customHeight="1">
      <c r="A2507" s="21">
        <f t="shared" si="39"/>
        <v>2506</v>
      </c>
      <c r="B2507" s="13" t="s">
        <v>3295</v>
      </c>
      <c r="C2507" s="13" t="s">
        <v>98</v>
      </c>
      <c r="D2507" s="13" t="s">
        <v>4286</v>
      </c>
      <c r="E2507" s="13" t="s">
        <v>4287</v>
      </c>
      <c r="F2507" s="13"/>
      <c r="G2507" s="13" t="s">
        <v>15</v>
      </c>
      <c r="H2507" s="22" t="str">
        <f>IFERROR(VLOOKUP(Table2[[#This Row], [Ticket]],Okey!A:B,2,0),"")</f>
        <v/>
      </c>
      <c r="I2507" s="13" t="s">
        <v>276</v>
      </c>
      <c r="J2507" s="22" t="e">
        <f>VLOOKUP(Table2[[#This Row], [Author]],People!A:B,2,0)</f>
        <v>#VALUE!</v>
      </c>
      <c r="K2507" s="13" t="s">
        <v>3297</v>
      </c>
      <c r="L2507" s="13"/>
      <c r="M2507" s="23" t="s">
        <v>1613</v>
      </c>
    </row>
    <row r="2508" spans="1:13" ht="19.5" customHeight="1">
      <c r="A2508" s="18">
        <f t="shared" si="39"/>
        <v>2507</v>
      </c>
      <c r="B2508" s="11" t="s">
        <v>3295</v>
      </c>
      <c r="C2508" s="11" t="s">
        <v>98</v>
      </c>
      <c r="D2508" s="11" t="s">
        <v>4288</v>
      </c>
      <c r="E2508" s="11" t="s">
        <v>4289</v>
      </c>
      <c r="F2508" s="11"/>
      <c r="G2508" s="11" t="s">
        <v>15</v>
      </c>
      <c r="H2508" s="19" t="str">
        <f>IFERROR(VLOOKUP(Table2[[#This Row], [Ticket]],Okey!A:B,2,0),"")</f>
        <v/>
      </c>
      <c r="I2508" s="11" t="s">
        <v>276</v>
      </c>
      <c r="J2508" s="19" t="e">
        <f>VLOOKUP(Table2[[#This Row], [Author]],People!A:B,2,0)</f>
        <v>#VALUE!</v>
      </c>
      <c r="K2508" s="11" t="s">
        <v>3297</v>
      </c>
      <c r="L2508" s="11"/>
      <c r="M2508" s="20" t="s">
        <v>1613</v>
      </c>
    </row>
    <row r="2509" spans="1:13" ht="19.5" customHeight="1">
      <c r="A2509" s="21">
        <f t="shared" si="39"/>
        <v>2508</v>
      </c>
      <c r="B2509" s="13" t="s">
        <v>3295</v>
      </c>
      <c r="C2509" s="13" t="s">
        <v>98</v>
      </c>
      <c r="D2509" s="13" t="s">
        <v>4290</v>
      </c>
      <c r="E2509" s="13" t="s">
        <v>4291</v>
      </c>
      <c r="F2509" s="13"/>
      <c r="G2509" s="13" t="s">
        <v>15</v>
      </c>
      <c r="H2509" s="22" t="str">
        <f>IFERROR(VLOOKUP(Table2[[#This Row], [Ticket]],Okey!A:B,2,0),"")</f>
        <v/>
      </c>
      <c r="I2509" s="13" t="s">
        <v>276</v>
      </c>
      <c r="J2509" s="22" t="e">
        <f>VLOOKUP(Table2[[#This Row], [Author]],People!A:B,2,0)</f>
        <v>#VALUE!</v>
      </c>
      <c r="K2509" s="13" t="s">
        <v>3297</v>
      </c>
      <c r="L2509" s="13"/>
      <c r="M2509" s="23" t="s">
        <v>1613</v>
      </c>
    </row>
    <row r="2510" spans="1:13" ht="19.5" customHeight="1">
      <c r="A2510" s="18">
        <f t="shared" si="39"/>
        <v>2509</v>
      </c>
      <c r="B2510" s="11" t="s">
        <v>3295</v>
      </c>
      <c r="C2510" s="11" t="s">
        <v>98</v>
      </c>
      <c r="D2510" s="11" t="s">
        <v>2744</v>
      </c>
      <c r="E2510" s="11" t="s">
        <v>4292</v>
      </c>
      <c r="F2510" s="11"/>
      <c r="G2510" s="11" t="s">
        <v>15</v>
      </c>
      <c r="H2510" s="19" t="str">
        <f>IFERROR(VLOOKUP(Table2[[#This Row], [Ticket]],Okey!A:B,2,0),"")</f>
        <v/>
      </c>
      <c r="I2510" s="11" t="s">
        <v>276</v>
      </c>
      <c r="J2510" s="19" t="e">
        <f>VLOOKUP(Table2[[#This Row], [Author]],People!A:B,2,0)</f>
        <v>#VALUE!</v>
      </c>
      <c r="K2510" s="11" t="s">
        <v>3297</v>
      </c>
      <c r="L2510" s="11"/>
      <c r="M2510" s="20" t="s">
        <v>1613</v>
      </c>
    </row>
    <row r="2511" spans="1:13" ht="19.5" customHeight="1">
      <c r="A2511" s="21">
        <f t="shared" si="39"/>
        <v>2510</v>
      </c>
      <c r="B2511" s="13" t="s">
        <v>3295</v>
      </c>
      <c r="C2511" s="13" t="s">
        <v>98</v>
      </c>
      <c r="D2511" s="13" t="s">
        <v>4293</v>
      </c>
      <c r="E2511" s="13" t="s">
        <v>4294</v>
      </c>
      <c r="F2511" s="13"/>
      <c r="G2511" s="13" t="s">
        <v>15</v>
      </c>
      <c r="H2511" s="22" t="str">
        <f>IFERROR(VLOOKUP(Table2[[#This Row], [Ticket]],Okey!A:B,2,0),"")</f>
        <v/>
      </c>
      <c r="I2511" s="13" t="s">
        <v>276</v>
      </c>
      <c r="J2511" s="22" t="e">
        <f>VLOOKUP(Table2[[#This Row], [Author]],People!A:B,2,0)</f>
        <v>#VALUE!</v>
      </c>
      <c r="K2511" s="13" t="s">
        <v>3297</v>
      </c>
      <c r="L2511" s="13"/>
      <c r="M2511" s="23" t="s">
        <v>1613</v>
      </c>
    </row>
    <row r="2512" spans="1:13" ht="19.5" customHeight="1">
      <c r="A2512" s="18">
        <f t="shared" si="39"/>
        <v>2511</v>
      </c>
      <c r="B2512" s="11" t="s">
        <v>3295</v>
      </c>
      <c r="C2512" s="11" t="s">
        <v>98</v>
      </c>
      <c r="D2512" s="11" t="s">
        <v>4295</v>
      </c>
      <c r="E2512" s="11" t="s">
        <v>4296</v>
      </c>
      <c r="F2512" s="11"/>
      <c r="G2512" s="11" t="s">
        <v>15</v>
      </c>
      <c r="H2512" s="19" t="str">
        <f>IFERROR(VLOOKUP(Table2[[#This Row], [Ticket]],Okey!A:B,2,0),"")</f>
        <v/>
      </c>
      <c r="I2512" s="11" t="s">
        <v>276</v>
      </c>
      <c r="J2512" s="19" t="e">
        <f>VLOOKUP(Table2[[#This Row], [Author]],People!A:B,2,0)</f>
        <v>#VALUE!</v>
      </c>
      <c r="K2512" s="11" t="s">
        <v>3297</v>
      </c>
      <c r="L2512" s="11"/>
      <c r="M2512" s="20" t="s">
        <v>1613</v>
      </c>
    </row>
    <row r="2513" spans="1:13" ht="19.5" customHeight="1">
      <c r="A2513" s="21">
        <f t="shared" si="39"/>
        <v>2512</v>
      </c>
      <c r="B2513" s="13" t="s">
        <v>3295</v>
      </c>
      <c r="C2513" s="13" t="s">
        <v>98</v>
      </c>
      <c r="D2513" s="13" t="s">
        <v>4297</v>
      </c>
      <c r="E2513" s="13" t="s">
        <v>4298</v>
      </c>
      <c r="F2513" s="13"/>
      <c r="G2513" s="13" t="s">
        <v>15</v>
      </c>
      <c r="H2513" s="22" t="str">
        <f>IFERROR(VLOOKUP(Table2[[#This Row], [Ticket]],Okey!A:B,2,0),"")</f>
        <v/>
      </c>
      <c r="I2513" s="13" t="s">
        <v>276</v>
      </c>
      <c r="J2513" s="22" t="e">
        <f>VLOOKUP(Table2[[#This Row], [Author]],People!A:B,2,0)</f>
        <v>#VALUE!</v>
      </c>
      <c r="K2513" s="13" t="s">
        <v>3297</v>
      </c>
      <c r="L2513" s="13"/>
      <c r="M2513" s="23" t="s">
        <v>1613</v>
      </c>
    </row>
    <row r="2514" spans="1:13" ht="19.5" customHeight="1">
      <c r="A2514" s="18">
        <f t="shared" si="39"/>
        <v>2513</v>
      </c>
      <c r="B2514" s="11" t="s">
        <v>3295</v>
      </c>
      <c r="C2514" s="11" t="s">
        <v>98</v>
      </c>
      <c r="D2514" s="11" t="s">
        <v>4299</v>
      </c>
      <c r="E2514" s="11" t="s">
        <v>4300</v>
      </c>
      <c r="F2514" s="11"/>
      <c r="G2514" s="11" t="s">
        <v>15</v>
      </c>
      <c r="H2514" s="19" t="str">
        <f>IFERROR(VLOOKUP(Table2[[#This Row], [Ticket]],Okey!A:B,2,0),"")</f>
        <v/>
      </c>
      <c r="I2514" s="11" t="s">
        <v>276</v>
      </c>
      <c r="J2514" s="19" t="e">
        <f>VLOOKUP(Table2[[#This Row], [Author]],People!A:B,2,0)</f>
        <v>#VALUE!</v>
      </c>
      <c r="K2514" s="11" t="s">
        <v>3297</v>
      </c>
      <c r="L2514" s="11"/>
      <c r="M2514" s="20" t="s">
        <v>1613</v>
      </c>
    </row>
    <row r="2515" spans="1:13" ht="19.5" customHeight="1">
      <c r="A2515" s="21">
        <f t="shared" si="39"/>
        <v>2514</v>
      </c>
      <c r="B2515" s="13" t="s">
        <v>3295</v>
      </c>
      <c r="C2515" s="13" t="s">
        <v>98</v>
      </c>
      <c r="D2515" s="13" t="s">
        <v>4301</v>
      </c>
      <c r="E2515" s="13" t="s">
        <v>4302</v>
      </c>
      <c r="F2515" s="13"/>
      <c r="G2515" s="13" t="s">
        <v>15</v>
      </c>
      <c r="H2515" s="22" t="str">
        <f>IFERROR(VLOOKUP(Table2[[#This Row], [Ticket]],Okey!A:B,2,0),"")</f>
        <v/>
      </c>
      <c r="I2515" s="13" t="s">
        <v>276</v>
      </c>
      <c r="J2515" s="22" t="e">
        <f>VLOOKUP(Table2[[#This Row], [Author]],People!A:B,2,0)</f>
        <v>#VALUE!</v>
      </c>
      <c r="K2515" s="13" t="s">
        <v>3297</v>
      </c>
      <c r="L2515" s="13"/>
      <c r="M2515" s="23" t="s">
        <v>1613</v>
      </c>
    </row>
    <row r="2516" spans="1:13" ht="19.5" customHeight="1">
      <c r="A2516" s="18">
        <f t="shared" si="39"/>
        <v>2515</v>
      </c>
      <c r="B2516" s="11" t="s">
        <v>3295</v>
      </c>
      <c r="C2516" s="11" t="s">
        <v>98</v>
      </c>
      <c r="D2516" s="11" t="s">
        <v>4303</v>
      </c>
      <c r="E2516" s="11" t="s">
        <v>4304</v>
      </c>
      <c r="F2516" s="11"/>
      <c r="G2516" s="11" t="s">
        <v>15</v>
      </c>
      <c r="H2516" s="19" t="str">
        <f>IFERROR(VLOOKUP(Table2[[#This Row], [Ticket]],Okey!A:B,2,0),"")</f>
        <v/>
      </c>
      <c r="I2516" s="11" t="s">
        <v>276</v>
      </c>
      <c r="J2516" s="19" t="e">
        <f>VLOOKUP(Table2[[#This Row], [Author]],People!A:B,2,0)</f>
        <v>#VALUE!</v>
      </c>
      <c r="K2516" s="11" t="s">
        <v>3297</v>
      </c>
      <c r="L2516" s="11"/>
      <c r="M2516" s="20" t="s">
        <v>1613</v>
      </c>
    </row>
    <row r="2517" spans="1:13" ht="19.5" customHeight="1">
      <c r="A2517" s="21">
        <f t="shared" si="39"/>
        <v>2516</v>
      </c>
      <c r="B2517" s="13" t="s">
        <v>3295</v>
      </c>
      <c r="C2517" s="13" t="s">
        <v>98</v>
      </c>
      <c r="D2517" s="13" t="s">
        <v>4305</v>
      </c>
      <c r="E2517" s="13" t="s">
        <v>4306</v>
      </c>
      <c r="F2517" s="13"/>
      <c r="G2517" s="13" t="s">
        <v>15</v>
      </c>
      <c r="H2517" s="22" t="str">
        <f>IFERROR(VLOOKUP(Table2[[#This Row], [Ticket]],Okey!A:B,2,0),"")</f>
        <v/>
      </c>
      <c r="I2517" s="13" t="s">
        <v>276</v>
      </c>
      <c r="J2517" s="22" t="e">
        <f>VLOOKUP(Table2[[#This Row], [Author]],People!A:B,2,0)</f>
        <v>#VALUE!</v>
      </c>
      <c r="K2517" s="13" t="s">
        <v>3297</v>
      </c>
      <c r="L2517" s="13"/>
      <c r="M2517" s="23" t="s">
        <v>1613</v>
      </c>
    </row>
    <row r="2518" spans="1:13" ht="19.5" customHeight="1">
      <c r="A2518" s="18">
        <f t="shared" si="39"/>
        <v>2517</v>
      </c>
      <c r="B2518" s="11" t="s">
        <v>3295</v>
      </c>
      <c r="C2518" s="11" t="s">
        <v>98</v>
      </c>
      <c r="D2518" s="11" t="s">
        <v>4307</v>
      </c>
      <c r="E2518" s="11" t="s">
        <v>4308</v>
      </c>
      <c r="F2518" s="11"/>
      <c r="G2518" s="11" t="s">
        <v>15</v>
      </c>
      <c r="H2518" s="19" t="str">
        <f>IFERROR(VLOOKUP(Table2[[#This Row], [Ticket]],Okey!A:B,2,0),"")</f>
        <v/>
      </c>
      <c r="I2518" s="11" t="s">
        <v>276</v>
      </c>
      <c r="J2518" s="19" t="e">
        <f>VLOOKUP(Table2[[#This Row], [Author]],People!A:B,2,0)</f>
        <v>#VALUE!</v>
      </c>
      <c r="K2518" s="11" t="s">
        <v>3297</v>
      </c>
      <c r="L2518" s="11"/>
      <c r="M2518" s="20" t="s">
        <v>1613</v>
      </c>
    </row>
    <row r="2519" spans="1:13" ht="19.5" customHeight="1">
      <c r="A2519" s="21">
        <f t="shared" si="39"/>
        <v>2518</v>
      </c>
      <c r="B2519" s="13" t="s">
        <v>3295</v>
      </c>
      <c r="C2519" s="13" t="s">
        <v>98</v>
      </c>
      <c r="D2519" s="13" t="s">
        <v>4309</v>
      </c>
      <c r="E2519" s="13" t="s">
        <v>4310</v>
      </c>
      <c r="F2519" s="13"/>
      <c r="G2519" s="13" t="s">
        <v>15</v>
      </c>
      <c r="H2519" s="22" t="str">
        <f>IFERROR(VLOOKUP(Table2[[#This Row], [Ticket]],Okey!A:B,2,0),"")</f>
        <v/>
      </c>
      <c r="I2519" s="13" t="s">
        <v>276</v>
      </c>
      <c r="J2519" s="22" t="e">
        <f>VLOOKUP(Table2[[#This Row], [Author]],People!A:B,2,0)</f>
        <v>#VALUE!</v>
      </c>
      <c r="K2519" s="13" t="s">
        <v>3297</v>
      </c>
      <c r="L2519" s="13"/>
      <c r="M2519" s="23" t="s">
        <v>1613</v>
      </c>
    </row>
    <row r="2520" spans="1:13" ht="19.5" customHeight="1">
      <c r="A2520" s="18">
        <f t="shared" si="39"/>
        <v>2519</v>
      </c>
      <c r="B2520" s="11" t="s">
        <v>3295</v>
      </c>
      <c r="C2520" s="11" t="s">
        <v>98</v>
      </c>
      <c r="D2520" s="11" t="s">
        <v>4311</v>
      </c>
      <c r="E2520" s="11" t="s">
        <v>4312</v>
      </c>
      <c r="F2520" s="11"/>
      <c r="G2520" s="11" t="s">
        <v>15</v>
      </c>
      <c r="H2520" s="19" t="str">
        <f>IFERROR(VLOOKUP(Table2[[#This Row], [Ticket]],Okey!A:B,2,0),"")</f>
        <v/>
      </c>
      <c r="I2520" s="11" t="s">
        <v>276</v>
      </c>
      <c r="J2520" s="19" t="e">
        <f>VLOOKUP(Table2[[#This Row], [Author]],People!A:B,2,0)</f>
        <v>#VALUE!</v>
      </c>
      <c r="K2520" s="11" t="s">
        <v>3297</v>
      </c>
      <c r="L2520" s="11"/>
      <c r="M2520" s="20" t="s">
        <v>1613</v>
      </c>
    </row>
    <row r="2521" spans="1:13" ht="19.5" customHeight="1">
      <c r="A2521" s="21">
        <f t="shared" si="39"/>
        <v>2520</v>
      </c>
      <c r="B2521" s="13" t="s">
        <v>3295</v>
      </c>
      <c r="C2521" s="13" t="s">
        <v>98</v>
      </c>
      <c r="D2521" s="13" t="s">
        <v>4313</v>
      </c>
      <c r="E2521" s="13" t="s">
        <v>4314</v>
      </c>
      <c r="F2521" s="13"/>
      <c r="G2521" s="13" t="s">
        <v>15</v>
      </c>
      <c r="H2521" s="22" t="str">
        <f>IFERROR(VLOOKUP(Table2[[#This Row], [Ticket]],Okey!A:B,2,0),"")</f>
        <v/>
      </c>
      <c r="I2521" s="13" t="s">
        <v>276</v>
      </c>
      <c r="J2521" s="22" t="e">
        <f>VLOOKUP(Table2[[#This Row], [Author]],People!A:B,2,0)</f>
        <v>#VALUE!</v>
      </c>
      <c r="K2521" s="13" t="s">
        <v>3297</v>
      </c>
      <c r="L2521" s="13"/>
      <c r="M2521" s="23" t="s">
        <v>1613</v>
      </c>
    </row>
    <row r="2522" spans="1:13" ht="19.5" customHeight="1">
      <c r="A2522" s="18">
        <f t="shared" si="39"/>
        <v>2521</v>
      </c>
      <c r="B2522" s="11" t="s">
        <v>3295</v>
      </c>
      <c r="C2522" s="11" t="s">
        <v>98</v>
      </c>
      <c r="D2522" s="11" t="s">
        <v>4315</v>
      </c>
      <c r="E2522" s="11" t="s">
        <v>4316</v>
      </c>
      <c r="F2522" s="11"/>
      <c r="G2522" s="11" t="s">
        <v>15</v>
      </c>
      <c r="H2522" s="19" t="str">
        <f>IFERROR(VLOOKUP(Table2[[#This Row], [Ticket]],Okey!A:B,2,0),"")</f>
        <v/>
      </c>
      <c r="I2522" s="11" t="s">
        <v>276</v>
      </c>
      <c r="J2522" s="19" t="e">
        <f>VLOOKUP(Table2[[#This Row], [Author]],People!A:B,2,0)</f>
        <v>#VALUE!</v>
      </c>
      <c r="K2522" s="11" t="s">
        <v>3297</v>
      </c>
      <c r="L2522" s="11"/>
      <c r="M2522" s="20" t="s">
        <v>1613</v>
      </c>
    </row>
    <row r="2523" spans="1:13" ht="19.5" customHeight="1">
      <c r="A2523" s="21">
        <f t="shared" si="39"/>
        <v>2522</v>
      </c>
      <c r="B2523" s="13" t="s">
        <v>3295</v>
      </c>
      <c r="C2523" s="13" t="s">
        <v>98</v>
      </c>
      <c r="D2523" s="13" t="s">
        <v>4317</v>
      </c>
      <c r="E2523" s="13" t="s">
        <v>4318</v>
      </c>
      <c r="F2523" s="13"/>
      <c r="G2523" s="13" t="s">
        <v>15</v>
      </c>
      <c r="H2523" s="22" t="str">
        <f>IFERROR(VLOOKUP(Table2[[#This Row], [Ticket]],Okey!A:B,2,0),"")</f>
        <v/>
      </c>
      <c r="I2523" s="13" t="s">
        <v>276</v>
      </c>
      <c r="J2523" s="22" t="e">
        <f>VLOOKUP(Table2[[#This Row], [Author]],People!A:B,2,0)</f>
        <v>#VALUE!</v>
      </c>
      <c r="K2523" s="13" t="s">
        <v>3297</v>
      </c>
      <c r="L2523" s="13"/>
      <c r="M2523" s="23" t="s">
        <v>1613</v>
      </c>
    </row>
    <row r="2524" spans="1:13" ht="19.5" customHeight="1">
      <c r="A2524" s="18">
        <f t="shared" si="39"/>
        <v>2523</v>
      </c>
      <c r="B2524" s="11" t="s">
        <v>3295</v>
      </c>
      <c r="C2524" s="11" t="s">
        <v>98</v>
      </c>
      <c r="D2524" s="11" t="s">
        <v>4319</v>
      </c>
      <c r="E2524" s="11" t="s">
        <v>4320</v>
      </c>
      <c r="F2524" s="11"/>
      <c r="G2524" s="11" t="s">
        <v>15</v>
      </c>
      <c r="H2524" s="19" t="str">
        <f>IFERROR(VLOOKUP(Table2[[#This Row], [Ticket]],Okey!A:B,2,0),"")</f>
        <v/>
      </c>
      <c r="I2524" s="11" t="s">
        <v>276</v>
      </c>
      <c r="J2524" s="19" t="e">
        <f>VLOOKUP(Table2[[#This Row], [Author]],People!A:B,2,0)</f>
        <v>#VALUE!</v>
      </c>
      <c r="K2524" s="11" t="s">
        <v>3297</v>
      </c>
      <c r="L2524" s="11"/>
      <c r="M2524" s="20" t="s">
        <v>1613</v>
      </c>
    </row>
    <row r="2525" spans="1:13" ht="19.5" customHeight="1">
      <c r="A2525" s="21">
        <f t="shared" si="39"/>
        <v>2524</v>
      </c>
      <c r="B2525" s="13" t="s">
        <v>3295</v>
      </c>
      <c r="C2525" s="13" t="s">
        <v>98</v>
      </c>
      <c r="D2525" s="13" t="s">
        <v>4321</v>
      </c>
      <c r="E2525" s="13" t="s">
        <v>4322</v>
      </c>
      <c r="F2525" s="13"/>
      <c r="G2525" s="13" t="s">
        <v>15</v>
      </c>
      <c r="H2525" s="22" t="str">
        <f>IFERROR(VLOOKUP(Table2[[#This Row], [Ticket]],Okey!A:B,2,0),"")</f>
        <v/>
      </c>
      <c r="I2525" s="13" t="s">
        <v>276</v>
      </c>
      <c r="J2525" s="22" t="e">
        <f>VLOOKUP(Table2[[#This Row], [Author]],People!A:B,2,0)</f>
        <v>#VALUE!</v>
      </c>
      <c r="K2525" s="13" t="s">
        <v>3297</v>
      </c>
      <c r="L2525" s="13"/>
      <c r="M2525" s="23" t="s">
        <v>1613</v>
      </c>
    </row>
    <row r="2526" spans="1:13" ht="19.5" customHeight="1">
      <c r="A2526" s="18">
        <f t="shared" si="39"/>
        <v>2525</v>
      </c>
      <c r="B2526" s="11" t="s">
        <v>3295</v>
      </c>
      <c r="C2526" s="11" t="s">
        <v>98</v>
      </c>
      <c r="D2526" s="11" t="s">
        <v>4323</v>
      </c>
      <c r="E2526" s="11" t="s">
        <v>4324</v>
      </c>
      <c r="F2526" s="11"/>
      <c r="G2526" s="11" t="s">
        <v>15</v>
      </c>
      <c r="H2526" s="19" t="str">
        <f>IFERROR(VLOOKUP(Table2[[#This Row], [Ticket]],Okey!A:B,2,0),"")</f>
        <v/>
      </c>
      <c r="I2526" s="11" t="s">
        <v>276</v>
      </c>
      <c r="J2526" s="19" t="e">
        <f>VLOOKUP(Table2[[#This Row], [Author]],People!A:B,2,0)</f>
        <v>#VALUE!</v>
      </c>
      <c r="K2526" s="11" t="s">
        <v>3297</v>
      </c>
      <c r="L2526" s="11"/>
      <c r="M2526" s="20" t="s">
        <v>1613</v>
      </c>
    </row>
    <row r="2527" spans="1:13" ht="19.5" customHeight="1">
      <c r="A2527" s="21">
        <f t="shared" si="39"/>
        <v>2526</v>
      </c>
      <c r="B2527" s="13" t="s">
        <v>3295</v>
      </c>
      <c r="C2527" s="13" t="s">
        <v>98</v>
      </c>
      <c r="D2527" s="13" t="s">
        <v>4325</v>
      </c>
      <c r="E2527" s="13" t="s">
        <v>4326</v>
      </c>
      <c r="F2527" s="13"/>
      <c r="G2527" s="13" t="s">
        <v>15</v>
      </c>
      <c r="H2527" s="22" t="str">
        <f>IFERROR(VLOOKUP(Table2[[#This Row], [Ticket]],Okey!A:B,2,0),"")</f>
        <v/>
      </c>
      <c r="I2527" s="13" t="s">
        <v>276</v>
      </c>
      <c r="J2527" s="22" t="e">
        <f>VLOOKUP(Table2[[#This Row], [Author]],People!A:B,2,0)</f>
        <v>#VALUE!</v>
      </c>
      <c r="K2527" s="13" t="s">
        <v>3297</v>
      </c>
      <c r="L2527" s="13"/>
      <c r="M2527" s="23" t="s">
        <v>1613</v>
      </c>
    </row>
    <row r="2528" spans="1:13" ht="19.5" customHeight="1">
      <c r="A2528" s="18">
        <f t="shared" si="39"/>
        <v>2527</v>
      </c>
      <c r="B2528" s="11" t="s">
        <v>3295</v>
      </c>
      <c r="C2528" s="11" t="s">
        <v>98</v>
      </c>
      <c r="D2528" s="11" t="s">
        <v>4327</v>
      </c>
      <c r="E2528" s="11" t="s">
        <v>4328</v>
      </c>
      <c r="F2528" s="11"/>
      <c r="G2528" s="11" t="s">
        <v>15</v>
      </c>
      <c r="H2528" s="19" t="str">
        <f>IFERROR(VLOOKUP(Table2[[#This Row], [Ticket]],Okey!A:B,2,0),"")</f>
        <v/>
      </c>
      <c r="I2528" s="11" t="s">
        <v>276</v>
      </c>
      <c r="J2528" s="19" t="e">
        <f>VLOOKUP(Table2[[#This Row], [Author]],People!A:B,2,0)</f>
        <v>#VALUE!</v>
      </c>
      <c r="K2528" s="11" t="s">
        <v>3297</v>
      </c>
      <c r="L2528" s="11"/>
      <c r="M2528" s="20" t="s">
        <v>1613</v>
      </c>
    </row>
    <row r="2529" spans="1:13" ht="19.5" customHeight="1">
      <c r="A2529" s="21">
        <f t="shared" si="39"/>
        <v>2528</v>
      </c>
      <c r="B2529" s="13" t="s">
        <v>3295</v>
      </c>
      <c r="C2529" s="13" t="s">
        <v>98</v>
      </c>
      <c r="D2529" s="13" t="s">
        <v>4329</v>
      </c>
      <c r="E2529" s="13" t="s">
        <v>4330</v>
      </c>
      <c r="F2529" s="13"/>
      <c r="G2529" s="13" t="s">
        <v>15</v>
      </c>
      <c r="H2529" s="22" t="str">
        <f>IFERROR(VLOOKUP(Table2[[#This Row], [Ticket]],Okey!A:B,2,0),"")</f>
        <v/>
      </c>
      <c r="I2529" s="13" t="s">
        <v>276</v>
      </c>
      <c r="J2529" s="22" t="e">
        <f>VLOOKUP(Table2[[#This Row], [Author]],People!A:B,2,0)</f>
        <v>#VALUE!</v>
      </c>
      <c r="K2529" s="13" t="s">
        <v>3297</v>
      </c>
      <c r="L2529" s="13"/>
      <c r="M2529" s="23" t="s">
        <v>1613</v>
      </c>
    </row>
    <row r="2530" spans="1:13" ht="19.5" customHeight="1">
      <c r="A2530" s="18">
        <f t="shared" si="39"/>
        <v>2529</v>
      </c>
      <c r="B2530" s="11" t="s">
        <v>3295</v>
      </c>
      <c r="C2530" s="11" t="s">
        <v>98</v>
      </c>
      <c r="D2530" s="11" t="s">
        <v>4331</v>
      </c>
      <c r="E2530" s="11" t="s">
        <v>4332</v>
      </c>
      <c r="F2530" s="11"/>
      <c r="G2530" s="11" t="s">
        <v>15</v>
      </c>
      <c r="H2530" s="19" t="str">
        <f>IFERROR(VLOOKUP(Table2[[#This Row], [Ticket]],Okey!A:B,2,0),"")</f>
        <v/>
      </c>
      <c r="I2530" s="11" t="s">
        <v>276</v>
      </c>
      <c r="J2530" s="19" t="e">
        <f>VLOOKUP(Table2[[#This Row], [Author]],People!A:B,2,0)</f>
        <v>#VALUE!</v>
      </c>
      <c r="K2530" s="11" t="s">
        <v>3297</v>
      </c>
      <c r="L2530" s="11"/>
      <c r="M2530" s="20" t="s">
        <v>1613</v>
      </c>
    </row>
    <row r="2531" spans="1:13" ht="19.5" customHeight="1">
      <c r="A2531" s="21">
        <f t="shared" ref="A2531:A2594" si="40">1+A2530</f>
        <v>2530</v>
      </c>
      <c r="B2531" s="13" t="s">
        <v>3295</v>
      </c>
      <c r="C2531" s="13" t="s">
        <v>98</v>
      </c>
      <c r="D2531" s="13" t="s">
        <v>4333</v>
      </c>
      <c r="E2531" s="13" t="s">
        <v>4334</v>
      </c>
      <c r="F2531" s="13"/>
      <c r="G2531" s="13" t="s">
        <v>15</v>
      </c>
      <c r="H2531" s="22" t="str">
        <f>IFERROR(VLOOKUP(Table2[[#This Row], [Ticket]],Okey!A:B,2,0),"")</f>
        <v/>
      </c>
      <c r="I2531" s="13" t="s">
        <v>276</v>
      </c>
      <c r="J2531" s="22" t="e">
        <f>VLOOKUP(Table2[[#This Row], [Author]],People!A:B,2,0)</f>
        <v>#VALUE!</v>
      </c>
      <c r="K2531" s="13" t="s">
        <v>3297</v>
      </c>
      <c r="L2531" s="13"/>
      <c r="M2531" s="23" t="s">
        <v>1613</v>
      </c>
    </row>
    <row r="2532" spans="1:13" ht="19.5" customHeight="1">
      <c r="A2532" s="18">
        <f t="shared" si="40"/>
        <v>2531</v>
      </c>
      <c r="B2532" s="11" t="s">
        <v>3295</v>
      </c>
      <c r="C2532" s="11" t="s">
        <v>98</v>
      </c>
      <c r="D2532" s="11" t="s">
        <v>4335</v>
      </c>
      <c r="E2532" s="11" t="s">
        <v>4336</v>
      </c>
      <c r="F2532" s="11"/>
      <c r="G2532" s="11" t="s">
        <v>15</v>
      </c>
      <c r="H2532" s="19" t="str">
        <f>IFERROR(VLOOKUP(Table2[[#This Row], [Ticket]],Okey!A:B,2,0),"")</f>
        <v/>
      </c>
      <c r="I2532" s="11" t="s">
        <v>276</v>
      </c>
      <c r="J2532" s="19" t="e">
        <f>VLOOKUP(Table2[[#This Row], [Author]],People!A:B,2,0)</f>
        <v>#VALUE!</v>
      </c>
      <c r="K2532" s="11" t="s">
        <v>3297</v>
      </c>
      <c r="L2532" s="11"/>
      <c r="M2532" s="20" t="s">
        <v>1613</v>
      </c>
    </row>
    <row r="2533" spans="1:13" ht="19.5" customHeight="1">
      <c r="A2533" s="21">
        <f t="shared" si="40"/>
        <v>2532</v>
      </c>
      <c r="B2533" s="13" t="s">
        <v>3295</v>
      </c>
      <c r="C2533" s="13" t="s">
        <v>98</v>
      </c>
      <c r="D2533" s="13" t="s">
        <v>2786</v>
      </c>
      <c r="E2533" s="13" t="s">
        <v>4337</v>
      </c>
      <c r="F2533" s="13"/>
      <c r="G2533" s="13" t="s">
        <v>15</v>
      </c>
      <c r="H2533" s="22" t="str">
        <f>IFERROR(VLOOKUP(Table2[[#This Row], [Ticket]],Okey!A:B,2,0),"")</f>
        <v/>
      </c>
      <c r="I2533" s="13" t="s">
        <v>276</v>
      </c>
      <c r="J2533" s="22" t="e">
        <f>VLOOKUP(Table2[[#This Row], [Author]],People!A:B,2,0)</f>
        <v>#VALUE!</v>
      </c>
      <c r="K2533" s="13" t="s">
        <v>3297</v>
      </c>
      <c r="L2533" s="13"/>
      <c r="M2533" s="23" t="s">
        <v>1613</v>
      </c>
    </row>
    <row r="2534" spans="1:13" ht="19.5" customHeight="1">
      <c r="A2534" s="18">
        <f t="shared" si="40"/>
        <v>2533</v>
      </c>
      <c r="B2534" s="11" t="s">
        <v>3295</v>
      </c>
      <c r="C2534" s="11" t="s">
        <v>98</v>
      </c>
      <c r="D2534" s="11" t="s">
        <v>2788</v>
      </c>
      <c r="E2534" s="11" t="s">
        <v>4338</v>
      </c>
      <c r="F2534" s="11"/>
      <c r="G2534" s="11" t="s">
        <v>15</v>
      </c>
      <c r="H2534" s="19" t="str">
        <f>IFERROR(VLOOKUP(Table2[[#This Row], [Ticket]],Okey!A:B,2,0),"")</f>
        <v/>
      </c>
      <c r="I2534" s="11" t="s">
        <v>276</v>
      </c>
      <c r="J2534" s="19" t="e">
        <f>VLOOKUP(Table2[[#This Row], [Author]],People!A:B,2,0)</f>
        <v>#VALUE!</v>
      </c>
      <c r="K2534" s="11" t="s">
        <v>3297</v>
      </c>
      <c r="L2534" s="11"/>
      <c r="M2534" s="20" t="s">
        <v>1613</v>
      </c>
    </row>
    <row r="2535" spans="1:13" ht="19.5" customHeight="1">
      <c r="A2535" s="21">
        <f t="shared" si="40"/>
        <v>2534</v>
      </c>
      <c r="B2535" s="13" t="s">
        <v>3295</v>
      </c>
      <c r="C2535" s="13" t="s">
        <v>98</v>
      </c>
      <c r="D2535" s="13" t="s">
        <v>2790</v>
      </c>
      <c r="E2535" s="13" t="s">
        <v>4339</v>
      </c>
      <c r="F2535" s="13"/>
      <c r="G2535" s="13" t="s">
        <v>15</v>
      </c>
      <c r="H2535" s="22" t="str">
        <f>IFERROR(VLOOKUP(Table2[[#This Row], [Ticket]],Okey!A:B,2,0),"")</f>
        <v/>
      </c>
      <c r="I2535" s="13" t="s">
        <v>276</v>
      </c>
      <c r="J2535" s="22" t="e">
        <f>VLOOKUP(Table2[[#This Row], [Author]],People!A:B,2,0)</f>
        <v>#VALUE!</v>
      </c>
      <c r="K2535" s="13" t="s">
        <v>3297</v>
      </c>
      <c r="L2535" s="13"/>
      <c r="M2535" s="23" t="s">
        <v>1613</v>
      </c>
    </row>
    <row r="2536" spans="1:13" ht="19.5" customHeight="1">
      <c r="A2536" s="18">
        <f t="shared" si="40"/>
        <v>2535</v>
      </c>
      <c r="B2536" s="11" t="s">
        <v>3295</v>
      </c>
      <c r="C2536" s="11" t="s">
        <v>98</v>
      </c>
      <c r="D2536" s="11" t="s">
        <v>2792</v>
      </c>
      <c r="E2536" s="11" t="s">
        <v>4340</v>
      </c>
      <c r="F2536" s="11"/>
      <c r="G2536" s="11" t="s">
        <v>15</v>
      </c>
      <c r="H2536" s="19" t="str">
        <f>IFERROR(VLOOKUP(Table2[[#This Row], [Ticket]],Okey!A:B,2,0),"")</f>
        <v/>
      </c>
      <c r="I2536" s="11" t="s">
        <v>276</v>
      </c>
      <c r="J2536" s="19" t="e">
        <f>VLOOKUP(Table2[[#This Row], [Author]],People!A:B,2,0)</f>
        <v>#VALUE!</v>
      </c>
      <c r="K2536" s="11" t="s">
        <v>3297</v>
      </c>
      <c r="L2536" s="11"/>
      <c r="M2536" s="20" t="s">
        <v>1613</v>
      </c>
    </row>
    <row r="2537" spans="1:13" ht="19.5" customHeight="1">
      <c r="A2537" s="21">
        <f t="shared" si="40"/>
        <v>2536</v>
      </c>
      <c r="B2537" s="13" t="s">
        <v>3295</v>
      </c>
      <c r="C2537" s="13" t="s">
        <v>98</v>
      </c>
      <c r="D2537" s="13" t="s">
        <v>2794</v>
      </c>
      <c r="E2537" s="13" t="s">
        <v>4341</v>
      </c>
      <c r="F2537" s="13"/>
      <c r="G2537" s="13" t="s">
        <v>15</v>
      </c>
      <c r="H2537" s="22" t="str">
        <f>IFERROR(VLOOKUP(Table2[[#This Row], [Ticket]],Okey!A:B,2,0),"")</f>
        <v/>
      </c>
      <c r="I2537" s="13" t="s">
        <v>276</v>
      </c>
      <c r="J2537" s="22" t="e">
        <f>VLOOKUP(Table2[[#This Row], [Author]],People!A:B,2,0)</f>
        <v>#VALUE!</v>
      </c>
      <c r="K2537" s="13" t="s">
        <v>3297</v>
      </c>
      <c r="L2537" s="13"/>
      <c r="M2537" s="23" t="s">
        <v>1613</v>
      </c>
    </row>
    <row r="2538" spans="1:13" ht="19.5" customHeight="1">
      <c r="A2538" s="18">
        <f t="shared" si="40"/>
        <v>2537</v>
      </c>
      <c r="B2538" s="11" t="s">
        <v>3295</v>
      </c>
      <c r="C2538" s="11" t="s">
        <v>98</v>
      </c>
      <c r="D2538" s="11" t="s">
        <v>2796</v>
      </c>
      <c r="E2538" s="11" t="s">
        <v>4342</v>
      </c>
      <c r="F2538" s="11"/>
      <c r="G2538" s="11" t="s">
        <v>15</v>
      </c>
      <c r="H2538" s="19" t="str">
        <f>IFERROR(VLOOKUP(Table2[[#This Row], [Ticket]],Okey!A:B,2,0),"")</f>
        <v/>
      </c>
      <c r="I2538" s="11" t="s">
        <v>276</v>
      </c>
      <c r="J2538" s="19" t="e">
        <f>VLOOKUP(Table2[[#This Row], [Author]],People!A:B,2,0)</f>
        <v>#VALUE!</v>
      </c>
      <c r="K2538" s="11" t="s">
        <v>3297</v>
      </c>
      <c r="L2538" s="11"/>
      <c r="M2538" s="20" t="s">
        <v>1613</v>
      </c>
    </row>
    <row r="2539" spans="1:13" ht="19.5" customHeight="1">
      <c r="A2539" s="21">
        <f t="shared" si="40"/>
        <v>2538</v>
      </c>
      <c r="B2539" s="13" t="s">
        <v>3295</v>
      </c>
      <c r="C2539" s="13" t="s">
        <v>98</v>
      </c>
      <c r="D2539" s="13" t="s">
        <v>2798</v>
      </c>
      <c r="E2539" s="13" t="s">
        <v>4343</v>
      </c>
      <c r="F2539" s="13"/>
      <c r="G2539" s="13" t="s">
        <v>15</v>
      </c>
      <c r="H2539" s="22" t="str">
        <f>IFERROR(VLOOKUP(Table2[[#This Row], [Ticket]],Okey!A:B,2,0),"")</f>
        <v/>
      </c>
      <c r="I2539" s="13" t="s">
        <v>276</v>
      </c>
      <c r="J2539" s="22" t="e">
        <f>VLOOKUP(Table2[[#This Row], [Author]],People!A:B,2,0)</f>
        <v>#VALUE!</v>
      </c>
      <c r="K2539" s="13" t="s">
        <v>3297</v>
      </c>
      <c r="L2539" s="13"/>
      <c r="M2539" s="23" t="s">
        <v>1613</v>
      </c>
    </row>
    <row r="2540" spans="1:13" ht="19.5" customHeight="1">
      <c r="A2540" s="18">
        <f t="shared" si="40"/>
        <v>2539</v>
      </c>
      <c r="B2540" s="11" t="s">
        <v>3295</v>
      </c>
      <c r="C2540" s="11" t="s">
        <v>98</v>
      </c>
      <c r="D2540" s="11" t="s">
        <v>2800</v>
      </c>
      <c r="E2540" s="11" t="s">
        <v>4344</v>
      </c>
      <c r="F2540" s="11"/>
      <c r="G2540" s="11" t="s">
        <v>15</v>
      </c>
      <c r="H2540" s="19" t="str">
        <f>IFERROR(VLOOKUP(Table2[[#This Row], [Ticket]],Okey!A:B,2,0),"")</f>
        <v/>
      </c>
      <c r="I2540" s="11" t="s">
        <v>276</v>
      </c>
      <c r="J2540" s="19" t="e">
        <f>VLOOKUP(Table2[[#This Row], [Author]],People!A:B,2,0)</f>
        <v>#VALUE!</v>
      </c>
      <c r="K2540" s="11" t="s">
        <v>3297</v>
      </c>
      <c r="L2540" s="11"/>
      <c r="M2540" s="20" t="s">
        <v>1613</v>
      </c>
    </row>
    <row r="2541" spans="1:13" ht="19.5" customHeight="1">
      <c r="A2541" s="21">
        <f t="shared" si="40"/>
        <v>2540</v>
      </c>
      <c r="B2541" s="13" t="s">
        <v>3295</v>
      </c>
      <c r="C2541" s="13" t="s">
        <v>98</v>
      </c>
      <c r="D2541" s="13" t="s">
        <v>2802</v>
      </c>
      <c r="E2541" s="13" t="s">
        <v>4345</v>
      </c>
      <c r="F2541" s="13"/>
      <c r="G2541" s="13" t="s">
        <v>15</v>
      </c>
      <c r="H2541" s="22" t="str">
        <f>IFERROR(VLOOKUP(Table2[[#This Row], [Ticket]],Okey!A:B,2,0),"")</f>
        <v/>
      </c>
      <c r="I2541" s="13" t="s">
        <v>276</v>
      </c>
      <c r="J2541" s="22" t="e">
        <f>VLOOKUP(Table2[[#This Row], [Author]],People!A:B,2,0)</f>
        <v>#VALUE!</v>
      </c>
      <c r="K2541" s="13" t="s">
        <v>3297</v>
      </c>
      <c r="L2541" s="13"/>
      <c r="M2541" s="23" t="s">
        <v>1613</v>
      </c>
    </row>
    <row r="2542" spans="1:13" ht="19.5" customHeight="1">
      <c r="A2542" s="18">
        <f t="shared" si="40"/>
        <v>2541</v>
      </c>
      <c r="B2542" s="11" t="s">
        <v>3295</v>
      </c>
      <c r="C2542" s="11" t="s">
        <v>98</v>
      </c>
      <c r="D2542" s="11" t="s">
        <v>2804</v>
      </c>
      <c r="E2542" s="11" t="s">
        <v>4346</v>
      </c>
      <c r="F2542" s="11"/>
      <c r="G2542" s="11" t="s">
        <v>15</v>
      </c>
      <c r="H2542" s="19" t="str">
        <f>IFERROR(VLOOKUP(Table2[[#This Row], [Ticket]],Okey!A:B,2,0),"")</f>
        <v/>
      </c>
      <c r="I2542" s="11" t="s">
        <v>276</v>
      </c>
      <c r="J2542" s="19" t="e">
        <f>VLOOKUP(Table2[[#This Row], [Author]],People!A:B,2,0)</f>
        <v>#VALUE!</v>
      </c>
      <c r="K2542" s="11" t="s">
        <v>3297</v>
      </c>
      <c r="L2542" s="11"/>
      <c r="M2542" s="20" t="s">
        <v>1613</v>
      </c>
    </row>
    <row r="2543" spans="1:13" ht="19.5" customHeight="1">
      <c r="A2543" s="21">
        <f t="shared" si="40"/>
        <v>2542</v>
      </c>
      <c r="B2543" s="13" t="s">
        <v>3295</v>
      </c>
      <c r="C2543" s="13" t="s">
        <v>98</v>
      </c>
      <c r="D2543" s="13" t="s">
        <v>4347</v>
      </c>
      <c r="E2543" s="13" t="s">
        <v>4348</v>
      </c>
      <c r="F2543" s="13"/>
      <c r="G2543" s="13" t="s">
        <v>15</v>
      </c>
      <c r="H2543" s="22" t="str">
        <f>IFERROR(VLOOKUP(Table2[[#This Row], [Ticket]],Okey!A:B,2,0),"")</f>
        <v/>
      </c>
      <c r="I2543" s="13" t="s">
        <v>276</v>
      </c>
      <c r="J2543" s="22" t="e">
        <f>VLOOKUP(Table2[[#This Row], [Author]],People!A:B,2,0)</f>
        <v>#VALUE!</v>
      </c>
      <c r="K2543" s="13" t="s">
        <v>3297</v>
      </c>
      <c r="L2543" s="13"/>
      <c r="M2543" s="23" t="s">
        <v>1613</v>
      </c>
    </row>
    <row r="2544" spans="1:13" ht="19.5" customHeight="1">
      <c r="A2544" s="18">
        <f t="shared" si="40"/>
        <v>2543</v>
      </c>
      <c r="B2544" s="11" t="s">
        <v>3295</v>
      </c>
      <c r="C2544" s="11" t="s">
        <v>98</v>
      </c>
      <c r="D2544" s="11" t="s">
        <v>4349</v>
      </c>
      <c r="E2544" s="11" t="s">
        <v>4350</v>
      </c>
      <c r="F2544" s="11"/>
      <c r="G2544" s="11" t="s">
        <v>15</v>
      </c>
      <c r="H2544" s="19" t="str">
        <f>IFERROR(VLOOKUP(Table2[[#This Row], [Ticket]],Okey!A:B,2,0),"")</f>
        <v/>
      </c>
      <c r="I2544" s="11" t="s">
        <v>276</v>
      </c>
      <c r="J2544" s="19" t="e">
        <f>VLOOKUP(Table2[[#This Row], [Author]],People!A:B,2,0)</f>
        <v>#VALUE!</v>
      </c>
      <c r="K2544" s="11" t="s">
        <v>3297</v>
      </c>
      <c r="L2544" s="11"/>
      <c r="M2544" s="20" t="s">
        <v>1613</v>
      </c>
    </row>
    <row r="2545" spans="1:13" ht="19.5" customHeight="1">
      <c r="A2545" s="21">
        <f t="shared" si="40"/>
        <v>2544</v>
      </c>
      <c r="B2545" s="13" t="s">
        <v>3295</v>
      </c>
      <c r="C2545" s="13" t="s">
        <v>98</v>
      </c>
      <c r="D2545" s="13" t="s">
        <v>4351</v>
      </c>
      <c r="E2545" s="13" t="s">
        <v>4352</v>
      </c>
      <c r="F2545" s="13"/>
      <c r="G2545" s="13" t="s">
        <v>15</v>
      </c>
      <c r="H2545" s="22" t="str">
        <f>IFERROR(VLOOKUP(Table2[[#This Row], [Ticket]],Okey!A:B,2,0),"")</f>
        <v/>
      </c>
      <c r="I2545" s="13" t="s">
        <v>276</v>
      </c>
      <c r="J2545" s="22" t="e">
        <f>VLOOKUP(Table2[[#This Row], [Author]],People!A:B,2,0)</f>
        <v>#VALUE!</v>
      </c>
      <c r="K2545" s="13" t="s">
        <v>3297</v>
      </c>
      <c r="L2545" s="13"/>
      <c r="M2545" s="23" t="s">
        <v>1613</v>
      </c>
    </row>
    <row r="2546" spans="1:13" ht="19.5" customHeight="1">
      <c r="A2546" s="18">
        <f t="shared" si="40"/>
        <v>2545</v>
      </c>
      <c r="B2546" s="11" t="s">
        <v>3295</v>
      </c>
      <c r="C2546" s="11" t="s">
        <v>98</v>
      </c>
      <c r="D2546" s="11" t="s">
        <v>4353</v>
      </c>
      <c r="E2546" s="11" t="s">
        <v>4354</v>
      </c>
      <c r="F2546" s="11"/>
      <c r="G2546" s="11" t="s">
        <v>15</v>
      </c>
      <c r="H2546" s="19" t="str">
        <f>IFERROR(VLOOKUP(Table2[[#This Row], [Ticket]],Okey!A:B,2,0),"")</f>
        <v/>
      </c>
      <c r="I2546" s="11" t="s">
        <v>276</v>
      </c>
      <c r="J2546" s="19" t="e">
        <f>VLOOKUP(Table2[[#This Row], [Author]],People!A:B,2,0)</f>
        <v>#VALUE!</v>
      </c>
      <c r="K2546" s="11" t="s">
        <v>3297</v>
      </c>
      <c r="L2546" s="11"/>
      <c r="M2546" s="20" t="s">
        <v>1613</v>
      </c>
    </row>
    <row r="2547" spans="1:13" ht="19.5" customHeight="1">
      <c r="A2547" s="21">
        <f t="shared" si="40"/>
        <v>2546</v>
      </c>
      <c r="B2547" s="13" t="s">
        <v>3295</v>
      </c>
      <c r="C2547" s="13" t="s">
        <v>98</v>
      </c>
      <c r="D2547" s="13" t="s">
        <v>4355</v>
      </c>
      <c r="E2547" s="13" t="s">
        <v>4356</v>
      </c>
      <c r="F2547" s="13"/>
      <c r="G2547" s="13" t="s">
        <v>15</v>
      </c>
      <c r="H2547" s="22" t="str">
        <f>IFERROR(VLOOKUP(Table2[[#This Row], [Ticket]],Okey!A:B,2,0),"")</f>
        <v/>
      </c>
      <c r="I2547" s="13" t="s">
        <v>276</v>
      </c>
      <c r="J2547" s="22" t="e">
        <f>VLOOKUP(Table2[[#This Row], [Author]],People!A:B,2,0)</f>
        <v>#VALUE!</v>
      </c>
      <c r="K2547" s="13" t="s">
        <v>3297</v>
      </c>
      <c r="L2547" s="13"/>
      <c r="M2547" s="23" t="s">
        <v>1613</v>
      </c>
    </row>
    <row r="2548" spans="1:13" ht="19.5" customHeight="1">
      <c r="A2548" s="18">
        <f t="shared" si="40"/>
        <v>2547</v>
      </c>
      <c r="B2548" s="11" t="s">
        <v>3295</v>
      </c>
      <c r="C2548" s="11" t="s">
        <v>98</v>
      </c>
      <c r="D2548" s="11" t="s">
        <v>4357</v>
      </c>
      <c r="E2548" s="11" t="s">
        <v>4358</v>
      </c>
      <c r="F2548" s="11"/>
      <c r="G2548" s="11" t="s">
        <v>15</v>
      </c>
      <c r="H2548" s="19" t="str">
        <f>IFERROR(VLOOKUP(Table2[[#This Row], [Ticket]],Okey!A:B,2,0),"")</f>
        <v/>
      </c>
      <c r="I2548" s="11" t="s">
        <v>276</v>
      </c>
      <c r="J2548" s="19" t="e">
        <f>VLOOKUP(Table2[[#This Row], [Author]],People!A:B,2,0)</f>
        <v>#VALUE!</v>
      </c>
      <c r="K2548" s="11" t="s">
        <v>3297</v>
      </c>
      <c r="L2548" s="11"/>
      <c r="M2548" s="20" t="s">
        <v>1613</v>
      </c>
    </row>
    <row r="2549" spans="1:13" ht="19.5" customHeight="1">
      <c r="A2549" s="21">
        <f t="shared" si="40"/>
        <v>2548</v>
      </c>
      <c r="B2549" s="13" t="s">
        <v>3295</v>
      </c>
      <c r="C2549" s="13" t="s">
        <v>98</v>
      </c>
      <c r="D2549" s="13" t="s">
        <v>4359</v>
      </c>
      <c r="E2549" s="13" t="s">
        <v>4360</v>
      </c>
      <c r="F2549" s="13"/>
      <c r="G2549" s="13" t="s">
        <v>15</v>
      </c>
      <c r="H2549" s="22" t="str">
        <f>IFERROR(VLOOKUP(Table2[[#This Row], [Ticket]],Okey!A:B,2,0),"")</f>
        <v/>
      </c>
      <c r="I2549" s="13" t="s">
        <v>276</v>
      </c>
      <c r="J2549" s="22" t="e">
        <f>VLOOKUP(Table2[[#This Row], [Author]],People!A:B,2,0)</f>
        <v>#VALUE!</v>
      </c>
      <c r="K2549" s="13" t="s">
        <v>3297</v>
      </c>
      <c r="L2549" s="13"/>
      <c r="M2549" s="23" t="s">
        <v>1613</v>
      </c>
    </row>
    <row r="2550" spans="1:13" ht="19.5" customHeight="1">
      <c r="A2550" s="18">
        <f t="shared" si="40"/>
        <v>2549</v>
      </c>
      <c r="B2550" s="11" t="s">
        <v>3295</v>
      </c>
      <c r="C2550" s="11" t="s">
        <v>98</v>
      </c>
      <c r="D2550" s="11" t="s">
        <v>4361</v>
      </c>
      <c r="E2550" s="11" t="s">
        <v>4362</v>
      </c>
      <c r="F2550" s="11"/>
      <c r="G2550" s="11" t="s">
        <v>15</v>
      </c>
      <c r="H2550" s="19" t="str">
        <f>IFERROR(VLOOKUP(Table2[[#This Row], [Ticket]],Okey!A:B,2,0),"")</f>
        <v/>
      </c>
      <c r="I2550" s="11" t="s">
        <v>276</v>
      </c>
      <c r="J2550" s="19" t="e">
        <f>VLOOKUP(Table2[[#This Row], [Author]],People!A:B,2,0)</f>
        <v>#VALUE!</v>
      </c>
      <c r="K2550" s="11" t="s">
        <v>3297</v>
      </c>
      <c r="L2550" s="11"/>
      <c r="M2550" s="20" t="s">
        <v>1613</v>
      </c>
    </row>
    <row r="2551" spans="1:13" ht="19.5" customHeight="1">
      <c r="A2551" s="21">
        <f t="shared" si="40"/>
        <v>2550</v>
      </c>
      <c r="B2551" s="13" t="s">
        <v>3295</v>
      </c>
      <c r="C2551" s="13" t="s">
        <v>98</v>
      </c>
      <c r="D2551" s="13" t="s">
        <v>4363</v>
      </c>
      <c r="E2551" s="13" t="s">
        <v>4364</v>
      </c>
      <c r="F2551" s="13"/>
      <c r="G2551" s="13" t="s">
        <v>15</v>
      </c>
      <c r="H2551" s="22" t="str">
        <f>IFERROR(VLOOKUP(Table2[[#This Row], [Ticket]],Okey!A:B,2,0),"")</f>
        <v/>
      </c>
      <c r="I2551" s="13" t="s">
        <v>276</v>
      </c>
      <c r="J2551" s="22" t="e">
        <f>VLOOKUP(Table2[[#This Row], [Author]],People!A:B,2,0)</f>
        <v>#VALUE!</v>
      </c>
      <c r="K2551" s="13" t="s">
        <v>3297</v>
      </c>
      <c r="L2551" s="13"/>
      <c r="M2551" s="23" t="s">
        <v>1613</v>
      </c>
    </row>
    <row r="2552" spans="1:13" ht="19.5" customHeight="1">
      <c r="A2552" s="18">
        <f t="shared" si="40"/>
        <v>2551</v>
      </c>
      <c r="B2552" s="11" t="s">
        <v>3295</v>
      </c>
      <c r="C2552" s="11" t="s">
        <v>98</v>
      </c>
      <c r="D2552" s="11" t="s">
        <v>4365</v>
      </c>
      <c r="E2552" s="11" t="s">
        <v>4366</v>
      </c>
      <c r="F2552" s="11"/>
      <c r="G2552" s="11" t="s">
        <v>15</v>
      </c>
      <c r="H2552" s="19" t="str">
        <f>IFERROR(VLOOKUP(Table2[[#This Row], [Ticket]],Okey!A:B,2,0),"")</f>
        <v/>
      </c>
      <c r="I2552" s="11" t="s">
        <v>276</v>
      </c>
      <c r="J2552" s="19" t="e">
        <f>VLOOKUP(Table2[[#This Row], [Author]],People!A:B,2,0)</f>
        <v>#VALUE!</v>
      </c>
      <c r="K2552" s="11" t="s">
        <v>3297</v>
      </c>
      <c r="L2552" s="11"/>
      <c r="M2552" s="20" t="s">
        <v>1613</v>
      </c>
    </row>
    <row r="2553" spans="1:13" ht="19.5" customHeight="1">
      <c r="A2553" s="21">
        <f t="shared" si="40"/>
        <v>2552</v>
      </c>
      <c r="B2553" s="13" t="s">
        <v>3295</v>
      </c>
      <c r="C2553" s="13" t="s">
        <v>98</v>
      </c>
      <c r="D2553" s="13" t="s">
        <v>4367</v>
      </c>
      <c r="E2553" s="13" t="s">
        <v>4368</v>
      </c>
      <c r="F2553" s="13"/>
      <c r="G2553" s="13" t="s">
        <v>15</v>
      </c>
      <c r="H2553" s="22" t="str">
        <f>IFERROR(VLOOKUP(Table2[[#This Row], [Ticket]],Okey!A:B,2,0),"")</f>
        <v/>
      </c>
      <c r="I2553" s="13" t="s">
        <v>276</v>
      </c>
      <c r="J2553" s="22" t="e">
        <f>VLOOKUP(Table2[[#This Row], [Author]],People!A:B,2,0)</f>
        <v>#VALUE!</v>
      </c>
      <c r="K2553" s="13" t="s">
        <v>3297</v>
      </c>
      <c r="L2553" s="13"/>
      <c r="M2553" s="23" t="s">
        <v>1613</v>
      </c>
    </row>
    <row r="2554" spans="1:13" ht="19.5" customHeight="1">
      <c r="A2554" s="18">
        <f t="shared" si="40"/>
        <v>2553</v>
      </c>
      <c r="B2554" s="11" t="s">
        <v>3295</v>
      </c>
      <c r="C2554" s="11" t="s">
        <v>98</v>
      </c>
      <c r="D2554" s="11" t="s">
        <v>4369</v>
      </c>
      <c r="E2554" s="11" t="s">
        <v>4370</v>
      </c>
      <c r="F2554" s="11"/>
      <c r="G2554" s="11" t="s">
        <v>15</v>
      </c>
      <c r="H2554" s="19" t="str">
        <f>IFERROR(VLOOKUP(Table2[[#This Row], [Ticket]],Okey!A:B,2,0),"")</f>
        <v/>
      </c>
      <c r="I2554" s="11" t="s">
        <v>276</v>
      </c>
      <c r="J2554" s="19" t="e">
        <f>VLOOKUP(Table2[[#This Row], [Author]],People!A:B,2,0)</f>
        <v>#VALUE!</v>
      </c>
      <c r="K2554" s="11" t="s">
        <v>3297</v>
      </c>
      <c r="L2554" s="11"/>
      <c r="M2554" s="20" t="s">
        <v>1613</v>
      </c>
    </row>
    <row r="2555" spans="1:13" ht="19.5" customHeight="1">
      <c r="A2555" s="21">
        <f t="shared" si="40"/>
        <v>2554</v>
      </c>
      <c r="B2555" s="13" t="s">
        <v>3295</v>
      </c>
      <c r="C2555" s="13" t="s">
        <v>98</v>
      </c>
      <c r="D2555" s="13" t="s">
        <v>2607</v>
      </c>
      <c r="E2555" s="13" t="s">
        <v>4371</v>
      </c>
      <c r="F2555" s="13"/>
      <c r="G2555" s="13" t="s">
        <v>15</v>
      </c>
      <c r="H2555" s="22" t="str">
        <f>IFERROR(VLOOKUP(Table2[[#This Row], [Ticket]],Okey!A:B,2,0),"")</f>
        <v/>
      </c>
      <c r="I2555" s="13" t="s">
        <v>276</v>
      </c>
      <c r="J2555" s="22" t="e">
        <f>VLOOKUP(Table2[[#This Row], [Author]],People!A:B,2,0)</f>
        <v>#VALUE!</v>
      </c>
      <c r="K2555" s="13" t="s">
        <v>3297</v>
      </c>
      <c r="L2555" s="13"/>
      <c r="M2555" s="23" t="s">
        <v>1613</v>
      </c>
    </row>
    <row r="2556" spans="1:13" ht="19.5" customHeight="1">
      <c r="A2556" s="18">
        <f t="shared" si="40"/>
        <v>2555</v>
      </c>
      <c r="B2556" s="11" t="s">
        <v>3295</v>
      </c>
      <c r="C2556" s="11" t="s">
        <v>98</v>
      </c>
      <c r="D2556" s="11" t="s">
        <v>4372</v>
      </c>
      <c r="E2556" s="11" t="s">
        <v>4373</v>
      </c>
      <c r="F2556" s="11"/>
      <c r="G2556" s="11" t="s">
        <v>15</v>
      </c>
      <c r="H2556" s="19" t="str">
        <f>IFERROR(VLOOKUP(Table2[[#This Row], [Ticket]],Okey!A:B,2,0),"")</f>
        <v/>
      </c>
      <c r="I2556" s="11" t="s">
        <v>276</v>
      </c>
      <c r="J2556" s="19" t="e">
        <f>VLOOKUP(Table2[[#This Row], [Author]],People!A:B,2,0)</f>
        <v>#VALUE!</v>
      </c>
      <c r="K2556" s="11" t="s">
        <v>3297</v>
      </c>
      <c r="L2556" s="11"/>
      <c r="M2556" s="20" t="s">
        <v>1613</v>
      </c>
    </row>
    <row r="2557" spans="1:13" ht="19.5" customHeight="1">
      <c r="A2557" s="21">
        <f t="shared" si="40"/>
        <v>2556</v>
      </c>
      <c r="B2557" s="13" t="s">
        <v>3295</v>
      </c>
      <c r="C2557" s="13" t="s">
        <v>98</v>
      </c>
      <c r="D2557" s="13" t="s">
        <v>4374</v>
      </c>
      <c r="E2557" s="13" t="s">
        <v>4375</v>
      </c>
      <c r="F2557" s="13"/>
      <c r="G2557" s="13" t="s">
        <v>15</v>
      </c>
      <c r="H2557" s="22" t="str">
        <f>IFERROR(VLOOKUP(Table2[[#This Row], [Ticket]],Okey!A:B,2,0),"")</f>
        <v/>
      </c>
      <c r="I2557" s="13" t="s">
        <v>276</v>
      </c>
      <c r="J2557" s="22" t="e">
        <f>VLOOKUP(Table2[[#This Row], [Author]],People!A:B,2,0)</f>
        <v>#VALUE!</v>
      </c>
      <c r="K2557" s="13" t="s">
        <v>3297</v>
      </c>
      <c r="L2557" s="13"/>
      <c r="M2557" s="23" t="s">
        <v>1613</v>
      </c>
    </row>
    <row r="2558" spans="1:13" ht="19.5" customHeight="1">
      <c r="A2558" s="18">
        <f t="shared" si="40"/>
        <v>2557</v>
      </c>
      <c r="B2558" s="11" t="s">
        <v>3295</v>
      </c>
      <c r="C2558" s="11" t="s">
        <v>98</v>
      </c>
      <c r="D2558" s="11" t="s">
        <v>2605</v>
      </c>
      <c r="E2558" s="11" t="s">
        <v>4376</v>
      </c>
      <c r="F2558" s="11"/>
      <c r="G2558" s="11" t="s">
        <v>15</v>
      </c>
      <c r="H2558" s="19" t="str">
        <f>IFERROR(VLOOKUP(Table2[[#This Row], [Ticket]],Okey!A:B,2,0),"")</f>
        <v/>
      </c>
      <c r="I2558" s="11" t="s">
        <v>276</v>
      </c>
      <c r="J2558" s="19" t="e">
        <f>VLOOKUP(Table2[[#This Row], [Author]],People!A:B,2,0)</f>
        <v>#VALUE!</v>
      </c>
      <c r="K2558" s="11" t="s">
        <v>3297</v>
      </c>
      <c r="L2558" s="11"/>
      <c r="M2558" s="20" t="s">
        <v>1613</v>
      </c>
    </row>
    <row r="2559" spans="1:13" ht="19.5" customHeight="1">
      <c r="A2559" s="21">
        <f t="shared" si="40"/>
        <v>2558</v>
      </c>
      <c r="B2559" s="13" t="s">
        <v>3295</v>
      </c>
      <c r="C2559" s="13" t="s">
        <v>98</v>
      </c>
      <c r="D2559" s="13" t="s">
        <v>4377</v>
      </c>
      <c r="E2559" s="13" t="s">
        <v>4378</v>
      </c>
      <c r="F2559" s="13"/>
      <c r="G2559" s="13" t="s">
        <v>15</v>
      </c>
      <c r="H2559" s="22" t="str">
        <f>IFERROR(VLOOKUP(Table2[[#This Row], [Ticket]],Okey!A:B,2,0),"")</f>
        <v/>
      </c>
      <c r="I2559" s="13" t="s">
        <v>276</v>
      </c>
      <c r="J2559" s="22" t="e">
        <f>VLOOKUP(Table2[[#This Row], [Author]],People!A:B,2,0)</f>
        <v>#VALUE!</v>
      </c>
      <c r="K2559" s="13" t="s">
        <v>3297</v>
      </c>
      <c r="L2559" s="13"/>
      <c r="M2559" s="23" t="s">
        <v>1613</v>
      </c>
    </row>
    <row r="2560" spans="1:13" ht="19.5" customHeight="1">
      <c r="A2560" s="18">
        <f t="shared" si="40"/>
        <v>2559</v>
      </c>
      <c r="B2560" s="11" t="s">
        <v>3295</v>
      </c>
      <c r="C2560" s="11" t="s">
        <v>98</v>
      </c>
      <c r="D2560" s="11" t="s">
        <v>4379</v>
      </c>
      <c r="E2560" s="11" t="s">
        <v>4380</v>
      </c>
      <c r="F2560" s="11"/>
      <c r="G2560" s="11" t="s">
        <v>15</v>
      </c>
      <c r="H2560" s="19" t="str">
        <f>IFERROR(VLOOKUP(Table2[[#This Row], [Ticket]],Okey!A:B,2,0),"")</f>
        <v/>
      </c>
      <c r="I2560" s="11" t="s">
        <v>276</v>
      </c>
      <c r="J2560" s="19" t="e">
        <f>VLOOKUP(Table2[[#This Row], [Author]],People!A:B,2,0)</f>
        <v>#VALUE!</v>
      </c>
      <c r="K2560" s="11" t="s">
        <v>3297</v>
      </c>
      <c r="L2560" s="11"/>
      <c r="M2560" s="20" t="s">
        <v>1613</v>
      </c>
    </row>
    <row r="2561" spans="1:13" ht="19.5" customHeight="1">
      <c r="A2561" s="21">
        <f t="shared" si="40"/>
        <v>2560</v>
      </c>
      <c r="B2561" s="13" t="s">
        <v>3295</v>
      </c>
      <c r="C2561" s="13" t="s">
        <v>98</v>
      </c>
      <c r="D2561" s="13" t="s">
        <v>4381</v>
      </c>
      <c r="E2561" s="13" t="s">
        <v>4382</v>
      </c>
      <c r="F2561" s="13"/>
      <c r="G2561" s="13" t="s">
        <v>15</v>
      </c>
      <c r="H2561" s="22" t="str">
        <f>IFERROR(VLOOKUP(Table2[[#This Row], [Ticket]],Okey!A:B,2,0),"")</f>
        <v/>
      </c>
      <c r="I2561" s="13" t="s">
        <v>276</v>
      </c>
      <c r="J2561" s="22" t="e">
        <f>VLOOKUP(Table2[[#This Row], [Author]],People!A:B,2,0)</f>
        <v>#VALUE!</v>
      </c>
      <c r="K2561" s="13" t="s">
        <v>3297</v>
      </c>
      <c r="L2561" s="13"/>
      <c r="M2561" s="23" t="s">
        <v>1613</v>
      </c>
    </row>
    <row r="2562" spans="1:13" ht="19.5" customHeight="1">
      <c r="A2562" s="18">
        <f t="shared" si="40"/>
        <v>2561</v>
      </c>
      <c r="B2562" s="11" t="s">
        <v>3295</v>
      </c>
      <c r="C2562" s="11" t="s">
        <v>98</v>
      </c>
      <c r="D2562" s="11" t="s">
        <v>4383</v>
      </c>
      <c r="E2562" s="11" t="s">
        <v>4384</v>
      </c>
      <c r="F2562" s="11"/>
      <c r="G2562" s="11" t="s">
        <v>15</v>
      </c>
      <c r="H2562" s="19" t="str">
        <f>IFERROR(VLOOKUP(Table2[[#This Row], [Ticket]],Okey!A:B,2,0),"")</f>
        <v/>
      </c>
      <c r="I2562" s="11" t="s">
        <v>276</v>
      </c>
      <c r="J2562" s="19" t="e">
        <f>VLOOKUP(Table2[[#This Row], [Author]],People!A:B,2,0)</f>
        <v>#VALUE!</v>
      </c>
      <c r="K2562" s="11" t="s">
        <v>3297</v>
      </c>
      <c r="L2562" s="11"/>
      <c r="M2562" s="20" t="s">
        <v>1613</v>
      </c>
    </row>
    <row r="2563" spans="1:13" ht="19.5" customHeight="1">
      <c r="A2563" s="21">
        <f t="shared" si="40"/>
        <v>2562</v>
      </c>
      <c r="B2563" s="13" t="s">
        <v>3295</v>
      </c>
      <c r="C2563" s="13" t="s">
        <v>98</v>
      </c>
      <c r="D2563" s="13" t="s">
        <v>4385</v>
      </c>
      <c r="E2563" s="13" t="s">
        <v>4386</v>
      </c>
      <c r="F2563" s="13"/>
      <c r="G2563" s="13" t="s">
        <v>15</v>
      </c>
      <c r="H2563" s="22" t="str">
        <f>IFERROR(VLOOKUP(Table2[[#This Row], [Ticket]],Okey!A:B,2,0),"")</f>
        <v/>
      </c>
      <c r="I2563" s="13" t="s">
        <v>276</v>
      </c>
      <c r="J2563" s="22" t="e">
        <f>VLOOKUP(Table2[[#This Row], [Author]],People!A:B,2,0)</f>
        <v>#VALUE!</v>
      </c>
      <c r="K2563" s="13" t="s">
        <v>3297</v>
      </c>
      <c r="L2563" s="13"/>
      <c r="M2563" s="23" t="s">
        <v>1613</v>
      </c>
    </row>
    <row r="2564" spans="1:13" ht="19.5" customHeight="1">
      <c r="A2564" s="18">
        <f t="shared" si="40"/>
        <v>2563</v>
      </c>
      <c r="B2564" s="11" t="s">
        <v>3295</v>
      </c>
      <c r="C2564" s="11" t="s">
        <v>98</v>
      </c>
      <c r="D2564" s="11" t="s">
        <v>4387</v>
      </c>
      <c r="E2564" s="11" t="s">
        <v>4388</v>
      </c>
      <c r="F2564" s="11"/>
      <c r="G2564" s="11" t="s">
        <v>15</v>
      </c>
      <c r="H2564" s="19" t="str">
        <f>IFERROR(VLOOKUP(Table2[[#This Row], [Ticket]],Okey!A:B,2,0),"")</f>
        <v/>
      </c>
      <c r="I2564" s="11" t="s">
        <v>276</v>
      </c>
      <c r="J2564" s="19" t="e">
        <f>VLOOKUP(Table2[[#This Row], [Author]],People!A:B,2,0)</f>
        <v>#VALUE!</v>
      </c>
      <c r="K2564" s="11" t="s">
        <v>3297</v>
      </c>
      <c r="L2564" s="11"/>
      <c r="M2564" s="20" t="s">
        <v>1613</v>
      </c>
    </row>
    <row r="2565" spans="1:13" ht="19.5" customHeight="1">
      <c r="A2565" s="21">
        <f t="shared" si="40"/>
        <v>2564</v>
      </c>
      <c r="B2565" s="13" t="s">
        <v>3295</v>
      </c>
      <c r="C2565" s="13" t="s">
        <v>98</v>
      </c>
      <c r="D2565" s="13" t="s">
        <v>4389</v>
      </c>
      <c r="E2565" s="13" t="s">
        <v>4390</v>
      </c>
      <c r="F2565" s="13"/>
      <c r="G2565" s="13" t="s">
        <v>15</v>
      </c>
      <c r="H2565" s="22" t="str">
        <f>IFERROR(VLOOKUP(Table2[[#This Row], [Ticket]],Okey!A:B,2,0),"")</f>
        <v/>
      </c>
      <c r="I2565" s="13" t="s">
        <v>276</v>
      </c>
      <c r="J2565" s="22" t="e">
        <f>VLOOKUP(Table2[[#This Row], [Author]],People!A:B,2,0)</f>
        <v>#VALUE!</v>
      </c>
      <c r="K2565" s="13" t="s">
        <v>3297</v>
      </c>
      <c r="L2565" s="13"/>
      <c r="M2565" s="23" t="s">
        <v>1613</v>
      </c>
    </row>
    <row r="2566" spans="1:13" ht="19.5" customHeight="1">
      <c r="A2566" s="18">
        <f t="shared" si="40"/>
        <v>2565</v>
      </c>
      <c r="B2566" s="11" t="s">
        <v>3295</v>
      </c>
      <c r="C2566" s="11" t="s">
        <v>98</v>
      </c>
      <c r="D2566" s="11" t="s">
        <v>4391</v>
      </c>
      <c r="E2566" s="11" t="s">
        <v>4392</v>
      </c>
      <c r="F2566" s="11"/>
      <c r="G2566" s="11" t="s">
        <v>15</v>
      </c>
      <c r="H2566" s="19" t="str">
        <f>IFERROR(VLOOKUP(Table2[[#This Row], [Ticket]],Okey!A:B,2,0),"")</f>
        <v/>
      </c>
      <c r="I2566" s="11" t="s">
        <v>276</v>
      </c>
      <c r="J2566" s="19" t="e">
        <f>VLOOKUP(Table2[[#This Row], [Author]],People!A:B,2,0)</f>
        <v>#VALUE!</v>
      </c>
      <c r="K2566" s="11" t="s">
        <v>3297</v>
      </c>
      <c r="L2566" s="11"/>
      <c r="M2566" s="20" t="s">
        <v>1613</v>
      </c>
    </row>
    <row r="2567" spans="1:13" ht="19.5" customHeight="1">
      <c r="A2567" s="21">
        <f t="shared" si="40"/>
        <v>2566</v>
      </c>
      <c r="B2567" s="13" t="s">
        <v>3295</v>
      </c>
      <c r="C2567" s="13" t="s">
        <v>98</v>
      </c>
      <c r="D2567" s="13" t="s">
        <v>4393</v>
      </c>
      <c r="E2567" s="13" t="s">
        <v>4394</v>
      </c>
      <c r="F2567" s="13"/>
      <c r="G2567" s="13" t="s">
        <v>15</v>
      </c>
      <c r="H2567" s="22" t="str">
        <f>IFERROR(VLOOKUP(Table2[[#This Row], [Ticket]],Okey!A:B,2,0),"")</f>
        <v/>
      </c>
      <c r="I2567" s="13" t="s">
        <v>276</v>
      </c>
      <c r="J2567" s="22" t="e">
        <f>VLOOKUP(Table2[[#This Row], [Author]],People!A:B,2,0)</f>
        <v>#VALUE!</v>
      </c>
      <c r="K2567" s="13" t="s">
        <v>3297</v>
      </c>
      <c r="L2567" s="13"/>
      <c r="M2567" s="23" t="s">
        <v>1613</v>
      </c>
    </row>
    <row r="2568" spans="1:13" ht="19.5" customHeight="1">
      <c r="A2568" s="18">
        <f t="shared" si="40"/>
        <v>2567</v>
      </c>
      <c r="B2568" s="11" t="s">
        <v>3295</v>
      </c>
      <c r="C2568" s="11" t="s">
        <v>98</v>
      </c>
      <c r="D2568" s="11" t="s">
        <v>4395</v>
      </c>
      <c r="E2568" s="11" t="s">
        <v>4396</v>
      </c>
      <c r="F2568" s="11"/>
      <c r="G2568" s="11" t="s">
        <v>15</v>
      </c>
      <c r="H2568" s="19" t="str">
        <f>IFERROR(VLOOKUP(Table2[[#This Row], [Ticket]],Okey!A:B,2,0),"")</f>
        <v/>
      </c>
      <c r="I2568" s="11" t="s">
        <v>276</v>
      </c>
      <c r="J2568" s="19" t="e">
        <f>VLOOKUP(Table2[[#This Row], [Author]],People!A:B,2,0)</f>
        <v>#VALUE!</v>
      </c>
      <c r="K2568" s="11" t="s">
        <v>3297</v>
      </c>
      <c r="L2568" s="11"/>
      <c r="M2568" s="20" t="s">
        <v>1613</v>
      </c>
    </row>
    <row r="2569" spans="1:13" ht="19.5" customHeight="1">
      <c r="A2569" s="21">
        <f t="shared" si="40"/>
        <v>2568</v>
      </c>
      <c r="B2569" s="13" t="s">
        <v>3295</v>
      </c>
      <c r="C2569" s="13" t="s">
        <v>98</v>
      </c>
      <c r="D2569" s="13" t="s">
        <v>4397</v>
      </c>
      <c r="E2569" s="13" t="s">
        <v>4398</v>
      </c>
      <c r="F2569" s="13"/>
      <c r="G2569" s="13" t="s">
        <v>15</v>
      </c>
      <c r="H2569" s="22" t="str">
        <f>IFERROR(VLOOKUP(Table2[[#This Row], [Ticket]],Okey!A:B,2,0),"")</f>
        <v/>
      </c>
      <c r="I2569" s="13" t="s">
        <v>276</v>
      </c>
      <c r="J2569" s="22" t="e">
        <f>VLOOKUP(Table2[[#This Row], [Author]],People!A:B,2,0)</f>
        <v>#VALUE!</v>
      </c>
      <c r="K2569" s="13" t="s">
        <v>3297</v>
      </c>
      <c r="L2569" s="13"/>
      <c r="M2569" s="23" t="s">
        <v>1613</v>
      </c>
    </row>
    <row r="2570" spans="1:13" ht="19.5" customHeight="1">
      <c r="A2570" s="18">
        <f t="shared" si="40"/>
        <v>2569</v>
      </c>
      <c r="B2570" s="11" t="s">
        <v>3295</v>
      </c>
      <c r="C2570" s="11" t="s">
        <v>98</v>
      </c>
      <c r="D2570" s="11" t="s">
        <v>4399</v>
      </c>
      <c r="E2570" s="11" t="s">
        <v>4400</v>
      </c>
      <c r="F2570" s="11"/>
      <c r="G2570" s="11" t="s">
        <v>15</v>
      </c>
      <c r="H2570" s="19" t="str">
        <f>IFERROR(VLOOKUP(Table2[[#This Row], [Ticket]],Okey!A:B,2,0),"")</f>
        <v/>
      </c>
      <c r="I2570" s="11" t="s">
        <v>276</v>
      </c>
      <c r="J2570" s="19" t="e">
        <f>VLOOKUP(Table2[[#This Row], [Author]],People!A:B,2,0)</f>
        <v>#VALUE!</v>
      </c>
      <c r="K2570" s="11" t="s">
        <v>3297</v>
      </c>
      <c r="L2570" s="11"/>
      <c r="M2570" s="20" t="s">
        <v>1613</v>
      </c>
    </row>
    <row r="2571" spans="1:13" ht="19.5" customHeight="1">
      <c r="A2571" s="21">
        <f t="shared" si="40"/>
        <v>2570</v>
      </c>
      <c r="B2571" s="13" t="s">
        <v>3295</v>
      </c>
      <c r="C2571" s="13" t="s">
        <v>98</v>
      </c>
      <c r="D2571" s="13" t="s">
        <v>4401</v>
      </c>
      <c r="E2571" s="13" t="s">
        <v>4402</v>
      </c>
      <c r="F2571" s="13"/>
      <c r="G2571" s="13" t="s">
        <v>15</v>
      </c>
      <c r="H2571" s="22" t="str">
        <f>IFERROR(VLOOKUP(Table2[[#This Row], [Ticket]],Okey!A:B,2,0),"")</f>
        <v/>
      </c>
      <c r="I2571" s="13" t="s">
        <v>276</v>
      </c>
      <c r="J2571" s="22" t="e">
        <f>VLOOKUP(Table2[[#This Row], [Author]],People!A:B,2,0)</f>
        <v>#VALUE!</v>
      </c>
      <c r="K2571" s="13" t="s">
        <v>3297</v>
      </c>
      <c r="L2571" s="13"/>
      <c r="M2571" s="23" t="s">
        <v>1613</v>
      </c>
    </row>
    <row r="2572" spans="1:13" ht="19.5" customHeight="1">
      <c r="A2572" s="18">
        <f t="shared" si="40"/>
        <v>2571</v>
      </c>
      <c r="B2572" s="11" t="s">
        <v>3295</v>
      </c>
      <c r="C2572" s="11" t="s">
        <v>98</v>
      </c>
      <c r="D2572" s="11" t="s">
        <v>4403</v>
      </c>
      <c r="E2572" s="11" t="s">
        <v>4404</v>
      </c>
      <c r="F2572" s="11"/>
      <c r="G2572" s="11" t="s">
        <v>15</v>
      </c>
      <c r="H2572" s="19" t="str">
        <f>IFERROR(VLOOKUP(Table2[[#This Row], [Ticket]],Okey!A:B,2,0),"")</f>
        <v/>
      </c>
      <c r="I2572" s="11" t="s">
        <v>276</v>
      </c>
      <c r="J2572" s="19" t="e">
        <f>VLOOKUP(Table2[[#This Row], [Author]],People!A:B,2,0)</f>
        <v>#VALUE!</v>
      </c>
      <c r="K2572" s="11" t="s">
        <v>3297</v>
      </c>
      <c r="L2572" s="11"/>
      <c r="M2572" s="20" t="s">
        <v>1613</v>
      </c>
    </row>
    <row r="2573" spans="1:13" ht="19.5" customHeight="1">
      <c r="A2573" s="21">
        <f t="shared" si="40"/>
        <v>2572</v>
      </c>
      <c r="B2573" s="13" t="s">
        <v>3295</v>
      </c>
      <c r="C2573" s="13" t="s">
        <v>98</v>
      </c>
      <c r="D2573" s="13" t="s">
        <v>4405</v>
      </c>
      <c r="E2573" s="13" t="s">
        <v>4406</v>
      </c>
      <c r="F2573" s="13"/>
      <c r="G2573" s="13" t="s">
        <v>15</v>
      </c>
      <c r="H2573" s="22" t="str">
        <f>IFERROR(VLOOKUP(Table2[[#This Row], [Ticket]],Okey!A:B,2,0),"")</f>
        <v/>
      </c>
      <c r="I2573" s="13" t="s">
        <v>276</v>
      </c>
      <c r="J2573" s="22" t="e">
        <f>VLOOKUP(Table2[[#This Row], [Author]],People!A:B,2,0)</f>
        <v>#VALUE!</v>
      </c>
      <c r="K2573" s="13" t="s">
        <v>3297</v>
      </c>
      <c r="L2573" s="13"/>
      <c r="M2573" s="23" t="s">
        <v>1613</v>
      </c>
    </row>
    <row r="2574" spans="1:13" ht="19.5" customHeight="1">
      <c r="A2574" s="18">
        <f t="shared" si="40"/>
        <v>2573</v>
      </c>
      <c r="B2574" s="11" t="s">
        <v>3295</v>
      </c>
      <c r="C2574" s="11" t="s">
        <v>98</v>
      </c>
      <c r="D2574" s="11" t="s">
        <v>4407</v>
      </c>
      <c r="E2574" s="11" t="s">
        <v>4408</v>
      </c>
      <c r="F2574" s="11"/>
      <c r="G2574" s="11" t="s">
        <v>15</v>
      </c>
      <c r="H2574" s="19" t="str">
        <f>IFERROR(VLOOKUP(Table2[[#This Row], [Ticket]],Okey!A:B,2,0),"")</f>
        <v/>
      </c>
      <c r="I2574" s="11" t="s">
        <v>276</v>
      </c>
      <c r="J2574" s="19" t="e">
        <f>VLOOKUP(Table2[[#This Row], [Author]],People!A:B,2,0)</f>
        <v>#VALUE!</v>
      </c>
      <c r="K2574" s="11" t="s">
        <v>3297</v>
      </c>
      <c r="L2574" s="11"/>
      <c r="M2574" s="20" t="s">
        <v>1613</v>
      </c>
    </row>
    <row r="2575" spans="1:13" ht="19.5" customHeight="1">
      <c r="A2575" s="21">
        <f t="shared" si="40"/>
        <v>2574</v>
      </c>
      <c r="B2575" s="13" t="s">
        <v>3295</v>
      </c>
      <c r="C2575" s="13" t="s">
        <v>98</v>
      </c>
      <c r="D2575" s="13" t="s">
        <v>4409</v>
      </c>
      <c r="E2575" s="13" t="s">
        <v>4410</v>
      </c>
      <c r="F2575" s="13"/>
      <c r="G2575" s="13" t="s">
        <v>15</v>
      </c>
      <c r="H2575" s="22" t="str">
        <f>IFERROR(VLOOKUP(Table2[[#This Row], [Ticket]],Okey!A:B,2,0),"")</f>
        <v/>
      </c>
      <c r="I2575" s="13" t="s">
        <v>276</v>
      </c>
      <c r="J2575" s="22" t="e">
        <f>VLOOKUP(Table2[[#This Row], [Author]],People!A:B,2,0)</f>
        <v>#VALUE!</v>
      </c>
      <c r="K2575" s="13" t="s">
        <v>3297</v>
      </c>
      <c r="L2575" s="13"/>
      <c r="M2575" s="23" t="s">
        <v>1613</v>
      </c>
    </row>
    <row r="2576" spans="1:13" ht="19.5" customHeight="1">
      <c r="A2576" s="18">
        <f t="shared" si="40"/>
        <v>2575</v>
      </c>
      <c r="B2576" s="11" t="s">
        <v>3295</v>
      </c>
      <c r="C2576" s="11" t="s">
        <v>98</v>
      </c>
      <c r="D2576" s="11" t="s">
        <v>4411</v>
      </c>
      <c r="E2576" s="11" t="s">
        <v>4412</v>
      </c>
      <c r="F2576" s="11"/>
      <c r="G2576" s="11" t="s">
        <v>15</v>
      </c>
      <c r="H2576" s="19" t="str">
        <f>IFERROR(VLOOKUP(Table2[[#This Row], [Ticket]],Okey!A:B,2,0),"")</f>
        <v/>
      </c>
      <c r="I2576" s="11" t="s">
        <v>276</v>
      </c>
      <c r="J2576" s="19" t="e">
        <f>VLOOKUP(Table2[[#This Row], [Author]],People!A:B,2,0)</f>
        <v>#VALUE!</v>
      </c>
      <c r="K2576" s="11" t="s">
        <v>3297</v>
      </c>
      <c r="L2576" s="11"/>
      <c r="M2576" s="20" t="s">
        <v>1613</v>
      </c>
    </row>
    <row r="2577" spans="1:13" ht="19.5" customHeight="1">
      <c r="A2577" s="21">
        <f t="shared" si="40"/>
        <v>2576</v>
      </c>
      <c r="B2577" s="13" t="s">
        <v>3295</v>
      </c>
      <c r="C2577" s="13" t="s">
        <v>98</v>
      </c>
      <c r="D2577" s="13" t="s">
        <v>4413</v>
      </c>
      <c r="E2577" s="13" t="s">
        <v>4414</v>
      </c>
      <c r="F2577" s="13"/>
      <c r="G2577" s="13" t="s">
        <v>15</v>
      </c>
      <c r="H2577" s="22" t="str">
        <f>IFERROR(VLOOKUP(Table2[[#This Row], [Ticket]],Okey!A:B,2,0),"")</f>
        <v/>
      </c>
      <c r="I2577" s="13" t="s">
        <v>276</v>
      </c>
      <c r="J2577" s="22" t="e">
        <f>VLOOKUP(Table2[[#This Row], [Author]],People!A:B,2,0)</f>
        <v>#VALUE!</v>
      </c>
      <c r="K2577" s="13" t="s">
        <v>3297</v>
      </c>
      <c r="L2577" s="13"/>
      <c r="M2577" s="23" t="s">
        <v>1613</v>
      </c>
    </row>
    <row r="2578" spans="1:13" ht="19.5" customHeight="1">
      <c r="A2578" s="18">
        <f t="shared" si="40"/>
        <v>2577</v>
      </c>
      <c r="B2578" s="11" t="s">
        <v>3295</v>
      </c>
      <c r="C2578" s="11" t="s">
        <v>98</v>
      </c>
      <c r="D2578" s="11" t="s">
        <v>4415</v>
      </c>
      <c r="E2578" s="11" t="s">
        <v>4416</v>
      </c>
      <c r="F2578" s="11"/>
      <c r="G2578" s="11" t="s">
        <v>15</v>
      </c>
      <c r="H2578" s="19" t="str">
        <f>IFERROR(VLOOKUP(Table2[[#This Row], [Ticket]],Okey!A:B,2,0),"")</f>
        <v/>
      </c>
      <c r="I2578" s="11" t="s">
        <v>276</v>
      </c>
      <c r="J2578" s="19" t="e">
        <f>VLOOKUP(Table2[[#This Row], [Author]],People!A:B,2,0)</f>
        <v>#VALUE!</v>
      </c>
      <c r="K2578" s="11" t="s">
        <v>3297</v>
      </c>
      <c r="L2578" s="11"/>
      <c r="M2578" s="20" t="s">
        <v>1613</v>
      </c>
    </row>
    <row r="2579" spans="1:13" ht="19.5" customHeight="1">
      <c r="A2579" s="21">
        <f t="shared" si="40"/>
        <v>2578</v>
      </c>
      <c r="B2579" s="13" t="s">
        <v>3295</v>
      </c>
      <c r="C2579" s="13" t="s">
        <v>98</v>
      </c>
      <c r="D2579" s="13" t="s">
        <v>4417</v>
      </c>
      <c r="E2579" s="13" t="s">
        <v>4418</v>
      </c>
      <c r="F2579" s="13"/>
      <c r="G2579" s="13" t="s">
        <v>15</v>
      </c>
      <c r="H2579" s="22" t="str">
        <f>IFERROR(VLOOKUP(Table2[[#This Row], [Ticket]],Okey!A:B,2,0),"")</f>
        <v/>
      </c>
      <c r="I2579" s="13" t="s">
        <v>276</v>
      </c>
      <c r="J2579" s="22" t="e">
        <f>VLOOKUP(Table2[[#This Row], [Author]],People!A:B,2,0)</f>
        <v>#VALUE!</v>
      </c>
      <c r="K2579" s="13" t="s">
        <v>3297</v>
      </c>
      <c r="L2579" s="13"/>
      <c r="M2579" s="23" t="s">
        <v>1613</v>
      </c>
    </row>
    <row r="2580" spans="1:13" ht="19.5" customHeight="1">
      <c r="A2580" s="18">
        <f t="shared" si="40"/>
        <v>2579</v>
      </c>
      <c r="B2580" s="11" t="s">
        <v>3295</v>
      </c>
      <c r="C2580" s="11" t="s">
        <v>98</v>
      </c>
      <c r="D2580" s="11" t="s">
        <v>4419</v>
      </c>
      <c r="E2580" s="11" t="s">
        <v>4420</v>
      </c>
      <c r="F2580" s="11"/>
      <c r="G2580" s="11" t="s">
        <v>15</v>
      </c>
      <c r="H2580" s="19" t="str">
        <f>IFERROR(VLOOKUP(Table2[[#This Row], [Ticket]],Okey!A:B,2,0),"")</f>
        <v/>
      </c>
      <c r="I2580" s="11" t="s">
        <v>276</v>
      </c>
      <c r="J2580" s="19" t="e">
        <f>VLOOKUP(Table2[[#This Row], [Author]],People!A:B,2,0)</f>
        <v>#VALUE!</v>
      </c>
      <c r="K2580" s="11" t="s">
        <v>3297</v>
      </c>
      <c r="L2580" s="11"/>
      <c r="M2580" s="20" t="s">
        <v>1613</v>
      </c>
    </row>
    <row r="2581" spans="1:13" ht="19.5" customHeight="1">
      <c r="A2581" s="21">
        <f t="shared" si="40"/>
        <v>2580</v>
      </c>
      <c r="B2581" s="13" t="s">
        <v>3295</v>
      </c>
      <c r="C2581" s="13" t="s">
        <v>98</v>
      </c>
      <c r="D2581" s="13" t="s">
        <v>4421</v>
      </c>
      <c r="E2581" s="13" t="s">
        <v>4422</v>
      </c>
      <c r="F2581" s="13"/>
      <c r="G2581" s="13" t="s">
        <v>15</v>
      </c>
      <c r="H2581" s="22" t="str">
        <f>IFERROR(VLOOKUP(Table2[[#This Row], [Ticket]],Okey!A:B,2,0),"")</f>
        <v/>
      </c>
      <c r="I2581" s="13" t="s">
        <v>276</v>
      </c>
      <c r="J2581" s="22" t="e">
        <f>VLOOKUP(Table2[[#This Row], [Author]],People!A:B,2,0)</f>
        <v>#VALUE!</v>
      </c>
      <c r="K2581" s="13" t="s">
        <v>3297</v>
      </c>
      <c r="L2581" s="13"/>
      <c r="M2581" s="23" t="s">
        <v>1613</v>
      </c>
    </row>
    <row r="2582" spans="1:13" ht="19.5" customHeight="1">
      <c r="A2582" s="18">
        <f t="shared" si="40"/>
        <v>2581</v>
      </c>
      <c r="B2582" s="11" t="s">
        <v>3295</v>
      </c>
      <c r="C2582" s="11" t="s">
        <v>98</v>
      </c>
      <c r="D2582" s="11" t="s">
        <v>4423</v>
      </c>
      <c r="E2582" s="11" t="s">
        <v>4424</v>
      </c>
      <c r="F2582" s="11"/>
      <c r="G2582" s="11" t="s">
        <v>15</v>
      </c>
      <c r="H2582" s="19" t="str">
        <f>IFERROR(VLOOKUP(Table2[[#This Row], [Ticket]],Okey!A:B,2,0),"")</f>
        <v/>
      </c>
      <c r="I2582" s="11" t="s">
        <v>276</v>
      </c>
      <c r="J2582" s="19" t="e">
        <f>VLOOKUP(Table2[[#This Row], [Author]],People!A:B,2,0)</f>
        <v>#VALUE!</v>
      </c>
      <c r="K2582" s="11" t="s">
        <v>3297</v>
      </c>
      <c r="L2582" s="11"/>
      <c r="M2582" s="20" t="s">
        <v>1613</v>
      </c>
    </row>
    <row r="2583" spans="1:13" ht="19.5" customHeight="1">
      <c r="A2583" s="21">
        <f t="shared" si="40"/>
        <v>2582</v>
      </c>
      <c r="B2583" s="13" t="s">
        <v>3295</v>
      </c>
      <c r="C2583" s="13" t="s">
        <v>98</v>
      </c>
      <c r="D2583" s="13" t="s">
        <v>4425</v>
      </c>
      <c r="E2583" s="13" t="s">
        <v>4426</v>
      </c>
      <c r="F2583" s="13"/>
      <c r="G2583" s="13" t="s">
        <v>15</v>
      </c>
      <c r="H2583" s="22" t="str">
        <f>IFERROR(VLOOKUP(Table2[[#This Row], [Ticket]],Okey!A:B,2,0),"")</f>
        <v/>
      </c>
      <c r="I2583" s="13" t="s">
        <v>276</v>
      </c>
      <c r="J2583" s="22" t="e">
        <f>VLOOKUP(Table2[[#This Row], [Author]],People!A:B,2,0)</f>
        <v>#VALUE!</v>
      </c>
      <c r="K2583" s="13" t="s">
        <v>3297</v>
      </c>
      <c r="L2583" s="13"/>
      <c r="M2583" s="23" t="s">
        <v>1613</v>
      </c>
    </row>
    <row r="2584" spans="1:13" ht="19.5" customHeight="1">
      <c r="A2584" s="18">
        <f t="shared" si="40"/>
        <v>2583</v>
      </c>
      <c r="B2584" s="11" t="s">
        <v>3295</v>
      </c>
      <c r="C2584" s="11" t="s">
        <v>98</v>
      </c>
      <c r="D2584" s="11" t="s">
        <v>4427</v>
      </c>
      <c r="E2584" s="11" t="s">
        <v>4428</v>
      </c>
      <c r="F2584" s="11"/>
      <c r="G2584" s="11" t="s">
        <v>15</v>
      </c>
      <c r="H2584" s="19" t="str">
        <f>IFERROR(VLOOKUP(Table2[[#This Row], [Ticket]],Okey!A:B,2,0),"")</f>
        <v/>
      </c>
      <c r="I2584" s="11" t="s">
        <v>276</v>
      </c>
      <c r="J2584" s="19" t="e">
        <f>VLOOKUP(Table2[[#This Row], [Author]],People!A:B,2,0)</f>
        <v>#VALUE!</v>
      </c>
      <c r="K2584" s="11" t="s">
        <v>3297</v>
      </c>
      <c r="L2584" s="11"/>
      <c r="M2584" s="20" t="s">
        <v>1613</v>
      </c>
    </row>
    <row r="2585" spans="1:13" ht="19.5" customHeight="1">
      <c r="A2585" s="21">
        <f t="shared" si="40"/>
        <v>2584</v>
      </c>
      <c r="B2585" s="13" t="s">
        <v>3295</v>
      </c>
      <c r="C2585" s="13" t="s">
        <v>98</v>
      </c>
      <c r="D2585" s="13" t="s">
        <v>4429</v>
      </c>
      <c r="E2585" s="13" t="s">
        <v>4430</v>
      </c>
      <c r="F2585" s="13"/>
      <c r="G2585" s="13" t="s">
        <v>15</v>
      </c>
      <c r="H2585" s="22" t="str">
        <f>IFERROR(VLOOKUP(Table2[[#This Row], [Ticket]],Okey!A:B,2,0),"")</f>
        <v/>
      </c>
      <c r="I2585" s="13" t="s">
        <v>276</v>
      </c>
      <c r="J2585" s="22" t="e">
        <f>VLOOKUP(Table2[[#This Row], [Author]],People!A:B,2,0)</f>
        <v>#VALUE!</v>
      </c>
      <c r="K2585" s="13" t="s">
        <v>3297</v>
      </c>
      <c r="L2585" s="13"/>
      <c r="M2585" s="23" t="s">
        <v>1613</v>
      </c>
    </row>
    <row r="2586" spans="1:13" ht="19.5" customHeight="1">
      <c r="A2586" s="18">
        <f t="shared" si="40"/>
        <v>2585</v>
      </c>
      <c r="B2586" s="11" t="s">
        <v>3295</v>
      </c>
      <c r="C2586" s="11" t="s">
        <v>98</v>
      </c>
      <c r="D2586" s="11" t="s">
        <v>4431</v>
      </c>
      <c r="E2586" s="11" t="s">
        <v>4432</v>
      </c>
      <c r="F2586" s="11"/>
      <c r="G2586" s="11" t="s">
        <v>15</v>
      </c>
      <c r="H2586" s="19" t="str">
        <f>IFERROR(VLOOKUP(Table2[[#This Row], [Ticket]],Okey!A:B,2,0),"")</f>
        <v/>
      </c>
      <c r="I2586" s="11" t="s">
        <v>276</v>
      </c>
      <c r="J2586" s="19" t="e">
        <f>VLOOKUP(Table2[[#This Row], [Author]],People!A:B,2,0)</f>
        <v>#VALUE!</v>
      </c>
      <c r="K2586" s="11" t="s">
        <v>3297</v>
      </c>
      <c r="L2586" s="11"/>
      <c r="M2586" s="20" t="s">
        <v>1613</v>
      </c>
    </row>
    <row r="2587" spans="1:13" ht="19.5" customHeight="1">
      <c r="A2587" s="21">
        <f t="shared" si="40"/>
        <v>2586</v>
      </c>
      <c r="B2587" s="13" t="s">
        <v>3295</v>
      </c>
      <c r="C2587" s="13" t="s">
        <v>98</v>
      </c>
      <c r="D2587" s="13" t="s">
        <v>4433</v>
      </c>
      <c r="E2587" s="13" t="s">
        <v>4434</v>
      </c>
      <c r="F2587" s="13"/>
      <c r="G2587" s="13" t="s">
        <v>15</v>
      </c>
      <c r="H2587" s="22" t="str">
        <f>IFERROR(VLOOKUP(Table2[[#This Row], [Ticket]],Okey!A:B,2,0),"")</f>
        <v/>
      </c>
      <c r="I2587" s="13" t="s">
        <v>276</v>
      </c>
      <c r="J2587" s="22" t="e">
        <f>VLOOKUP(Table2[[#This Row], [Author]],People!A:B,2,0)</f>
        <v>#VALUE!</v>
      </c>
      <c r="K2587" s="13" t="s">
        <v>3297</v>
      </c>
      <c r="L2587" s="13"/>
      <c r="M2587" s="23" t="s">
        <v>1613</v>
      </c>
    </row>
    <row r="2588" spans="1:13" ht="19.5" customHeight="1">
      <c r="A2588" s="18">
        <f t="shared" si="40"/>
        <v>2587</v>
      </c>
      <c r="B2588" s="11" t="s">
        <v>3295</v>
      </c>
      <c r="C2588" s="11" t="s">
        <v>98</v>
      </c>
      <c r="D2588" s="11" t="s">
        <v>4435</v>
      </c>
      <c r="E2588" s="11" t="s">
        <v>4436</v>
      </c>
      <c r="F2588" s="11"/>
      <c r="G2588" s="11" t="s">
        <v>15</v>
      </c>
      <c r="H2588" s="19" t="str">
        <f>IFERROR(VLOOKUP(Table2[[#This Row], [Ticket]],Okey!A:B,2,0),"")</f>
        <v/>
      </c>
      <c r="I2588" s="11" t="s">
        <v>276</v>
      </c>
      <c r="J2588" s="19" t="e">
        <f>VLOOKUP(Table2[[#This Row], [Author]],People!A:B,2,0)</f>
        <v>#VALUE!</v>
      </c>
      <c r="K2588" s="11" t="s">
        <v>3297</v>
      </c>
      <c r="L2588" s="11"/>
      <c r="M2588" s="20" t="s">
        <v>1613</v>
      </c>
    </row>
    <row r="2589" spans="1:13" ht="19.5" customHeight="1">
      <c r="A2589" s="21">
        <f t="shared" si="40"/>
        <v>2588</v>
      </c>
      <c r="B2589" s="13" t="s">
        <v>3295</v>
      </c>
      <c r="C2589" s="13" t="s">
        <v>98</v>
      </c>
      <c r="D2589" s="13" t="s">
        <v>4437</v>
      </c>
      <c r="E2589" s="13" t="s">
        <v>4438</v>
      </c>
      <c r="F2589" s="13"/>
      <c r="G2589" s="13" t="s">
        <v>15</v>
      </c>
      <c r="H2589" s="22" t="str">
        <f>IFERROR(VLOOKUP(Table2[[#This Row], [Ticket]],Okey!A:B,2,0),"")</f>
        <v/>
      </c>
      <c r="I2589" s="13" t="s">
        <v>276</v>
      </c>
      <c r="J2589" s="22" t="e">
        <f>VLOOKUP(Table2[[#This Row], [Author]],People!A:B,2,0)</f>
        <v>#VALUE!</v>
      </c>
      <c r="K2589" s="13" t="s">
        <v>3297</v>
      </c>
      <c r="L2589" s="13"/>
      <c r="M2589" s="23" t="s">
        <v>1613</v>
      </c>
    </row>
    <row r="2590" spans="1:13" ht="19.5" customHeight="1">
      <c r="A2590" s="18">
        <f t="shared" si="40"/>
        <v>2589</v>
      </c>
      <c r="B2590" s="11" t="s">
        <v>3295</v>
      </c>
      <c r="C2590" s="11" t="s">
        <v>98</v>
      </c>
      <c r="D2590" s="11" t="s">
        <v>4439</v>
      </c>
      <c r="E2590" s="11" t="s">
        <v>4440</v>
      </c>
      <c r="F2590" s="11"/>
      <c r="G2590" s="11" t="s">
        <v>15</v>
      </c>
      <c r="H2590" s="19" t="str">
        <f>IFERROR(VLOOKUP(Table2[[#This Row], [Ticket]],Okey!A:B,2,0),"")</f>
        <v/>
      </c>
      <c r="I2590" s="11" t="s">
        <v>276</v>
      </c>
      <c r="J2590" s="19" t="e">
        <f>VLOOKUP(Table2[[#This Row], [Author]],People!A:B,2,0)</f>
        <v>#VALUE!</v>
      </c>
      <c r="K2590" s="11" t="s">
        <v>3297</v>
      </c>
      <c r="L2590" s="11"/>
      <c r="M2590" s="20" t="s">
        <v>1613</v>
      </c>
    </row>
    <row r="2591" spans="1:13" ht="19.5" customHeight="1">
      <c r="A2591" s="21">
        <f t="shared" si="40"/>
        <v>2590</v>
      </c>
      <c r="B2591" s="13" t="s">
        <v>3295</v>
      </c>
      <c r="C2591" s="13" t="s">
        <v>98</v>
      </c>
      <c r="D2591" s="13" t="s">
        <v>4441</v>
      </c>
      <c r="E2591" s="13" t="s">
        <v>4442</v>
      </c>
      <c r="F2591" s="13"/>
      <c r="G2591" s="13" t="s">
        <v>15</v>
      </c>
      <c r="H2591" s="22" t="str">
        <f>IFERROR(VLOOKUP(Table2[[#This Row], [Ticket]],Okey!A:B,2,0),"")</f>
        <v/>
      </c>
      <c r="I2591" s="13" t="s">
        <v>276</v>
      </c>
      <c r="J2591" s="22" t="e">
        <f>VLOOKUP(Table2[[#This Row], [Author]],People!A:B,2,0)</f>
        <v>#VALUE!</v>
      </c>
      <c r="K2591" s="13" t="s">
        <v>3297</v>
      </c>
      <c r="L2591" s="13"/>
      <c r="M2591" s="23" t="s">
        <v>1613</v>
      </c>
    </row>
    <row r="2592" spans="1:13" ht="19.5" customHeight="1">
      <c r="A2592" s="18">
        <f t="shared" si="40"/>
        <v>2591</v>
      </c>
      <c r="B2592" s="11" t="s">
        <v>3295</v>
      </c>
      <c r="C2592" s="11" t="s">
        <v>98</v>
      </c>
      <c r="D2592" s="11" t="s">
        <v>4443</v>
      </c>
      <c r="E2592" s="11" t="s">
        <v>4444</v>
      </c>
      <c r="F2592" s="11"/>
      <c r="G2592" s="11" t="s">
        <v>15</v>
      </c>
      <c r="H2592" s="19" t="str">
        <f>IFERROR(VLOOKUP(Table2[[#This Row], [Ticket]],Okey!A:B,2,0),"")</f>
        <v/>
      </c>
      <c r="I2592" s="11" t="s">
        <v>276</v>
      </c>
      <c r="J2592" s="19" t="e">
        <f>VLOOKUP(Table2[[#This Row], [Author]],People!A:B,2,0)</f>
        <v>#VALUE!</v>
      </c>
      <c r="K2592" s="11" t="s">
        <v>3297</v>
      </c>
      <c r="L2592" s="11"/>
      <c r="M2592" s="20" t="s">
        <v>1613</v>
      </c>
    </row>
    <row r="2593" spans="1:13" ht="19.5" customHeight="1">
      <c r="A2593" s="21">
        <f t="shared" si="40"/>
        <v>2592</v>
      </c>
      <c r="B2593" s="13" t="s">
        <v>3295</v>
      </c>
      <c r="C2593" s="13" t="s">
        <v>98</v>
      </c>
      <c r="D2593" s="13" t="s">
        <v>4445</v>
      </c>
      <c r="E2593" s="13" t="s">
        <v>4446</v>
      </c>
      <c r="F2593" s="13"/>
      <c r="G2593" s="13" t="s">
        <v>15</v>
      </c>
      <c r="H2593" s="22" t="str">
        <f>IFERROR(VLOOKUP(Table2[[#This Row], [Ticket]],Okey!A:B,2,0),"")</f>
        <v/>
      </c>
      <c r="I2593" s="13" t="s">
        <v>276</v>
      </c>
      <c r="J2593" s="22" t="e">
        <f>VLOOKUP(Table2[[#This Row], [Author]],People!A:B,2,0)</f>
        <v>#VALUE!</v>
      </c>
      <c r="K2593" s="13" t="s">
        <v>3297</v>
      </c>
      <c r="L2593" s="13"/>
      <c r="M2593" s="23" t="s">
        <v>1613</v>
      </c>
    </row>
    <row r="2594" spans="1:13" ht="19.5" customHeight="1">
      <c r="A2594" s="18">
        <f t="shared" si="40"/>
        <v>2593</v>
      </c>
      <c r="B2594" s="11" t="s">
        <v>3295</v>
      </c>
      <c r="C2594" s="11" t="s">
        <v>98</v>
      </c>
      <c r="D2594" s="11" t="s">
        <v>4447</v>
      </c>
      <c r="E2594" s="11" t="s">
        <v>4448</v>
      </c>
      <c r="F2594" s="11"/>
      <c r="G2594" s="11" t="s">
        <v>15</v>
      </c>
      <c r="H2594" s="19" t="str">
        <f>IFERROR(VLOOKUP(Table2[[#This Row], [Ticket]],Okey!A:B,2,0),"")</f>
        <v/>
      </c>
      <c r="I2594" s="11" t="s">
        <v>276</v>
      </c>
      <c r="J2594" s="19" t="e">
        <f>VLOOKUP(Table2[[#This Row], [Author]],People!A:B,2,0)</f>
        <v>#VALUE!</v>
      </c>
      <c r="K2594" s="11" t="s">
        <v>3297</v>
      </c>
      <c r="L2594" s="11"/>
      <c r="M2594" s="20" t="s">
        <v>1613</v>
      </c>
    </row>
    <row r="2595" spans="1:13" ht="19.5" customHeight="1">
      <c r="A2595" s="21">
        <f t="shared" ref="A2595:A2658" si="41">1+A2594</f>
        <v>2594</v>
      </c>
      <c r="B2595" s="13" t="s">
        <v>3295</v>
      </c>
      <c r="C2595" s="13" t="s">
        <v>98</v>
      </c>
      <c r="D2595" s="13" t="s">
        <v>4449</v>
      </c>
      <c r="E2595" s="13" t="s">
        <v>4450</v>
      </c>
      <c r="F2595" s="13"/>
      <c r="G2595" s="13" t="s">
        <v>15</v>
      </c>
      <c r="H2595" s="22" t="str">
        <f>IFERROR(VLOOKUP(Table2[[#This Row], [Ticket]],Okey!A:B,2,0),"")</f>
        <v/>
      </c>
      <c r="I2595" s="13" t="s">
        <v>276</v>
      </c>
      <c r="J2595" s="22" t="e">
        <f>VLOOKUP(Table2[[#This Row], [Author]],People!A:B,2,0)</f>
        <v>#VALUE!</v>
      </c>
      <c r="K2595" s="13" t="s">
        <v>3297</v>
      </c>
      <c r="L2595" s="13"/>
      <c r="M2595" s="23" t="s">
        <v>1613</v>
      </c>
    </row>
    <row r="2596" spans="1:13" ht="19.5" customHeight="1">
      <c r="A2596" s="18">
        <f t="shared" si="41"/>
        <v>2595</v>
      </c>
      <c r="B2596" s="11" t="s">
        <v>3295</v>
      </c>
      <c r="C2596" s="11" t="s">
        <v>98</v>
      </c>
      <c r="D2596" s="11" t="s">
        <v>4451</v>
      </c>
      <c r="E2596" s="11" t="s">
        <v>4452</v>
      </c>
      <c r="F2596" s="11"/>
      <c r="G2596" s="11" t="s">
        <v>15</v>
      </c>
      <c r="H2596" s="19" t="str">
        <f>IFERROR(VLOOKUP(Table2[[#This Row], [Ticket]],Okey!A:B,2,0),"")</f>
        <v/>
      </c>
      <c r="I2596" s="11" t="s">
        <v>276</v>
      </c>
      <c r="J2596" s="19" t="e">
        <f>VLOOKUP(Table2[[#This Row], [Author]],People!A:B,2,0)</f>
        <v>#VALUE!</v>
      </c>
      <c r="K2596" s="11" t="s">
        <v>3297</v>
      </c>
      <c r="L2596" s="11"/>
      <c r="M2596" s="20" t="s">
        <v>1613</v>
      </c>
    </row>
    <row r="2597" spans="1:13" ht="19.5" customHeight="1">
      <c r="A2597" s="21">
        <f t="shared" si="41"/>
        <v>2596</v>
      </c>
      <c r="B2597" s="13" t="s">
        <v>3295</v>
      </c>
      <c r="C2597" s="13" t="s">
        <v>98</v>
      </c>
      <c r="D2597" s="13" t="s">
        <v>4453</v>
      </c>
      <c r="E2597" s="13" t="s">
        <v>4454</v>
      </c>
      <c r="F2597" s="13"/>
      <c r="G2597" s="13" t="s">
        <v>15</v>
      </c>
      <c r="H2597" s="22" t="str">
        <f>IFERROR(VLOOKUP(Table2[[#This Row], [Ticket]],Okey!A:B,2,0),"")</f>
        <v/>
      </c>
      <c r="I2597" s="13" t="s">
        <v>276</v>
      </c>
      <c r="J2597" s="22" t="e">
        <f>VLOOKUP(Table2[[#This Row], [Author]],People!A:B,2,0)</f>
        <v>#VALUE!</v>
      </c>
      <c r="K2597" s="13" t="s">
        <v>3297</v>
      </c>
      <c r="L2597" s="13"/>
      <c r="M2597" s="23" t="s">
        <v>1613</v>
      </c>
    </row>
    <row r="2598" spans="1:13" ht="19.5" customHeight="1">
      <c r="A2598" s="18">
        <f t="shared" si="41"/>
        <v>2597</v>
      </c>
      <c r="B2598" s="11" t="s">
        <v>3295</v>
      </c>
      <c r="C2598" s="11" t="s">
        <v>98</v>
      </c>
      <c r="D2598" s="11" t="s">
        <v>4455</v>
      </c>
      <c r="E2598" s="11" t="s">
        <v>4456</v>
      </c>
      <c r="F2598" s="11"/>
      <c r="G2598" s="11" t="s">
        <v>15</v>
      </c>
      <c r="H2598" s="19" t="str">
        <f>IFERROR(VLOOKUP(Table2[[#This Row], [Ticket]],Okey!A:B,2,0),"")</f>
        <v/>
      </c>
      <c r="I2598" s="11" t="s">
        <v>276</v>
      </c>
      <c r="J2598" s="19" t="e">
        <f>VLOOKUP(Table2[[#This Row], [Author]],People!A:B,2,0)</f>
        <v>#VALUE!</v>
      </c>
      <c r="K2598" s="11" t="s">
        <v>3297</v>
      </c>
      <c r="L2598" s="11"/>
      <c r="M2598" s="20" t="s">
        <v>1613</v>
      </c>
    </row>
    <row r="2599" spans="1:13" ht="19.5" customHeight="1">
      <c r="A2599" s="21">
        <f t="shared" si="41"/>
        <v>2598</v>
      </c>
      <c r="B2599" s="13" t="s">
        <v>3295</v>
      </c>
      <c r="C2599" s="13" t="s">
        <v>98</v>
      </c>
      <c r="D2599" s="13" t="s">
        <v>4457</v>
      </c>
      <c r="E2599" s="13" t="s">
        <v>4458</v>
      </c>
      <c r="F2599" s="13"/>
      <c r="G2599" s="13" t="s">
        <v>15</v>
      </c>
      <c r="H2599" s="22" t="str">
        <f>IFERROR(VLOOKUP(Table2[[#This Row], [Ticket]],Okey!A:B,2,0),"")</f>
        <v/>
      </c>
      <c r="I2599" s="13" t="s">
        <v>276</v>
      </c>
      <c r="J2599" s="22" t="e">
        <f>VLOOKUP(Table2[[#This Row], [Author]],People!A:B,2,0)</f>
        <v>#VALUE!</v>
      </c>
      <c r="K2599" s="13" t="s">
        <v>3297</v>
      </c>
      <c r="L2599" s="13"/>
      <c r="M2599" s="23" t="s">
        <v>1613</v>
      </c>
    </row>
    <row r="2600" spans="1:13" ht="19.5" customHeight="1">
      <c r="A2600" s="18">
        <f t="shared" si="41"/>
        <v>2599</v>
      </c>
      <c r="B2600" s="11" t="s">
        <v>3295</v>
      </c>
      <c r="C2600" s="11" t="s">
        <v>98</v>
      </c>
      <c r="D2600" s="11" t="s">
        <v>4459</v>
      </c>
      <c r="E2600" s="11" t="s">
        <v>4460</v>
      </c>
      <c r="F2600" s="11"/>
      <c r="G2600" s="11" t="s">
        <v>15</v>
      </c>
      <c r="H2600" s="19" t="str">
        <f>IFERROR(VLOOKUP(Table2[[#This Row], [Ticket]],Okey!A:B,2,0),"")</f>
        <v/>
      </c>
      <c r="I2600" s="11" t="s">
        <v>276</v>
      </c>
      <c r="J2600" s="19" t="e">
        <f>VLOOKUP(Table2[[#This Row], [Author]],People!A:B,2,0)</f>
        <v>#VALUE!</v>
      </c>
      <c r="K2600" s="11" t="s">
        <v>3297</v>
      </c>
      <c r="L2600" s="11"/>
      <c r="M2600" s="20" t="s">
        <v>1613</v>
      </c>
    </row>
    <row r="2601" spans="1:13" ht="19.5" customHeight="1">
      <c r="A2601" s="21">
        <f t="shared" si="41"/>
        <v>2600</v>
      </c>
      <c r="B2601" s="13" t="s">
        <v>3295</v>
      </c>
      <c r="C2601" s="13" t="s">
        <v>98</v>
      </c>
      <c r="D2601" s="13" t="s">
        <v>4461</v>
      </c>
      <c r="E2601" s="13" t="s">
        <v>4462</v>
      </c>
      <c r="F2601" s="13"/>
      <c r="G2601" s="13" t="s">
        <v>15</v>
      </c>
      <c r="H2601" s="22" t="str">
        <f>IFERROR(VLOOKUP(Table2[[#This Row], [Ticket]],Okey!A:B,2,0),"")</f>
        <v/>
      </c>
      <c r="I2601" s="13" t="s">
        <v>276</v>
      </c>
      <c r="J2601" s="22" t="e">
        <f>VLOOKUP(Table2[[#This Row], [Author]],People!A:B,2,0)</f>
        <v>#VALUE!</v>
      </c>
      <c r="K2601" s="13" t="s">
        <v>3297</v>
      </c>
      <c r="L2601" s="13"/>
      <c r="M2601" s="23" t="s">
        <v>1613</v>
      </c>
    </row>
    <row r="2602" spans="1:13" ht="19.5" customHeight="1">
      <c r="A2602" s="18">
        <f t="shared" si="41"/>
        <v>2601</v>
      </c>
      <c r="B2602" s="11" t="s">
        <v>3295</v>
      </c>
      <c r="C2602" s="11" t="s">
        <v>98</v>
      </c>
      <c r="D2602" s="11" t="s">
        <v>4463</v>
      </c>
      <c r="E2602" s="11" t="s">
        <v>4464</v>
      </c>
      <c r="F2602" s="11"/>
      <c r="G2602" s="11" t="s">
        <v>15</v>
      </c>
      <c r="H2602" s="19" t="str">
        <f>IFERROR(VLOOKUP(Table2[[#This Row], [Ticket]],Okey!A:B,2,0),"")</f>
        <v/>
      </c>
      <c r="I2602" s="11" t="s">
        <v>276</v>
      </c>
      <c r="J2602" s="19" t="e">
        <f>VLOOKUP(Table2[[#This Row], [Author]],People!A:B,2,0)</f>
        <v>#VALUE!</v>
      </c>
      <c r="K2602" s="11" t="s">
        <v>3297</v>
      </c>
      <c r="L2602" s="11"/>
      <c r="M2602" s="20" t="s">
        <v>1613</v>
      </c>
    </row>
    <row r="2603" spans="1:13" ht="19.5" customHeight="1">
      <c r="A2603" s="21">
        <f t="shared" si="41"/>
        <v>2602</v>
      </c>
      <c r="B2603" s="13" t="s">
        <v>3295</v>
      </c>
      <c r="C2603" s="13" t="s">
        <v>98</v>
      </c>
      <c r="D2603" s="13" t="s">
        <v>4465</v>
      </c>
      <c r="E2603" s="13" t="s">
        <v>4466</v>
      </c>
      <c r="F2603" s="13"/>
      <c r="G2603" s="13" t="s">
        <v>15</v>
      </c>
      <c r="H2603" s="22" t="str">
        <f>IFERROR(VLOOKUP(Table2[[#This Row], [Ticket]],Okey!A:B,2,0),"")</f>
        <v/>
      </c>
      <c r="I2603" s="13" t="s">
        <v>276</v>
      </c>
      <c r="J2603" s="22" t="e">
        <f>VLOOKUP(Table2[[#This Row], [Author]],People!A:B,2,0)</f>
        <v>#VALUE!</v>
      </c>
      <c r="K2603" s="13" t="s">
        <v>3297</v>
      </c>
      <c r="L2603" s="13"/>
      <c r="M2603" s="23" t="s">
        <v>1613</v>
      </c>
    </row>
    <row r="2604" spans="1:13" ht="19.5" customHeight="1">
      <c r="A2604" s="18">
        <f t="shared" si="41"/>
        <v>2603</v>
      </c>
      <c r="B2604" s="11" t="s">
        <v>3295</v>
      </c>
      <c r="C2604" s="11" t="s">
        <v>98</v>
      </c>
      <c r="D2604" s="11" t="s">
        <v>4467</v>
      </c>
      <c r="E2604" s="11" t="s">
        <v>4468</v>
      </c>
      <c r="F2604" s="11"/>
      <c r="G2604" s="11" t="s">
        <v>15</v>
      </c>
      <c r="H2604" s="19" t="str">
        <f>IFERROR(VLOOKUP(Table2[[#This Row], [Ticket]],Okey!A:B,2,0),"")</f>
        <v/>
      </c>
      <c r="I2604" s="11" t="s">
        <v>276</v>
      </c>
      <c r="J2604" s="19" t="e">
        <f>VLOOKUP(Table2[[#This Row], [Author]],People!A:B,2,0)</f>
        <v>#VALUE!</v>
      </c>
      <c r="K2604" s="11" t="s">
        <v>3297</v>
      </c>
      <c r="L2604" s="11"/>
      <c r="M2604" s="20" t="s">
        <v>1613</v>
      </c>
    </row>
    <row r="2605" spans="1:13" ht="19.5" customHeight="1">
      <c r="A2605" s="21">
        <f t="shared" si="41"/>
        <v>2604</v>
      </c>
      <c r="B2605" s="13" t="s">
        <v>3295</v>
      </c>
      <c r="C2605" s="13" t="s">
        <v>98</v>
      </c>
      <c r="D2605" s="13" t="s">
        <v>4469</v>
      </c>
      <c r="E2605" s="13" t="s">
        <v>4470</v>
      </c>
      <c r="F2605" s="13"/>
      <c r="G2605" s="13" t="s">
        <v>15</v>
      </c>
      <c r="H2605" s="22" t="str">
        <f>IFERROR(VLOOKUP(Table2[[#This Row], [Ticket]],Okey!A:B,2,0),"")</f>
        <v/>
      </c>
      <c r="I2605" s="13" t="s">
        <v>276</v>
      </c>
      <c r="J2605" s="22" t="e">
        <f>VLOOKUP(Table2[[#This Row], [Author]],People!A:B,2,0)</f>
        <v>#VALUE!</v>
      </c>
      <c r="K2605" s="13" t="s">
        <v>3297</v>
      </c>
      <c r="L2605" s="13"/>
      <c r="M2605" s="23" t="s">
        <v>1613</v>
      </c>
    </row>
    <row r="2606" spans="1:13" ht="19.5" customHeight="1">
      <c r="A2606" s="18">
        <f t="shared" si="41"/>
        <v>2605</v>
      </c>
      <c r="B2606" s="11" t="s">
        <v>3295</v>
      </c>
      <c r="C2606" s="11" t="s">
        <v>98</v>
      </c>
      <c r="D2606" s="11" t="s">
        <v>4471</v>
      </c>
      <c r="E2606" s="11" t="s">
        <v>4472</v>
      </c>
      <c r="F2606" s="11"/>
      <c r="G2606" s="11" t="s">
        <v>15</v>
      </c>
      <c r="H2606" s="19" t="str">
        <f>IFERROR(VLOOKUP(Table2[[#This Row], [Ticket]],Okey!A:B,2,0),"")</f>
        <v/>
      </c>
      <c r="I2606" s="11" t="s">
        <v>276</v>
      </c>
      <c r="J2606" s="19" t="e">
        <f>VLOOKUP(Table2[[#This Row], [Author]],People!A:B,2,0)</f>
        <v>#VALUE!</v>
      </c>
      <c r="K2606" s="11" t="s">
        <v>3297</v>
      </c>
      <c r="L2606" s="11"/>
      <c r="M2606" s="20" t="s">
        <v>1613</v>
      </c>
    </row>
    <row r="2607" spans="1:13" ht="19.5" customHeight="1">
      <c r="A2607" s="21">
        <f t="shared" si="41"/>
        <v>2606</v>
      </c>
      <c r="B2607" s="13" t="s">
        <v>3295</v>
      </c>
      <c r="C2607" s="13" t="s">
        <v>98</v>
      </c>
      <c r="D2607" s="13" t="s">
        <v>4473</v>
      </c>
      <c r="E2607" s="13" t="s">
        <v>4474</v>
      </c>
      <c r="F2607" s="13"/>
      <c r="G2607" s="13" t="s">
        <v>15</v>
      </c>
      <c r="H2607" s="22" t="str">
        <f>IFERROR(VLOOKUP(Table2[[#This Row], [Ticket]],Okey!A:B,2,0),"")</f>
        <v/>
      </c>
      <c r="I2607" s="13" t="s">
        <v>276</v>
      </c>
      <c r="J2607" s="22" t="e">
        <f>VLOOKUP(Table2[[#This Row], [Author]],People!A:B,2,0)</f>
        <v>#VALUE!</v>
      </c>
      <c r="K2607" s="13" t="s">
        <v>3297</v>
      </c>
      <c r="L2607" s="13"/>
      <c r="M2607" s="23" t="s">
        <v>1613</v>
      </c>
    </row>
    <row r="2608" spans="1:13" ht="19.5" customHeight="1">
      <c r="A2608" s="18">
        <f t="shared" si="41"/>
        <v>2607</v>
      </c>
      <c r="B2608" s="11" t="s">
        <v>3295</v>
      </c>
      <c r="C2608" s="11" t="s">
        <v>98</v>
      </c>
      <c r="D2608" s="11" t="s">
        <v>4475</v>
      </c>
      <c r="E2608" s="11" t="s">
        <v>4476</v>
      </c>
      <c r="F2608" s="11"/>
      <c r="G2608" s="11" t="s">
        <v>15</v>
      </c>
      <c r="H2608" s="19" t="str">
        <f>IFERROR(VLOOKUP(Table2[[#This Row], [Ticket]],Okey!A:B,2,0),"")</f>
        <v/>
      </c>
      <c r="I2608" s="11" t="s">
        <v>276</v>
      </c>
      <c r="J2608" s="19" t="e">
        <f>VLOOKUP(Table2[[#This Row], [Author]],People!A:B,2,0)</f>
        <v>#VALUE!</v>
      </c>
      <c r="K2608" s="11" t="s">
        <v>3297</v>
      </c>
      <c r="L2608" s="11"/>
      <c r="M2608" s="20" t="s">
        <v>1613</v>
      </c>
    </row>
    <row r="2609" spans="1:13" ht="19.5" customHeight="1">
      <c r="A2609" s="21">
        <f t="shared" si="41"/>
        <v>2608</v>
      </c>
      <c r="B2609" s="13" t="s">
        <v>3295</v>
      </c>
      <c r="C2609" s="13" t="s">
        <v>98</v>
      </c>
      <c r="D2609" s="13" t="s">
        <v>4477</v>
      </c>
      <c r="E2609" s="13" t="s">
        <v>4478</v>
      </c>
      <c r="F2609" s="13"/>
      <c r="G2609" s="13" t="s">
        <v>15</v>
      </c>
      <c r="H2609" s="22" t="str">
        <f>IFERROR(VLOOKUP(Table2[[#This Row], [Ticket]],Okey!A:B,2,0),"")</f>
        <v/>
      </c>
      <c r="I2609" s="13" t="s">
        <v>276</v>
      </c>
      <c r="J2609" s="22" t="e">
        <f>VLOOKUP(Table2[[#This Row], [Author]],People!A:B,2,0)</f>
        <v>#VALUE!</v>
      </c>
      <c r="K2609" s="13" t="s">
        <v>3297</v>
      </c>
      <c r="L2609" s="13"/>
      <c r="M2609" s="23" t="s">
        <v>1613</v>
      </c>
    </row>
    <row r="2610" spans="1:13" ht="19.5" customHeight="1">
      <c r="A2610" s="18">
        <f t="shared" si="41"/>
        <v>2609</v>
      </c>
      <c r="B2610" s="11" t="s">
        <v>3295</v>
      </c>
      <c r="C2610" s="11" t="s">
        <v>98</v>
      </c>
      <c r="D2610" s="11" t="s">
        <v>4479</v>
      </c>
      <c r="E2610" s="11" t="s">
        <v>4480</v>
      </c>
      <c r="F2610" s="11"/>
      <c r="G2610" s="11" t="s">
        <v>15</v>
      </c>
      <c r="H2610" s="19" t="str">
        <f>IFERROR(VLOOKUP(Table2[[#This Row], [Ticket]],Okey!A:B,2,0),"")</f>
        <v/>
      </c>
      <c r="I2610" s="11" t="s">
        <v>276</v>
      </c>
      <c r="J2610" s="19" t="e">
        <f>VLOOKUP(Table2[[#This Row], [Author]],People!A:B,2,0)</f>
        <v>#VALUE!</v>
      </c>
      <c r="K2610" s="11" t="s">
        <v>3297</v>
      </c>
      <c r="L2610" s="11"/>
      <c r="M2610" s="20" t="s">
        <v>1613</v>
      </c>
    </row>
    <row r="2611" spans="1:13" ht="19.5" customHeight="1">
      <c r="A2611" s="21">
        <f t="shared" si="41"/>
        <v>2610</v>
      </c>
      <c r="B2611" s="13" t="s">
        <v>3295</v>
      </c>
      <c r="C2611" s="13" t="s">
        <v>98</v>
      </c>
      <c r="D2611" s="13" t="s">
        <v>4481</v>
      </c>
      <c r="E2611" s="13" t="s">
        <v>4482</v>
      </c>
      <c r="F2611" s="13"/>
      <c r="G2611" s="13" t="s">
        <v>15</v>
      </c>
      <c r="H2611" s="22" t="str">
        <f>IFERROR(VLOOKUP(Table2[[#This Row], [Ticket]],Okey!A:B,2,0),"")</f>
        <v/>
      </c>
      <c r="I2611" s="13" t="s">
        <v>276</v>
      </c>
      <c r="J2611" s="22" t="e">
        <f>VLOOKUP(Table2[[#This Row], [Author]],People!A:B,2,0)</f>
        <v>#VALUE!</v>
      </c>
      <c r="K2611" s="13" t="s">
        <v>3297</v>
      </c>
      <c r="L2611" s="13"/>
      <c r="M2611" s="23" t="s">
        <v>1613</v>
      </c>
    </row>
    <row r="2612" spans="1:13" ht="19.5" customHeight="1">
      <c r="A2612" s="18">
        <f t="shared" si="41"/>
        <v>2611</v>
      </c>
      <c r="B2612" s="11" t="s">
        <v>3295</v>
      </c>
      <c r="C2612" s="11" t="s">
        <v>98</v>
      </c>
      <c r="D2612" s="11" t="s">
        <v>4483</v>
      </c>
      <c r="E2612" s="11" t="s">
        <v>4484</v>
      </c>
      <c r="F2612" s="11"/>
      <c r="G2612" s="11" t="s">
        <v>15</v>
      </c>
      <c r="H2612" s="19" t="str">
        <f>IFERROR(VLOOKUP(Table2[[#This Row], [Ticket]],Okey!A:B,2,0),"")</f>
        <v/>
      </c>
      <c r="I2612" s="11" t="s">
        <v>276</v>
      </c>
      <c r="J2612" s="19" t="e">
        <f>VLOOKUP(Table2[[#This Row], [Author]],People!A:B,2,0)</f>
        <v>#VALUE!</v>
      </c>
      <c r="K2612" s="11" t="s">
        <v>3297</v>
      </c>
      <c r="L2612" s="11"/>
      <c r="M2612" s="20" t="s">
        <v>1613</v>
      </c>
    </row>
    <row r="2613" spans="1:13" ht="19.5" customHeight="1">
      <c r="A2613" s="21">
        <f t="shared" si="41"/>
        <v>2612</v>
      </c>
      <c r="B2613" s="13" t="s">
        <v>3295</v>
      </c>
      <c r="C2613" s="13" t="s">
        <v>98</v>
      </c>
      <c r="D2613" s="13" t="s">
        <v>4485</v>
      </c>
      <c r="E2613" s="13" t="s">
        <v>4486</v>
      </c>
      <c r="F2613" s="13"/>
      <c r="G2613" s="13" t="s">
        <v>15</v>
      </c>
      <c r="H2613" s="22" t="str">
        <f>IFERROR(VLOOKUP(Table2[[#This Row], [Ticket]],Okey!A:B,2,0),"")</f>
        <v/>
      </c>
      <c r="I2613" s="13" t="s">
        <v>276</v>
      </c>
      <c r="J2613" s="22" t="e">
        <f>VLOOKUP(Table2[[#This Row], [Author]],People!A:B,2,0)</f>
        <v>#VALUE!</v>
      </c>
      <c r="K2613" s="13" t="s">
        <v>3297</v>
      </c>
      <c r="L2613" s="13"/>
      <c r="M2613" s="23" t="s">
        <v>1613</v>
      </c>
    </row>
    <row r="2614" spans="1:13" ht="19.5" customHeight="1">
      <c r="A2614" s="18">
        <f t="shared" si="41"/>
        <v>2613</v>
      </c>
      <c r="B2614" s="11" t="s">
        <v>3295</v>
      </c>
      <c r="C2614" s="11" t="s">
        <v>98</v>
      </c>
      <c r="D2614" s="11" t="s">
        <v>3215</v>
      </c>
      <c r="E2614" s="11" t="s">
        <v>4487</v>
      </c>
      <c r="F2614" s="11"/>
      <c r="G2614" s="11" t="s">
        <v>15</v>
      </c>
      <c r="H2614" s="19" t="str">
        <f>IFERROR(VLOOKUP(Table2[[#This Row], [Ticket]],Okey!A:B,2,0),"")</f>
        <v/>
      </c>
      <c r="I2614" s="11" t="s">
        <v>276</v>
      </c>
      <c r="J2614" s="19" t="e">
        <f>VLOOKUP(Table2[[#This Row], [Author]],People!A:B,2,0)</f>
        <v>#VALUE!</v>
      </c>
      <c r="K2614" s="11" t="s">
        <v>3297</v>
      </c>
      <c r="L2614" s="11"/>
      <c r="M2614" s="20" t="s">
        <v>1613</v>
      </c>
    </row>
    <row r="2615" spans="1:13" ht="19.5" customHeight="1">
      <c r="A2615" s="21">
        <f t="shared" si="41"/>
        <v>2614</v>
      </c>
      <c r="B2615" s="13" t="s">
        <v>3295</v>
      </c>
      <c r="C2615" s="13" t="s">
        <v>98</v>
      </c>
      <c r="D2615" s="13" t="s">
        <v>4488</v>
      </c>
      <c r="E2615" s="13" t="s">
        <v>4489</v>
      </c>
      <c r="F2615" s="13"/>
      <c r="G2615" s="13" t="s">
        <v>15</v>
      </c>
      <c r="H2615" s="22" t="str">
        <f>IFERROR(VLOOKUP(Table2[[#This Row], [Ticket]],Okey!A:B,2,0),"")</f>
        <v/>
      </c>
      <c r="I2615" s="13" t="s">
        <v>276</v>
      </c>
      <c r="J2615" s="22" t="e">
        <f>VLOOKUP(Table2[[#This Row], [Author]],People!A:B,2,0)</f>
        <v>#VALUE!</v>
      </c>
      <c r="K2615" s="13" t="s">
        <v>3297</v>
      </c>
      <c r="L2615" s="13"/>
      <c r="M2615" s="23" t="s">
        <v>1613</v>
      </c>
    </row>
    <row r="2616" spans="1:13" ht="19.5" customHeight="1">
      <c r="A2616" s="18">
        <f t="shared" si="41"/>
        <v>2615</v>
      </c>
      <c r="B2616" s="11" t="s">
        <v>3295</v>
      </c>
      <c r="C2616" s="11" t="s">
        <v>98</v>
      </c>
      <c r="D2616" s="11" t="s">
        <v>4490</v>
      </c>
      <c r="E2616" s="11" t="s">
        <v>4491</v>
      </c>
      <c r="F2616" s="11"/>
      <c r="G2616" s="11" t="s">
        <v>15</v>
      </c>
      <c r="H2616" s="19" t="str">
        <f>IFERROR(VLOOKUP(Table2[[#This Row], [Ticket]],Okey!A:B,2,0),"")</f>
        <v/>
      </c>
      <c r="I2616" s="11" t="s">
        <v>276</v>
      </c>
      <c r="J2616" s="19" t="e">
        <f>VLOOKUP(Table2[[#This Row], [Author]],People!A:B,2,0)</f>
        <v>#VALUE!</v>
      </c>
      <c r="K2616" s="11" t="s">
        <v>3297</v>
      </c>
      <c r="L2616" s="11"/>
      <c r="M2616" s="20" t="s">
        <v>1613</v>
      </c>
    </row>
    <row r="2617" spans="1:13" ht="19.5" customHeight="1">
      <c r="A2617" s="21">
        <f t="shared" si="41"/>
        <v>2616</v>
      </c>
      <c r="B2617" s="13" t="s">
        <v>3295</v>
      </c>
      <c r="C2617" s="13" t="s">
        <v>98</v>
      </c>
      <c r="D2617" s="13" t="s">
        <v>4492</v>
      </c>
      <c r="E2617" s="13" t="s">
        <v>4493</v>
      </c>
      <c r="F2617" s="13"/>
      <c r="G2617" s="13" t="s">
        <v>15</v>
      </c>
      <c r="H2617" s="22" t="str">
        <f>IFERROR(VLOOKUP(Table2[[#This Row], [Ticket]],Okey!A:B,2,0),"")</f>
        <v/>
      </c>
      <c r="I2617" s="13" t="s">
        <v>276</v>
      </c>
      <c r="J2617" s="22" t="e">
        <f>VLOOKUP(Table2[[#This Row], [Author]],People!A:B,2,0)</f>
        <v>#VALUE!</v>
      </c>
      <c r="K2617" s="13" t="s">
        <v>3297</v>
      </c>
      <c r="L2617" s="13"/>
      <c r="M2617" s="23" t="s">
        <v>1613</v>
      </c>
    </row>
    <row r="2618" spans="1:13" ht="19.5" customHeight="1">
      <c r="A2618" s="18">
        <f t="shared" si="41"/>
        <v>2617</v>
      </c>
      <c r="B2618" s="11" t="s">
        <v>3295</v>
      </c>
      <c r="C2618" s="11" t="s">
        <v>98</v>
      </c>
      <c r="D2618" s="11" t="s">
        <v>4494</v>
      </c>
      <c r="E2618" s="11" t="s">
        <v>4495</v>
      </c>
      <c r="F2618" s="11"/>
      <c r="G2618" s="11" t="s">
        <v>15</v>
      </c>
      <c r="H2618" s="19" t="str">
        <f>IFERROR(VLOOKUP(Table2[[#This Row], [Ticket]],Okey!A:B,2,0),"")</f>
        <v/>
      </c>
      <c r="I2618" s="11" t="s">
        <v>276</v>
      </c>
      <c r="J2618" s="19" t="e">
        <f>VLOOKUP(Table2[[#This Row], [Author]],People!A:B,2,0)</f>
        <v>#VALUE!</v>
      </c>
      <c r="K2618" s="11" t="s">
        <v>3297</v>
      </c>
      <c r="L2618" s="11"/>
      <c r="M2618" s="20" t="s">
        <v>1613</v>
      </c>
    </row>
    <row r="2619" spans="1:13" ht="19.5" customHeight="1">
      <c r="A2619" s="21">
        <f t="shared" si="41"/>
        <v>2618</v>
      </c>
      <c r="B2619" s="13" t="s">
        <v>3295</v>
      </c>
      <c r="C2619" s="13" t="s">
        <v>98</v>
      </c>
      <c r="D2619" s="13" t="s">
        <v>4496</v>
      </c>
      <c r="E2619" s="13" t="s">
        <v>4497</v>
      </c>
      <c r="F2619" s="13"/>
      <c r="G2619" s="13" t="s">
        <v>15</v>
      </c>
      <c r="H2619" s="22" t="str">
        <f>IFERROR(VLOOKUP(Table2[[#This Row], [Ticket]],Okey!A:B,2,0),"")</f>
        <v/>
      </c>
      <c r="I2619" s="13" t="s">
        <v>276</v>
      </c>
      <c r="J2619" s="22" t="e">
        <f>VLOOKUP(Table2[[#This Row], [Author]],People!A:B,2,0)</f>
        <v>#VALUE!</v>
      </c>
      <c r="K2619" s="13" t="s">
        <v>3297</v>
      </c>
      <c r="L2619" s="13"/>
      <c r="M2619" s="23" t="s">
        <v>1613</v>
      </c>
    </row>
    <row r="2620" spans="1:13" ht="19.5" customHeight="1">
      <c r="A2620" s="18">
        <f t="shared" si="41"/>
        <v>2619</v>
      </c>
      <c r="B2620" s="11" t="s">
        <v>3295</v>
      </c>
      <c r="C2620" s="11" t="s">
        <v>98</v>
      </c>
      <c r="D2620" s="11" t="s">
        <v>4498</v>
      </c>
      <c r="E2620" s="11" t="s">
        <v>4499</v>
      </c>
      <c r="F2620" s="11"/>
      <c r="G2620" s="11" t="s">
        <v>15</v>
      </c>
      <c r="H2620" s="19" t="str">
        <f>IFERROR(VLOOKUP(Table2[[#This Row], [Ticket]],Okey!A:B,2,0),"")</f>
        <v/>
      </c>
      <c r="I2620" s="11" t="s">
        <v>276</v>
      </c>
      <c r="J2620" s="19" t="e">
        <f>VLOOKUP(Table2[[#This Row], [Author]],People!A:B,2,0)</f>
        <v>#VALUE!</v>
      </c>
      <c r="K2620" s="11" t="s">
        <v>3297</v>
      </c>
      <c r="L2620" s="11"/>
      <c r="M2620" s="20" t="s">
        <v>1613</v>
      </c>
    </row>
    <row r="2621" spans="1:13" ht="19.5" customHeight="1">
      <c r="A2621" s="21">
        <f t="shared" si="41"/>
        <v>2620</v>
      </c>
      <c r="B2621" s="13" t="s">
        <v>3295</v>
      </c>
      <c r="C2621" s="13" t="s">
        <v>98</v>
      </c>
      <c r="D2621" s="13" t="s">
        <v>4500</v>
      </c>
      <c r="E2621" s="13" t="s">
        <v>4501</v>
      </c>
      <c r="F2621" s="13"/>
      <c r="G2621" s="13" t="s">
        <v>15</v>
      </c>
      <c r="H2621" s="22" t="str">
        <f>IFERROR(VLOOKUP(Table2[[#This Row], [Ticket]],Okey!A:B,2,0),"")</f>
        <v/>
      </c>
      <c r="I2621" s="13" t="s">
        <v>276</v>
      </c>
      <c r="J2621" s="22" t="e">
        <f>VLOOKUP(Table2[[#This Row], [Author]],People!A:B,2,0)</f>
        <v>#VALUE!</v>
      </c>
      <c r="K2621" s="13" t="s">
        <v>3297</v>
      </c>
      <c r="L2621" s="13"/>
      <c r="M2621" s="23" t="s">
        <v>1613</v>
      </c>
    </row>
    <row r="2622" spans="1:13" ht="19.5" customHeight="1">
      <c r="A2622" s="18">
        <f t="shared" si="41"/>
        <v>2621</v>
      </c>
      <c r="B2622" s="11" t="s">
        <v>3295</v>
      </c>
      <c r="C2622" s="11" t="s">
        <v>98</v>
      </c>
      <c r="D2622" s="11" t="s">
        <v>2050</v>
      </c>
      <c r="E2622" s="11" t="s">
        <v>4502</v>
      </c>
      <c r="F2622" s="11"/>
      <c r="G2622" s="11" t="s">
        <v>15</v>
      </c>
      <c r="H2622" s="19" t="str">
        <f>IFERROR(VLOOKUP(Table2[[#This Row], [Ticket]],Okey!A:B,2,0),"")</f>
        <v/>
      </c>
      <c r="I2622" s="11" t="s">
        <v>276</v>
      </c>
      <c r="J2622" s="19" t="e">
        <f>VLOOKUP(Table2[[#This Row], [Author]],People!A:B,2,0)</f>
        <v>#VALUE!</v>
      </c>
      <c r="K2622" s="11" t="s">
        <v>3297</v>
      </c>
      <c r="L2622" s="11"/>
      <c r="M2622" s="20" t="s">
        <v>1613</v>
      </c>
    </row>
    <row r="2623" spans="1:13" ht="19.5" customHeight="1">
      <c r="A2623" s="21">
        <f t="shared" si="41"/>
        <v>2622</v>
      </c>
      <c r="B2623" s="13" t="s">
        <v>3295</v>
      </c>
      <c r="C2623" s="13" t="s">
        <v>98</v>
      </c>
      <c r="D2623" s="13" t="s">
        <v>4503</v>
      </c>
      <c r="E2623" s="13" t="s">
        <v>4502</v>
      </c>
      <c r="F2623" s="13"/>
      <c r="G2623" s="13" t="s">
        <v>15</v>
      </c>
      <c r="H2623" s="22" t="str">
        <f>IFERROR(VLOOKUP(Table2[[#This Row], [Ticket]],Okey!A:B,2,0),"")</f>
        <v/>
      </c>
      <c r="I2623" s="13" t="s">
        <v>276</v>
      </c>
      <c r="J2623" s="22" t="e">
        <f>VLOOKUP(Table2[[#This Row], [Author]],People!A:B,2,0)</f>
        <v>#VALUE!</v>
      </c>
      <c r="K2623" s="13" t="s">
        <v>3297</v>
      </c>
      <c r="L2623" s="13"/>
      <c r="M2623" s="23" t="s">
        <v>1613</v>
      </c>
    </row>
    <row r="2624" spans="1:13" ht="19.5" customHeight="1">
      <c r="A2624" s="18">
        <f t="shared" si="41"/>
        <v>2623</v>
      </c>
      <c r="B2624" s="11" t="s">
        <v>3295</v>
      </c>
      <c r="C2624" s="11" t="s">
        <v>98</v>
      </c>
      <c r="D2624" s="11" t="s">
        <v>1627</v>
      </c>
      <c r="E2624" s="11" t="s">
        <v>4504</v>
      </c>
      <c r="F2624" s="11"/>
      <c r="G2624" s="11" t="s">
        <v>15</v>
      </c>
      <c r="H2624" s="19" t="str">
        <f>IFERROR(VLOOKUP(Table2[[#This Row], [Ticket]],Okey!A:B,2,0),"")</f>
        <v/>
      </c>
      <c r="I2624" s="11" t="s">
        <v>276</v>
      </c>
      <c r="J2624" s="19" t="e">
        <f>VLOOKUP(Table2[[#This Row], [Author]],People!A:B,2,0)</f>
        <v>#VALUE!</v>
      </c>
      <c r="K2624" s="11" t="s">
        <v>3297</v>
      </c>
      <c r="L2624" s="11"/>
      <c r="M2624" s="20" t="s">
        <v>1613</v>
      </c>
    </row>
    <row r="2625" spans="1:13" ht="19.5" customHeight="1">
      <c r="A2625" s="21">
        <f t="shared" si="41"/>
        <v>2624</v>
      </c>
      <c r="B2625" s="13" t="s">
        <v>3295</v>
      </c>
      <c r="C2625" s="13" t="s">
        <v>98</v>
      </c>
      <c r="D2625" s="13" t="s">
        <v>1629</v>
      </c>
      <c r="E2625" s="13" t="s">
        <v>4505</v>
      </c>
      <c r="F2625" s="13"/>
      <c r="G2625" s="13" t="s">
        <v>15</v>
      </c>
      <c r="H2625" s="22" t="str">
        <f>IFERROR(VLOOKUP(Table2[[#This Row], [Ticket]],Okey!A:B,2,0),"")</f>
        <v/>
      </c>
      <c r="I2625" s="13" t="s">
        <v>276</v>
      </c>
      <c r="J2625" s="22" t="e">
        <f>VLOOKUP(Table2[[#This Row], [Author]],People!A:B,2,0)</f>
        <v>#VALUE!</v>
      </c>
      <c r="K2625" s="13" t="s">
        <v>3297</v>
      </c>
      <c r="L2625" s="13"/>
      <c r="M2625" s="23" t="s">
        <v>1613</v>
      </c>
    </row>
    <row r="2626" spans="1:13" ht="19.5" customHeight="1">
      <c r="A2626" s="18">
        <f t="shared" si="41"/>
        <v>2625</v>
      </c>
      <c r="B2626" s="11" t="s">
        <v>3295</v>
      </c>
      <c r="C2626" s="11" t="s">
        <v>98</v>
      </c>
      <c r="D2626" s="11" t="s">
        <v>4506</v>
      </c>
      <c r="E2626" s="11" t="s">
        <v>4507</v>
      </c>
      <c r="F2626" s="11"/>
      <c r="G2626" s="11" t="s">
        <v>15</v>
      </c>
      <c r="H2626" s="19" t="str">
        <f>IFERROR(VLOOKUP(Table2[[#This Row], [Ticket]],Okey!A:B,2,0),"")</f>
        <v/>
      </c>
      <c r="I2626" s="11" t="s">
        <v>276</v>
      </c>
      <c r="J2626" s="19" t="e">
        <f>VLOOKUP(Table2[[#This Row], [Author]],People!A:B,2,0)</f>
        <v>#VALUE!</v>
      </c>
      <c r="K2626" s="11" t="s">
        <v>3297</v>
      </c>
      <c r="L2626" s="11"/>
      <c r="M2626" s="20" t="s">
        <v>1613</v>
      </c>
    </row>
    <row r="2627" spans="1:13" ht="19.5" customHeight="1">
      <c r="A2627" s="21">
        <f t="shared" si="41"/>
        <v>2626</v>
      </c>
      <c r="B2627" s="13" t="s">
        <v>3295</v>
      </c>
      <c r="C2627" s="13" t="s">
        <v>98</v>
      </c>
      <c r="D2627" s="13" t="s">
        <v>4508</v>
      </c>
      <c r="E2627" s="13" t="s">
        <v>4509</v>
      </c>
      <c r="F2627" s="13"/>
      <c r="G2627" s="13" t="s">
        <v>15</v>
      </c>
      <c r="H2627" s="22" t="str">
        <f>IFERROR(VLOOKUP(Table2[[#This Row], [Ticket]],Okey!A:B,2,0),"")</f>
        <v/>
      </c>
      <c r="I2627" s="13" t="s">
        <v>276</v>
      </c>
      <c r="J2627" s="22" t="e">
        <f>VLOOKUP(Table2[[#This Row], [Author]],People!A:B,2,0)</f>
        <v>#VALUE!</v>
      </c>
      <c r="K2627" s="13" t="s">
        <v>3297</v>
      </c>
      <c r="L2627" s="13"/>
      <c r="M2627" s="23" t="s">
        <v>1613</v>
      </c>
    </row>
    <row r="2628" spans="1:13" ht="19.5" customHeight="1">
      <c r="A2628" s="18">
        <f t="shared" si="41"/>
        <v>2627</v>
      </c>
      <c r="B2628" s="11" t="s">
        <v>3295</v>
      </c>
      <c r="C2628" s="11" t="s">
        <v>98</v>
      </c>
      <c r="D2628" s="11" t="s">
        <v>4510</v>
      </c>
      <c r="E2628" s="11" t="s">
        <v>4511</v>
      </c>
      <c r="F2628" s="11"/>
      <c r="G2628" s="11" t="s">
        <v>15</v>
      </c>
      <c r="H2628" s="19" t="str">
        <f>IFERROR(VLOOKUP(Table2[[#This Row], [Ticket]],Okey!A:B,2,0),"")</f>
        <v/>
      </c>
      <c r="I2628" s="11" t="s">
        <v>276</v>
      </c>
      <c r="J2628" s="19" t="e">
        <f>VLOOKUP(Table2[[#This Row], [Author]],People!A:B,2,0)</f>
        <v>#VALUE!</v>
      </c>
      <c r="K2628" s="11" t="s">
        <v>3297</v>
      </c>
      <c r="L2628" s="11"/>
      <c r="M2628" s="20" t="s">
        <v>1613</v>
      </c>
    </row>
    <row r="2629" spans="1:13" ht="19.5" customHeight="1">
      <c r="A2629" s="21">
        <f t="shared" si="41"/>
        <v>2628</v>
      </c>
      <c r="B2629" s="13" t="s">
        <v>3295</v>
      </c>
      <c r="C2629" s="13" t="s">
        <v>98</v>
      </c>
      <c r="D2629" s="13" t="s">
        <v>3269</v>
      </c>
      <c r="E2629" s="13" t="s">
        <v>4512</v>
      </c>
      <c r="F2629" s="13"/>
      <c r="G2629" s="13" t="s">
        <v>15</v>
      </c>
      <c r="H2629" s="22" t="str">
        <f>IFERROR(VLOOKUP(Table2[[#This Row], [Ticket]],Okey!A:B,2,0),"")</f>
        <v/>
      </c>
      <c r="I2629" s="13" t="s">
        <v>276</v>
      </c>
      <c r="J2629" s="22" t="e">
        <f>VLOOKUP(Table2[[#This Row], [Author]],People!A:B,2,0)</f>
        <v>#VALUE!</v>
      </c>
      <c r="K2629" s="13" t="s">
        <v>3297</v>
      </c>
      <c r="L2629" s="13"/>
      <c r="M2629" s="23" t="s">
        <v>1613</v>
      </c>
    </row>
    <row r="2630" spans="1:13" ht="19.5" customHeight="1">
      <c r="A2630" s="18">
        <f t="shared" si="41"/>
        <v>2629</v>
      </c>
      <c r="B2630" s="11" t="s">
        <v>3295</v>
      </c>
      <c r="C2630" s="11" t="s">
        <v>98</v>
      </c>
      <c r="D2630" s="11" t="s">
        <v>4513</v>
      </c>
      <c r="E2630" s="11" t="s">
        <v>4514</v>
      </c>
      <c r="F2630" s="11"/>
      <c r="G2630" s="11" t="s">
        <v>15</v>
      </c>
      <c r="H2630" s="19" t="str">
        <f>IFERROR(VLOOKUP(Table2[[#This Row], [Ticket]],Okey!A:B,2,0),"")</f>
        <v/>
      </c>
      <c r="I2630" s="11" t="s">
        <v>276</v>
      </c>
      <c r="J2630" s="19" t="e">
        <f>VLOOKUP(Table2[[#This Row], [Author]],People!A:B,2,0)</f>
        <v>#VALUE!</v>
      </c>
      <c r="K2630" s="11" t="s">
        <v>3297</v>
      </c>
      <c r="L2630" s="11"/>
      <c r="M2630" s="20" t="s">
        <v>1613</v>
      </c>
    </row>
    <row r="2631" spans="1:13" ht="19.5" customHeight="1">
      <c r="A2631" s="21">
        <f t="shared" si="41"/>
        <v>2630</v>
      </c>
      <c r="B2631" s="13" t="s">
        <v>3295</v>
      </c>
      <c r="C2631" s="13" t="s">
        <v>98</v>
      </c>
      <c r="D2631" s="13" t="s">
        <v>4515</v>
      </c>
      <c r="E2631" s="13" t="s">
        <v>4516</v>
      </c>
      <c r="F2631" s="13"/>
      <c r="G2631" s="13" t="s">
        <v>15</v>
      </c>
      <c r="H2631" s="22" t="str">
        <f>IFERROR(VLOOKUP(Table2[[#This Row], [Ticket]],Okey!A:B,2,0),"")</f>
        <v/>
      </c>
      <c r="I2631" s="13" t="s">
        <v>276</v>
      </c>
      <c r="J2631" s="22" t="e">
        <f>VLOOKUP(Table2[[#This Row], [Author]],People!A:B,2,0)</f>
        <v>#VALUE!</v>
      </c>
      <c r="K2631" s="13" t="s">
        <v>3297</v>
      </c>
      <c r="L2631" s="13"/>
      <c r="M2631" s="23" t="s">
        <v>1613</v>
      </c>
    </row>
    <row r="2632" spans="1:13" ht="19.5" customHeight="1">
      <c r="A2632" s="18">
        <f t="shared" si="41"/>
        <v>2631</v>
      </c>
      <c r="B2632" s="11" t="s">
        <v>3295</v>
      </c>
      <c r="C2632" s="11" t="s">
        <v>98</v>
      </c>
      <c r="D2632" s="11" t="s">
        <v>4517</v>
      </c>
      <c r="E2632" s="11" t="s">
        <v>4518</v>
      </c>
      <c r="F2632" s="11"/>
      <c r="G2632" s="11" t="s">
        <v>15</v>
      </c>
      <c r="H2632" s="19" t="str">
        <f>IFERROR(VLOOKUP(Table2[[#This Row], [Ticket]],Okey!A:B,2,0),"")</f>
        <v/>
      </c>
      <c r="I2632" s="11" t="s">
        <v>276</v>
      </c>
      <c r="J2632" s="19" t="e">
        <f>VLOOKUP(Table2[[#This Row], [Author]],People!A:B,2,0)</f>
        <v>#VALUE!</v>
      </c>
      <c r="K2632" s="11" t="s">
        <v>3297</v>
      </c>
      <c r="L2632" s="11"/>
      <c r="M2632" s="20" t="s">
        <v>1613</v>
      </c>
    </row>
    <row r="2633" spans="1:13" ht="19.5" customHeight="1">
      <c r="A2633" s="21">
        <f t="shared" si="41"/>
        <v>2632</v>
      </c>
      <c r="B2633" s="13" t="s">
        <v>3295</v>
      </c>
      <c r="C2633" s="13" t="s">
        <v>98</v>
      </c>
      <c r="D2633" s="13" t="s">
        <v>4519</v>
      </c>
      <c r="E2633" s="13" t="s">
        <v>4520</v>
      </c>
      <c r="F2633" s="13"/>
      <c r="G2633" s="13" t="s">
        <v>15</v>
      </c>
      <c r="H2633" s="22" t="str">
        <f>IFERROR(VLOOKUP(Table2[[#This Row], [Ticket]],Okey!A:B,2,0),"")</f>
        <v/>
      </c>
      <c r="I2633" s="13" t="s">
        <v>276</v>
      </c>
      <c r="J2633" s="22" t="e">
        <f>VLOOKUP(Table2[[#This Row], [Author]],People!A:B,2,0)</f>
        <v>#VALUE!</v>
      </c>
      <c r="K2633" s="13" t="s">
        <v>3297</v>
      </c>
      <c r="L2633" s="13"/>
      <c r="M2633" s="23" t="s">
        <v>1613</v>
      </c>
    </row>
    <row r="2634" spans="1:13" ht="19.5" customHeight="1">
      <c r="A2634" s="18">
        <f t="shared" si="41"/>
        <v>2633</v>
      </c>
      <c r="B2634" s="11" t="s">
        <v>3295</v>
      </c>
      <c r="C2634" s="11" t="s">
        <v>98</v>
      </c>
      <c r="D2634" s="11" t="s">
        <v>4521</v>
      </c>
      <c r="E2634" s="11" t="s">
        <v>4522</v>
      </c>
      <c r="F2634" s="11"/>
      <c r="G2634" s="11" t="s">
        <v>15</v>
      </c>
      <c r="H2634" s="19" t="str">
        <f>IFERROR(VLOOKUP(Table2[[#This Row], [Ticket]],Okey!A:B,2,0),"")</f>
        <v/>
      </c>
      <c r="I2634" s="11" t="s">
        <v>276</v>
      </c>
      <c r="J2634" s="19" t="e">
        <f>VLOOKUP(Table2[[#This Row], [Author]],People!A:B,2,0)</f>
        <v>#VALUE!</v>
      </c>
      <c r="K2634" s="11" t="s">
        <v>3297</v>
      </c>
      <c r="L2634" s="11"/>
      <c r="M2634" s="20" t="s">
        <v>1613</v>
      </c>
    </row>
    <row r="2635" spans="1:13" ht="19.5" customHeight="1">
      <c r="A2635" s="21">
        <f t="shared" si="41"/>
        <v>2634</v>
      </c>
      <c r="B2635" s="13" t="s">
        <v>3295</v>
      </c>
      <c r="C2635" s="13" t="s">
        <v>98</v>
      </c>
      <c r="D2635" s="13" t="s">
        <v>4523</v>
      </c>
      <c r="E2635" s="13" t="s">
        <v>4524</v>
      </c>
      <c r="F2635" s="13"/>
      <c r="G2635" s="13" t="s">
        <v>15</v>
      </c>
      <c r="H2635" s="22" t="str">
        <f>IFERROR(VLOOKUP(Table2[[#This Row], [Ticket]],Okey!A:B,2,0),"")</f>
        <v/>
      </c>
      <c r="I2635" s="13" t="s">
        <v>276</v>
      </c>
      <c r="J2635" s="22" t="e">
        <f>VLOOKUP(Table2[[#This Row], [Author]],People!A:B,2,0)</f>
        <v>#VALUE!</v>
      </c>
      <c r="K2635" s="13" t="s">
        <v>3297</v>
      </c>
      <c r="L2635" s="13"/>
      <c r="M2635" s="23" t="s">
        <v>1613</v>
      </c>
    </row>
    <row r="2636" spans="1:13" ht="19.5" customHeight="1">
      <c r="A2636" s="18">
        <f t="shared" si="41"/>
        <v>2635</v>
      </c>
      <c r="B2636" s="11" t="s">
        <v>3295</v>
      </c>
      <c r="C2636" s="11" t="s">
        <v>98</v>
      </c>
      <c r="D2636" s="11" t="s">
        <v>4525</v>
      </c>
      <c r="E2636" s="11" t="s">
        <v>4526</v>
      </c>
      <c r="F2636" s="11"/>
      <c r="G2636" s="11" t="s">
        <v>15</v>
      </c>
      <c r="H2636" s="19" t="str">
        <f>IFERROR(VLOOKUP(Table2[[#This Row], [Ticket]],Okey!A:B,2,0),"")</f>
        <v/>
      </c>
      <c r="I2636" s="11" t="s">
        <v>276</v>
      </c>
      <c r="J2636" s="19" t="e">
        <f>VLOOKUP(Table2[[#This Row], [Author]],People!A:B,2,0)</f>
        <v>#VALUE!</v>
      </c>
      <c r="K2636" s="11" t="s">
        <v>3297</v>
      </c>
      <c r="L2636" s="11"/>
      <c r="M2636" s="20" t="s">
        <v>1613</v>
      </c>
    </row>
    <row r="2637" spans="1:13" ht="19.5" customHeight="1">
      <c r="A2637" s="21">
        <f t="shared" si="41"/>
        <v>2636</v>
      </c>
      <c r="B2637" s="13" t="s">
        <v>3295</v>
      </c>
      <c r="C2637" s="13" t="s">
        <v>98</v>
      </c>
      <c r="D2637" s="13" t="s">
        <v>4527</v>
      </c>
      <c r="E2637" s="13" t="s">
        <v>4528</v>
      </c>
      <c r="F2637" s="13"/>
      <c r="G2637" s="13" t="s">
        <v>15</v>
      </c>
      <c r="H2637" s="22" t="str">
        <f>IFERROR(VLOOKUP(Table2[[#This Row], [Ticket]],Okey!A:B,2,0),"")</f>
        <v/>
      </c>
      <c r="I2637" s="13" t="s">
        <v>276</v>
      </c>
      <c r="J2637" s="22" t="e">
        <f>VLOOKUP(Table2[[#This Row], [Author]],People!A:B,2,0)</f>
        <v>#VALUE!</v>
      </c>
      <c r="K2637" s="13" t="s">
        <v>3297</v>
      </c>
      <c r="L2637" s="13"/>
      <c r="M2637" s="23" t="s">
        <v>1613</v>
      </c>
    </row>
    <row r="2638" spans="1:13" ht="19.5" customHeight="1">
      <c r="A2638" s="18">
        <f t="shared" si="41"/>
        <v>2637</v>
      </c>
      <c r="B2638" s="11" t="s">
        <v>3295</v>
      </c>
      <c r="C2638" s="11" t="s">
        <v>98</v>
      </c>
      <c r="D2638" s="11" t="s">
        <v>4529</v>
      </c>
      <c r="E2638" s="11" t="s">
        <v>4530</v>
      </c>
      <c r="F2638" s="11"/>
      <c r="G2638" s="11" t="s">
        <v>15</v>
      </c>
      <c r="H2638" s="19" t="str">
        <f>IFERROR(VLOOKUP(Table2[[#This Row], [Ticket]],Okey!A:B,2,0),"")</f>
        <v/>
      </c>
      <c r="I2638" s="11" t="s">
        <v>276</v>
      </c>
      <c r="J2638" s="19" t="e">
        <f>VLOOKUP(Table2[[#This Row], [Author]],People!A:B,2,0)</f>
        <v>#VALUE!</v>
      </c>
      <c r="K2638" s="11" t="s">
        <v>3297</v>
      </c>
      <c r="L2638" s="11"/>
      <c r="M2638" s="20" t="s">
        <v>1613</v>
      </c>
    </row>
    <row r="2639" spans="1:13" ht="19.5" customHeight="1">
      <c r="A2639" s="21">
        <f t="shared" si="41"/>
        <v>2638</v>
      </c>
      <c r="B2639" s="13" t="s">
        <v>3295</v>
      </c>
      <c r="C2639" s="13" t="s">
        <v>98</v>
      </c>
      <c r="D2639" s="13" t="s">
        <v>4531</v>
      </c>
      <c r="E2639" s="13" t="s">
        <v>4532</v>
      </c>
      <c r="F2639" s="13"/>
      <c r="G2639" s="13" t="s">
        <v>15</v>
      </c>
      <c r="H2639" s="22" t="str">
        <f>IFERROR(VLOOKUP(Table2[[#This Row], [Ticket]],Okey!A:B,2,0),"")</f>
        <v/>
      </c>
      <c r="I2639" s="13" t="s">
        <v>276</v>
      </c>
      <c r="J2639" s="22" t="e">
        <f>VLOOKUP(Table2[[#This Row], [Author]],People!A:B,2,0)</f>
        <v>#VALUE!</v>
      </c>
      <c r="K2639" s="13" t="s">
        <v>3297</v>
      </c>
      <c r="L2639" s="13"/>
      <c r="M2639" s="23" t="s">
        <v>1613</v>
      </c>
    </row>
    <row r="2640" spans="1:13" ht="19.5" customHeight="1">
      <c r="A2640" s="18">
        <f t="shared" si="41"/>
        <v>2639</v>
      </c>
      <c r="B2640" s="11" t="s">
        <v>3295</v>
      </c>
      <c r="C2640" s="11" t="s">
        <v>98</v>
      </c>
      <c r="D2640" s="11" t="s">
        <v>4533</v>
      </c>
      <c r="E2640" s="11" t="s">
        <v>4534</v>
      </c>
      <c r="F2640" s="11"/>
      <c r="G2640" s="11" t="s">
        <v>15</v>
      </c>
      <c r="H2640" s="19" t="str">
        <f>IFERROR(VLOOKUP(Table2[[#This Row], [Ticket]],Okey!A:B,2,0),"")</f>
        <v/>
      </c>
      <c r="I2640" s="11" t="s">
        <v>276</v>
      </c>
      <c r="J2640" s="19" t="e">
        <f>VLOOKUP(Table2[[#This Row], [Author]],People!A:B,2,0)</f>
        <v>#VALUE!</v>
      </c>
      <c r="K2640" s="11" t="s">
        <v>3297</v>
      </c>
      <c r="L2640" s="11"/>
      <c r="M2640" s="20" t="s">
        <v>1613</v>
      </c>
    </row>
    <row r="2641" spans="1:13" ht="19.5" customHeight="1">
      <c r="A2641" s="21">
        <f t="shared" si="41"/>
        <v>2640</v>
      </c>
      <c r="B2641" s="13" t="s">
        <v>3295</v>
      </c>
      <c r="C2641" s="13" t="s">
        <v>98</v>
      </c>
      <c r="D2641" s="13" t="s">
        <v>4535</v>
      </c>
      <c r="E2641" s="13" t="s">
        <v>4536</v>
      </c>
      <c r="F2641" s="13"/>
      <c r="G2641" s="13" t="s">
        <v>15</v>
      </c>
      <c r="H2641" s="22" t="str">
        <f>IFERROR(VLOOKUP(Table2[[#This Row], [Ticket]],Okey!A:B,2,0),"")</f>
        <v/>
      </c>
      <c r="I2641" s="13" t="s">
        <v>276</v>
      </c>
      <c r="J2641" s="22" t="e">
        <f>VLOOKUP(Table2[[#This Row], [Author]],People!A:B,2,0)</f>
        <v>#VALUE!</v>
      </c>
      <c r="K2641" s="13" t="s">
        <v>3297</v>
      </c>
      <c r="L2641" s="13"/>
      <c r="M2641" s="23" t="s">
        <v>1613</v>
      </c>
    </row>
    <row r="2642" spans="1:13" ht="19.5" customHeight="1">
      <c r="A2642" s="18">
        <f t="shared" si="41"/>
        <v>2641</v>
      </c>
      <c r="B2642" s="11" t="s">
        <v>3295</v>
      </c>
      <c r="C2642" s="11" t="s">
        <v>98</v>
      </c>
      <c r="D2642" s="11" t="s">
        <v>4537</v>
      </c>
      <c r="E2642" s="11" t="s">
        <v>4538</v>
      </c>
      <c r="F2642" s="11"/>
      <c r="G2642" s="11" t="s">
        <v>15</v>
      </c>
      <c r="H2642" s="19" t="str">
        <f>IFERROR(VLOOKUP(Table2[[#This Row], [Ticket]],Okey!A:B,2,0),"")</f>
        <v/>
      </c>
      <c r="I2642" s="11" t="s">
        <v>276</v>
      </c>
      <c r="J2642" s="19" t="e">
        <f>VLOOKUP(Table2[[#This Row], [Author]],People!A:B,2,0)</f>
        <v>#VALUE!</v>
      </c>
      <c r="K2642" s="11" t="s">
        <v>3297</v>
      </c>
      <c r="L2642" s="11"/>
      <c r="M2642" s="20" t="s">
        <v>1613</v>
      </c>
    </row>
    <row r="2643" spans="1:13" ht="19.5" customHeight="1">
      <c r="A2643" s="21">
        <f t="shared" si="41"/>
        <v>2642</v>
      </c>
      <c r="B2643" s="13" t="s">
        <v>3295</v>
      </c>
      <c r="C2643" s="13" t="s">
        <v>98</v>
      </c>
      <c r="D2643" s="13" t="s">
        <v>4539</v>
      </c>
      <c r="E2643" s="13" t="s">
        <v>4540</v>
      </c>
      <c r="F2643" s="13"/>
      <c r="G2643" s="13" t="s">
        <v>15</v>
      </c>
      <c r="H2643" s="22" t="str">
        <f>IFERROR(VLOOKUP(Table2[[#This Row], [Ticket]],Okey!A:B,2,0),"")</f>
        <v/>
      </c>
      <c r="I2643" s="13" t="s">
        <v>276</v>
      </c>
      <c r="J2643" s="22" t="e">
        <f>VLOOKUP(Table2[[#This Row], [Author]],People!A:B,2,0)</f>
        <v>#VALUE!</v>
      </c>
      <c r="K2643" s="13" t="s">
        <v>3297</v>
      </c>
      <c r="L2643" s="13"/>
      <c r="M2643" s="23" t="s">
        <v>1613</v>
      </c>
    </row>
    <row r="2644" spans="1:13" ht="19.5" customHeight="1">
      <c r="A2644" s="18">
        <f t="shared" si="41"/>
        <v>2643</v>
      </c>
      <c r="B2644" s="11" t="s">
        <v>3295</v>
      </c>
      <c r="C2644" s="11" t="s">
        <v>98</v>
      </c>
      <c r="D2644" s="11" t="s">
        <v>4541</v>
      </c>
      <c r="E2644" s="11" t="s">
        <v>4542</v>
      </c>
      <c r="F2644" s="11"/>
      <c r="G2644" s="11" t="s">
        <v>15</v>
      </c>
      <c r="H2644" s="19" t="str">
        <f>IFERROR(VLOOKUP(Table2[[#This Row], [Ticket]],Okey!A:B,2,0),"")</f>
        <v/>
      </c>
      <c r="I2644" s="11" t="s">
        <v>276</v>
      </c>
      <c r="J2644" s="19" t="e">
        <f>VLOOKUP(Table2[[#This Row], [Author]],People!A:B,2,0)</f>
        <v>#VALUE!</v>
      </c>
      <c r="K2644" s="11" t="s">
        <v>3297</v>
      </c>
      <c r="L2644" s="11"/>
      <c r="M2644" s="20" t="s">
        <v>1613</v>
      </c>
    </row>
    <row r="2645" spans="1:13" ht="19.5" customHeight="1">
      <c r="A2645" s="21">
        <f t="shared" si="41"/>
        <v>2644</v>
      </c>
      <c r="B2645" s="13" t="s">
        <v>3295</v>
      </c>
      <c r="C2645" s="13" t="s">
        <v>98</v>
      </c>
      <c r="D2645" s="13" t="s">
        <v>4543</v>
      </c>
      <c r="E2645" s="13" t="s">
        <v>4544</v>
      </c>
      <c r="F2645" s="13"/>
      <c r="G2645" s="13" t="s">
        <v>15</v>
      </c>
      <c r="H2645" s="22" t="str">
        <f>IFERROR(VLOOKUP(Table2[[#This Row], [Ticket]],Okey!A:B,2,0),"")</f>
        <v/>
      </c>
      <c r="I2645" s="13" t="s">
        <v>276</v>
      </c>
      <c r="J2645" s="22" t="e">
        <f>VLOOKUP(Table2[[#This Row], [Author]],People!A:B,2,0)</f>
        <v>#VALUE!</v>
      </c>
      <c r="K2645" s="13" t="s">
        <v>3297</v>
      </c>
      <c r="L2645" s="13"/>
      <c r="M2645" s="23" t="s">
        <v>1613</v>
      </c>
    </row>
    <row r="2646" spans="1:13" ht="19.5" customHeight="1">
      <c r="A2646" s="18">
        <f t="shared" si="41"/>
        <v>2645</v>
      </c>
      <c r="B2646" s="11" t="s">
        <v>3295</v>
      </c>
      <c r="C2646" s="11" t="s">
        <v>98</v>
      </c>
      <c r="D2646" s="11" t="s">
        <v>4545</v>
      </c>
      <c r="E2646" s="11" t="s">
        <v>4546</v>
      </c>
      <c r="F2646" s="11"/>
      <c r="G2646" s="11" t="s">
        <v>15</v>
      </c>
      <c r="H2646" s="19" t="str">
        <f>IFERROR(VLOOKUP(Table2[[#This Row], [Ticket]],Okey!A:B,2,0),"")</f>
        <v/>
      </c>
      <c r="I2646" s="11" t="s">
        <v>276</v>
      </c>
      <c r="J2646" s="19" t="e">
        <f>VLOOKUP(Table2[[#This Row], [Author]],People!A:B,2,0)</f>
        <v>#VALUE!</v>
      </c>
      <c r="K2646" s="11" t="s">
        <v>3297</v>
      </c>
      <c r="L2646" s="11"/>
      <c r="M2646" s="20" t="s">
        <v>1613</v>
      </c>
    </row>
    <row r="2647" spans="1:13" ht="19.5" customHeight="1">
      <c r="A2647" s="21">
        <f t="shared" si="41"/>
        <v>2646</v>
      </c>
      <c r="B2647" s="13" t="s">
        <v>3295</v>
      </c>
      <c r="C2647" s="13" t="s">
        <v>98</v>
      </c>
      <c r="D2647" s="13" t="s">
        <v>4547</v>
      </c>
      <c r="E2647" s="13" t="s">
        <v>4548</v>
      </c>
      <c r="F2647" s="13"/>
      <c r="G2647" s="13" t="s">
        <v>15</v>
      </c>
      <c r="H2647" s="22" t="str">
        <f>IFERROR(VLOOKUP(Table2[[#This Row], [Ticket]],Okey!A:B,2,0),"")</f>
        <v/>
      </c>
      <c r="I2647" s="13" t="s">
        <v>276</v>
      </c>
      <c r="J2647" s="22" t="e">
        <f>VLOOKUP(Table2[[#This Row], [Author]],People!A:B,2,0)</f>
        <v>#VALUE!</v>
      </c>
      <c r="K2647" s="13" t="s">
        <v>3297</v>
      </c>
      <c r="L2647" s="13"/>
      <c r="M2647" s="23" t="s">
        <v>1613</v>
      </c>
    </row>
    <row r="2648" spans="1:13" ht="19.5" customHeight="1">
      <c r="A2648" s="18">
        <f t="shared" si="41"/>
        <v>2647</v>
      </c>
      <c r="B2648" s="11" t="s">
        <v>3295</v>
      </c>
      <c r="C2648" s="11" t="s">
        <v>98</v>
      </c>
      <c r="D2648" s="11" t="s">
        <v>4549</v>
      </c>
      <c r="E2648" s="11" t="s">
        <v>4550</v>
      </c>
      <c r="F2648" s="11"/>
      <c r="G2648" s="11" t="s">
        <v>15</v>
      </c>
      <c r="H2648" s="19" t="str">
        <f>IFERROR(VLOOKUP(Table2[[#This Row], [Ticket]],Okey!A:B,2,0),"")</f>
        <v/>
      </c>
      <c r="I2648" s="11" t="s">
        <v>276</v>
      </c>
      <c r="J2648" s="19" t="e">
        <f>VLOOKUP(Table2[[#This Row], [Author]],People!A:B,2,0)</f>
        <v>#VALUE!</v>
      </c>
      <c r="K2648" s="11" t="s">
        <v>3297</v>
      </c>
      <c r="L2648" s="11"/>
      <c r="M2648" s="20" t="s">
        <v>1613</v>
      </c>
    </row>
    <row r="2649" spans="1:13" ht="19.5" customHeight="1">
      <c r="A2649" s="21">
        <f t="shared" si="41"/>
        <v>2648</v>
      </c>
      <c r="B2649" s="13" t="s">
        <v>3295</v>
      </c>
      <c r="C2649" s="13" t="s">
        <v>98</v>
      </c>
      <c r="D2649" s="13" t="s">
        <v>4551</v>
      </c>
      <c r="E2649" s="13" t="s">
        <v>4552</v>
      </c>
      <c r="F2649" s="13"/>
      <c r="G2649" s="13" t="s">
        <v>15</v>
      </c>
      <c r="H2649" s="22" t="str">
        <f>IFERROR(VLOOKUP(Table2[[#This Row], [Ticket]],Okey!A:B,2,0),"")</f>
        <v/>
      </c>
      <c r="I2649" s="13" t="s">
        <v>276</v>
      </c>
      <c r="J2649" s="22" t="e">
        <f>VLOOKUP(Table2[[#This Row], [Author]],People!A:B,2,0)</f>
        <v>#VALUE!</v>
      </c>
      <c r="K2649" s="13" t="s">
        <v>3297</v>
      </c>
      <c r="L2649" s="13"/>
      <c r="M2649" s="23" t="s">
        <v>1613</v>
      </c>
    </row>
    <row r="2650" spans="1:13" ht="19.5" customHeight="1">
      <c r="A2650" s="18">
        <f t="shared" si="41"/>
        <v>2649</v>
      </c>
      <c r="B2650" s="11" t="s">
        <v>3295</v>
      </c>
      <c r="C2650" s="11" t="s">
        <v>98</v>
      </c>
      <c r="D2650" s="11" t="s">
        <v>4553</v>
      </c>
      <c r="E2650" s="11" t="s">
        <v>4554</v>
      </c>
      <c r="F2650" s="11"/>
      <c r="G2650" s="11" t="s">
        <v>15</v>
      </c>
      <c r="H2650" s="19" t="str">
        <f>IFERROR(VLOOKUP(Table2[[#This Row], [Ticket]],Okey!A:B,2,0),"")</f>
        <v/>
      </c>
      <c r="I2650" s="11" t="s">
        <v>276</v>
      </c>
      <c r="J2650" s="19" t="e">
        <f>VLOOKUP(Table2[[#This Row], [Author]],People!A:B,2,0)</f>
        <v>#VALUE!</v>
      </c>
      <c r="K2650" s="11" t="s">
        <v>3297</v>
      </c>
      <c r="L2650" s="11"/>
      <c r="M2650" s="20" t="s">
        <v>1613</v>
      </c>
    </row>
    <row r="2651" spans="1:13" ht="19.5" customHeight="1">
      <c r="A2651" s="21">
        <f t="shared" si="41"/>
        <v>2650</v>
      </c>
      <c r="B2651" s="13" t="s">
        <v>3295</v>
      </c>
      <c r="C2651" s="13" t="s">
        <v>98</v>
      </c>
      <c r="D2651" s="13" t="s">
        <v>4555</v>
      </c>
      <c r="E2651" s="13" t="s">
        <v>4556</v>
      </c>
      <c r="F2651" s="13"/>
      <c r="G2651" s="13" t="s">
        <v>15</v>
      </c>
      <c r="H2651" s="22" t="str">
        <f>IFERROR(VLOOKUP(Table2[[#This Row], [Ticket]],Okey!A:B,2,0),"")</f>
        <v/>
      </c>
      <c r="I2651" s="13" t="s">
        <v>276</v>
      </c>
      <c r="J2651" s="22" t="e">
        <f>VLOOKUP(Table2[[#This Row], [Author]],People!A:B,2,0)</f>
        <v>#VALUE!</v>
      </c>
      <c r="K2651" s="13" t="s">
        <v>3297</v>
      </c>
      <c r="L2651" s="13"/>
      <c r="M2651" s="23" t="s">
        <v>1613</v>
      </c>
    </row>
    <row r="2652" spans="1:13" ht="19.5" customHeight="1">
      <c r="A2652" s="18">
        <f t="shared" si="41"/>
        <v>2651</v>
      </c>
      <c r="B2652" s="11" t="s">
        <v>3295</v>
      </c>
      <c r="C2652" s="11" t="s">
        <v>98</v>
      </c>
      <c r="D2652" s="11" t="s">
        <v>4557</v>
      </c>
      <c r="E2652" s="11" t="s">
        <v>4558</v>
      </c>
      <c r="F2652" s="11"/>
      <c r="G2652" s="11" t="s">
        <v>15</v>
      </c>
      <c r="H2652" s="19" t="str">
        <f>IFERROR(VLOOKUP(Table2[[#This Row], [Ticket]],Okey!A:B,2,0),"")</f>
        <v/>
      </c>
      <c r="I2652" s="11" t="s">
        <v>276</v>
      </c>
      <c r="J2652" s="19" t="e">
        <f>VLOOKUP(Table2[[#This Row], [Author]],People!A:B,2,0)</f>
        <v>#VALUE!</v>
      </c>
      <c r="K2652" s="11" t="s">
        <v>3297</v>
      </c>
      <c r="L2652" s="11"/>
      <c r="M2652" s="20" t="s">
        <v>1613</v>
      </c>
    </row>
    <row r="2653" spans="1:13" ht="19.5" customHeight="1">
      <c r="A2653" s="21">
        <f t="shared" si="41"/>
        <v>2652</v>
      </c>
      <c r="B2653" s="13" t="s">
        <v>3295</v>
      </c>
      <c r="C2653" s="13" t="s">
        <v>98</v>
      </c>
      <c r="D2653" s="13" t="s">
        <v>1612</v>
      </c>
      <c r="E2653" s="13" t="s">
        <v>4559</v>
      </c>
      <c r="F2653" s="13"/>
      <c r="G2653" s="13" t="s">
        <v>15</v>
      </c>
      <c r="H2653" s="22" t="str">
        <f>IFERROR(VLOOKUP(Table2[[#This Row], [Ticket]],Okey!A:B,2,0),"")</f>
        <v/>
      </c>
      <c r="I2653" s="13" t="s">
        <v>276</v>
      </c>
      <c r="J2653" s="22" t="e">
        <f>VLOOKUP(Table2[[#This Row], [Author]],People!A:B,2,0)</f>
        <v>#VALUE!</v>
      </c>
      <c r="K2653" s="13" t="s">
        <v>3297</v>
      </c>
      <c r="L2653" s="13"/>
      <c r="M2653" s="23" t="s">
        <v>1613</v>
      </c>
    </row>
    <row r="2654" spans="1:13" ht="19.5" customHeight="1">
      <c r="A2654" s="18">
        <f t="shared" si="41"/>
        <v>2653</v>
      </c>
      <c r="B2654" s="11" t="s">
        <v>3295</v>
      </c>
      <c r="C2654" s="11" t="s">
        <v>98</v>
      </c>
      <c r="D2654" s="11" t="s">
        <v>4560</v>
      </c>
      <c r="E2654" s="11" t="s">
        <v>4561</v>
      </c>
      <c r="F2654" s="11"/>
      <c r="G2654" s="11" t="s">
        <v>15</v>
      </c>
      <c r="H2654" s="19" t="str">
        <f>IFERROR(VLOOKUP(Table2[[#This Row], [Ticket]],Okey!A:B,2,0),"")</f>
        <v/>
      </c>
      <c r="I2654" s="11" t="s">
        <v>276</v>
      </c>
      <c r="J2654" s="19" t="e">
        <f>VLOOKUP(Table2[[#This Row], [Author]],People!A:B,2,0)</f>
        <v>#VALUE!</v>
      </c>
      <c r="K2654" s="11" t="s">
        <v>3297</v>
      </c>
      <c r="L2654" s="11"/>
      <c r="M2654" s="20" t="s">
        <v>1613</v>
      </c>
    </row>
    <row r="2655" spans="1:13" ht="19.5" customHeight="1">
      <c r="A2655" s="21">
        <f t="shared" si="41"/>
        <v>2654</v>
      </c>
      <c r="B2655" s="13" t="s">
        <v>3295</v>
      </c>
      <c r="C2655" s="13" t="s">
        <v>98</v>
      </c>
      <c r="D2655" s="13" t="s">
        <v>4562</v>
      </c>
      <c r="E2655" s="13" t="s">
        <v>4563</v>
      </c>
      <c r="F2655" s="13"/>
      <c r="G2655" s="13" t="s">
        <v>15</v>
      </c>
      <c r="H2655" s="22" t="str">
        <f>IFERROR(VLOOKUP(Table2[[#This Row], [Ticket]],Okey!A:B,2,0),"")</f>
        <v/>
      </c>
      <c r="I2655" s="13" t="s">
        <v>276</v>
      </c>
      <c r="J2655" s="22" t="e">
        <f>VLOOKUP(Table2[[#This Row], [Author]],People!A:B,2,0)</f>
        <v>#VALUE!</v>
      </c>
      <c r="K2655" s="13" t="s">
        <v>3297</v>
      </c>
      <c r="L2655" s="13"/>
      <c r="M2655" s="23" t="s">
        <v>1613</v>
      </c>
    </row>
    <row r="2656" spans="1:13" ht="19.5" customHeight="1">
      <c r="A2656" s="18">
        <f t="shared" si="41"/>
        <v>2655</v>
      </c>
      <c r="B2656" s="11" t="s">
        <v>3295</v>
      </c>
      <c r="C2656" s="11" t="s">
        <v>98</v>
      </c>
      <c r="D2656" s="11" t="s">
        <v>4564</v>
      </c>
      <c r="E2656" s="11" t="s">
        <v>4565</v>
      </c>
      <c r="F2656" s="11"/>
      <c r="G2656" s="11" t="s">
        <v>15</v>
      </c>
      <c r="H2656" s="19" t="str">
        <f>IFERROR(VLOOKUP(Table2[[#This Row], [Ticket]],Okey!A:B,2,0),"")</f>
        <v/>
      </c>
      <c r="I2656" s="11" t="s">
        <v>276</v>
      </c>
      <c r="J2656" s="19" t="e">
        <f>VLOOKUP(Table2[[#This Row], [Author]],People!A:B,2,0)</f>
        <v>#VALUE!</v>
      </c>
      <c r="K2656" s="11" t="s">
        <v>3297</v>
      </c>
      <c r="L2656" s="11"/>
      <c r="M2656" s="20" t="s">
        <v>1613</v>
      </c>
    </row>
    <row r="2657" spans="1:13" ht="19.5" customHeight="1">
      <c r="A2657" s="21">
        <f t="shared" si="41"/>
        <v>2656</v>
      </c>
      <c r="B2657" s="13" t="s">
        <v>3295</v>
      </c>
      <c r="C2657" s="13" t="s">
        <v>98</v>
      </c>
      <c r="D2657" s="13" t="s">
        <v>1610</v>
      </c>
      <c r="E2657" s="13" t="s">
        <v>4566</v>
      </c>
      <c r="F2657" s="13"/>
      <c r="G2657" s="13" t="s">
        <v>15</v>
      </c>
      <c r="H2657" s="22" t="str">
        <f>IFERROR(VLOOKUP(Table2[[#This Row], [Ticket]],Okey!A:B,2,0),"")</f>
        <v/>
      </c>
      <c r="I2657" s="13" t="s">
        <v>276</v>
      </c>
      <c r="J2657" s="22" t="e">
        <f>VLOOKUP(Table2[[#This Row], [Author]],People!A:B,2,0)</f>
        <v>#VALUE!</v>
      </c>
      <c r="K2657" s="13" t="s">
        <v>3297</v>
      </c>
      <c r="L2657" s="13"/>
      <c r="M2657" s="23" t="s">
        <v>1613</v>
      </c>
    </row>
    <row r="2658" spans="1:13" ht="19.5" customHeight="1">
      <c r="A2658" s="18">
        <f t="shared" si="41"/>
        <v>2657</v>
      </c>
      <c r="B2658" s="11" t="s">
        <v>3295</v>
      </c>
      <c r="C2658" s="11" t="s">
        <v>98</v>
      </c>
      <c r="D2658" s="11" t="s">
        <v>1637</v>
      </c>
      <c r="E2658" s="11" t="s">
        <v>4567</v>
      </c>
      <c r="F2658" s="11"/>
      <c r="G2658" s="11" t="s">
        <v>15</v>
      </c>
      <c r="H2658" s="19" t="str">
        <f>IFERROR(VLOOKUP(Table2[[#This Row], [Ticket]],Okey!A:B,2,0),"")</f>
        <v/>
      </c>
      <c r="I2658" s="11" t="s">
        <v>276</v>
      </c>
      <c r="J2658" s="19" t="e">
        <f>VLOOKUP(Table2[[#This Row], [Author]],People!A:B,2,0)</f>
        <v>#VALUE!</v>
      </c>
      <c r="K2658" s="11" t="s">
        <v>3297</v>
      </c>
      <c r="L2658" s="11"/>
      <c r="M2658" s="20" t="s">
        <v>1613</v>
      </c>
    </row>
    <row r="2659" spans="1:13" ht="19.5" customHeight="1">
      <c r="A2659" s="21">
        <f t="shared" ref="A2659:A2722" si="42">1+A2658</f>
        <v>2658</v>
      </c>
      <c r="B2659" s="13" t="s">
        <v>3295</v>
      </c>
      <c r="C2659" s="13" t="s">
        <v>98</v>
      </c>
      <c r="D2659" s="13" t="s">
        <v>4568</v>
      </c>
      <c r="E2659" s="13" t="s">
        <v>4569</v>
      </c>
      <c r="F2659" s="13"/>
      <c r="G2659" s="13" t="s">
        <v>15</v>
      </c>
      <c r="H2659" s="22" t="str">
        <f>IFERROR(VLOOKUP(Table2[[#This Row], [Ticket]],Okey!A:B,2,0),"")</f>
        <v/>
      </c>
      <c r="I2659" s="13" t="s">
        <v>276</v>
      </c>
      <c r="J2659" s="22" t="e">
        <f>VLOOKUP(Table2[[#This Row], [Author]],People!A:B,2,0)</f>
        <v>#VALUE!</v>
      </c>
      <c r="K2659" s="13" t="s">
        <v>3297</v>
      </c>
      <c r="L2659" s="13"/>
      <c r="M2659" s="23" t="s">
        <v>1613</v>
      </c>
    </row>
    <row r="2660" spans="1:13" ht="19.5" customHeight="1">
      <c r="A2660" s="18">
        <f t="shared" si="42"/>
        <v>2659</v>
      </c>
      <c r="B2660" s="11" t="s">
        <v>3295</v>
      </c>
      <c r="C2660" s="11" t="s">
        <v>98</v>
      </c>
      <c r="D2660" s="11" t="s">
        <v>4570</v>
      </c>
      <c r="E2660" s="11" t="s">
        <v>4571</v>
      </c>
      <c r="F2660" s="11"/>
      <c r="G2660" s="11" t="s">
        <v>15</v>
      </c>
      <c r="H2660" s="19" t="str">
        <f>IFERROR(VLOOKUP(Table2[[#This Row], [Ticket]],Okey!A:B,2,0),"")</f>
        <v/>
      </c>
      <c r="I2660" s="11" t="s">
        <v>276</v>
      </c>
      <c r="J2660" s="19" t="e">
        <f>VLOOKUP(Table2[[#This Row], [Author]],People!A:B,2,0)</f>
        <v>#VALUE!</v>
      </c>
      <c r="K2660" s="11" t="s">
        <v>3297</v>
      </c>
      <c r="L2660" s="11"/>
      <c r="M2660" s="20" t="s">
        <v>1613</v>
      </c>
    </row>
    <row r="2661" spans="1:13" ht="19.5" customHeight="1">
      <c r="A2661" s="21">
        <f t="shared" si="42"/>
        <v>2660</v>
      </c>
      <c r="B2661" s="13" t="s">
        <v>3295</v>
      </c>
      <c r="C2661" s="13" t="s">
        <v>98</v>
      </c>
      <c r="D2661" s="13" t="s">
        <v>1638</v>
      </c>
      <c r="E2661" s="13" t="s">
        <v>4572</v>
      </c>
      <c r="F2661" s="13"/>
      <c r="G2661" s="13" t="s">
        <v>15</v>
      </c>
      <c r="H2661" s="22" t="str">
        <f>IFERROR(VLOOKUP(Table2[[#This Row], [Ticket]],Okey!A:B,2,0),"")</f>
        <v/>
      </c>
      <c r="I2661" s="13" t="s">
        <v>276</v>
      </c>
      <c r="J2661" s="22" t="e">
        <f>VLOOKUP(Table2[[#This Row], [Author]],People!A:B,2,0)</f>
        <v>#VALUE!</v>
      </c>
      <c r="K2661" s="13" t="s">
        <v>3297</v>
      </c>
      <c r="L2661" s="13"/>
      <c r="M2661" s="23" t="s">
        <v>1613</v>
      </c>
    </row>
    <row r="2662" spans="1:13" ht="19.5" customHeight="1">
      <c r="A2662" s="18">
        <f t="shared" si="42"/>
        <v>2661</v>
      </c>
      <c r="B2662" s="11" t="s">
        <v>3295</v>
      </c>
      <c r="C2662" s="11" t="s">
        <v>98</v>
      </c>
      <c r="D2662" s="11" t="s">
        <v>4573</v>
      </c>
      <c r="E2662" s="11" t="s">
        <v>4574</v>
      </c>
      <c r="F2662" s="11"/>
      <c r="G2662" s="11" t="s">
        <v>15</v>
      </c>
      <c r="H2662" s="19" t="str">
        <f>IFERROR(VLOOKUP(Table2[[#This Row], [Ticket]],Okey!A:B,2,0),"")</f>
        <v/>
      </c>
      <c r="I2662" s="11" t="s">
        <v>276</v>
      </c>
      <c r="J2662" s="19" t="e">
        <f>VLOOKUP(Table2[[#This Row], [Author]],People!A:B,2,0)</f>
        <v>#VALUE!</v>
      </c>
      <c r="K2662" s="11" t="s">
        <v>3297</v>
      </c>
      <c r="L2662" s="11"/>
      <c r="M2662" s="20" t="s">
        <v>1613</v>
      </c>
    </row>
    <row r="2663" spans="1:13" ht="19.5" customHeight="1">
      <c r="A2663" s="21">
        <f t="shared" si="42"/>
        <v>2662</v>
      </c>
      <c r="B2663" s="13" t="s">
        <v>3295</v>
      </c>
      <c r="C2663" s="13" t="s">
        <v>98</v>
      </c>
      <c r="D2663" s="13" t="s">
        <v>4575</v>
      </c>
      <c r="E2663" s="13" t="s">
        <v>4576</v>
      </c>
      <c r="F2663" s="13"/>
      <c r="G2663" s="13" t="s">
        <v>15</v>
      </c>
      <c r="H2663" s="22" t="str">
        <f>IFERROR(VLOOKUP(Table2[[#This Row], [Ticket]],Okey!A:B,2,0),"")</f>
        <v/>
      </c>
      <c r="I2663" s="13" t="s">
        <v>276</v>
      </c>
      <c r="J2663" s="22" t="e">
        <f>VLOOKUP(Table2[[#This Row], [Author]],People!A:B,2,0)</f>
        <v>#VALUE!</v>
      </c>
      <c r="K2663" s="13" t="s">
        <v>3297</v>
      </c>
      <c r="L2663" s="13"/>
      <c r="M2663" s="23" t="s">
        <v>1613</v>
      </c>
    </row>
    <row r="2664" spans="1:13" ht="19.5" customHeight="1">
      <c r="A2664" s="18">
        <f t="shared" si="42"/>
        <v>2663</v>
      </c>
      <c r="B2664" s="11" t="s">
        <v>3295</v>
      </c>
      <c r="C2664" s="11" t="s">
        <v>98</v>
      </c>
      <c r="D2664" s="11" t="s">
        <v>4577</v>
      </c>
      <c r="E2664" s="11" t="s">
        <v>4578</v>
      </c>
      <c r="F2664" s="11"/>
      <c r="G2664" s="11" t="s">
        <v>15</v>
      </c>
      <c r="H2664" s="19" t="str">
        <f>IFERROR(VLOOKUP(Table2[[#This Row], [Ticket]],Okey!A:B,2,0),"")</f>
        <v/>
      </c>
      <c r="I2664" s="11" t="s">
        <v>276</v>
      </c>
      <c r="J2664" s="19" t="e">
        <f>VLOOKUP(Table2[[#This Row], [Author]],People!A:B,2,0)</f>
        <v>#VALUE!</v>
      </c>
      <c r="K2664" s="11" t="s">
        <v>3297</v>
      </c>
      <c r="L2664" s="11"/>
      <c r="M2664" s="20" t="s">
        <v>1613</v>
      </c>
    </row>
    <row r="2665" spans="1:13" ht="19.5" customHeight="1">
      <c r="A2665" s="21">
        <f t="shared" si="42"/>
        <v>2664</v>
      </c>
      <c r="B2665" s="13" t="s">
        <v>3295</v>
      </c>
      <c r="C2665" s="13" t="s">
        <v>98</v>
      </c>
      <c r="D2665" s="13" t="s">
        <v>4579</v>
      </c>
      <c r="E2665" s="13" t="s">
        <v>4580</v>
      </c>
      <c r="F2665" s="13"/>
      <c r="G2665" s="13" t="s">
        <v>15</v>
      </c>
      <c r="H2665" s="22" t="str">
        <f>IFERROR(VLOOKUP(Table2[[#This Row], [Ticket]],Okey!A:B,2,0),"")</f>
        <v/>
      </c>
      <c r="I2665" s="13" t="s">
        <v>276</v>
      </c>
      <c r="J2665" s="22" t="e">
        <f>VLOOKUP(Table2[[#This Row], [Author]],People!A:B,2,0)</f>
        <v>#VALUE!</v>
      </c>
      <c r="K2665" s="13" t="s">
        <v>3297</v>
      </c>
      <c r="L2665" s="13"/>
      <c r="M2665" s="23" t="s">
        <v>1613</v>
      </c>
    </row>
    <row r="2666" spans="1:13" ht="19.5" customHeight="1">
      <c r="A2666" s="18">
        <f t="shared" si="42"/>
        <v>2665</v>
      </c>
      <c r="B2666" s="11" t="s">
        <v>3295</v>
      </c>
      <c r="C2666" s="11" t="s">
        <v>98</v>
      </c>
      <c r="D2666" s="11" t="s">
        <v>4581</v>
      </c>
      <c r="E2666" s="11" t="s">
        <v>4582</v>
      </c>
      <c r="F2666" s="11"/>
      <c r="G2666" s="11" t="s">
        <v>15</v>
      </c>
      <c r="H2666" s="19" t="str">
        <f>IFERROR(VLOOKUP(Table2[[#This Row], [Ticket]],Okey!A:B,2,0),"")</f>
        <v/>
      </c>
      <c r="I2666" s="11" t="s">
        <v>276</v>
      </c>
      <c r="J2666" s="19" t="e">
        <f>VLOOKUP(Table2[[#This Row], [Author]],People!A:B,2,0)</f>
        <v>#VALUE!</v>
      </c>
      <c r="K2666" s="11" t="s">
        <v>3297</v>
      </c>
      <c r="L2666" s="11"/>
      <c r="M2666" s="20" t="s">
        <v>1613</v>
      </c>
    </row>
    <row r="2667" spans="1:13" ht="19.5" customHeight="1">
      <c r="A2667" s="21">
        <f t="shared" si="42"/>
        <v>2666</v>
      </c>
      <c r="B2667" s="13" t="s">
        <v>3295</v>
      </c>
      <c r="C2667" s="13" t="s">
        <v>98</v>
      </c>
      <c r="D2667" s="13" t="s">
        <v>4583</v>
      </c>
      <c r="E2667" s="13" t="s">
        <v>4584</v>
      </c>
      <c r="F2667" s="13"/>
      <c r="G2667" s="13" t="s">
        <v>15</v>
      </c>
      <c r="H2667" s="22" t="str">
        <f>IFERROR(VLOOKUP(Table2[[#This Row], [Ticket]],Okey!A:B,2,0),"")</f>
        <v/>
      </c>
      <c r="I2667" s="13" t="s">
        <v>276</v>
      </c>
      <c r="J2667" s="22" t="e">
        <f>VLOOKUP(Table2[[#This Row], [Author]],People!A:B,2,0)</f>
        <v>#VALUE!</v>
      </c>
      <c r="K2667" s="13" t="s">
        <v>3297</v>
      </c>
      <c r="L2667" s="13"/>
      <c r="M2667" s="23" t="s">
        <v>1613</v>
      </c>
    </row>
    <row r="2668" spans="1:13" ht="19.5" customHeight="1">
      <c r="A2668" s="18">
        <f t="shared" si="42"/>
        <v>2667</v>
      </c>
      <c r="B2668" s="11" t="s">
        <v>3295</v>
      </c>
      <c r="C2668" s="11" t="s">
        <v>98</v>
      </c>
      <c r="D2668" s="11" t="s">
        <v>4585</v>
      </c>
      <c r="E2668" s="11" t="s">
        <v>4586</v>
      </c>
      <c r="F2668" s="11"/>
      <c r="G2668" s="11" t="s">
        <v>15</v>
      </c>
      <c r="H2668" s="19" t="str">
        <f>IFERROR(VLOOKUP(Table2[[#This Row], [Ticket]],Okey!A:B,2,0),"")</f>
        <v/>
      </c>
      <c r="I2668" s="11" t="s">
        <v>276</v>
      </c>
      <c r="J2668" s="19" t="e">
        <f>VLOOKUP(Table2[[#This Row], [Author]],People!A:B,2,0)</f>
        <v>#VALUE!</v>
      </c>
      <c r="K2668" s="11" t="s">
        <v>3297</v>
      </c>
      <c r="L2668" s="11"/>
      <c r="M2668" s="20" t="s">
        <v>1613</v>
      </c>
    </row>
    <row r="2669" spans="1:13" ht="19.5" customHeight="1">
      <c r="A2669" s="21">
        <f t="shared" si="42"/>
        <v>2668</v>
      </c>
      <c r="B2669" s="13" t="s">
        <v>3295</v>
      </c>
      <c r="C2669" s="13" t="s">
        <v>98</v>
      </c>
      <c r="D2669" s="13" t="s">
        <v>4587</v>
      </c>
      <c r="E2669" s="13" t="s">
        <v>4588</v>
      </c>
      <c r="F2669" s="13"/>
      <c r="G2669" s="13" t="s">
        <v>15</v>
      </c>
      <c r="H2669" s="22" t="str">
        <f>IFERROR(VLOOKUP(Table2[[#This Row], [Ticket]],Okey!A:B,2,0),"")</f>
        <v/>
      </c>
      <c r="I2669" s="13" t="s">
        <v>276</v>
      </c>
      <c r="J2669" s="22" t="e">
        <f>VLOOKUP(Table2[[#This Row], [Author]],People!A:B,2,0)</f>
        <v>#VALUE!</v>
      </c>
      <c r="K2669" s="13" t="s">
        <v>3297</v>
      </c>
      <c r="L2669" s="13"/>
      <c r="M2669" s="23" t="s">
        <v>1613</v>
      </c>
    </row>
    <row r="2670" spans="1:13" ht="19.5" customHeight="1">
      <c r="A2670" s="18">
        <f t="shared" si="42"/>
        <v>2669</v>
      </c>
      <c r="B2670" s="11" t="s">
        <v>3295</v>
      </c>
      <c r="C2670" s="11" t="s">
        <v>98</v>
      </c>
      <c r="D2670" s="11" t="s">
        <v>4589</v>
      </c>
      <c r="E2670" s="11" t="s">
        <v>4590</v>
      </c>
      <c r="F2670" s="11"/>
      <c r="G2670" s="11" t="s">
        <v>15</v>
      </c>
      <c r="H2670" s="19" t="str">
        <f>IFERROR(VLOOKUP(Table2[[#This Row], [Ticket]],Okey!A:B,2,0),"")</f>
        <v/>
      </c>
      <c r="I2670" s="11" t="s">
        <v>276</v>
      </c>
      <c r="J2670" s="19" t="e">
        <f>VLOOKUP(Table2[[#This Row], [Author]],People!A:B,2,0)</f>
        <v>#VALUE!</v>
      </c>
      <c r="K2670" s="11" t="s">
        <v>3297</v>
      </c>
      <c r="L2670" s="11"/>
      <c r="M2670" s="20" t="s">
        <v>1613</v>
      </c>
    </row>
    <row r="2671" spans="1:13" ht="19.5" customHeight="1">
      <c r="A2671" s="21">
        <f t="shared" si="42"/>
        <v>2670</v>
      </c>
      <c r="B2671" s="13" t="s">
        <v>3295</v>
      </c>
      <c r="C2671" s="13" t="s">
        <v>98</v>
      </c>
      <c r="D2671" s="13" t="s">
        <v>1616</v>
      </c>
      <c r="E2671" s="13" t="s">
        <v>4591</v>
      </c>
      <c r="F2671" s="13"/>
      <c r="G2671" s="13" t="s">
        <v>15</v>
      </c>
      <c r="H2671" s="22" t="str">
        <f>IFERROR(VLOOKUP(Table2[[#This Row], [Ticket]],Okey!A:B,2,0),"")</f>
        <v/>
      </c>
      <c r="I2671" s="13" t="s">
        <v>276</v>
      </c>
      <c r="J2671" s="22" t="e">
        <f>VLOOKUP(Table2[[#This Row], [Author]],People!A:B,2,0)</f>
        <v>#VALUE!</v>
      </c>
      <c r="K2671" s="13" t="s">
        <v>3297</v>
      </c>
      <c r="L2671" s="13"/>
      <c r="M2671" s="23" t="s">
        <v>1613</v>
      </c>
    </row>
    <row r="2672" spans="1:13" ht="19.5" customHeight="1">
      <c r="A2672" s="18">
        <f t="shared" si="42"/>
        <v>2671</v>
      </c>
      <c r="B2672" s="11" t="s">
        <v>3295</v>
      </c>
      <c r="C2672" s="11" t="s">
        <v>98</v>
      </c>
      <c r="D2672" s="11" t="s">
        <v>4592</v>
      </c>
      <c r="E2672" s="11" t="s">
        <v>4593</v>
      </c>
      <c r="F2672" s="11"/>
      <c r="G2672" s="11" t="s">
        <v>15</v>
      </c>
      <c r="H2672" s="19" t="str">
        <f>IFERROR(VLOOKUP(Table2[[#This Row], [Ticket]],Okey!A:B,2,0),"")</f>
        <v/>
      </c>
      <c r="I2672" s="11" t="s">
        <v>276</v>
      </c>
      <c r="J2672" s="19" t="e">
        <f>VLOOKUP(Table2[[#This Row], [Author]],People!A:B,2,0)</f>
        <v>#VALUE!</v>
      </c>
      <c r="K2672" s="11" t="s">
        <v>3297</v>
      </c>
      <c r="L2672" s="11"/>
      <c r="M2672" s="20" t="s">
        <v>1613</v>
      </c>
    </row>
    <row r="2673" spans="1:13" ht="19.5" customHeight="1">
      <c r="A2673" s="21">
        <f t="shared" si="42"/>
        <v>2672</v>
      </c>
      <c r="B2673" s="13" t="s">
        <v>3295</v>
      </c>
      <c r="C2673" s="13" t="s">
        <v>98</v>
      </c>
      <c r="D2673" s="13" t="s">
        <v>4594</v>
      </c>
      <c r="E2673" s="13" t="s">
        <v>4595</v>
      </c>
      <c r="F2673" s="13"/>
      <c r="G2673" s="13" t="s">
        <v>15</v>
      </c>
      <c r="H2673" s="22" t="str">
        <f>IFERROR(VLOOKUP(Table2[[#This Row], [Ticket]],Okey!A:B,2,0),"")</f>
        <v/>
      </c>
      <c r="I2673" s="13" t="s">
        <v>276</v>
      </c>
      <c r="J2673" s="22" t="e">
        <f>VLOOKUP(Table2[[#This Row], [Author]],People!A:B,2,0)</f>
        <v>#VALUE!</v>
      </c>
      <c r="K2673" s="13" t="s">
        <v>3297</v>
      </c>
      <c r="L2673" s="13"/>
      <c r="M2673" s="23" t="s">
        <v>1613</v>
      </c>
    </row>
    <row r="2674" spans="1:13" ht="19.5" customHeight="1">
      <c r="A2674" s="18">
        <f t="shared" si="42"/>
        <v>2673</v>
      </c>
      <c r="B2674" s="11" t="s">
        <v>3295</v>
      </c>
      <c r="C2674" s="11" t="s">
        <v>98</v>
      </c>
      <c r="D2674" s="11" t="s">
        <v>4596</v>
      </c>
      <c r="E2674" s="11" t="s">
        <v>4597</v>
      </c>
      <c r="F2674" s="11"/>
      <c r="G2674" s="11" t="s">
        <v>15</v>
      </c>
      <c r="H2674" s="19" t="str">
        <f>IFERROR(VLOOKUP(Table2[[#This Row], [Ticket]],Okey!A:B,2,0),"")</f>
        <v/>
      </c>
      <c r="I2674" s="11" t="s">
        <v>276</v>
      </c>
      <c r="J2674" s="19" t="e">
        <f>VLOOKUP(Table2[[#This Row], [Author]],People!A:B,2,0)</f>
        <v>#VALUE!</v>
      </c>
      <c r="K2674" s="11" t="s">
        <v>3297</v>
      </c>
      <c r="L2674" s="11"/>
      <c r="M2674" s="20" t="s">
        <v>1613</v>
      </c>
    </row>
    <row r="2675" spans="1:13" ht="19.5" customHeight="1">
      <c r="A2675" s="21">
        <f t="shared" si="42"/>
        <v>2674</v>
      </c>
      <c r="B2675" s="13" t="s">
        <v>3295</v>
      </c>
      <c r="C2675" s="13" t="s">
        <v>98</v>
      </c>
      <c r="D2675" s="13" t="s">
        <v>4598</v>
      </c>
      <c r="E2675" s="13" t="s">
        <v>4599</v>
      </c>
      <c r="F2675" s="13"/>
      <c r="G2675" s="13" t="s">
        <v>15</v>
      </c>
      <c r="H2675" s="22" t="str">
        <f>IFERROR(VLOOKUP(Table2[[#This Row], [Ticket]],Okey!A:B,2,0),"")</f>
        <v/>
      </c>
      <c r="I2675" s="13" t="s">
        <v>276</v>
      </c>
      <c r="J2675" s="22" t="e">
        <f>VLOOKUP(Table2[[#This Row], [Author]],People!A:B,2,0)</f>
        <v>#VALUE!</v>
      </c>
      <c r="K2675" s="13" t="s">
        <v>3297</v>
      </c>
      <c r="L2675" s="13"/>
      <c r="M2675" s="23" t="s">
        <v>1613</v>
      </c>
    </row>
    <row r="2676" spans="1:13" ht="19.5" customHeight="1">
      <c r="A2676" s="18">
        <f t="shared" si="42"/>
        <v>2675</v>
      </c>
      <c r="B2676" s="11" t="s">
        <v>3295</v>
      </c>
      <c r="C2676" s="11" t="s">
        <v>98</v>
      </c>
      <c r="D2676" s="11" t="s">
        <v>4600</v>
      </c>
      <c r="E2676" s="11" t="s">
        <v>4601</v>
      </c>
      <c r="F2676" s="11"/>
      <c r="G2676" s="11" t="s">
        <v>15</v>
      </c>
      <c r="H2676" s="19" t="str">
        <f>IFERROR(VLOOKUP(Table2[[#This Row], [Ticket]],Okey!A:B,2,0),"")</f>
        <v/>
      </c>
      <c r="I2676" s="11" t="s">
        <v>276</v>
      </c>
      <c r="J2676" s="19" t="e">
        <f>VLOOKUP(Table2[[#This Row], [Author]],People!A:B,2,0)</f>
        <v>#VALUE!</v>
      </c>
      <c r="K2676" s="11" t="s">
        <v>3297</v>
      </c>
      <c r="L2676" s="11"/>
      <c r="M2676" s="20" t="s">
        <v>1613</v>
      </c>
    </row>
    <row r="2677" spans="1:13" ht="19.5" customHeight="1">
      <c r="A2677" s="21">
        <f t="shared" si="42"/>
        <v>2676</v>
      </c>
      <c r="B2677" s="13" t="s">
        <v>3295</v>
      </c>
      <c r="C2677" s="13" t="s">
        <v>98</v>
      </c>
      <c r="D2677" s="13" t="s">
        <v>4602</v>
      </c>
      <c r="E2677" s="13" t="s">
        <v>4603</v>
      </c>
      <c r="F2677" s="13"/>
      <c r="G2677" s="13" t="s">
        <v>15</v>
      </c>
      <c r="H2677" s="22" t="str">
        <f>IFERROR(VLOOKUP(Table2[[#This Row], [Ticket]],Okey!A:B,2,0),"")</f>
        <v/>
      </c>
      <c r="I2677" s="13" t="s">
        <v>276</v>
      </c>
      <c r="J2677" s="22" t="e">
        <f>VLOOKUP(Table2[[#This Row], [Author]],People!A:B,2,0)</f>
        <v>#VALUE!</v>
      </c>
      <c r="K2677" s="13" t="s">
        <v>3297</v>
      </c>
      <c r="L2677" s="13"/>
      <c r="M2677" s="23" t="s">
        <v>1613</v>
      </c>
    </row>
    <row r="2678" spans="1:13" ht="19.5" customHeight="1">
      <c r="A2678" s="18">
        <f t="shared" si="42"/>
        <v>2677</v>
      </c>
      <c r="B2678" s="11" t="s">
        <v>3295</v>
      </c>
      <c r="C2678" s="11" t="s">
        <v>98</v>
      </c>
      <c r="D2678" s="11" t="s">
        <v>1614</v>
      </c>
      <c r="E2678" s="11" t="s">
        <v>4604</v>
      </c>
      <c r="F2678" s="11"/>
      <c r="G2678" s="11" t="s">
        <v>15</v>
      </c>
      <c r="H2678" s="19" t="str">
        <f>IFERROR(VLOOKUP(Table2[[#This Row], [Ticket]],Okey!A:B,2,0),"")</f>
        <v/>
      </c>
      <c r="I2678" s="11" t="s">
        <v>276</v>
      </c>
      <c r="J2678" s="19" t="e">
        <f>VLOOKUP(Table2[[#This Row], [Author]],People!A:B,2,0)</f>
        <v>#VALUE!</v>
      </c>
      <c r="K2678" s="11" t="s">
        <v>3297</v>
      </c>
      <c r="L2678" s="11"/>
      <c r="M2678" s="20" t="s">
        <v>1613</v>
      </c>
    </row>
    <row r="2679" spans="1:13" ht="19.5" customHeight="1">
      <c r="A2679" s="21">
        <f t="shared" si="42"/>
        <v>2678</v>
      </c>
      <c r="B2679" s="13" t="s">
        <v>3295</v>
      </c>
      <c r="C2679" s="13" t="s">
        <v>98</v>
      </c>
      <c r="D2679" s="13" t="s">
        <v>1617</v>
      </c>
      <c r="E2679" s="13" t="s">
        <v>4605</v>
      </c>
      <c r="F2679" s="13"/>
      <c r="G2679" s="13" t="s">
        <v>15</v>
      </c>
      <c r="H2679" s="22" t="str">
        <f>IFERROR(VLOOKUP(Table2[[#This Row], [Ticket]],Okey!A:B,2,0),"")</f>
        <v/>
      </c>
      <c r="I2679" s="13" t="s">
        <v>276</v>
      </c>
      <c r="J2679" s="22" t="e">
        <f>VLOOKUP(Table2[[#This Row], [Author]],People!A:B,2,0)</f>
        <v>#VALUE!</v>
      </c>
      <c r="K2679" s="13" t="s">
        <v>3297</v>
      </c>
      <c r="L2679" s="13"/>
      <c r="M2679" s="23" t="s">
        <v>1613</v>
      </c>
    </row>
    <row r="2680" spans="1:13" ht="19.5" customHeight="1">
      <c r="A2680" s="18">
        <f t="shared" si="42"/>
        <v>2679</v>
      </c>
      <c r="B2680" s="11" t="s">
        <v>3295</v>
      </c>
      <c r="C2680" s="11" t="s">
        <v>98</v>
      </c>
      <c r="D2680" s="11" t="s">
        <v>4606</v>
      </c>
      <c r="E2680" s="11" t="s">
        <v>4607</v>
      </c>
      <c r="F2680" s="11"/>
      <c r="G2680" s="11" t="s">
        <v>15</v>
      </c>
      <c r="H2680" s="19" t="str">
        <f>IFERROR(VLOOKUP(Table2[[#This Row], [Ticket]],Okey!A:B,2,0),"")</f>
        <v/>
      </c>
      <c r="I2680" s="11" t="s">
        <v>276</v>
      </c>
      <c r="J2680" s="19" t="e">
        <f>VLOOKUP(Table2[[#This Row], [Author]],People!A:B,2,0)</f>
        <v>#VALUE!</v>
      </c>
      <c r="K2680" s="11" t="s">
        <v>3297</v>
      </c>
      <c r="L2680" s="11"/>
      <c r="M2680" s="20" t="s">
        <v>1613</v>
      </c>
    </row>
    <row r="2681" spans="1:13" ht="19.5" customHeight="1">
      <c r="A2681" s="21">
        <f t="shared" si="42"/>
        <v>2680</v>
      </c>
      <c r="B2681" s="13" t="s">
        <v>3295</v>
      </c>
      <c r="C2681" s="13" t="s">
        <v>98</v>
      </c>
      <c r="D2681" s="13" t="s">
        <v>4608</v>
      </c>
      <c r="E2681" s="13" t="s">
        <v>4609</v>
      </c>
      <c r="F2681" s="13"/>
      <c r="G2681" s="13" t="s">
        <v>15</v>
      </c>
      <c r="H2681" s="22" t="str">
        <f>IFERROR(VLOOKUP(Table2[[#This Row], [Ticket]],Okey!A:B,2,0),"")</f>
        <v/>
      </c>
      <c r="I2681" s="13" t="s">
        <v>276</v>
      </c>
      <c r="J2681" s="22" t="e">
        <f>VLOOKUP(Table2[[#This Row], [Author]],People!A:B,2,0)</f>
        <v>#VALUE!</v>
      </c>
      <c r="K2681" s="13" t="s">
        <v>3297</v>
      </c>
      <c r="L2681" s="13"/>
      <c r="M2681" s="23" t="s">
        <v>1613</v>
      </c>
    </row>
    <row r="2682" spans="1:13" ht="19.5" customHeight="1">
      <c r="A2682" s="18">
        <f t="shared" si="42"/>
        <v>2681</v>
      </c>
      <c r="B2682" s="11" t="s">
        <v>3295</v>
      </c>
      <c r="C2682" s="11" t="s">
        <v>98</v>
      </c>
      <c r="D2682" s="11" t="s">
        <v>4610</v>
      </c>
      <c r="E2682" s="11" t="s">
        <v>4611</v>
      </c>
      <c r="F2682" s="11"/>
      <c r="G2682" s="11" t="s">
        <v>15</v>
      </c>
      <c r="H2682" s="19" t="str">
        <f>IFERROR(VLOOKUP(Table2[[#This Row], [Ticket]],Okey!A:B,2,0),"")</f>
        <v/>
      </c>
      <c r="I2682" s="11" t="s">
        <v>276</v>
      </c>
      <c r="J2682" s="19" t="e">
        <f>VLOOKUP(Table2[[#This Row], [Author]],People!A:B,2,0)</f>
        <v>#VALUE!</v>
      </c>
      <c r="K2682" s="11" t="s">
        <v>3297</v>
      </c>
      <c r="L2682" s="11"/>
      <c r="M2682" s="20" t="s">
        <v>1613</v>
      </c>
    </row>
    <row r="2683" spans="1:13" ht="19.5" customHeight="1">
      <c r="A2683" s="21">
        <f t="shared" si="42"/>
        <v>2682</v>
      </c>
      <c r="B2683" s="13" t="s">
        <v>3295</v>
      </c>
      <c r="C2683" s="13" t="s">
        <v>98</v>
      </c>
      <c r="D2683" s="13" t="s">
        <v>4612</v>
      </c>
      <c r="E2683" s="13" t="s">
        <v>4613</v>
      </c>
      <c r="F2683" s="13"/>
      <c r="G2683" s="13" t="s">
        <v>15</v>
      </c>
      <c r="H2683" s="22" t="str">
        <f>IFERROR(VLOOKUP(Table2[[#This Row], [Ticket]],Okey!A:B,2,0),"")</f>
        <v/>
      </c>
      <c r="I2683" s="13" t="s">
        <v>276</v>
      </c>
      <c r="J2683" s="22" t="e">
        <f>VLOOKUP(Table2[[#This Row], [Author]],People!A:B,2,0)</f>
        <v>#VALUE!</v>
      </c>
      <c r="K2683" s="13" t="s">
        <v>3297</v>
      </c>
      <c r="L2683" s="13"/>
      <c r="M2683" s="23" t="s">
        <v>1613</v>
      </c>
    </row>
    <row r="2684" spans="1:13" ht="19.5" customHeight="1">
      <c r="A2684" s="18">
        <f t="shared" si="42"/>
        <v>2683</v>
      </c>
      <c r="B2684" s="11" t="s">
        <v>3295</v>
      </c>
      <c r="C2684" s="11" t="s">
        <v>98</v>
      </c>
      <c r="D2684" s="11" t="s">
        <v>4614</v>
      </c>
      <c r="E2684" s="11" t="s">
        <v>4615</v>
      </c>
      <c r="F2684" s="11"/>
      <c r="G2684" s="11" t="s">
        <v>15</v>
      </c>
      <c r="H2684" s="19" t="str">
        <f>IFERROR(VLOOKUP(Table2[[#This Row], [Ticket]],Okey!A:B,2,0),"")</f>
        <v/>
      </c>
      <c r="I2684" s="11" t="s">
        <v>276</v>
      </c>
      <c r="J2684" s="19" t="e">
        <f>VLOOKUP(Table2[[#This Row], [Author]],People!A:B,2,0)</f>
        <v>#VALUE!</v>
      </c>
      <c r="K2684" s="11" t="s">
        <v>3297</v>
      </c>
      <c r="L2684" s="11"/>
      <c r="M2684" s="20" t="s">
        <v>1613</v>
      </c>
    </row>
    <row r="2685" spans="1:13" ht="19.5" customHeight="1">
      <c r="A2685" s="21">
        <f t="shared" si="42"/>
        <v>2684</v>
      </c>
      <c r="B2685" s="13" t="s">
        <v>3295</v>
      </c>
      <c r="C2685" s="13" t="s">
        <v>98</v>
      </c>
      <c r="D2685" s="13" t="s">
        <v>4616</v>
      </c>
      <c r="E2685" s="13" t="s">
        <v>4617</v>
      </c>
      <c r="F2685" s="13"/>
      <c r="G2685" s="13" t="s">
        <v>15</v>
      </c>
      <c r="H2685" s="22" t="str">
        <f>IFERROR(VLOOKUP(Table2[[#This Row], [Ticket]],Okey!A:B,2,0),"")</f>
        <v/>
      </c>
      <c r="I2685" s="13" t="s">
        <v>276</v>
      </c>
      <c r="J2685" s="22" t="e">
        <f>VLOOKUP(Table2[[#This Row], [Author]],People!A:B,2,0)</f>
        <v>#VALUE!</v>
      </c>
      <c r="K2685" s="13" t="s">
        <v>3297</v>
      </c>
      <c r="L2685" s="13"/>
      <c r="M2685" s="23" t="s">
        <v>1613</v>
      </c>
    </row>
    <row r="2686" spans="1:13" ht="19.5" customHeight="1">
      <c r="A2686" s="18">
        <f t="shared" si="42"/>
        <v>2685</v>
      </c>
      <c r="B2686" s="11" t="s">
        <v>3295</v>
      </c>
      <c r="C2686" s="11" t="s">
        <v>98</v>
      </c>
      <c r="D2686" s="11" t="s">
        <v>4618</v>
      </c>
      <c r="E2686" s="11" t="s">
        <v>4619</v>
      </c>
      <c r="F2686" s="11"/>
      <c r="G2686" s="11" t="s">
        <v>15</v>
      </c>
      <c r="H2686" s="19" t="str">
        <f>IFERROR(VLOOKUP(Table2[[#This Row], [Ticket]],Okey!A:B,2,0),"")</f>
        <v/>
      </c>
      <c r="I2686" s="11" t="s">
        <v>276</v>
      </c>
      <c r="J2686" s="19" t="e">
        <f>VLOOKUP(Table2[[#This Row], [Author]],People!A:B,2,0)</f>
        <v>#VALUE!</v>
      </c>
      <c r="K2686" s="11" t="s">
        <v>3297</v>
      </c>
      <c r="L2686" s="11"/>
      <c r="M2686" s="20" t="s">
        <v>1613</v>
      </c>
    </row>
    <row r="2687" spans="1:13" ht="19.5" customHeight="1">
      <c r="A2687" s="21">
        <f t="shared" si="42"/>
        <v>2686</v>
      </c>
      <c r="B2687" s="13" t="s">
        <v>3295</v>
      </c>
      <c r="C2687" s="13" t="s">
        <v>98</v>
      </c>
      <c r="D2687" s="13" t="s">
        <v>4620</v>
      </c>
      <c r="E2687" s="13" t="s">
        <v>4621</v>
      </c>
      <c r="F2687" s="13"/>
      <c r="G2687" s="13" t="s">
        <v>15</v>
      </c>
      <c r="H2687" s="22" t="str">
        <f>IFERROR(VLOOKUP(Table2[[#This Row], [Ticket]],Okey!A:B,2,0),"")</f>
        <v/>
      </c>
      <c r="I2687" s="13" t="s">
        <v>276</v>
      </c>
      <c r="J2687" s="22" t="e">
        <f>VLOOKUP(Table2[[#This Row], [Author]],People!A:B,2,0)</f>
        <v>#VALUE!</v>
      </c>
      <c r="K2687" s="13" t="s">
        <v>3297</v>
      </c>
      <c r="L2687" s="13"/>
      <c r="M2687" s="23" t="s">
        <v>1613</v>
      </c>
    </row>
    <row r="2688" spans="1:13" ht="19.5" customHeight="1">
      <c r="A2688" s="18">
        <f t="shared" si="42"/>
        <v>2687</v>
      </c>
      <c r="B2688" s="11" t="s">
        <v>3295</v>
      </c>
      <c r="C2688" s="11" t="s">
        <v>98</v>
      </c>
      <c r="D2688" s="11" t="s">
        <v>4622</v>
      </c>
      <c r="E2688" s="11" t="s">
        <v>4623</v>
      </c>
      <c r="F2688" s="11"/>
      <c r="G2688" s="11" t="s">
        <v>15</v>
      </c>
      <c r="H2688" s="19" t="str">
        <f>IFERROR(VLOOKUP(Table2[[#This Row], [Ticket]],Okey!A:B,2,0),"")</f>
        <v/>
      </c>
      <c r="I2688" s="11" t="s">
        <v>276</v>
      </c>
      <c r="J2688" s="19" t="e">
        <f>VLOOKUP(Table2[[#This Row], [Author]],People!A:B,2,0)</f>
        <v>#VALUE!</v>
      </c>
      <c r="K2688" s="11" t="s">
        <v>3297</v>
      </c>
      <c r="L2688" s="11"/>
      <c r="M2688" s="20" t="s">
        <v>1613</v>
      </c>
    </row>
    <row r="2689" spans="1:13" ht="19.5" customHeight="1">
      <c r="A2689" s="21">
        <f t="shared" si="42"/>
        <v>2688</v>
      </c>
      <c r="B2689" s="13" t="s">
        <v>3295</v>
      </c>
      <c r="C2689" s="13" t="s">
        <v>98</v>
      </c>
      <c r="D2689" s="13" t="s">
        <v>4624</v>
      </c>
      <c r="E2689" s="13" t="s">
        <v>4625</v>
      </c>
      <c r="F2689" s="13"/>
      <c r="G2689" s="13" t="s">
        <v>15</v>
      </c>
      <c r="H2689" s="22" t="str">
        <f>IFERROR(VLOOKUP(Table2[[#This Row], [Ticket]],Okey!A:B,2,0),"")</f>
        <v/>
      </c>
      <c r="I2689" s="13" t="s">
        <v>276</v>
      </c>
      <c r="J2689" s="22" t="e">
        <f>VLOOKUP(Table2[[#This Row], [Author]],People!A:B,2,0)</f>
        <v>#VALUE!</v>
      </c>
      <c r="K2689" s="13" t="s">
        <v>3297</v>
      </c>
      <c r="L2689" s="13"/>
      <c r="M2689" s="23" t="s">
        <v>1613</v>
      </c>
    </row>
    <row r="2690" spans="1:13" ht="19.5" customHeight="1">
      <c r="A2690" s="18">
        <f t="shared" si="42"/>
        <v>2689</v>
      </c>
      <c r="B2690" s="11" t="s">
        <v>3295</v>
      </c>
      <c r="C2690" s="11" t="s">
        <v>98</v>
      </c>
      <c r="D2690" s="11" t="s">
        <v>4626</v>
      </c>
      <c r="E2690" s="11" t="s">
        <v>4627</v>
      </c>
      <c r="F2690" s="11"/>
      <c r="G2690" s="11" t="s">
        <v>15</v>
      </c>
      <c r="H2690" s="19" t="str">
        <f>IFERROR(VLOOKUP(Table2[[#This Row], [Ticket]],Okey!A:B,2,0),"")</f>
        <v/>
      </c>
      <c r="I2690" s="11" t="s">
        <v>276</v>
      </c>
      <c r="J2690" s="19" t="e">
        <f>VLOOKUP(Table2[[#This Row], [Author]],People!A:B,2,0)</f>
        <v>#VALUE!</v>
      </c>
      <c r="K2690" s="11" t="s">
        <v>3297</v>
      </c>
      <c r="L2690" s="11"/>
      <c r="M2690" s="20" t="s">
        <v>1613</v>
      </c>
    </row>
    <row r="2691" spans="1:13" ht="19.5" customHeight="1">
      <c r="A2691" s="21">
        <f t="shared" si="42"/>
        <v>2690</v>
      </c>
      <c r="B2691" s="13" t="s">
        <v>3295</v>
      </c>
      <c r="C2691" s="13" t="s">
        <v>98</v>
      </c>
      <c r="D2691" s="13" t="s">
        <v>4628</v>
      </c>
      <c r="E2691" s="13" t="s">
        <v>4629</v>
      </c>
      <c r="F2691" s="13"/>
      <c r="G2691" s="13" t="s">
        <v>15</v>
      </c>
      <c r="H2691" s="22" t="str">
        <f>IFERROR(VLOOKUP(Table2[[#This Row], [Ticket]],Okey!A:B,2,0),"")</f>
        <v/>
      </c>
      <c r="I2691" s="13" t="s">
        <v>276</v>
      </c>
      <c r="J2691" s="22" t="e">
        <f>VLOOKUP(Table2[[#This Row], [Author]],People!A:B,2,0)</f>
        <v>#VALUE!</v>
      </c>
      <c r="K2691" s="13" t="s">
        <v>3297</v>
      </c>
      <c r="L2691" s="13"/>
      <c r="M2691" s="23" t="s">
        <v>1613</v>
      </c>
    </row>
    <row r="2692" spans="1:13" ht="19.5" customHeight="1">
      <c r="A2692" s="18">
        <f t="shared" si="42"/>
        <v>2691</v>
      </c>
      <c r="B2692" s="11" t="s">
        <v>3295</v>
      </c>
      <c r="C2692" s="11" t="s">
        <v>98</v>
      </c>
      <c r="D2692" s="11" t="s">
        <v>4630</v>
      </c>
      <c r="E2692" s="11" t="s">
        <v>4631</v>
      </c>
      <c r="F2692" s="11"/>
      <c r="G2692" s="11" t="s">
        <v>15</v>
      </c>
      <c r="H2692" s="19" t="str">
        <f>IFERROR(VLOOKUP(Table2[[#This Row], [Ticket]],Okey!A:B,2,0),"")</f>
        <v/>
      </c>
      <c r="I2692" s="11" t="s">
        <v>276</v>
      </c>
      <c r="J2692" s="19" t="e">
        <f>VLOOKUP(Table2[[#This Row], [Author]],People!A:B,2,0)</f>
        <v>#VALUE!</v>
      </c>
      <c r="K2692" s="11" t="s">
        <v>3297</v>
      </c>
      <c r="L2692" s="11"/>
      <c r="M2692" s="20" t="s">
        <v>1613</v>
      </c>
    </row>
    <row r="2693" spans="1:13" ht="19.5" customHeight="1">
      <c r="A2693" s="21">
        <f t="shared" si="42"/>
        <v>2692</v>
      </c>
      <c r="B2693" s="13" t="s">
        <v>3295</v>
      </c>
      <c r="C2693" s="13" t="s">
        <v>98</v>
      </c>
      <c r="D2693" s="13" t="s">
        <v>4632</v>
      </c>
      <c r="E2693" s="13" t="s">
        <v>4633</v>
      </c>
      <c r="F2693" s="13"/>
      <c r="G2693" s="13" t="s">
        <v>15</v>
      </c>
      <c r="H2693" s="22" t="str">
        <f>IFERROR(VLOOKUP(Table2[[#This Row], [Ticket]],Okey!A:B,2,0),"")</f>
        <v/>
      </c>
      <c r="I2693" s="13" t="s">
        <v>276</v>
      </c>
      <c r="J2693" s="22" t="e">
        <f>VLOOKUP(Table2[[#This Row], [Author]],People!A:B,2,0)</f>
        <v>#VALUE!</v>
      </c>
      <c r="K2693" s="13" t="s">
        <v>3297</v>
      </c>
      <c r="L2693" s="13"/>
      <c r="M2693" s="23" t="s">
        <v>1613</v>
      </c>
    </row>
    <row r="2694" spans="1:13" ht="19.5" customHeight="1">
      <c r="A2694" s="18">
        <f t="shared" si="42"/>
        <v>2693</v>
      </c>
      <c r="B2694" s="11" t="s">
        <v>3295</v>
      </c>
      <c r="C2694" s="11" t="s">
        <v>98</v>
      </c>
      <c r="D2694" s="11" t="s">
        <v>4634</v>
      </c>
      <c r="E2694" s="11" t="s">
        <v>4635</v>
      </c>
      <c r="F2694" s="11"/>
      <c r="G2694" s="11" t="s">
        <v>15</v>
      </c>
      <c r="H2694" s="19" t="str">
        <f>IFERROR(VLOOKUP(Table2[[#This Row], [Ticket]],Okey!A:B,2,0),"")</f>
        <v/>
      </c>
      <c r="I2694" s="11" t="s">
        <v>276</v>
      </c>
      <c r="J2694" s="19" t="e">
        <f>VLOOKUP(Table2[[#This Row], [Author]],People!A:B,2,0)</f>
        <v>#VALUE!</v>
      </c>
      <c r="K2694" s="11" t="s">
        <v>3297</v>
      </c>
      <c r="L2694" s="11"/>
      <c r="M2694" s="20" t="s">
        <v>1613</v>
      </c>
    </row>
    <row r="2695" spans="1:13" ht="19.5" customHeight="1">
      <c r="A2695" s="21">
        <f t="shared" si="42"/>
        <v>2694</v>
      </c>
      <c r="B2695" s="13" t="s">
        <v>3295</v>
      </c>
      <c r="C2695" s="13" t="s">
        <v>98</v>
      </c>
      <c r="D2695" s="13" t="s">
        <v>4636</v>
      </c>
      <c r="E2695" s="13" t="s">
        <v>4637</v>
      </c>
      <c r="F2695" s="13"/>
      <c r="G2695" s="13" t="s">
        <v>15</v>
      </c>
      <c r="H2695" s="22" t="str">
        <f>IFERROR(VLOOKUP(Table2[[#This Row], [Ticket]],Okey!A:B,2,0),"")</f>
        <v/>
      </c>
      <c r="I2695" s="13" t="s">
        <v>276</v>
      </c>
      <c r="J2695" s="22" t="e">
        <f>VLOOKUP(Table2[[#This Row], [Author]],People!A:B,2,0)</f>
        <v>#VALUE!</v>
      </c>
      <c r="K2695" s="13" t="s">
        <v>3297</v>
      </c>
      <c r="L2695" s="13"/>
      <c r="M2695" s="23" t="s">
        <v>1613</v>
      </c>
    </row>
    <row r="2696" spans="1:13" ht="19.5" customHeight="1">
      <c r="A2696" s="18">
        <f t="shared" si="42"/>
        <v>2695</v>
      </c>
      <c r="B2696" s="11" t="s">
        <v>3295</v>
      </c>
      <c r="C2696" s="11" t="s">
        <v>98</v>
      </c>
      <c r="D2696" s="11" t="s">
        <v>4638</v>
      </c>
      <c r="E2696" s="11" t="s">
        <v>4639</v>
      </c>
      <c r="F2696" s="11"/>
      <c r="G2696" s="11" t="s">
        <v>15</v>
      </c>
      <c r="H2696" s="19" t="str">
        <f>IFERROR(VLOOKUP(Table2[[#This Row], [Ticket]],Okey!A:B,2,0),"")</f>
        <v/>
      </c>
      <c r="I2696" s="11" t="s">
        <v>276</v>
      </c>
      <c r="J2696" s="19" t="e">
        <f>VLOOKUP(Table2[[#This Row], [Author]],People!A:B,2,0)</f>
        <v>#VALUE!</v>
      </c>
      <c r="K2696" s="11" t="s">
        <v>3297</v>
      </c>
      <c r="L2696" s="11"/>
      <c r="M2696" s="20" t="s">
        <v>1613</v>
      </c>
    </row>
    <row r="2697" spans="1:13" ht="19.5" customHeight="1">
      <c r="A2697" s="21">
        <f t="shared" si="42"/>
        <v>2696</v>
      </c>
      <c r="B2697" s="13" t="s">
        <v>3295</v>
      </c>
      <c r="C2697" s="13" t="s">
        <v>98</v>
      </c>
      <c r="D2697" s="13" t="s">
        <v>4640</v>
      </c>
      <c r="E2697" s="13" t="s">
        <v>4641</v>
      </c>
      <c r="F2697" s="13"/>
      <c r="G2697" s="13" t="s">
        <v>15</v>
      </c>
      <c r="H2697" s="22" t="str">
        <f>IFERROR(VLOOKUP(Table2[[#This Row], [Ticket]],Okey!A:B,2,0),"")</f>
        <v/>
      </c>
      <c r="I2697" s="13" t="s">
        <v>276</v>
      </c>
      <c r="J2697" s="22" t="e">
        <f>VLOOKUP(Table2[[#This Row], [Author]],People!A:B,2,0)</f>
        <v>#VALUE!</v>
      </c>
      <c r="K2697" s="13" t="s">
        <v>3297</v>
      </c>
      <c r="L2697" s="13"/>
      <c r="M2697" s="23" t="s">
        <v>1613</v>
      </c>
    </row>
    <row r="2698" spans="1:13" ht="19.5" customHeight="1">
      <c r="A2698" s="18">
        <f t="shared" si="42"/>
        <v>2697</v>
      </c>
      <c r="B2698" s="11" t="s">
        <v>3295</v>
      </c>
      <c r="C2698" s="11" t="s">
        <v>98</v>
      </c>
      <c r="D2698" s="11" t="s">
        <v>4642</v>
      </c>
      <c r="E2698" s="11" t="s">
        <v>4643</v>
      </c>
      <c r="F2698" s="11"/>
      <c r="G2698" s="11" t="s">
        <v>15</v>
      </c>
      <c r="H2698" s="19" t="str">
        <f>IFERROR(VLOOKUP(Table2[[#This Row], [Ticket]],Okey!A:B,2,0),"")</f>
        <v/>
      </c>
      <c r="I2698" s="11" t="s">
        <v>276</v>
      </c>
      <c r="J2698" s="19" t="e">
        <f>VLOOKUP(Table2[[#This Row], [Author]],People!A:B,2,0)</f>
        <v>#VALUE!</v>
      </c>
      <c r="K2698" s="11" t="s">
        <v>3297</v>
      </c>
      <c r="L2698" s="11"/>
      <c r="M2698" s="20" t="s">
        <v>1613</v>
      </c>
    </row>
    <row r="2699" spans="1:13" ht="19.5" customHeight="1">
      <c r="A2699" s="21">
        <f t="shared" si="42"/>
        <v>2698</v>
      </c>
      <c r="B2699" s="13" t="s">
        <v>3295</v>
      </c>
      <c r="C2699" s="13" t="s">
        <v>98</v>
      </c>
      <c r="D2699" s="13" t="s">
        <v>4644</v>
      </c>
      <c r="E2699" s="13" t="s">
        <v>4645</v>
      </c>
      <c r="F2699" s="13"/>
      <c r="G2699" s="13" t="s">
        <v>15</v>
      </c>
      <c r="H2699" s="22" t="str">
        <f>IFERROR(VLOOKUP(Table2[[#This Row], [Ticket]],Okey!A:B,2,0),"")</f>
        <v/>
      </c>
      <c r="I2699" s="13" t="s">
        <v>276</v>
      </c>
      <c r="J2699" s="22" t="e">
        <f>VLOOKUP(Table2[[#This Row], [Author]],People!A:B,2,0)</f>
        <v>#VALUE!</v>
      </c>
      <c r="K2699" s="13" t="s">
        <v>3297</v>
      </c>
      <c r="L2699" s="13"/>
      <c r="M2699" s="23" t="s">
        <v>1613</v>
      </c>
    </row>
    <row r="2700" spans="1:13" ht="19.5" customHeight="1">
      <c r="A2700" s="18">
        <f t="shared" si="42"/>
        <v>2699</v>
      </c>
      <c r="B2700" s="11" t="s">
        <v>3295</v>
      </c>
      <c r="C2700" s="11" t="s">
        <v>98</v>
      </c>
      <c r="D2700" s="11" t="s">
        <v>4646</v>
      </c>
      <c r="E2700" s="11" t="s">
        <v>4647</v>
      </c>
      <c r="F2700" s="11"/>
      <c r="G2700" s="11" t="s">
        <v>15</v>
      </c>
      <c r="H2700" s="19" t="str">
        <f>IFERROR(VLOOKUP(Table2[[#This Row], [Ticket]],Okey!A:B,2,0),"")</f>
        <v/>
      </c>
      <c r="I2700" s="11" t="s">
        <v>276</v>
      </c>
      <c r="J2700" s="19" t="e">
        <f>VLOOKUP(Table2[[#This Row], [Author]],People!A:B,2,0)</f>
        <v>#VALUE!</v>
      </c>
      <c r="K2700" s="11" t="s">
        <v>3297</v>
      </c>
      <c r="L2700" s="11"/>
      <c r="M2700" s="20" t="s">
        <v>1613</v>
      </c>
    </row>
    <row r="2701" spans="1:13" ht="19.5" customHeight="1">
      <c r="A2701" s="21">
        <f t="shared" si="42"/>
        <v>2700</v>
      </c>
      <c r="B2701" s="13" t="s">
        <v>3295</v>
      </c>
      <c r="C2701" s="13" t="s">
        <v>98</v>
      </c>
      <c r="D2701" s="13" t="s">
        <v>4648</v>
      </c>
      <c r="E2701" s="13" t="s">
        <v>4649</v>
      </c>
      <c r="F2701" s="13"/>
      <c r="G2701" s="13" t="s">
        <v>15</v>
      </c>
      <c r="H2701" s="22" t="str">
        <f>IFERROR(VLOOKUP(Table2[[#This Row], [Ticket]],Okey!A:B,2,0),"")</f>
        <v/>
      </c>
      <c r="I2701" s="13" t="s">
        <v>276</v>
      </c>
      <c r="J2701" s="22" t="e">
        <f>VLOOKUP(Table2[[#This Row], [Author]],People!A:B,2,0)</f>
        <v>#VALUE!</v>
      </c>
      <c r="K2701" s="13" t="s">
        <v>3297</v>
      </c>
      <c r="L2701" s="13"/>
      <c r="M2701" s="23" t="s">
        <v>1613</v>
      </c>
    </row>
    <row r="2702" spans="1:13" ht="19.5" customHeight="1">
      <c r="A2702" s="18">
        <f t="shared" si="42"/>
        <v>2701</v>
      </c>
      <c r="B2702" s="11" t="s">
        <v>3295</v>
      </c>
      <c r="C2702" s="11" t="s">
        <v>98</v>
      </c>
      <c r="D2702" s="11" t="s">
        <v>4650</v>
      </c>
      <c r="E2702" s="11" t="s">
        <v>4651</v>
      </c>
      <c r="F2702" s="11"/>
      <c r="G2702" s="11" t="s">
        <v>15</v>
      </c>
      <c r="H2702" s="19" t="str">
        <f>IFERROR(VLOOKUP(Table2[[#This Row], [Ticket]],Okey!A:B,2,0),"")</f>
        <v/>
      </c>
      <c r="I2702" s="11" t="s">
        <v>276</v>
      </c>
      <c r="J2702" s="19" t="e">
        <f>VLOOKUP(Table2[[#This Row], [Author]],People!A:B,2,0)</f>
        <v>#VALUE!</v>
      </c>
      <c r="K2702" s="11" t="s">
        <v>3297</v>
      </c>
      <c r="L2702" s="11"/>
      <c r="M2702" s="20" t="s">
        <v>1613</v>
      </c>
    </row>
    <row r="2703" spans="1:13" ht="19.5" customHeight="1">
      <c r="A2703" s="21">
        <f t="shared" si="42"/>
        <v>2702</v>
      </c>
      <c r="B2703" s="13" t="s">
        <v>3295</v>
      </c>
      <c r="C2703" s="13" t="s">
        <v>98</v>
      </c>
      <c r="D2703" s="13" t="s">
        <v>4652</v>
      </c>
      <c r="E2703" s="13" t="s">
        <v>4653</v>
      </c>
      <c r="F2703" s="13"/>
      <c r="G2703" s="13" t="s">
        <v>15</v>
      </c>
      <c r="H2703" s="22" t="str">
        <f>IFERROR(VLOOKUP(Table2[[#This Row], [Ticket]],Okey!A:B,2,0),"")</f>
        <v/>
      </c>
      <c r="I2703" s="13" t="s">
        <v>276</v>
      </c>
      <c r="J2703" s="22" t="e">
        <f>VLOOKUP(Table2[[#This Row], [Author]],People!A:B,2,0)</f>
        <v>#VALUE!</v>
      </c>
      <c r="K2703" s="13" t="s">
        <v>3297</v>
      </c>
      <c r="L2703" s="13"/>
      <c r="M2703" s="23" t="s">
        <v>1613</v>
      </c>
    </row>
    <row r="2704" spans="1:13" ht="19.5" customHeight="1">
      <c r="A2704" s="18">
        <f t="shared" si="42"/>
        <v>2703</v>
      </c>
      <c r="B2704" s="11" t="s">
        <v>3295</v>
      </c>
      <c r="C2704" s="11" t="s">
        <v>98</v>
      </c>
      <c r="D2704" s="11" t="s">
        <v>4654</v>
      </c>
      <c r="E2704" s="11" t="s">
        <v>4655</v>
      </c>
      <c r="F2704" s="11"/>
      <c r="G2704" s="11" t="s">
        <v>15</v>
      </c>
      <c r="H2704" s="19" t="str">
        <f>IFERROR(VLOOKUP(Table2[[#This Row], [Ticket]],Okey!A:B,2,0),"")</f>
        <v/>
      </c>
      <c r="I2704" s="11" t="s">
        <v>276</v>
      </c>
      <c r="J2704" s="19" t="e">
        <f>VLOOKUP(Table2[[#This Row], [Author]],People!A:B,2,0)</f>
        <v>#VALUE!</v>
      </c>
      <c r="K2704" s="11" t="s">
        <v>3297</v>
      </c>
      <c r="L2704" s="11"/>
      <c r="M2704" s="20" t="s">
        <v>1613</v>
      </c>
    </row>
    <row r="2705" spans="1:13" ht="19.5" customHeight="1">
      <c r="A2705" s="21">
        <f t="shared" si="42"/>
        <v>2704</v>
      </c>
      <c r="B2705" s="13" t="s">
        <v>3295</v>
      </c>
      <c r="C2705" s="13" t="s">
        <v>98</v>
      </c>
      <c r="D2705" s="13" t="s">
        <v>2690</v>
      </c>
      <c r="E2705" s="13"/>
      <c r="F2705" s="13" t="s">
        <v>4656</v>
      </c>
      <c r="G2705" s="13" t="s">
        <v>16</v>
      </c>
      <c r="H2705" s="22" t="str">
        <f>IFERROR(VLOOKUP(Table2[[#This Row], [Ticket]],Okey!A:B,2,0),"")</f>
        <v/>
      </c>
      <c r="I2705" s="13" t="s">
        <v>276</v>
      </c>
      <c r="J2705" s="22" t="e">
        <f>VLOOKUP(Table2[[#This Row], [Author]],People!A:B,2,0)</f>
        <v>#VALUE!</v>
      </c>
      <c r="K2705" s="13" t="s">
        <v>3297</v>
      </c>
      <c r="L2705" s="13"/>
      <c r="M2705" s="23" t="s">
        <v>1613</v>
      </c>
    </row>
    <row r="2706" spans="1:13" ht="19.5" customHeight="1">
      <c r="A2706" s="18">
        <f t="shared" si="42"/>
        <v>2705</v>
      </c>
      <c r="B2706" s="11" t="s">
        <v>3295</v>
      </c>
      <c r="C2706" s="11" t="s">
        <v>98</v>
      </c>
      <c r="D2706" s="11" t="s">
        <v>4657</v>
      </c>
      <c r="E2706" s="11" t="s">
        <v>4658</v>
      </c>
      <c r="F2706" s="11" t="s">
        <v>4640</v>
      </c>
      <c r="G2706" s="11" t="s">
        <v>14</v>
      </c>
      <c r="H2706" s="19" t="str">
        <f>IFERROR(VLOOKUP(Table2[[#This Row], [Ticket]],Okey!A:B,2,0),"")</f>
        <v/>
      </c>
      <c r="I2706" s="11" t="s">
        <v>276</v>
      </c>
      <c r="J2706" s="19" t="e">
        <f>VLOOKUP(Table2[[#This Row], [Author]],People!A:B,2,0)</f>
        <v>#VALUE!</v>
      </c>
      <c r="K2706" s="11" t="s">
        <v>3297</v>
      </c>
      <c r="L2706" s="11"/>
      <c r="M2706" s="20" t="s">
        <v>1613</v>
      </c>
    </row>
    <row r="2707" spans="1:13" ht="19.5" customHeight="1">
      <c r="A2707" s="21">
        <f t="shared" si="42"/>
        <v>2706</v>
      </c>
      <c r="B2707" s="13" t="s">
        <v>3295</v>
      </c>
      <c r="C2707" s="13" t="s">
        <v>98</v>
      </c>
      <c r="D2707" s="13" t="s">
        <v>4659</v>
      </c>
      <c r="E2707" s="13" t="s">
        <v>4660</v>
      </c>
      <c r="F2707" s="13" t="s">
        <v>4640</v>
      </c>
      <c r="G2707" s="13" t="s">
        <v>14</v>
      </c>
      <c r="H2707" s="22" t="str">
        <f>IFERROR(VLOOKUP(Table2[[#This Row], [Ticket]],Okey!A:B,2,0),"")</f>
        <v/>
      </c>
      <c r="I2707" s="13" t="s">
        <v>276</v>
      </c>
      <c r="J2707" s="22" t="e">
        <f>VLOOKUP(Table2[[#This Row], [Author]],People!A:B,2,0)</f>
        <v>#VALUE!</v>
      </c>
      <c r="K2707" s="13" t="s">
        <v>3297</v>
      </c>
      <c r="L2707" s="13"/>
      <c r="M2707" s="23" t="s">
        <v>1613</v>
      </c>
    </row>
    <row r="2708" spans="1:13" ht="19.5" customHeight="1">
      <c r="A2708" s="18">
        <f t="shared" si="42"/>
        <v>2707</v>
      </c>
      <c r="B2708" s="11" t="s">
        <v>3295</v>
      </c>
      <c r="C2708" s="11" t="s">
        <v>98</v>
      </c>
      <c r="D2708" s="11" t="s">
        <v>4661</v>
      </c>
      <c r="E2708" s="11" t="s">
        <v>4662</v>
      </c>
      <c r="F2708" s="11" t="s">
        <v>4638</v>
      </c>
      <c r="G2708" s="11" t="s">
        <v>14</v>
      </c>
      <c r="H2708" s="19" t="str">
        <f>IFERROR(VLOOKUP(Table2[[#This Row], [Ticket]],Okey!A:B,2,0),"")</f>
        <v/>
      </c>
      <c r="I2708" s="11" t="s">
        <v>276</v>
      </c>
      <c r="J2708" s="19" t="e">
        <f>VLOOKUP(Table2[[#This Row], [Author]],People!A:B,2,0)</f>
        <v>#VALUE!</v>
      </c>
      <c r="K2708" s="11" t="s">
        <v>3297</v>
      </c>
      <c r="L2708" s="11"/>
      <c r="M2708" s="20" t="s">
        <v>1613</v>
      </c>
    </row>
    <row r="2709" spans="1:13" ht="19.5" customHeight="1">
      <c r="A2709" s="21">
        <f t="shared" si="42"/>
        <v>2708</v>
      </c>
      <c r="B2709" s="13" t="s">
        <v>3295</v>
      </c>
      <c r="C2709" s="13" t="s">
        <v>98</v>
      </c>
      <c r="D2709" s="13" t="s">
        <v>4663</v>
      </c>
      <c r="E2709" s="13" t="s">
        <v>4664</v>
      </c>
      <c r="F2709" s="13" t="s">
        <v>4638</v>
      </c>
      <c r="G2709" s="13" t="s">
        <v>14</v>
      </c>
      <c r="H2709" s="22" t="str">
        <f>IFERROR(VLOOKUP(Table2[[#This Row], [Ticket]],Okey!A:B,2,0),"")</f>
        <v/>
      </c>
      <c r="I2709" s="13" t="s">
        <v>276</v>
      </c>
      <c r="J2709" s="22" t="e">
        <f>VLOOKUP(Table2[[#This Row], [Author]],People!A:B,2,0)</f>
        <v>#VALUE!</v>
      </c>
      <c r="K2709" s="13" t="s">
        <v>3297</v>
      </c>
      <c r="L2709" s="13"/>
      <c r="M2709" s="23" t="s">
        <v>1613</v>
      </c>
    </row>
    <row r="2710" spans="1:13" ht="19.5" customHeight="1">
      <c r="A2710" s="18">
        <f t="shared" si="42"/>
        <v>2709</v>
      </c>
      <c r="B2710" s="11" t="s">
        <v>3295</v>
      </c>
      <c r="C2710" s="11" t="s">
        <v>98</v>
      </c>
      <c r="D2710" s="11" t="s">
        <v>4665</v>
      </c>
      <c r="E2710" s="11" t="s">
        <v>4666</v>
      </c>
      <c r="F2710" s="11" t="s">
        <v>4642</v>
      </c>
      <c r="G2710" s="11" t="s">
        <v>14</v>
      </c>
      <c r="H2710" s="19" t="str">
        <f>IFERROR(VLOOKUP(Table2[[#This Row], [Ticket]],Okey!A:B,2,0),"")</f>
        <v/>
      </c>
      <c r="I2710" s="11" t="s">
        <v>276</v>
      </c>
      <c r="J2710" s="19" t="e">
        <f>VLOOKUP(Table2[[#This Row], [Author]],People!A:B,2,0)</f>
        <v>#VALUE!</v>
      </c>
      <c r="K2710" s="11" t="s">
        <v>3297</v>
      </c>
      <c r="L2710" s="11"/>
      <c r="M2710" s="20" t="s">
        <v>1613</v>
      </c>
    </row>
    <row r="2711" spans="1:13" ht="19.5" customHeight="1">
      <c r="A2711" s="21">
        <f t="shared" si="42"/>
        <v>2710</v>
      </c>
      <c r="B2711" s="13" t="s">
        <v>3295</v>
      </c>
      <c r="C2711" s="13" t="s">
        <v>98</v>
      </c>
      <c r="D2711" s="13" t="s">
        <v>4667</v>
      </c>
      <c r="E2711" s="13" t="s">
        <v>4668</v>
      </c>
      <c r="F2711" s="13" t="s">
        <v>4642</v>
      </c>
      <c r="G2711" s="13" t="s">
        <v>14</v>
      </c>
      <c r="H2711" s="22" t="str">
        <f>IFERROR(VLOOKUP(Table2[[#This Row], [Ticket]],Okey!A:B,2,0),"")</f>
        <v/>
      </c>
      <c r="I2711" s="13" t="s">
        <v>276</v>
      </c>
      <c r="J2711" s="22" t="e">
        <f>VLOOKUP(Table2[[#This Row], [Author]],People!A:B,2,0)</f>
        <v>#VALUE!</v>
      </c>
      <c r="K2711" s="13" t="s">
        <v>3297</v>
      </c>
      <c r="L2711" s="13"/>
      <c r="M2711" s="23" t="s">
        <v>1613</v>
      </c>
    </row>
    <row r="2712" spans="1:13" ht="19.5" customHeight="1">
      <c r="A2712" s="18">
        <f t="shared" si="42"/>
        <v>2711</v>
      </c>
      <c r="B2712" s="11" t="s">
        <v>3295</v>
      </c>
      <c r="C2712" s="11" t="s">
        <v>98</v>
      </c>
      <c r="D2712" s="11" t="s">
        <v>4669</v>
      </c>
      <c r="E2712" s="11" t="s">
        <v>4670</v>
      </c>
      <c r="F2712" s="11" t="s">
        <v>4644</v>
      </c>
      <c r="G2712" s="11" t="s">
        <v>14</v>
      </c>
      <c r="H2712" s="19" t="str">
        <f>IFERROR(VLOOKUP(Table2[[#This Row], [Ticket]],Okey!A:B,2,0),"")</f>
        <v/>
      </c>
      <c r="I2712" s="11" t="s">
        <v>276</v>
      </c>
      <c r="J2712" s="19" t="e">
        <f>VLOOKUP(Table2[[#This Row], [Author]],People!A:B,2,0)</f>
        <v>#VALUE!</v>
      </c>
      <c r="K2712" s="11" t="s">
        <v>3297</v>
      </c>
      <c r="L2712" s="11"/>
      <c r="M2712" s="20" t="s">
        <v>1613</v>
      </c>
    </row>
    <row r="2713" spans="1:13" ht="19.5" customHeight="1">
      <c r="A2713" s="21">
        <f t="shared" si="42"/>
        <v>2712</v>
      </c>
      <c r="B2713" s="13" t="s">
        <v>3295</v>
      </c>
      <c r="C2713" s="13" t="s">
        <v>98</v>
      </c>
      <c r="D2713" s="13" t="s">
        <v>4671</v>
      </c>
      <c r="E2713" s="13" t="s">
        <v>4672</v>
      </c>
      <c r="F2713" s="13" t="s">
        <v>4644</v>
      </c>
      <c r="G2713" s="13" t="s">
        <v>14</v>
      </c>
      <c r="H2713" s="22" t="str">
        <f>IFERROR(VLOOKUP(Table2[[#This Row], [Ticket]],Okey!A:B,2,0),"")</f>
        <v/>
      </c>
      <c r="I2713" s="13" t="s">
        <v>276</v>
      </c>
      <c r="J2713" s="22" t="e">
        <f>VLOOKUP(Table2[[#This Row], [Author]],People!A:B,2,0)</f>
        <v>#VALUE!</v>
      </c>
      <c r="K2713" s="13" t="s">
        <v>3297</v>
      </c>
      <c r="L2713" s="13"/>
      <c r="M2713" s="23" t="s">
        <v>1613</v>
      </c>
    </row>
    <row r="2714" spans="1:13" ht="19.5" customHeight="1">
      <c r="A2714" s="18">
        <f t="shared" si="42"/>
        <v>2713</v>
      </c>
      <c r="B2714" s="11" t="s">
        <v>3295</v>
      </c>
      <c r="C2714" s="11" t="s">
        <v>98</v>
      </c>
      <c r="D2714" s="11" t="s">
        <v>4673</v>
      </c>
      <c r="E2714" s="11" t="s">
        <v>4674</v>
      </c>
      <c r="F2714" s="11" t="s">
        <v>4646</v>
      </c>
      <c r="G2714" s="11" t="s">
        <v>14</v>
      </c>
      <c r="H2714" s="19" t="str">
        <f>IFERROR(VLOOKUP(Table2[[#This Row], [Ticket]],Okey!A:B,2,0),"")</f>
        <v/>
      </c>
      <c r="I2714" s="11" t="s">
        <v>276</v>
      </c>
      <c r="J2714" s="19" t="e">
        <f>VLOOKUP(Table2[[#This Row], [Author]],People!A:B,2,0)</f>
        <v>#VALUE!</v>
      </c>
      <c r="K2714" s="11" t="s">
        <v>3297</v>
      </c>
      <c r="L2714" s="11"/>
      <c r="M2714" s="20" t="s">
        <v>1613</v>
      </c>
    </row>
    <row r="2715" spans="1:13" ht="19.5" customHeight="1">
      <c r="A2715" s="21">
        <f t="shared" si="42"/>
        <v>2714</v>
      </c>
      <c r="B2715" s="13" t="s">
        <v>3295</v>
      </c>
      <c r="C2715" s="13" t="s">
        <v>98</v>
      </c>
      <c r="D2715" s="13" t="s">
        <v>4675</v>
      </c>
      <c r="E2715" s="13" t="s">
        <v>4676</v>
      </c>
      <c r="F2715" s="13" t="s">
        <v>4646</v>
      </c>
      <c r="G2715" s="13" t="s">
        <v>14</v>
      </c>
      <c r="H2715" s="22" t="str">
        <f>IFERROR(VLOOKUP(Table2[[#This Row], [Ticket]],Okey!A:B,2,0),"")</f>
        <v/>
      </c>
      <c r="I2715" s="13" t="s">
        <v>276</v>
      </c>
      <c r="J2715" s="22" t="e">
        <f>VLOOKUP(Table2[[#This Row], [Author]],People!A:B,2,0)</f>
        <v>#VALUE!</v>
      </c>
      <c r="K2715" s="13" t="s">
        <v>3297</v>
      </c>
      <c r="L2715" s="13"/>
      <c r="M2715" s="23" t="s">
        <v>1613</v>
      </c>
    </row>
    <row r="2716" spans="1:13" ht="19.5" customHeight="1">
      <c r="A2716" s="18">
        <f t="shared" si="42"/>
        <v>2715</v>
      </c>
      <c r="B2716" s="11" t="s">
        <v>3295</v>
      </c>
      <c r="C2716" s="11" t="s">
        <v>98</v>
      </c>
      <c r="D2716" s="11" t="s">
        <v>4677</v>
      </c>
      <c r="E2716" s="11" t="s">
        <v>4678</v>
      </c>
      <c r="F2716" s="11" t="s">
        <v>4650</v>
      </c>
      <c r="G2716" s="11" t="s">
        <v>14</v>
      </c>
      <c r="H2716" s="19" t="str">
        <f>IFERROR(VLOOKUP(Table2[[#This Row], [Ticket]],Okey!A:B,2,0),"")</f>
        <v/>
      </c>
      <c r="I2716" s="11" t="s">
        <v>276</v>
      </c>
      <c r="J2716" s="19" t="e">
        <f>VLOOKUP(Table2[[#This Row], [Author]],People!A:B,2,0)</f>
        <v>#VALUE!</v>
      </c>
      <c r="K2716" s="11" t="s">
        <v>3297</v>
      </c>
      <c r="L2716" s="11"/>
      <c r="M2716" s="20" t="s">
        <v>1613</v>
      </c>
    </row>
    <row r="2717" spans="1:13" ht="19.5" customHeight="1">
      <c r="A2717" s="21">
        <f t="shared" si="42"/>
        <v>2716</v>
      </c>
      <c r="B2717" s="13" t="s">
        <v>3295</v>
      </c>
      <c r="C2717" s="13" t="s">
        <v>98</v>
      </c>
      <c r="D2717" s="13" t="s">
        <v>4679</v>
      </c>
      <c r="E2717" s="13" t="s">
        <v>4680</v>
      </c>
      <c r="F2717" s="13" t="s">
        <v>4650</v>
      </c>
      <c r="G2717" s="13" t="s">
        <v>14</v>
      </c>
      <c r="H2717" s="22" t="str">
        <f>IFERROR(VLOOKUP(Table2[[#This Row], [Ticket]],Okey!A:B,2,0),"")</f>
        <v/>
      </c>
      <c r="I2717" s="13" t="s">
        <v>276</v>
      </c>
      <c r="J2717" s="22" t="e">
        <f>VLOOKUP(Table2[[#This Row], [Author]],People!A:B,2,0)</f>
        <v>#VALUE!</v>
      </c>
      <c r="K2717" s="13" t="s">
        <v>3297</v>
      </c>
      <c r="L2717" s="13"/>
      <c r="M2717" s="23" t="s">
        <v>1613</v>
      </c>
    </row>
    <row r="2718" spans="1:13" ht="19.5" customHeight="1">
      <c r="A2718" s="18">
        <f t="shared" si="42"/>
        <v>2717</v>
      </c>
      <c r="B2718" s="11" t="s">
        <v>3295</v>
      </c>
      <c r="C2718" s="11" t="s">
        <v>98</v>
      </c>
      <c r="D2718" s="11" t="s">
        <v>4681</v>
      </c>
      <c r="E2718" s="11" t="s">
        <v>4682</v>
      </c>
      <c r="F2718" s="11" t="s">
        <v>4652</v>
      </c>
      <c r="G2718" s="11" t="s">
        <v>14</v>
      </c>
      <c r="H2718" s="19" t="str">
        <f>IFERROR(VLOOKUP(Table2[[#This Row], [Ticket]],Okey!A:B,2,0),"")</f>
        <v/>
      </c>
      <c r="I2718" s="11" t="s">
        <v>276</v>
      </c>
      <c r="J2718" s="19" t="e">
        <f>VLOOKUP(Table2[[#This Row], [Author]],People!A:B,2,0)</f>
        <v>#VALUE!</v>
      </c>
      <c r="K2718" s="11" t="s">
        <v>3297</v>
      </c>
      <c r="L2718" s="11"/>
      <c r="M2718" s="20" t="s">
        <v>1613</v>
      </c>
    </row>
    <row r="2719" spans="1:13" ht="19.5" customHeight="1">
      <c r="A2719" s="21">
        <f t="shared" si="42"/>
        <v>2718</v>
      </c>
      <c r="B2719" s="13" t="s">
        <v>3295</v>
      </c>
      <c r="C2719" s="13" t="s">
        <v>98</v>
      </c>
      <c r="D2719" s="13" t="s">
        <v>4683</v>
      </c>
      <c r="E2719" s="13" t="s">
        <v>4684</v>
      </c>
      <c r="F2719" s="13" t="s">
        <v>4652</v>
      </c>
      <c r="G2719" s="13" t="s">
        <v>14</v>
      </c>
      <c r="H2719" s="22" t="str">
        <f>IFERROR(VLOOKUP(Table2[[#This Row], [Ticket]],Okey!A:B,2,0),"")</f>
        <v/>
      </c>
      <c r="I2719" s="13" t="s">
        <v>276</v>
      </c>
      <c r="J2719" s="22" t="e">
        <f>VLOOKUP(Table2[[#This Row], [Author]],People!A:B,2,0)</f>
        <v>#VALUE!</v>
      </c>
      <c r="K2719" s="13" t="s">
        <v>3297</v>
      </c>
      <c r="L2719" s="13"/>
      <c r="M2719" s="23" t="s">
        <v>1613</v>
      </c>
    </row>
    <row r="2720" spans="1:13" ht="19.5" customHeight="1">
      <c r="A2720" s="18">
        <f t="shared" si="42"/>
        <v>2719</v>
      </c>
      <c r="B2720" s="11" t="s">
        <v>3295</v>
      </c>
      <c r="C2720" s="11" t="s">
        <v>98</v>
      </c>
      <c r="D2720" s="11" t="s">
        <v>4685</v>
      </c>
      <c r="E2720" s="11" t="s">
        <v>4686</v>
      </c>
      <c r="F2720" s="11" t="s">
        <v>4654</v>
      </c>
      <c r="G2720" s="11" t="s">
        <v>14</v>
      </c>
      <c r="H2720" s="19" t="str">
        <f>IFERROR(VLOOKUP(Table2[[#This Row], [Ticket]],Okey!A:B,2,0),"")</f>
        <v/>
      </c>
      <c r="I2720" s="11" t="s">
        <v>276</v>
      </c>
      <c r="J2720" s="19" t="e">
        <f>VLOOKUP(Table2[[#This Row], [Author]],People!A:B,2,0)</f>
        <v>#VALUE!</v>
      </c>
      <c r="K2720" s="11" t="s">
        <v>3297</v>
      </c>
      <c r="L2720" s="11"/>
      <c r="M2720" s="20" t="s">
        <v>1613</v>
      </c>
    </row>
    <row r="2721" spans="1:13" ht="19.5" customHeight="1">
      <c r="A2721" s="21">
        <f t="shared" si="42"/>
        <v>2720</v>
      </c>
      <c r="B2721" s="13" t="s">
        <v>3295</v>
      </c>
      <c r="C2721" s="13" t="s">
        <v>98</v>
      </c>
      <c r="D2721" s="13" t="s">
        <v>4687</v>
      </c>
      <c r="E2721" s="13" t="s">
        <v>4688</v>
      </c>
      <c r="F2721" s="13" t="s">
        <v>4654</v>
      </c>
      <c r="G2721" s="13" t="s">
        <v>14</v>
      </c>
      <c r="H2721" s="22" t="str">
        <f>IFERROR(VLOOKUP(Table2[[#This Row], [Ticket]],Okey!A:B,2,0),"")</f>
        <v/>
      </c>
      <c r="I2721" s="13" t="s">
        <v>276</v>
      </c>
      <c r="J2721" s="22" t="e">
        <f>VLOOKUP(Table2[[#This Row], [Author]],People!A:B,2,0)</f>
        <v>#VALUE!</v>
      </c>
      <c r="K2721" s="13" t="s">
        <v>3297</v>
      </c>
      <c r="L2721" s="13"/>
      <c r="M2721" s="23" t="s">
        <v>1613</v>
      </c>
    </row>
    <row r="2722" spans="1:13" ht="19.5" customHeight="1">
      <c r="A2722" s="18">
        <f t="shared" si="42"/>
        <v>2721</v>
      </c>
      <c r="B2722" s="11" t="s">
        <v>3295</v>
      </c>
      <c r="C2722" s="11" t="s">
        <v>98</v>
      </c>
      <c r="D2722" s="11" t="s">
        <v>4689</v>
      </c>
      <c r="E2722" s="11" t="s">
        <v>4690</v>
      </c>
      <c r="F2722" s="11" t="s">
        <v>4648</v>
      </c>
      <c r="G2722" s="11" t="s">
        <v>14</v>
      </c>
      <c r="H2722" s="19" t="str">
        <f>IFERROR(VLOOKUP(Table2[[#This Row], [Ticket]],Okey!A:B,2,0),"")</f>
        <v/>
      </c>
      <c r="I2722" s="11" t="s">
        <v>276</v>
      </c>
      <c r="J2722" s="19" t="e">
        <f>VLOOKUP(Table2[[#This Row], [Author]],People!A:B,2,0)</f>
        <v>#VALUE!</v>
      </c>
      <c r="K2722" s="11" t="s">
        <v>3297</v>
      </c>
      <c r="L2722" s="11"/>
      <c r="M2722" s="20" t="s">
        <v>1613</v>
      </c>
    </row>
    <row r="2723" spans="1:13" ht="19.5" customHeight="1">
      <c r="A2723" s="21">
        <f t="shared" ref="A2723:A2782" si="43">1+A2722</f>
        <v>2722</v>
      </c>
      <c r="B2723" s="13" t="s">
        <v>3295</v>
      </c>
      <c r="C2723" s="13" t="s">
        <v>98</v>
      </c>
      <c r="D2723" s="13" t="s">
        <v>4691</v>
      </c>
      <c r="E2723" s="13" t="s">
        <v>4692</v>
      </c>
      <c r="F2723" s="13" t="s">
        <v>4648</v>
      </c>
      <c r="G2723" s="13" t="s">
        <v>14</v>
      </c>
      <c r="H2723" s="22" t="str">
        <f>IFERROR(VLOOKUP(Table2[[#This Row], [Ticket]],Okey!A:B,2,0),"")</f>
        <v/>
      </c>
      <c r="I2723" s="13" t="s">
        <v>276</v>
      </c>
      <c r="J2723" s="22" t="e">
        <f>VLOOKUP(Table2[[#This Row], [Author]],People!A:B,2,0)</f>
        <v>#VALUE!</v>
      </c>
      <c r="K2723" s="13" t="s">
        <v>3297</v>
      </c>
      <c r="L2723" s="13"/>
      <c r="M2723" s="23" t="s">
        <v>1613</v>
      </c>
    </row>
    <row r="2724" spans="1:13" ht="19.5" customHeight="1">
      <c r="A2724" s="18">
        <f t="shared" si="43"/>
        <v>2723</v>
      </c>
      <c r="B2724" s="11" t="s">
        <v>3295</v>
      </c>
      <c r="C2724" s="11" t="s">
        <v>98</v>
      </c>
      <c r="D2724" s="11" t="s">
        <v>4693</v>
      </c>
      <c r="E2724" s="11" t="s">
        <v>4694</v>
      </c>
      <c r="F2724" s="11" t="s">
        <v>2427</v>
      </c>
      <c r="G2724" s="11" t="s">
        <v>14</v>
      </c>
      <c r="H2724" s="19" t="str">
        <f>IFERROR(VLOOKUP(Table2[[#This Row], [Ticket]],Okey!A:B,2,0),"")</f>
        <v/>
      </c>
      <c r="I2724" s="11" t="s">
        <v>276</v>
      </c>
      <c r="J2724" s="19" t="e">
        <f>VLOOKUP(Table2[[#This Row], [Author]],People!A:B,2,0)</f>
        <v>#VALUE!</v>
      </c>
      <c r="K2724" s="11" t="s">
        <v>3297</v>
      </c>
      <c r="L2724" s="11"/>
      <c r="M2724" s="20" t="s">
        <v>1613</v>
      </c>
    </row>
    <row r="2725" spans="1:13" ht="19.5" customHeight="1">
      <c r="A2725" s="21">
        <f t="shared" si="43"/>
        <v>2724</v>
      </c>
      <c r="B2725" s="13" t="s">
        <v>3295</v>
      </c>
      <c r="C2725" s="13" t="s">
        <v>98</v>
      </c>
      <c r="D2725" s="13" t="s">
        <v>4695</v>
      </c>
      <c r="E2725" s="13" t="s">
        <v>4696</v>
      </c>
      <c r="F2725" s="13" t="s">
        <v>2427</v>
      </c>
      <c r="G2725" s="13" t="s">
        <v>14</v>
      </c>
      <c r="H2725" s="22" t="str">
        <f>IFERROR(VLOOKUP(Table2[[#This Row], [Ticket]],Okey!A:B,2,0),"")</f>
        <v/>
      </c>
      <c r="I2725" s="13" t="s">
        <v>276</v>
      </c>
      <c r="J2725" s="22" t="e">
        <f>VLOOKUP(Table2[[#This Row], [Author]],People!A:B,2,0)</f>
        <v>#VALUE!</v>
      </c>
      <c r="K2725" s="13" t="s">
        <v>3297</v>
      </c>
      <c r="L2725" s="13"/>
      <c r="M2725" s="23" t="s">
        <v>1613</v>
      </c>
    </row>
    <row r="2726" spans="1:13" ht="19.5" customHeight="1">
      <c r="A2726" s="18">
        <f t="shared" si="43"/>
        <v>2725</v>
      </c>
      <c r="B2726" s="11" t="s">
        <v>3295</v>
      </c>
      <c r="C2726" s="11" t="s">
        <v>98</v>
      </c>
      <c r="D2726" s="11" t="s">
        <v>4697</v>
      </c>
      <c r="E2726" s="11" t="s">
        <v>4698</v>
      </c>
      <c r="F2726" s="11" t="s">
        <v>2427</v>
      </c>
      <c r="G2726" s="11" t="s">
        <v>14</v>
      </c>
      <c r="H2726" s="19" t="str">
        <f>IFERROR(VLOOKUP(Table2[[#This Row], [Ticket]],Okey!A:B,2,0),"")</f>
        <v/>
      </c>
      <c r="I2726" s="11" t="s">
        <v>276</v>
      </c>
      <c r="J2726" s="19" t="e">
        <f>VLOOKUP(Table2[[#This Row], [Author]],People!A:B,2,0)</f>
        <v>#VALUE!</v>
      </c>
      <c r="K2726" s="11" t="s">
        <v>3297</v>
      </c>
      <c r="L2726" s="11"/>
      <c r="M2726" s="20" t="s">
        <v>1613</v>
      </c>
    </row>
    <row r="2727" spans="1:13" ht="19.5" customHeight="1">
      <c r="A2727" s="21">
        <f t="shared" si="43"/>
        <v>2726</v>
      </c>
      <c r="B2727" s="13" t="s">
        <v>3295</v>
      </c>
      <c r="C2727" s="13" t="s">
        <v>98</v>
      </c>
      <c r="D2727" s="13" t="s">
        <v>4699</v>
      </c>
      <c r="E2727" s="13" t="s">
        <v>4700</v>
      </c>
      <c r="F2727" s="13" t="s">
        <v>2427</v>
      </c>
      <c r="G2727" s="13" t="s">
        <v>14</v>
      </c>
      <c r="H2727" s="22" t="str">
        <f>IFERROR(VLOOKUP(Table2[[#This Row], [Ticket]],Okey!A:B,2,0),"")</f>
        <v/>
      </c>
      <c r="I2727" s="13" t="s">
        <v>276</v>
      </c>
      <c r="J2727" s="22" t="e">
        <f>VLOOKUP(Table2[[#This Row], [Author]],People!A:B,2,0)</f>
        <v>#VALUE!</v>
      </c>
      <c r="K2727" s="13" t="s">
        <v>3297</v>
      </c>
      <c r="L2727" s="13"/>
      <c r="M2727" s="23" t="s">
        <v>1613</v>
      </c>
    </row>
    <row r="2728" spans="1:13" ht="19.5" customHeight="1">
      <c r="A2728" s="18">
        <f t="shared" si="43"/>
        <v>2727</v>
      </c>
      <c r="B2728" s="11" t="s">
        <v>3295</v>
      </c>
      <c r="C2728" s="11" t="s">
        <v>98</v>
      </c>
      <c r="D2728" s="11" t="s">
        <v>4701</v>
      </c>
      <c r="E2728" s="11" t="s">
        <v>4702</v>
      </c>
      <c r="F2728" s="11" t="s">
        <v>2427</v>
      </c>
      <c r="G2728" s="11" t="s">
        <v>14</v>
      </c>
      <c r="H2728" s="19" t="str">
        <f>IFERROR(VLOOKUP(Table2[[#This Row], [Ticket]],Okey!A:B,2,0),"")</f>
        <v/>
      </c>
      <c r="I2728" s="11" t="s">
        <v>276</v>
      </c>
      <c r="J2728" s="19" t="e">
        <f>VLOOKUP(Table2[[#This Row], [Author]],People!A:B,2,0)</f>
        <v>#VALUE!</v>
      </c>
      <c r="K2728" s="11" t="s">
        <v>3297</v>
      </c>
      <c r="L2728" s="11"/>
      <c r="M2728" s="20" t="s">
        <v>1613</v>
      </c>
    </row>
    <row r="2729" spans="1:13" ht="19.5" customHeight="1">
      <c r="A2729" s="21">
        <f t="shared" si="43"/>
        <v>2728</v>
      </c>
      <c r="B2729" s="13" t="s">
        <v>3295</v>
      </c>
      <c r="C2729" s="13" t="s">
        <v>98</v>
      </c>
      <c r="D2729" s="13" t="s">
        <v>4703</v>
      </c>
      <c r="E2729" s="13" t="s">
        <v>4704</v>
      </c>
      <c r="F2729" s="13" t="s">
        <v>2625</v>
      </c>
      <c r="G2729" s="13" t="s">
        <v>14</v>
      </c>
      <c r="H2729" s="22" t="str">
        <f>IFERROR(VLOOKUP(Table2[[#This Row], [Ticket]],Okey!A:B,2,0),"")</f>
        <v/>
      </c>
      <c r="I2729" s="13" t="s">
        <v>276</v>
      </c>
      <c r="J2729" s="22" t="e">
        <f>VLOOKUP(Table2[[#This Row], [Author]],People!A:B,2,0)</f>
        <v>#VALUE!</v>
      </c>
      <c r="K2729" s="13" t="s">
        <v>3297</v>
      </c>
      <c r="L2729" s="13"/>
      <c r="M2729" s="23" t="s">
        <v>1613</v>
      </c>
    </row>
    <row r="2730" spans="1:13" ht="19.5" customHeight="1">
      <c r="A2730" s="18">
        <f t="shared" si="43"/>
        <v>2729</v>
      </c>
      <c r="B2730" s="11" t="s">
        <v>3295</v>
      </c>
      <c r="C2730" s="11" t="s">
        <v>98</v>
      </c>
      <c r="D2730" s="11" t="s">
        <v>4705</v>
      </c>
      <c r="E2730" s="11" t="s">
        <v>4706</v>
      </c>
      <c r="F2730" s="11" t="s">
        <v>2625</v>
      </c>
      <c r="G2730" s="11" t="s">
        <v>14</v>
      </c>
      <c r="H2730" s="19" t="str">
        <f>IFERROR(VLOOKUP(Table2[[#This Row], [Ticket]],Okey!A:B,2,0),"")</f>
        <v/>
      </c>
      <c r="I2730" s="11" t="s">
        <v>276</v>
      </c>
      <c r="J2730" s="19" t="e">
        <f>VLOOKUP(Table2[[#This Row], [Author]],People!A:B,2,0)</f>
        <v>#VALUE!</v>
      </c>
      <c r="K2730" s="11" t="s">
        <v>3297</v>
      </c>
      <c r="L2730" s="11"/>
      <c r="M2730" s="20" t="s">
        <v>1613</v>
      </c>
    </row>
    <row r="2731" spans="1:13" ht="19.5" customHeight="1">
      <c r="A2731" s="21">
        <f t="shared" si="43"/>
        <v>2730</v>
      </c>
      <c r="B2731" s="13" t="s">
        <v>3295</v>
      </c>
      <c r="C2731" s="13" t="s">
        <v>98</v>
      </c>
      <c r="D2731" s="13" t="s">
        <v>4707</v>
      </c>
      <c r="E2731" s="13" t="s">
        <v>4708</v>
      </c>
      <c r="F2731" s="13" t="s">
        <v>2625</v>
      </c>
      <c r="G2731" s="13" t="s">
        <v>14</v>
      </c>
      <c r="H2731" s="22" t="str">
        <f>IFERROR(VLOOKUP(Table2[[#This Row], [Ticket]],Okey!A:B,2,0),"")</f>
        <v/>
      </c>
      <c r="I2731" s="13" t="s">
        <v>276</v>
      </c>
      <c r="J2731" s="22" t="e">
        <f>VLOOKUP(Table2[[#This Row], [Author]],People!A:B,2,0)</f>
        <v>#VALUE!</v>
      </c>
      <c r="K2731" s="13" t="s">
        <v>3297</v>
      </c>
      <c r="L2731" s="13"/>
      <c r="M2731" s="23" t="s">
        <v>1613</v>
      </c>
    </row>
    <row r="2732" spans="1:13" ht="19.5" customHeight="1">
      <c r="A2732" s="18">
        <f t="shared" si="43"/>
        <v>2731</v>
      </c>
      <c r="B2732" s="11" t="s">
        <v>3295</v>
      </c>
      <c r="C2732" s="11" t="s">
        <v>98</v>
      </c>
      <c r="D2732" s="11" t="s">
        <v>4709</v>
      </c>
      <c r="E2732" s="11" t="s">
        <v>4710</v>
      </c>
      <c r="F2732" s="11" t="s">
        <v>2625</v>
      </c>
      <c r="G2732" s="11" t="s">
        <v>14</v>
      </c>
      <c r="H2732" s="19" t="str">
        <f>IFERROR(VLOOKUP(Table2[[#This Row], [Ticket]],Okey!A:B,2,0),"")</f>
        <v/>
      </c>
      <c r="I2732" s="11" t="s">
        <v>276</v>
      </c>
      <c r="J2732" s="19" t="e">
        <f>VLOOKUP(Table2[[#This Row], [Author]],People!A:B,2,0)</f>
        <v>#VALUE!</v>
      </c>
      <c r="K2732" s="11" t="s">
        <v>3297</v>
      </c>
      <c r="L2732" s="11"/>
      <c r="M2732" s="20" t="s">
        <v>1613</v>
      </c>
    </row>
    <row r="2733" spans="1:13" ht="19.5" customHeight="1">
      <c r="A2733" s="21">
        <f t="shared" si="43"/>
        <v>2732</v>
      </c>
      <c r="B2733" s="13" t="s">
        <v>3295</v>
      </c>
      <c r="C2733" s="13" t="s">
        <v>98</v>
      </c>
      <c r="D2733" s="13" t="s">
        <v>4711</v>
      </c>
      <c r="E2733" s="13" t="s">
        <v>4712</v>
      </c>
      <c r="F2733" s="13" t="s">
        <v>2625</v>
      </c>
      <c r="G2733" s="13" t="s">
        <v>14</v>
      </c>
      <c r="H2733" s="22" t="str">
        <f>IFERROR(VLOOKUP(Table2[[#This Row], [Ticket]],Okey!A:B,2,0),"")</f>
        <v/>
      </c>
      <c r="I2733" s="13" t="s">
        <v>276</v>
      </c>
      <c r="J2733" s="22" t="e">
        <f>VLOOKUP(Table2[[#This Row], [Author]],People!A:B,2,0)</f>
        <v>#VALUE!</v>
      </c>
      <c r="K2733" s="13" t="s">
        <v>3297</v>
      </c>
      <c r="L2733" s="13"/>
      <c r="M2733" s="23" t="s">
        <v>1613</v>
      </c>
    </row>
    <row r="2734" spans="1:13" ht="19.5" customHeight="1">
      <c r="A2734" s="18">
        <f t="shared" si="43"/>
        <v>2733</v>
      </c>
      <c r="B2734" s="11" t="s">
        <v>3295</v>
      </c>
      <c r="C2734" s="11" t="s">
        <v>98</v>
      </c>
      <c r="D2734" s="11" t="s">
        <v>4713</v>
      </c>
      <c r="E2734" s="11" t="s">
        <v>4714</v>
      </c>
      <c r="F2734" s="11" t="s">
        <v>2625</v>
      </c>
      <c r="G2734" s="11" t="s">
        <v>14</v>
      </c>
      <c r="H2734" s="19" t="str">
        <f>IFERROR(VLOOKUP(Table2[[#This Row], [Ticket]],Okey!A:B,2,0),"")</f>
        <v/>
      </c>
      <c r="I2734" s="11" t="s">
        <v>276</v>
      </c>
      <c r="J2734" s="19" t="e">
        <f>VLOOKUP(Table2[[#This Row], [Author]],People!A:B,2,0)</f>
        <v>#VALUE!</v>
      </c>
      <c r="K2734" s="11" t="s">
        <v>3297</v>
      </c>
      <c r="L2734" s="11"/>
      <c r="M2734" s="20" t="s">
        <v>1613</v>
      </c>
    </row>
    <row r="2735" spans="1:13" ht="19.5" customHeight="1">
      <c r="A2735" s="21">
        <f t="shared" si="43"/>
        <v>2734</v>
      </c>
      <c r="B2735" s="13" t="s">
        <v>3295</v>
      </c>
      <c r="C2735" s="13" t="s">
        <v>98</v>
      </c>
      <c r="D2735" s="13" t="s">
        <v>4715</v>
      </c>
      <c r="E2735" s="13" t="s">
        <v>4716</v>
      </c>
      <c r="F2735" s="13" t="s">
        <v>2625</v>
      </c>
      <c r="G2735" s="13" t="s">
        <v>14</v>
      </c>
      <c r="H2735" s="22" t="str">
        <f>IFERROR(VLOOKUP(Table2[[#This Row], [Ticket]],Okey!A:B,2,0),"")</f>
        <v/>
      </c>
      <c r="I2735" s="13" t="s">
        <v>276</v>
      </c>
      <c r="J2735" s="22" t="e">
        <f>VLOOKUP(Table2[[#This Row], [Author]],People!A:B,2,0)</f>
        <v>#VALUE!</v>
      </c>
      <c r="K2735" s="13" t="s">
        <v>3297</v>
      </c>
      <c r="L2735" s="13"/>
      <c r="M2735" s="23" t="s">
        <v>1613</v>
      </c>
    </row>
    <row r="2736" spans="1:13" ht="19.5" customHeight="1">
      <c r="A2736" s="18">
        <f t="shared" si="43"/>
        <v>2735</v>
      </c>
      <c r="B2736" s="11" t="s">
        <v>3295</v>
      </c>
      <c r="C2736" s="11" t="s">
        <v>98</v>
      </c>
      <c r="D2736" s="11" t="s">
        <v>4717</v>
      </c>
      <c r="E2736" s="11" t="s">
        <v>4718</v>
      </c>
      <c r="F2736" s="11" t="s">
        <v>2625</v>
      </c>
      <c r="G2736" s="11" t="s">
        <v>14</v>
      </c>
      <c r="H2736" s="19" t="str">
        <f>IFERROR(VLOOKUP(Table2[[#This Row], [Ticket]],Okey!A:B,2,0),"")</f>
        <v/>
      </c>
      <c r="I2736" s="11" t="s">
        <v>276</v>
      </c>
      <c r="J2736" s="19" t="e">
        <f>VLOOKUP(Table2[[#This Row], [Author]],People!A:B,2,0)</f>
        <v>#VALUE!</v>
      </c>
      <c r="K2736" s="11" t="s">
        <v>3297</v>
      </c>
      <c r="L2736" s="11"/>
      <c r="M2736" s="20" t="s">
        <v>1613</v>
      </c>
    </row>
    <row r="2737" spans="1:13" ht="19.5" customHeight="1">
      <c r="A2737" s="21">
        <f t="shared" si="43"/>
        <v>2736</v>
      </c>
      <c r="B2737" s="13" t="s">
        <v>3295</v>
      </c>
      <c r="C2737" s="13" t="s">
        <v>98</v>
      </c>
      <c r="D2737" s="13" t="s">
        <v>4719</v>
      </c>
      <c r="E2737" s="13" t="s">
        <v>4720</v>
      </c>
      <c r="F2737" s="13" t="s">
        <v>4721</v>
      </c>
      <c r="G2737" s="13" t="s">
        <v>14</v>
      </c>
      <c r="H2737" s="22" t="str">
        <f>IFERROR(VLOOKUP(Table2[[#This Row], [Ticket]],Okey!A:B,2,0),"")</f>
        <v/>
      </c>
      <c r="I2737" s="13" t="s">
        <v>276</v>
      </c>
      <c r="J2737" s="22" t="e">
        <f>VLOOKUP(Table2[[#This Row], [Author]],People!A:B,2,0)</f>
        <v>#VALUE!</v>
      </c>
      <c r="K2737" s="13" t="s">
        <v>3297</v>
      </c>
      <c r="L2737" s="13"/>
      <c r="M2737" s="23" t="s">
        <v>1613</v>
      </c>
    </row>
    <row r="2738" spans="1:13" ht="19.5" customHeight="1">
      <c r="A2738" s="18">
        <f t="shared" si="43"/>
        <v>2737</v>
      </c>
      <c r="B2738" s="11" t="s">
        <v>3295</v>
      </c>
      <c r="C2738" s="11" t="s">
        <v>98</v>
      </c>
      <c r="D2738" s="11" t="s">
        <v>4722</v>
      </c>
      <c r="E2738" s="11" t="s">
        <v>4723</v>
      </c>
      <c r="F2738" s="11" t="s">
        <v>3170</v>
      </c>
      <c r="G2738" s="11" t="s">
        <v>14</v>
      </c>
      <c r="H2738" s="19" t="str">
        <f>IFERROR(VLOOKUP(Table2[[#This Row], [Ticket]],Okey!A:B,2,0),"")</f>
        <v/>
      </c>
      <c r="I2738" s="11" t="s">
        <v>276</v>
      </c>
      <c r="J2738" s="19" t="e">
        <f>VLOOKUP(Table2[[#This Row], [Author]],People!A:B,2,0)</f>
        <v>#VALUE!</v>
      </c>
      <c r="K2738" s="11" t="s">
        <v>3297</v>
      </c>
      <c r="L2738" s="11"/>
      <c r="M2738" s="20" t="s">
        <v>1613</v>
      </c>
    </row>
    <row r="2739" spans="1:13" ht="19.5" customHeight="1">
      <c r="A2739" s="21">
        <f t="shared" si="43"/>
        <v>2738</v>
      </c>
      <c r="B2739" s="13" t="s">
        <v>3295</v>
      </c>
      <c r="C2739" s="13" t="s">
        <v>98</v>
      </c>
      <c r="D2739" s="13" t="s">
        <v>4656</v>
      </c>
      <c r="E2739" s="13" t="s">
        <v>4724</v>
      </c>
      <c r="F2739" s="13" t="s">
        <v>2688</v>
      </c>
      <c r="G2739" s="13" t="s">
        <v>14</v>
      </c>
      <c r="H2739" s="22" t="str">
        <f>IFERROR(VLOOKUP(Table2[[#This Row], [Ticket]],Okey!A:B,2,0),"")</f>
        <v/>
      </c>
      <c r="I2739" s="13" t="s">
        <v>276</v>
      </c>
      <c r="J2739" s="22" t="e">
        <f>VLOOKUP(Table2[[#This Row], [Author]],People!A:B,2,0)</f>
        <v>#VALUE!</v>
      </c>
      <c r="K2739" s="13" t="s">
        <v>3297</v>
      </c>
      <c r="L2739" s="13"/>
      <c r="M2739" s="23" t="s">
        <v>1613</v>
      </c>
    </row>
    <row r="2740" spans="1:13" ht="19.5" customHeight="1">
      <c r="A2740" s="18">
        <f t="shared" si="43"/>
        <v>2739</v>
      </c>
      <c r="B2740" s="11" t="s">
        <v>3295</v>
      </c>
      <c r="C2740" s="11" t="s">
        <v>98</v>
      </c>
      <c r="D2740" s="11" t="s">
        <v>4725</v>
      </c>
      <c r="E2740" s="11" t="s">
        <v>4726</v>
      </c>
      <c r="F2740" s="11" t="s">
        <v>4656</v>
      </c>
      <c r="G2740" s="11" t="s">
        <v>14</v>
      </c>
      <c r="H2740" s="19" t="str">
        <f>IFERROR(VLOOKUP(Table2[[#This Row], [Ticket]],Okey!A:B,2,0),"")</f>
        <v/>
      </c>
      <c r="I2740" s="11" t="s">
        <v>276</v>
      </c>
      <c r="J2740" s="19" t="e">
        <f>VLOOKUP(Table2[[#This Row], [Author]],People!A:B,2,0)</f>
        <v>#VALUE!</v>
      </c>
      <c r="K2740" s="11" t="s">
        <v>3297</v>
      </c>
      <c r="L2740" s="11"/>
      <c r="M2740" s="20" t="s">
        <v>1613</v>
      </c>
    </row>
    <row r="2741" spans="1:13" ht="19.5" customHeight="1">
      <c r="A2741" s="21">
        <f t="shared" si="43"/>
        <v>2740</v>
      </c>
      <c r="B2741" s="13" t="s">
        <v>3295</v>
      </c>
      <c r="C2741" s="13" t="s">
        <v>98</v>
      </c>
      <c r="D2741" s="13" t="s">
        <v>4727</v>
      </c>
      <c r="E2741" s="13" t="s">
        <v>4728</v>
      </c>
      <c r="F2741" s="13" t="s">
        <v>4656</v>
      </c>
      <c r="G2741" s="13" t="s">
        <v>14</v>
      </c>
      <c r="H2741" s="22" t="str">
        <f>IFERROR(VLOOKUP(Table2[[#This Row], [Ticket]],Okey!A:B,2,0),"")</f>
        <v/>
      </c>
      <c r="I2741" s="13" t="s">
        <v>276</v>
      </c>
      <c r="J2741" s="22" t="e">
        <f>VLOOKUP(Table2[[#This Row], [Author]],People!A:B,2,0)</f>
        <v>#VALUE!</v>
      </c>
      <c r="K2741" s="13" t="s">
        <v>3297</v>
      </c>
      <c r="L2741" s="13"/>
      <c r="M2741" s="23" t="s">
        <v>1613</v>
      </c>
    </row>
    <row r="2742" spans="1:13" ht="19.5" customHeight="1">
      <c r="A2742" s="18">
        <f t="shared" si="43"/>
        <v>2741</v>
      </c>
      <c r="B2742" s="11" t="s">
        <v>3295</v>
      </c>
      <c r="C2742" s="11" t="s">
        <v>98</v>
      </c>
      <c r="D2742" s="11" t="s">
        <v>4729</v>
      </c>
      <c r="E2742" s="11" t="s">
        <v>4730</v>
      </c>
      <c r="F2742" s="11" t="s">
        <v>2688</v>
      </c>
      <c r="G2742" s="11" t="s">
        <v>14</v>
      </c>
      <c r="H2742" s="19" t="str">
        <f>IFERROR(VLOOKUP(Table2[[#This Row], [Ticket]],Okey!A:B,2,0),"")</f>
        <v/>
      </c>
      <c r="I2742" s="11" t="s">
        <v>276</v>
      </c>
      <c r="J2742" s="19" t="e">
        <f>VLOOKUP(Table2[[#This Row], [Author]],People!A:B,2,0)</f>
        <v>#VALUE!</v>
      </c>
      <c r="K2742" s="11" t="s">
        <v>3297</v>
      </c>
      <c r="L2742" s="11"/>
      <c r="M2742" s="20" t="s">
        <v>1613</v>
      </c>
    </row>
    <row r="2743" spans="1:13" ht="19.5" customHeight="1">
      <c r="A2743" s="21">
        <f t="shared" si="43"/>
        <v>2742</v>
      </c>
      <c r="B2743" s="13" t="s">
        <v>3295</v>
      </c>
      <c r="C2743" s="13" t="s">
        <v>98</v>
      </c>
      <c r="D2743" s="13" t="s">
        <v>4731</v>
      </c>
      <c r="E2743" s="13" t="s">
        <v>4732</v>
      </c>
      <c r="F2743" s="13" t="s">
        <v>4729</v>
      </c>
      <c r="G2743" s="13" t="s">
        <v>14</v>
      </c>
      <c r="H2743" s="22" t="str">
        <f>IFERROR(VLOOKUP(Table2[[#This Row], [Ticket]],Okey!A:B,2,0),"")</f>
        <v/>
      </c>
      <c r="I2743" s="13" t="s">
        <v>276</v>
      </c>
      <c r="J2743" s="22" t="e">
        <f>VLOOKUP(Table2[[#This Row], [Author]],People!A:B,2,0)</f>
        <v>#VALUE!</v>
      </c>
      <c r="K2743" s="13" t="s">
        <v>3297</v>
      </c>
      <c r="L2743" s="13"/>
      <c r="M2743" s="23" t="s">
        <v>1613</v>
      </c>
    </row>
    <row r="2744" spans="1:13" ht="19.5" customHeight="1">
      <c r="A2744" s="18">
        <f t="shared" si="43"/>
        <v>2743</v>
      </c>
      <c r="B2744" s="11" t="s">
        <v>3295</v>
      </c>
      <c r="C2744" s="11" t="s">
        <v>98</v>
      </c>
      <c r="D2744" s="11" t="s">
        <v>4733</v>
      </c>
      <c r="E2744" s="11"/>
      <c r="F2744" s="11"/>
      <c r="G2744" s="11" t="s">
        <v>12</v>
      </c>
      <c r="H2744" s="19" t="str">
        <f>IFERROR(VLOOKUP(Table2[[#This Row], [Ticket]],Okey!A:B,2,0),"")</f>
        <v/>
      </c>
      <c r="I2744" s="11" t="s">
        <v>276</v>
      </c>
      <c r="J2744" s="19" t="e">
        <f>VLOOKUP(Table2[[#This Row], [Author]],People!A:B,2,0)</f>
        <v>#VALUE!</v>
      </c>
      <c r="K2744" s="11" t="s">
        <v>3297</v>
      </c>
      <c r="L2744" s="11"/>
      <c r="M2744" s="20" t="s">
        <v>1613</v>
      </c>
    </row>
    <row r="2745" spans="1:13" ht="19.5" customHeight="1">
      <c r="A2745" s="21">
        <f t="shared" si="43"/>
        <v>2744</v>
      </c>
      <c r="B2745" s="13" t="s">
        <v>3295</v>
      </c>
      <c r="C2745" s="13" t="s">
        <v>98</v>
      </c>
      <c r="D2745" s="13" t="s">
        <v>4734</v>
      </c>
      <c r="E2745" s="13"/>
      <c r="F2745" s="13"/>
      <c r="G2745" s="13" t="s">
        <v>12</v>
      </c>
      <c r="H2745" s="22" t="str">
        <f>IFERROR(VLOOKUP(Table2[[#This Row], [Ticket]],Okey!A:B,2,0),"")</f>
        <v/>
      </c>
      <c r="I2745" s="13" t="s">
        <v>276</v>
      </c>
      <c r="J2745" s="22" t="e">
        <f>VLOOKUP(Table2[[#This Row], [Author]],People!A:B,2,0)</f>
        <v>#VALUE!</v>
      </c>
      <c r="K2745" s="13" t="s">
        <v>3297</v>
      </c>
      <c r="L2745" s="13"/>
      <c r="M2745" s="23" t="s">
        <v>1613</v>
      </c>
    </row>
    <row r="2746" spans="1:13" ht="19.5" customHeight="1">
      <c r="A2746" s="18">
        <f t="shared" si="43"/>
        <v>2745</v>
      </c>
      <c r="B2746" s="11" t="s">
        <v>3295</v>
      </c>
      <c r="C2746" s="11" t="s">
        <v>98</v>
      </c>
      <c r="D2746" s="11" t="s">
        <v>4735</v>
      </c>
      <c r="E2746" s="11"/>
      <c r="F2746" s="11"/>
      <c r="G2746" s="11" t="s">
        <v>12</v>
      </c>
      <c r="H2746" s="19" t="str">
        <f>IFERROR(VLOOKUP(Table2[[#This Row], [Ticket]],Okey!A:B,2,0),"")</f>
        <v/>
      </c>
      <c r="I2746" s="11" t="s">
        <v>276</v>
      </c>
      <c r="J2746" s="19" t="e">
        <f>VLOOKUP(Table2[[#This Row], [Author]],People!A:B,2,0)</f>
        <v>#VALUE!</v>
      </c>
      <c r="K2746" s="11" t="s">
        <v>3297</v>
      </c>
      <c r="L2746" s="11"/>
      <c r="M2746" s="20" t="s">
        <v>1613</v>
      </c>
    </row>
    <row r="2747" spans="1:13" ht="19.5" customHeight="1">
      <c r="A2747" s="21">
        <f t="shared" si="43"/>
        <v>2746</v>
      </c>
      <c r="B2747" s="13" t="s">
        <v>3295</v>
      </c>
      <c r="C2747" s="13" t="s">
        <v>98</v>
      </c>
      <c r="D2747" s="13" t="s">
        <v>4736</v>
      </c>
      <c r="E2747" s="13"/>
      <c r="F2747" s="13"/>
      <c r="G2747" s="13" t="s">
        <v>12</v>
      </c>
      <c r="H2747" s="22" t="str">
        <f>IFERROR(VLOOKUP(Table2[[#This Row], [Ticket]],Okey!A:B,2,0),"")</f>
        <v/>
      </c>
      <c r="I2747" s="13" t="s">
        <v>276</v>
      </c>
      <c r="J2747" s="22" t="e">
        <f>VLOOKUP(Table2[[#This Row], [Author]],People!A:B,2,0)</f>
        <v>#VALUE!</v>
      </c>
      <c r="K2747" s="13" t="s">
        <v>3297</v>
      </c>
      <c r="L2747" s="13"/>
      <c r="M2747" s="23" t="s">
        <v>1613</v>
      </c>
    </row>
    <row r="2748" spans="1:13" ht="19.5" customHeight="1">
      <c r="A2748" s="18">
        <f t="shared" si="43"/>
        <v>2747</v>
      </c>
      <c r="B2748" s="11" t="s">
        <v>3295</v>
      </c>
      <c r="C2748" s="11" t="s">
        <v>98</v>
      </c>
      <c r="D2748" s="11" t="s">
        <v>4737</v>
      </c>
      <c r="E2748" s="11"/>
      <c r="F2748" s="11"/>
      <c r="G2748" s="11" t="s">
        <v>12</v>
      </c>
      <c r="H2748" s="19" t="str">
        <f>IFERROR(VLOOKUP(Table2[[#This Row], [Ticket]],Okey!A:B,2,0),"")</f>
        <v/>
      </c>
      <c r="I2748" s="11" t="s">
        <v>276</v>
      </c>
      <c r="J2748" s="19" t="e">
        <f>VLOOKUP(Table2[[#This Row], [Author]],People!A:B,2,0)</f>
        <v>#VALUE!</v>
      </c>
      <c r="K2748" s="11" t="s">
        <v>3297</v>
      </c>
      <c r="L2748" s="11"/>
      <c r="M2748" s="20" t="s">
        <v>1613</v>
      </c>
    </row>
    <row r="2749" spans="1:13" ht="19.5" customHeight="1">
      <c r="A2749" s="21">
        <f t="shared" si="43"/>
        <v>2748</v>
      </c>
      <c r="B2749" s="13" t="s">
        <v>3295</v>
      </c>
      <c r="C2749" s="13" t="s">
        <v>98</v>
      </c>
      <c r="D2749" s="13" t="s">
        <v>4738</v>
      </c>
      <c r="E2749" s="13"/>
      <c r="F2749" s="13"/>
      <c r="G2749" s="13" t="s">
        <v>12</v>
      </c>
      <c r="H2749" s="22" t="str">
        <f>IFERROR(VLOOKUP(Table2[[#This Row], [Ticket]],Okey!A:B,2,0),"")</f>
        <v/>
      </c>
      <c r="I2749" s="13" t="s">
        <v>276</v>
      </c>
      <c r="J2749" s="22" t="e">
        <f>VLOOKUP(Table2[[#This Row], [Author]],People!A:B,2,0)</f>
        <v>#VALUE!</v>
      </c>
      <c r="K2749" s="13" t="s">
        <v>3297</v>
      </c>
      <c r="L2749" s="13"/>
      <c r="M2749" s="23" t="s">
        <v>1613</v>
      </c>
    </row>
    <row r="2750" spans="1:13" ht="19.5" customHeight="1">
      <c r="A2750" s="18">
        <f t="shared" si="43"/>
        <v>2749</v>
      </c>
      <c r="B2750" s="11" t="s">
        <v>3295</v>
      </c>
      <c r="C2750" s="11" t="s">
        <v>98</v>
      </c>
      <c r="D2750" s="11" t="s">
        <v>4739</v>
      </c>
      <c r="E2750" s="11"/>
      <c r="F2750" s="11"/>
      <c r="G2750" s="11" t="s">
        <v>12</v>
      </c>
      <c r="H2750" s="19" t="str">
        <f>IFERROR(VLOOKUP(Table2[[#This Row], [Ticket]],Okey!A:B,2,0),"")</f>
        <v/>
      </c>
      <c r="I2750" s="11" t="s">
        <v>276</v>
      </c>
      <c r="J2750" s="19" t="e">
        <f>VLOOKUP(Table2[[#This Row], [Author]],People!A:B,2,0)</f>
        <v>#VALUE!</v>
      </c>
      <c r="K2750" s="11" t="s">
        <v>3297</v>
      </c>
      <c r="L2750" s="11"/>
      <c r="M2750" s="20" t="s">
        <v>1613</v>
      </c>
    </row>
    <row r="2751" spans="1:13" ht="19.5" customHeight="1">
      <c r="A2751" s="21">
        <f t="shared" si="43"/>
        <v>2750</v>
      </c>
      <c r="B2751" s="13" t="s">
        <v>3295</v>
      </c>
      <c r="C2751" s="13" t="s">
        <v>98</v>
      </c>
      <c r="D2751" s="13" t="s">
        <v>1616</v>
      </c>
      <c r="E2751" s="13"/>
      <c r="F2751" s="13"/>
      <c r="G2751" s="13" t="s">
        <v>12</v>
      </c>
      <c r="H2751" s="22" t="str">
        <f>IFERROR(VLOOKUP(Table2[[#This Row], [Ticket]],Okey!A:B,2,0),"")</f>
        <v/>
      </c>
      <c r="I2751" s="13" t="s">
        <v>276</v>
      </c>
      <c r="J2751" s="22" t="e">
        <f>VLOOKUP(Table2[[#This Row], [Author]],People!A:B,2,0)</f>
        <v>#VALUE!</v>
      </c>
      <c r="K2751" s="13" t="s">
        <v>3297</v>
      </c>
      <c r="L2751" s="13"/>
      <c r="M2751" s="23" t="s">
        <v>1613</v>
      </c>
    </row>
    <row r="2752" spans="1:13" ht="19.5" customHeight="1">
      <c r="A2752" s="18">
        <f t="shared" si="43"/>
        <v>2751</v>
      </c>
      <c r="B2752" s="11" t="s">
        <v>3295</v>
      </c>
      <c r="C2752" s="11" t="s">
        <v>98</v>
      </c>
      <c r="D2752" s="11" t="s">
        <v>4592</v>
      </c>
      <c r="E2752" s="11"/>
      <c r="F2752" s="11"/>
      <c r="G2752" s="11" t="s">
        <v>12</v>
      </c>
      <c r="H2752" s="19" t="str">
        <f>IFERROR(VLOOKUP(Table2[[#This Row], [Ticket]],Okey!A:B,2,0),"")</f>
        <v/>
      </c>
      <c r="I2752" s="11" t="s">
        <v>276</v>
      </c>
      <c r="J2752" s="19" t="e">
        <f>VLOOKUP(Table2[[#This Row], [Author]],People!A:B,2,0)</f>
        <v>#VALUE!</v>
      </c>
      <c r="K2752" s="11" t="s">
        <v>3297</v>
      </c>
      <c r="L2752" s="11"/>
      <c r="M2752" s="20" t="s">
        <v>1613</v>
      </c>
    </row>
    <row r="2753" spans="1:13" ht="19.5" customHeight="1">
      <c r="A2753" s="21">
        <f t="shared" si="43"/>
        <v>2752</v>
      </c>
      <c r="B2753" s="13" t="s">
        <v>3295</v>
      </c>
      <c r="C2753" s="13" t="s">
        <v>98</v>
      </c>
      <c r="D2753" s="13" t="s">
        <v>4594</v>
      </c>
      <c r="E2753" s="13"/>
      <c r="F2753" s="13"/>
      <c r="G2753" s="13" t="s">
        <v>12</v>
      </c>
      <c r="H2753" s="22" t="str">
        <f>IFERROR(VLOOKUP(Table2[[#This Row], [Ticket]],Okey!A:B,2,0),"")</f>
        <v/>
      </c>
      <c r="I2753" s="13" t="s">
        <v>276</v>
      </c>
      <c r="J2753" s="22" t="e">
        <f>VLOOKUP(Table2[[#This Row], [Author]],People!A:B,2,0)</f>
        <v>#VALUE!</v>
      </c>
      <c r="K2753" s="13" t="s">
        <v>3297</v>
      </c>
      <c r="L2753" s="13"/>
      <c r="M2753" s="23" t="s">
        <v>1613</v>
      </c>
    </row>
    <row r="2754" spans="1:13" ht="19.5" customHeight="1">
      <c r="A2754" s="18">
        <f t="shared" si="43"/>
        <v>2753</v>
      </c>
      <c r="B2754" s="11" t="s">
        <v>3295</v>
      </c>
      <c r="C2754" s="11" t="s">
        <v>98</v>
      </c>
      <c r="D2754" s="11" t="s">
        <v>4596</v>
      </c>
      <c r="E2754" s="11"/>
      <c r="F2754" s="11"/>
      <c r="G2754" s="11" t="s">
        <v>12</v>
      </c>
      <c r="H2754" s="19" t="str">
        <f>IFERROR(VLOOKUP(Table2[[#This Row], [Ticket]],Okey!A:B,2,0),"")</f>
        <v/>
      </c>
      <c r="I2754" s="11" t="s">
        <v>276</v>
      </c>
      <c r="J2754" s="19" t="e">
        <f>VLOOKUP(Table2[[#This Row], [Author]],People!A:B,2,0)</f>
        <v>#VALUE!</v>
      </c>
      <c r="K2754" s="11" t="s">
        <v>3297</v>
      </c>
      <c r="L2754" s="11"/>
      <c r="M2754" s="20" t="s">
        <v>1613</v>
      </c>
    </row>
    <row r="2755" spans="1:13" ht="19.5" customHeight="1">
      <c r="A2755" s="21">
        <f t="shared" si="43"/>
        <v>2754</v>
      </c>
      <c r="B2755" s="13" t="s">
        <v>3295</v>
      </c>
      <c r="C2755" s="13" t="s">
        <v>98</v>
      </c>
      <c r="D2755" s="13" t="s">
        <v>4598</v>
      </c>
      <c r="E2755" s="13"/>
      <c r="F2755" s="13"/>
      <c r="G2755" s="13" t="s">
        <v>12</v>
      </c>
      <c r="H2755" s="22" t="str">
        <f>IFERROR(VLOOKUP(Table2[[#This Row], [Ticket]],Okey!A:B,2,0),"")</f>
        <v/>
      </c>
      <c r="I2755" s="13" t="s">
        <v>276</v>
      </c>
      <c r="J2755" s="22" t="e">
        <f>VLOOKUP(Table2[[#This Row], [Author]],People!A:B,2,0)</f>
        <v>#VALUE!</v>
      </c>
      <c r="K2755" s="13" t="s">
        <v>3297</v>
      </c>
      <c r="L2755" s="13"/>
      <c r="M2755" s="23" t="s">
        <v>1613</v>
      </c>
    </row>
    <row r="2756" spans="1:13" ht="19.5" customHeight="1">
      <c r="A2756" s="18">
        <f t="shared" si="43"/>
        <v>2755</v>
      </c>
      <c r="B2756" s="11" t="s">
        <v>3295</v>
      </c>
      <c r="C2756" s="11" t="s">
        <v>98</v>
      </c>
      <c r="D2756" s="11" t="s">
        <v>4600</v>
      </c>
      <c r="E2756" s="11"/>
      <c r="F2756" s="11"/>
      <c r="G2756" s="11" t="s">
        <v>12</v>
      </c>
      <c r="H2756" s="19" t="str">
        <f>IFERROR(VLOOKUP(Table2[[#This Row], [Ticket]],Okey!A:B,2,0),"")</f>
        <v/>
      </c>
      <c r="I2756" s="11" t="s">
        <v>276</v>
      </c>
      <c r="J2756" s="19" t="e">
        <f>VLOOKUP(Table2[[#This Row], [Author]],People!A:B,2,0)</f>
        <v>#VALUE!</v>
      </c>
      <c r="K2756" s="11" t="s">
        <v>3297</v>
      </c>
      <c r="L2756" s="11"/>
      <c r="M2756" s="20" t="s">
        <v>1613</v>
      </c>
    </row>
    <row r="2757" spans="1:13" ht="19.5" customHeight="1">
      <c r="A2757" s="21">
        <f t="shared" si="43"/>
        <v>2756</v>
      </c>
      <c r="B2757" s="13" t="s">
        <v>3295</v>
      </c>
      <c r="C2757" s="13" t="s">
        <v>98</v>
      </c>
      <c r="D2757" s="13" t="s">
        <v>4602</v>
      </c>
      <c r="E2757" s="13"/>
      <c r="F2757" s="13"/>
      <c r="G2757" s="13" t="s">
        <v>12</v>
      </c>
      <c r="H2757" s="22" t="str">
        <f>IFERROR(VLOOKUP(Table2[[#This Row], [Ticket]],Okey!A:B,2,0),"")</f>
        <v/>
      </c>
      <c r="I2757" s="13" t="s">
        <v>276</v>
      </c>
      <c r="J2757" s="22" t="e">
        <f>VLOOKUP(Table2[[#This Row], [Author]],People!A:B,2,0)</f>
        <v>#VALUE!</v>
      </c>
      <c r="K2757" s="13" t="s">
        <v>3297</v>
      </c>
      <c r="L2757" s="13"/>
      <c r="M2757" s="23" t="s">
        <v>1613</v>
      </c>
    </row>
    <row r="2758" spans="1:13" ht="19.5" customHeight="1">
      <c r="A2758" s="18">
        <f t="shared" si="43"/>
        <v>2757</v>
      </c>
      <c r="B2758" s="11" t="s">
        <v>3295</v>
      </c>
      <c r="C2758" s="11" t="s">
        <v>98</v>
      </c>
      <c r="D2758" s="11" t="s">
        <v>1614</v>
      </c>
      <c r="E2758" s="11"/>
      <c r="F2758" s="11"/>
      <c r="G2758" s="11" t="s">
        <v>12</v>
      </c>
      <c r="H2758" s="19" t="str">
        <f>IFERROR(VLOOKUP(Table2[[#This Row], [Ticket]],Okey!A:B,2,0),"")</f>
        <v/>
      </c>
      <c r="I2758" s="11" t="s">
        <v>276</v>
      </c>
      <c r="J2758" s="19" t="e">
        <f>VLOOKUP(Table2[[#This Row], [Author]],People!A:B,2,0)</f>
        <v>#VALUE!</v>
      </c>
      <c r="K2758" s="11" t="s">
        <v>3297</v>
      </c>
      <c r="L2758" s="11"/>
      <c r="M2758" s="20" t="s">
        <v>1613</v>
      </c>
    </row>
    <row r="2759" spans="1:13" ht="19.5" customHeight="1">
      <c r="A2759" s="21">
        <f t="shared" si="43"/>
        <v>2758</v>
      </c>
      <c r="B2759" s="13" t="s">
        <v>3295</v>
      </c>
      <c r="C2759" s="13" t="s">
        <v>98</v>
      </c>
      <c r="D2759" s="13" t="s">
        <v>1617</v>
      </c>
      <c r="E2759" s="13"/>
      <c r="F2759" s="13"/>
      <c r="G2759" s="13" t="s">
        <v>12</v>
      </c>
      <c r="H2759" s="22" t="str">
        <f>IFERROR(VLOOKUP(Table2[[#This Row], [Ticket]],Okey!A:B,2,0),"")</f>
        <v/>
      </c>
      <c r="I2759" s="13" t="s">
        <v>276</v>
      </c>
      <c r="J2759" s="22" t="e">
        <f>VLOOKUP(Table2[[#This Row], [Author]],People!A:B,2,0)</f>
        <v>#VALUE!</v>
      </c>
      <c r="K2759" s="13" t="s">
        <v>3297</v>
      </c>
      <c r="L2759" s="13"/>
      <c r="M2759" s="23" t="s">
        <v>1613</v>
      </c>
    </row>
    <row r="2760" spans="1:13" ht="19.5" customHeight="1">
      <c r="A2760" s="18">
        <f t="shared" si="43"/>
        <v>2759</v>
      </c>
      <c r="B2760" s="11" t="s">
        <v>3295</v>
      </c>
      <c r="C2760" s="11" t="s">
        <v>99</v>
      </c>
      <c r="D2760" s="11" t="s">
        <v>3471</v>
      </c>
      <c r="E2760" s="11"/>
      <c r="F2760" s="11"/>
      <c r="G2760" s="11" t="s">
        <v>12</v>
      </c>
      <c r="H2760" s="19" t="str">
        <f>IFERROR(VLOOKUP(Table2[[#This Row], [Ticket]],Okey!A:B,2,0),"")</f>
        <v/>
      </c>
      <c r="I2760" s="11" t="s">
        <v>276</v>
      </c>
      <c r="J2760" s="19" t="e">
        <f>VLOOKUP(Table2[[#This Row], [Author]],People!A:B,2,0)</f>
        <v>#VALUE!</v>
      </c>
      <c r="K2760" s="11"/>
      <c r="L2760" s="11"/>
      <c r="M2760" s="20" t="s">
        <v>277</v>
      </c>
    </row>
    <row r="2761" spans="1:13" ht="19.5" customHeight="1">
      <c r="A2761" s="21">
        <f t="shared" si="43"/>
        <v>2760</v>
      </c>
      <c r="B2761" s="13" t="s">
        <v>3295</v>
      </c>
      <c r="C2761" s="13" t="s">
        <v>99</v>
      </c>
      <c r="D2761" s="13" t="s">
        <v>3474</v>
      </c>
      <c r="E2761" s="13"/>
      <c r="F2761" s="13"/>
      <c r="G2761" s="13" t="s">
        <v>12</v>
      </c>
      <c r="H2761" s="22" t="str">
        <f>IFERROR(VLOOKUP(Table2[[#This Row], [Ticket]],Okey!A:B,2,0),"")</f>
        <v/>
      </c>
      <c r="I2761" s="13" t="s">
        <v>276</v>
      </c>
      <c r="J2761" s="22" t="e">
        <f>VLOOKUP(Table2[[#This Row], [Author]],People!A:B,2,0)</f>
        <v>#VALUE!</v>
      </c>
      <c r="K2761" s="13"/>
      <c r="L2761" s="13"/>
      <c r="M2761" s="23" t="s">
        <v>277</v>
      </c>
    </row>
    <row r="2762" spans="1:13" ht="19.5" customHeight="1">
      <c r="A2762" s="18">
        <f t="shared" si="43"/>
        <v>2761</v>
      </c>
      <c r="B2762" s="11" t="s">
        <v>3295</v>
      </c>
      <c r="C2762" s="11" t="s">
        <v>99</v>
      </c>
      <c r="D2762" s="11" t="s">
        <v>3475</v>
      </c>
      <c r="E2762" s="11"/>
      <c r="F2762" s="11"/>
      <c r="G2762" s="11" t="s">
        <v>12</v>
      </c>
      <c r="H2762" s="19" t="str">
        <f>IFERROR(VLOOKUP(Table2[[#This Row], [Ticket]],Okey!A:B,2,0),"")</f>
        <v/>
      </c>
      <c r="I2762" s="11" t="s">
        <v>276</v>
      </c>
      <c r="J2762" s="19" t="e">
        <f>VLOOKUP(Table2[[#This Row], [Author]],People!A:B,2,0)</f>
        <v>#VALUE!</v>
      </c>
      <c r="K2762" s="11"/>
      <c r="L2762" s="11"/>
      <c r="M2762" s="20" t="s">
        <v>277</v>
      </c>
    </row>
    <row r="2763" spans="1:13" ht="19.5" customHeight="1">
      <c r="A2763" s="21">
        <f t="shared" si="43"/>
        <v>2762</v>
      </c>
      <c r="B2763" s="13" t="s">
        <v>3295</v>
      </c>
      <c r="C2763" s="13" t="s">
        <v>100</v>
      </c>
      <c r="D2763" s="13" t="s">
        <v>4740</v>
      </c>
      <c r="E2763" s="13" t="s">
        <v>4741</v>
      </c>
      <c r="F2763" s="29" t="s">
        <v>4742</v>
      </c>
      <c r="G2763" s="13" t="s">
        <v>14</v>
      </c>
      <c r="H2763" s="22" t="str">
        <f>IFERROR(VLOOKUP(Table2[[#This Row], [Ticket]],Okey!A:B,2,0),"")</f>
        <v/>
      </c>
      <c r="I2763" s="13" t="s">
        <v>276</v>
      </c>
      <c r="J2763" s="22" t="e">
        <f>VLOOKUP(Table2[[#This Row], [Author]],People!A:B,2,0)</f>
        <v>#VALUE!</v>
      </c>
      <c r="K2763" s="13"/>
      <c r="L2763" s="13"/>
      <c r="M2763" s="23" t="s">
        <v>892</v>
      </c>
    </row>
    <row r="2764" spans="1:13" ht="19.5" customHeight="1">
      <c r="A2764" s="18">
        <f t="shared" si="43"/>
        <v>2763</v>
      </c>
      <c r="B2764" s="11" t="s">
        <v>3295</v>
      </c>
      <c r="C2764" s="11" t="s">
        <v>100</v>
      </c>
      <c r="D2764" s="11" t="s">
        <v>4743</v>
      </c>
      <c r="E2764" s="11" t="s">
        <v>4744</v>
      </c>
      <c r="F2764" s="30" t="s">
        <v>4742</v>
      </c>
      <c r="G2764" s="11" t="s">
        <v>14</v>
      </c>
      <c r="H2764" s="19" t="str">
        <f>IFERROR(VLOOKUP(Table2[[#This Row], [Ticket]],Okey!A:B,2,0),"")</f>
        <v/>
      </c>
      <c r="I2764" s="11" t="s">
        <v>276</v>
      </c>
      <c r="J2764" s="19" t="e">
        <f>VLOOKUP(Table2[[#This Row], [Author]],People!A:B,2,0)</f>
        <v>#VALUE!</v>
      </c>
      <c r="K2764" s="11"/>
      <c r="L2764" s="11"/>
      <c r="M2764" s="20" t="s">
        <v>892</v>
      </c>
    </row>
    <row r="2765" spans="1:13" ht="19.5" customHeight="1">
      <c r="A2765" s="21">
        <f t="shared" si="43"/>
        <v>2764</v>
      </c>
      <c r="B2765" s="13" t="s">
        <v>3295</v>
      </c>
      <c r="C2765" s="13" t="s">
        <v>100</v>
      </c>
      <c r="D2765" s="13" t="s">
        <v>4745</v>
      </c>
      <c r="E2765" s="13" t="s">
        <v>4746</v>
      </c>
      <c r="F2765" s="13" t="s">
        <v>4743</v>
      </c>
      <c r="G2765" s="13" t="s">
        <v>14</v>
      </c>
      <c r="H2765" s="22" t="str">
        <f>IFERROR(VLOOKUP(Table2[[#This Row], [Ticket]],Okey!A:B,2,0),"")</f>
        <v/>
      </c>
      <c r="I2765" s="13" t="s">
        <v>276</v>
      </c>
      <c r="J2765" s="22" t="e">
        <f>VLOOKUP(Table2[[#This Row], [Author]],People!A:B,2,0)</f>
        <v>#VALUE!</v>
      </c>
      <c r="K2765" s="13"/>
      <c r="L2765" s="13"/>
      <c r="M2765" s="23" t="s">
        <v>892</v>
      </c>
    </row>
    <row r="2766" spans="1:13" ht="19.5" customHeight="1">
      <c r="A2766" s="18">
        <f t="shared" si="43"/>
        <v>2765</v>
      </c>
      <c r="B2766" s="11" t="s">
        <v>3295</v>
      </c>
      <c r="C2766" s="11" t="s">
        <v>100</v>
      </c>
      <c r="D2766" s="11" t="s">
        <v>4747</v>
      </c>
      <c r="E2766" s="11" t="s">
        <v>4748</v>
      </c>
      <c r="F2766" s="11" t="s">
        <v>4743</v>
      </c>
      <c r="G2766" s="11" t="s">
        <v>14</v>
      </c>
      <c r="H2766" s="19" t="str">
        <f>IFERROR(VLOOKUP(Table2[[#This Row], [Ticket]],Okey!A:B,2,0),"")</f>
        <v/>
      </c>
      <c r="I2766" s="11" t="s">
        <v>276</v>
      </c>
      <c r="J2766" s="19" t="e">
        <f>VLOOKUP(Table2[[#This Row], [Author]],People!A:B,2,0)</f>
        <v>#VALUE!</v>
      </c>
      <c r="K2766" s="11"/>
      <c r="L2766" s="11"/>
      <c r="M2766" s="20" t="s">
        <v>892</v>
      </c>
    </row>
    <row r="2767" spans="1:13" ht="19.5" customHeight="1">
      <c r="A2767" s="21">
        <f t="shared" si="43"/>
        <v>2766</v>
      </c>
      <c r="B2767" s="13" t="s">
        <v>3295</v>
      </c>
      <c r="C2767" s="13" t="s">
        <v>100</v>
      </c>
      <c r="D2767" s="13" t="s">
        <v>4749</v>
      </c>
      <c r="E2767" s="13" t="s">
        <v>4750</v>
      </c>
      <c r="F2767" s="13" t="s">
        <v>4743</v>
      </c>
      <c r="G2767" s="13" t="s">
        <v>14</v>
      </c>
      <c r="H2767" s="22" t="str">
        <f>IFERROR(VLOOKUP(Table2[[#This Row], [Ticket]],Okey!A:B,2,0),"")</f>
        <v/>
      </c>
      <c r="I2767" s="13" t="s">
        <v>276</v>
      </c>
      <c r="J2767" s="22" t="e">
        <f>VLOOKUP(Table2[[#This Row], [Author]],People!A:B,2,0)</f>
        <v>#VALUE!</v>
      </c>
      <c r="K2767" s="13"/>
      <c r="L2767" s="13"/>
      <c r="M2767" s="23" t="s">
        <v>892</v>
      </c>
    </row>
    <row r="2768" spans="1:13" ht="19.5" customHeight="1">
      <c r="A2768" s="18">
        <f t="shared" si="43"/>
        <v>2767</v>
      </c>
      <c r="B2768" s="11" t="s">
        <v>3295</v>
      </c>
      <c r="C2768" s="11" t="s">
        <v>100</v>
      </c>
      <c r="D2768" s="11" t="s">
        <v>4751</v>
      </c>
      <c r="E2768" s="11" t="s">
        <v>4752</v>
      </c>
      <c r="F2768" s="11" t="s">
        <v>4743</v>
      </c>
      <c r="G2768" s="11" t="s">
        <v>14</v>
      </c>
      <c r="H2768" s="19" t="str">
        <f>IFERROR(VLOOKUP(Table2[[#This Row], [Ticket]],Okey!A:B,2,0),"")</f>
        <v/>
      </c>
      <c r="I2768" s="11" t="s">
        <v>276</v>
      </c>
      <c r="J2768" s="19" t="e">
        <f>VLOOKUP(Table2[[#This Row], [Author]],People!A:B,2,0)</f>
        <v>#VALUE!</v>
      </c>
      <c r="K2768" s="11"/>
      <c r="L2768" s="11"/>
      <c r="M2768" s="20" t="s">
        <v>892</v>
      </c>
    </row>
    <row r="2769" spans="1:13" ht="19.5" customHeight="1">
      <c r="A2769" s="21">
        <f t="shared" si="43"/>
        <v>2768</v>
      </c>
      <c r="B2769" s="13" t="s">
        <v>3295</v>
      </c>
      <c r="C2769" s="13" t="s">
        <v>100</v>
      </c>
      <c r="D2769" s="13" t="s">
        <v>4753</v>
      </c>
      <c r="E2769" s="13" t="s">
        <v>4754</v>
      </c>
      <c r="F2769" s="13" t="s">
        <v>4743</v>
      </c>
      <c r="G2769" s="13" t="s">
        <v>14</v>
      </c>
      <c r="H2769" s="22" t="str">
        <f>IFERROR(VLOOKUP(Table2[[#This Row], [Ticket]],Okey!A:B,2,0),"")</f>
        <v/>
      </c>
      <c r="I2769" s="13" t="s">
        <v>276</v>
      </c>
      <c r="J2769" s="22" t="e">
        <f>VLOOKUP(Table2[[#This Row], [Author]],People!A:B,2,0)</f>
        <v>#VALUE!</v>
      </c>
      <c r="K2769" s="13"/>
      <c r="L2769" s="13"/>
      <c r="M2769" s="23" t="s">
        <v>892</v>
      </c>
    </row>
    <row r="2770" spans="1:13" ht="19.5" customHeight="1">
      <c r="A2770" s="18">
        <f t="shared" si="43"/>
        <v>2769</v>
      </c>
      <c r="B2770" s="11" t="s">
        <v>3295</v>
      </c>
      <c r="C2770" s="11" t="s">
        <v>100</v>
      </c>
      <c r="D2770" s="11" t="s">
        <v>4755</v>
      </c>
      <c r="E2770" s="11" t="s">
        <v>4756</v>
      </c>
      <c r="F2770" s="11" t="s">
        <v>4743</v>
      </c>
      <c r="G2770" s="11" t="s">
        <v>14</v>
      </c>
      <c r="H2770" s="19" t="str">
        <f>IFERROR(VLOOKUP(Table2[[#This Row], [Ticket]],Okey!A:B,2,0),"")</f>
        <v/>
      </c>
      <c r="I2770" s="11" t="s">
        <v>276</v>
      </c>
      <c r="J2770" s="19" t="e">
        <f>VLOOKUP(Table2[[#This Row], [Author]],People!A:B,2,0)</f>
        <v>#VALUE!</v>
      </c>
      <c r="K2770" s="11"/>
      <c r="L2770" s="11"/>
      <c r="M2770" s="20" t="s">
        <v>892</v>
      </c>
    </row>
    <row r="2771" spans="1:13" ht="19.5" customHeight="1">
      <c r="A2771" s="21">
        <f t="shared" si="43"/>
        <v>2770</v>
      </c>
      <c r="B2771" s="13" t="s">
        <v>3295</v>
      </c>
      <c r="C2771" s="13" t="s">
        <v>101</v>
      </c>
      <c r="D2771" s="13" t="s">
        <v>4757</v>
      </c>
      <c r="E2771" s="13"/>
      <c r="F2771" s="13" t="s">
        <v>4758</v>
      </c>
      <c r="G2771" s="13" t="s">
        <v>13</v>
      </c>
      <c r="H2771" s="22" t="str">
        <f>IFERROR(VLOOKUP(Table2[[#This Row], [Ticket]],Okey!A:B,2,0),"")</f>
        <v/>
      </c>
      <c r="I2771" s="13" t="s">
        <v>276</v>
      </c>
      <c r="J2771" s="22" t="e">
        <f>VLOOKUP(Table2[[#This Row], [Author]],People!A:B,2,0)</f>
        <v>#VALUE!</v>
      </c>
      <c r="K2771" s="13"/>
      <c r="L2771" s="13"/>
      <c r="M2771" s="23" t="s">
        <v>277</v>
      </c>
    </row>
    <row r="2772" spans="1:13" ht="19.5" customHeight="1">
      <c r="A2772" s="18">
        <f t="shared" si="43"/>
        <v>2771</v>
      </c>
      <c r="B2772" s="11" t="s">
        <v>3295</v>
      </c>
      <c r="C2772" s="11" t="s">
        <v>102</v>
      </c>
      <c r="D2772" s="11" t="s">
        <v>4638</v>
      </c>
      <c r="E2772" s="11" t="s">
        <v>2685</v>
      </c>
      <c r="F2772" s="11"/>
      <c r="G2772" s="11" t="s">
        <v>15</v>
      </c>
      <c r="H2772" s="19" t="str">
        <f>IFERROR(VLOOKUP(Table2[[#This Row], [Ticket]],Okey!A:B,2,0),"")</f>
        <v/>
      </c>
      <c r="I2772" s="11" t="s">
        <v>276</v>
      </c>
      <c r="J2772" s="19" t="e">
        <f>VLOOKUP(Table2[[#This Row], [Author]],People!A:B,2,0)</f>
        <v>#VALUE!</v>
      </c>
      <c r="K2772" s="11"/>
      <c r="L2772" s="11"/>
      <c r="M2772" s="20" t="s">
        <v>1613</v>
      </c>
    </row>
    <row r="2773" spans="1:13" ht="19.5" customHeight="1">
      <c r="A2773" s="21">
        <f t="shared" si="43"/>
        <v>2772</v>
      </c>
      <c r="B2773" s="13" t="s">
        <v>3295</v>
      </c>
      <c r="C2773" s="13" t="s">
        <v>102</v>
      </c>
      <c r="D2773" s="13" t="s">
        <v>4648</v>
      </c>
      <c r="E2773" s="13" t="s">
        <v>4759</v>
      </c>
      <c r="F2773" s="13"/>
      <c r="G2773" s="13" t="s">
        <v>15</v>
      </c>
      <c r="H2773" s="22" t="str">
        <f>IFERROR(VLOOKUP(Table2[[#This Row], [Ticket]],Okey!A:B,2,0),"")</f>
        <v/>
      </c>
      <c r="I2773" s="13" t="s">
        <v>276</v>
      </c>
      <c r="J2773" s="22" t="e">
        <f>VLOOKUP(Table2[[#This Row], [Author]],People!A:B,2,0)</f>
        <v>#VALUE!</v>
      </c>
      <c r="K2773" s="13"/>
      <c r="L2773" s="13"/>
      <c r="M2773" s="23" t="s">
        <v>1613</v>
      </c>
    </row>
    <row r="2774" spans="1:13" ht="19.5" customHeight="1">
      <c r="A2774" s="18">
        <f t="shared" si="43"/>
        <v>2773</v>
      </c>
      <c r="B2774" s="11" t="s">
        <v>3295</v>
      </c>
      <c r="C2774" s="11" t="s">
        <v>102</v>
      </c>
      <c r="D2774" s="11" t="s">
        <v>4650</v>
      </c>
      <c r="E2774" s="11" t="s">
        <v>4760</v>
      </c>
      <c r="F2774" s="11"/>
      <c r="G2774" s="11" t="s">
        <v>15</v>
      </c>
      <c r="H2774" s="19" t="str">
        <f>IFERROR(VLOOKUP(Table2[[#This Row], [Ticket]],Okey!A:B,2,0),"")</f>
        <v/>
      </c>
      <c r="I2774" s="11" t="s">
        <v>276</v>
      </c>
      <c r="J2774" s="19" t="e">
        <f>VLOOKUP(Table2[[#This Row], [Author]],People!A:B,2,0)</f>
        <v>#VALUE!</v>
      </c>
      <c r="K2774" s="11"/>
      <c r="L2774" s="11"/>
      <c r="M2774" s="20" t="s">
        <v>1613</v>
      </c>
    </row>
    <row r="2775" spans="1:13" ht="19.5" customHeight="1">
      <c r="A2775" s="21">
        <f t="shared" si="43"/>
        <v>2774</v>
      </c>
      <c r="B2775" s="13" t="s">
        <v>3295</v>
      </c>
      <c r="C2775" s="13" t="s">
        <v>102</v>
      </c>
      <c r="D2775" s="13" t="s">
        <v>2317</v>
      </c>
      <c r="E2775" s="13" t="s">
        <v>4761</v>
      </c>
      <c r="F2775" s="13"/>
      <c r="G2775" s="13" t="s">
        <v>15</v>
      </c>
      <c r="H2775" s="22" t="str">
        <f>IFERROR(VLOOKUP(Table2[[#This Row], [Ticket]],Okey!A:B,2,0),"")</f>
        <v/>
      </c>
      <c r="I2775" s="13" t="s">
        <v>276</v>
      </c>
      <c r="J2775" s="22" t="e">
        <f>VLOOKUP(Table2[[#This Row], [Author]],People!A:B,2,0)</f>
        <v>#VALUE!</v>
      </c>
      <c r="K2775" s="13"/>
      <c r="L2775" s="13"/>
      <c r="M2775" s="23" t="s">
        <v>1613</v>
      </c>
    </row>
    <row r="2776" spans="1:13" ht="19.5" customHeight="1">
      <c r="A2776" s="18">
        <f t="shared" si="43"/>
        <v>2775</v>
      </c>
      <c r="B2776" s="11" t="s">
        <v>3295</v>
      </c>
      <c r="C2776" s="11" t="s">
        <v>102</v>
      </c>
      <c r="D2776" s="11" t="s">
        <v>4762</v>
      </c>
      <c r="E2776" s="11" t="s">
        <v>4763</v>
      </c>
      <c r="F2776" s="11"/>
      <c r="G2776" s="11" t="s">
        <v>15</v>
      </c>
      <c r="H2776" s="19" t="str">
        <f>IFERROR(VLOOKUP(Table2[[#This Row], [Ticket]],Okey!A:B,2,0),"")</f>
        <v/>
      </c>
      <c r="I2776" s="11" t="s">
        <v>276</v>
      </c>
      <c r="J2776" s="19" t="e">
        <f>VLOOKUP(Table2[[#This Row], [Author]],People!A:B,2,0)</f>
        <v>#VALUE!</v>
      </c>
      <c r="K2776" s="11"/>
      <c r="L2776" s="11"/>
      <c r="M2776" s="20" t="s">
        <v>1613</v>
      </c>
    </row>
    <row r="2777" spans="1:13" ht="19.5" customHeight="1">
      <c r="A2777" s="21">
        <f t="shared" si="43"/>
        <v>2776</v>
      </c>
      <c r="B2777" s="13" t="s">
        <v>3295</v>
      </c>
      <c r="C2777" s="13" t="s">
        <v>102</v>
      </c>
      <c r="D2777" s="13" t="s">
        <v>1625</v>
      </c>
      <c r="E2777" s="13" t="s">
        <v>4764</v>
      </c>
      <c r="F2777" s="13"/>
      <c r="G2777" s="13" t="s">
        <v>15</v>
      </c>
      <c r="H2777" s="22" t="str">
        <f>IFERROR(VLOOKUP(Table2[[#This Row], [Ticket]],Okey!A:B,2,0),"")</f>
        <v/>
      </c>
      <c r="I2777" s="13" t="s">
        <v>276</v>
      </c>
      <c r="J2777" s="22" t="e">
        <f>VLOOKUP(Table2[[#This Row], [Author]],People!A:B,2,0)</f>
        <v>#VALUE!</v>
      </c>
      <c r="K2777" s="13"/>
      <c r="L2777" s="13"/>
      <c r="M2777" s="23" t="s">
        <v>1613</v>
      </c>
    </row>
    <row r="2778" spans="1:13" ht="19.5" customHeight="1">
      <c r="A2778" s="18">
        <f t="shared" si="43"/>
        <v>2777</v>
      </c>
      <c r="B2778" s="11" t="s">
        <v>3295</v>
      </c>
      <c r="C2778" s="11" t="s">
        <v>102</v>
      </c>
      <c r="D2778" s="11" t="s">
        <v>1635</v>
      </c>
      <c r="E2778" s="11" t="s">
        <v>4765</v>
      </c>
      <c r="F2778" s="11"/>
      <c r="G2778" s="11" t="s">
        <v>15</v>
      </c>
      <c r="H2778" s="19" t="str">
        <f>IFERROR(VLOOKUP(Table2[[#This Row], [Ticket]],Okey!A:B,2,0),"")</f>
        <v/>
      </c>
      <c r="I2778" s="11" t="s">
        <v>276</v>
      </c>
      <c r="J2778" s="19" t="e">
        <f>VLOOKUP(Table2[[#This Row], [Author]],People!A:B,2,0)</f>
        <v>#VALUE!</v>
      </c>
      <c r="K2778" s="11"/>
      <c r="L2778" s="11"/>
      <c r="M2778" s="20" t="s">
        <v>1613</v>
      </c>
    </row>
    <row r="2779" spans="1:13" ht="19.5" customHeight="1">
      <c r="A2779" s="21">
        <f t="shared" si="43"/>
        <v>2778</v>
      </c>
      <c r="B2779" s="13" t="s">
        <v>3295</v>
      </c>
      <c r="C2779" s="13" t="s">
        <v>102</v>
      </c>
      <c r="D2779" s="13" t="s">
        <v>1636</v>
      </c>
      <c r="E2779" s="13" t="s">
        <v>4766</v>
      </c>
      <c r="F2779" s="13"/>
      <c r="G2779" s="13" t="s">
        <v>15</v>
      </c>
      <c r="H2779" s="22" t="str">
        <f>IFERROR(VLOOKUP(Table2[[#This Row], [Ticket]],Okey!A:B,2,0),"")</f>
        <v/>
      </c>
      <c r="I2779" s="13" t="s">
        <v>276</v>
      </c>
      <c r="J2779" s="22" t="e">
        <f>VLOOKUP(Table2[[#This Row], [Author]],People!A:B,2,0)</f>
        <v>#VALUE!</v>
      </c>
      <c r="K2779" s="13"/>
      <c r="L2779" s="13"/>
      <c r="M2779" s="23" t="s">
        <v>1613</v>
      </c>
    </row>
    <row r="2780" spans="1:13" ht="19.5" customHeight="1">
      <c r="A2780" s="18">
        <f t="shared" si="43"/>
        <v>2779</v>
      </c>
      <c r="B2780" s="11" t="s">
        <v>3295</v>
      </c>
      <c r="C2780" s="11" t="s">
        <v>102</v>
      </c>
      <c r="D2780" s="11" t="s">
        <v>4767</v>
      </c>
      <c r="E2780" s="11" t="s">
        <v>4768</v>
      </c>
      <c r="F2780" s="11"/>
      <c r="G2780" s="11" t="s">
        <v>15</v>
      </c>
      <c r="H2780" s="19" t="str">
        <f>IFERROR(VLOOKUP(Table2[[#This Row], [Ticket]],Okey!A:B,2,0),"")</f>
        <v/>
      </c>
      <c r="I2780" s="11" t="s">
        <v>276</v>
      </c>
      <c r="J2780" s="19" t="e">
        <f>VLOOKUP(Table2[[#This Row], [Author]],People!A:B,2,0)</f>
        <v>#VALUE!</v>
      </c>
      <c r="K2780" s="11"/>
      <c r="L2780" s="11"/>
      <c r="M2780" s="20" t="s">
        <v>1613</v>
      </c>
    </row>
    <row r="2781" spans="1:13" ht="19.5" customHeight="1">
      <c r="A2781" s="21">
        <f t="shared" si="43"/>
        <v>2780</v>
      </c>
      <c r="B2781" s="13" t="s">
        <v>3295</v>
      </c>
      <c r="C2781" s="13" t="s">
        <v>102</v>
      </c>
      <c r="D2781" s="13" t="s">
        <v>4769</v>
      </c>
      <c r="E2781" s="13" t="s">
        <v>4770</v>
      </c>
      <c r="F2781" s="13"/>
      <c r="G2781" s="13" t="s">
        <v>15</v>
      </c>
      <c r="H2781" s="22" t="str">
        <f>IFERROR(VLOOKUP(Table2[[#This Row], [Ticket]],Okey!A:B,2,0),"")</f>
        <v/>
      </c>
      <c r="I2781" s="13" t="s">
        <v>276</v>
      </c>
      <c r="J2781" s="22" t="e">
        <f>VLOOKUP(Table2[[#This Row], [Author]],People!A:B,2,0)</f>
        <v>#VALUE!</v>
      </c>
      <c r="K2781" s="13"/>
      <c r="L2781" s="13"/>
      <c r="M2781" s="23" t="s">
        <v>1613</v>
      </c>
    </row>
    <row r="2782" spans="1:13" ht="19.5" customHeight="1">
      <c r="A2782" s="18">
        <f t="shared" si="43"/>
        <v>2781</v>
      </c>
      <c r="B2782" s="11" t="s">
        <v>3295</v>
      </c>
      <c r="C2782" s="11" t="s">
        <v>102</v>
      </c>
      <c r="D2782" s="11" t="s">
        <v>2719</v>
      </c>
      <c r="E2782" s="11" t="s">
        <v>4771</v>
      </c>
      <c r="F2782" s="11"/>
      <c r="G2782" s="11" t="s">
        <v>15</v>
      </c>
      <c r="H2782" s="19" t="str">
        <f>IFERROR(VLOOKUP(Table2[[#This Row], [Ticket]],Okey!A:B,2,0),"")</f>
        <v/>
      </c>
      <c r="I2782" s="11" t="s">
        <v>276</v>
      </c>
      <c r="J2782" s="19" t="e">
        <f>VLOOKUP(Table2[[#This Row], [Author]],People!A:B,2,0)</f>
        <v>#VALUE!</v>
      </c>
      <c r="K2782" s="11"/>
      <c r="L2782" s="11"/>
      <c r="M2782" s="20" t="s">
        <v>1613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014F-D18D-46B6-834B-23D2C317A80E}">
  <dimension ref="A1:M290"/>
  <sheetViews>
    <sheetView workbookViewId="0"/>
  </sheetViews>
  <sheetFormatPr defaultRowHeight="15"/>
  <sheetData>
    <row r="1" spans="1:13">
      <c r="A1" s="33" t="s">
        <v>262</v>
      </c>
      <c r="B1" s="34" t="s">
        <v>263</v>
      </c>
      <c r="C1" s="34" t="s">
        <v>264</v>
      </c>
      <c r="D1" s="34" t="s">
        <v>265</v>
      </c>
      <c r="E1" s="34" t="s">
        <v>266</v>
      </c>
      <c r="F1" s="34" t="s">
        <v>267</v>
      </c>
      <c r="G1" s="34" t="s">
        <v>268</v>
      </c>
      <c r="H1" s="35" t="s">
        <v>0</v>
      </c>
      <c r="I1" s="34" t="s">
        <v>269</v>
      </c>
      <c r="J1" s="34" t="s">
        <v>270</v>
      </c>
      <c r="K1" s="34" t="s">
        <v>271</v>
      </c>
      <c r="L1" s="34" t="s">
        <v>272</v>
      </c>
      <c r="M1" s="34" t="s">
        <v>273</v>
      </c>
    </row>
    <row r="2" spans="1:13">
      <c r="A2" s="48">
        <v>1</v>
      </c>
      <c r="B2" s="47" t="s">
        <v>4</v>
      </c>
      <c r="C2" s="47" t="s">
        <v>219</v>
      </c>
      <c r="D2" s="47" t="s">
        <v>5288</v>
      </c>
      <c r="E2" s="47"/>
      <c r="F2" s="47" t="s">
        <v>5289</v>
      </c>
      <c r="G2" s="47" t="s">
        <v>13</v>
      </c>
      <c r="H2" s="47" t="str">
        <f>IFERROR(VLOOKUP(Table2[[#This Row], [Ticket]],Okey!A:B,2,0),"")</f>
        <v>ok</v>
      </c>
      <c r="I2" s="47" t="s">
        <v>5290</v>
      </c>
      <c r="J2" s="47" t="s">
        <v>17</v>
      </c>
      <c r="K2" s="47"/>
      <c r="L2" s="47"/>
      <c r="M2" s="49" t="s">
        <v>1230</v>
      </c>
    </row>
    <row r="3" spans="1:13">
      <c r="A3" s="48">
        <f t="shared" ref="A3:A66" si="0">1+A2</f>
        <v>2</v>
      </c>
      <c r="B3" s="47" t="s">
        <v>4</v>
      </c>
      <c r="C3" s="47" t="s">
        <v>219</v>
      </c>
      <c r="D3" s="47" t="s">
        <v>5291</v>
      </c>
      <c r="E3" s="47"/>
      <c r="F3" s="47" t="s">
        <v>5292</v>
      </c>
      <c r="G3" s="47" t="s">
        <v>13</v>
      </c>
      <c r="H3" s="47" t="str">
        <f>IFERROR(VLOOKUP(Table2[[#This Row], [Ticket]],Okey!A:B,2,0),"")</f>
        <v>ok</v>
      </c>
      <c r="I3" s="47" t="s">
        <v>5290</v>
      </c>
      <c r="J3" s="47" t="s">
        <v>17</v>
      </c>
      <c r="K3" s="47"/>
      <c r="L3" s="47"/>
      <c r="M3" s="49" t="s">
        <v>1230</v>
      </c>
    </row>
    <row r="4" spans="1:13">
      <c r="A4" s="48">
        <f t="shared" si="0"/>
        <v>3</v>
      </c>
      <c r="B4" s="47" t="s">
        <v>4</v>
      </c>
      <c r="C4" s="47" t="s">
        <v>219</v>
      </c>
      <c r="D4" s="47" t="s">
        <v>5293</v>
      </c>
      <c r="E4" s="47"/>
      <c r="F4" s="47" t="s">
        <v>5294</v>
      </c>
      <c r="G4" s="47" t="s">
        <v>13</v>
      </c>
      <c r="H4" s="47" t="str">
        <f>IFERROR(VLOOKUP(Table2[[#This Row], [Ticket]],Okey!A:B,2,0),"")</f>
        <v>ok</v>
      </c>
      <c r="I4" s="47" t="s">
        <v>5290</v>
      </c>
      <c r="J4" s="47" t="s">
        <v>17</v>
      </c>
      <c r="K4" s="47"/>
      <c r="L4" s="47"/>
      <c r="M4" s="49" t="s">
        <v>1230</v>
      </c>
    </row>
    <row r="5" spans="1:13">
      <c r="A5" s="48">
        <f t="shared" si="0"/>
        <v>4</v>
      </c>
      <c r="B5" s="47" t="s">
        <v>4</v>
      </c>
      <c r="C5" s="47" t="s">
        <v>220</v>
      </c>
      <c r="D5" s="47" t="s">
        <v>861</v>
      </c>
      <c r="E5" s="47"/>
      <c r="F5" s="47" t="s">
        <v>5295</v>
      </c>
      <c r="G5" s="47" t="s">
        <v>13</v>
      </c>
      <c r="H5" s="47" t="str">
        <f>IFERROR(VLOOKUP(Table2[[#This Row], [Ticket]],Okey!A:B,2,0),"")</f>
        <v>ok</v>
      </c>
      <c r="I5" s="47" t="s">
        <v>5290</v>
      </c>
      <c r="J5" s="47" t="s">
        <v>17</v>
      </c>
      <c r="K5" s="47"/>
      <c r="L5" s="47"/>
      <c r="M5" s="49" t="s">
        <v>4784</v>
      </c>
    </row>
    <row r="6" spans="1:13">
      <c r="A6" s="48">
        <f t="shared" si="0"/>
        <v>5</v>
      </c>
      <c r="B6" s="47" t="s">
        <v>4</v>
      </c>
      <c r="C6" s="47" t="s">
        <v>220</v>
      </c>
      <c r="D6" s="47" t="s">
        <v>475</v>
      </c>
      <c r="E6" s="47"/>
      <c r="F6" s="47" t="s">
        <v>5295</v>
      </c>
      <c r="G6" s="47" t="s">
        <v>13</v>
      </c>
      <c r="H6" s="47" t="str">
        <f>IFERROR(VLOOKUP(Table2[[#This Row], [Ticket]],Okey!A:B,2,0),"")</f>
        <v>ok</v>
      </c>
      <c r="I6" s="47" t="s">
        <v>5290</v>
      </c>
      <c r="J6" s="47" t="s">
        <v>17</v>
      </c>
      <c r="K6" s="47"/>
      <c r="L6" s="47"/>
      <c r="M6" s="49" t="s">
        <v>4784</v>
      </c>
    </row>
    <row r="7" spans="1:13">
      <c r="A7" s="48">
        <f t="shared" si="0"/>
        <v>6</v>
      </c>
      <c r="B7" s="47" t="s">
        <v>4</v>
      </c>
      <c r="C7" s="47" t="s">
        <v>220</v>
      </c>
      <c r="D7" s="47" t="s">
        <v>5256</v>
      </c>
      <c r="E7" s="47"/>
      <c r="F7" s="47" t="s">
        <v>5295</v>
      </c>
      <c r="G7" s="47" t="s">
        <v>13</v>
      </c>
      <c r="H7" s="47" t="str">
        <f>IFERROR(VLOOKUP(Table2[[#This Row], [Ticket]],Okey!A:B,2,0),"")</f>
        <v>ok</v>
      </c>
      <c r="I7" s="47" t="s">
        <v>5290</v>
      </c>
      <c r="J7" s="47" t="s">
        <v>17</v>
      </c>
      <c r="K7" s="47"/>
      <c r="L7" s="47"/>
      <c r="M7" s="49" t="s">
        <v>4784</v>
      </c>
    </row>
    <row r="8" spans="1:13">
      <c r="A8" s="48">
        <f t="shared" si="0"/>
        <v>7</v>
      </c>
      <c r="B8" s="47" t="s">
        <v>4</v>
      </c>
      <c r="C8" s="47" t="s">
        <v>220</v>
      </c>
      <c r="D8" s="47" t="s">
        <v>5258</v>
      </c>
      <c r="E8" s="47"/>
      <c r="F8" s="47" t="s">
        <v>5295</v>
      </c>
      <c r="G8" s="47" t="s">
        <v>13</v>
      </c>
      <c r="H8" s="47" t="str">
        <f>IFERROR(VLOOKUP(Table2[[#This Row], [Ticket]],Okey!A:B,2,0),"")</f>
        <v>ok</v>
      </c>
      <c r="I8" s="47" t="s">
        <v>5290</v>
      </c>
      <c r="J8" s="47" t="s">
        <v>17</v>
      </c>
      <c r="K8" s="47"/>
      <c r="L8" s="47"/>
      <c r="M8" s="49" t="s">
        <v>4784</v>
      </c>
    </row>
    <row r="9" spans="1:13">
      <c r="A9" s="48">
        <f t="shared" si="0"/>
        <v>8</v>
      </c>
      <c r="B9" s="47" t="s">
        <v>4</v>
      </c>
      <c r="C9" s="47" t="s">
        <v>220</v>
      </c>
      <c r="D9" s="47" t="s">
        <v>5260</v>
      </c>
      <c r="E9" s="47"/>
      <c r="F9" s="47" t="s">
        <v>5295</v>
      </c>
      <c r="G9" s="47" t="s">
        <v>13</v>
      </c>
      <c r="H9" s="47" t="str">
        <f>IFERROR(VLOOKUP(Table2[[#This Row], [Ticket]],Okey!A:B,2,0),"")</f>
        <v>ok</v>
      </c>
      <c r="I9" s="47" t="s">
        <v>5290</v>
      </c>
      <c r="J9" s="47" t="s">
        <v>17</v>
      </c>
      <c r="K9" s="47"/>
      <c r="L9" s="47"/>
      <c r="M9" s="49" t="s">
        <v>4784</v>
      </c>
    </row>
    <row r="10" spans="1:13">
      <c r="A10" s="48">
        <f t="shared" si="0"/>
        <v>9</v>
      </c>
      <c r="B10" s="47" t="s">
        <v>4</v>
      </c>
      <c r="C10" s="47" t="s">
        <v>220</v>
      </c>
      <c r="D10" s="47" t="s">
        <v>5261</v>
      </c>
      <c r="E10" s="47"/>
      <c r="F10" s="47" t="s">
        <v>5295</v>
      </c>
      <c r="G10" s="47" t="s">
        <v>13</v>
      </c>
      <c r="H10" s="47" t="str">
        <f>IFERROR(VLOOKUP(Table2[[#This Row], [Ticket]],Okey!A:B,2,0),"")</f>
        <v>ok</v>
      </c>
      <c r="I10" s="47" t="s">
        <v>5290</v>
      </c>
      <c r="J10" s="47" t="s">
        <v>17</v>
      </c>
      <c r="K10" s="47"/>
      <c r="L10" s="47"/>
      <c r="M10" s="49" t="s">
        <v>4784</v>
      </c>
    </row>
    <row r="11" spans="1:13">
      <c r="A11" s="48">
        <f t="shared" si="0"/>
        <v>10</v>
      </c>
      <c r="B11" s="47" t="s">
        <v>4</v>
      </c>
      <c r="C11" s="47" t="s">
        <v>220</v>
      </c>
      <c r="D11" s="47" t="s">
        <v>330</v>
      </c>
      <c r="E11" s="47"/>
      <c r="F11" s="47" t="s">
        <v>5295</v>
      </c>
      <c r="G11" s="47" t="s">
        <v>13</v>
      </c>
      <c r="H11" s="47" t="str">
        <f>IFERROR(VLOOKUP(Table2[[#This Row], [Ticket]],Okey!A:B,2,0),"")</f>
        <v>ok</v>
      </c>
      <c r="I11" s="47" t="s">
        <v>5290</v>
      </c>
      <c r="J11" s="47" t="s">
        <v>17</v>
      </c>
      <c r="K11" s="47"/>
      <c r="L11" s="47"/>
      <c r="M11" s="49" t="s">
        <v>4784</v>
      </c>
    </row>
    <row r="12" spans="1:13">
      <c r="A12" s="48">
        <f t="shared" si="0"/>
        <v>11</v>
      </c>
      <c r="B12" s="47" t="s">
        <v>4</v>
      </c>
      <c r="C12" s="47" t="s">
        <v>220</v>
      </c>
      <c r="D12" s="47" t="s">
        <v>1227</v>
      </c>
      <c r="E12" s="47"/>
      <c r="F12" s="47" t="s">
        <v>5295</v>
      </c>
      <c r="G12" s="47" t="s">
        <v>13</v>
      </c>
      <c r="H12" s="47" t="str">
        <f>IFERROR(VLOOKUP(Table2[[#This Row], [Ticket]],Okey!A:B,2,0),"")</f>
        <v>ok</v>
      </c>
      <c r="I12" s="47" t="s">
        <v>5290</v>
      </c>
      <c r="J12" s="47" t="s">
        <v>17</v>
      </c>
      <c r="K12" s="47"/>
      <c r="L12" s="47"/>
      <c r="M12" s="49" t="s">
        <v>4784</v>
      </c>
    </row>
    <row r="13" spans="1:13">
      <c r="A13" s="48">
        <f t="shared" si="0"/>
        <v>12</v>
      </c>
      <c r="B13" s="47" t="s">
        <v>4</v>
      </c>
      <c r="C13" s="47" t="s">
        <v>220</v>
      </c>
      <c r="D13" s="47" t="s">
        <v>5264</v>
      </c>
      <c r="E13" s="47"/>
      <c r="F13" s="47" t="s">
        <v>5295</v>
      </c>
      <c r="G13" s="47" t="s">
        <v>13</v>
      </c>
      <c r="H13" s="47" t="str">
        <f>IFERROR(VLOOKUP(Table2[[#This Row], [Ticket]],Okey!A:B,2,0),"")</f>
        <v>ok</v>
      </c>
      <c r="I13" s="47" t="s">
        <v>5290</v>
      </c>
      <c r="J13" s="47" t="s">
        <v>17</v>
      </c>
      <c r="K13" s="47"/>
      <c r="L13" s="47"/>
      <c r="M13" s="49" t="s">
        <v>4784</v>
      </c>
    </row>
    <row r="14" spans="1:13">
      <c r="A14" s="48">
        <f t="shared" si="0"/>
        <v>13</v>
      </c>
      <c r="B14" s="47" t="s">
        <v>4</v>
      </c>
      <c r="C14" s="47" t="s">
        <v>220</v>
      </c>
      <c r="D14" s="47" t="s">
        <v>5265</v>
      </c>
      <c r="E14" s="47"/>
      <c r="F14" s="47" t="s">
        <v>5295</v>
      </c>
      <c r="G14" s="47" t="s">
        <v>13</v>
      </c>
      <c r="H14" s="47" t="str">
        <f>IFERROR(VLOOKUP(Table2[[#This Row], [Ticket]],Okey!A:B,2,0),"")</f>
        <v>ok</v>
      </c>
      <c r="I14" s="47" t="s">
        <v>5290</v>
      </c>
      <c r="J14" s="47" t="s">
        <v>17</v>
      </c>
      <c r="K14" s="47"/>
      <c r="L14" s="47"/>
      <c r="M14" s="49" t="s">
        <v>4784</v>
      </c>
    </row>
    <row r="15" spans="1:13">
      <c r="A15" s="48">
        <f t="shared" si="0"/>
        <v>14</v>
      </c>
      <c r="B15" s="47" t="s">
        <v>4</v>
      </c>
      <c r="C15" s="47" t="s">
        <v>221</v>
      </c>
      <c r="D15" s="47" t="s">
        <v>706</v>
      </c>
      <c r="E15" s="47" t="s">
        <v>5296</v>
      </c>
      <c r="F15" s="47"/>
      <c r="G15" s="47" t="s">
        <v>15</v>
      </c>
      <c r="H15" s="47" t="str">
        <f>IFERROR(VLOOKUP(Table2[[#This Row], [Ticket]],Okey!A:B,2,0),"")</f>
        <v>ok</v>
      </c>
      <c r="I15" s="47" t="s">
        <v>5290</v>
      </c>
      <c r="J15" s="47" t="s">
        <v>17</v>
      </c>
      <c r="K15" s="47"/>
      <c r="L15" s="47"/>
      <c r="M15" s="49" t="s">
        <v>4784</v>
      </c>
    </row>
    <row r="16" spans="1:13">
      <c r="A16" s="48">
        <f t="shared" si="0"/>
        <v>15</v>
      </c>
      <c r="B16" s="47" t="s">
        <v>4</v>
      </c>
      <c r="C16" s="47" t="s">
        <v>221</v>
      </c>
      <c r="D16" s="47" t="s">
        <v>688</v>
      </c>
      <c r="E16" s="47" t="s">
        <v>5297</v>
      </c>
      <c r="F16" s="47" t="s">
        <v>706</v>
      </c>
      <c r="G16" s="47" t="s">
        <v>15</v>
      </c>
      <c r="H16" s="47" t="str">
        <f>IFERROR(VLOOKUP(Table2[[#This Row], [Ticket]],Okey!A:B,2,0),"")</f>
        <v>ok</v>
      </c>
      <c r="I16" s="47" t="s">
        <v>5290</v>
      </c>
      <c r="J16" s="47" t="s">
        <v>17</v>
      </c>
      <c r="K16" s="47"/>
      <c r="L16" s="47"/>
      <c r="M16" s="49" t="s">
        <v>4784</v>
      </c>
    </row>
    <row r="17" spans="1:13">
      <c r="A17" s="48">
        <f t="shared" si="0"/>
        <v>16</v>
      </c>
      <c r="B17" s="47" t="s">
        <v>4</v>
      </c>
      <c r="C17" s="47" t="s">
        <v>221</v>
      </c>
      <c r="D17" s="47" t="s">
        <v>718</v>
      </c>
      <c r="E17" s="47" t="s">
        <v>5298</v>
      </c>
      <c r="F17" s="47" t="s">
        <v>706</v>
      </c>
      <c r="G17" s="47" t="s">
        <v>15</v>
      </c>
      <c r="H17" s="47" t="str">
        <f>IFERROR(VLOOKUP(Table2[[#This Row], [Ticket]],Okey!A:B,2,0),"")</f>
        <v>ok</v>
      </c>
      <c r="I17" s="47" t="s">
        <v>5290</v>
      </c>
      <c r="J17" s="47" t="s">
        <v>17</v>
      </c>
      <c r="K17" s="47"/>
      <c r="L17" s="47"/>
      <c r="M17" s="49" t="s">
        <v>4784</v>
      </c>
    </row>
    <row r="18" spans="1:13">
      <c r="A18" s="48">
        <f t="shared" si="0"/>
        <v>17</v>
      </c>
      <c r="B18" s="47" t="s">
        <v>4</v>
      </c>
      <c r="C18" s="47" t="s">
        <v>221</v>
      </c>
      <c r="D18" s="47" t="s">
        <v>686</v>
      </c>
      <c r="E18" s="47" t="s">
        <v>5299</v>
      </c>
      <c r="F18" s="47" t="s">
        <v>706</v>
      </c>
      <c r="G18" s="47" t="s">
        <v>15</v>
      </c>
      <c r="H18" s="47" t="str">
        <f>IFERROR(VLOOKUP(Table2[[#This Row], [Ticket]],Okey!A:B,2,0),"")</f>
        <v>ok</v>
      </c>
      <c r="I18" s="47" t="s">
        <v>5290</v>
      </c>
      <c r="J18" s="47" t="s">
        <v>17</v>
      </c>
      <c r="K18" s="47"/>
      <c r="L18" s="47"/>
      <c r="M18" s="49" t="s">
        <v>4784</v>
      </c>
    </row>
    <row r="19" spans="1:13">
      <c r="A19" s="48">
        <f t="shared" si="0"/>
        <v>18</v>
      </c>
      <c r="B19" s="47" t="s">
        <v>4</v>
      </c>
      <c r="C19" s="47" t="s">
        <v>222</v>
      </c>
      <c r="D19" s="47" t="s">
        <v>5300</v>
      </c>
      <c r="E19" s="47"/>
      <c r="F19" s="47" t="s">
        <v>5295</v>
      </c>
      <c r="G19" s="47" t="s">
        <v>13</v>
      </c>
      <c r="H19" s="47" t="str">
        <f>IFERROR(VLOOKUP(Table2[[#This Row], [Ticket]],Okey!A:B,2,0),"")</f>
        <v>ok</v>
      </c>
      <c r="I19" s="47" t="s">
        <v>5290</v>
      </c>
      <c r="J19" s="47" t="s">
        <v>17</v>
      </c>
      <c r="K19" s="47"/>
      <c r="L19" s="47"/>
      <c r="M19" s="49" t="s">
        <v>4784</v>
      </c>
    </row>
    <row r="20" spans="1:13">
      <c r="A20" s="48">
        <f t="shared" si="0"/>
        <v>19</v>
      </c>
      <c r="B20" s="47" t="s">
        <v>4</v>
      </c>
      <c r="C20" s="47" t="s">
        <v>222</v>
      </c>
      <c r="D20" s="47" t="s">
        <v>379</v>
      </c>
      <c r="E20" s="47"/>
      <c r="F20" s="47" t="s">
        <v>5295</v>
      </c>
      <c r="G20" s="47" t="s">
        <v>13</v>
      </c>
      <c r="H20" s="47" t="str">
        <f>IFERROR(VLOOKUP(Table2[[#This Row], [Ticket]],Okey!A:B,2,0),"")</f>
        <v>ok</v>
      </c>
      <c r="I20" s="47" t="s">
        <v>5290</v>
      </c>
      <c r="J20" s="47" t="s">
        <v>17</v>
      </c>
      <c r="K20" s="47"/>
      <c r="L20" s="47"/>
      <c r="M20" s="49" t="s">
        <v>4784</v>
      </c>
    </row>
    <row r="21" spans="1:13">
      <c r="A21" s="48">
        <f t="shared" si="0"/>
        <v>20</v>
      </c>
      <c r="B21" s="47" t="s">
        <v>4</v>
      </c>
      <c r="C21" s="47" t="s">
        <v>222</v>
      </c>
      <c r="D21" s="47" t="s">
        <v>381</v>
      </c>
      <c r="E21" s="47"/>
      <c r="F21" s="47" t="s">
        <v>5295</v>
      </c>
      <c r="G21" s="47" t="s">
        <v>13</v>
      </c>
      <c r="H21" s="47" t="str">
        <f>IFERROR(VLOOKUP(Table2[[#This Row], [Ticket]],Okey!A:B,2,0),"")</f>
        <v>ok</v>
      </c>
      <c r="I21" s="47" t="s">
        <v>5290</v>
      </c>
      <c r="J21" s="47" t="s">
        <v>17</v>
      </c>
      <c r="K21" s="47"/>
      <c r="L21" s="47"/>
      <c r="M21" s="49" t="s">
        <v>4784</v>
      </c>
    </row>
    <row r="22" spans="1:13">
      <c r="A22" s="48">
        <f t="shared" si="0"/>
        <v>21</v>
      </c>
      <c r="B22" s="47" t="s">
        <v>4</v>
      </c>
      <c r="C22" s="47" t="s">
        <v>222</v>
      </c>
      <c r="D22" s="47" t="s">
        <v>383</v>
      </c>
      <c r="E22" s="47"/>
      <c r="F22" s="47" t="s">
        <v>5295</v>
      </c>
      <c r="G22" s="47" t="s">
        <v>13</v>
      </c>
      <c r="H22" s="47" t="str">
        <f>IFERROR(VLOOKUP(Table2[[#This Row], [Ticket]],Okey!A:B,2,0),"")</f>
        <v>ok</v>
      </c>
      <c r="I22" s="47" t="s">
        <v>5290</v>
      </c>
      <c r="J22" s="47" t="s">
        <v>17</v>
      </c>
      <c r="K22" s="47"/>
      <c r="L22" s="47"/>
      <c r="M22" s="49" t="s">
        <v>4784</v>
      </c>
    </row>
    <row r="23" spans="1:13">
      <c r="A23" s="48">
        <f t="shared" si="0"/>
        <v>22</v>
      </c>
      <c r="B23" s="47" t="s">
        <v>4</v>
      </c>
      <c r="C23" s="47" t="s">
        <v>222</v>
      </c>
      <c r="D23" s="47" t="s">
        <v>385</v>
      </c>
      <c r="E23" s="47"/>
      <c r="F23" s="47" t="s">
        <v>5295</v>
      </c>
      <c r="G23" s="47" t="s">
        <v>13</v>
      </c>
      <c r="H23" s="47" t="str">
        <f>IFERROR(VLOOKUP(Table2[[#This Row], [Ticket]],Okey!A:B,2,0),"")</f>
        <v>ok</v>
      </c>
      <c r="I23" s="47" t="s">
        <v>5290</v>
      </c>
      <c r="J23" s="47" t="s">
        <v>17</v>
      </c>
      <c r="K23" s="47"/>
      <c r="L23" s="47"/>
      <c r="M23" s="49" t="s">
        <v>4784</v>
      </c>
    </row>
    <row r="24" spans="1:13">
      <c r="A24" s="48">
        <f t="shared" si="0"/>
        <v>23</v>
      </c>
      <c r="B24" s="47" t="s">
        <v>4</v>
      </c>
      <c r="C24" s="47" t="s">
        <v>222</v>
      </c>
      <c r="D24" s="47" t="s">
        <v>387</v>
      </c>
      <c r="E24" s="47"/>
      <c r="F24" s="47" t="s">
        <v>5295</v>
      </c>
      <c r="G24" s="47" t="s">
        <v>13</v>
      </c>
      <c r="H24" s="47" t="str">
        <f>IFERROR(VLOOKUP(Table2[[#This Row], [Ticket]],Okey!A:B,2,0),"")</f>
        <v>ok</v>
      </c>
      <c r="I24" s="47" t="s">
        <v>5290</v>
      </c>
      <c r="J24" s="47" t="s">
        <v>17</v>
      </c>
      <c r="K24" s="47"/>
      <c r="L24" s="47"/>
      <c r="M24" s="49" t="s">
        <v>4784</v>
      </c>
    </row>
    <row r="25" spans="1:13">
      <c r="A25" s="48">
        <f t="shared" si="0"/>
        <v>24</v>
      </c>
      <c r="B25" s="47" t="s">
        <v>4</v>
      </c>
      <c r="C25" s="47" t="s">
        <v>222</v>
      </c>
      <c r="D25" s="47" t="s">
        <v>389</v>
      </c>
      <c r="E25" s="47"/>
      <c r="F25" s="47" t="s">
        <v>5295</v>
      </c>
      <c r="G25" s="47" t="s">
        <v>13</v>
      </c>
      <c r="H25" s="47" t="str">
        <f>IFERROR(VLOOKUP(Table2[[#This Row], [Ticket]],Okey!A:B,2,0),"")</f>
        <v>ok</v>
      </c>
      <c r="I25" s="47" t="s">
        <v>5290</v>
      </c>
      <c r="J25" s="47" t="s">
        <v>17</v>
      </c>
      <c r="K25" s="47"/>
      <c r="L25" s="47"/>
      <c r="M25" s="49" t="s">
        <v>4784</v>
      </c>
    </row>
    <row r="26" spans="1:13">
      <c r="A26" s="48">
        <f t="shared" si="0"/>
        <v>25</v>
      </c>
      <c r="B26" s="47" t="s">
        <v>4</v>
      </c>
      <c r="C26" s="47" t="s">
        <v>223</v>
      </c>
      <c r="D26" s="47" t="s">
        <v>5301</v>
      </c>
      <c r="E26" s="47" t="s">
        <v>5302</v>
      </c>
      <c r="F26" s="47"/>
      <c r="G26" s="47" t="s">
        <v>15</v>
      </c>
      <c r="H26" s="47" t="str">
        <f>IFERROR(VLOOKUP(Table2[[#This Row], [Ticket]],Okey!A:B,2,0),"")</f>
        <v>ok</v>
      </c>
      <c r="I26" s="47" t="s">
        <v>5290</v>
      </c>
      <c r="J26" s="47" t="s">
        <v>17</v>
      </c>
      <c r="K26" s="47"/>
      <c r="L26" s="47"/>
      <c r="M26" s="49" t="s">
        <v>4784</v>
      </c>
    </row>
    <row r="27" spans="1:13">
      <c r="A27" s="48">
        <f t="shared" si="0"/>
        <v>26</v>
      </c>
      <c r="B27" s="47" t="s">
        <v>4</v>
      </c>
      <c r="C27" s="47" t="s">
        <v>223</v>
      </c>
      <c r="D27" s="47" t="s">
        <v>395</v>
      </c>
      <c r="E27" s="47" t="s">
        <v>5303</v>
      </c>
      <c r="F27" s="47" t="s">
        <v>403</v>
      </c>
      <c r="G27" s="47" t="s">
        <v>16</v>
      </c>
      <c r="H27" s="47" t="str">
        <f>IFERROR(VLOOKUP(Table2[[#This Row], [Ticket]],Okey!A:B,2,0),"")</f>
        <v>ok</v>
      </c>
      <c r="I27" s="47" t="s">
        <v>5290</v>
      </c>
      <c r="J27" s="47" t="s">
        <v>17</v>
      </c>
      <c r="K27" s="47"/>
      <c r="L27" s="47"/>
      <c r="M27" s="49" t="s">
        <v>4784</v>
      </c>
    </row>
    <row r="28" spans="1:13">
      <c r="A28" s="48">
        <f t="shared" si="0"/>
        <v>27</v>
      </c>
      <c r="B28" s="47" t="s">
        <v>4</v>
      </c>
      <c r="C28" s="47" t="s">
        <v>223</v>
      </c>
      <c r="D28" s="47" t="s">
        <v>397</v>
      </c>
      <c r="E28" s="47" t="s">
        <v>5304</v>
      </c>
      <c r="F28" s="47" t="s">
        <v>403</v>
      </c>
      <c r="G28" s="47" t="s">
        <v>16</v>
      </c>
      <c r="H28" s="47" t="str">
        <f>IFERROR(VLOOKUP(Table2[[#This Row], [Ticket]],Okey!A:B,2,0),"")</f>
        <v>ok</v>
      </c>
      <c r="I28" s="47" t="s">
        <v>5290</v>
      </c>
      <c r="J28" s="47" t="s">
        <v>17</v>
      </c>
      <c r="K28" s="47"/>
      <c r="L28" s="47"/>
      <c r="M28" s="49" t="s">
        <v>4784</v>
      </c>
    </row>
    <row r="29" spans="1:13">
      <c r="A29" s="48">
        <f t="shared" si="0"/>
        <v>28</v>
      </c>
      <c r="B29" s="47" t="s">
        <v>4</v>
      </c>
      <c r="C29" s="47" t="s">
        <v>224</v>
      </c>
      <c r="D29" s="47" t="s">
        <v>5305</v>
      </c>
      <c r="E29" s="50" t="s">
        <v>5306</v>
      </c>
      <c r="F29" s="47" t="s">
        <v>1009</v>
      </c>
      <c r="G29" s="47" t="s">
        <v>14</v>
      </c>
      <c r="H29" s="47" t="str">
        <f>IFERROR(VLOOKUP(Table2[[#This Row], [Ticket]],Okey!A:B,2,0),"")</f>
        <v>ok</v>
      </c>
      <c r="I29" s="47" t="s">
        <v>5290</v>
      </c>
      <c r="J29" s="47" t="s">
        <v>19</v>
      </c>
      <c r="K29" s="47"/>
      <c r="L29" s="47"/>
      <c r="M29" s="49" t="s">
        <v>4785</v>
      </c>
    </row>
    <row r="30" spans="1:13">
      <c r="A30" s="48">
        <f t="shared" si="0"/>
        <v>29</v>
      </c>
      <c r="B30" s="47" t="s">
        <v>4</v>
      </c>
      <c r="C30" s="47" t="s">
        <v>225</v>
      </c>
      <c r="D30" s="47" t="s">
        <v>4843</v>
      </c>
      <c r="E30" s="47" t="s">
        <v>5307</v>
      </c>
      <c r="F30" s="47" t="s">
        <v>5308</v>
      </c>
      <c r="G30" s="47" t="s">
        <v>14</v>
      </c>
      <c r="H30" s="47" t="str">
        <f>IFERROR(VLOOKUP(Table2[[#This Row], [Ticket]],Okey!A:B,2,0),"")</f>
        <v>ok</v>
      </c>
      <c r="I30" s="47" t="s">
        <v>5290</v>
      </c>
      <c r="J30" s="47" t="s">
        <v>20</v>
      </c>
      <c r="K30" s="47"/>
      <c r="L30" s="47"/>
      <c r="M30" s="49" t="s">
        <v>4794</v>
      </c>
    </row>
    <row r="31" spans="1:13">
      <c r="A31" s="48">
        <f t="shared" si="0"/>
        <v>30</v>
      </c>
      <c r="B31" s="47" t="s">
        <v>4</v>
      </c>
      <c r="C31" s="47" t="s">
        <v>225</v>
      </c>
      <c r="D31" s="47" t="s">
        <v>5309</v>
      </c>
      <c r="E31" s="47" t="s">
        <v>5310</v>
      </c>
      <c r="F31" s="47" t="s">
        <v>4843</v>
      </c>
      <c r="G31" s="47" t="s">
        <v>14</v>
      </c>
      <c r="H31" s="47" t="str">
        <f>IFERROR(VLOOKUP(Table2[[#This Row], [Ticket]],Okey!A:B,2,0),"")</f>
        <v>ok</v>
      </c>
      <c r="I31" s="47" t="s">
        <v>5290</v>
      </c>
      <c r="J31" s="47" t="s">
        <v>20</v>
      </c>
      <c r="K31" s="47"/>
      <c r="L31" s="47"/>
      <c r="M31" s="49" t="s">
        <v>4794</v>
      </c>
    </row>
    <row r="32" spans="1:13">
      <c r="A32" s="48">
        <f t="shared" si="0"/>
        <v>31</v>
      </c>
      <c r="B32" s="47" t="s">
        <v>4</v>
      </c>
      <c r="C32" s="47" t="s">
        <v>225</v>
      </c>
      <c r="D32" s="47" t="s">
        <v>5311</v>
      </c>
      <c r="E32" s="47" t="s">
        <v>5312</v>
      </c>
      <c r="F32" s="47" t="s">
        <v>4843</v>
      </c>
      <c r="G32" s="47" t="s">
        <v>14</v>
      </c>
      <c r="H32" s="47" t="str">
        <f>IFERROR(VLOOKUP(Table2[[#This Row], [Ticket]],Okey!A:B,2,0),"")</f>
        <v>ok</v>
      </c>
      <c r="I32" s="47" t="s">
        <v>5290</v>
      </c>
      <c r="J32" s="47" t="s">
        <v>20</v>
      </c>
      <c r="K32" s="47"/>
      <c r="L32" s="47"/>
      <c r="M32" s="49" t="s">
        <v>4794</v>
      </c>
    </row>
    <row r="33" spans="1:13">
      <c r="A33" s="48">
        <f t="shared" si="0"/>
        <v>32</v>
      </c>
      <c r="B33" s="47" t="s">
        <v>4</v>
      </c>
      <c r="C33" s="47" t="s">
        <v>225</v>
      </c>
      <c r="D33" s="47" t="s">
        <v>5313</v>
      </c>
      <c r="E33" s="47" t="s">
        <v>5314</v>
      </c>
      <c r="F33" s="47" t="s">
        <v>4843</v>
      </c>
      <c r="G33" s="47" t="s">
        <v>14</v>
      </c>
      <c r="H33" s="47" t="str">
        <f>IFERROR(VLOOKUP(Table2[[#This Row], [Ticket]],Okey!A:B,2,0),"")</f>
        <v>ok</v>
      </c>
      <c r="I33" s="47" t="s">
        <v>5290</v>
      </c>
      <c r="J33" s="47" t="s">
        <v>20</v>
      </c>
      <c r="K33" s="47"/>
      <c r="L33" s="47"/>
      <c r="M33" s="49" t="s">
        <v>4794</v>
      </c>
    </row>
    <row r="34" spans="1:13" ht="120">
      <c r="A34" s="48">
        <f t="shared" si="0"/>
        <v>33</v>
      </c>
      <c r="B34" s="47" t="s">
        <v>4</v>
      </c>
      <c r="C34" s="47" t="s">
        <v>225</v>
      </c>
      <c r="D34" s="51" t="s">
        <v>5228</v>
      </c>
      <c r="E34" s="51" t="s">
        <v>5315</v>
      </c>
      <c r="F34" s="47" t="s">
        <v>4843</v>
      </c>
      <c r="G34" s="47" t="s">
        <v>14</v>
      </c>
      <c r="H34" s="47" t="str">
        <f>IFERROR(VLOOKUP(Table2[[#This Row], [Ticket]],Okey!A:B,2,0),"")</f>
        <v>ok</v>
      </c>
      <c r="I34" s="47" t="s">
        <v>5290</v>
      </c>
      <c r="J34" s="47" t="s">
        <v>20</v>
      </c>
      <c r="K34" s="47"/>
      <c r="L34" s="47"/>
      <c r="M34" s="49" t="s">
        <v>4794</v>
      </c>
    </row>
    <row r="35" spans="1:13">
      <c r="A35" s="48">
        <f t="shared" si="0"/>
        <v>34</v>
      </c>
      <c r="B35" s="47" t="s">
        <v>4</v>
      </c>
      <c r="C35" s="47" t="s">
        <v>225</v>
      </c>
      <c r="D35" s="47" t="s">
        <v>5316</v>
      </c>
      <c r="E35" s="47" t="s">
        <v>5317</v>
      </c>
      <c r="F35" s="47" t="s">
        <v>4843</v>
      </c>
      <c r="G35" s="47" t="s">
        <v>14</v>
      </c>
      <c r="H35" s="47" t="str">
        <f>IFERROR(VLOOKUP(Table2[[#This Row], [Ticket]],Okey!A:B,2,0),"")</f>
        <v>ok</v>
      </c>
      <c r="I35" s="47" t="s">
        <v>5290</v>
      </c>
      <c r="J35" s="47" t="s">
        <v>20</v>
      </c>
      <c r="K35" s="47"/>
      <c r="L35" s="47"/>
      <c r="M35" s="49" t="s">
        <v>4794</v>
      </c>
    </row>
    <row r="36" spans="1:13">
      <c r="A36" s="48">
        <f t="shared" si="0"/>
        <v>35</v>
      </c>
      <c r="B36" s="47" t="s">
        <v>4</v>
      </c>
      <c r="C36" s="47" t="s">
        <v>225</v>
      </c>
      <c r="D36" s="47" t="s">
        <v>5318</v>
      </c>
      <c r="E36" s="47" t="s">
        <v>5319</v>
      </c>
      <c r="F36" s="47" t="s">
        <v>5316</v>
      </c>
      <c r="G36" s="47" t="s">
        <v>14</v>
      </c>
      <c r="H36" s="47" t="str">
        <f>IFERROR(VLOOKUP(Table2[[#This Row], [Ticket]],Okey!A:B,2,0),"")</f>
        <v>ok</v>
      </c>
      <c r="I36" s="47" t="s">
        <v>5290</v>
      </c>
      <c r="J36" s="47" t="s">
        <v>20</v>
      </c>
      <c r="K36" s="47"/>
      <c r="L36" s="47"/>
      <c r="M36" s="49" t="s">
        <v>4794</v>
      </c>
    </row>
    <row r="37" spans="1:13">
      <c r="A37" s="48">
        <f t="shared" si="0"/>
        <v>36</v>
      </c>
      <c r="B37" s="47" t="s">
        <v>4</v>
      </c>
      <c r="C37" s="47" t="s">
        <v>225</v>
      </c>
      <c r="D37" s="47" t="s">
        <v>5230</v>
      </c>
      <c r="E37" s="47" t="s">
        <v>5320</v>
      </c>
      <c r="F37" s="47" t="s">
        <v>5316</v>
      </c>
      <c r="G37" s="47" t="s">
        <v>14</v>
      </c>
      <c r="H37" s="47" t="str">
        <f>IFERROR(VLOOKUP(Table2[[#This Row], [Ticket]],Okey!A:B,2,0),"")</f>
        <v>ok</v>
      </c>
      <c r="I37" s="47" t="s">
        <v>5290</v>
      </c>
      <c r="J37" s="47" t="s">
        <v>20</v>
      </c>
      <c r="K37" s="47"/>
      <c r="L37" s="47"/>
      <c r="M37" s="49" t="s">
        <v>4794</v>
      </c>
    </row>
    <row r="38" spans="1:13">
      <c r="A38" s="48">
        <f t="shared" si="0"/>
        <v>37</v>
      </c>
      <c r="B38" s="47" t="s">
        <v>4</v>
      </c>
      <c r="C38" s="47" t="s">
        <v>225</v>
      </c>
      <c r="D38" s="47" t="s">
        <v>4850</v>
      </c>
      <c r="E38" s="47" t="s">
        <v>5321</v>
      </c>
      <c r="F38" s="47" t="s">
        <v>5308</v>
      </c>
      <c r="G38" s="47" t="s">
        <v>14</v>
      </c>
      <c r="H38" s="47" t="str">
        <f>IFERROR(VLOOKUP(Table2[[#This Row], [Ticket]],Okey!A:B,2,0),"")</f>
        <v>ok</v>
      </c>
      <c r="I38" s="47" t="s">
        <v>5290</v>
      </c>
      <c r="J38" s="47" t="s">
        <v>20</v>
      </c>
      <c r="K38" s="47"/>
      <c r="L38" s="47"/>
      <c r="M38" s="49" t="s">
        <v>4794</v>
      </c>
    </row>
    <row r="39" spans="1:13">
      <c r="A39" s="48">
        <f t="shared" si="0"/>
        <v>38</v>
      </c>
      <c r="B39" s="47" t="s">
        <v>4</v>
      </c>
      <c r="C39" s="47" t="s">
        <v>225</v>
      </c>
      <c r="D39" s="47" t="s">
        <v>5322</v>
      </c>
      <c r="E39" s="47" t="s">
        <v>5323</v>
      </c>
      <c r="F39" s="47" t="s">
        <v>5324</v>
      </c>
      <c r="G39" s="47" t="s">
        <v>14</v>
      </c>
      <c r="H39" s="47" t="str">
        <f>IFERROR(VLOOKUP(Table2[[#This Row], [Ticket]],Okey!A:B,2,0),"")</f>
        <v>ok</v>
      </c>
      <c r="I39" s="47" t="s">
        <v>5290</v>
      </c>
      <c r="J39" s="47" t="s">
        <v>20</v>
      </c>
      <c r="K39" s="47"/>
      <c r="L39" s="47"/>
      <c r="M39" s="49" t="s">
        <v>4794</v>
      </c>
    </row>
    <row r="40" spans="1:13">
      <c r="A40" s="48">
        <f t="shared" si="0"/>
        <v>39</v>
      </c>
      <c r="B40" s="47" t="s">
        <v>4</v>
      </c>
      <c r="C40" s="47" t="s">
        <v>225</v>
      </c>
      <c r="D40" s="47" t="s">
        <v>5325</v>
      </c>
      <c r="E40" s="47" t="s">
        <v>5326</v>
      </c>
      <c r="F40" s="47" t="s">
        <v>5322</v>
      </c>
      <c r="G40" s="47" t="s">
        <v>14</v>
      </c>
      <c r="H40" s="47" t="str">
        <f>IFERROR(VLOOKUP(Table2[[#This Row], [Ticket]],Okey!A:B,2,0),"")</f>
        <v>ok</v>
      </c>
      <c r="I40" s="47" t="s">
        <v>5290</v>
      </c>
      <c r="J40" s="47" t="s">
        <v>20</v>
      </c>
      <c r="K40" s="47"/>
      <c r="L40" s="47"/>
      <c r="M40" s="49" t="s">
        <v>4794</v>
      </c>
    </row>
    <row r="41" spans="1:13">
      <c r="A41" s="48">
        <f t="shared" si="0"/>
        <v>40</v>
      </c>
      <c r="B41" s="47" t="s">
        <v>4</v>
      </c>
      <c r="C41" s="47" t="s">
        <v>225</v>
      </c>
      <c r="D41" s="47" t="s">
        <v>5327</v>
      </c>
      <c r="E41" s="47" t="s">
        <v>5328</v>
      </c>
      <c r="F41" s="47" t="s">
        <v>5322</v>
      </c>
      <c r="G41" s="47" t="s">
        <v>14</v>
      </c>
      <c r="H41" s="47" t="str">
        <f>IFERROR(VLOOKUP(Table2[[#This Row], [Ticket]],Okey!A:B,2,0),"")</f>
        <v>ok</v>
      </c>
      <c r="I41" s="47" t="s">
        <v>5290</v>
      </c>
      <c r="J41" s="47" t="s">
        <v>20</v>
      </c>
      <c r="K41" s="47"/>
      <c r="L41" s="47"/>
      <c r="M41" s="49" t="s">
        <v>4794</v>
      </c>
    </row>
    <row r="42" spans="1:13">
      <c r="A42" s="48">
        <f t="shared" si="0"/>
        <v>41</v>
      </c>
      <c r="B42" s="47" t="s">
        <v>4</v>
      </c>
      <c r="C42" s="47" t="s">
        <v>225</v>
      </c>
      <c r="D42" s="47" t="s">
        <v>5329</v>
      </c>
      <c r="E42" s="47" t="s">
        <v>5330</v>
      </c>
      <c r="F42" s="47" t="s">
        <v>5322</v>
      </c>
      <c r="G42" s="47" t="s">
        <v>14</v>
      </c>
      <c r="H42" s="47" t="str">
        <f>IFERROR(VLOOKUP(Table2[[#This Row], [Ticket]],Okey!A:B,2,0),"")</f>
        <v>ok</v>
      </c>
      <c r="I42" s="47" t="s">
        <v>5290</v>
      </c>
      <c r="J42" s="47" t="s">
        <v>20</v>
      </c>
      <c r="K42" s="47"/>
      <c r="L42" s="47"/>
      <c r="M42" s="49" t="s">
        <v>4794</v>
      </c>
    </row>
    <row r="43" spans="1:13">
      <c r="A43" s="48">
        <f t="shared" si="0"/>
        <v>42</v>
      </c>
      <c r="B43" s="47" t="s">
        <v>4</v>
      </c>
      <c r="C43" s="47" t="s">
        <v>225</v>
      </c>
      <c r="D43" s="47" t="s">
        <v>5331</v>
      </c>
      <c r="E43" s="47" t="s">
        <v>5332</v>
      </c>
      <c r="F43" s="47" t="s">
        <v>5333</v>
      </c>
      <c r="G43" s="47" t="s">
        <v>14</v>
      </c>
      <c r="H43" s="47" t="str">
        <f>IFERROR(VLOOKUP(Table2[[#This Row], [Ticket]],Okey!A:B,2,0),"")</f>
        <v>ok</v>
      </c>
      <c r="I43" s="47" t="s">
        <v>5290</v>
      </c>
      <c r="J43" s="47" t="s">
        <v>20</v>
      </c>
      <c r="K43" s="47"/>
      <c r="L43" s="47"/>
      <c r="M43" s="49" t="s">
        <v>4794</v>
      </c>
    </row>
    <row r="44" spans="1:13">
      <c r="A44" s="48">
        <f t="shared" si="0"/>
        <v>43</v>
      </c>
      <c r="B44" s="47" t="s">
        <v>4</v>
      </c>
      <c r="C44" s="47" t="s">
        <v>225</v>
      </c>
      <c r="D44" s="47" t="s">
        <v>5334</v>
      </c>
      <c r="E44" s="47" t="s">
        <v>5335</v>
      </c>
      <c r="F44" s="47" t="s">
        <v>5331</v>
      </c>
      <c r="G44" s="47" t="s">
        <v>14</v>
      </c>
      <c r="H44" s="47" t="str">
        <f>IFERROR(VLOOKUP(Table2[[#This Row], [Ticket]],Okey!A:B,2,0),"")</f>
        <v>ok</v>
      </c>
      <c r="I44" s="47" t="s">
        <v>5290</v>
      </c>
      <c r="J44" s="47" t="s">
        <v>20</v>
      </c>
      <c r="K44" s="47"/>
      <c r="L44" s="47"/>
      <c r="M44" s="49" t="s">
        <v>4794</v>
      </c>
    </row>
    <row r="45" spans="1:13">
      <c r="A45" s="48">
        <f t="shared" si="0"/>
        <v>44</v>
      </c>
      <c r="B45" s="47" t="s">
        <v>4</v>
      </c>
      <c r="C45" s="47" t="s">
        <v>225</v>
      </c>
      <c r="D45" s="47" t="s">
        <v>5336</v>
      </c>
      <c r="E45" s="47" t="s">
        <v>5337</v>
      </c>
      <c r="F45" s="47" t="s">
        <v>5331</v>
      </c>
      <c r="G45" s="47" t="s">
        <v>14</v>
      </c>
      <c r="H45" s="47" t="str">
        <f>IFERROR(VLOOKUP(Table2[[#This Row], [Ticket]],Okey!A:B,2,0),"")</f>
        <v>ok</v>
      </c>
      <c r="I45" s="47" t="s">
        <v>5290</v>
      </c>
      <c r="J45" s="47" t="s">
        <v>20</v>
      </c>
      <c r="K45" s="47"/>
      <c r="L45" s="47"/>
      <c r="M45" s="49" t="s">
        <v>4794</v>
      </c>
    </row>
    <row r="46" spans="1:13">
      <c r="A46" s="48">
        <f t="shared" si="0"/>
        <v>45</v>
      </c>
      <c r="B46" s="47" t="s">
        <v>4</v>
      </c>
      <c r="C46" s="47" t="s">
        <v>225</v>
      </c>
      <c r="D46" s="47" t="s">
        <v>5338</v>
      </c>
      <c r="E46" s="47" t="s">
        <v>5339</v>
      </c>
      <c r="F46" s="47" t="s">
        <v>5331</v>
      </c>
      <c r="G46" s="47" t="s">
        <v>14</v>
      </c>
      <c r="H46" s="47" t="str">
        <f>IFERROR(VLOOKUP(Table2[[#This Row], [Ticket]],Okey!A:B,2,0),"")</f>
        <v>ok</v>
      </c>
      <c r="I46" s="47" t="s">
        <v>5290</v>
      </c>
      <c r="J46" s="47" t="s">
        <v>20</v>
      </c>
      <c r="K46" s="47"/>
      <c r="L46" s="47"/>
      <c r="M46" s="49" t="s">
        <v>4794</v>
      </c>
    </row>
    <row r="47" spans="1:13">
      <c r="A47" s="48">
        <f t="shared" si="0"/>
        <v>46</v>
      </c>
      <c r="B47" s="47" t="s">
        <v>4</v>
      </c>
      <c r="C47" s="47" t="s">
        <v>225</v>
      </c>
      <c r="D47" s="47" t="s">
        <v>5340</v>
      </c>
      <c r="E47" s="47" t="s">
        <v>5341</v>
      </c>
      <c r="F47" s="47" t="s">
        <v>5331</v>
      </c>
      <c r="G47" s="47" t="s">
        <v>14</v>
      </c>
      <c r="H47" s="47" t="str">
        <f>IFERROR(VLOOKUP(Table2[[#This Row], [Ticket]],Okey!A:B,2,0),"")</f>
        <v>ok</v>
      </c>
      <c r="I47" s="47" t="s">
        <v>5290</v>
      </c>
      <c r="J47" s="47" t="s">
        <v>20</v>
      </c>
      <c r="K47" s="47"/>
      <c r="L47" s="47"/>
      <c r="M47" s="49" t="s">
        <v>4794</v>
      </c>
    </row>
    <row r="48" spans="1:13">
      <c r="A48" s="48">
        <f t="shared" si="0"/>
        <v>47</v>
      </c>
      <c r="B48" s="47" t="s">
        <v>4</v>
      </c>
      <c r="C48" s="47" t="s">
        <v>225</v>
      </c>
      <c r="D48" s="47" t="s">
        <v>5342</v>
      </c>
      <c r="E48" s="47" t="s">
        <v>5343</v>
      </c>
      <c r="F48" s="47" t="s">
        <v>5333</v>
      </c>
      <c r="G48" s="47" t="s">
        <v>14</v>
      </c>
      <c r="H48" s="47" t="str">
        <f>IFERROR(VLOOKUP(Table2[[#This Row], [Ticket]],Okey!A:B,2,0),"")</f>
        <v>ok</v>
      </c>
      <c r="I48" s="47" t="s">
        <v>5290</v>
      </c>
      <c r="J48" s="47" t="s">
        <v>20</v>
      </c>
      <c r="K48" s="47"/>
      <c r="L48" s="47"/>
      <c r="M48" s="49" t="s">
        <v>4794</v>
      </c>
    </row>
    <row r="49" spans="1:13">
      <c r="A49" s="48">
        <f t="shared" si="0"/>
        <v>48</v>
      </c>
      <c r="B49" s="47" t="s">
        <v>4</v>
      </c>
      <c r="C49" s="47" t="s">
        <v>225</v>
      </c>
      <c r="D49" s="47" t="s">
        <v>5344</v>
      </c>
      <c r="E49" s="47" t="s">
        <v>5345</v>
      </c>
      <c r="F49" s="47" t="s">
        <v>5342</v>
      </c>
      <c r="G49" s="47" t="s">
        <v>14</v>
      </c>
      <c r="H49" s="47" t="str">
        <f>IFERROR(VLOOKUP(Table2[[#This Row], [Ticket]],Okey!A:B,2,0),"")</f>
        <v>ok</v>
      </c>
      <c r="I49" s="47" t="s">
        <v>5290</v>
      </c>
      <c r="J49" s="47" t="s">
        <v>20</v>
      </c>
      <c r="K49" s="47"/>
      <c r="L49" s="47"/>
      <c r="M49" s="49" t="s">
        <v>4794</v>
      </c>
    </row>
    <row r="50" spans="1:13">
      <c r="A50" s="48">
        <f t="shared" si="0"/>
        <v>49</v>
      </c>
      <c r="B50" s="47" t="s">
        <v>4</v>
      </c>
      <c r="C50" s="47" t="s">
        <v>225</v>
      </c>
      <c r="D50" s="47" t="s">
        <v>5346</v>
      </c>
      <c r="E50" s="47" t="s">
        <v>5347</v>
      </c>
      <c r="F50" s="47" t="s">
        <v>5342</v>
      </c>
      <c r="G50" s="47" t="s">
        <v>14</v>
      </c>
      <c r="H50" s="47" t="str">
        <f>IFERROR(VLOOKUP(Table2[[#This Row], [Ticket]],Okey!A:B,2,0),"")</f>
        <v>ok</v>
      </c>
      <c r="I50" s="47" t="s">
        <v>5290</v>
      </c>
      <c r="J50" s="47" t="s">
        <v>20</v>
      </c>
      <c r="K50" s="47"/>
      <c r="L50" s="47"/>
      <c r="M50" s="49" t="s">
        <v>4794</v>
      </c>
    </row>
    <row r="51" spans="1:13">
      <c r="A51" s="48">
        <f t="shared" si="0"/>
        <v>50</v>
      </c>
      <c r="B51" s="47" t="s">
        <v>4</v>
      </c>
      <c r="C51" s="47" t="s">
        <v>225</v>
      </c>
      <c r="D51" s="47" t="s">
        <v>5348</v>
      </c>
      <c r="E51" s="47" t="s">
        <v>5349</v>
      </c>
      <c r="F51" s="47" t="s">
        <v>5350</v>
      </c>
      <c r="G51" s="47" t="s">
        <v>14</v>
      </c>
      <c r="H51" s="47" t="str">
        <f>IFERROR(VLOOKUP(Table2[[#This Row], [Ticket]],Okey!A:B,2,0),"")</f>
        <v>ok</v>
      </c>
      <c r="I51" s="47" t="s">
        <v>5290</v>
      </c>
      <c r="J51" s="47" t="s">
        <v>20</v>
      </c>
      <c r="K51" s="47"/>
      <c r="L51" s="47"/>
      <c r="M51" s="49" t="s">
        <v>4794</v>
      </c>
    </row>
    <row r="52" spans="1:13">
      <c r="A52" s="48">
        <f t="shared" si="0"/>
        <v>51</v>
      </c>
      <c r="B52" s="47" t="s">
        <v>4</v>
      </c>
      <c r="C52" s="47" t="s">
        <v>225</v>
      </c>
      <c r="D52" s="47" t="s">
        <v>5351</v>
      </c>
      <c r="E52" s="47" t="s">
        <v>5352</v>
      </c>
      <c r="F52" s="47" t="s">
        <v>5348</v>
      </c>
      <c r="G52" s="47" t="s">
        <v>14</v>
      </c>
      <c r="H52" s="47" t="str">
        <f>IFERROR(VLOOKUP(Table2[[#This Row], [Ticket]],Okey!A:B,2,0),"")</f>
        <v>ok</v>
      </c>
      <c r="I52" s="47" t="s">
        <v>5290</v>
      </c>
      <c r="J52" s="47" t="s">
        <v>20</v>
      </c>
      <c r="K52" s="47"/>
      <c r="L52" s="47"/>
      <c r="M52" s="49" t="s">
        <v>4794</v>
      </c>
    </row>
    <row r="53" spans="1:13">
      <c r="A53" s="48">
        <f t="shared" si="0"/>
        <v>52</v>
      </c>
      <c r="B53" s="47" t="s">
        <v>4</v>
      </c>
      <c r="C53" s="47" t="s">
        <v>225</v>
      </c>
      <c r="D53" s="47" t="s">
        <v>5353</v>
      </c>
      <c r="E53" s="47" t="s">
        <v>5354</v>
      </c>
      <c r="F53" s="47" t="s">
        <v>5348</v>
      </c>
      <c r="G53" s="47" t="s">
        <v>14</v>
      </c>
      <c r="H53" s="47" t="str">
        <f>IFERROR(VLOOKUP(Table2[[#This Row], [Ticket]],Okey!A:B,2,0),"")</f>
        <v>ok</v>
      </c>
      <c r="I53" s="47" t="s">
        <v>5290</v>
      </c>
      <c r="J53" s="47" t="s">
        <v>20</v>
      </c>
      <c r="K53" s="47"/>
      <c r="L53" s="47"/>
      <c r="M53" s="49" t="s">
        <v>4794</v>
      </c>
    </row>
    <row r="54" spans="1:13">
      <c r="A54" s="48">
        <f t="shared" si="0"/>
        <v>53</v>
      </c>
      <c r="B54" s="47" t="s">
        <v>4</v>
      </c>
      <c r="C54" s="47" t="s">
        <v>225</v>
      </c>
      <c r="D54" s="47" t="s">
        <v>5355</v>
      </c>
      <c r="E54" s="47" t="s">
        <v>5356</v>
      </c>
      <c r="F54" s="47" t="s">
        <v>5348</v>
      </c>
      <c r="G54" s="47" t="s">
        <v>14</v>
      </c>
      <c r="H54" s="47" t="str">
        <f>IFERROR(VLOOKUP(Table2[[#This Row], [Ticket]],Okey!A:B,2,0),"")</f>
        <v>ok</v>
      </c>
      <c r="I54" s="47" t="s">
        <v>5290</v>
      </c>
      <c r="J54" s="47" t="s">
        <v>20</v>
      </c>
      <c r="K54" s="47"/>
      <c r="L54" s="47"/>
      <c r="M54" s="49" t="s">
        <v>4794</v>
      </c>
    </row>
    <row r="55" spans="1:13">
      <c r="A55" s="48">
        <f t="shared" si="0"/>
        <v>54</v>
      </c>
      <c r="B55" s="47" t="s">
        <v>4</v>
      </c>
      <c r="C55" s="47" t="s">
        <v>225</v>
      </c>
      <c r="D55" s="47" t="s">
        <v>5357</v>
      </c>
      <c r="E55" s="47" t="s">
        <v>5330</v>
      </c>
      <c r="F55" s="47" t="s">
        <v>5348</v>
      </c>
      <c r="G55" s="47" t="s">
        <v>14</v>
      </c>
      <c r="H55" s="47" t="str">
        <f>IFERROR(VLOOKUP(Table2[[#This Row], [Ticket]],Okey!A:B,2,0),"")</f>
        <v>ok</v>
      </c>
      <c r="I55" s="47" t="s">
        <v>5290</v>
      </c>
      <c r="J55" s="47" t="s">
        <v>20</v>
      </c>
      <c r="K55" s="47"/>
      <c r="L55" s="47"/>
      <c r="M55" s="49" t="s">
        <v>4794</v>
      </c>
    </row>
    <row r="56" spans="1:13">
      <c r="A56" s="48">
        <f t="shared" si="0"/>
        <v>55</v>
      </c>
      <c r="B56" s="47" t="s">
        <v>4</v>
      </c>
      <c r="C56" s="47" t="s">
        <v>225</v>
      </c>
      <c r="D56" s="47" t="s">
        <v>5358</v>
      </c>
      <c r="E56" s="47" t="s">
        <v>5359</v>
      </c>
      <c r="F56" s="47" t="s">
        <v>5360</v>
      </c>
      <c r="G56" s="47" t="s">
        <v>14</v>
      </c>
      <c r="H56" s="47" t="str">
        <f>IFERROR(VLOOKUP(Table2[[#This Row], [Ticket]],Okey!A:B,2,0),"")</f>
        <v>ok</v>
      </c>
      <c r="I56" s="47" t="s">
        <v>5290</v>
      </c>
      <c r="J56" s="47" t="s">
        <v>20</v>
      </c>
      <c r="K56" s="47"/>
      <c r="L56" s="47"/>
      <c r="M56" s="49" t="s">
        <v>4794</v>
      </c>
    </row>
    <row r="57" spans="1:13">
      <c r="A57" s="48">
        <f t="shared" si="0"/>
        <v>56</v>
      </c>
      <c r="B57" s="47" t="s">
        <v>4</v>
      </c>
      <c r="C57" s="47" t="s">
        <v>225</v>
      </c>
      <c r="D57" s="47" t="s">
        <v>5361</v>
      </c>
      <c r="E57" s="47" t="s">
        <v>5362</v>
      </c>
      <c r="F57" s="47" t="s">
        <v>5358</v>
      </c>
      <c r="G57" s="47" t="s">
        <v>14</v>
      </c>
      <c r="H57" s="47" t="str">
        <f>IFERROR(VLOOKUP(Table2[[#This Row], [Ticket]],Okey!A:B,2,0),"")</f>
        <v>ok</v>
      </c>
      <c r="I57" s="47" t="s">
        <v>5290</v>
      </c>
      <c r="J57" s="47" t="s">
        <v>20</v>
      </c>
      <c r="K57" s="47"/>
      <c r="L57" s="47"/>
      <c r="M57" s="49" t="s">
        <v>4794</v>
      </c>
    </row>
    <row r="58" spans="1:13">
      <c r="A58" s="48">
        <f t="shared" si="0"/>
        <v>57</v>
      </c>
      <c r="B58" s="47" t="s">
        <v>4</v>
      </c>
      <c r="C58" s="47" t="s">
        <v>225</v>
      </c>
      <c r="D58" s="47" t="s">
        <v>5363</v>
      </c>
      <c r="E58" s="47" t="s">
        <v>5364</v>
      </c>
      <c r="F58" s="47" t="s">
        <v>5358</v>
      </c>
      <c r="G58" s="47" t="s">
        <v>14</v>
      </c>
      <c r="H58" s="47" t="str">
        <f>IFERROR(VLOOKUP(Table2[[#This Row], [Ticket]],Okey!A:B,2,0),"")</f>
        <v>ok</v>
      </c>
      <c r="I58" s="47" t="s">
        <v>5290</v>
      </c>
      <c r="J58" s="47" t="s">
        <v>20</v>
      </c>
      <c r="K58" s="47"/>
      <c r="L58" s="47"/>
      <c r="M58" s="49" t="s">
        <v>4794</v>
      </c>
    </row>
    <row r="59" spans="1:13">
      <c r="A59" s="48">
        <f t="shared" si="0"/>
        <v>58</v>
      </c>
      <c r="B59" s="47" t="s">
        <v>4</v>
      </c>
      <c r="C59" s="47" t="s">
        <v>225</v>
      </c>
      <c r="D59" s="47" t="s">
        <v>5365</v>
      </c>
      <c r="E59" s="47" t="s">
        <v>5366</v>
      </c>
      <c r="F59" s="47" t="s">
        <v>5358</v>
      </c>
      <c r="G59" s="47" t="s">
        <v>14</v>
      </c>
      <c r="H59" s="47" t="str">
        <f>IFERROR(VLOOKUP(Table2[[#This Row], [Ticket]],Okey!A:B,2,0),"")</f>
        <v>ok</v>
      </c>
      <c r="I59" s="47" t="s">
        <v>5290</v>
      </c>
      <c r="J59" s="47" t="s">
        <v>20</v>
      </c>
      <c r="K59" s="47"/>
      <c r="L59" s="47"/>
      <c r="M59" s="49" t="s">
        <v>4794</v>
      </c>
    </row>
    <row r="60" spans="1:13">
      <c r="A60" s="48">
        <f t="shared" si="0"/>
        <v>59</v>
      </c>
      <c r="B60" s="47" t="s">
        <v>4</v>
      </c>
      <c r="C60" s="47" t="s">
        <v>225</v>
      </c>
      <c r="D60" s="47" t="s">
        <v>5367</v>
      </c>
      <c r="E60" s="47" t="s">
        <v>5368</v>
      </c>
      <c r="F60" s="47" t="s">
        <v>5358</v>
      </c>
      <c r="G60" s="47" t="s">
        <v>14</v>
      </c>
      <c r="H60" s="47" t="str">
        <f>IFERROR(VLOOKUP(Table2[[#This Row], [Ticket]],Okey!A:B,2,0),"")</f>
        <v>ok</v>
      </c>
      <c r="I60" s="47" t="s">
        <v>5290</v>
      </c>
      <c r="J60" s="47" t="s">
        <v>20</v>
      </c>
      <c r="K60" s="47"/>
      <c r="L60" s="47"/>
      <c r="M60" s="49" t="s">
        <v>4794</v>
      </c>
    </row>
    <row r="61" spans="1:13">
      <c r="A61" s="48">
        <f t="shared" si="0"/>
        <v>60</v>
      </c>
      <c r="B61" s="47" t="s">
        <v>4</v>
      </c>
      <c r="C61" s="47" t="s">
        <v>225</v>
      </c>
      <c r="D61" s="47" t="s">
        <v>5369</v>
      </c>
      <c r="E61" s="47" t="s">
        <v>5370</v>
      </c>
      <c r="F61" s="47" t="s">
        <v>5358</v>
      </c>
      <c r="G61" s="47" t="s">
        <v>14</v>
      </c>
      <c r="H61" s="47" t="str">
        <f>IFERROR(VLOOKUP(Table2[[#This Row], [Ticket]],Okey!A:B,2,0),"")</f>
        <v>ok</v>
      </c>
      <c r="I61" s="47" t="s">
        <v>5290</v>
      </c>
      <c r="J61" s="47" t="s">
        <v>20</v>
      </c>
      <c r="K61" s="47"/>
      <c r="L61" s="47"/>
      <c r="M61" s="49" t="s">
        <v>4794</v>
      </c>
    </row>
    <row r="62" spans="1:13">
      <c r="A62" s="48">
        <f t="shared" si="0"/>
        <v>61</v>
      </c>
      <c r="B62" s="47" t="s">
        <v>4</v>
      </c>
      <c r="C62" s="47" t="s">
        <v>225</v>
      </c>
      <c r="D62" s="47" t="s">
        <v>5371</v>
      </c>
      <c r="E62" s="47" t="s">
        <v>5372</v>
      </c>
      <c r="F62" s="47" t="s">
        <v>5358</v>
      </c>
      <c r="G62" s="47" t="s">
        <v>14</v>
      </c>
      <c r="H62" s="47" t="str">
        <f>IFERROR(VLOOKUP(Table2[[#This Row], [Ticket]],Okey!A:B,2,0),"")</f>
        <v>ok</v>
      </c>
      <c r="I62" s="47" t="s">
        <v>5290</v>
      </c>
      <c r="J62" s="47" t="s">
        <v>20</v>
      </c>
      <c r="K62" s="47"/>
      <c r="L62" s="47"/>
      <c r="M62" s="49" t="s">
        <v>4794</v>
      </c>
    </row>
    <row r="63" spans="1:13">
      <c r="A63" s="48">
        <f t="shared" si="0"/>
        <v>62</v>
      </c>
      <c r="B63" s="47" t="s">
        <v>4</v>
      </c>
      <c r="C63" s="47" t="s">
        <v>225</v>
      </c>
      <c r="D63" s="47" t="s">
        <v>5373</v>
      </c>
      <c r="E63" s="47" t="s">
        <v>5374</v>
      </c>
      <c r="F63" s="47" t="s">
        <v>5358</v>
      </c>
      <c r="G63" s="47" t="s">
        <v>14</v>
      </c>
      <c r="H63" s="47" t="str">
        <f>IFERROR(VLOOKUP(Table2[[#This Row], [Ticket]],Okey!A:B,2,0),"")</f>
        <v>ok</v>
      </c>
      <c r="I63" s="47" t="s">
        <v>5290</v>
      </c>
      <c r="J63" s="47" t="s">
        <v>20</v>
      </c>
      <c r="K63" s="47"/>
      <c r="L63" s="47"/>
      <c r="M63" s="49" t="s">
        <v>4794</v>
      </c>
    </row>
    <row r="64" spans="1:13">
      <c r="A64" s="48">
        <f t="shared" si="0"/>
        <v>63</v>
      </c>
      <c r="B64" s="47" t="s">
        <v>4</v>
      </c>
      <c r="C64" s="47" t="s">
        <v>225</v>
      </c>
      <c r="D64" s="47" t="s">
        <v>5375</v>
      </c>
      <c r="E64" s="47" t="s">
        <v>5376</v>
      </c>
      <c r="F64" s="47" t="s">
        <v>5360</v>
      </c>
      <c r="G64" s="47" t="s">
        <v>14</v>
      </c>
      <c r="H64" s="47" t="str">
        <f>IFERROR(VLOOKUP(Table2[[#This Row], [Ticket]],Okey!A:B,2,0),"")</f>
        <v>ok</v>
      </c>
      <c r="I64" s="47" t="s">
        <v>5290</v>
      </c>
      <c r="J64" s="47" t="s">
        <v>20</v>
      </c>
      <c r="K64" s="47"/>
      <c r="L64" s="47"/>
      <c r="M64" s="49" t="s">
        <v>4794</v>
      </c>
    </row>
    <row r="65" spans="1:13">
      <c r="A65" s="48">
        <f t="shared" si="0"/>
        <v>64</v>
      </c>
      <c r="B65" s="47" t="s">
        <v>4</v>
      </c>
      <c r="C65" s="47" t="s">
        <v>225</v>
      </c>
      <c r="D65" s="47" t="s">
        <v>5377</v>
      </c>
      <c r="E65" s="47" t="s">
        <v>5378</v>
      </c>
      <c r="F65" s="47" t="s">
        <v>5375</v>
      </c>
      <c r="G65" s="47" t="s">
        <v>14</v>
      </c>
      <c r="H65" s="47" t="str">
        <f>IFERROR(VLOOKUP(Table2[[#This Row], [Ticket]],Okey!A:B,2,0),"")</f>
        <v>ok</v>
      </c>
      <c r="I65" s="47" t="s">
        <v>5290</v>
      </c>
      <c r="J65" s="47" t="s">
        <v>20</v>
      </c>
      <c r="K65" s="47"/>
      <c r="L65" s="47"/>
      <c r="M65" s="49" t="s">
        <v>4794</v>
      </c>
    </row>
    <row r="66" spans="1:13">
      <c r="A66" s="48">
        <f t="shared" si="0"/>
        <v>65</v>
      </c>
      <c r="B66" s="47" t="s">
        <v>4</v>
      </c>
      <c r="C66" s="47" t="s">
        <v>225</v>
      </c>
      <c r="D66" s="47" t="s">
        <v>5379</v>
      </c>
      <c r="E66" s="47" t="s">
        <v>5380</v>
      </c>
      <c r="F66" s="47" t="s">
        <v>5375</v>
      </c>
      <c r="G66" s="47" t="s">
        <v>14</v>
      </c>
      <c r="H66" s="47" t="str">
        <f>IFERROR(VLOOKUP(Table2[[#This Row], [Ticket]],Okey!A:B,2,0),"")</f>
        <v>ok</v>
      </c>
      <c r="I66" s="47" t="s">
        <v>5290</v>
      </c>
      <c r="J66" s="47" t="s">
        <v>20</v>
      </c>
      <c r="K66" s="47"/>
      <c r="L66" s="47"/>
      <c r="M66" s="49" t="s">
        <v>4794</v>
      </c>
    </row>
    <row r="67" spans="1:13">
      <c r="A67" s="48">
        <f t="shared" ref="A67:A130" si="1">1+A66</f>
        <v>66</v>
      </c>
      <c r="B67" s="47" t="s">
        <v>4</v>
      </c>
      <c r="C67" s="47" t="s">
        <v>225</v>
      </c>
      <c r="D67" s="47" t="s">
        <v>5381</v>
      </c>
      <c r="E67" s="47" t="s">
        <v>5382</v>
      </c>
      <c r="F67" s="47" t="s">
        <v>5375</v>
      </c>
      <c r="G67" s="47" t="s">
        <v>14</v>
      </c>
      <c r="H67" s="47" t="str">
        <f>IFERROR(VLOOKUP(Table2[[#This Row], [Ticket]],Okey!A:B,2,0),"")</f>
        <v>ok</v>
      </c>
      <c r="I67" s="47" t="s">
        <v>5290</v>
      </c>
      <c r="J67" s="47" t="s">
        <v>20</v>
      </c>
      <c r="K67" s="47"/>
      <c r="L67" s="47"/>
      <c r="M67" s="49" t="s">
        <v>4794</v>
      </c>
    </row>
    <row r="68" spans="1:13">
      <c r="A68" s="48">
        <f t="shared" si="1"/>
        <v>67</v>
      </c>
      <c r="B68" s="47" t="s">
        <v>4</v>
      </c>
      <c r="C68" s="47" t="s">
        <v>225</v>
      </c>
      <c r="D68" s="47" t="s">
        <v>5383</v>
      </c>
      <c r="E68" s="47" t="s">
        <v>5384</v>
      </c>
      <c r="F68" s="47" t="s">
        <v>5375</v>
      </c>
      <c r="G68" s="47" t="s">
        <v>14</v>
      </c>
      <c r="H68" s="47" t="str">
        <f>IFERROR(VLOOKUP(Table2[[#This Row], [Ticket]],Okey!A:B,2,0),"")</f>
        <v>ok</v>
      </c>
      <c r="I68" s="47" t="s">
        <v>5290</v>
      </c>
      <c r="J68" s="47" t="s">
        <v>20</v>
      </c>
      <c r="K68" s="47"/>
      <c r="L68" s="47"/>
      <c r="M68" s="49" t="s">
        <v>4794</v>
      </c>
    </row>
    <row r="69" spans="1:13">
      <c r="A69" s="48">
        <f t="shared" si="1"/>
        <v>68</v>
      </c>
      <c r="B69" s="47" t="s">
        <v>4</v>
      </c>
      <c r="C69" s="47" t="s">
        <v>225</v>
      </c>
      <c r="D69" s="47" t="s">
        <v>5385</v>
      </c>
      <c r="E69" s="47" t="s">
        <v>5386</v>
      </c>
      <c r="F69" s="47" t="s">
        <v>5375</v>
      </c>
      <c r="G69" s="47" t="s">
        <v>14</v>
      </c>
      <c r="H69" s="47" t="str">
        <f>IFERROR(VLOOKUP(Table2[[#This Row], [Ticket]],Okey!A:B,2,0),"")</f>
        <v>ok</v>
      </c>
      <c r="I69" s="47" t="s">
        <v>5290</v>
      </c>
      <c r="J69" s="47" t="s">
        <v>20</v>
      </c>
      <c r="K69" s="47"/>
      <c r="L69" s="47"/>
      <c r="M69" s="49" t="s">
        <v>4794</v>
      </c>
    </row>
    <row r="70" spans="1:13">
      <c r="A70" s="48">
        <f t="shared" si="1"/>
        <v>69</v>
      </c>
      <c r="B70" s="47" t="s">
        <v>4</v>
      </c>
      <c r="C70" s="47" t="s">
        <v>225</v>
      </c>
      <c r="D70" s="47" t="s">
        <v>5387</v>
      </c>
      <c r="E70" s="47" t="s">
        <v>5388</v>
      </c>
      <c r="F70" s="47" t="s">
        <v>5375</v>
      </c>
      <c r="G70" s="47" t="s">
        <v>14</v>
      </c>
      <c r="H70" s="47" t="str">
        <f>IFERROR(VLOOKUP(Table2[[#This Row], [Ticket]],Okey!A:B,2,0),"")</f>
        <v>ok</v>
      </c>
      <c r="I70" s="47" t="s">
        <v>5290</v>
      </c>
      <c r="J70" s="47" t="s">
        <v>20</v>
      </c>
      <c r="K70" s="47"/>
      <c r="L70" s="47"/>
      <c r="M70" s="49" t="s">
        <v>4794</v>
      </c>
    </row>
    <row r="71" spans="1:13">
      <c r="A71" s="48">
        <f t="shared" si="1"/>
        <v>70</v>
      </c>
      <c r="B71" s="47" t="s">
        <v>4</v>
      </c>
      <c r="C71" s="47" t="s">
        <v>225</v>
      </c>
      <c r="D71" s="47" t="s">
        <v>5389</v>
      </c>
      <c r="E71" s="47" t="s">
        <v>5390</v>
      </c>
      <c r="F71" s="47" t="s">
        <v>5375</v>
      </c>
      <c r="G71" s="47" t="s">
        <v>14</v>
      </c>
      <c r="H71" s="47" t="str">
        <f>IFERROR(VLOOKUP(Table2[[#This Row], [Ticket]],Okey!A:B,2,0),"")</f>
        <v>ok</v>
      </c>
      <c r="I71" s="47" t="s">
        <v>5290</v>
      </c>
      <c r="J71" s="47" t="s">
        <v>20</v>
      </c>
      <c r="K71" s="47"/>
      <c r="L71" s="47"/>
      <c r="M71" s="49" t="s">
        <v>4794</v>
      </c>
    </row>
    <row r="72" spans="1:13">
      <c r="A72" s="48">
        <f t="shared" si="1"/>
        <v>71</v>
      </c>
      <c r="B72" s="47" t="s">
        <v>4</v>
      </c>
      <c r="C72" s="47" t="s">
        <v>225</v>
      </c>
      <c r="D72" s="47" t="s">
        <v>5391</v>
      </c>
      <c r="E72" s="47" t="s">
        <v>5392</v>
      </c>
      <c r="F72" s="47" t="s">
        <v>5375</v>
      </c>
      <c r="G72" s="47" t="s">
        <v>14</v>
      </c>
      <c r="H72" s="47" t="str">
        <f>IFERROR(VLOOKUP(Table2[[#This Row], [Ticket]],Okey!A:B,2,0),"")</f>
        <v>ok</v>
      </c>
      <c r="I72" s="47" t="s">
        <v>5290</v>
      </c>
      <c r="J72" s="47" t="s">
        <v>20</v>
      </c>
      <c r="K72" s="47"/>
      <c r="L72" s="47"/>
      <c r="M72" s="49" t="s">
        <v>4794</v>
      </c>
    </row>
    <row r="73" spans="1:13">
      <c r="A73" s="48">
        <f t="shared" si="1"/>
        <v>72</v>
      </c>
      <c r="B73" s="47" t="s">
        <v>4</v>
      </c>
      <c r="C73" s="47" t="s">
        <v>225</v>
      </c>
      <c r="D73" s="47" t="s">
        <v>5393</v>
      </c>
      <c r="E73" s="47" t="s">
        <v>5394</v>
      </c>
      <c r="F73" s="47" t="s">
        <v>5395</v>
      </c>
      <c r="G73" s="47" t="s">
        <v>14</v>
      </c>
      <c r="H73" s="47" t="str">
        <f>IFERROR(VLOOKUP(Table2[[#This Row], [Ticket]],Okey!A:B,2,0),"")</f>
        <v>ok</v>
      </c>
      <c r="I73" s="47" t="s">
        <v>5290</v>
      </c>
      <c r="J73" s="47" t="s">
        <v>20</v>
      </c>
      <c r="K73" s="47"/>
      <c r="L73" s="47"/>
      <c r="M73" s="49" t="s">
        <v>4794</v>
      </c>
    </row>
    <row r="74" spans="1:13">
      <c r="A74" s="48">
        <f t="shared" si="1"/>
        <v>73</v>
      </c>
      <c r="B74" s="47" t="s">
        <v>4</v>
      </c>
      <c r="C74" s="47" t="s">
        <v>225</v>
      </c>
      <c r="D74" s="47" t="s">
        <v>5396</v>
      </c>
      <c r="E74" s="47" t="s">
        <v>5356</v>
      </c>
      <c r="F74" s="47" t="s">
        <v>5393</v>
      </c>
      <c r="G74" s="47" t="s">
        <v>14</v>
      </c>
      <c r="H74" s="47" t="str">
        <f>IFERROR(VLOOKUP(Table2[[#This Row], [Ticket]],Okey!A:B,2,0),"")</f>
        <v>ok</v>
      </c>
      <c r="I74" s="47" t="s">
        <v>5290</v>
      </c>
      <c r="J74" s="47" t="s">
        <v>20</v>
      </c>
      <c r="K74" s="47"/>
      <c r="L74" s="47"/>
      <c r="M74" s="49" t="s">
        <v>4794</v>
      </c>
    </row>
    <row r="75" spans="1:13">
      <c r="A75" s="48">
        <f t="shared" si="1"/>
        <v>74</v>
      </c>
      <c r="B75" s="47" t="s">
        <v>4</v>
      </c>
      <c r="C75" s="47" t="s">
        <v>225</v>
      </c>
      <c r="D75" s="47" t="s">
        <v>5397</v>
      </c>
      <c r="E75" s="47" t="s">
        <v>5398</v>
      </c>
      <c r="F75" s="47" t="s">
        <v>5399</v>
      </c>
      <c r="G75" s="47" t="s">
        <v>14</v>
      </c>
      <c r="H75" s="47" t="str">
        <f>IFERROR(VLOOKUP(Table2[[#This Row], [Ticket]],Okey!A:B,2,0),"")</f>
        <v>ok</v>
      </c>
      <c r="I75" s="47" t="s">
        <v>5290</v>
      </c>
      <c r="J75" s="47" t="s">
        <v>20</v>
      </c>
      <c r="K75" s="47"/>
      <c r="L75" s="47"/>
      <c r="M75" s="49" t="s">
        <v>4794</v>
      </c>
    </row>
    <row r="76" spans="1:13">
      <c r="A76" s="48">
        <f t="shared" si="1"/>
        <v>75</v>
      </c>
      <c r="B76" s="47" t="s">
        <v>4</v>
      </c>
      <c r="C76" s="47" t="s">
        <v>225</v>
      </c>
      <c r="D76" s="47" t="s">
        <v>5400</v>
      </c>
      <c r="E76" s="47" t="s">
        <v>5401</v>
      </c>
      <c r="F76" s="47" t="s">
        <v>5399</v>
      </c>
      <c r="G76" s="47" t="s">
        <v>14</v>
      </c>
      <c r="H76" s="47" t="str">
        <f>IFERROR(VLOOKUP(Table2[[#This Row], [Ticket]],Okey!A:B,2,0),"")</f>
        <v>ok</v>
      </c>
      <c r="I76" s="47" t="s">
        <v>5290</v>
      </c>
      <c r="J76" s="47" t="s">
        <v>20</v>
      </c>
      <c r="K76" s="47"/>
      <c r="L76" s="47"/>
      <c r="M76" s="49" t="s">
        <v>4794</v>
      </c>
    </row>
    <row r="77" spans="1:13">
      <c r="A77" s="48">
        <f t="shared" si="1"/>
        <v>76</v>
      </c>
      <c r="B77" s="47" t="s">
        <v>4</v>
      </c>
      <c r="C77" s="47" t="s">
        <v>225</v>
      </c>
      <c r="D77" s="47" t="s">
        <v>5402</v>
      </c>
      <c r="E77" s="47" t="s">
        <v>5403</v>
      </c>
      <c r="F77" s="47" t="s">
        <v>5400</v>
      </c>
      <c r="G77" s="47" t="s">
        <v>14</v>
      </c>
      <c r="H77" s="47" t="str">
        <f>IFERROR(VLOOKUP(Table2[[#This Row], [Ticket]],Okey!A:B,2,0),"")</f>
        <v>ok</v>
      </c>
      <c r="I77" s="47" t="s">
        <v>5290</v>
      </c>
      <c r="J77" s="47" t="s">
        <v>20</v>
      </c>
      <c r="K77" s="47"/>
      <c r="L77" s="47"/>
      <c r="M77" s="49" t="s">
        <v>4794</v>
      </c>
    </row>
    <row r="78" spans="1:13">
      <c r="A78" s="48">
        <f t="shared" si="1"/>
        <v>77</v>
      </c>
      <c r="B78" s="47" t="s">
        <v>4</v>
      </c>
      <c r="C78" s="47" t="s">
        <v>225</v>
      </c>
      <c r="D78" s="47" t="s">
        <v>5404</v>
      </c>
      <c r="E78" s="47" t="s">
        <v>5405</v>
      </c>
      <c r="F78" s="47" t="s">
        <v>5400</v>
      </c>
      <c r="G78" s="47" t="s">
        <v>14</v>
      </c>
      <c r="H78" s="47" t="str">
        <f>IFERROR(VLOOKUP(Table2[[#This Row], [Ticket]],Okey!A:B,2,0),"")</f>
        <v>ok</v>
      </c>
      <c r="I78" s="47" t="s">
        <v>5290</v>
      </c>
      <c r="J78" s="47" t="s">
        <v>20</v>
      </c>
      <c r="K78" s="47"/>
      <c r="L78" s="47"/>
      <c r="M78" s="49" t="s">
        <v>4794</v>
      </c>
    </row>
    <row r="79" spans="1:13">
      <c r="A79" s="48">
        <f t="shared" si="1"/>
        <v>78</v>
      </c>
      <c r="B79" s="47" t="s">
        <v>4</v>
      </c>
      <c r="C79" s="47" t="s">
        <v>225</v>
      </c>
      <c r="D79" s="47" t="s">
        <v>5406</v>
      </c>
      <c r="E79" s="47" t="s">
        <v>5407</v>
      </c>
      <c r="F79" s="47" t="s">
        <v>5400</v>
      </c>
      <c r="G79" s="47" t="s">
        <v>14</v>
      </c>
      <c r="H79" s="47" t="str">
        <f>IFERROR(VLOOKUP(Table2[[#This Row], [Ticket]],Okey!A:B,2,0),"")</f>
        <v>ok</v>
      </c>
      <c r="I79" s="47" t="s">
        <v>5290</v>
      </c>
      <c r="J79" s="47" t="s">
        <v>20</v>
      </c>
      <c r="K79" s="47"/>
      <c r="L79" s="47"/>
      <c r="M79" s="49" t="s">
        <v>4794</v>
      </c>
    </row>
    <row r="80" spans="1:13">
      <c r="A80" s="48">
        <f t="shared" si="1"/>
        <v>79</v>
      </c>
      <c r="B80" s="47" t="s">
        <v>4</v>
      </c>
      <c r="C80" s="47" t="s">
        <v>225</v>
      </c>
      <c r="D80" s="47" t="s">
        <v>5408</v>
      </c>
      <c r="E80" s="47" t="s">
        <v>5409</v>
      </c>
      <c r="F80" s="47" t="s">
        <v>5400</v>
      </c>
      <c r="G80" s="47" t="s">
        <v>14</v>
      </c>
      <c r="H80" s="47" t="str">
        <f>IFERROR(VLOOKUP(Table2[[#This Row], [Ticket]],Okey!A:B,2,0),"")</f>
        <v>ok</v>
      </c>
      <c r="I80" s="47" t="s">
        <v>5290</v>
      </c>
      <c r="J80" s="47" t="s">
        <v>20</v>
      </c>
      <c r="K80" s="47"/>
      <c r="L80" s="47"/>
      <c r="M80" s="49" t="s">
        <v>4794</v>
      </c>
    </row>
    <row r="81" spans="1:13">
      <c r="A81" s="48">
        <f t="shared" si="1"/>
        <v>80</v>
      </c>
      <c r="B81" s="47" t="s">
        <v>4</v>
      </c>
      <c r="C81" s="47" t="s">
        <v>225</v>
      </c>
      <c r="D81" s="47" t="s">
        <v>5410</v>
      </c>
      <c r="E81" s="47" t="s">
        <v>5411</v>
      </c>
      <c r="F81" s="47" t="s">
        <v>5399</v>
      </c>
      <c r="G81" s="47" t="s">
        <v>14</v>
      </c>
      <c r="H81" s="47" t="str">
        <f>IFERROR(VLOOKUP(Table2[[#This Row], [Ticket]],Okey!A:B,2,0),"")</f>
        <v>ok</v>
      </c>
      <c r="I81" s="47" t="s">
        <v>5290</v>
      </c>
      <c r="J81" s="47" t="s">
        <v>20</v>
      </c>
      <c r="K81" s="47"/>
      <c r="L81" s="47"/>
      <c r="M81" s="49" t="s">
        <v>4794</v>
      </c>
    </row>
    <row r="82" spans="1:13">
      <c r="A82" s="48">
        <f t="shared" si="1"/>
        <v>81</v>
      </c>
      <c r="B82" s="47" t="s">
        <v>4</v>
      </c>
      <c r="C82" s="47" t="s">
        <v>225</v>
      </c>
      <c r="D82" s="47" t="s">
        <v>5412</v>
      </c>
      <c r="E82" s="47" t="s">
        <v>5413</v>
      </c>
      <c r="F82" s="47" t="s">
        <v>5399</v>
      </c>
      <c r="G82" s="47" t="s">
        <v>14</v>
      </c>
      <c r="H82" s="47" t="str">
        <f>IFERROR(VLOOKUP(Table2[[#This Row], [Ticket]],Okey!A:B,2,0),"")</f>
        <v>ok</v>
      </c>
      <c r="I82" s="47" t="s">
        <v>5290</v>
      </c>
      <c r="J82" s="47" t="s">
        <v>20</v>
      </c>
      <c r="K82" s="47"/>
      <c r="L82" s="47"/>
      <c r="M82" s="49" t="s">
        <v>4794</v>
      </c>
    </row>
    <row r="83" spans="1:13">
      <c r="A83" s="48">
        <f t="shared" si="1"/>
        <v>82</v>
      </c>
      <c r="B83" s="47" t="s">
        <v>4</v>
      </c>
      <c r="C83" s="47" t="s">
        <v>225</v>
      </c>
      <c r="D83" s="47" t="s">
        <v>5414</v>
      </c>
      <c r="E83" s="47" t="s">
        <v>5415</v>
      </c>
      <c r="F83" s="47" t="s">
        <v>5399</v>
      </c>
      <c r="G83" s="47" t="s">
        <v>14</v>
      </c>
      <c r="H83" s="47" t="str">
        <f>IFERROR(VLOOKUP(Table2[[#This Row], [Ticket]],Okey!A:B,2,0),"")</f>
        <v>ok</v>
      </c>
      <c r="I83" s="47" t="s">
        <v>5290</v>
      </c>
      <c r="J83" s="47" t="s">
        <v>20</v>
      </c>
      <c r="K83" s="47"/>
      <c r="L83" s="47"/>
      <c r="M83" s="49" t="s">
        <v>4794</v>
      </c>
    </row>
    <row r="84" spans="1:13">
      <c r="A84" s="48">
        <f t="shared" si="1"/>
        <v>83</v>
      </c>
      <c r="B84" s="47" t="s">
        <v>4</v>
      </c>
      <c r="C84" s="47" t="s">
        <v>225</v>
      </c>
      <c r="D84" s="47" t="s">
        <v>3159</v>
      </c>
      <c r="E84" s="47"/>
      <c r="F84" s="47" t="s">
        <v>275</v>
      </c>
      <c r="G84" s="47" t="s">
        <v>12</v>
      </c>
      <c r="H84" s="47" t="str">
        <f>IFERROR(VLOOKUP(Table2[[#This Row], [Ticket]],Okey!A:B,2,0),"")</f>
        <v>ok</v>
      </c>
      <c r="I84" s="47" t="s">
        <v>5290</v>
      </c>
      <c r="J84" s="47" t="s">
        <v>20</v>
      </c>
      <c r="K84" s="47"/>
      <c r="L84" s="47"/>
      <c r="M84" s="49" t="s">
        <v>4794</v>
      </c>
    </row>
    <row r="85" spans="1:13">
      <c r="A85" s="48">
        <f t="shared" si="1"/>
        <v>84</v>
      </c>
      <c r="B85" s="47" t="s">
        <v>4</v>
      </c>
      <c r="C85" s="47" t="s">
        <v>226</v>
      </c>
      <c r="D85" s="47" t="s">
        <v>5416</v>
      </c>
      <c r="E85" s="47" t="s">
        <v>5417</v>
      </c>
      <c r="F85" s="47" t="s">
        <v>5418</v>
      </c>
      <c r="G85" s="47" t="s">
        <v>14</v>
      </c>
      <c r="H85" s="47" t="str">
        <f>IFERROR(VLOOKUP(Table2[[#This Row], [Ticket]],Okey!A:B,2,0),"")</f>
        <v>ok</v>
      </c>
      <c r="I85" s="47" t="s">
        <v>5290</v>
      </c>
      <c r="J85" s="47" t="s">
        <v>19</v>
      </c>
      <c r="K85" s="47"/>
      <c r="L85" s="47"/>
      <c r="M85" s="49" t="s">
        <v>4788</v>
      </c>
    </row>
    <row r="86" spans="1:13">
      <c r="A86" s="48">
        <f t="shared" si="1"/>
        <v>85</v>
      </c>
      <c r="B86" s="47" t="s">
        <v>4</v>
      </c>
      <c r="C86" s="47" t="s">
        <v>226</v>
      </c>
      <c r="D86" s="47" t="s">
        <v>5419</v>
      </c>
      <c r="E86" s="47" t="s">
        <v>5420</v>
      </c>
      <c r="F86" s="47" t="s">
        <v>5421</v>
      </c>
      <c r="G86" s="47" t="s">
        <v>14</v>
      </c>
      <c r="H86" s="47" t="str">
        <f>IFERROR(VLOOKUP(Table2[[#This Row], [Ticket]],Okey!A:B,2,0),"")</f>
        <v>ok</v>
      </c>
      <c r="I86" s="47" t="s">
        <v>5290</v>
      </c>
      <c r="J86" s="47" t="s">
        <v>19</v>
      </c>
      <c r="K86" s="47"/>
      <c r="L86" s="47"/>
      <c r="M86" s="49" t="s">
        <v>4788</v>
      </c>
    </row>
    <row r="87" spans="1:13">
      <c r="A87" s="48">
        <f t="shared" si="1"/>
        <v>86</v>
      </c>
      <c r="B87" s="47" t="s">
        <v>4</v>
      </c>
      <c r="C87" s="47" t="s">
        <v>226</v>
      </c>
      <c r="D87" s="47" t="s">
        <v>5422</v>
      </c>
      <c r="E87" s="47" t="s">
        <v>5423</v>
      </c>
      <c r="F87" s="47" t="s">
        <v>5424</v>
      </c>
      <c r="G87" s="47" t="s">
        <v>14</v>
      </c>
      <c r="H87" s="47" t="str">
        <f>IFERROR(VLOOKUP(Table2[[#This Row], [Ticket]],Okey!A:B,2,0),"")</f>
        <v>ok</v>
      </c>
      <c r="I87" s="47" t="s">
        <v>5290</v>
      </c>
      <c r="J87" s="47" t="s">
        <v>19</v>
      </c>
      <c r="K87" s="47"/>
      <c r="L87" s="47"/>
      <c r="M87" s="49" t="s">
        <v>4788</v>
      </c>
    </row>
    <row r="88" spans="1:13">
      <c r="A88" s="48">
        <f t="shared" si="1"/>
        <v>87</v>
      </c>
      <c r="B88" s="47" t="s">
        <v>4</v>
      </c>
      <c r="C88" s="47" t="s">
        <v>226</v>
      </c>
      <c r="D88" s="47" t="s">
        <v>5425</v>
      </c>
      <c r="E88" s="47" t="s">
        <v>5426</v>
      </c>
      <c r="F88" s="47" t="s">
        <v>5427</v>
      </c>
      <c r="G88" s="47" t="s">
        <v>14</v>
      </c>
      <c r="H88" s="47" t="str">
        <f>IFERROR(VLOOKUP(Table2[[#This Row], [Ticket]],Okey!A:B,2,0),"")</f>
        <v>ok</v>
      </c>
      <c r="I88" s="47" t="s">
        <v>5290</v>
      </c>
      <c r="J88" s="47" t="s">
        <v>19</v>
      </c>
      <c r="K88" s="47"/>
      <c r="L88" s="47"/>
      <c r="M88" s="49" t="s">
        <v>4788</v>
      </c>
    </row>
    <row r="89" spans="1:13">
      <c r="A89" s="48">
        <f t="shared" si="1"/>
        <v>88</v>
      </c>
      <c r="B89" s="47" t="s">
        <v>4</v>
      </c>
      <c r="C89" s="47" t="s">
        <v>226</v>
      </c>
      <c r="D89" s="47" t="s">
        <v>5428</v>
      </c>
      <c r="E89" s="47" t="s">
        <v>5429</v>
      </c>
      <c r="F89" s="47" t="s">
        <v>5430</v>
      </c>
      <c r="G89" s="47" t="s">
        <v>14</v>
      </c>
      <c r="H89" s="47" t="str">
        <f>IFERROR(VLOOKUP(Table2[[#This Row], [Ticket]],Okey!A:B,2,0),"")</f>
        <v>ok</v>
      </c>
      <c r="I89" s="47" t="s">
        <v>5290</v>
      </c>
      <c r="J89" s="47" t="s">
        <v>19</v>
      </c>
      <c r="K89" s="47"/>
      <c r="L89" s="47"/>
      <c r="M89" s="49" t="s">
        <v>4788</v>
      </c>
    </row>
    <row r="90" spans="1:13">
      <c r="A90" s="48">
        <f t="shared" si="1"/>
        <v>89</v>
      </c>
      <c r="B90" s="47" t="s">
        <v>4</v>
      </c>
      <c r="C90" s="47" t="s">
        <v>230</v>
      </c>
      <c r="D90" s="47" t="s">
        <v>5431</v>
      </c>
      <c r="E90" s="47"/>
      <c r="F90" s="47" t="s">
        <v>275</v>
      </c>
      <c r="G90" s="47" t="s">
        <v>12</v>
      </c>
      <c r="H90" s="47" t="str">
        <f>IFERROR(VLOOKUP(Table2[[#This Row], [Ticket]],Okey!A:B,2,0),"")</f>
        <v>ok</v>
      </c>
      <c r="I90" s="47" t="s">
        <v>5290</v>
      </c>
      <c r="J90" s="47" t="s">
        <v>19</v>
      </c>
      <c r="K90" s="47"/>
      <c r="L90" s="47"/>
      <c r="M90" s="49" t="s">
        <v>1613</v>
      </c>
    </row>
    <row r="91" spans="1:13">
      <c r="A91" s="48">
        <f t="shared" si="1"/>
        <v>90</v>
      </c>
      <c r="B91" s="47" t="s">
        <v>4</v>
      </c>
      <c r="C91" s="47" t="s">
        <v>230</v>
      </c>
      <c r="D91" s="47" t="s">
        <v>5432</v>
      </c>
      <c r="E91" s="47"/>
      <c r="F91" s="47" t="s">
        <v>275</v>
      </c>
      <c r="G91" s="47" t="s">
        <v>12</v>
      </c>
      <c r="H91" s="47" t="str">
        <f>IFERROR(VLOOKUP(Table2[[#This Row], [Ticket]],Okey!A:B,2,0),"")</f>
        <v>ok</v>
      </c>
      <c r="I91" s="47" t="s">
        <v>5290</v>
      </c>
      <c r="J91" s="47" t="s">
        <v>19</v>
      </c>
      <c r="K91" s="47"/>
      <c r="L91" s="47"/>
      <c r="M91" s="49" t="s">
        <v>1613</v>
      </c>
    </row>
    <row r="92" spans="1:13">
      <c r="A92" s="48">
        <f t="shared" si="1"/>
        <v>91</v>
      </c>
      <c r="B92" s="47" t="s">
        <v>4</v>
      </c>
      <c r="C92" s="47" t="s">
        <v>230</v>
      </c>
      <c r="D92" s="47" t="s">
        <v>5433</v>
      </c>
      <c r="E92" s="47"/>
      <c r="F92" s="47" t="s">
        <v>275</v>
      </c>
      <c r="G92" s="47" t="s">
        <v>12</v>
      </c>
      <c r="H92" s="47" t="str">
        <f>IFERROR(VLOOKUP(Table2[[#This Row], [Ticket]],Okey!A:B,2,0),"")</f>
        <v>ok</v>
      </c>
      <c r="I92" s="47" t="s">
        <v>5290</v>
      </c>
      <c r="J92" s="47" t="s">
        <v>19</v>
      </c>
      <c r="K92" s="47"/>
      <c r="L92" s="47"/>
      <c r="M92" s="49" t="s">
        <v>1613</v>
      </c>
    </row>
    <row r="93" spans="1:13">
      <c r="A93" s="48">
        <f t="shared" si="1"/>
        <v>92</v>
      </c>
      <c r="B93" s="47" t="s">
        <v>4</v>
      </c>
      <c r="C93" s="47" t="s">
        <v>230</v>
      </c>
      <c r="D93" s="47" t="s">
        <v>5434</v>
      </c>
      <c r="E93" s="47"/>
      <c r="F93" s="47" t="s">
        <v>275</v>
      </c>
      <c r="G93" s="47" t="s">
        <v>12</v>
      </c>
      <c r="H93" s="47" t="str">
        <f>IFERROR(VLOOKUP(Table2[[#This Row], [Ticket]],Okey!A:B,2,0),"")</f>
        <v>ok</v>
      </c>
      <c r="I93" s="47" t="s">
        <v>5290</v>
      </c>
      <c r="J93" s="47" t="s">
        <v>19</v>
      </c>
      <c r="K93" s="47"/>
      <c r="L93" s="47"/>
      <c r="M93" s="49" t="s">
        <v>1613</v>
      </c>
    </row>
    <row r="94" spans="1:13">
      <c r="A94" s="48">
        <f t="shared" si="1"/>
        <v>93</v>
      </c>
      <c r="B94" s="47" t="s">
        <v>4</v>
      </c>
      <c r="C94" s="47" t="s">
        <v>227</v>
      </c>
      <c r="D94" s="47" t="s">
        <v>5435</v>
      </c>
      <c r="E94" s="47" t="s">
        <v>5436</v>
      </c>
      <c r="F94" s="47"/>
      <c r="G94" s="47" t="s">
        <v>15</v>
      </c>
      <c r="H94" s="47" t="str">
        <f>IFERROR(VLOOKUP(Table2[[#This Row], [Ticket]],Okey!A:B,2,0),"")</f>
        <v>ok</v>
      </c>
      <c r="I94" s="47" t="s">
        <v>5290</v>
      </c>
      <c r="J94" s="47" t="s">
        <v>19</v>
      </c>
      <c r="K94" s="47"/>
      <c r="L94" s="47"/>
      <c r="M94" s="49" t="s">
        <v>4786</v>
      </c>
    </row>
    <row r="95" spans="1:13">
      <c r="A95" s="48">
        <f t="shared" si="1"/>
        <v>94</v>
      </c>
      <c r="B95" s="47" t="s">
        <v>4</v>
      </c>
      <c r="C95" s="47" t="s">
        <v>227</v>
      </c>
      <c r="D95" s="47" t="s">
        <v>5437</v>
      </c>
      <c r="E95" s="47" t="s">
        <v>5438</v>
      </c>
      <c r="F95" s="47"/>
      <c r="G95" s="47" t="s">
        <v>15</v>
      </c>
      <c r="H95" s="47" t="str">
        <f>IFERROR(VLOOKUP(Table2[[#This Row], [Ticket]],Okey!A:B,2,0),"")</f>
        <v>ok</v>
      </c>
      <c r="I95" s="47" t="s">
        <v>5290</v>
      </c>
      <c r="J95" s="47" t="s">
        <v>19</v>
      </c>
      <c r="K95" s="47"/>
      <c r="L95" s="47"/>
      <c r="M95" s="49" t="s">
        <v>4786</v>
      </c>
    </row>
    <row r="96" spans="1:13">
      <c r="A96" s="48">
        <f t="shared" si="1"/>
        <v>95</v>
      </c>
      <c r="B96" s="47" t="s">
        <v>4</v>
      </c>
      <c r="C96" s="47" t="s">
        <v>227</v>
      </c>
      <c r="D96" s="47" t="s">
        <v>3327</v>
      </c>
      <c r="E96" s="47" t="s">
        <v>5439</v>
      </c>
      <c r="F96" s="47"/>
      <c r="G96" s="47" t="s">
        <v>15</v>
      </c>
      <c r="H96" s="47" t="str">
        <f>IFERROR(VLOOKUP(Table2[[#This Row], [Ticket]],Okey!A:B,2,0),"")</f>
        <v>ok</v>
      </c>
      <c r="I96" s="47" t="s">
        <v>5290</v>
      </c>
      <c r="J96" s="47" t="s">
        <v>19</v>
      </c>
      <c r="K96" s="47"/>
      <c r="L96" s="47"/>
      <c r="M96" s="49" t="s">
        <v>4786</v>
      </c>
    </row>
    <row r="97" spans="1:13">
      <c r="A97" s="48">
        <f t="shared" si="1"/>
        <v>96</v>
      </c>
      <c r="B97" s="47" t="s">
        <v>4</v>
      </c>
      <c r="C97" s="47" t="s">
        <v>227</v>
      </c>
      <c r="D97" s="47" t="s">
        <v>5440</v>
      </c>
      <c r="E97" s="47" t="s">
        <v>5441</v>
      </c>
      <c r="F97" s="47"/>
      <c r="G97" s="47" t="s">
        <v>15</v>
      </c>
      <c r="H97" s="47" t="str">
        <f>IFERROR(VLOOKUP(Table2[[#This Row], [Ticket]],Okey!A:B,2,0),"")</f>
        <v>ok</v>
      </c>
      <c r="I97" s="47" t="s">
        <v>5290</v>
      </c>
      <c r="J97" s="47" t="s">
        <v>19</v>
      </c>
      <c r="K97" s="47"/>
      <c r="L97" s="47"/>
      <c r="M97" s="49" t="s">
        <v>4786</v>
      </c>
    </row>
    <row r="98" spans="1:13">
      <c r="A98" s="48">
        <f t="shared" si="1"/>
        <v>97</v>
      </c>
      <c r="B98" s="47" t="s">
        <v>4</v>
      </c>
      <c r="C98" s="47" t="s">
        <v>227</v>
      </c>
      <c r="D98" s="47" t="s">
        <v>5442</v>
      </c>
      <c r="E98" s="47" t="s">
        <v>5443</v>
      </c>
      <c r="F98" s="47"/>
      <c r="G98" s="47" t="s">
        <v>15</v>
      </c>
      <c r="H98" s="47" t="str">
        <f>IFERROR(VLOOKUP(Table2[[#This Row], [Ticket]],Okey!A:B,2,0),"")</f>
        <v>ok</v>
      </c>
      <c r="I98" s="47" t="s">
        <v>5290</v>
      </c>
      <c r="J98" s="47" t="s">
        <v>19</v>
      </c>
      <c r="K98" s="47"/>
      <c r="L98" s="47"/>
      <c r="M98" s="49" t="s">
        <v>4786</v>
      </c>
    </row>
    <row r="99" spans="1:13">
      <c r="A99" s="48">
        <f t="shared" si="1"/>
        <v>98</v>
      </c>
      <c r="B99" s="47" t="s">
        <v>4</v>
      </c>
      <c r="C99" s="47" t="s">
        <v>227</v>
      </c>
      <c r="D99" s="47" t="s">
        <v>5444</v>
      </c>
      <c r="E99" s="47" t="s">
        <v>5445</v>
      </c>
      <c r="F99" s="47"/>
      <c r="G99" s="47" t="s">
        <v>15</v>
      </c>
      <c r="H99" s="47" t="str">
        <f>IFERROR(VLOOKUP(Table2[[#This Row], [Ticket]],Okey!A:B,2,0),"")</f>
        <v>ok</v>
      </c>
      <c r="I99" s="47" t="s">
        <v>5290</v>
      </c>
      <c r="J99" s="47" t="s">
        <v>19</v>
      </c>
      <c r="K99" s="47"/>
      <c r="L99" s="47"/>
      <c r="M99" s="49" t="s">
        <v>4786</v>
      </c>
    </row>
    <row r="100" spans="1:13">
      <c r="A100" s="48">
        <f t="shared" si="1"/>
        <v>99</v>
      </c>
      <c r="B100" s="47" t="s">
        <v>4</v>
      </c>
      <c r="C100" s="47" t="s">
        <v>227</v>
      </c>
      <c r="D100" s="47" t="s">
        <v>5446</v>
      </c>
      <c r="E100" s="47" t="s">
        <v>5447</v>
      </c>
      <c r="F100" s="47"/>
      <c r="G100" s="47" t="s">
        <v>15</v>
      </c>
      <c r="H100" s="47" t="str">
        <f>IFERROR(VLOOKUP(Table2[[#This Row], [Ticket]],Okey!A:B,2,0),"")</f>
        <v>ok</v>
      </c>
      <c r="I100" s="47" t="s">
        <v>5290</v>
      </c>
      <c r="J100" s="47" t="s">
        <v>19</v>
      </c>
      <c r="K100" s="47"/>
      <c r="L100" s="47"/>
      <c r="M100" s="49" t="s">
        <v>4786</v>
      </c>
    </row>
    <row r="101" spans="1:13">
      <c r="A101" s="48">
        <f t="shared" si="1"/>
        <v>100</v>
      </c>
      <c r="B101" s="47" t="s">
        <v>4</v>
      </c>
      <c r="C101" s="47" t="s">
        <v>227</v>
      </c>
      <c r="D101" s="47" t="s">
        <v>5448</v>
      </c>
      <c r="E101" s="47" t="s">
        <v>5449</v>
      </c>
      <c r="F101" s="47"/>
      <c r="G101" s="47" t="s">
        <v>15</v>
      </c>
      <c r="H101" s="47" t="str">
        <f>IFERROR(VLOOKUP(Table2[[#This Row], [Ticket]],Okey!A:B,2,0),"")</f>
        <v>ok</v>
      </c>
      <c r="I101" s="47" t="s">
        <v>5290</v>
      </c>
      <c r="J101" s="47" t="s">
        <v>19</v>
      </c>
      <c r="K101" s="47"/>
      <c r="L101" s="47"/>
      <c r="M101" s="49" t="s">
        <v>4786</v>
      </c>
    </row>
    <row r="102" spans="1:13">
      <c r="A102" s="48">
        <f t="shared" si="1"/>
        <v>101</v>
      </c>
      <c r="B102" s="47" t="s">
        <v>4</v>
      </c>
      <c r="C102" s="47" t="s">
        <v>228</v>
      </c>
      <c r="D102" s="47" t="s">
        <v>5450</v>
      </c>
      <c r="E102" s="47" t="s">
        <v>5451</v>
      </c>
      <c r="F102" s="47" t="s">
        <v>5292</v>
      </c>
      <c r="G102" s="47" t="s">
        <v>13</v>
      </c>
      <c r="H102" s="47" t="str">
        <f>IFERROR(VLOOKUP(Table2[[#This Row], [Ticket]],Okey!A:B,2,0),"")</f>
        <v>ok</v>
      </c>
      <c r="I102" s="47" t="s">
        <v>5290</v>
      </c>
      <c r="J102" s="47" t="s">
        <v>17</v>
      </c>
      <c r="K102" s="47"/>
      <c r="L102" s="47"/>
      <c r="M102" s="49" t="s">
        <v>1230</v>
      </c>
    </row>
    <row r="103" spans="1:13">
      <c r="A103" s="48">
        <f t="shared" si="1"/>
        <v>102</v>
      </c>
      <c r="B103" s="47" t="s">
        <v>4</v>
      </c>
      <c r="C103" s="47" t="s">
        <v>228</v>
      </c>
      <c r="D103" s="47" t="s">
        <v>5452</v>
      </c>
      <c r="E103" s="47"/>
      <c r="F103" s="47" t="s">
        <v>275</v>
      </c>
      <c r="G103" s="47" t="s">
        <v>12</v>
      </c>
      <c r="H103" s="47" t="str">
        <f>IFERROR(VLOOKUP(Table2[[#This Row], [Ticket]],Okey!A:B,2,0),"")</f>
        <v>ok</v>
      </c>
      <c r="I103" s="47" t="s">
        <v>5290</v>
      </c>
      <c r="J103" s="47" t="s">
        <v>17</v>
      </c>
      <c r="K103" s="47"/>
      <c r="L103" s="47"/>
      <c r="M103" s="49" t="s">
        <v>1230</v>
      </c>
    </row>
    <row r="104" spans="1:13">
      <c r="A104" s="48">
        <f t="shared" si="1"/>
        <v>103</v>
      </c>
      <c r="B104" s="47" t="s">
        <v>4</v>
      </c>
      <c r="C104" s="47" t="s">
        <v>228</v>
      </c>
      <c r="D104" s="47" t="s">
        <v>5453</v>
      </c>
      <c r="E104" s="47"/>
      <c r="F104" s="47" t="s">
        <v>275</v>
      </c>
      <c r="G104" s="47" t="s">
        <v>12</v>
      </c>
      <c r="H104" s="47" t="str">
        <f>IFERROR(VLOOKUP(Table2[[#This Row], [Ticket]],Okey!A:B,2,0),"")</f>
        <v>ok</v>
      </c>
      <c r="I104" s="47" t="s">
        <v>5290</v>
      </c>
      <c r="J104" s="47" t="s">
        <v>17</v>
      </c>
      <c r="K104" s="47"/>
      <c r="L104" s="47"/>
      <c r="M104" s="49" t="s">
        <v>1230</v>
      </c>
    </row>
    <row r="105" spans="1:13">
      <c r="A105" s="48">
        <f t="shared" si="1"/>
        <v>104</v>
      </c>
      <c r="B105" s="47" t="s">
        <v>4</v>
      </c>
      <c r="C105" s="47" t="s">
        <v>228</v>
      </c>
      <c r="D105" s="47" t="s">
        <v>5454</v>
      </c>
      <c r="E105" s="47"/>
      <c r="F105" s="47" t="s">
        <v>275</v>
      </c>
      <c r="G105" s="47" t="s">
        <v>12</v>
      </c>
      <c r="H105" s="47" t="str">
        <f>IFERROR(VLOOKUP(Table2[[#This Row], [Ticket]],Okey!A:B,2,0),"")</f>
        <v>ok</v>
      </c>
      <c r="I105" s="47" t="s">
        <v>5290</v>
      </c>
      <c r="J105" s="47" t="s">
        <v>17</v>
      </c>
      <c r="K105" s="47"/>
      <c r="L105" s="47"/>
      <c r="M105" s="49" t="s">
        <v>1230</v>
      </c>
    </row>
    <row r="106" spans="1:13">
      <c r="A106" s="48">
        <f t="shared" si="1"/>
        <v>105</v>
      </c>
      <c r="B106" s="47" t="s">
        <v>4</v>
      </c>
      <c r="C106" s="47" t="s">
        <v>229</v>
      </c>
      <c r="D106" s="47" t="s">
        <v>5039</v>
      </c>
      <c r="E106" s="47" t="s">
        <v>5040</v>
      </c>
      <c r="F106" s="47"/>
      <c r="G106" s="47" t="s">
        <v>15</v>
      </c>
      <c r="H106" s="47" t="str">
        <f>IFERROR(VLOOKUP(Table2[[#This Row], [Ticket]],Okey!A:B,2,0),"")</f>
        <v>ok</v>
      </c>
      <c r="I106" s="47" t="s">
        <v>5290</v>
      </c>
      <c r="J106" s="47" t="s">
        <v>17</v>
      </c>
      <c r="K106" s="47"/>
      <c r="L106" s="47"/>
      <c r="M106" s="49" t="s">
        <v>4778</v>
      </c>
    </row>
    <row r="107" spans="1:13">
      <c r="A107" s="48">
        <f t="shared" si="1"/>
        <v>106</v>
      </c>
      <c r="B107" s="47" t="s">
        <v>4</v>
      </c>
      <c r="C107" s="47" t="s">
        <v>229</v>
      </c>
      <c r="D107" s="47" t="s">
        <v>5041</v>
      </c>
      <c r="E107" s="47" t="s">
        <v>5042</v>
      </c>
      <c r="F107" s="47"/>
      <c r="G107" s="47" t="s">
        <v>15</v>
      </c>
      <c r="H107" s="47" t="str">
        <f>IFERROR(VLOOKUP(Table2[[#This Row], [Ticket]],Okey!A:B,2,0),"")</f>
        <v>ok</v>
      </c>
      <c r="I107" s="47" t="s">
        <v>5290</v>
      </c>
      <c r="J107" s="47" t="s">
        <v>17</v>
      </c>
      <c r="K107" s="47"/>
      <c r="L107" s="47"/>
      <c r="M107" s="49" t="s">
        <v>4778</v>
      </c>
    </row>
    <row r="108" spans="1:13">
      <c r="A108" s="48">
        <f t="shared" si="1"/>
        <v>107</v>
      </c>
      <c r="B108" s="47" t="s">
        <v>4</v>
      </c>
      <c r="C108" s="47" t="s">
        <v>229</v>
      </c>
      <c r="D108" s="47" t="s">
        <v>5043</v>
      </c>
      <c r="E108" s="47" t="s">
        <v>5044</v>
      </c>
      <c r="F108" s="47"/>
      <c r="G108" s="47" t="s">
        <v>15</v>
      </c>
      <c r="H108" s="47" t="str">
        <f>IFERROR(VLOOKUP(Table2[[#This Row], [Ticket]],Okey!A:B,2,0),"")</f>
        <v>ok</v>
      </c>
      <c r="I108" s="47" t="s">
        <v>5290</v>
      </c>
      <c r="J108" s="47" t="s">
        <v>17</v>
      </c>
      <c r="K108" s="47"/>
      <c r="L108" s="47"/>
      <c r="M108" s="49" t="s">
        <v>4778</v>
      </c>
    </row>
    <row r="109" spans="1:13">
      <c r="A109" s="48">
        <f t="shared" si="1"/>
        <v>108</v>
      </c>
      <c r="B109" s="47" t="s">
        <v>4</v>
      </c>
      <c r="C109" s="47" t="s">
        <v>229</v>
      </c>
      <c r="D109" s="47" t="s">
        <v>5455</v>
      </c>
      <c r="E109" s="47" t="s">
        <v>5456</v>
      </c>
      <c r="F109" s="47" t="s">
        <v>5457</v>
      </c>
      <c r="G109" s="47" t="s">
        <v>14</v>
      </c>
      <c r="H109" s="47" t="str">
        <f>IFERROR(VLOOKUP(Table2[[#This Row], [Ticket]],Okey!A:B,2,0),"")</f>
        <v>ok</v>
      </c>
      <c r="I109" s="47" t="s">
        <v>5290</v>
      </c>
      <c r="J109" s="47" t="s">
        <v>17</v>
      </c>
      <c r="K109" s="47"/>
      <c r="L109" s="47"/>
      <c r="M109" s="49" t="s">
        <v>4778</v>
      </c>
    </row>
    <row r="110" spans="1:13">
      <c r="A110" s="48">
        <f t="shared" si="1"/>
        <v>109</v>
      </c>
      <c r="B110" s="47" t="s">
        <v>4</v>
      </c>
      <c r="C110" s="47" t="s">
        <v>229</v>
      </c>
      <c r="D110" s="47" t="s">
        <v>5458</v>
      </c>
      <c r="E110" s="47" t="s">
        <v>5459</v>
      </c>
      <c r="F110" s="47" t="s">
        <v>5460</v>
      </c>
      <c r="G110" s="47" t="s">
        <v>14</v>
      </c>
      <c r="H110" s="47" t="str">
        <f>IFERROR(VLOOKUP(Table2[[#This Row], [Ticket]],Okey!A:B,2,0),"")</f>
        <v>ok</v>
      </c>
      <c r="I110" s="47" t="s">
        <v>5290</v>
      </c>
      <c r="J110" s="47" t="s">
        <v>17</v>
      </c>
      <c r="K110" s="47"/>
      <c r="L110" s="47"/>
      <c r="M110" s="49" t="s">
        <v>4778</v>
      </c>
    </row>
    <row r="111" spans="1:13">
      <c r="A111" s="48">
        <f t="shared" si="1"/>
        <v>110</v>
      </c>
      <c r="B111" s="47" t="s">
        <v>4</v>
      </c>
      <c r="C111" s="47" t="s">
        <v>229</v>
      </c>
      <c r="D111" s="47" t="s">
        <v>5461</v>
      </c>
      <c r="E111" s="47" t="s">
        <v>5462</v>
      </c>
      <c r="F111" s="47" t="s">
        <v>5463</v>
      </c>
      <c r="G111" s="47" t="s">
        <v>14</v>
      </c>
      <c r="H111" s="47" t="str">
        <f>IFERROR(VLOOKUP(Table2[[#This Row], [Ticket]],Okey!A:B,2,0),"")</f>
        <v>ok</v>
      </c>
      <c r="I111" s="47" t="s">
        <v>5290</v>
      </c>
      <c r="J111" s="47" t="s">
        <v>17</v>
      </c>
      <c r="K111" s="47"/>
      <c r="L111" s="47"/>
      <c r="M111" s="49" t="s">
        <v>4778</v>
      </c>
    </row>
    <row r="112" spans="1:13">
      <c r="A112" s="48">
        <f t="shared" si="1"/>
        <v>111</v>
      </c>
      <c r="B112" s="47" t="s">
        <v>4</v>
      </c>
      <c r="C112" s="47" t="s">
        <v>229</v>
      </c>
      <c r="D112" s="47" t="s">
        <v>5464</v>
      </c>
      <c r="E112" s="47" t="s">
        <v>5465</v>
      </c>
      <c r="F112" s="47" t="s">
        <v>5466</v>
      </c>
      <c r="G112" s="47" t="s">
        <v>14</v>
      </c>
      <c r="H112" s="47" t="str">
        <f>IFERROR(VLOOKUP(Table2[[#This Row], [Ticket]],Okey!A:B,2,0),"")</f>
        <v>ok</v>
      </c>
      <c r="I112" s="47" t="s">
        <v>5290</v>
      </c>
      <c r="J112" s="47" t="s">
        <v>17</v>
      </c>
      <c r="K112" s="47"/>
      <c r="L112" s="47"/>
      <c r="M112" s="49" t="s">
        <v>4778</v>
      </c>
    </row>
    <row r="113" spans="1:13">
      <c r="A113" s="48">
        <f t="shared" si="1"/>
        <v>112</v>
      </c>
      <c r="B113" s="47" t="s">
        <v>4</v>
      </c>
      <c r="C113" s="47" t="s">
        <v>229</v>
      </c>
      <c r="D113" s="47" t="s">
        <v>5467</v>
      </c>
      <c r="E113" s="47" t="s">
        <v>5468</v>
      </c>
      <c r="F113" s="47" t="s">
        <v>5469</v>
      </c>
      <c r="G113" s="47" t="s">
        <v>14</v>
      </c>
      <c r="H113" s="47" t="str">
        <f>IFERROR(VLOOKUP(Table2[[#This Row], [Ticket]],Okey!A:B,2,0),"")</f>
        <v>ok</v>
      </c>
      <c r="I113" s="47" t="s">
        <v>5290</v>
      </c>
      <c r="J113" s="47" t="s">
        <v>17</v>
      </c>
      <c r="K113" s="47"/>
      <c r="L113" s="47"/>
      <c r="M113" s="49" t="s">
        <v>4778</v>
      </c>
    </row>
    <row r="114" spans="1:13">
      <c r="A114" s="48">
        <f t="shared" si="1"/>
        <v>113</v>
      </c>
      <c r="B114" s="47" t="s">
        <v>4</v>
      </c>
      <c r="C114" s="47" t="s">
        <v>229</v>
      </c>
      <c r="D114" s="47" t="s">
        <v>5470</v>
      </c>
      <c r="E114" s="47" t="s">
        <v>5471</v>
      </c>
      <c r="F114" s="47" t="s">
        <v>5472</v>
      </c>
      <c r="G114" s="47" t="s">
        <v>14</v>
      </c>
      <c r="H114" s="47" t="str">
        <f>IFERROR(VLOOKUP(Table2[[#This Row], [Ticket]],Okey!A:B,2,0),"")</f>
        <v>ok</v>
      </c>
      <c r="I114" s="47" t="s">
        <v>5290</v>
      </c>
      <c r="J114" s="47" t="s">
        <v>17</v>
      </c>
      <c r="K114" s="47"/>
      <c r="L114" s="47"/>
      <c r="M114" s="49" t="s">
        <v>4778</v>
      </c>
    </row>
    <row r="115" spans="1:13">
      <c r="A115" s="48">
        <f t="shared" si="1"/>
        <v>114</v>
      </c>
      <c r="B115" s="47" t="s">
        <v>4</v>
      </c>
      <c r="C115" s="47" t="s">
        <v>229</v>
      </c>
      <c r="D115" s="47" t="s">
        <v>5473</v>
      </c>
      <c r="E115" s="47" t="s">
        <v>5474</v>
      </c>
      <c r="F115" s="47" t="s">
        <v>5475</v>
      </c>
      <c r="G115" s="47" t="s">
        <v>14</v>
      </c>
      <c r="H115" s="47" t="str">
        <f>IFERROR(VLOOKUP(Table2[[#This Row], [Ticket]],Okey!A:B,2,0),"")</f>
        <v>ok</v>
      </c>
      <c r="I115" s="47" t="s">
        <v>5290</v>
      </c>
      <c r="J115" s="47" t="s">
        <v>17</v>
      </c>
      <c r="K115" s="47"/>
      <c r="L115" s="47"/>
      <c r="M115" s="49" t="s">
        <v>4778</v>
      </c>
    </row>
    <row r="116" spans="1:13">
      <c r="A116" s="48">
        <f t="shared" si="1"/>
        <v>115</v>
      </c>
      <c r="B116" s="47" t="s">
        <v>4</v>
      </c>
      <c r="C116" s="47" t="s">
        <v>231</v>
      </c>
      <c r="D116" s="47" t="s">
        <v>5476</v>
      </c>
      <c r="E116" s="47" t="s">
        <v>5477</v>
      </c>
      <c r="F116" s="47" t="s">
        <v>1342</v>
      </c>
      <c r="G116" s="47" t="s">
        <v>14</v>
      </c>
      <c r="H116" s="47" t="str">
        <f>IFERROR(VLOOKUP(Table2[[#This Row], [Ticket]],Okey!A:B,2,0),"")</f>
        <v>ok</v>
      </c>
      <c r="I116" s="47" t="s">
        <v>5290</v>
      </c>
      <c r="J116" s="47" t="s">
        <v>18</v>
      </c>
      <c r="K116" s="47"/>
      <c r="L116" s="47"/>
      <c r="M116" s="49" t="s">
        <v>4790</v>
      </c>
    </row>
    <row r="117" spans="1:13">
      <c r="A117" s="48">
        <f t="shared" si="1"/>
        <v>116</v>
      </c>
      <c r="B117" s="47" t="s">
        <v>4</v>
      </c>
      <c r="C117" s="47" t="s">
        <v>231</v>
      </c>
      <c r="D117" s="47" t="s">
        <v>5478</v>
      </c>
      <c r="E117" s="47" t="s">
        <v>5479</v>
      </c>
      <c r="F117" s="47" t="s">
        <v>1344</v>
      </c>
      <c r="G117" s="47" t="s">
        <v>14</v>
      </c>
      <c r="H117" s="47" t="str">
        <f>IFERROR(VLOOKUP(Table2[[#This Row], [Ticket]],Okey!A:B,2,0),"")</f>
        <v>ok</v>
      </c>
      <c r="I117" s="47" t="s">
        <v>5290</v>
      </c>
      <c r="J117" s="47" t="s">
        <v>18</v>
      </c>
      <c r="K117" s="47"/>
      <c r="L117" s="47"/>
      <c r="M117" s="49" t="s">
        <v>4790</v>
      </c>
    </row>
    <row r="118" spans="1:13">
      <c r="A118" s="48">
        <f t="shared" si="1"/>
        <v>117</v>
      </c>
      <c r="B118" s="47" t="s">
        <v>4</v>
      </c>
      <c r="C118" s="47" t="s">
        <v>231</v>
      </c>
      <c r="D118" s="47" t="s">
        <v>5480</v>
      </c>
      <c r="E118" s="47" t="s">
        <v>5481</v>
      </c>
      <c r="F118" s="47" t="s">
        <v>1346</v>
      </c>
      <c r="G118" s="47" t="s">
        <v>14</v>
      </c>
      <c r="H118" s="47" t="str">
        <f>IFERROR(VLOOKUP(Table2[[#This Row], [Ticket]],Okey!A:B,2,0),"")</f>
        <v>ok</v>
      </c>
      <c r="I118" s="47" t="s">
        <v>5290</v>
      </c>
      <c r="J118" s="47" t="s">
        <v>18</v>
      </c>
      <c r="K118" s="47"/>
      <c r="L118" s="47"/>
      <c r="M118" s="49" t="s">
        <v>4790</v>
      </c>
    </row>
    <row r="119" spans="1:13">
      <c r="A119" s="48">
        <f t="shared" si="1"/>
        <v>118</v>
      </c>
      <c r="B119" s="47" t="s">
        <v>4</v>
      </c>
      <c r="C119" s="47" t="s">
        <v>231</v>
      </c>
      <c r="D119" s="47" t="s">
        <v>5482</v>
      </c>
      <c r="E119" s="47" t="s">
        <v>5483</v>
      </c>
      <c r="F119" s="47" t="s">
        <v>1350</v>
      </c>
      <c r="G119" s="47" t="s">
        <v>14</v>
      </c>
      <c r="H119" s="47" t="str">
        <f>IFERROR(VLOOKUP(Table2[[#This Row], [Ticket]],Okey!A:B,2,0),"")</f>
        <v>ok</v>
      </c>
      <c r="I119" s="47" t="s">
        <v>5290</v>
      </c>
      <c r="J119" s="47" t="s">
        <v>18</v>
      </c>
      <c r="K119" s="47"/>
      <c r="L119" s="47"/>
      <c r="M119" s="49" t="s">
        <v>4790</v>
      </c>
    </row>
    <row r="120" spans="1:13">
      <c r="A120" s="48">
        <f t="shared" si="1"/>
        <v>119</v>
      </c>
      <c r="B120" s="47" t="s">
        <v>4</v>
      </c>
      <c r="C120" s="47" t="s">
        <v>231</v>
      </c>
      <c r="D120" s="47" t="s">
        <v>5484</v>
      </c>
      <c r="E120" s="47" t="s">
        <v>5485</v>
      </c>
      <c r="F120" s="47" t="s">
        <v>1352</v>
      </c>
      <c r="G120" s="47" t="s">
        <v>14</v>
      </c>
      <c r="H120" s="47" t="str">
        <f>IFERROR(VLOOKUP(Table2[[#This Row], [Ticket]],Okey!A:B,2,0),"")</f>
        <v>ok</v>
      </c>
      <c r="I120" s="47" t="s">
        <v>5290</v>
      </c>
      <c r="J120" s="47" t="s">
        <v>18</v>
      </c>
      <c r="K120" s="47"/>
      <c r="L120" s="47"/>
      <c r="M120" s="49" t="s">
        <v>4790</v>
      </c>
    </row>
    <row r="121" spans="1:13">
      <c r="A121" s="48">
        <f t="shared" si="1"/>
        <v>120</v>
      </c>
      <c r="B121" s="47" t="s">
        <v>4</v>
      </c>
      <c r="C121" s="47" t="s">
        <v>231</v>
      </c>
      <c r="D121" s="47" t="s">
        <v>5486</v>
      </c>
      <c r="E121" s="47" t="s">
        <v>5487</v>
      </c>
      <c r="F121" s="47" t="s">
        <v>1354</v>
      </c>
      <c r="G121" s="47" t="s">
        <v>14</v>
      </c>
      <c r="H121" s="47" t="str">
        <f>IFERROR(VLOOKUP(Table2[[#This Row], [Ticket]],Okey!A:B,2,0),"")</f>
        <v>ok</v>
      </c>
      <c r="I121" s="47" t="s">
        <v>5290</v>
      </c>
      <c r="J121" s="47" t="s">
        <v>18</v>
      </c>
      <c r="K121" s="47"/>
      <c r="L121" s="47"/>
      <c r="M121" s="49" t="s">
        <v>4790</v>
      </c>
    </row>
    <row r="122" spans="1:13">
      <c r="A122" s="48">
        <f t="shared" si="1"/>
        <v>121</v>
      </c>
      <c r="B122" s="47" t="s">
        <v>4</v>
      </c>
      <c r="C122" s="47" t="s">
        <v>231</v>
      </c>
      <c r="D122" s="47" t="s">
        <v>5488</v>
      </c>
      <c r="E122" s="47" t="s">
        <v>5489</v>
      </c>
      <c r="F122" s="47" t="s">
        <v>1309</v>
      </c>
      <c r="G122" s="47" t="s">
        <v>14</v>
      </c>
      <c r="H122" s="47" t="str">
        <f>IFERROR(VLOOKUP(Table2[[#This Row], [Ticket]],Okey!A:B,2,0),"")</f>
        <v>ok</v>
      </c>
      <c r="I122" s="47" t="s">
        <v>5290</v>
      </c>
      <c r="J122" s="47" t="s">
        <v>18</v>
      </c>
      <c r="K122" s="47"/>
      <c r="L122" s="47"/>
      <c r="M122" s="49" t="s">
        <v>4790</v>
      </c>
    </row>
    <row r="123" spans="1:13">
      <c r="A123" s="48">
        <f t="shared" si="1"/>
        <v>122</v>
      </c>
      <c r="B123" s="47" t="s">
        <v>4</v>
      </c>
      <c r="C123" s="47" t="s">
        <v>231</v>
      </c>
      <c r="D123" s="47" t="s">
        <v>5490</v>
      </c>
      <c r="E123" s="47" t="s">
        <v>5491</v>
      </c>
      <c r="F123" s="47" t="s">
        <v>1309</v>
      </c>
      <c r="G123" s="47" t="s">
        <v>14</v>
      </c>
      <c r="H123" s="47" t="str">
        <f>IFERROR(VLOOKUP(Table2[[#This Row], [Ticket]],Okey!A:B,2,0),"")</f>
        <v>ok</v>
      </c>
      <c r="I123" s="47" t="s">
        <v>5290</v>
      </c>
      <c r="J123" s="47" t="s">
        <v>18</v>
      </c>
      <c r="K123" s="47"/>
      <c r="L123" s="47"/>
      <c r="M123" s="49" t="s">
        <v>4790</v>
      </c>
    </row>
    <row r="124" spans="1:13">
      <c r="A124" s="48">
        <f t="shared" si="1"/>
        <v>123</v>
      </c>
      <c r="B124" s="47" t="s">
        <v>4</v>
      </c>
      <c r="C124" s="47" t="s">
        <v>231</v>
      </c>
      <c r="D124" s="47" t="s">
        <v>5492</v>
      </c>
      <c r="E124" s="47" t="s">
        <v>5493</v>
      </c>
      <c r="F124" s="47" t="s">
        <v>5494</v>
      </c>
      <c r="G124" s="47" t="s">
        <v>14</v>
      </c>
      <c r="H124" s="47" t="str">
        <f>IFERROR(VLOOKUP(Table2[[#This Row], [Ticket]],Okey!A:B,2,0),"")</f>
        <v>ok</v>
      </c>
      <c r="I124" s="47" t="s">
        <v>5290</v>
      </c>
      <c r="J124" s="47" t="s">
        <v>18</v>
      </c>
      <c r="K124" s="47"/>
      <c r="L124" s="47"/>
      <c r="M124" s="49" t="s">
        <v>4790</v>
      </c>
    </row>
    <row r="125" spans="1:13">
      <c r="A125" s="48">
        <f t="shared" si="1"/>
        <v>124</v>
      </c>
      <c r="B125" s="47" t="s">
        <v>4</v>
      </c>
      <c r="C125" s="47" t="s">
        <v>231</v>
      </c>
      <c r="D125" s="47" t="s">
        <v>4814</v>
      </c>
      <c r="E125" s="47" t="s">
        <v>5495</v>
      </c>
      <c r="F125" s="47" t="s">
        <v>5492</v>
      </c>
      <c r="G125" s="47" t="s">
        <v>14</v>
      </c>
      <c r="H125" s="47" t="str">
        <f>IFERROR(VLOOKUP(Table2[[#This Row], [Ticket]],Okey!A:B,2,0),"")</f>
        <v>ok</v>
      </c>
      <c r="I125" s="47" t="s">
        <v>5290</v>
      </c>
      <c r="J125" s="47" t="s">
        <v>18</v>
      </c>
      <c r="K125" s="47"/>
      <c r="L125" s="47"/>
      <c r="M125" s="49" t="s">
        <v>4790</v>
      </c>
    </row>
    <row r="126" spans="1:13">
      <c r="A126" s="48">
        <f t="shared" si="1"/>
        <v>125</v>
      </c>
      <c r="B126" s="47" t="s">
        <v>4</v>
      </c>
      <c r="C126" s="47" t="s">
        <v>231</v>
      </c>
      <c r="D126" s="47" t="s">
        <v>5496</v>
      </c>
      <c r="E126" s="47" t="s">
        <v>5497</v>
      </c>
      <c r="F126" s="47" t="s">
        <v>4814</v>
      </c>
      <c r="G126" s="47" t="s">
        <v>14</v>
      </c>
      <c r="H126" s="47" t="str">
        <f>IFERROR(VLOOKUP(Table2[[#This Row], [Ticket]],Okey!A:B,2,0),"")</f>
        <v>ok</v>
      </c>
      <c r="I126" s="47" t="s">
        <v>5290</v>
      </c>
      <c r="J126" s="47" t="s">
        <v>18</v>
      </c>
      <c r="K126" s="47"/>
      <c r="L126" s="47"/>
      <c r="M126" s="49" t="s">
        <v>4790</v>
      </c>
    </row>
    <row r="127" spans="1:13">
      <c r="A127" s="48">
        <f t="shared" si="1"/>
        <v>126</v>
      </c>
      <c r="B127" s="47" t="s">
        <v>4</v>
      </c>
      <c r="C127" s="47" t="s">
        <v>231</v>
      </c>
      <c r="D127" s="47" t="s">
        <v>4998</v>
      </c>
      <c r="E127" s="47" t="s">
        <v>5498</v>
      </c>
      <c r="F127" s="47" t="s">
        <v>4814</v>
      </c>
      <c r="G127" s="47" t="s">
        <v>14</v>
      </c>
      <c r="H127" s="47" t="str">
        <f>IFERROR(VLOOKUP(Table2[[#This Row], [Ticket]],Okey!A:B,2,0),"")</f>
        <v>ok</v>
      </c>
      <c r="I127" s="47" t="s">
        <v>5290</v>
      </c>
      <c r="J127" s="47" t="s">
        <v>18</v>
      </c>
      <c r="K127" s="47"/>
      <c r="L127" s="47"/>
      <c r="M127" s="49" t="s">
        <v>4790</v>
      </c>
    </row>
    <row r="128" spans="1:13">
      <c r="A128" s="48">
        <f t="shared" si="1"/>
        <v>127</v>
      </c>
      <c r="B128" s="47" t="s">
        <v>4</v>
      </c>
      <c r="C128" s="47" t="s">
        <v>231</v>
      </c>
      <c r="D128" s="47" t="s">
        <v>5499</v>
      </c>
      <c r="E128" s="47" t="s">
        <v>5500</v>
      </c>
      <c r="F128" s="47" t="s">
        <v>4814</v>
      </c>
      <c r="G128" s="47" t="s">
        <v>14</v>
      </c>
      <c r="H128" s="47" t="str">
        <f>IFERROR(VLOOKUP(Table2[[#This Row], [Ticket]],Okey!A:B,2,0),"")</f>
        <v>ok</v>
      </c>
      <c r="I128" s="47" t="s">
        <v>5290</v>
      </c>
      <c r="J128" s="47" t="s">
        <v>18</v>
      </c>
      <c r="K128" s="47"/>
      <c r="L128" s="47"/>
      <c r="M128" s="49" t="s">
        <v>4790</v>
      </c>
    </row>
    <row r="129" spans="1:13">
      <c r="A129" s="48">
        <f t="shared" si="1"/>
        <v>128</v>
      </c>
      <c r="B129" s="47" t="s">
        <v>4</v>
      </c>
      <c r="C129" s="47" t="s">
        <v>231</v>
      </c>
      <c r="D129" s="47" t="s">
        <v>5000</v>
      </c>
      <c r="E129" s="47" t="s">
        <v>5501</v>
      </c>
      <c r="F129" s="47" t="s">
        <v>4814</v>
      </c>
      <c r="G129" s="47" t="s">
        <v>14</v>
      </c>
      <c r="H129" s="47" t="str">
        <f>IFERROR(VLOOKUP(Table2[[#This Row], [Ticket]],Okey!A:B,2,0),"")</f>
        <v>ok</v>
      </c>
      <c r="I129" s="47" t="s">
        <v>5290</v>
      </c>
      <c r="J129" s="47" t="s">
        <v>18</v>
      </c>
      <c r="K129" s="47"/>
      <c r="L129" s="47"/>
      <c r="M129" s="49" t="s">
        <v>4790</v>
      </c>
    </row>
    <row r="130" spans="1:13">
      <c r="A130" s="48">
        <f t="shared" si="1"/>
        <v>129</v>
      </c>
      <c r="B130" s="47" t="s">
        <v>4</v>
      </c>
      <c r="C130" s="47" t="s">
        <v>231</v>
      </c>
      <c r="D130" s="47" t="s">
        <v>5502</v>
      </c>
      <c r="E130" s="47" t="s">
        <v>5503</v>
      </c>
      <c r="F130" s="47" t="s">
        <v>4814</v>
      </c>
      <c r="G130" s="47" t="s">
        <v>14</v>
      </c>
      <c r="H130" s="47" t="str">
        <f>IFERROR(VLOOKUP(Table2[[#This Row], [Ticket]],Okey!A:B,2,0),"")</f>
        <v>ok</v>
      </c>
      <c r="I130" s="47" t="s">
        <v>5290</v>
      </c>
      <c r="J130" s="47" t="s">
        <v>18</v>
      </c>
      <c r="K130" s="47"/>
      <c r="L130" s="47"/>
      <c r="M130" s="49" t="s">
        <v>4790</v>
      </c>
    </row>
    <row r="131" spans="1:13">
      <c r="A131" s="48">
        <f t="shared" ref="A131:A194" si="2">1+A130</f>
        <v>130</v>
      </c>
      <c r="B131" s="47" t="s">
        <v>4</v>
      </c>
      <c r="C131" s="47" t="s">
        <v>231</v>
      </c>
      <c r="D131" s="47" t="s">
        <v>5504</v>
      </c>
      <c r="E131" s="47" t="s">
        <v>5505</v>
      </c>
      <c r="F131" s="47" t="s">
        <v>4814</v>
      </c>
      <c r="G131" s="47" t="s">
        <v>14</v>
      </c>
      <c r="H131" s="47" t="str">
        <f>IFERROR(VLOOKUP(Table2[[#This Row], [Ticket]],Okey!A:B,2,0),"")</f>
        <v>ok</v>
      </c>
      <c r="I131" s="47" t="s">
        <v>5290</v>
      </c>
      <c r="J131" s="47" t="s">
        <v>18</v>
      </c>
      <c r="K131" s="47"/>
      <c r="L131" s="47"/>
      <c r="M131" s="49" t="s">
        <v>4790</v>
      </c>
    </row>
    <row r="132" spans="1:13">
      <c r="A132" s="48">
        <f t="shared" si="2"/>
        <v>131</v>
      </c>
      <c r="B132" s="47" t="s">
        <v>4</v>
      </c>
      <c r="C132" s="47" t="s">
        <v>231</v>
      </c>
      <c r="D132" s="47" t="s">
        <v>5506</v>
      </c>
      <c r="E132" s="47" t="s">
        <v>5507</v>
      </c>
      <c r="F132" s="47" t="s">
        <v>4814</v>
      </c>
      <c r="G132" s="47" t="s">
        <v>14</v>
      </c>
      <c r="H132" s="47" t="str">
        <f>IFERROR(VLOOKUP(Table2[[#This Row], [Ticket]],Okey!A:B,2,0),"")</f>
        <v>ok</v>
      </c>
      <c r="I132" s="47" t="s">
        <v>5290</v>
      </c>
      <c r="J132" s="47" t="s">
        <v>18</v>
      </c>
      <c r="K132" s="47"/>
      <c r="L132" s="47"/>
      <c r="M132" s="49" t="s">
        <v>4790</v>
      </c>
    </row>
    <row r="133" spans="1:13">
      <c r="A133" s="48">
        <f t="shared" si="2"/>
        <v>132</v>
      </c>
      <c r="B133" s="47" t="s">
        <v>4</v>
      </c>
      <c r="C133" s="47" t="s">
        <v>231</v>
      </c>
      <c r="D133" s="47" t="s">
        <v>5508</v>
      </c>
      <c r="E133" s="47" t="s">
        <v>5509</v>
      </c>
      <c r="F133" s="47" t="s">
        <v>5492</v>
      </c>
      <c r="G133" s="47" t="s">
        <v>14</v>
      </c>
      <c r="H133" s="47" t="str">
        <f>IFERROR(VLOOKUP(Table2[[#This Row], [Ticket]],Okey!A:B,2,0),"")</f>
        <v>ok</v>
      </c>
      <c r="I133" s="47" t="s">
        <v>5290</v>
      </c>
      <c r="J133" s="47" t="s">
        <v>18</v>
      </c>
      <c r="K133" s="47"/>
      <c r="L133" s="47"/>
      <c r="M133" s="49" t="s">
        <v>4790</v>
      </c>
    </row>
    <row r="134" spans="1:13">
      <c r="A134" s="48">
        <f t="shared" si="2"/>
        <v>133</v>
      </c>
      <c r="B134" s="47" t="s">
        <v>4</v>
      </c>
      <c r="C134" s="47" t="s">
        <v>231</v>
      </c>
      <c r="D134" s="47" t="s">
        <v>5510</v>
      </c>
      <c r="E134" s="47" t="s">
        <v>5511</v>
      </c>
      <c r="F134" s="47" t="s">
        <v>5508</v>
      </c>
      <c r="G134" s="47" t="s">
        <v>14</v>
      </c>
      <c r="H134" s="47" t="str">
        <f>IFERROR(VLOOKUP(Table2[[#This Row], [Ticket]],Okey!A:B,2,0),"")</f>
        <v>ok</v>
      </c>
      <c r="I134" s="47" t="s">
        <v>5290</v>
      </c>
      <c r="J134" s="47" t="s">
        <v>18</v>
      </c>
      <c r="K134" s="47"/>
      <c r="L134" s="47"/>
      <c r="M134" s="49" t="s">
        <v>4790</v>
      </c>
    </row>
    <row r="135" spans="1:13">
      <c r="A135" s="48">
        <f t="shared" si="2"/>
        <v>134</v>
      </c>
      <c r="B135" s="47" t="s">
        <v>4</v>
      </c>
      <c r="C135" s="47" t="s">
        <v>231</v>
      </c>
      <c r="D135" s="47" t="s">
        <v>5512</v>
      </c>
      <c r="E135" s="47" t="s">
        <v>5513</v>
      </c>
      <c r="F135" s="47" t="s">
        <v>5508</v>
      </c>
      <c r="G135" s="47" t="s">
        <v>14</v>
      </c>
      <c r="H135" s="47" t="str">
        <f>IFERROR(VLOOKUP(Table2[[#This Row], [Ticket]],Okey!A:B,2,0),"")</f>
        <v>ok</v>
      </c>
      <c r="I135" s="47" t="s">
        <v>5290</v>
      </c>
      <c r="J135" s="47" t="s">
        <v>18</v>
      </c>
      <c r="K135" s="47"/>
      <c r="L135" s="47"/>
      <c r="M135" s="49" t="s">
        <v>4790</v>
      </c>
    </row>
    <row r="136" spans="1:13">
      <c r="A136" s="48">
        <f t="shared" si="2"/>
        <v>135</v>
      </c>
      <c r="B136" s="47" t="s">
        <v>4</v>
      </c>
      <c r="C136" s="47" t="s">
        <v>231</v>
      </c>
      <c r="D136" s="47" t="s">
        <v>5514</v>
      </c>
      <c r="E136" s="47" t="s">
        <v>5515</v>
      </c>
      <c r="F136" s="47" t="s">
        <v>5508</v>
      </c>
      <c r="G136" s="47" t="s">
        <v>14</v>
      </c>
      <c r="H136" s="47" t="str">
        <f>IFERROR(VLOOKUP(Table2[[#This Row], [Ticket]],Okey!A:B,2,0),"")</f>
        <v>ok</v>
      </c>
      <c r="I136" s="47" t="s">
        <v>5290</v>
      </c>
      <c r="J136" s="47" t="s">
        <v>18</v>
      </c>
      <c r="K136" s="47"/>
      <c r="L136" s="47"/>
      <c r="M136" s="49" t="s">
        <v>4790</v>
      </c>
    </row>
    <row r="137" spans="1:13">
      <c r="A137" s="48">
        <f t="shared" si="2"/>
        <v>136</v>
      </c>
      <c r="B137" s="47" t="s">
        <v>4</v>
      </c>
      <c r="C137" s="47" t="s">
        <v>231</v>
      </c>
      <c r="D137" s="47" t="s">
        <v>5516</v>
      </c>
      <c r="E137" s="47" t="s">
        <v>5517</v>
      </c>
      <c r="F137" s="47" t="s">
        <v>5508</v>
      </c>
      <c r="G137" s="47" t="s">
        <v>14</v>
      </c>
      <c r="H137" s="47" t="str">
        <f>IFERROR(VLOOKUP(Table2[[#This Row], [Ticket]],Okey!A:B,2,0),"")</f>
        <v>ok</v>
      </c>
      <c r="I137" s="47" t="s">
        <v>5290</v>
      </c>
      <c r="J137" s="47" t="s">
        <v>18</v>
      </c>
      <c r="K137" s="47"/>
      <c r="L137" s="47"/>
      <c r="M137" s="49" t="s">
        <v>4790</v>
      </c>
    </row>
    <row r="138" spans="1:13">
      <c r="A138" s="48">
        <f t="shared" si="2"/>
        <v>137</v>
      </c>
      <c r="B138" s="47" t="s">
        <v>4</v>
      </c>
      <c r="C138" s="47" t="s">
        <v>231</v>
      </c>
      <c r="D138" s="47" t="s">
        <v>5518</v>
      </c>
      <c r="E138" s="47" t="s">
        <v>5519</v>
      </c>
      <c r="F138" s="47" t="s">
        <v>5492</v>
      </c>
      <c r="G138" s="47" t="s">
        <v>14</v>
      </c>
      <c r="H138" s="47" t="str">
        <f>IFERROR(VLOOKUP(Table2[[#This Row], [Ticket]],Okey!A:B,2,0),"")</f>
        <v>ok</v>
      </c>
      <c r="I138" s="47" t="s">
        <v>5290</v>
      </c>
      <c r="J138" s="47" t="s">
        <v>18</v>
      </c>
      <c r="K138" s="47"/>
      <c r="L138" s="47"/>
      <c r="M138" s="49" t="s">
        <v>4790</v>
      </c>
    </row>
    <row r="139" spans="1:13">
      <c r="A139" s="48">
        <f t="shared" si="2"/>
        <v>138</v>
      </c>
      <c r="B139" s="47" t="s">
        <v>4</v>
      </c>
      <c r="C139" s="47" t="s">
        <v>231</v>
      </c>
      <c r="D139" s="47" t="s">
        <v>5520</v>
      </c>
      <c r="E139" s="47" t="s">
        <v>5521</v>
      </c>
      <c r="F139" s="47" t="s">
        <v>956</v>
      </c>
      <c r="G139" s="47" t="s">
        <v>14</v>
      </c>
      <c r="H139" s="47" t="str">
        <f>IFERROR(VLOOKUP(Table2[[#This Row], [Ticket]],Okey!A:B,2,0),"")</f>
        <v>ok</v>
      </c>
      <c r="I139" s="47" t="s">
        <v>5290</v>
      </c>
      <c r="J139" s="47" t="s">
        <v>18</v>
      </c>
      <c r="K139" s="47"/>
      <c r="L139" s="47"/>
      <c r="M139" s="49" t="s">
        <v>4790</v>
      </c>
    </row>
    <row r="140" spans="1:13">
      <c r="A140" s="48">
        <f t="shared" si="2"/>
        <v>139</v>
      </c>
      <c r="B140" s="47" t="s">
        <v>4</v>
      </c>
      <c r="C140" s="47" t="s">
        <v>231</v>
      </c>
      <c r="D140" s="47" t="s">
        <v>5522</v>
      </c>
      <c r="E140" s="47" t="s">
        <v>5523</v>
      </c>
      <c r="F140" s="47" t="s">
        <v>5524</v>
      </c>
      <c r="G140" s="47" t="s">
        <v>14</v>
      </c>
      <c r="H140" s="47" t="str">
        <f>IFERROR(VLOOKUP(Table2[[#This Row], [Ticket]],Okey!A:B,2,0),"")</f>
        <v>ok</v>
      </c>
      <c r="I140" s="47" t="s">
        <v>5290</v>
      </c>
      <c r="J140" s="47" t="s">
        <v>18</v>
      </c>
      <c r="K140" s="47"/>
      <c r="L140" s="47"/>
      <c r="M140" s="49" t="s">
        <v>4790</v>
      </c>
    </row>
    <row r="141" spans="1:13">
      <c r="A141" s="48">
        <f t="shared" si="2"/>
        <v>140</v>
      </c>
      <c r="B141" s="47" t="s">
        <v>4</v>
      </c>
      <c r="C141" s="47" t="s">
        <v>231</v>
      </c>
      <c r="D141" s="47" t="s">
        <v>5525</v>
      </c>
      <c r="E141" s="47" t="s">
        <v>5526</v>
      </c>
      <c r="F141" s="47" t="s">
        <v>5524</v>
      </c>
      <c r="G141" s="47" t="s">
        <v>14</v>
      </c>
      <c r="H141" s="47" t="str">
        <f>IFERROR(VLOOKUP(Table2[[#This Row], [Ticket]],Okey!A:B,2,0),"")</f>
        <v>ok</v>
      </c>
      <c r="I141" s="47" t="s">
        <v>5290</v>
      </c>
      <c r="J141" s="47" t="s">
        <v>18</v>
      </c>
      <c r="K141" s="47"/>
      <c r="L141" s="47"/>
      <c r="M141" s="49" t="s">
        <v>4790</v>
      </c>
    </row>
    <row r="142" spans="1:13">
      <c r="A142" s="48">
        <f t="shared" si="2"/>
        <v>141</v>
      </c>
      <c r="B142" s="47" t="s">
        <v>4</v>
      </c>
      <c r="C142" s="47" t="s">
        <v>231</v>
      </c>
      <c r="D142" s="47" t="s">
        <v>5527</v>
      </c>
      <c r="E142" s="47" t="s">
        <v>5528</v>
      </c>
      <c r="F142" s="47" t="s">
        <v>5529</v>
      </c>
      <c r="G142" s="47" t="s">
        <v>14</v>
      </c>
      <c r="H142" s="47" t="str">
        <f>IFERROR(VLOOKUP(Table2[[#This Row], [Ticket]],Okey!A:B,2,0),"")</f>
        <v>ok</v>
      </c>
      <c r="I142" s="47" t="s">
        <v>5290</v>
      </c>
      <c r="J142" s="47" t="s">
        <v>18</v>
      </c>
      <c r="K142" s="47"/>
      <c r="L142" s="47"/>
      <c r="M142" s="49" t="s">
        <v>4790</v>
      </c>
    </row>
    <row r="143" spans="1:13">
      <c r="A143" s="48">
        <f t="shared" si="2"/>
        <v>142</v>
      </c>
      <c r="B143" s="47" t="s">
        <v>4</v>
      </c>
      <c r="C143" s="47" t="s">
        <v>231</v>
      </c>
      <c r="D143" s="47" t="s">
        <v>5530</v>
      </c>
      <c r="E143" s="47" t="s">
        <v>5531</v>
      </c>
      <c r="F143" s="47"/>
      <c r="G143" s="47" t="s">
        <v>15</v>
      </c>
      <c r="H143" s="47" t="str">
        <f>IFERROR(VLOOKUP(Table2[[#This Row], [Ticket]],Okey!A:B,2,0),"")</f>
        <v>ok</v>
      </c>
      <c r="I143" s="47" t="s">
        <v>5290</v>
      </c>
      <c r="J143" s="47" t="s">
        <v>18</v>
      </c>
      <c r="K143" s="47"/>
      <c r="L143" s="47"/>
      <c r="M143" s="49" t="s">
        <v>4790</v>
      </c>
    </row>
    <row r="144" spans="1:13">
      <c r="A144" s="48">
        <f t="shared" si="2"/>
        <v>143</v>
      </c>
      <c r="B144" s="47" t="s">
        <v>4</v>
      </c>
      <c r="C144" s="47" t="s">
        <v>231</v>
      </c>
      <c r="D144" s="47" t="s">
        <v>5532</v>
      </c>
      <c r="E144" s="47" t="s">
        <v>5533</v>
      </c>
      <c r="F144" s="47"/>
      <c r="G144" s="47" t="s">
        <v>15</v>
      </c>
      <c r="H144" s="47" t="str">
        <f>IFERROR(VLOOKUP(Table2[[#This Row], [Ticket]],Okey!A:B,2,0),"")</f>
        <v>ok</v>
      </c>
      <c r="I144" s="47" t="s">
        <v>5290</v>
      </c>
      <c r="J144" s="47" t="s">
        <v>18</v>
      </c>
      <c r="K144" s="47"/>
      <c r="L144" s="47"/>
      <c r="M144" s="49" t="s">
        <v>4790</v>
      </c>
    </row>
    <row r="145" spans="1:13">
      <c r="A145" s="48">
        <f t="shared" si="2"/>
        <v>144</v>
      </c>
      <c r="B145" s="47" t="s">
        <v>4</v>
      </c>
      <c r="C145" s="47" t="s">
        <v>231</v>
      </c>
      <c r="D145" s="47" t="s">
        <v>5534</v>
      </c>
      <c r="E145" s="47" t="s">
        <v>5535</v>
      </c>
      <c r="F145" s="47"/>
      <c r="G145" s="47" t="s">
        <v>15</v>
      </c>
      <c r="H145" s="47" t="str">
        <f>IFERROR(VLOOKUP(Table2[[#This Row], [Ticket]],Okey!A:B,2,0),"")</f>
        <v>ok</v>
      </c>
      <c r="I145" s="47" t="s">
        <v>5290</v>
      </c>
      <c r="J145" s="47" t="s">
        <v>18</v>
      </c>
      <c r="K145" s="47"/>
      <c r="L145" s="47"/>
      <c r="M145" s="49" t="s">
        <v>4790</v>
      </c>
    </row>
    <row r="146" spans="1:13">
      <c r="A146" s="48">
        <f t="shared" si="2"/>
        <v>145</v>
      </c>
      <c r="B146" s="47" t="s">
        <v>4</v>
      </c>
      <c r="C146" s="47" t="s">
        <v>231</v>
      </c>
      <c r="D146" s="47" t="s">
        <v>3495</v>
      </c>
      <c r="E146" s="47" t="s">
        <v>5536</v>
      </c>
      <c r="F146" s="47"/>
      <c r="G146" s="47" t="s">
        <v>15</v>
      </c>
      <c r="H146" s="47" t="str">
        <f>IFERROR(VLOOKUP(Table2[[#This Row], [Ticket]],Okey!A:B,2,0),"")</f>
        <v>ok</v>
      </c>
      <c r="I146" s="47" t="s">
        <v>5290</v>
      </c>
      <c r="J146" s="47" t="s">
        <v>18</v>
      </c>
      <c r="K146" s="47"/>
      <c r="L146" s="47"/>
      <c r="M146" s="49" t="s">
        <v>4790</v>
      </c>
    </row>
    <row r="147" spans="1:13">
      <c r="A147" s="48">
        <f t="shared" si="2"/>
        <v>146</v>
      </c>
      <c r="B147" s="47" t="s">
        <v>4</v>
      </c>
      <c r="C147" s="47" t="s">
        <v>231</v>
      </c>
      <c r="D147" s="47" t="s">
        <v>5537</v>
      </c>
      <c r="E147" s="47" t="s">
        <v>5538</v>
      </c>
      <c r="F147" s="47"/>
      <c r="G147" s="47" t="s">
        <v>15</v>
      </c>
      <c r="H147" s="47" t="str">
        <f>IFERROR(VLOOKUP(Table2[[#This Row], [Ticket]],Okey!A:B,2,0),"")</f>
        <v>ok</v>
      </c>
      <c r="I147" s="47" t="s">
        <v>5290</v>
      </c>
      <c r="J147" s="47" t="s">
        <v>18</v>
      </c>
      <c r="K147" s="47"/>
      <c r="L147" s="47"/>
      <c r="M147" s="49" t="s">
        <v>4790</v>
      </c>
    </row>
    <row r="148" spans="1:13">
      <c r="A148" s="48">
        <f t="shared" si="2"/>
        <v>147</v>
      </c>
      <c r="B148" s="47" t="s">
        <v>4</v>
      </c>
      <c r="C148" s="47" t="s">
        <v>231</v>
      </c>
      <c r="D148" s="47" t="s">
        <v>3340</v>
      </c>
      <c r="E148" s="47" t="s">
        <v>5539</v>
      </c>
      <c r="F148" s="47"/>
      <c r="G148" s="47" t="s">
        <v>15</v>
      </c>
      <c r="H148" s="47" t="str">
        <f>IFERROR(VLOOKUP(Table2[[#This Row], [Ticket]],Okey!A:B,2,0),"")</f>
        <v>ok</v>
      </c>
      <c r="I148" s="47" t="s">
        <v>5290</v>
      </c>
      <c r="J148" s="47" t="s">
        <v>18</v>
      </c>
      <c r="K148" s="47"/>
      <c r="L148" s="47"/>
      <c r="M148" s="49" t="s">
        <v>4790</v>
      </c>
    </row>
    <row r="149" spans="1:13">
      <c r="A149" s="48">
        <f t="shared" si="2"/>
        <v>148</v>
      </c>
      <c r="B149" s="47" t="s">
        <v>4</v>
      </c>
      <c r="C149" s="47" t="s">
        <v>231</v>
      </c>
      <c r="D149" s="47" t="s">
        <v>5540</v>
      </c>
      <c r="E149" s="47" t="s">
        <v>5541</v>
      </c>
      <c r="F149" s="47"/>
      <c r="G149" s="47" t="s">
        <v>15</v>
      </c>
      <c r="H149" s="47" t="str">
        <f>IFERROR(VLOOKUP(Table2[[#This Row], [Ticket]],Okey!A:B,2,0),"")</f>
        <v>ok</v>
      </c>
      <c r="I149" s="47" t="s">
        <v>5290</v>
      </c>
      <c r="J149" s="47" t="s">
        <v>18</v>
      </c>
      <c r="K149" s="47"/>
      <c r="L149" s="47"/>
      <c r="M149" s="49" t="s">
        <v>4790</v>
      </c>
    </row>
    <row r="150" spans="1:13">
      <c r="A150" s="48">
        <f t="shared" si="2"/>
        <v>149</v>
      </c>
      <c r="B150" s="47" t="s">
        <v>4</v>
      </c>
      <c r="C150" s="47" t="s">
        <v>231</v>
      </c>
      <c r="D150" s="47" t="s">
        <v>5542</v>
      </c>
      <c r="E150" s="47" t="s">
        <v>5543</v>
      </c>
      <c r="F150" s="47"/>
      <c r="G150" s="47" t="s">
        <v>15</v>
      </c>
      <c r="H150" s="47" t="str">
        <f>IFERROR(VLOOKUP(Table2[[#This Row], [Ticket]],Okey!A:B,2,0),"")</f>
        <v>ok</v>
      </c>
      <c r="I150" s="47" t="s">
        <v>5290</v>
      </c>
      <c r="J150" s="47" t="s">
        <v>18</v>
      </c>
      <c r="K150" s="47"/>
      <c r="L150" s="47"/>
      <c r="M150" s="49" t="s">
        <v>4790</v>
      </c>
    </row>
    <row r="151" spans="1:13">
      <c r="A151" s="48">
        <f t="shared" si="2"/>
        <v>150</v>
      </c>
      <c r="B151" s="47" t="s">
        <v>4</v>
      </c>
      <c r="C151" s="47" t="s">
        <v>231</v>
      </c>
      <c r="D151" s="47" t="s">
        <v>5544</v>
      </c>
      <c r="E151" s="47" t="s">
        <v>5545</v>
      </c>
      <c r="F151" s="47"/>
      <c r="G151" s="47" t="s">
        <v>15</v>
      </c>
      <c r="H151" s="47" t="str">
        <f>IFERROR(VLOOKUP(Table2[[#This Row], [Ticket]],Okey!A:B,2,0),"")</f>
        <v>ok</v>
      </c>
      <c r="I151" s="47" t="s">
        <v>5290</v>
      </c>
      <c r="J151" s="47" t="s">
        <v>18</v>
      </c>
      <c r="K151" s="47"/>
      <c r="L151" s="47"/>
      <c r="M151" s="49" t="s">
        <v>4790</v>
      </c>
    </row>
    <row r="152" spans="1:13">
      <c r="A152" s="48">
        <f t="shared" si="2"/>
        <v>151</v>
      </c>
      <c r="B152" s="47" t="s">
        <v>4</v>
      </c>
      <c r="C152" s="47" t="s">
        <v>231</v>
      </c>
      <c r="D152" s="47" t="s">
        <v>5546</v>
      </c>
      <c r="E152" s="47" t="s">
        <v>5547</v>
      </c>
      <c r="F152" s="47"/>
      <c r="G152" s="47" t="s">
        <v>15</v>
      </c>
      <c r="H152" s="47" t="str">
        <f>IFERROR(VLOOKUP(Table2[[#This Row], [Ticket]],Okey!A:B,2,0),"")</f>
        <v>ok</v>
      </c>
      <c r="I152" s="47" t="s">
        <v>5290</v>
      </c>
      <c r="J152" s="47" t="s">
        <v>18</v>
      </c>
      <c r="K152" s="47"/>
      <c r="L152" s="47"/>
      <c r="M152" s="49" t="s">
        <v>4790</v>
      </c>
    </row>
    <row r="153" spans="1:13">
      <c r="A153" s="48">
        <f t="shared" si="2"/>
        <v>152</v>
      </c>
      <c r="B153" s="47" t="s">
        <v>4</v>
      </c>
      <c r="C153" s="47" t="s">
        <v>231</v>
      </c>
      <c r="D153" s="47" t="s">
        <v>5548</v>
      </c>
      <c r="E153" s="47" t="s">
        <v>5549</v>
      </c>
      <c r="F153" s="47" t="s">
        <v>5550</v>
      </c>
      <c r="G153" s="47" t="s">
        <v>16</v>
      </c>
      <c r="H153" s="47" t="str">
        <f>IFERROR(VLOOKUP(Table2[[#This Row], [Ticket]],Okey!A:B,2,0),"")</f>
        <v>ok</v>
      </c>
      <c r="I153" s="47" t="s">
        <v>5290</v>
      </c>
      <c r="J153" s="47" t="s">
        <v>18</v>
      </c>
      <c r="K153" s="47"/>
      <c r="L153" s="47"/>
      <c r="M153" s="49" t="s">
        <v>4790</v>
      </c>
    </row>
    <row r="154" spans="1:13">
      <c r="A154" s="48">
        <f t="shared" si="2"/>
        <v>153</v>
      </c>
      <c r="B154" s="47" t="s">
        <v>4</v>
      </c>
      <c r="C154" s="47" t="s">
        <v>231</v>
      </c>
      <c r="D154" s="47" t="s">
        <v>5551</v>
      </c>
      <c r="E154" s="47" t="s">
        <v>5552</v>
      </c>
      <c r="F154" s="47" t="s">
        <v>5553</v>
      </c>
      <c r="G154" s="47" t="s">
        <v>16</v>
      </c>
      <c r="H154" s="47" t="str">
        <f>IFERROR(VLOOKUP(Table2[[#This Row], [Ticket]],Okey!A:B,2,0),"")</f>
        <v>ok</v>
      </c>
      <c r="I154" s="47" t="s">
        <v>5290</v>
      </c>
      <c r="J154" s="47" t="s">
        <v>18</v>
      </c>
      <c r="K154" s="47"/>
      <c r="L154" s="47"/>
      <c r="M154" s="49" t="s">
        <v>4790</v>
      </c>
    </row>
    <row r="155" spans="1:13">
      <c r="A155" s="48">
        <f t="shared" si="2"/>
        <v>154</v>
      </c>
      <c r="B155" s="47" t="s">
        <v>4</v>
      </c>
      <c r="C155" s="47" t="s">
        <v>231</v>
      </c>
      <c r="D155" s="47" t="s">
        <v>5554</v>
      </c>
      <c r="E155" s="47"/>
      <c r="F155" s="47" t="s">
        <v>5555</v>
      </c>
      <c r="G155" s="47" t="s">
        <v>13</v>
      </c>
      <c r="H155" s="47" t="str">
        <f>IFERROR(VLOOKUP(Table2[[#This Row], [Ticket]],Okey!A:B,2,0),"")</f>
        <v>ok</v>
      </c>
      <c r="I155" s="47" t="s">
        <v>5290</v>
      </c>
      <c r="J155" s="47" t="s">
        <v>18</v>
      </c>
      <c r="K155" s="47"/>
      <c r="L155" s="47"/>
      <c r="M155" s="49" t="s">
        <v>4790</v>
      </c>
    </row>
    <row r="156" spans="1:13">
      <c r="A156" s="48">
        <f t="shared" si="2"/>
        <v>155</v>
      </c>
      <c r="B156" s="47" t="s">
        <v>4</v>
      </c>
      <c r="C156" s="47" t="s">
        <v>231</v>
      </c>
      <c r="D156" s="47" t="s">
        <v>5556</v>
      </c>
      <c r="E156" s="47"/>
      <c r="F156" s="47" t="s">
        <v>5555</v>
      </c>
      <c r="G156" s="47" t="s">
        <v>13</v>
      </c>
      <c r="H156" s="47" t="str">
        <f>IFERROR(VLOOKUP(Table2[[#This Row], [Ticket]],Okey!A:B,2,0),"")</f>
        <v>ok</v>
      </c>
      <c r="I156" s="47" t="s">
        <v>5290</v>
      </c>
      <c r="J156" s="47" t="s">
        <v>18</v>
      </c>
      <c r="K156" s="47"/>
      <c r="L156" s="47"/>
      <c r="M156" s="49" t="s">
        <v>4790</v>
      </c>
    </row>
    <row r="157" spans="1:13">
      <c r="A157" s="48">
        <f t="shared" si="2"/>
        <v>156</v>
      </c>
      <c r="B157" s="47" t="s">
        <v>4</v>
      </c>
      <c r="C157" s="47" t="s">
        <v>231</v>
      </c>
      <c r="D157" s="47" t="s">
        <v>5557</v>
      </c>
      <c r="E157" s="47"/>
      <c r="F157" s="47" t="s">
        <v>5555</v>
      </c>
      <c r="G157" s="47" t="s">
        <v>13</v>
      </c>
      <c r="H157" s="47" t="str">
        <f>IFERROR(VLOOKUP(Table2[[#This Row], [Ticket]],Okey!A:B,2,0),"")</f>
        <v>ok</v>
      </c>
      <c r="I157" s="47" t="s">
        <v>5290</v>
      </c>
      <c r="J157" s="47" t="s">
        <v>18</v>
      </c>
      <c r="K157" s="47"/>
      <c r="L157" s="47"/>
      <c r="M157" s="49" t="s">
        <v>4790</v>
      </c>
    </row>
    <row r="158" spans="1:13">
      <c r="A158" s="48">
        <f t="shared" si="2"/>
        <v>157</v>
      </c>
      <c r="B158" s="47" t="s">
        <v>4</v>
      </c>
      <c r="C158" s="47" t="s">
        <v>231</v>
      </c>
      <c r="D158" s="47" t="s">
        <v>5558</v>
      </c>
      <c r="E158" s="47"/>
      <c r="F158" s="47" t="s">
        <v>5555</v>
      </c>
      <c r="G158" s="47" t="s">
        <v>13</v>
      </c>
      <c r="H158" s="47" t="str">
        <f>IFERROR(VLOOKUP(Table2[[#This Row], [Ticket]],Okey!A:B,2,0),"")</f>
        <v>ok</v>
      </c>
      <c r="I158" s="47" t="s">
        <v>5290</v>
      </c>
      <c r="J158" s="47" t="s">
        <v>18</v>
      </c>
      <c r="K158" s="47"/>
      <c r="L158" s="47"/>
      <c r="M158" s="49" t="s">
        <v>4790</v>
      </c>
    </row>
    <row r="159" spans="1:13">
      <c r="A159" s="48">
        <f t="shared" si="2"/>
        <v>158</v>
      </c>
      <c r="B159" s="47" t="s">
        <v>4</v>
      </c>
      <c r="C159" s="47" t="s">
        <v>231</v>
      </c>
      <c r="D159" s="47" t="s">
        <v>5559</v>
      </c>
      <c r="E159" s="47"/>
      <c r="F159" s="47" t="s">
        <v>5555</v>
      </c>
      <c r="G159" s="47" t="s">
        <v>13</v>
      </c>
      <c r="H159" s="47" t="str">
        <f>IFERROR(VLOOKUP(Table2[[#This Row], [Ticket]],Okey!A:B,2,0),"")</f>
        <v>ok</v>
      </c>
      <c r="I159" s="47" t="s">
        <v>5290</v>
      </c>
      <c r="J159" s="47" t="s">
        <v>18</v>
      </c>
      <c r="K159" s="47"/>
      <c r="L159" s="47"/>
      <c r="M159" s="49" t="s">
        <v>4790</v>
      </c>
    </row>
    <row r="160" spans="1:13">
      <c r="A160" s="48">
        <f t="shared" si="2"/>
        <v>159</v>
      </c>
      <c r="B160" s="47" t="s">
        <v>4</v>
      </c>
      <c r="C160" s="47" t="s">
        <v>231</v>
      </c>
      <c r="D160" s="47" t="s">
        <v>5560</v>
      </c>
      <c r="E160" s="47"/>
      <c r="F160" s="47" t="s">
        <v>5555</v>
      </c>
      <c r="G160" s="47" t="s">
        <v>13</v>
      </c>
      <c r="H160" s="47" t="str">
        <f>IFERROR(VLOOKUP(Table2[[#This Row], [Ticket]],Okey!A:B,2,0),"")</f>
        <v>ok</v>
      </c>
      <c r="I160" s="47" t="s">
        <v>5290</v>
      </c>
      <c r="J160" s="47" t="s">
        <v>18</v>
      </c>
      <c r="K160" s="47"/>
      <c r="L160" s="47"/>
      <c r="M160" s="49" t="s">
        <v>4790</v>
      </c>
    </row>
    <row r="161" spans="1:13">
      <c r="A161" s="48">
        <f t="shared" si="2"/>
        <v>160</v>
      </c>
      <c r="B161" s="47" t="s">
        <v>4</v>
      </c>
      <c r="C161" s="47" t="s">
        <v>231</v>
      </c>
      <c r="D161" s="47" t="s">
        <v>5561</v>
      </c>
      <c r="E161" s="47"/>
      <c r="F161" s="47" t="s">
        <v>5555</v>
      </c>
      <c r="G161" s="47" t="s">
        <v>13</v>
      </c>
      <c r="H161" s="47" t="str">
        <f>IFERROR(VLOOKUP(Table2[[#This Row], [Ticket]],Okey!A:B,2,0),"")</f>
        <v>ok</v>
      </c>
      <c r="I161" s="47" t="s">
        <v>5290</v>
      </c>
      <c r="J161" s="47" t="s">
        <v>18</v>
      </c>
      <c r="K161" s="47"/>
      <c r="L161" s="47"/>
      <c r="M161" s="49" t="s">
        <v>4790</v>
      </c>
    </row>
    <row r="162" spans="1:13">
      <c r="A162" s="48">
        <f t="shared" si="2"/>
        <v>161</v>
      </c>
      <c r="B162" s="47" t="s">
        <v>4</v>
      </c>
      <c r="C162" s="47" t="s">
        <v>231</v>
      </c>
      <c r="D162" s="47" t="s">
        <v>5562</v>
      </c>
      <c r="E162" s="47"/>
      <c r="F162" s="47" t="s">
        <v>5555</v>
      </c>
      <c r="G162" s="47" t="s">
        <v>13</v>
      </c>
      <c r="H162" s="47" t="str">
        <f>IFERROR(VLOOKUP(Table2[[#This Row], [Ticket]],Okey!A:B,2,0),"")</f>
        <v>ok</v>
      </c>
      <c r="I162" s="47" t="s">
        <v>5290</v>
      </c>
      <c r="J162" s="47" t="s">
        <v>18</v>
      </c>
      <c r="K162" s="47"/>
      <c r="L162" s="47"/>
      <c r="M162" s="49" t="s">
        <v>4790</v>
      </c>
    </row>
    <row r="163" spans="1:13">
      <c r="A163" s="48">
        <f t="shared" si="2"/>
        <v>162</v>
      </c>
      <c r="B163" s="47" t="s">
        <v>4</v>
      </c>
      <c r="C163" s="47" t="s">
        <v>231</v>
      </c>
      <c r="D163" s="47" t="s">
        <v>5563</v>
      </c>
      <c r="E163" s="47"/>
      <c r="F163" s="47" t="s">
        <v>5555</v>
      </c>
      <c r="G163" s="47" t="s">
        <v>13</v>
      </c>
      <c r="H163" s="47" t="str">
        <f>IFERROR(VLOOKUP(Table2[[#This Row], [Ticket]],Okey!A:B,2,0),"")</f>
        <v>ok</v>
      </c>
      <c r="I163" s="47" t="s">
        <v>5290</v>
      </c>
      <c r="J163" s="47" t="s">
        <v>18</v>
      </c>
      <c r="K163" s="47"/>
      <c r="L163" s="47"/>
      <c r="M163" s="49" t="s">
        <v>4790</v>
      </c>
    </row>
    <row r="164" spans="1:13">
      <c r="A164" s="48">
        <f t="shared" si="2"/>
        <v>163</v>
      </c>
      <c r="B164" s="47" t="s">
        <v>4</v>
      </c>
      <c r="C164" s="47" t="s">
        <v>231</v>
      </c>
      <c r="D164" s="47" t="s">
        <v>5564</v>
      </c>
      <c r="E164" s="47"/>
      <c r="F164" s="47" t="s">
        <v>5555</v>
      </c>
      <c r="G164" s="47" t="s">
        <v>13</v>
      </c>
      <c r="H164" s="47" t="str">
        <f>IFERROR(VLOOKUP(Table2[[#This Row], [Ticket]],Okey!A:B,2,0),"")</f>
        <v>ok</v>
      </c>
      <c r="I164" s="47" t="s">
        <v>5290</v>
      </c>
      <c r="J164" s="47" t="s">
        <v>18</v>
      </c>
      <c r="K164" s="47"/>
      <c r="L164" s="47"/>
      <c r="M164" s="49" t="s">
        <v>4790</v>
      </c>
    </row>
    <row r="165" spans="1:13">
      <c r="A165" s="48">
        <f t="shared" si="2"/>
        <v>164</v>
      </c>
      <c r="B165" s="47" t="s">
        <v>4</v>
      </c>
      <c r="C165" s="47" t="s">
        <v>231</v>
      </c>
      <c r="D165" s="47" t="s">
        <v>5565</v>
      </c>
      <c r="E165" s="47"/>
      <c r="F165" s="47" t="s">
        <v>5555</v>
      </c>
      <c r="G165" s="47" t="s">
        <v>13</v>
      </c>
      <c r="H165" s="47" t="str">
        <f>IFERROR(VLOOKUP(Table2[[#This Row], [Ticket]],Okey!A:B,2,0),"")</f>
        <v>ok</v>
      </c>
      <c r="I165" s="47" t="s">
        <v>5290</v>
      </c>
      <c r="J165" s="47" t="s">
        <v>18</v>
      </c>
      <c r="K165" s="47"/>
      <c r="L165" s="47"/>
      <c r="M165" s="49" t="s">
        <v>4790</v>
      </c>
    </row>
    <row r="166" spans="1:13">
      <c r="A166" s="48">
        <f t="shared" si="2"/>
        <v>165</v>
      </c>
      <c r="B166" s="47" t="s">
        <v>4</v>
      </c>
      <c r="C166" s="47" t="s">
        <v>231</v>
      </c>
      <c r="D166" s="47" t="s">
        <v>5566</v>
      </c>
      <c r="E166" s="47"/>
      <c r="F166" s="47" t="s">
        <v>5555</v>
      </c>
      <c r="G166" s="47" t="s">
        <v>13</v>
      </c>
      <c r="H166" s="47" t="str">
        <f>IFERROR(VLOOKUP(Table2[[#This Row], [Ticket]],Okey!A:B,2,0),"")</f>
        <v>ok</v>
      </c>
      <c r="I166" s="47" t="s">
        <v>5290</v>
      </c>
      <c r="J166" s="47" t="s">
        <v>18</v>
      </c>
      <c r="K166" s="47"/>
      <c r="L166" s="47"/>
      <c r="M166" s="49" t="s">
        <v>4790</v>
      </c>
    </row>
    <row r="167" spans="1:13">
      <c r="A167" s="48">
        <f t="shared" si="2"/>
        <v>166</v>
      </c>
      <c r="B167" s="47" t="s">
        <v>4</v>
      </c>
      <c r="C167" s="47" t="s">
        <v>231</v>
      </c>
      <c r="D167" s="47" t="s">
        <v>5567</v>
      </c>
      <c r="E167" s="47"/>
      <c r="F167" s="47" t="s">
        <v>5555</v>
      </c>
      <c r="G167" s="47" t="s">
        <v>13</v>
      </c>
      <c r="H167" s="47" t="str">
        <f>IFERROR(VLOOKUP(Table2[[#This Row], [Ticket]],Okey!A:B,2,0),"")</f>
        <v>ok</v>
      </c>
      <c r="I167" s="47" t="s">
        <v>5290</v>
      </c>
      <c r="J167" s="47" t="s">
        <v>18</v>
      </c>
      <c r="K167" s="47"/>
      <c r="L167" s="47"/>
      <c r="M167" s="49" t="s">
        <v>4790</v>
      </c>
    </row>
    <row r="168" spans="1:13">
      <c r="A168" s="48">
        <f t="shared" si="2"/>
        <v>167</v>
      </c>
      <c r="B168" s="47" t="s">
        <v>4</v>
      </c>
      <c r="C168" s="47" t="s">
        <v>231</v>
      </c>
      <c r="D168" s="47" t="s">
        <v>5568</v>
      </c>
      <c r="E168" s="47"/>
      <c r="F168" s="47" t="s">
        <v>5530</v>
      </c>
      <c r="G168" s="47" t="s">
        <v>13</v>
      </c>
      <c r="H168" s="47" t="str">
        <f>IFERROR(VLOOKUP(Table2[[#This Row], [Ticket]],Okey!A:B,2,0),"")</f>
        <v>ok</v>
      </c>
      <c r="I168" s="47" t="s">
        <v>5290</v>
      </c>
      <c r="J168" s="47" t="s">
        <v>18</v>
      </c>
      <c r="K168" s="47"/>
      <c r="L168" s="47"/>
      <c r="M168" s="49" t="s">
        <v>4790</v>
      </c>
    </row>
    <row r="169" spans="1:13">
      <c r="A169" s="48">
        <f t="shared" si="2"/>
        <v>168</v>
      </c>
      <c r="B169" s="47" t="s">
        <v>4</v>
      </c>
      <c r="C169" s="47" t="s">
        <v>231</v>
      </c>
      <c r="D169" s="47" t="s">
        <v>5569</v>
      </c>
      <c r="E169" s="47"/>
      <c r="F169" s="47" t="s">
        <v>5530</v>
      </c>
      <c r="G169" s="47" t="s">
        <v>13</v>
      </c>
      <c r="H169" s="47" t="str">
        <f>IFERROR(VLOOKUP(Table2[[#This Row], [Ticket]],Okey!A:B,2,0),"")</f>
        <v>ok</v>
      </c>
      <c r="I169" s="47" t="s">
        <v>5290</v>
      </c>
      <c r="J169" s="47" t="s">
        <v>18</v>
      </c>
      <c r="K169" s="47"/>
      <c r="L169" s="47"/>
      <c r="M169" s="49" t="s">
        <v>4790</v>
      </c>
    </row>
    <row r="170" spans="1:13">
      <c r="A170" s="48">
        <f t="shared" si="2"/>
        <v>169</v>
      </c>
      <c r="B170" s="47" t="s">
        <v>4</v>
      </c>
      <c r="C170" s="47" t="s">
        <v>231</v>
      </c>
      <c r="D170" s="47" t="s">
        <v>5570</v>
      </c>
      <c r="E170" s="47"/>
      <c r="F170" s="47" t="s">
        <v>5530</v>
      </c>
      <c r="G170" s="47" t="s">
        <v>13</v>
      </c>
      <c r="H170" s="47" t="str">
        <f>IFERROR(VLOOKUP(Table2[[#This Row], [Ticket]],Okey!A:B,2,0),"")</f>
        <v>ok</v>
      </c>
      <c r="I170" s="47" t="s">
        <v>5290</v>
      </c>
      <c r="J170" s="47" t="s">
        <v>18</v>
      </c>
      <c r="K170" s="47"/>
      <c r="L170" s="47"/>
      <c r="M170" s="49" t="s">
        <v>4790</v>
      </c>
    </row>
    <row r="171" spans="1:13">
      <c r="A171" s="48">
        <f t="shared" si="2"/>
        <v>170</v>
      </c>
      <c r="B171" s="47" t="s">
        <v>4</v>
      </c>
      <c r="C171" s="47" t="s">
        <v>231</v>
      </c>
      <c r="D171" s="47" t="s">
        <v>5571</v>
      </c>
      <c r="E171" s="47"/>
      <c r="F171" s="47" t="s">
        <v>5572</v>
      </c>
      <c r="G171" s="47" t="s">
        <v>13</v>
      </c>
      <c r="H171" s="47" t="str">
        <f>IFERROR(VLOOKUP(Table2[[#This Row], [Ticket]],Okey!A:B,2,0),"")</f>
        <v>ok</v>
      </c>
      <c r="I171" s="47" t="s">
        <v>5290</v>
      </c>
      <c r="J171" s="47" t="s">
        <v>18</v>
      </c>
      <c r="K171" s="47"/>
      <c r="L171" s="47"/>
      <c r="M171" s="49" t="s">
        <v>4790</v>
      </c>
    </row>
    <row r="172" spans="1:13">
      <c r="A172" s="48">
        <f t="shared" si="2"/>
        <v>171</v>
      </c>
      <c r="B172" s="47" t="s">
        <v>4</v>
      </c>
      <c r="C172" s="47" t="s">
        <v>231</v>
      </c>
      <c r="D172" s="47" t="s">
        <v>5573</v>
      </c>
      <c r="E172" s="47"/>
      <c r="F172" s="47" t="s">
        <v>5572</v>
      </c>
      <c r="G172" s="47" t="s">
        <v>13</v>
      </c>
      <c r="H172" s="47" t="str">
        <f>IFERROR(VLOOKUP(Table2[[#This Row], [Ticket]],Okey!A:B,2,0),"")</f>
        <v>ok</v>
      </c>
      <c r="I172" s="47" t="s">
        <v>5290</v>
      </c>
      <c r="J172" s="47" t="s">
        <v>18</v>
      </c>
      <c r="K172" s="47"/>
      <c r="L172" s="47"/>
      <c r="M172" s="49" t="s">
        <v>4790</v>
      </c>
    </row>
    <row r="173" spans="1:13">
      <c r="A173" s="48">
        <f t="shared" si="2"/>
        <v>172</v>
      </c>
      <c r="B173" s="47" t="s">
        <v>4</v>
      </c>
      <c r="C173" s="47" t="s">
        <v>231</v>
      </c>
      <c r="D173" s="47" t="s">
        <v>5574</v>
      </c>
      <c r="E173" s="47"/>
      <c r="F173" s="47" t="s">
        <v>5575</v>
      </c>
      <c r="G173" s="47" t="s">
        <v>13</v>
      </c>
      <c r="H173" s="47" t="str">
        <f>IFERROR(VLOOKUP(Table2[[#This Row], [Ticket]],Okey!A:B,2,0),"")</f>
        <v>ok</v>
      </c>
      <c r="I173" s="47" t="s">
        <v>5290</v>
      </c>
      <c r="J173" s="47" t="s">
        <v>18</v>
      </c>
      <c r="K173" s="47"/>
      <c r="L173" s="47"/>
      <c r="M173" s="49" t="s">
        <v>4790</v>
      </c>
    </row>
    <row r="174" spans="1:13">
      <c r="A174" s="48">
        <f t="shared" si="2"/>
        <v>173</v>
      </c>
      <c r="B174" s="47" t="s">
        <v>4</v>
      </c>
      <c r="C174" s="47" t="s">
        <v>231</v>
      </c>
      <c r="D174" s="47" t="s">
        <v>5576</v>
      </c>
      <c r="E174" s="47"/>
      <c r="F174" s="47" t="s">
        <v>3370</v>
      </c>
      <c r="G174" s="47" t="s">
        <v>13</v>
      </c>
      <c r="H174" s="47" t="str">
        <f>IFERROR(VLOOKUP(Table2[[#This Row], [Ticket]],Okey!A:B,2,0),"")</f>
        <v>ok</v>
      </c>
      <c r="I174" s="47" t="s">
        <v>5290</v>
      </c>
      <c r="J174" s="47" t="s">
        <v>18</v>
      </c>
      <c r="K174" s="47"/>
      <c r="L174" s="47"/>
      <c r="M174" s="49" t="s">
        <v>4790</v>
      </c>
    </row>
    <row r="175" spans="1:13">
      <c r="A175" s="48">
        <f t="shared" si="2"/>
        <v>174</v>
      </c>
      <c r="B175" s="47" t="s">
        <v>4</v>
      </c>
      <c r="C175" s="47" t="s">
        <v>231</v>
      </c>
      <c r="D175" s="47" t="s">
        <v>5577</v>
      </c>
      <c r="E175" s="47"/>
      <c r="F175" s="47" t="s">
        <v>3370</v>
      </c>
      <c r="G175" s="47" t="s">
        <v>13</v>
      </c>
      <c r="H175" s="47" t="str">
        <f>IFERROR(VLOOKUP(Table2[[#This Row], [Ticket]],Okey!A:B,2,0),"")</f>
        <v>ok</v>
      </c>
      <c r="I175" s="47" t="s">
        <v>5290</v>
      </c>
      <c r="J175" s="47" t="s">
        <v>18</v>
      </c>
      <c r="K175" s="47"/>
      <c r="L175" s="47"/>
      <c r="M175" s="49" t="s">
        <v>4790</v>
      </c>
    </row>
    <row r="176" spans="1:13">
      <c r="A176" s="48">
        <f t="shared" si="2"/>
        <v>175</v>
      </c>
      <c r="B176" s="47" t="s">
        <v>4</v>
      </c>
      <c r="C176" s="47" t="s">
        <v>231</v>
      </c>
      <c r="D176" s="47" t="s">
        <v>5578</v>
      </c>
      <c r="E176" s="47"/>
      <c r="F176" s="47" t="s">
        <v>3370</v>
      </c>
      <c r="G176" s="47" t="s">
        <v>13</v>
      </c>
      <c r="H176" s="47" t="str">
        <f>IFERROR(VLOOKUP(Table2[[#This Row], [Ticket]],Okey!A:B,2,0),"")</f>
        <v>ok</v>
      </c>
      <c r="I176" s="47" t="s">
        <v>5290</v>
      </c>
      <c r="J176" s="47" t="s">
        <v>18</v>
      </c>
      <c r="K176" s="47"/>
      <c r="L176" s="47"/>
      <c r="M176" s="49" t="s">
        <v>4790</v>
      </c>
    </row>
    <row r="177" spans="1:13">
      <c r="A177" s="48">
        <f t="shared" si="2"/>
        <v>176</v>
      </c>
      <c r="B177" s="47" t="s">
        <v>4</v>
      </c>
      <c r="C177" s="47" t="s">
        <v>231</v>
      </c>
      <c r="D177" s="47" t="s">
        <v>5579</v>
      </c>
      <c r="E177" s="47"/>
      <c r="F177" s="47" t="s">
        <v>3370</v>
      </c>
      <c r="G177" s="47" t="s">
        <v>13</v>
      </c>
      <c r="H177" s="47" t="str">
        <f>IFERROR(VLOOKUP(Table2[[#This Row], [Ticket]],Okey!A:B,2,0),"")</f>
        <v>ok</v>
      </c>
      <c r="I177" s="47" t="s">
        <v>5290</v>
      </c>
      <c r="J177" s="47" t="s">
        <v>18</v>
      </c>
      <c r="K177" s="47"/>
      <c r="L177" s="47"/>
      <c r="M177" s="49" t="s">
        <v>4790</v>
      </c>
    </row>
    <row r="178" spans="1:13">
      <c r="A178" s="48">
        <f t="shared" si="2"/>
        <v>177</v>
      </c>
      <c r="B178" s="47" t="s">
        <v>4</v>
      </c>
      <c r="C178" s="47" t="s">
        <v>231</v>
      </c>
      <c r="D178" s="47" t="s">
        <v>5580</v>
      </c>
      <c r="E178" s="47"/>
      <c r="F178" s="47" t="s">
        <v>5550</v>
      </c>
      <c r="G178" s="47" t="s">
        <v>13</v>
      </c>
      <c r="H178" s="47" t="str">
        <f>IFERROR(VLOOKUP(Table2[[#This Row], [Ticket]],Okey!A:B,2,0),"")</f>
        <v>ok</v>
      </c>
      <c r="I178" s="47" t="s">
        <v>5290</v>
      </c>
      <c r="J178" s="47" t="s">
        <v>18</v>
      </c>
      <c r="K178" s="47"/>
      <c r="L178" s="47"/>
      <c r="M178" s="49" t="s">
        <v>4790</v>
      </c>
    </row>
    <row r="179" spans="1:13">
      <c r="A179" s="48">
        <f t="shared" si="2"/>
        <v>178</v>
      </c>
      <c r="B179" s="47" t="s">
        <v>4</v>
      </c>
      <c r="C179" s="47" t="s">
        <v>231</v>
      </c>
      <c r="D179" s="47" t="s">
        <v>5581</v>
      </c>
      <c r="E179" s="47"/>
      <c r="F179" s="47" t="s">
        <v>5582</v>
      </c>
      <c r="G179" s="47" t="s">
        <v>13</v>
      </c>
      <c r="H179" s="47" t="str">
        <f>IFERROR(VLOOKUP(Table2[[#This Row], [Ticket]],Okey!A:B,2,0),"")</f>
        <v>ok</v>
      </c>
      <c r="I179" s="47" t="s">
        <v>5290</v>
      </c>
      <c r="J179" s="47" t="s">
        <v>18</v>
      </c>
      <c r="K179" s="47"/>
      <c r="L179" s="47"/>
      <c r="M179" s="49" t="s">
        <v>4790</v>
      </c>
    </row>
    <row r="180" spans="1:13">
      <c r="A180" s="48">
        <f t="shared" si="2"/>
        <v>179</v>
      </c>
      <c r="B180" s="47" t="s">
        <v>4</v>
      </c>
      <c r="C180" s="47" t="s">
        <v>231</v>
      </c>
      <c r="D180" s="47" t="s">
        <v>5583</v>
      </c>
      <c r="E180" s="47"/>
      <c r="F180" s="47" t="s">
        <v>5584</v>
      </c>
      <c r="G180" s="47" t="s">
        <v>13</v>
      </c>
      <c r="H180" s="47" t="str">
        <f>IFERROR(VLOOKUP(Table2[[#This Row], [Ticket]],Okey!A:B,2,0),"")</f>
        <v>ok</v>
      </c>
      <c r="I180" s="47" t="s">
        <v>5290</v>
      </c>
      <c r="J180" s="47" t="s">
        <v>18</v>
      </c>
      <c r="K180" s="47"/>
      <c r="L180" s="47"/>
      <c r="M180" s="49" t="s">
        <v>4790</v>
      </c>
    </row>
    <row r="181" spans="1:13">
      <c r="A181" s="48">
        <f t="shared" si="2"/>
        <v>180</v>
      </c>
      <c r="B181" s="47" t="s">
        <v>4</v>
      </c>
      <c r="C181" s="47" t="s">
        <v>231</v>
      </c>
      <c r="D181" s="47" t="s">
        <v>1411</v>
      </c>
      <c r="E181" s="47"/>
      <c r="F181" s="47" t="s">
        <v>5488</v>
      </c>
      <c r="G181" s="47" t="s">
        <v>13</v>
      </c>
      <c r="H181" s="47" t="str">
        <f>IFERROR(VLOOKUP(Table2[[#This Row], [Ticket]],Okey!A:B,2,0),"")</f>
        <v>ok</v>
      </c>
      <c r="I181" s="47" t="s">
        <v>5290</v>
      </c>
      <c r="J181" s="47" t="s">
        <v>18</v>
      </c>
      <c r="K181" s="47"/>
      <c r="L181" s="47"/>
      <c r="M181" s="49" t="s">
        <v>4790</v>
      </c>
    </row>
    <row r="182" spans="1:13">
      <c r="A182" s="48">
        <f t="shared" si="2"/>
        <v>181</v>
      </c>
      <c r="B182" s="47" t="s">
        <v>4</v>
      </c>
      <c r="C182" s="47" t="s">
        <v>231</v>
      </c>
      <c r="D182" s="47" t="s">
        <v>1409</v>
      </c>
      <c r="E182" s="47"/>
      <c r="F182" s="47" t="s">
        <v>5488</v>
      </c>
      <c r="G182" s="47" t="s">
        <v>13</v>
      </c>
      <c r="H182" s="47" t="str">
        <f>IFERROR(VLOOKUP(Table2[[#This Row], [Ticket]],Okey!A:B,2,0),"")</f>
        <v>ok</v>
      </c>
      <c r="I182" s="47" t="s">
        <v>5290</v>
      </c>
      <c r="J182" s="47" t="s">
        <v>18</v>
      </c>
      <c r="K182" s="47"/>
      <c r="L182" s="47"/>
      <c r="M182" s="49" t="s">
        <v>4790</v>
      </c>
    </row>
    <row r="183" spans="1:13">
      <c r="A183" s="48">
        <f t="shared" si="2"/>
        <v>182</v>
      </c>
      <c r="B183" s="47" t="s">
        <v>4</v>
      </c>
      <c r="C183" s="47" t="s">
        <v>231</v>
      </c>
      <c r="D183" s="47" t="s">
        <v>3479</v>
      </c>
      <c r="E183" s="47"/>
      <c r="F183" s="47" t="s">
        <v>3495</v>
      </c>
      <c r="G183" s="47" t="s">
        <v>13</v>
      </c>
      <c r="H183" s="47" t="str">
        <f>IFERROR(VLOOKUP(Table2[[#This Row], [Ticket]],Okey!A:B,2,0),"")</f>
        <v>ok</v>
      </c>
      <c r="I183" s="47" t="s">
        <v>5290</v>
      </c>
      <c r="J183" s="47" t="s">
        <v>18</v>
      </c>
      <c r="K183" s="47"/>
      <c r="L183" s="47"/>
      <c r="M183" s="49" t="s">
        <v>4790</v>
      </c>
    </row>
    <row r="184" spans="1:13">
      <c r="A184" s="48">
        <f t="shared" si="2"/>
        <v>183</v>
      </c>
      <c r="B184" s="47" t="s">
        <v>4</v>
      </c>
      <c r="C184" s="47" t="s">
        <v>231</v>
      </c>
      <c r="D184" s="47" t="s">
        <v>5585</v>
      </c>
      <c r="E184" s="47"/>
      <c r="F184" s="47" t="s">
        <v>1433</v>
      </c>
      <c r="G184" s="47" t="s">
        <v>13</v>
      </c>
      <c r="H184" s="47" t="str">
        <f>IFERROR(VLOOKUP(Table2[[#This Row], [Ticket]],Okey!A:B,2,0),"")</f>
        <v>ok</v>
      </c>
      <c r="I184" s="47" t="s">
        <v>5290</v>
      </c>
      <c r="J184" s="47" t="s">
        <v>18</v>
      </c>
      <c r="K184" s="47"/>
      <c r="L184" s="47"/>
      <c r="M184" s="49" t="s">
        <v>4790</v>
      </c>
    </row>
    <row r="185" spans="1:13">
      <c r="A185" s="48">
        <f t="shared" si="2"/>
        <v>184</v>
      </c>
      <c r="B185" s="47" t="s">
        <v>4</v>
      </c>
      <c r="C185" s="47" t="s">
        <v>231</v>
      </c>
      <c r="D185" s="47" t="s">
        <v>1762</v>
      </c>
      <c r="E185" s="47"/>
      <c r="F185" s="47" t="s">
        <v>1676</v>
      </c>
      <c r="G185" s="47" t="s">
        <v>13</v>
      </c>
      <c r="H185" s="47" t="str">
        <f>IFERROR(VLOOKUP(Table2[[#This Row], [Ticket]],Okey!A:B,2,0),"")</f>
        <v>ok</v>
      </c>
      <c r="I185" s="47" t="s">
        <v>5290</v>
      </c>
      <c r="J185" s="47" t="s">
        <v>18</v>
      </c>
      <c r="K185" s="47"/>
      <c r="L185" s="47"/>
      <c r="M185" s="49" t="s">
        <v>4790</v>
      </c>
    </row>
    <row r="186" spans="1:13">
      <c r="A186" s="48">
        <f t="shared" si="2"/>
        <v>185</v>
      </c>
      <c r="B186" s="47" t="s">
        <v>4</v>
      </c>
      <c r="C186" s="47" t="s">
        <v>231</v>
      </c>
      <c r="D186" s="47" t="s">
        <v>5586</v>
      </c>
      <c r="E186" s="47"/>
      <c r="F186" s="47" t="s">
        <v>1443</v>
      </c>
      <c r="G186" s="47" t="s">
        <v>13</v>
      </c>
      <c r="H186" s="47" t="str">
        <f>IFERROR(VLOOKUP(Table2[[#This Row], [Ticket]],Okey!A:B,2,0),"")</f>
        <v>ok</v>
      </c>
      <c r="I186" s="47" t="s">
        <v>5290</v>
      </c>
      <c r="J186" s="47" t="s">
        <v>18</v>
      </c>
      <c r="K186" s="47"/>
      <c r="L186" s="47"/>
      <c r="M186" s="49" t="s">
        <v>4790</v>
      </c>
    </row>
    <row r="187" spans="1:13">
      <c r="A187" s="48">
        <f t="shared" si="2"/>
        <v>186</v>
      </c>
      <c r="B187" s="47" t="s">
        <v>4</v>
      </c>
      <c r="C187" s="47" t="s">
        <v>231</v>
      </c>
      <c r="D187" s="47" t="s">
        <v>5587</v>
      </c>
      <c r="E187" s="47"/>
      <c r="F187" s="47" t="s">
        <v>1449</v>
      </c>
      <c r="G187" s="47" t="s">
        <v>13</v>
      </c>
      <c r="H187" s="47" t="str">
        <f>IFERROR(VLOOKUP(Table2[[#This Row], [Ticket]],Okey!A:B,2,0),"")</f>
        <v>ok</v>
      </c>
      <c r="I187" s="47" t="s">
        <v>5290</v>
      </c>
      <c r="J187" s="47" t="s">
        <v>18</v>
      </c>
      <c r="K187" s="47"/>
      <c r="L187" s="47"/>
      <c r="M187" s="49" t="s">
        <v>4790</v>
      </c>
    </row>
    <row r="188" spans="1:13">
      <c r="A188" s="48">
        <f t="shared" si="2"/>
        <v>187</v>
      </c>
      <c r="B188" s="47" t="s">
        <v>4</v>
      </c>
      <c r="C188" s="47" t="s">
        <v>231</v>
      </c>
      <c r="D188" s="47" t="s">
        <v>5588</v>
      </c>
      <c r="E188" s="47"/>
      <c r="F188" s="47" t="s">
        <v>1450</v>
      </c>
      <c r="G188" s="47" t="s">
        <v>13</v>
      </c>
      <c r="H188" s="47" t="str">
        <f>IFERROR(VLOOKUP(Table2[[#This Row], [Ticket]],Okey!A:B,2,0),"")</f>
        <v>ok</v>
      </c>
      <c r="I188" s="47" t="s">
        <v>5290</v>
      </c>
      <c r="J188" s="47" t="s">
        <v>18</v>
      </c>
      <c r="K188" s="47"/>
      <c r="L188" s="47"/>
      <c r="M188" s="49" t="s">
        <v>4790</v>
      </c>
    </row>
    <row r="189" spans="1:13">
      <c r="A189" s="48">
        <f t="shared" si="2"/>
        <v>188</v>
      </c>
      <c r="B189" s="47" t="s">
        <v>4</v>
      </c>
      <c r="C189" s="47" t="s">
        <v>231</v>
      </c>
      <c r="D189" s="47" t="s">
        <v>5589</v>
      </c>
      <c r="E189" s="47"/>
      <c r="F189" s="47" t="s">
        <v>1450</v>
      </c>
      <c r="G189" s="47" t="s">
        <v>13</v>
      </c>
      <c r="H189" s="47" t="str">
        <f>IFERROR(VLOOKUP(Table2[[#This Row], [Ticket]],Okey!A:B,2,0),"")</f>
        <v>ok</v>
      </c>
      <c r="I189" s="47" t="s">
        <v>5290</v>
      </c>
      <c r="J189" s="47" t="s">
        <v>18</v>
      </c>
      <c r="K189" s="47"/>
      <c r="L189" s="47"/>
      <c r="M189" s="49" t="s">
        <v>4790</v>
      </c>
    </row>
    <row r="190" spans="1:13">
      <c r="A190" s="48">
        <f t="shared" si="2"/>
        <v>189</v>
      </c>
      <c r="B190" s="47" t="s">
        <v>4</v>
      </c>
      <c r="C190" s="47" t="s">
        <v>231</v>
      </c>
      <c r="D190" s="47" t="s">
        <v>5590</v>
      </c>
      <c r="E190" s="47"/>
      <c r="F190" s="47" t="s">
        <v>5591</v>
      </c>
      <c r="G190" s="47" t="s">
        <v>12</v>
      </c>
      <c r="H190" s="47" t="str">
        <f>IFERROR(VLOOKUP(Table2[[#This Row], [Ticket]],Okey!A:B,2,0),"")</f>
        <v>ok</v>
      </c>
      <c r="I190" s="47" t="s">
        <v>5290</v>
      </c>
      <c r="J190" s="47" t="s">
        <v>18</v>
      </c>
      <c r="K190" s="47"/>
      <c r="L190" s="47"/>
      <c r="M190" s="49" t="s">
        <v>4790</v>
      </c>
    </row>
    <row r="191" spans="1:13">
      <c r="A191" s="48">
        <f t="shared" si="2"/>
        <v>190</v>
      </c>
      <c r="B191" s="47" t="s">
        <v>4</v>
      </c>
      <c r="C191" s="47" t="s">
        <v>231</v>
      </c>
      <c r="D191" s="47" t="s">
        <v>5592</v>
      </c>
      <c r="E191" s="47"/>
      <c r="F191" s="47" t="s">
        <v>5591</v>
      </c>
      <c r="G191" s="47" t="s">
        <v>12</v>
      </c>
      <c r="H191" s="47" t="str">
        <f>IFERROR(VLOOKUP(Table2[[#This Row], [Ticket]],Okey!A:B,2,0),"")</f>
        <v>ok</v>
      </c>
      <c r="I191" s="47" t="s">
        <v>5290</v>
      </c>
      <c r="J191" s="47" t="s">
        <v>18</v>
      </c>
      <c r="K191" s="47"/>
      <c r="L191" s="47"/>
      <c r="M191" s="49" t="s">
        <v>4790</v>
      </c>
    </row>
    <row r="192" spans="1:13">
      <c r="A192" s="48">
        <f t="shared" si="2"/>
        <v>191</v>
      </c>
      <c r="B192" s="47" t="s">
        <v>4</v>
      </c>
      <c r="C192" s="47" t="s">
        <v>231</v>
      </c>
      <c r="D192" s="47" t="s">
        <v>5593</v>
      </c>
      <c r="E192" s="47"/>
      <c r="F192" s="47" t="s">
        <v>5591</v>
      </c>
      <c r="G192" s="47" t="s">
        <v>12</v>
      </c>
      <c r="H192" s="47" t="str">
        <f>IFERROR(VLOOKUP(Table2[[#This Row], [Ticket]],Okey!A:B,2,0),"")</f>
        <v>ok</v>
      </c>
      <c r="I192" s="47" t="s">
        <v>5290</v>
      </c>
      <c r="J192" s="47" t="s">
        <v>18</v>
      </c>
      <c r="K192" s="47"/>
      <c r="L192" s="47"/>
      <c r="M192" s="49" t="s">
        <v>4790</v>
      </c>
    </row>
    <row r="193" spans="1:13">
      <c r="A193" s="48">
        <f t="shared" si="2"/>
        <v>192</v>
      </c>
      <c r="B193" s="47" t="s">
        <v>4</v>
      </c>
      <c r="C193" s="47" t="s">
        <v>231</v>
      </c>
      <c r="D193" s="47" t="s">
        <v>5594</v>
      </c>
      <c r="E193" s="47"/>
      <c r="F193" s="47" t="s">
        <v>5591</v>
      </c>
      <c r="G193" s="47" t="s">
        <v>12</v>
      </c>
      <c r="H193" s="47" t="str">
        <f>IFERROR(VLOOKUP(Table2[[#This Row], [Ticket]],Okey!A:B,2,0),"")</f>
        <v>ok</v>
      </c>
      <c r="I193" s="47" t="s">
        <v>5290</v>
      </c>
      <c r="J193" s="47" t="s">
        <v>18</v>
      </c>
      <c r="K193" s="47"/>
      <c r="L193" s="47"/>
      <c r="M193" s="49" t="s">
        <v>4790</v>
      </c>
    </row>
    <row r="194" spans="1:13">
      <c r="A194" s="48">
        <f t="shared" si="2"/>
        <v>193</v>
      </c>
      <c r="B194" s="47" t="s">
        <v>4</v>
      </c>
      <c r="C194" s="47" t="s">
        <v>231</v>
      </c>
      <c r="D194" s="47" t="s">
        <v>3568</v>
      </c>
      <c r="E194" s="47"/>
      <c r="F194" s="47" t="s">
        <v>5595</v>
      </c>
      <c r="G194" s="47" t="s">
        <v>12</v>
      </c>
      <c r="H194" s="47" t="str">
        <f>IFERROR(VLOOKUP(Table2[[#This Row], [Ticket]],Okey!A:B,2,0),"")</f>
        <v>ok</v>
      </c>
      <c r="I194" s="47" t="s">
        <v>5290</v>
      </c>
      <c r="J194" s="47" t="s">
        <v>18</v>
      </c>
      <c r="K194" s="47"/>
      <c r="L194" s="47"/>
      <c r="M194" s="49" t="s">
        <v>4790</v>
      </c>
    </row>
    <row r="195" spans="1:13">
      <c r="A195" s="48">
        <f t="shared" ref="A195:A258" si="3">1+A194</f>
        <v>194</v>
      </c>
      <c r="B195" s="47" t="s">
        <v>4</v>
      </c>
      <c r="C195" s="47" t="s">
        <v>231</v>
      </c>
      <c r="D195" s="47" t="s">
        <v>5596</v>
      </c>
      <c r="E195" s="47"/>
      <c r="F195" s="47" t="s">
        <v>5597</v>
      </c>
      <c r="G195" s="47" t="s">
        <v>12</v>
      </c>
      <c r="H195" s="47" t="str">
        <f>IFERROR(VLOOKUP(Table2[[#This Row], [Ticket]],Okey!A:B,2,0),"")</f>
        <v>ok</v>
      </c>
      <c r="I195" s="47" t="s">
        <v>5290</v>
      </c>
      <c r="J195" s="47" t="s">
        <v>18</v>
      </c>
      <c r="K195" s="47"/>
      <c r="L195" s="47"/>
      <c r="M195" s="49" t="s">
        <v>4790</v>
      </c>
    </row>
    <row r="196" spans="1:13">
      <c r="A196" s="48">
        <f t="shared" si="3"/>
        <v>195</v>
      </c>
      <c r="B196" s="47" t="s">
        <v>4</v>
      </c>
      <c r="C196" s="47" t="s">
        <v>231</v>
      </c>
      <c r="D196" s="47" t="s">
        <v>5598</v>
      </c>
      <c r="E196" s="47"/>
      <c r="F196" s="47" t="s">
        <v>5597</v>
      </c>
      <c r="G196" s="47" t="s">
        <v>12</v>
      </c>
      <c r="H196" s="47" t="str">
        <f>IFERROR(VLOOKUP(Table2[[#This Row], [Ticket]],Okey!A:B,2,0),"")</f>
        <v>ok</v>
      </c>
      <c r="I196" s="47" t="s">
        <v>5290</v>
      </c>
      <c r="J196" s="47" t="s">
        <v>18</v>
      </c>
      <c r="K196" s="47"/>
      <c r="L196" s="47"/>
      <c r="M196" s="49" t="s">
        <v>4790</v>
      </c>
    </row>
    <row r="197" spans="1:13">
      <c r="A197" s="48">
        <f t="shared" si="3"/>
        <v>196</v>
      </c>
      <c r="B197" s="47" t="s">
        <v>4</v>
      </c>
      <c r="C197" s="47" t="s">
        <v>231</v>
      </c>
      <c r="D197" s="47" t="s">
        <v>5599</v>
      </c>
      <c r="E197" s="47"/>
      <c r="F197" s="47" t="s">
        <v>5597</v>
      </c>
      <c r="G197" s="47" t="s">
        <v>12</v>
      </c>
      <c r="H197" s="47" t="str">
        <f>IFERROR(VLOOKUP(Table2[[#This Row], [Ticket]],Okey!A:B,2,0),"")</f>
        <v>ok</v>
      </c>
      <c r="I197" s="47" t="s">
        <v>5290</v>
      </c>
      <c r="J197" s="47" t="s">
        <v>18</v>
      </c>
      <c r="K197" s="47"/>
      <c r="L197" s="47"/>
      <c r="M197" s="49" t="s">
        <v>4790</v>
      </c>
    </row>
    <row r="198" spans="1:13">
      <c r="A198" s="48">
        <f t="shared" si="3"/>
        <v>197</v>
      </c>
      <c r="B198" s="47" t="s">
        <v>4</v>
      </c>
      <c r="C198" s="47" t="s">
        <v>232</v>
      </c>
      <c r="D198" s="47" t="s">
        <v>5600</v>
      </c>
      <c r="E198" s="47" t="s">
        <v>5601</v>
      </c>
      <c r="F198" s="47"/>
      <c r="G198" s="47" t="s">
        <v>15</v>
      </c>
      <c r="H198" s="47" t="str">
        <f>IFERROR(VLOOKUP(Table2[[#This Row], [Ticket]],Okey!A:B,2,0),"")</f>
        <v>ok</v>
      </c>
      <c r="I198" s="47" t="s">
        <v>5290</v>
      </c>
      <c r="J198" s="47" t="s">
        <v>17</v>
      </c>
      <c r="K198" s="47"/>
      <c r="L198" s="47"/>
      <c r="M198" s="49" t="s">
        <v>4784</v>
      </c>
    </row>
    <row r="199" spans="1:13">
      <c r="A199" s="48">
        <f t="shared" si="3"/>
        <v>198</v>
      </c>
      <c r="B199" s="47" t="s">
        <v>4</v>
      </c>
      <c r="C199" s="47" t="s">
        <v>233</v>
      </c>
      <c r="D199" s="47" t="s">
        <v>5602</v>
      </c>
      <c r="E199" s="52" t="s">
        <v>5603</v>
      </c>
      <c r="F199" s="37" t="s">
        <v>4840</v>
      </c>
      <c r="G199" s="47" t="s">
        <v>14</v>
      </c>
      <c r="H199" s="47" t="str">
        <f>IFERROR(VLOOKUP(Table2[[#This Row], [Ticket]],Okey!A:B,2,0),"")</f>
        <v>ok</v>
      </c>
      <c r="I199" s="47" t="s">
        <v>5290</v>
      </c>
      <c r="J199" s="47" t="s">
        <v>17</v>
      </c>
      <c r="K199" s="47"/>
      <c r="L199" s="47"/>
      <c r="M199" s="49" t="s">
        <v>4795</v>
      </c>
    </row>
    <row r="200" spans="1:13">
      <c r="A200" s="48">
        <f t="shared" si="3"/>
        <v>199</v>
      </c>
      <c r="B200" s="47" t="s">
        <v>4</v>
      </c>
      <c r="C200" s="47" t="s">
        <v>233</v>
      </c>
      <c r="D200" s="47" t="s">
        <v>5049</v>
      </c>
      <c r="E200" s="52" t="s">
        <v>5604</v>
      </c>
      <c r="F200" s="47" t="s">
        <v>5602</v>
      </c>
      <c r="G200" s="47" t="s">
        <v>14</v>
      </c>
      <c r="H200" s="47" t="str">
        <f>IFERROR(VLOOKUP(Table2[[#This Row], [Ticket]],Okey!A:B,2,0),"")</f>
        <v>ok</v>
      </c>
      <c r="I200" s="47" t="s">
        <v>5290</v>
      </c>
      <c r="J200" s="47" t="s">
        <v>17</v>
      </c>
      <c r="K200" s="47"/>
      <c r="L200" s="47"/>
      <c r="M200" s="49" t="s">
        <v>4795</v>
      </c>
    </row>
    <row r="201" spans="1:13">
      <c r="A201" s="48">
        <f t="shared" si="3"/>
        <v>200</v>
      </c>
      <c r="B201" s="47" t="s">
        <v>4</v>
      </c>
      <c r="C201" s="47" t="s">
        <v>233</v>
      </c>
      <c r="D201" s="47" t="s">
        <v>5051</v>
      </c>
      <c r="E201" s="52" t="s">
        <v>5605</v>
      </c>
      <c r="F201" s="47" t="s">
        <v>5602</v>
      </c>
      <c r="G201" s="47" t="s">
        <v>14</v>
      </c>
      <c r="H201" s="47" t="str">
        <f>IFERROR(VLOOKUP(Table2[[#This Row], [Ticket]],Okey!A:B,2,0),"")</f>
        <v>ok</v>
      </c>
      <c r="I201" s="47" t="s">
        <v>5290</v>
      </c>
      <c r="J201" s="47" t="s">
        <v>17</v>
      </c>
      <c r="K201" s="47"/>
      <c r="L201" s="47"/>
      <c r="M201" s="49" t="s">
        <v>4795</v>
      </c>
    </row>
    <row r="202" spans="1:13">
      <c r="A202" s="48">
        <f t="shared" si="3"/>
        <v>201</v>
      </c>
      <c r="B202" s="47" t="s">
        <v>4</v>
      </c>
      <c r="C202" s="47" t="s">
        <v>233</v>
      </c>
      <c r="D202" s="47" t="s">
        <v>5053</v>
      </c>
      <c r="E202" s="52" t="s">
        <v>5606</v>
      </c>
      <c r="F202" s="47" t="s">
        <v>5602</v>
      </c>
      <c r="G202" s="47" t="s">
        <v>14</v>
      </c>
      <c r="H202" s="47" t="str">
        <f>IFERROR(VLOOKUP(Table2[[#This Row], [Ticket]],Okey!A:B,2,0),"")</f>
        <v>ok</v>
      </c>
      <c r="I202" s="47" t="s">
        <v>5290</v>
      </c>
      <c r="J202" s="47" t="s">
        <v>17</v>
      </c>
      <c r="K202" s="47"/>
      <c r="L202" s="47"/>
      <c r="M202" s="49" t="s">
        <v>4795</v>
      </c>
    </row>
    <row r="203" spans="1:13">
      <c r="A203" s="48">
        <f t="shared" si="3"/>
        <v>202</v>
      </c>
      <c r="B203" s="47" t="s">
        <v>4</v>
      </c>
      <c r="C203" s="47" t="s">
        <v>233</v>
      </c>
      <c r="D203" s="47" t="s">
        <v>5055</v>
      </c>
      <c r="E203" s="52" t="s">
        <v>5607</v>
      </c>
      <c r="F203" s="47" t="s">
        <v>5602</v>
      </c>
      <c r="G203" s="47" t="s">
        <v>14</v>
      </c>
      <c r="H203" s="47" t="str">
        <f>IFERROR(VLOOKUP(Table2[[#This Row], [Ticket]],Okey!A:B,2,0),"")</f>
        <v>ok</v>
      </c>
      <c r="I203" s="47" t="s">
        <v>5290</v>
      </c>
      <c r="J203" s="47" t="s">
        <v>17</v>
      </c>
      <c r="K203" s="47"/>
      <c r="L203" s="47"/>
      <c r="M203" s="49" t="s">
        <v>4795</v>
      </c>
    </row>
    <row r="204" spans="1:13">
      <c r="A204" s="48">
        <f t="shared" si="3"/>
        <v>203</v>
      </c>
      <c r="B204" s="47" t="s">
        <v>4</v>
      </c>
      <c r="C204" s="47" t="s">
        <v>233</v>
      </c>
      <c r="D204" s="47" t="s">
        <v>5057</v>
      </c>
      <c r="E204" s="52" t="s">
        <v>5608</v>
      </c>
      <c r="F204" s="47" t="s">
        <v>5602</v>
      </c>
      <c r="G204" s="47" t="s">
        <v>14</v>
      </c>
      <c r="H204" s="47" t="str">
        <f>IFERROR(VLOOKUP(Table2[[#This Row], [Ticket]],Okey!A:B,2,0),"")</f>
        <v>ok</v>
      </c>
      <c r="I204" s="47" t="s">
        <v>5290</v>
      </c>
      <c r="J204" s="47" t="s">
        <v>17</v>
      </c>
      <c r="K204" s="47"/>
      <c r="L204" s="47"/>
      <c r="M204" s="49" t="s">
        <v>4795</v>
      </c>
    </row>
    <row r="205" spans="1:13">
      <c r="A205" s="48">
        <f t="shared" si="3"/>
        <v>204</v>
      </c>
      <c r="B205" s="47" t="s">
        <v>4</v>
      </c>
      <c r="C205" s="47" t="s">
        <v>233</v>
      </c>
      <c r="D205" s="47" t="s">
        <v>5059</v>
      </c>
      <c r="E205" s="52" t="s">
        <v>5609</v>
      </c>
      <c r="F205" s="47" t="s">
        <v>5602</v>
      </c>
      <c r="G205" s="47" t="s">
        <v>14</v>
      </c>
      <c r="H205" s="47" t="str">
        <f>IFERROR(VLOOKUP(Table2[[#This Row], [Ticket]],Okey!A:B,2,0),"")</f>
        <v>ok</v>
      </c>
      <c r="I205" s="47" t="s">
        <v>5290</v>
      </c>
      <c r="J205" s="47" t="s">
        <v>17</v>
      </c>
      <c r="K205" s="47"/>
      <c r="L205" s="47"/>
      <c r="M205" s="49" t="s">
        <v>4795</v>
      </c>
    </row>
    <row r="206" spans="1:13">
      <c r="A206" s="48">
        <f t="shared" si="3"/>
        <v>205</v>
      </c>
      <c r="B206" s="47" t="s">
        <v>4</v>
      </c>
      <c r="C206" s="47" t="s">
        <v>233</v>
      </c>
      <c r="D206" s="47" t="s">
        <v>5061</v>
      </c>
      <c r="E206" s="52" t="s">
        <v>5610</v>
      </c>
      <c r="F206" s="47" t="s">
        <v>5602</v>
      </c>
      <c r="G206" s="47" t="s">
        <v>14</v>
      </c>
      <c r="H206" s="47" t="str">
        <f>IFERROR(VLOOKUP(Table2[[#This Row], [Ticket]],Okey!A:B,2,0),"")</f>
        <v>ok</v>
      </c>
      <c r="I206" s="47" t="s">
        <v>5290</v>
      </c>
      <c r="J206" s="47" t="s">
        <v>17</v>
      </c>
      <c r="K206" s="47"/>
      <c r="L206" s="47"/>
      <c r="M206" s="49" t="s">
        <v>4795</v>
      </c>
    </row>
    <row r="207" spans="1:13">
      <c r="A207" s="48">
        <f t="shared" si="3"/>
        <v>206</v>
      </c>
      <c r="B207" s="47" t="s">
        <v>4</v>
      </c>
      <c r="C207" s="47" t="s">
        <v>233</v>
      </c>
      <c r="D207" s="47" t="s">
        <v>5063</v>
      </c>
      <c r="E207" s="52" t="s">
        <v>5611</v>
      </c>
      <c r="F207" s="47" t="s">
        <v>5602</v>
      </c>
      <c r="G207" s="47" t="s">
        <v>14</v>
      </c>
      <c r="H207" s="47" t="str">
        <f>IFERROR(VLOOKUP(Table2[[#This Row], [Ticket]],Okey!A:B,2,0),"")</f>
        <v>ok</v>
      </c>
      <c r="I207" s="47" t="s">
        <v>5290</v>
      </c>
      <c r="J207" s="47" t="s">
        <v>17</v>
      </c>
      <c r="K207" s="47"/>
      <c r="L207" s="47"/>
      <c r="M207" s="49" t="s">
        <v>4795</v>
      </c>
    </row>
    <row r="208" spans="1:13">
      <c r="A208" s="48">
        <f t="shared" si="3"/>
        <v>207</v>
      </c>
      <c r="B208" s="47" t="s">
        <v>4</v>
      </c>
      <c r="C208" s="47" t="s">
        <v>233</v>
      </c>
      <c r="D208" s="47" t="s">
        <v>5065</v>
      </c>
      <c r="E208" s="52" t="s">
        <v>5612</v>
      </c>
      <c r="F208" s="47" t="s">
        <v>5602</v>
      </c>
      <c r="G208" s="47" t="s">
        <v>14</v>
      </c>
      <c r="H208" s="47" t="str">
        <f>IFERROR(VLOOKUP(Table2[[#This Row], [Ticket]],Okey!A:B,2,0),"")</f>
        <v>ok</v>
      </c>
      <c r="I208" s="47" t="s">
        <v>5290</v>
      </c>
      <c r="J208" s="47" t="s">
        <v>17</v>
      </c>
      <c r="K208" s="47"/>
      <c r="L208" s="47"/>
      <c r="M208" s="49" t="s">
        <v>4795</v>
      </c>
    </row>
    <row r="209" spans="1:13">
      <c r="A209" s="48">
        <f t="shared" si="3"/>
        <v>208</v>
      </c>
      <c r="B209" s="47" t="s">
        <v>4</v>
      </c>
      <c r="C209" s="47" t="s">
        <v>233</v>
      </c>
      <c r="D209" s="47" t="s">
        <v>5067</v>
      </c>
      <c r="E209" s="52" t="s">
        <v>5613</v>
      </c>
      <c r="F209" s="47" t="s">
        <v>5602</v>
      </c>
      <c r="G209" s="47" t="s">
        <v>14</v>
      </c>
      <c r="H209" s="47" t="str">
        <f>IFERROR(VLOOKUP(Table2[[#This Row], [Ticket]],Okey!A:B,2,0),"")</f>
        <v>ok</v>
      </c>
      <c r="I209" s="47" t="s">
        <v>5290</v>
      </c>
      <c r="J209" s="47" t="s">
        <v>17</v>
      </c>
      <c r="K209" s="47"/>
      <c r="L209" s="47"/>
      <c r="M209" s="49" t="s">
        <v>4795</v>
      </c>
    </row>
    <row r="210" spans="1:13">
      <c r="A210" s="48">
        <f t="shared" si="3"/>
        <v>209</v>
      </c>
      <c r="B210" s="47" t="s">
        <v>4</v>
      </c>
      <c r="C210" s="47" t="s">
        <v>233</v>
      </c>
      <c r="D210" s="47" t="s">
        <v>5614</v>
      </c>
      <c r="E210" s="53" t="s">
        <v>5615</v>
      </c>
      <c r="F210" s="47" t="s">
        <v>5602</v>
      </c>
      <c r="G210" s="47" t="s">
        <v>14</v>
      </c>
      <c r="H210" s="47" t="str">
        <f>IFERROR(VLOOKUP(Table2[[#This Row], [Ticket]],Okey!A:B,2,0),"")</f>
        <v>ok</v>
      </c>
      <c r="I210" s="47" t="s">
        <v>5290</v>
      </c>
      <c r="J210" s="47" t="s">
        <v>17</v>
      </c>
      <c r="K210" s="47"/>
      <c r="L210" s="47"/>
      <c r="M210" s="49" t="s">
        <v>4795</v>
      </c>
    </row>
    <row r="211" spans="1:13">
      <c r="A211" s="48">
        <f t="shared" si="3"/>
        <v>210</v>
      </c>
      <c r="B211" s="47" t="s">
        <v>4</v>
      </c>
      <c r="C211" s="47" t="s">
        <v>233</v>
      </c>
      <c r="D211" s="47" t="s">
        <v>5616</v>
      </c>
      <c r="E211" s="52" t="s">
        <v>5617</v>
      </c>
      <c r="F211" s="37" t="s">
        <v>4840</v>
      </c>
      <c r="G211" s="47" t="s">
        <v>14</v>
      </c>
      <c r="H211" s="47" t="str">
        <f>IFERROR(VLOOKUP(Table2[[#This Row], [Ticket]],Okey!A:B,2,0),"")</f>
        <v>ok</v>
      </c>
      <c r="I211" s="47" t="s">
        <v>5290</v>
      </c>
      <c r="J211" s="47" t="s">
        <v>17</v>
      </c>
      <c r="K211" s="47"/>
      <c r="L211" s="47"/>
      <c r="M211" s="49" t="s">
        <v>4795</v>
      </c>
    </row>
    <row r="212" spans="1:13">
      <c r="A212" s="48">
        <f t="shared" si="3"/>
        <v>211</v>
      </c>
      <c r="B212" s="47" t="s">
        <v>4</v>
      </c>
      <c r="C212" s="47" t="s">
        <v>233</v>
      </c>
      <c r="D212" s="47" t="s">
        <v>5069</v>
      </c>
      <c r="E212" s="52" t="s">
        <v>5618</v>
      </c>
      <c r="F212" s="47" t="s">
        <v>5616</v>
      </c>
      <c r="G212" s="47" t="s">
        <v>14</v>
      </c>
      <c r="H212" s="47" t="str">
        <f>IFERROR(VLOOKUP(Table2[[#This Row], [Ticket]],Okey!A:B,2,0),"")</f>
        <v>ok</v>
      </c>
      <c r="I212" s="47" t="s">
        <v>5290</v>
      </c>
      <c r="J212" s="47" t="s">
        <v>17</v>
      </c>
      <c r="K212" s="47"/>
      <c r="L212" s="47"/>
      <c r="M212" s="49" t="s">
        <v>4795</v>
      </c>
    </row>
    <row r="213" spans="1:13">
      <c r="A213" s="48">
        <f t="shared" si="3"/>
        <v>212</v>
      </c>
      <c r="B213" s="47" t="s">
        <v>4</v>
      </c>
      <c r="C213" s="47" t="s">
        <v>233</v>
      </c>
      <c r="D213" s="47" t="s">
        <v>5619</v>
      </c>
      <c r="E213" s="53" t="s">
        <v>5620</v>
      </c>
      <c r="F213" s="47" t="s">
        <v>5616</v>
      </c>
      <c r="G213" s="47" t="s">
        <v>14</v>
      </c>
      <c r="H213" s="47" t="str">
        <f>IFERROR(VLOOKUP(Table2[[#This Row], [Ticket]],Okey!A:B,2,0),"")</f>
        <v>ok</v>
      </c>
      <c r="I213" s="47" t="s">
        <v>5290</v>
      </c>
      <c r="J213" s="47" t="s">
        <v>17</v>
      </c>
      <c r="K213" s="47"/>
      <c r="L213" s="47"/>
      <c r="M213" s="49" t="s">
        <v>4795</v>
      </c>
    </row>
    <row r="214" spans="1:13">
      <c r="A214" s="48">
        <f t="shared" si="3"/>
        <v>213</v>
      </c>
      <c r="B214" s="47" t="s">
        <v>4</v>
      </c>
      <c r="C214" s="47" t="s">
        <v>233</v>
      </c>
      <c r="D214" s="47" t="s">
        <v>5621</v>
      </c>
      <c r="E214" s="52" t="s">
        <v>5622</v>
      </c>
      <c r="F214" s="37" t="s">
        <v>4840</v>
      </c>
      <c r="G214" s="47" t="s">
        <v>14</v>
      </c>
      <c r="H214" s="47" t="str">
        <f>IFERROR(VLOOKUP(Table2[[#This Row], [Ticket]],Okey!A:B,2,0),"")</f>
        <v>ok</v>
      </c>
      <c r="I214" s="47" t="s">
        <v>5290</v>
      </c>
      <c r="J214" s="47" t="s">
        <v>17</v>
      </c>
      <c r="K214" s="47"/>
      <c r="L214" s="47"/>
      <c r="M214" s="49" t="s">
        <v>4795</v>
      </c>
    </row>
    <row r="215" spans="1:13">
      <c r="A215" s="48">
        <f t="shared" si="3"/>
        <v>214</v>
      </c>
      <c r="B215" s="47" t="s">
        <v>4</v>
      </c>
      <c r="C215" s="47" t="s">
        <v>233</v>
      </c>
      <c r="D215" s="47" t="s">
        <v>5071</v>
      </c>
      <c r="E215" s="52" t="s">
        <v>5623</v>
      </c>
      <c r="F215" s="47" t="s">
        <v>5621</v>
      </c>
      <c r="G215" s="47" t="s">
        <v>14</v>
      </c>
      <c r="H215" s="47" t="str">
        <f>IFERROR(VLOOKUP(Table2[[#This Row], [Ticket]],Okey!A:B,2,0),"")</f>
        <v>ok</v>
      </c>
      <c r="I215" s="47" t="s">
        <v>5290</v>
      </c>
      <c r="J215" s="47" t="s">
        <v>17</v>
      </c>
      <c r="K215" s="47"/>
      <c r="L215" s="47"/>
      <c r="M215" s="49" t="s">
        <v>4795</v>
      </c>
    </row>
    <row r="216" spans="1:13">
      <c r="A216" s="48">
        <f t="shared" si="3"/>
        <v>215</v>
      </c>
      <c r="B216" s="47" t="s">
        <v>4</v>
      </c>
      <c r="C216" s="47" t="s">
        <v>233</v>
      </c>
      <c r="D216" s="47" t="s">
        <v>5073</v>
      </c>
      <c r="E216" s="52" t="s">
        <v>5624</v>
      </c>
      <c r="F216" s="47" t="s">
        <v>5621</v>
      </c>
      <c r="G216" s="47" t="s">
        <v>14</v>
      </c>
      <c r="H216" s="47" t="str">
        <f>IFERROR(VLOOKUP(Table2[[#This Row], [Ticket]],Okey!A:B,2,0),"")</f>
        <v>ok</v>
      </c>
      <c r="I216" s="47" t="s">
        <v>5290</v>
      </c>
      <c r="J216" s="47" t="s">
        <v>17</v>
      </c>
      <c r="K216" s="47"/>
      <c r="L216" s="47"/>
      <c r="M216" s="49" t="s">
        <v>4795</v>
      </c>
    </row>
    <row r="217" spans="1:13">
      <c r="A217" s="48">
        <f t="shared" si="3"/>
        <v>216</v>
      </c>
      <c r="B217" s="47" t="s">
        <v>4</v>
      </c>
      <c r="C217" s="47" t="s">
        <v>233</v>
      </c>
      <c r="D217" s="47" t="s">
        <v>5625</v>
      </c>
      <c r="E217" s="53" t="s">
        <v>5626</v>
      </c>
      <c r="F217" s="47" t="s">
        <v>5621</v>
      </c>
      <c r="G217" s="47" t="s">
        <v>14</v>
      </c>
      <c r="H217" s="47" t="str">
        <f>IFERROR(VLOOKUP(Table2[[#This Row], [Ticket]],Okey!A:B,2,0),"")</f>
        <v>ok</v>
      </c>
      <c r="I217" s="47" t="s">
        <v>5290</v>
      </c>
      <c r="J217" s="47" t="s">
        <v>17</v>
      </c>
      <c r="K217" s="47"/>
      <c r="L217" s="47"/>
      <c r="M217" s="49" t="s">
        <v>4795</v>
      </c>
    </row>
    <row r="218" spans="1:13">
      <c r="A218" s="48">
        <f t="shared" si="3"/>
        <v>217</v>
      </c>
      <c r="B218" s="47" t="s">
        <v>4</v>
      </c>
      <c r="C218" s="47" t="s">
        <v>233</v>
      </c>
      <c r="D218" s="47" t="s">
        <v>5627</v>
      </c>
      <c r="E218" s="52" t="s">
        <v>5628</v>
      </c>
      <c r="F218" s="37" t="s">
        <v>4840</v>
      </c>
      <c r="G218" s="47" t="s">
        <v>14</v>
      </c>
      <c r="H218" s="47" t="str">
        <f>IFERROR(VLOOKUP(Table2[[#This Row], [Ticket]],Okey!A:B,2,0),"")</f>
        <v>ok</v>
      </c>
      <c r="I218" s="47" t="s">
        <v>5290</v>
      </c>
      <c r="J218" s="47" t="s">
        <v>17</v>
      </c>
      <c r="K218" s="47"/>
      <c r="L218" s="47"/>
      <c r="M218" s="49" t="s">
        <v>4795</v>
      </c>
    </row>
    <row r="219" spans="1:13">
      <c r="A219" s="48">
        <f t="shared" si="3"/>
        <v>218</v>
      </c>
      <c r="B219" s="47" t="s">
        <v>4</v>
      </c>
      <c r="C219" s="47" t="s">
        <v>233</v>
      </c>
      <c r="D219" s="47" t="s">
        <v>5075</v>
      </c>
      <c r="E219" s="52" t="s">
        <v>5629</v>
      </c>
      <c r="F219" s="47" t="s">
        <v>5627</v>
      </c>
      <c r="G219" s="47" t="s">
        <v>14</v>
      </c>
      <c r="H219" s="47" t="str">
        <f>IFERROR(VLOOKUP(Table2[[#This Row], [Ticket]],Okey!A:B,2,0),"")</f>
        <v>ok</v>
      </c>
      <c r="I219" s="47" t="s">
        <v>5290</v>
      </c>
      <c r="J219" s="47" t="s">
        <v>17</v>
      </c>
      <c r="K219" s="47"/>
      <c r="L219" s="47"/>
      <c r="M219" s="49" t="s">
        <v>4795</v>
      </c>
    </row>
    <row r="220" spans="1:13">
      <c r="A220" s="48">
        <f t="shared" si="3"/>
        <v>219</v>
      </c>
      <c r="B220" s="47" t="s">
        <v>4</v>
      </c>
      <c r="C220" s="47" t="s">
        <v>233</v>
      </c>
      <c r="D220" s="47" t="s">
        <v>5077</v>
      </c>
      <c r="E220" s="52" t="s">
        <v>5630</v>
      </c>
      <c r="F220" s="47" t="s">
        <v>5627</v>
      </c>
      <c r="G220" s="47" t="s">
        <v>14</v>
      </c>
      <c r="H220" s="47" t="str">
        <f>IFERROR(VLOOKUP(Table2[[#This Row], [Ticket]],Okey!A:B,2,0),"")</f>
        <v>ok</v>
      </c>
      <c r="I220" s="47" t="s">
        <v>5290</v>
      </c>
      <c r="J220" s="47" t="s">
        <v>17</v>
      </c>
      <c r="K220" s="47"/>
      <c r="L220" s="47"/>
      <c r="M220" s="49" t="s">
        <v>4795</v>
      </c>
    </row>
    <row r="221" spans="1:13">
      <c r="A221" s="48">
        <f t="shared" si="3"/>
        <v>220</v>
      </c>
      <c r="B221" s="47" t="s">
        <v>4</v>
      </c>
      <c r="C221" s="47" t="s">
        <v>233</v>
      </c>
      <c r="D221" s="47" t="s">
        <v>5079</v>
      </c>
      <c r="E221" s="52" t="s">
        <v>5631</v>
      </c>
      <c r="F221" s="47" t="s">
        <v>5627</v>
      </c>
      <c r="G221" s="47" t="s">
        <v>14</v>
      </c>
      <c r="H221" s="47" t="str">
        <f>IFERROR(VLOOKUP(Table2[[#This Row], [Ticket]],Okey!A:B,2,0),"")</f>
        <v>ok</v>
      </c>
      <c r="I221" s="47" t="s">
        <v>5290</v>
      </c>
      <c r="J221" s="47" t="s">
        <v>17</v>
      </c>
      <c r="K221" s="47"/>
      <c r="L221" s="47"/>
      <c r="M221" s="49" t="s">
        <v>4795</v>
      </c>
    </row>
    <row r="222" spans="1:13">
      <c r="A222" s="48">
        <f t="shared" si="3"/>
        <v>221</v>
      </c>
      <c r="B222" s="47" t="s">
        <v>4</v>
      </c>
      <c r="C222" s="47" t="s">
        <v>233</v>
      </c>
      <c r="D222" s="47" t="s">
        <v>5081</v>
      </c>
      <c r="E222" s="52" t="s">
        <v>5632</v>
      </c>
      <c r="F222" s="47" t="s">
        <v>5627</v>
      </c>
      <c r="G222" s="47" t="s">
        <v>14</v>
      </c>
      <c r="H222" s="47" t="str">
        <f>IFERROR(VLOOKUP(Table2[[#This Row], [Ticket]],Okey!A:B,2,0),"")</f>
        <v>ok</v>
      </c>
      <c r="I222" s="47" t="s">
        <v>5290</v>
      </c>
      <c r="J222" s="47" t="s">
        <v>17</v>
      </c>
      <c r="K222" s="47"/>
      <c r="L222" s="47"/>
      <c r="M222" s="49" t="s">
        <v>4795</v>
      </c>
    </row>
    <row r="223" spans="1:13">
      <c r="A223" s="48">
        <f t="shared" si="3"/>
        <v>222</v>
      </c>
      <c r="B223" s="47" t="s">
        <v>4</v>
      </c>
      <c r="C223" s="47" t="s">
        <v>233</v>
      </c>
      <c r="D223" s="47" t="s">
        <v>5083</v>
      </c>
      <c r="E223" s="52" t="s">
        <v>5633</v>
      </c>
      <c r="F223" s="47" t="s">
        <v>5627</v>
      </c>
      <c r="G223" s="47" t="s">
        <v>14</v>
      </c>
      <c r="H223" s="47" t="str">
        <f>IFERROR(VLOOKUP(Table2[[#This Row], [Ticket]],Okey!A:B,2,0),"")</f>
        <v>ok</v>
      </c>
      <c r="I223" s="47" t="s">
        <v>5290</v>
      </c>
      <c r="J223" s="47" t="s">
        <v>17</v>
      </c>
      <c r="K223" s="47"/>
      <c r="L223" s="47"/>
      <c r="M223" s="49" t="s">
        <v>4795</v>
      </c>
    </row>
    <row r="224" spans="1:13">
      <c r="A224" s="48">
        <f t="shared" si="3"/>
        <v>223</v>
      </c>
      <c r="B224" s="47" t="s">
        <v>4</v>
      </c>
      <c r="C224" s="47" t="s">
        <v>233</v>
      </c>
      <c r="D224" s="47" t="s">
        <v>5085</v>
      </c>
      <c r="E224" s="52" t="s">
        <v>5634</v>
      </c>
      <c r="F224" s="47" t="s">
        <v>5627</v>
      </c>
      <c r="G224" s="47" t="s">
        <v>14</v>
      </c>
      <c r="H224" s="47" t="str">
        <f>IFERROR(VLOOKUP(Table2[[#This Row], [Ticket]],Okey!A:B,2,0),"")</f>
        <v>ok</v>
      </c>
      <c r="I224" s="47" t="s">
        <v>5290</v>
      </c>
      <c r="J224" s="47" t="s">
        <v>17</v>
      </c>
      <c r="K224" s="47"/>
      <c r="L224" s="47"/>
      <c r="M224" s="49" t="s">
        <v>4795</v>
      </c>
    </row>
    <row r="225" spans="1:13">
      <c r="A225" s="48">
        <f t="shared" si="3"/>
        <v>224</v>
      </c>
      <c r="B225" s="47" t="s">
        <v>4</v>
      </c>
      <c r="C225" s="47" t="s">
        <v>233</v>
      </c>
      <c r="D225" s="47" t="s">
        <v>5635</v>
      </c>
      <c r="E225" s="53" t="s">
        <v>5636</v>
      </c>
      <c r="F225" s="47" t="s">
        <v>5627</v>
      </c>
      <c r="G225" s="47" t="s">
        <v>14</v>
      </c>
      <c r="H225" s="47" t="str">
        <f>IFERROR(VLOOKUP(Table2[[#This Row], [Ticket]],Okey!A:B,2,0),"")</f>
        <v>ok</v>
      </c>
      <c r="I225" s="47" t="s">
        <v>5290</v>
      </c>
      <c r="J225" s="47" t="s">
        <v>17</v>
      </c>
      <c r="K225" s="47"/>
      <c r="L225" s="47"/>
      <c r="M225" s="49" t="s">
        <v>4795</v>
      </c>
    </row>
    <row r="226" spans="1:13">
      <c r="A226" s="48">
        <f t="shared" si="3"/>
        <v>225</v>
      </c>
      <c r="B226" s="47" t="s">
        <v>4</v>
      </c>
      <c r="C226" s="47" t="s">
        <v>233</v>
      </c>
      <c r="D226" s="47" t="s">
        <v>5637</v>
      </c>
      <c r="E226" s="52" t="s">
        <v>5638</v>
      </c>
      <c r="F226" s="37" t="s">
        <v>4840</v>
      </c>
      <c r="G226" s="47" t="s">
        <v>14</v>
      </c>
      <c r="H226" s="47" t="str">
        <f>IFERROR(VLOOKUP(Table2[[#This Row], [Ticket]],Okey!A:B,2,0),"")</f>
        <v>ok</v>
      </c>
      <c r="I226" s="47" t="s">
        <v>5290</v>
      </c>
      <c r="J226" s="47" t="s">
        <v>17</v>
      </c>
      <c r="K226" s="47"/>
      <c r="L226" s="47"/>
      <c r="M226" s="49" t="s">
        <v>4795</v>
      </c>
    </row>
    <row r="227" spans="1:13">
      <c r="A227" s="48">
        <f t="shared" si="3"/>
        <v>226</v>
      </c>
      <c r="B227" s="47" t="s">
        <v>4</v>
      </c>
      <c r="C227" s="47" t="s">
        <v>233</v>
      </c>
      <c r="D227" s="47" t="s">
        <v>5087</v>
      </c>
      <c r="E227" s="52" t="s">
        <v>5639</v>
      </c>
      <c r="F227" s="47" t="s">
        <v>5637</v>
      </c>
      <c r="G227" s="47" t="s">
        <v>14</v>
      </c>
      <c r="H227" s="47" t="str">
        <f>IFERROR(VLOOKUP(Table2[[#This Row], [Ticket]],Okey!A:B,2,0),"")</f>
        <v>ok</v>
      </c>
      <c r="I227" s="47" t="s">
        <v>5290</v>
      </c>
      <c r="J227" s="47" t="s">
        <v>17</v>
      </c>
      <c r="K227" s="47"/>
      <c r="L227" s="47"/>
      <c r="M227" s="49" t="s">
        <v>4795</v>
      </c>
    </row>
    <row r="228" spans="1:13">
      <c r="A228" s="48">
        <f t="shared" si="3"/>
        <v>227</v>
      </c>
      <c r="B228" s="47" t="s">
        <v>4</v>
      </c>
      <c r="C228" s="47" t="s">
        <v>233</v>
      </c>
      <c r="D228" s="47" t="s">
        <v>5089</v>
      </c>
      <c r="E228" s="52" t="s">
        <v>5640</v>
      </c>
      <c r="F228" s="47" t="s">
        <v>5637</v>
      </c>
      <c r="G228" s="47" t="s">
        <v>14</v>
      </c>
      <c r="H228" s="47" t="str">
        <f>IFERROR(VLOOKUP(Table2[[#This Row], [Ticket]],Okey!A:B,2,0),"")</f>
        <v>ok</v>
      </c>
      <c r="I228" s="47" t="s">
        <v>5290</v>
      </c>
      <c r="J228" s="47" t="s">
        <v>17</v>
      </c>
      <c r="K228" s="47"/>
      <c r="L228" s="47"/>
      <c r="M228" s="49" t="s">
        <v>4795</v>
      </c>
    </row>
    <row r="229" spans="1:13">
      <c r="A229" s="48">
        <f t="shared" si="3"/>
        <v>228</v>
      </c>
      <c r="B229" s="47" t="s">
        <v>4</v>
      </c>
      <c r="C229" s="47" t="s">
        <v>233</v>
      </c>
      <c r="D229" s="47" t="s">
        <v>5091</v>
      </c>
      <c r="E229" s="52" t="s">
        <v>5641</v>
      </c>
      <c r="F229" s="47" t="s">
        <v>5637</v>
      </c>
      <c r="G229" s="47" t="s">
        <v>14</v>
      </c>
      <c r="H229" s="47" t="str">
        <f>IFERROR(VLOOKUP(Table2[[#This Row], [Ticket]],Okey!A:B,2,0),"")</f>
        <v>ok</v>
      </c>
      <c r="I229" s="47" t="s">
        <v>5290</v>
      </c>
      <c r="J229" s="47" t="s">
        <v>17</v>
      </c>
      <c r="K229" s="47"/>
      <c r="L229" s="47"/>
      <c r="M229" s="49" t="s">
        <v>4795</v>
      </c>
    </row>
    <row r="230" spans="1:13">
      <c r="A230" s="48">
        <f t="shared" si="3"/>
        <v>229</v>
      </c>
      <c r="B230" s="47" t="s">
        <v>4</v>
      </c>
      <c r="C230" s="47" t="s">
        <v>233</v>
      </c>
      <c r="D230" s="47" t="s">
        <v>5093</v>
      </c>
      <c r="E230" s="52" t="s">
        <v>5642</v>
      </c>
      <c r="F230" s="47" t="s">
        <v>5637</v>
      </c>
      <c r="G230" s="47" t="s">
        <v>14</v>
      </c>
      <c r="H230" s="47" t="str">
        <f>IFERROR(VLOOKUP(Table2[[#This Row], [Ticket]],Okey!A:B,2,0),"")</f>
        <v>ok</v>
      </c>
      <c r="I230" s="47" t="s">
        <v>5290</v>
      </c>
      <c r="J230" s="47" t="s">
        <v>17</v>
      </c>
      <c r="K230" s="47"/>
      <c r="L230" s="47"/>
      <c r="M230" s="49" t="s">
        <v>4795</v>
      </c>
    </row>
    <row r="231" spans="1:13">
      <c r="A231" s="48">
        <f t="shared" si="3"/>
        <v>230</v>
      </c>
      <c r="B231" s="47" t="s">
        <v>4</v>
      </c>
      <c r="C231" s="47" t="s">
        <v>233</v>
      </c>
      <c r="D231" s="47" t="s">
        <v>5095</v>
      </c>
      <c r="E231" s="52" t="s">
        <v>5643</v>
      </c>
      <c r="F231" s="47" t="s">
        <v>5637</v>
      </c>
      <c r="G231" s="47" t="s">
        <v>14</v>
      </c>
      <c r="H231" s="47" t="str">
        <f>IFERROR(VLOOKUP(Table2[[#This Row], [Ticket]],Okey!A:B,2,0),"")</f>
        <v>ok</v>
      </c>
      <c r="I231" s="47" t="s">
        <v>5290</v>
      </c>
      <c r="J231" s="47" t="s">
        <v>17</v>
      </c>
      <c r="K231" s="47"/>
      <c r="L231" s="47"/>
      <c r="M231" s="49" t="s">
        <v>4795</v>
      </c>
    </row>
    <row r="232" spans="1:13">
      <c r="A232" s="48">
        <f t="shared" si="3"/>
        <v>231</v>
      </c>
      <c r="B232" s="47" t="s">
        <v>4</v>
      </c>
      <c r="C232" s="47" t="s">
        <v>233</v>
      </c>
      <c r="D232" s="47" t="s">
        <v>5097</v>
      </c>
      <c r="E232" s="52" t="s">
        <v>5644</v>
      </c>
      <c r="F232" s="47" t="s">
        <v>5637</v>
      </c>
      <c r="G232" s="47" t="s">
        <v>14</v>
      </c>
      <c r="H232" s="47" t="str">
        <f>IFERROR(VLOOKUP(Table2[[#This Row], [Ticket]],Okey!A:B,2,0),"")</f>
        <v>ok</v>
      </c>
      <c r="I232" s="47" t="s">
        <v>5290</v>
      </c>
      <c r="J232" s="47" t="s">
        <v>17</v>
      </c>
      <c r="K232" s="47"/>
      <c r="L232" s="47"/>
      <c r="M232" s="49" t="s">
        <v>4795</v>
      </c>
    </row>
    <row r="233" spans="1:13">
      <c r="A233" s="48">
        <f t="shared" si="3"/>
        <v>232</v>
      </c>
      <c r="B233" s="47" t="s">
        <v>4</v>
      </c>
      <c r="C233" s="47" t="s">
        <v>233</v>
      </c>
      <c r="D233" s="47" t="s">
        <v>5645</v>
      </c>
      <c r="E233" s="53" t="s">
        <v>5646</v>
      </c>
      <c r="F233" s="47" t="s">
        <v>5637</v>
      </c>
      <c r="G233" s="47" t="s">
        <v>14</v>
      </c>
      <c r="H233" s="47" t="str">
        <f>IFERROR(VLOOKUP(Table2[[#This Row], [Ticket]],Okey!A:B,2,0),"")</f>
        <v>ok</v>
      </c>
      <c r="I233" s="47" t="s">
        <v>5290</v>
      </c>
      <c r="J233" s="47" t="s">
        <v>17</v>
      </c>
      <c r="K233" s="47"/>
      <c r="L233" s="47"/>
      <c r="M233" s="49" t="s">
        <v>4795</v>
      </c>
    </row>
    <row r="234" spans="1:13">
      <c r="A234" s="48">
        <f t="shared" si="3"/>
        <v>233</v>
      </c>
      <c r="B234" s="47" t="s">
        <v>4</v>
      </c>
      <c r="C234" s="47" t="s">
        <v>233</v>
      </c>
      <c r="D234" s="47" t="s">
        <v>5647</v>
      </c>
      <c r="E234" s="52" t="s">
        <v>5648</v>
      </c>
      <c r="F234" s="37" t="s">
        <v>4840</v>
      </c>
      <c r="G234" s="47" t="s">
        <v>14</v>
      </c>
      <c r="H234" s="47" t="str">
        <f>IFERROR(VLOOKUP(Table2[[#This Row], [Ticket]],Okey!A:B,2,0),"")</f>
        <v>ok</v>
      </c>
      <c r="I234" s="47" t="s">
        <v>5290</v>
      </c>
      <c r="J234" s="47" t="s">
        <v>17</v>
      </c>
      <c r="K234" s="47"/>
      <c r="L234" s="47"/>
      <c r="M234" s="49" t="s">
        <v>4795</v>
      </c>
    </row>
    <row r="235" spans="1:13">
      <c r="A235" s="48">
        <f t="shared" si="3"/>
        <v>234</v>
      </c>
      <c r="B235" s="47" t="s">
        <v>4</v>
      </c>
      <c r="C235" s="47" t="s">
        <v>233</v>
      </c>
      <c r="D235" s="47" t="s">
        <v>5099</v>
      </c>
      <c r="E235" s="52" t="s">
        <v>5649</v>
      </c>
      <c r="F235" s="47" t="s">
        <v>5647</v>
      </c>
      <c r="G235" s="47" t="s">
        <v>14</v>
      </c>
      <c r="H235" s="47" t="str">
        <f>IFERROR(VLOOKUP(Table2[[#This Row], [Ticket]],Okey!A:B,2,0),"")</f>
        <v>ok</v>
      </c>
      <c r="I235" s="47" t="s">
        <v>5290</v>
      </c>
      <c r="J235" s="47" t="s">
        <v>17</v>
      </c>
      <c r="K235" s="47"/>
      <c r="L235" s="47"/>
      <c r="M235" s="49" t="s">
        <v>4795</v>
      </c>
    </row>
    <row r="236" spans="1:13">
      <c r="A236" s="48">
        <f t="shared" si="3"/>
        <v>235</v>
      </c>
      <c r="B236" s="47" t="s">
        <v>4</v>
      </c>
      <c r="C236" s="47" t="s">
        <v>233</v>
      </c>
      <c r="D236" s="47" t="s">
        <v>5101</v>
      </c>
      <c r="E236" s="52" t="s">
        <v>5650</v>
      </c>
      <c r="F236" s="47" t="s">
        <v>5647</v>
      </c>
      <c r="G236" s="47" t="s">
        <v>14</v>
      </c>
      <c r="H236" s="47" t="str">
        <f>IFERROR(VLOOKUP(Table2[[#This Row], [Ticket]],Okey!A:B,2,0),"")</f>
        <v>ok</v>
      </c>
      <c r="I236" s="47" t="s">
        <v>5290</v>
      </c>
      <c r="J236" s="47" t="s">
        <v>17</v>
      </c>
      <c r="K236" s="47"/>
      <c r="L236" s="47"/>
      <c r="M236" s="49" t="s">
        <v>4795</v>
      </c>
    </row>
    <row r="237" spans="1:13">
      <c r="A237" s="48">
        <f t="shared" si="3"/>
        <v>236</v>
      </c>
      <c r="B237" s="47" t="s">
        <v>4</v>
      </c>
      <c r="C237" s="47" t="s">
        <v>233</v>
      </c>
      <c r="D237" s="47" t="s">
        <v>5103</v>
      </c>
      <c r="E237" s="52" t="s">
        <v>5651</v>
      </c>
      <c r="F237" s="47" t="s">
        <v>5647</v>
      </c>
      <c r="G237" s="47" t="s">
        <v>14</v>
      </c>
      <c r="H237" s="47" t="str">
        <f>IFERROR(VLOOKUP(Table2[[#This Row], [Ticket]],Okey!A:B,2,0),"")</f>
        <v>ok</v>
      </c>
      <c r="I237" s="47" t="s">
        <v>5290</v>
      </c>
      <c r="J237" s="47" t="s">
        <v>17</v>
      </c>
      <c r="K237" s="47"/>
      <c r="L237" s="47"/>
      <c r="M237" s="49" t="s">
        <v>4795</v>
      </c>
    </row>
    <row r="238" spans="1:13">
      <c r="A238" s="48">
        <f t="shared" si="3"/>
        <v>237</v>
      </c>
      <c r="B238" s="47" t="s">
        <v>4</v>
      </c>
      <c r="C238" s="47" t="s">
        <v>233</v>
      </c>
      <c r="D238" s="47" t="s">
        <v>5105</v>
      </c>
      <c r="E238" s="52" t="s">
        <v>5652</v>
      </c>
      <c r="F238" s="47" t="s">
        <v>5647</v>
      </c>
      <c r="G238" s="47" t="s">
        <v>14</v>
      </c>
      <c r="H238" s="47" t="str">
        <f>IFERROR(VLOOKUP(Table2[[#This Row], [Ticket]],Okey!A:B,2,0),"")</f>
        <v>ok</v>
      </c>
      <c r="I238" s="47" t="s">
        <v>5290</v>
      </c>
      <c r="J238" s="47" t="s">
        <v>17</v>
      </c>
      <c r="K238" s="47"/>
      <c r="L238" s="47"/>
      <c r="M238" s="49" t="s">
        <v>4795</v>
      </c>
    </row>
    <row r="239" spans="1:13">
      <c r="A239" s="48">
        <f t="shared" si="3"/>
        <v>238</v>
      </c>
      <c r="B239" s="47" t="s">
        <v>4</v>
      </c>
      <c r="C239" s="47" t="s">
        <v>233</v>
      </c>
      <c r="D239" s="47" t="s">
        <v>5107</v>
      </c>
      <c r="E239" s="52" t="s">
        <v>5653</v>
      </c>
      <c r="F239" s="47" t="s">
        <v>5647</v>
      </c>
      <c r="G239" s="47" t="s">
        <v>14</v>
      </c>
      <c r="H239" s="47" t="str">
        <f>IFERROR(VLOOKUP(Table2[[#This Row], [Ticket]],Okey!A:B,2,0),"")</f>
        <v>ok</v>
      </c>
      <c r="I239" s="47" t="s">
        <v>5290</v>
      </c>
      <c r="J239" s="47" t="s">
        <v>17</v>
      </c>
      <c r="K239" s="47"/>
      <c r="L239" s="47"/>
      <c r="M239" s="49" t="s">
        <v>4795</v>
      </c>
    </row>
    <row r="240" spans="1:13">
      <c r="A240" s="48">
        <f t="shared" si="3"/>
        <v>239</v>
      </c>
      <c r="B240" s="47" t="s">
        <v>4</v>
      </c>
      <c r="C240" s="47" t="s">
        <v>233</v>
      </c>
      <c r="D240" s="47" t="s">
        <v>5109</v>
      </c>
      <c r="E240" s="52" t="s">
        <v>5654</v>
      </c>
      <c r="F240" s="47" t="s">
        <v>5647</v>
      </c>
      <c r="G240" s="47" t="s">
        <v>14</v>
      </c>
      <c r="H240" s="47" t="str">
        <f>IFERROR(VLOOKUP(Table2[[#This Row], [Ticket]],Okey!A:B,2,0),"")</f>
        <v>ok</v>
      </c>
      <c r="I240" s="47" t="s">
        <v>5290</v>
      </c>
      <c r="J240" s="47" t="s">
        <v>17</v>
      </c>
      <c r="K240" s="47"/>
      <c r="L240" s="47"/>
      <c r="M240" s="49" t="s">
        <v>4795</v>
      </c>
    </row>
    <row r="241" spans="1:13">
      <c r="A241" s="48">
        <f t="shared" si="3"/>
        <v>240</v>
      </c>
      <c r="B241" s="47" t="s">
        <v>4</v>
      </c>
      <c r="C241" s="47" t="s">
        <v>233</v>
      </c>
      <c r="D241" s="47" t="s">
        <v>5111</v>
      </c>
      <c r="E241" s="52" t="s">
        <v>5655</v>
      </c>
      <c r="F241" s="47" t="s">
        <v>5647</v>
      </c>
      <c r="G241" s="47" t="s">
        <v>14</v>
      </c>
      <c r="H241" s="47" t="str">
        <f>IFERROR(VLOOKUP(Table2[[#This Row], [Ticket]],Okey!A:B,2,0),"")</f>
        <v>ok</v>
      </c>
      <c r="I241" s="47" t="s">
        <v>5290</v>
      </c>
      <c r="J241" s="47" t="s">
        <v>17</v>
      </c>
      <c r="K241" s="47"/>
      <c r="L241" s="47"/>
      <c r="M241" s="49" t="s">
        <v>4795</v>
      </c>
    </row>
    <row r="242" spans="1:13">
      <c r="A242" s="48">
        <f t="shared" si="3"/>
        <v>241</v>
      </c>
      <c r="B242" s="47" t="s">
        <v>4</v>
      </c>
      <c r="C242" s="47" t="s">
        <v>233</v>
      </c>
      <c r="D242" s="47" t="s">
        <v>5113</v>
      </c>
      <c r="E242" s="52" t="s">
        <v>5656</v>
      </c>
      <c r="F242" s="47" t="s">
        <v>5647</v>
      </c>
      <c r="G242" s="47" t="s">
        <v>14</v>
      </c>
      <c r="H242" s="47" t="str">
        <f>IFERROR(VLOOKUP(Table2[[#This Row], [Ticket]],Okey!A:B,2,0),"")</f>
        <v>ok</v>
      </c>
      <c r="I242" s="47" t="s">
        <v>5290</v>
      </c>
      <c r="J242" s="47" t="s">
        <v>17</v>
      </c>
      <c r="K242" s="47"/>
      <c r="L242" s="47"/>
      <c r="M242" s="49" t="s">
        <v>4795</v>
      </c>
    </row>
    <row r="243" spans="1:13">
      <c r="A243" s="48">
        <f t="shared" si="3"/>
        <v>242</v>
      </c>
      <c r="B243" s="47" t="s">
        <v>4</v>
      </c>
      <c r="C243" s="47" t="s">
        <v>233</v>
      </c>
      <c r="D243" s="47" t="s">
        <v>5115</v>
      </c>
      <c r="E243" s="52" t="s">
        <v>5657</v>
      </c>
      <c r="F243" s="47" t="s">
        <v>5647</v>
      </c>
      <c r="G243" s="47" t="s">
        <v>14</v>
      </c>
      <c r="H243" s="47" t="str">
        <f>IFERROR(VLOOKUP(Table2[[#This Row], [Ticket]],Okey!A:B,2,0),"")</f>
        <v>ok</v>
      </c>
      <c r="I243" s="47" t="s">
        <v>5290</v>
      </c>
      <c r="J243" s="47" t="s">
        <v>17</v>
      </c>
      <c r="K243" s="47"/>
      <c r="L243" s="47"/>
      <c r="M243" s="49" t="s">
        <v>4795</v>
      </c>
    </row>
    <row r="244" spans="1:13">
      <c r="A244" s="48">
        <f t="shared" si="3"/>
        <v>243</v>
      </c>
      <c r="B244" s="47" t="s">
        <v>4</v>
      </c>
      <c r="C244" s="47" t="s">
        <v>233</v>
      </c>
      <c r="D244" s="47" t="s">
        <v>5117</v>
      </c>
      <c r="E244" s="52" t="s">
        <v>5658</v>
      </c>
      <c r="F244" s="47" t="s">
        <v>5647</v>
      </c>
      <c r="G244" s="47" t="s">
        <v>14</v>
      </c>
      <c r="H244" s="47" t="str">
        <f>IFERROR(VLOOKUP(Table2[[#This Row], [Ticket]],Okey!A:B,2,0),"")</f>
        <v>ok</v>
      </c>
      <c r="I244" s="47" t="s">
        <v>5290</v>
      </c>
      <c r="J244" s="47" t="s">
        <v>17</v>
      </c>
      <c r="K244" s="47"/>
      <c r="L244" s="47"/>
      <c r="M244" s="49" t="s">
        <v>4795</v>
      </c>
    </row>
    <row r="245" spans="1:13">
      <c r="A245" s="48">
        <f t="shared" si="3"/>
        <v>244</v>
      </c>
      <c r="B245" s="47" t="s">
        <v>4</v>
      </c>
      <c r="C245" s="47" t="s">
        <v>233</v>
      </c>
      <c r="D245" s="47" t="s">
        <v>5659</v>
      </c>
      <c r="E245" s="53" t="s">
        <v>5660</v>
      </c>
      <c r="F245" s="47" t="s">
        <v>5647</v>
      </c>
      <c r="G245" s="47" t="s">
        <v>14</v>
      </c>
      <c r="H245" s="47" t="str">
        <f>IFERROR(VLOOKUP(Table2[[#This Row], [Ticket]],Okey!A:B,2,0),"")</f>
        <v>ok</v>
      </c>
      <c r="I245" s="47" t="s">
        <v>5290</v>
      </c>
      <c r="J245" s="47" t="s">
        <v>17</v>
      </c>
      <c r="K245" s="47"/>
      <c r="L245" s="47"/>
      <c r="M245" s="49" t="s">
        <v>4795</v>
      </c>
    </row>
    <row r="246" spans="1:13">
      <c r="A246" s="48">
        <f t="shared" si="3"/>
        <v>245</v>
      </c>
      <c r="B246" s="47" t="s">
        <v>4</v>
      </c>
      <c r="C246" s="47" t="s">
        <v>233</v>
      </c>
      <c r="D246" s="47" t="s">
        <v>5661</v>
      </c>
      <c r="E246" s="52" t="s">
        <v>5662</v>
      </c>
      <c r="F246" s="37" t="s">
        <v>4840</v>
      </c>
      <c r="G246" s="47" t="s">
        <v>14</v>
      </c>
      <c r="H246" s="47" t="str">
        <f>IFERROR(VLOOKUP(Table2[[#This Row], [Ticket]],Okey!A:B,2,0),"")</f>
        <v>ok</v>
      </c>
      <c r="I246" s="47" t="s">
        <v>5290</v>
      </c>
      <c r="J246" s="47" t="s">
        <v>17</v>
      </c>
      <c r="K246" s="47"/>
      <c r="L246" s="47"/>
      <c r="M246" s="49" t="s">
        <v>4795</v>
      </c>
    </row>
    <row r="247" spans="1:13">
      <c r="A247" s="48">
        <f t="shared" si="3"/>
        <v>246</v>
      </c>
      <c r="B247" s="47" t="s">
        <v>4</v>
      </c>
      <c r="C247" s="47" t="s">
        <v>233</v>
      </c>
      <c r="D247" s="47" t="s">
        <v>5119</v>
      </c>
      <c r="E247" s="52" t="s">
        <v>5663</v>
      </c>
      <c r="F247" s="47" t="s">
        <v>5661</v>
      </c>
      <c r="G247" s="47" t="s">
        <v>14</v>
      </c>
      <c r="H247" s="47" t="str">
        <f>IFERROR(VLOOKUP(Table2[[#This Row], [Ticket]],Okey!A:B,2,0),"")</f>
        <v>ok</v>
      </c>
      <c r="I247" s="47" t="s">
        <v>5290</v>
      </c>
      <c r="J247" s="47" t="s">
        <v>17</v>
      </c>
      <c r="K247" s="47"/>
      <c r="L247" s="47"/>
      <c r="M247" s="49" t="s">
        <v>4795</v>
      </c>
    </row>
    <row r="248" spans="1:13">
      <c r="A248" s="48">
        <f t="shared" si="3"/>
        <v>247</v>
      </c>
      <c r="B248" s="47" t="s">
        <v>4</v>
      </c>
      <c r="C248" s="47" t="s">
        <v>233</v>
      </c>
      <c r="D248" s="47" t="s">
        <v>5664</v>
      </c>
      <c r="E248" s="53" t="s">
        <v>5665</v>
      </c>
      <c r="F248" s="47" t="s">
        <v>5661</v>
      </c>
      <c r="G248" s="47" t="s">
        <v>14</v>
      </c>
      <c r="H248" s="47" t="str">
        <f>IFERROR(VLOOKUP(Table2[[#This Row], [Ticket]],Okey!A:B,2,0),"")</f>
        <v>ok</v>
      </c>
      <c r="I248" s="47" t="s">
        <v>5290</v>
      </c>
      <c r="J248" s="47" t="s">
        <v>17</v>
      </c>
      <c r="K248" s="47"/>
      <c r="L248" s="47"/>
      <c r="M248" s="49" t="s">
        <v>4795</v>
      </c>
    </row>
    <row r="249" spans="1:13">
      <c r="A249" s="48">
        <f t="shared" si="3"/>
        <v>248</v>
      </c>
      <c r="B249" s="47" t="s">
        <v>4</v>
      </c>
      <c r="C249" s="47" t="s">
        <v>233</v>
      </c>
      <c r="D249" s="47" t="s">
        <v>5666</v>
      </c>
      <c r="E249" s="52" t="s">
        <v>5667</v>
      </c>
      <c r="F249" s="37" t="s">
        <v>4840</v>
      </c>
      <c r="G249" s="47" t="s">
        <v>14</v>
      </c>
      <c r="H249" s="47" t="str">
        <f>IFERROR(VLOOKUP(Table2[[#This Row], [Ticket]],Okey!A:B,2,0),"")</f>
        <v>ok</v>
      </c>
      <c r="I249" s="47" t="s">
        <v>5290</v>
      </c>
      <c r="J249" s="47" t="s">
        <v>17</v>
      </c>
      <c r="K249" s="47"/>
      <c r="L249" s="47"/>
      <c r="M249" s="49" t="s">
        <v>4795</v>
      </c>
    </row>
    <row r="250" spans="1:13">
      <c r="A250" s="48">
        <f t="shared" si="3"/>
        <v>249</v>
      </c>
      <c r="B250" s="47" t="s">
        <v>4</v>
      </c>
      <c r="C250" s="47" t="s">
        <v>233</v>
      </c>
      <c r="D250" s="47" t="s">
        <v>5121</v>
      </c>
      <c r="E250" s="52" t="s">
        <v>5668</v>
      </c>
      <c r="F250" s="47" t="s">
        <v>5666</v>
      </c>
      <c r="G250" s="47" t="s">
        <v>14</v>
      </c>
      <c r="H250" s="47" t="str">
        <f>IFERROR(VLOOKUP(Table2[[#This Row], [Ticket]],Okey!A:B,2,0),"")</f>
        <v>ok</v>
      </c>
      <c r="I250" s="47" t="s">
        <v>5290</v>
      </c>
      <c r="J250" s="47" t="s">
        <v>17</v>
      </c>
      <c r="K250" s="47"/>
      <c r="L250" s="47"/>
      <c r="M250" s="49" t="s">
        <v>4795</v>
      </c>
    </row>
    <row r="251" spans="1:13">
      <c r="A251" s="48">
        <f t="shared" si="3"/>
        <v>250</v>
      </c>
      <c r="B251" s="47" t="s">
        <v>4</v>
      </c>
      <c r="C251" s="47" t="s">
        <v>233</v>
      </c>
      <c r="D251" s="47" t="s">
        <v>5123</v>
      </c>
      <c r="E251" s="52" t="s">
        <v>5669</v>
      </c>
      <c r="F251" s="47" t="s">
        <v>5666</v>
      </c>
      <c r="G251" s="47" t="s">
        <v>14</v>
      </c>
      <c r="H251" s="47" t="str">
        <f>IFERROR(VLOOKUP(Table2[[#This Row], [Ticket]],Okey!A:B,2,0),"")</f>
        <v>ok</v>
      </c>
      <c r="I251" s="47" t="s">
        <v>5290</v>
      </c>
      <c r="J251" s="47" t="s">
        <v>17</v>
      </c>
      <c r="K251" s="47"/>
      <c r="L251" s="47"/>
      <c r="M251" s="49" t="s">
        <v>4795</v>
      </c>
    </row>
    <row r="252" spans="1:13">
      <c r="A252" s="48">
        <f t="shared" si="3"/>
        <v>251</v>
      </c>
      <c r="B252" s="47" t="s">
        <v>4</v>
      </c>
      <c r="C252" s="47" t="s">
        <v>233</v>
      </c>
      <c r="D252" s="47" t="s">
        <v>5670</v>
      </c>
      <c r="E252" s="53" t="s">
        <v>5671</v>
      </c>
      <c r="F252" s="47" t="s">
        <v>5666</v>
      </c>
      <c r="G252" s="47" t="s">
        <v>14</v>
      </c>
      <c r="H252" s="47" t="str">
        <f>IFERROR(VLOOKUP(Table2[[#This Row], [Ticket]],Okey!A:B,2,0),"")</f>
        <v>ok</v>
      </c>
      <c r="I252" s="47" t="s">
        <v>5290</v>
      </c>
      <c r="J252" s="47" t="s">
        <v>17</v>
      </c>
      <c r="K252" s="47"/>
      <c r="L252" s="47"/>
      <c r="M252" s="49" t="s">
        <v>4795</v>
      </c>
    </row>
    <row r="253" spans="1:13">
      <c r="A253" s="48">
        <f t="shared" si="3"/>
        <v>252</v>
      </c>
      <c r="B253" s="47" t="s">
        <v>4</v>
      </c>
      <c r="C253" s="47" t="s">
        <v>233</v>
      </c>
      <c r="D253" s="47" t="s">
        <v>5672</v>
      </c>
      <c r="E253" s="52" t="s">
        <v>5673</v>
      </c>
      <c r="F253" s="37" t="s">
        <v>4840</v>
      </c>
      <c r="G253" s="47" t="s">
        <v>14</v>
      </c>
      <c r="H253" s="47" t="str">
        <f>IFERROR(VLOOKUP(Table2[[#This Row], [Ticket]],Okey!A:B,2,0),"")</f>
        <v>ok</v>
      </c>
      <c r="I253" s="47" t="s">
        <v>5290</v>
      </c>
      <c r="J253" s="47" t="s">
        <v>17</v>
      </c>
      <c r="K253" s="47"/>
      <c r="L253" s="47"/>
      <c r="M253" s="49" t="s">
        <v>4795</v>
      </c>
    </row>
    <row r="254" spans="1:13">
      <c r="A254" s="48">
        <f t="shared" si="3"/>
        <v>253</v>
      </c>
      <c r="B254" s="47" t="s">
        <v>4</v>
      </c>
      <c r="C254" s="47" t="s">
        <v>233</v>
      </c>
      <c r="D254" s="47" t="s">
        <v>5125</v>
      </c>
      <c r="E254" s="52" t="s">
        <v>5674</v>
      </c>
      <c r="F254" s="47" t="s">
        <v>5672</v>
      </c>
      <c r="G254" s="47" t="s">
        <v>14</v>
      </c>
      <c r="H254" s="47" t="str">
        <f>IFERROR(VLOOKUP(Table2[[#This Row], [Ticket]],Okey!A:B,2,0),"")</f>
        <v>ok</v>
      </c>
      <c r="I254" s="47" t="s">
        <v>5290</v>
      </c>
      <c r="J254" s="47" t="s">
        <v>17</v>
      </c>
      <c r="K254" s="47"/>
      <c r="L254" s="47"/>
      <c r="M254" s="49" t="s">
        <v>4795</v>
      </c>
    </row>
    <row r="255" spans="1:13">
      <c r="A255" s="48">
        <f t="shared" si="3"/>
        <v>254</v>
      </c>
      <c r="B255" s="47" t="s">
        <v>4</v>
      </c>
      <c r="C255" s="47" t="s">
        <v>233</v>
      </c>
      <c r="D255" s="47" t="s">
        <v>5127</v>
      </c>
      <c r="E255" s="52" t="s">
        <v>5675</v>
      </c>
      <c r="F255" s="47" t="s">
        <v>5672</v>
      </c>
      <c r="G255" s="47" t="s">
        <v>14</v>
      </c>
      <c r="H255" s="47" t="str">
        <f>IFERROR(VLOOKUP(Table2[[#This Row], [Ticket]],Okey!A:B,2,0),"")</f>
        <v>ok</v>
      </c>
      <c r="I255" s="47" t="s">
        <v>5290</v>
      </c>
      <c r="J255" s="47" t="s">
        <v>17</v>
      </c>
      <c r="K255" s="47"/>
      <c r="L255" s="47"/>
      <c r="M255" s="49" t="s">
        <v>4795</v>
      </c>
    </row>
    <row r="256" spans="1:13">
      <c r="A256" s="48">
        <f t="shared" si="3"/>
        <v>255</v>
      </c>
      <c r="B256" s="47" t="s">
        <v>4</v>
      </c>
      <c r="C256" s="47" t="s">
        <v>233</v>
      </c>
      <c r="D256" s="47" t="s">
        <v>5129</v>
      </c>
      <c r="E256" s="52" t="s">
        <v>5676</v>
      </c>
      <c r="F256" s="47" t="s">
        <v>5672</v>
      </c>
      <c r="G256" s="47" t="s">
        <v>14</v>
      </c>
      <c r="H256" s="47" t="str">
        <f>IFERROR(VLOOKUP(Table2[[#This Row], [Ticket]],Okey!A:B,2,0),"")</f>
        <v>ok</v>
      </c>
      <c r="I256" s="47" t="s">
        <v>5290</v>
      </c>
      <c r="J256" s="47" t="s">
        <v>17</v>
      </c>
      <c r="K256" s="47"/>
      <c r="L256" s="47"/>
      <c r="M256" s="49" t="s">
        <v>4795</v>
      </c>
    </row>
    <row r="257" spans="1:13">
      <c r="A257" s="48">
        <f t="shared" si="3"/>
        <v>256</v>
      </c>
      <c r="B257" s="47" t="s">
        <v>4</v>
      </c>
      <c r="C257" s="47" t="s">
        <v>233</v>
      </c>
      <c r="D257" s="47" t="s">
        <v>5131</v>
      </c>
      <c r="E257" s="52" t="s">
        <v>5677</v>
      </c>
      <c r="F257" s="47" t="s">
        <v>5672</v>
      </c>
      <c r="G257" s="47" t="s">
        <v>14</v>
      </c>
      <c r="H257" s="47" t="str">
        <f>IFERROR(VLOOKUP(Table2[[#This Row], [Ticket]],Okey!A:B,2,0),"")</f>
        <v>ok</v>
      </c>
      <c r="I257" s="47" t="s">
        <v>5290</v>
      </c>
      <c r="J257" s="47" t="s">
        <v>17</v>
      </c>
      <c r="K257" s="47"/>
      <c r="L257" s="47"/>
      <c r="M257" s="49" t="s">
        <v>4795</v>
      </c>
    </row>
    <row r="258" spans="1:13">
      <c r="A258" s="48">
        <f t="shared" si="3"/>
        <v>257</v>
      </c>
      <c r="B258" s="47" t="s">
        <v>4</v>
      </c>
      <c r="C258" s="47" t="s">
        <v>233</v>
      </c>
      <c r="D258" s="47" t="s">
        <v>5133</v>
      </c>
      <c r="E258" s="52" t="s">
        <v>5678</v>
      </c>
      <c r="F258" s="47" t="s">
        <v>5672</v>
      </c>
      <c r="G258" s="47" t="s">
        <v>14</v>
      </c>
      <c r="H258" s="47" t="str">
        <f>IFERROR(VLOOKUP(Table2[[#This Row], [Ticket]],Okey!A:B,2,0),"")</f>
        <v>ok</v>
      </c>
      <c r="I258" s="47" t="s">
        <v>5290</v>
      </c>
      <c r="J258" s="47" t="s">
        <v>17</v>
      </c>
      <c r="K258" s="47"/>
      <c r="L258" s="47"/>
      <c r="M258" s="49" t="s">
        <v>4795</v>
      </c>
    </row>
    <row r="259" spans="1:13">
      <c r="A259" s="48">
        <f t="shared" ref="A259:A290" si="4">1+A258</f>
        <v>258</v>
      </c>
      <c r="B259" s="47" t="s">
        <v>4</v>
      </c>
      <c r="C259" s="47" t="s">
        <v>233</v>
      </c>
      <c r="D259" s="47" t="s">
        <v>5135</v>
      </c>
      <c r="E259" s="52" t="s">
        <v>5679</v>
      </c>
      <c r="F259" s="47" t="s">
        <v>5672</v>
      </c>
      <c r="G259" s="47" t="s">
        <v>14</v>
      </c>
      <c r="H259" s="47" t="str">
        <f>IFERROR(VLOOKUP(Table2[[#This Row], [Ticket]],Okey!A:B,2,0),"")</f>
        <v>ok</v>
      </c>
      <c r="I259" s="47" t="s">
        <v>5290</v>
      </c>
      <c r="J259" s="47" t="s">
        <v>17</v>
      </c>
      <c r="K259" s="47"/>
      <c r="L259" s="47"/>
      <c r="M259" s="49" t="s">
        <v>4795</v>
      </c>
    </row>
    <row r="260" spans="1:13">
      <c r="A260" s="48">
        <f t="shared" si="4"/>
        <v>259</v>
      </c>
      <c r="B260" s="47" t="s">
        <v>4</v>
      </c>
      <c r="C260" s="47" t="s">
        <v>233</v>
      </c>
      <c r="D260" s="47" t="s">
        <v>5680</v>
      </c>
      <c r="E260" s="53" t="s">
        <v>5681</v>
      </c>
      <c r="F260" s="47" t="s">
        <v>5672</v>
      </c>
      <c r="G260" s="47" t="s">
        <v>14</v>
      </c>
      <c r="H260" s="47" t="str">
        <f>IFERROR(VLOOKUP(Table2[[#This Row], [Ticket]],Okey!A:B,2,0),"")</f>
        <v>ok</v>
      </c>
      <c r="I260" s="47" t="s">
        <v>5290</v>
      </c>
      <c r="J260" s="47" t="s">
        <v>17</v>
      </c>
      <c r="K260" s="47"/>
      <c r="L260" s="47"/>
      <c r="M260" s="49" t="s">
        <v>4795</v>
      </c>
    </row>
    <row r="261" spans="1:13">
      <c r="A261" s="48">
        <f t="shared" si="4"/>
        <v>260</v>
      </c>
      <c r="B261" s="47" t="s">
        <v>4</v>
      </c>
      <c r="C261" s="47" t="s">
        <v>233</v>
      </c>
      <c r="D261" s="47" t="s">
        <v>5682</v>
      </c>
      <c r="E261" s="52" t="s">
        <v>5683</v>
      </c>
      <c r="F261" s="37" t="s">
        <v>4840</v>
      </c>
      <c r="G261" s="47" t="s">
        <v>14</v>
      </c>
      <c r="H261" s="47" t="str">
        <f>IFERROR(VLOOKUP(Table2[[#This Row], [Ticket]],Okey!A:B,2,0),"")</f>
        <v>ok</v>
      </c>
      <c r="I261" s="47" t="s">
        <v>5290</v>
      </c>
      <c r="J261" s="47" t="s">
        <v>17</v>
      </c>
      <c r="K261" s="47"/>
      <c r="L261" s="47"/>
      <c r="M261" s="49" t="s">
        <v>4795</v>
      </c>
    </row>
    <row r="262" spans="1:13">
      <c r="A262" s="48">
        <f t="shared" si="4"/>
        <v>261</v>
      </c>
      <c r="B262" s="47" t="s">
        <v>4</v>
      </c>
      <c r="C262" s="47" t="s">
        <v>233</v>
      </c>
      <c r="D262" s="47" t="s">
        <v>5137</v>
      </c>
      <c r="E262" s="52" t="s">
        <v>5684</v>
      </c>
      <c r="F262" s="47" t="s">
        <v>5682</v>
      </c>
      <c r="G262" s="47" t="s">
        <v>14</v>
      </c>
      <c r="H262" s="47" t="str">
        <f>IFERROR(VLOOKUP(Table2[[#This Row], [Ticket]],Okey!A:B,2,0),"")</f>
        <v>ok</v>
      </c>
      <c r="I262" s="47" t="s">
        <v>5290</v>
      </c>
      <c r="J262" s="47" t="s">
        <v>17</v>
      </c>
      <c r="K262" s="47"/>
      <c r="L262" s="47"/>
      <c r="M262" s="49" t="s">
        <v>4795</v>
      </c>
    </row>
    <row r="263" spans="1:13">
      <c r="A263" s="48">
        <f t="shared" si="4"/>
        <v>262</v>
      </c>
      <c r="B263" s="47" t="s">
        <v>4</v>
      </c>
      <c r="C263" s="47" t="s">
        <v>233</v>
      </c>
      <c r="D263" s="47" t="s">
        <v>5139</v>
      </c>
      <c r="E263" s="52" t="s">
        <v>5685</v>
      </c>
      <c r="F263" s="47" t="s">
        <v>5682</v>
      </c>
      <c r="G263" s="47" t="s">
        <v>14</v>
      </c>
      <c r="H263" s="47" t="str">
        <f>IFERROR(VLOOKUP(Table2[[#This Row], [Ticket]],Okey!A:B,2,0),"")</f>
        <v>ok</v>
      </c>
      <c r="I263" s="47" t="s">
        <v>5290</v>
      </c>
      <c r="J263" s="47" t="s">
        <v>17</v>
      </c>
      <c r="K263" s="47"/>
      <c r="L263" s="47"/>
      <c r="M263" s="49" t="s">
        <v>4795</v>
      </c>
    </row>
    <row r="264" spans="1:13">
      <c r="A264" s="48">
        <f t="shared" si="4"/>
        <v>263</v>
      </c>
      <c r="B264" s="47" t="s">
        <v>4</v>
      </c>
      <c r="C264" s="47" t="s">
        <v>233</v>
      </c>
      <c r="D264" s="47" t="s">
        <v>5141</v>
      </c>
      <c r="E264" s="52" t="s">
        <v>5686</v>
      </c>
      <c r="F264" s="47" t="s">
        <v>5682</v>
      </c>
      <c r="G264" s="47" t="s">
        <v>14</v>
      </c>
      <c r="H264" s="47" t="str">
        <f>IFERROR(VLOOKUP(Table2[[#This Row], [Ticket]],Okey!A:B,2,0),"")</f>
        <v>ok</v>
      </c>
      <c r="I264" s="47" t="s">
        <v>5290</v>
      </c>
      <c r="J264" s="47" t="s">
        <v>17</v>
      </c>
      <c r="K264" s="47"/>
      <c r="L264" s="47"/>
      <c r="M264" s="49" t="s">
        <v>4795</v>
      </c>
    </row>
    <row r="265" spans="1:13">
      <c r="A265" s="48">
        <f t="shared" si="4"/>
        <v>264</v>
      </c>
      <c r="B265" s="47" t="s">
        <v>4</v>
      </c>
      <c r="C265" s="47" t="s">
        <v>233</v>
      </c>
      <c r="D265" s="47" t="s">
        <v>5143</v>
      </c>
      <c r="E265" s="52" t="s">
        <v>5687</v>
      </c>
      <c r="F265" s="47" t="s">
        <v>5682</v>
      </c>
      <c r="G265" s="47" t="s">
        <v>14</v>
      </c>
      <c r="H265" s="47" t="str">
        <f>IFERROR(VLOOKUP(Table2[[#This Row], [Ticket]],Okey!A:B,2,0),"")</f>
        <v>ok</v>
      </c>
      <c r="I265" s="47" t="s">
        <v>5290</v>
      </c>
      <c r="J265" s="47" t="s">
        <v>17</v>
      </c>
      <c r="K265" s="47"/>
      <c r="L265" s="47"/>
      <c r="M265" s="49" t="s">
        <v>4795</v>
      </c>
    </row>
    <row r="266" spans="1:13">
      <c r="A266" s="48">
        <f t="shared" si="4"/>
        <v>265</v>
      </c>
      <c r="B266" s="47" t="s">
        <v>4</v>
      </c>
      <c r="C266" s="47" t="s">
        <v>233</v>
      </c>
      <c r="D266" s="47" t="s">
        <v>5145</v>
      </c>
      <c r="E266" s="52" t="s">
        <v>5688</v>
      </c>
      <c r="F266" s="47" t="s">
        <v>5682</v>
      </c>
      <c r="G266" s="47" t="s">
        <v>14</v>
      </c>
      <c r="H266" s="47" t="str">
        <f>IFERROR(VLOOKUP(Table2[[#This Row], [Ticket]],Okey!A:B,2,0),"")</f>
        <v>ok</v>
      </c>
      <c r="I266" s="47" t="s">
        <v>5290</v>
      </c>
      <c r="J266" s="47" t="s">
        <v>17</v>
      </c>
      <c r="K266" s="47"/>
      <c r="L266" s="47"/>
      <c r="M266" s="49" t="s">
        <v>4795</v>
      </c>
    </row>
    <row r="267" spans="1:13">
      <c r="A267" s="48">
        <f t="shared" si="4"/>
        <v>266</v>
      </c>
      <c r="B267" s="47" t="s">
        <v>4</v>
      </c>
      <c r="C267" s="47" t="s">
        <v>233</v>
      </c>
      <c r="D267" s="47" t="s">
        <v>5147</v>
      </c>
      <c r="E267" s="52" t="s">
        <v>5689</v>
      </c>
      <c r="F267" s="47" t="s">
        <v>5682</v>
      </c>
      <c r="G267" s="47" t="s">
        <v>14</v>
      </c>
      <c r="H267" s="47" t="str">
        <f>IFERROR(VLOOKUP(Table2[[#This Row], [Ticket]],Okey!A:B,2,0),"")</f>
        <v>ok</v>
      </c>
      <c r="I267" s="47" t="s">
        <v>5290</v>
      </c>
      <c r="J267" s="47" t="s">
        <v>17</v>
      </c>
      <c r="K267" s="47"/>
      <c r="L267" s="47"/>
      <c r="M267" s="49" t="s">
        <v>4795</v>
      </c>
    </row>
    <row r="268" spans="1:13">
      <c r="A268" s="48">
        <f t="shared" si="4"/>
        <v>267</v>
      </c>
      <c r="B268" s="47" t="s">
        <v>4</v>
      </c>
      <c r="C268" s="47" t="s">
        <v>233</v>
      </c>
      <c r="D268" s="47" t="s">
        <v>5690</v>
      </c>
      <c r="E268" s="53" t="s">
        <v>5691</v>
      </c>
      <c r="F268" s="47" t="s">
        <v>5682</v>
      </c>
      <c r="G268" s="47" t="s">
        <v>14</v>
      </c>
      <c r="H268" s="47" t="str">
        <f>IFERROR(VLOOKUP(Table2[[#This Row], [Ticket]],Okey!A:B,2,0),"")</f>
        <v>ok</v>
      </c>
      <c r="I268" s="47" t="s">
        <v>5290</v>
      </c>
      <c r="J268" s="47" t="s">
        <v>17</v>
      </c>
      <c r="K268" s="47"/>
      <c r="L268" s="47"/>
      <c r="M268" s="49" t="s">
        <v>4795</v>
      </c>
    </row>
    <row r="269" spans="1:13">
      <c r="A269" s="48">
        <f t="shared" si="4"/>
        <v>268</v>
      </c>
      <c r="B269" s="47" t="s">
        <v>4</v>
      </c>
      <c r="C269" s="47" t="s">
        <v>234</v>
      </c>
      <c r="D269" s="47" t="s">
        <v>5461</v>
      </c>
      <c r="E269" s="47" t="s">
        <v>5692</v>
      </c>
      <c r="F269" s="47" t="s">
        <v>5693</v>
      </c>
      <c r="G269" s="47" t="s">
        <v>13</v>
      </c>
      <c r="H269" s="47" t="str">
        <f>IFERROR(VLOOKUP(Table2[[#This Row], [Ticket]],Okey!A:B,2,0),"")</f>
        <v>ok</v>
      </c>
      <c r="I269" s="47" t="s">
        <v>5290</v>
      </c>
      <c r="J269" s="47" t="s">
        <v>17</v>
      </c>
      <c r="K269" s="47"/>
      <c r="L269" s="47"/>
      <c r="M269" s="49" t="s">
        <v>4778</v>
      </c>
    </row>
    <row r="270" spans="1:13">
      <c r="A270" s="48">
        <f t="shared" si="4"/>
        <v>269</v>
      </c>
      <c r="B270" s="47" t="s">
        <v>4</v>
      </c>
      <c r="C270" s="47" t="s">
        <v>234</v>
      </c>
      <c r="D270" s="47" t="s">
        <v>5464</v>
      </c>
      <c r="E270" s="47" t="s">
        <v>5694</v>
      </c>
      <c r="F270" s="47" t="s">
        <v>5693</v>
      </c>
      <c r="G270" s="47" t="s">
        <v>13</v>
      </c>
      <c r="H270" s="47" t="str">
        <f>IFERROR(VLOOKUP(Table2[[#This Row], [Ticket]],Okey!A:B,2,0),"")</f>
        <v>ok</v>
      </c>
      <c r="I270" s="47" t="s">
        <v>5290</v>
      </c>
      <c r="J270" s="47" t="s">
        <v>17</v>
      </c>
      <c r="K270" s="47"/>
      <c r="L270" s="47"/>
      <c r="M270" s="49" t="s">
        <v>4778</v>
      </c>
    </row>
    <row r="271" spans="1:13">
      <c r="A271" s="48">
        <f t="shared" si="4"/>
        <v>270</v>
      </c>
      <c r="B271" s="47" t="s">
        <v>4</v>
      </c>
      <c r="C271" s="47" t="s">
        <v>234</v>
      </c>
      <c r="D271" s="47" t="s">
        <v>5467</v>
      </c>
      <c r="E271" s="47" t="s">
        <v>5695</v>
      </c>
      <c r="F271" s="47" t="s">
        <v>5693</v>
      </c>
      <c r="G271" s="47" t="s">
        <v>13</v>
      </c>
      <c r="H271" s="47" t="str">
        <f>IFERROR(VLOOKUP(Table2[[#This Row], [Ticket]],Okey!A:B,2,0),"")</f>
        <v>ok</v>
      </c>
      <c r="I271" s="47" t="s">
        <v>5290</v>
      </c>
      <c r="J271" s="47" t="s">
        <v>17</v>
      </c>
      <c r="K271" s="47"/>
      <c r="L271" s="47"/>
      <c r="M271" s="49" t="s">
        <v>4778</v>
      </c>
    </row>
    <row r="272" spans="1:13">
      <c r="A272" s="48">
        <f t="shared" si="4"/>
        <v>271</v>
      </c>
      <c r="B272" s="47" t="s">
        <v>4</v>
      </c>
      <c r="C272" s="47" t="s">
        <v>234</v>
      </c>
      <c r="D272" s="47" t="s">
        <v>5470</v>
      </c>
      <c r="E272" s="47" t="s">
        <v>5696</v>
      </c>
      <c r="F272" s="47" t="s">
        <v>5693</v>
      </c>
      <c r="G272" s="47" t="s">
        <v>13</v>
      </c>
      <c r="H272" s="47" t="str">
        <f>IFERROR(VLOOKUP(Table2[[#This Row], [Ticket]],Okey!A:B,2,0),"")</f>
        <v>ok</v>
      </c>
      <c r="I272" s="47" t="s">
        <v>5290</v>
      </c>
      <c r="J272" s="47" t="s">
        <v>17</v>
      </c>
      <c r="K272" s="47"/>
      <c r="L272" s="47"/>
      <c r="M272" s="49" t="s">
        <v>4778</v>
      </c>
    </row>
    <row r="273" spans="1:13">
      <c r="A273" s="48">
        <f t="shared" si="4"/>
        <v>272</v>
      </c>
      <c r="B273" s="47" t="s">
        <v>4</v>
      </c>
      <c r="C273" s="47" t="s">
        <v>235</v>
      </c>
      <c r="D273" s="47" t="s">
        <v>5697</v>
      </c>
      <c r="E273" s="47" t="s">
        <v>5698</v>
      </c>
      <c r="F273" s="47" t="s">
        <v>5699</v>
      </c>
      <c r="G273" s="47" t="s">
        <v>14</v>
      </c>
      <c r="H273" s="47" t="str">
        <f>IFERROR(VLOOKUP(Table2[[#This Row], [Ticket]],Okey!A:B,2,0),"")</f>
        <v>ok</v>
      </c>
      <c r="I273" s="47" t="s">
        <v>5290</v>
      </c>
      <c r="J273" s="47" t="s">
        <v>17</v>
      </c>
      <c r="K273" s="47"/>
      <c r="L273" s="47"/>
      <c r="M273" s="49" t="s">
        <v>1230</v>
      </c>
    </row>
    <row r="274" spans="1:13">
      <c r="A274" s="48">
        <f t="shared" si="4"/>
        <v>273</v>
      </c>
      <c r="B274" s="47" t="s">
        <v>4</v>
      </c>
      <c r="C274" s="47" t="s">
        <v>235</v>
      </c>
      <c r="D274" s="47" t="s">
        <v>5700</v>
      </c>
      <c r="E274" s="47" t="s">
        <v>5698</v>
      </c>
      <c r="F274" s="47" t="s">
        <v>5697</v>
      </c>
      <c r="G274" s="47" t="s">
        <v>14</v>
      </c>
      <c r="H274" s="47" t="str">
        <f>IFERROR(VLOOKUP(Table2[[#This Row], [Ticket]],Okey!A:B,2,0),"")</f>
        <v>ok</v>
      </c>
      <c r="I274" s="47" t="s">
        <v>5290</v>
      </c>
      <c r="J274" s="47" t="s">
        <v>17</v>
      </c>
      <c r="K274" s="47"/>
      <c r="L274" s="47"/>
      <c r="M274" s="49" t="s">
        <v>1230</v>
      </c>
    </row>
    <row r="275" spans="1:13">
      <c r="A275" s="48">
        <f t="shared" si="4"/>
        <v>274</v>
      </c>
      <c r="B275" s="47" t="s">
        <v>4</v>
      </c>
      <c r="C275" s="47" t="s">
        <v>236</v>
      </c>
      <c r="D275" s="47" t="s">
        <v>5647</v>
      </c>
      <c r="E275" s="47"/>
      <c r="F275" s="47" t="s">
        <v>5457</v>
      </c>
      <c r="G275" s="47" t="s">
        <v>13</v>
      </c>
      <c r="H275" s="47" t="str">
        <f>IFERROR(VLOOKUP(Table2[[#This Row], [Ticket]],Okey!A:B,2,0),"")</f>
        <v>ok</v>
      </c>
      <c r="I275" s="47" t="s">
        <v>5290</v>
      </c>
      <c r="J275" s="47" t="s">
        <v>17</v>
      </c>
      <c r="K275" s="47"/>
      <c r="L275" s="47"/>
      <c r="M275" s="49" t="s">
        <v>4778</v>
      </c>
    </row>
    <row r="276" spans="1:13">
      <c r="A276" s="48">
        <f t="shared" si="4"/>
        <v>275</v>
      </c>
      <c r="B276" s="47" t="s">
        <v>4</v>
      </c>
      <c r="C276" s="47" t="s">
        <v>236</v>
      </c>
      <c r="D276" s="47" t="s">
        <v>5661</v>
      </c>
      <c r="E276" s="47"/>
      <c r="F276" s="47" t="s">
        <v>5457</v>
      </c>
      <c r="G276" s="47" t="s">
        <v>13</v>
      </c>
      <c r="H276" s="47" t="str">
        <f>IFERROR(VLOOKUP(Table2[[#This Row], [Ticket]],Okey!A:B,2,0),"")</f>
        <v>ok</v>
      </c>
      <c r="I276" s="47" t="s">
        <v>5290</v>
      </c>
      <c r="J276" s="47" t="s">
        <v>17</v>
      </c>
      <c r="K276" s="47"/>
      <c r="L276" s="47"/>
      <c r="M276" s="49" t="s">
        <v>4778</v>
      </c>
    </row>
    <row r="277" spans="1:13">
      <c r="A277" s="48">
        <f t="shared" si="4"/>
        <v>276</v>
      </c>
      <c r="B277" s="47" t="s">
        <v>4</v>
      </c>
      <c r="C277" s="47" t="s">
        <v>236</v>
      </c>
      <c r="D277" s="47" t="s">
        <v>5666</v>
      </c>
      <c r="E277" s="47"/>
      <c r="F277" s="47" t="s">
        <v>5457</v>
      </c>
      <c r="G277" s="47" t="s">
        <v>13</v>
      </c>
      <c r="H277" s="47" t="str">
        <f>IFERROR(VLOOKUP(Table2[[#This Row], [Ticket]],Okey!A:B,2,0),"")</f>
        <v>ok</v>
      </c>
      <c r="I277" s="47" t="s">
        <v>5290</v>
      </c>
      <c r="J277" s="47" t="s">
        <v>17</v>
      </c>
      <c r="K277" s="47"/>
      <c r="L277" s="47"/>
      <c r="M277" s="49" t="s">
        <v>4778</v>
      </c>
    </row>
    <row r="278" spans="1:13">
      <c r="A278" s="48">
        <f t="shared" si="4"/>
        <v>277</v>
      </c>
      <c r="B278" s="47" t="s">
        <v>4</v>
      </c>
      <c r="C278" s="47" t="s">
        <v>236</v>
      </c>
      <c r="D278" s="47" t="s">
        <v>5672</v>
      </c>
      <c r="E278" s="47"/>
      <c r="F278" s="47" t="s">
        <v>5457</v>
      </c>
      <c r="G278" s="47" t="s">
        <v>13</v>
      </c>
      <c r="H278" s="47" t="str">
        <f>IFERROR(VLOOKUP(Table2[[#This Row], [Ticket]],Okey!A:B,2,0),"")</f>
        <v>ok</v>
      </c>
      <c r="I278" s="47" t="s">
        <v>5290</v>
      </c>
      <c r="J278" s="47" t="s">
        <v>17</v>
      </c>
      <c r="K278" s="47"/>
      <c r="L278" s="47"/>
      <c r="M278" s="49" t="s">
        <v>4778</v>
      </c>
    </row>
    <row r="279" spans="1:13">
      <c r="A279" s="48">
        <f t="shared" si="4"/>
        <v>278</v>
      </c>
      <c r="B279" s="47" t="s">
        <v>4</v>
      </c>
      <c r="C279" s="47" t="s">
        <v>236</v>
      </c>
      <c r="D279" s="47" t="s">
        <v>5682</v>
      </c>
      <c r="E279" s="47"/>
      <c r="F279" s="47" t="s">
        <v>5457</v>
      </c>
      <c r="G279" s="47" t="s">
        <v>13</v>
      </c>
      <c r="H279" s="47" t="str">
        <f>IFERROR(VLOOKUP(Table2[[#This Row], [Ticket]],Okey!A:B,2,0),"")</f>
        <v>ok</v>
      </c>
      <c r="I279" s="47" t="s">
        <v>5290</v>
      </c>
      <c r="J279" s="47" t="s">
        <v>17</v>
      </c>
      <c r="K279" s="47"/>
      <c r="L279" s="47"/>
      <c r="M279" s="49" t="s">
        <v>4778</v>
      </c>
    </row>
    <row r="280" spans="1:13">
      <c r="A280" s="48">
        <f t="shared" si="4"/>
        <v>279</v>
      </c>
      <c r="B280" s="47" t="s">
        <v>4</v>
      </c>
      <c r="C280" s="47" t="s">
        <v>237</v>
      </c>
      <c r="D280" s="47" t="s">
        <v>5701</v>
      </c>
      <c r="E280" s="47"/>
      <c r="F280" s="47" t="s">
        <v>5702</v>
      </c>
      <c r="G280" s="47" t="s">
        <v>13</v>
      </c>
      <c r="H280" s="47" t="str">
        <f>IFERROR(VLOOKUP(Table2[[#This Row], [Ticket]],Okey!A:B,2,0),"")</f>
        <v>ok</v>
      </c>
      <c r="I280" s="47" t="s">
        <v>5290</v>
      </c>
      <c r="J280" s="47" t="s">
        <v>17</v>
      </c>
      <c r="K280" s="47"/>
      <c r="L280" s="47"/>
      <c r="M280" s="49" t="s">
        <v>1230</v>
      </c>
    </row>
    <row r="281" spans="1:13">
      <c r="A281" s="48">
        <f t="shared" si="4"/>
        <v>280</v>
      </c>
      <c r="B281" s="47" t="s">
        <v>4</v>
      </c>
      <c r="C281" s="47" t="s">
        <v>237</v>
      </c>
      <c r="D281" s="47" t="s">
        <v>5703</v>
      </c>
      <c r="E281" s="47"/>
      <c r="F281" s="47" t="s">
        <v>5704</v>
      </c>
      <c r="G281" s="47" t="s">
        <v>13</v>
      </c>
      <c r="H281" s="47" t="str">
        <f>IFERROR(VLOOKUP(Table2[[#This Row], [Ticket]],Okey!A:B,2,0),"")</f>
        <v>ok</v>
      </c>
      <c r="I281" s="47" t="s">
        <v>5290</v>
      </c>
      <c r="J281" s="47" t="s">
        <v>17</v>
      </c>
      <c r="K281" s="47"/>
      <c r="L281" s="47"/>
      <c r="M281" s="49" t="s">
        <v>1230</v>
      </c>
    </row>
    <row r="282" spans="1:13">
      <c r="A282" s="48">
        <f t="shared" si="4"/>
        <v>281</v>
      </c>
      <c r="B282" s="47" t="s">
        <v>4</v>
      </c>
      <c r="C282" s="47" t="s">
        <v>237</v>
      </c>
      <c r="D282" s="47" t="s">
        <v>5705</v>
      </c>
      <c r="E282" s="47"/>
      <c r="F282" s="47" t="s">
        <v>5706</v>
      </c>
      <c r="G282" s="47" t="s">
        <v>13</v>
      </c>
      <c r="H282" s="47" t="str">
        <f>IFERROR(VLOOKUP(Table2[[#This Row], [Ticket]],Okey!A:B,2,0),"")</f>
        <v>ok</v>
      </c>
      <c r="I282" s="47" t="s">
        <v>5290</v>
      </c>
      <c r="J282" s="47" t="s">
        <v>17</v>
      </c>
      <c r="K282" s="47"/>
      <c r="L282" s="47"/>
      <c r="M282" s="49" t="s">
        <v>1230</v>
      </c>
    </row>
    <row r="283" spans="1:13">
      <c r="A283" s="48">
        <f t="shared" si="4"/>
        <v>282</v>
      </c>
      <c r="B283" s="47" t="s">
        <v>4</v>
      </c>
      <c r="C283" s="47" t="s">
        <v>237</v>
      </c>
      <c r="D283" s="47" t="s">
        <v>5707</v>
      </c>
      <c r="E283" s="47"/>
      <c r="F283" s="47" t="s">
        <v>5708</v>
      </c>
      <c r="G283" s="47" t="s">
        <v>13</v>
      </c>
      <c r="H283" s="47" t="str">
        <f>IFERROR(VLOOKUP(Table2[[#This Row], [Ticket]],Okey!A:B,2,0),"")</f>
        <v>ok</v>
      </c>
      <c r="I283" s="47" t="s">
        <v>5290</v>
      </c>
      <c r="J283" s="47" t="s">
        <v>17</v>
      </c>
      <c r="K283" s="47"/>
      <c r="L283" s="47"/>
      <c r="M283" s="49" t="s">
        <v>1230</v>
      </c>
    </row>
    <row r="284" spans="1:13">
      <c r="A284" s="48">
        <f t="shared" si="4"/>
        <v>283</v>
      </c>
      <c r="B284" s="47" t="s">
        <v>4</v>
      </c>
      <c r="C284" s="47" t="s">
        <v>237</v>
      </c>
      <c r="D284" s="47" t="s">
        <v>5709</v>
      </c>
      <c r="E284" s="47"/>
      <c r="F284" s="47" t="s">
        <v>5710</v>
      </c>
      <c r="G284" s="47" t="s">
        <v>13</v>
      </c>
      <c r="H284" s="47" t="str">
        <f>IFERROR(VLOOKUP(Table2[[#This Row], [Ticket]],Okey!A:B,2,0),"")</f>
        <v>ok</v>
      </c>
      <c r="I284" s="47" t="s">
        <v>5290</v>
      </c>
      <c r="J284" s="47" t="s">
        <v>17</v>
      </c>
      <c r="K284" s="47"/>
      <c r="L284" s="47"/>
      <c r="M284" s="49" t="s">
        <v>1230</v>
      </c>
    </row>
    <row r="285" spans="1:13">
      <c r="A285" s="48">
        <f t="shared" si="4"/>
        <v>284</v>
      </c>
      <c r="B285" s="47" t="s">
        <v>4</v>
      </c>
      <c r="C285" s="47" t="s">
        <v>237</v>
      </c>
      <c r="D285" s="47" t="s">
        <v>5711</v>
      </c>
      <c r="E285" s="47"/>
      <c r="F285" s="47" t="s">
        <v>5712</v>
      </c>
      <c r="G285" s="47" t="s">
        <v>13</v>
      </c>
      <c r="H285" s="47" t="str">
        <f>IFERROR(VLOOKUP(Table2[[#This Row], [Ticket]],Okey!A:B,2,0),"")</f>
        <v>ok</v>
      </c>
      <c r="I285" s="47" t="s">
        <v>5290</v>
      </c>
      <c r="J285" s="47" t="s">
        <v>17</v>
      </c>
      <c r="K285" s="47"/>
      <c r="L285" s="47"/>
      <c r="M285" s="49" t="s">
        <v>1230</v>
      </c>
    </row>
    <row r="286" spans="1:13">
      <c r="A286" s="48">
        <f t="shared" si="4"/>
        <v>285</v>
      </c>
      <c r="B286" s="47" t="s">
        <v>4</v>
      </c>
      <c r="C286" s="47" t="s">
        <v>237</v>
      </c>
      <c r="D286" s="47" t="s">
        <v>5713</v>
      </c>
      <c r="E286" s="47"/>
      <c r="F286" s="47" t="s">
        <v>5714</v>
      </c>
      <c r="G286" s="47" t="s">
        <v>13</v>
      </c>
      <c r="H286" s="47" t="str">
        <f>IFERROR(VLOOKUP(Table2[[#This Row], [Ticket]],Okey!A:B,2,0),"")</f>
        <v>ok</v>
      </c>
      <c r="I286" s="47" t="s">
        <v>5290</v>
      </c>
      <c r="J286" s="47" t="s">
        <v>17</v>
      </c>
      <c r="K286" s="47"/>
      <c r="L286" s="47"/>
      <c r="M286" s="49" t="s">
        <v>1230</v>
      </c>
    </row>
    <row r="287" spans="1:13">
      <c r="A287" s="48">
        <f t="shared" si="4"/>
        <v>286</v>
      </c>
      <c r="B287" s="47" t="s">
        <v>4</v>
      </c>
      <c r="C287" s="47" t="s">
        <v>237</v>
      </c>
      <c r="D287" s="47" t="s">
        <v>5715</v>
      </c>
      <c r="E287" s="47"/>
      <c r="F287" s="47" t="s">
        <v>5716</v>
      </c>
      <c r="G287" s="47" t="s">
        <v>13</v>
      </c>
      <c r="H287" s="47" t="str">
        <f>IFERROR(VLOOKUP(Table2[[#This Row], [Ticket]],Okey!A:B,2,0),"")</f>
        <v>ok</v>
      </c>
      <c r="I287" s="47" t="s">
        <v>5290</v>
      </c>
      <c r="J287" s="47" t="s">
        <v>17</v>
      </c>
      <c r="K287" s="47"/>
      <c r="L287" s="47"/>
      <c r="M287" s="49" t="s">
        <v>1230</v>
      </c>
    </row>
    <row r="288" spans="1:13">
      <c r="A288" s="48">
        <f t="shared" si="4"/>
        <v>287</v>
      </c>
      <c r="B288" s="47" t="s">
        <v>4</v>
      </c>
      <c r="C288" s="47" t="s">
        <v>237</v>
      </c>
      <c r="D288" s="47" t="s">
        <v>5717</v>
      </c>
      <c r="E288" s="47"/>
      <c r="F288" s="47" t="s">
        <v>5718</v>
      </c>
      <c r="G288" s="47" t="s">
        <v>13</v>
      </c>
      <c r="H288" s="47" t="str">
        <f>IFERROR(VLOOKUP(Table2[[#This Row], [Ticket]],Okey!A:B,2,0),"")</f>
        <v>ok</v>
      </c>
      <c r="I288" s="47" t="s">
        <v>5290</v>
      </c>
      <c r="J288" s="47" t="s">
        <v>17</v>
      </c>
      <c r="K288" s="47"/>
      <c r="L288" s="47"/>
      <c r="M288" s="49" t="s">
        <v>1230</v>
      </c>
    </row>
    <row r="289" spans="1:13">
      <c r="A289" s="48">
        <f t="shared" si="4"/>
        <v>288</v>
      </c>
      <c r="B289" s="47" t="s">
        <v>4</v>
      </c>
      <c r="C289" s="47" t="s">
        <v>237</v>
      </c>
      <c r="D289" s="47" t="s">
        <v>5719</v>
      </c>
      <c r="E289" s="47"/>
      <c r="F289" s="47" t="s">
        <v>5720</v>
      </c>
      <c r="G289" s="47" t="s">
        <v>13</v>
      </c>
      <c r="H289" s="47" t="str">
        <f>IFERROR(VLOOKUP(Table2[[#This Row], [Ticket]],Okey!A:B,2,0),"")</f>
        <v>ok</v>
      </c>
      <c r="I289" s="47" t="s">
        <v>5290</v>
      </c>
      <c r="J289" s="47" t="s">
        <v>17</v>
      </c>
      <c r="K289" s="47"/>
      <c r="L289" s="47"/>
      <c r="M289" s="49" t="s">
        <v>1230</v>
      </c>
    </row>
    <row r="290" spans="1:13">
      <c r="A290" s="48">
        <f t="shared" si="4"/>
        <v>289</v>
      </c>
      <c r="B290" s="47" t="s">
        <v>4</v>
      </c>
      <c r="C290" s="47" t="s">
        <v>238</v>
      </c>
      <c r="D290" s="47" t="s">
        <v>345</v>
      </c>
      <c r="E290" s="50" t="s">
        <v>5721</v>
      </c>
      <c r="F290" s="47"/>
      <c r="G290" s="47" t="s">
        <v>15</v>
      </c>
      <c r="H290" s="47" t="str">
        <f>IFERROR(VLOOKUP(Table2[[#This Row], [Ticket]],Okey!A:B,2,0),"")</f>
        <v>ok</v>
      </c>
      <c r="I290" s="47" t="s">
        <v>5290</v>
      </c>
      <c r="J290" s="47" t="s">
        <v>17</v>
      </c>
      <c r="K290" s="47"/>
      <c r="L290" s="47"/>
      <c r="M290" s="49" t="s">
        <v>4784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AB25-814C-4304-B15D-BFD7669D751C}">
  <dimension ref="A1:M1712"/>
  <sheetViews>
    <sheetView workbookViewId="0">
      <selection sqref="A1:M1712"/>
    </sheetView>
  </sheetViews>
  <sheetFormatPr defaultRowHeight="15"/>
  <sheetData>
    <row r="1" spans="1:13">
      <c r="A1" s="33" t="s">
        <v>262</v>
      </c>
      <c r="B1" s="34" t="s">
        <v>263</v>
      </c>
      <c r="C1" s="34" t="s">
        <v>264</v>
      </c>
      <c r="D1" s="34" t="s">
        <v>265</v>
      </c>
      <c r="E1" s="34" t="s">
        <v>266</v>
      </c>
      <c r="F1" s="34" t="s">
        <v>267</v>
      </c>
      <c r="G1" s="34" t="s">
        <v>268</v>
      </c>
      <c r="H1" s="35" t="s">
        <v>0</v>
      </c>
      <c r="I1" s="34" t="s">
        <v>269</v>
      </c>
      <c r="J1" s="34" t="s">
        <v>270</v>
      </c>
      <c r="K1" s="34" t="s">
        <v>271</v>
      </c>
      <c r="L1" s="34" t="s">
        <v>272</v>
      </c>
      <c r="M1" s="34" t="s">
        <v>273</v>
      </c>
    </row>
    <row r="2" spans="1:13">
      <c r="A2" s="48">
        <v>1</v>
      </c>
      <c r="B2" s="47" t="s">
        <v>6</v>
      </c>
      <c r="C2" s="47" t="s">
        <v>239</v>
      </c>
      <c r="D2" s="47" t="s">
        <v>5722</v>
      </c>
      <c r="E2" s="47"/>
      <c r="F2" s="47" t="s">
        <v>319</v>
      </c>
      <c r="G2" s="47" t="s">
        <v>13</v>
      </c>
      <c r="H2" s="47" t="str">
        <f>IFERROR(VLOOKUP(Table2[[#This Row], [Ticket]],Okey!A:B,2,0),"")</f>
        <v>ok</v>
      </c>
      <c r="I2" s="47" t="s">
        <v>5290</v>
      </c>
      <c r="J2" s="47" t="s">
        <v>17</v>
      </c>
      <c r="K2" s="47"/>
      <c r="L2" s="47"/>
      <c r="M2" s="49" t="s">
        <v>4784</v>
      </c>
    </row>
    <row r="3" spans="1:13">
      <c r="A3" s="48">
        <f t="shared" ref="A3:A66" si="0">1+A2</f>
        <v>2</v>
      </c>
      <c r="B3" s="47" t="s">
        <v>6</v>
      </c>
      <c r="C3" s="47" t="s">
        <v>239</v>
      </c>
      <c r="D3" s="47" t="s">
        <v>5723</v>
      </c>
      <c r="E3" s="47"/>
      <c r="F3" s="47" t="s">
        <v>319</v>
      </c>
      <c r="G3" s="47" t="s">
        <v>13</v>
      </c>
      <c r="H3" s="47" t="str">
        <f>IFERROR(VLOOKUP(Table2[[#This Row], [Ticket]],Okey!A:B,2,0),"")</f>
        <v>ok</v>
      </c>
      <c r="I3" s="47" t="s">
        <v>5290</v>
      </c>
      <c r="J3" s="47" t="s">
        <v>17</v>
      </c>
      <c r="K3" s="47"/>
      <c r="L3" s="47"/>
      <c r="M3" s="49" t="s">
        <v>4784</v>
      </c>
    </row>
    <row r="4" spans="1:13">
      <c r="A4" s="48">
        <f t="shared" si="0"/>
        <v>3</v>
      </c>
      <c r="B4" s="47" t="s">
        <v>6</v>
      </c>
      <c r="C4" s="47" t="s">
        <v>239</v>
      </c>
      <c r="D4" s="47" t="s">
        <v>5724</v>
      </c>
      <c r="E4" s="47"/>
      <c r="F4" s="47" t="s">
        <v>5725</v>
      </c>
      <c r="G4" s="47" t="s">
        <v>13</v>
      </c>
      <c r="H4" s="47" t="str">
        <f>IFERROR(VLOOKUP(Table2[[#This Row], [Ticket]],Okey!A:B,2,0),"")</f>
        <v>ok</v>
      </c>
      <c r="I4" s="47" t="s">
        <v>5290</v>
      </c>
      <c r="J4" s="47" t="s">
        <v>17</v>
      </c>
      <c r="K4" s="47"/>
      <c r="L4" s="47"/>
      <c r="M4" s="49" t="s">
        <v>4784</v>
      </c>
    </row>
    <row r="5" spans="1:13">
      <c r="A5" s="48">
        <f t="shared" si="0"/>
        <v>4</v>
      </c>
      <c r="B5" s="47" t="s">
        <v>6</v>
      </c>
      <c r="C5" s="47" t="s">
        <v>240</v>
      </c>
      <c r="D5" s="47" t="s">
        <v>5726</v>
      </c>
      <c r="E5" s="47" t="s">
        <v>5727</v>
      </c>
      <c r="F5" s="47" t="s">
        <v>5728</v>
      </c>
      <c r="G5" s="47" t="s">
        <v>14</v>
      </c>
      <c r="H5" s="47" t="str">
        <f>IFERROR(VLOOKUP(Table2[[#This Row], [Ticket]],Okey!A:B,2,0),"")</f>
        <v>ok</v>
      </c>
      <c r="I5" s="47" t="s">
        <v>5290</v>
      </c>
      <c r="J5" s="47" t="s">
        <v>17</v>
      </c>
      <c r="K5" s="47"/>
      <c r="L5" s="47"/>
      <c r="M5" s="49" t="s">
        <v>4796</v>
      </c>
    </row>
    <row r="6" spans="1:13">
      <c r="A6" s="48">
        <f t="shared" si="0"/>
        <v>5</v>
      </c>
      <c r="B6" s="47" t="s">
        <v>6</v>
      </c>
      <c r="C6" s="47" t="s">
        <v>240</v>
      </c>
      <c r="D6" s="47" t="s">
        <v>5729</v>
      </c>
      <c r="E6" s="47" t="s">
        <v>5730</v>
      </c>
      <c r="F6" s="47"/>
      <c r="G6" s="47" t="s">
        <v>15</v>
      </c>
      <c r="H6" s="47" t="str">
        <f>IFERROR(VLOOKUP(Table2[[#This Row], [Ticket]],Okey!A:B,2,0),"")</f>
        <v>ok</v>
      </c>
      <c r="I6" s="47" t="s">
        <v>5290</v>
      </c>
      <c r="J6" s="47" t="s">
        <v>17</v>
      </c>
      <c r="K6" s="47"/>
      <c r="L6" s="47"/>
      <c r="M6" s="49" t="s">
        <v>4796</v>
      </c>
    </row>
    <row r="7" spans="1:13">
      <c r="A7" s="48">
        <f t="shared" si="0"/>
        <v>6</v>
      </c>
      <c r="B7" s="47" t="s">
        <v>6</v>
      </c>
      <c r="C7" s="47" t="s">
        <v>241</v>
      </c>
      <c r="D7" s="47" t="s">
        <v>1501</v>
      </c>
      <c r="E7" s="47"/>
      <c r="F7" s="47" t="s">
        <v>5725</v>
      </c>
      <c r="G7" s="47" t="s">
        <v>13</v>
      </c>
      <c r="H7" s="47" t="str">
        <f>IFERROR(VLOOKUP(Table2[[#This Row], [Ticket]],Okey!A:B,2,0),"")</f>
        <v>ok</v>
      </c>
      <c r="I7" s="47" t="s">
        <v>5290</v>
      </c>
      <c r="J7" s="47" t="s">
        <v>17</v>
      </c>
      <c r="K7" s="47"/>
      <c r="L7" s="47"/>
      <c r="M7" s="49" t="s">
        <v>4784</v>
      </c>
    </row>
    <row r="8" spans="1:13">
      <c r="A8" s="48">
        <f t="shared" si="0"/>
        <v>7</v>
      </c>
      <c r="B8" s="47" t="s">
        <v>6</v>
      </c>
      <c r="C8" s="47" t="s">
        <v>241</v>
      </c>
      <c r="D8" s="47" t="s">
        <v>1527</v>
      </c>
      <c r="E8" s="47"/>
      <c r="F8" s="47" t="s">
        <v>5725</v>
      </c>
      <c r="G8" s="47" t="s">
        <v>13</v>
      </c>
      <c r="H8" s="47" t="str">
        <f>IFERROR(VLOOKUP(Table2[[#This Row], [Ticket]],Okey!A:B,2,0),"")</f>
        <v>ok</v>
      </c>
      <c r="I8" s="47" t="s">
        <v>5290</v>
      </c>
      <c r="J8" s="47" t="s">
        <v>17</v>
      </c>
      <c r="K8" s="47"/>
      <c r="L8" s="47"/>
      <c r="M8" s="49" t="s">
        <v>4784</v>
      </c>
    </row>
    <row r="9" spans="1:13">
      <c r="A9" s="48">
        <f t="shared" si="0"/>
        <v>8</v>
      </c>
      <c r="B9" s="47" t="s">
        <v>6</v>
      </c>
      <c r="C9" s="47" t="s">
        <v>241</v>
      </c>
      <c r="D9" s="47" t="s">
        <v>1529</v>
      </c>
      <c r="E9" s="47"/>
      <c r="F9" s="47" t="s">
        <v>5725</v>
      </c>
      <c r="G9" s="47" t="s">
        <v>13</v>
      </c>
      <c r="H9" s="47" t="str">
        <f>IFERROR(VLOOKUP(Table2[[#This Row], [Ticket]],Okey!A:B,2,0),"")</f>
        <v>ok</v>
      </c>
      <c r="I9" s="47" t="s">
        <v>5290</v>
      </c>
      <c r="J9" s="47" t="s">
        <v>17</v>
      </c>
      <c r="K9" s="47"/>
      <c r="L9" s="47"/>
      <c r="M9" s="49" t="s">
        <v>4784</v>
      </c>
    </row>
    <row r="10" spans="1:13">
      <c r="A10" s="48">
        <f t="shared" si="0"/>
        <v>9</v>
      </c>
      <c r="B10" s="47" t="s">
        <v>6</v>
      </c>
      <c r="C10" s="47" t="s">
        <v>241</v>
      </c>
      <c r="D10" s="47" t="s">
        <v>1531</v>
      </c>
      <c r="E10" s="47"/>
      <c r="F10" s="47" t="s">
        <v>5725</v>
      </c>
      <c r="G10" s="47" t="s">
        <v>13</v>
      </c>
      <c r="H10" s="47" t="str">
        <f>IFERROR(VLOOKUP(Table2[[#This Row], [Ticket]],Okey!A:B,2,0),"")</f>
        <v>ok</v>
      </c>
      <c r="I10" s="47" t="s">
        <v>5290</v>
      </c>
      <c r="J10" s="47" t="s">
        <v>17</v>
      </c>
      <c r="K10" s="47"/>
      <c r="L10" s="47"/>
      <c r="M10" s="49" t="s">
        <v>4784</v>
      </c>
    </row>
    <row r="11" spans="1:13">
      <c r="A11" s="48">
        <f t="shared" si="0"/>
        <v>10</v>
      </c>
      <c r="B11" s="47" t="s">
        <v>6</v>
      </c>
      <c r="C11" s="47" t="s">
        <v>241</v>
      </c>
      <c r="D11" s="47" t="s">
        <v>680</v>
      </c>
      <c r="E11" s="47"/>
      <c r="F11" s="47" t="s">
        <v>5725</v>
      </c>
      <c r="G11" s="47" t="s">
        <v>13</v>
      </c>
      <c r="H11" s="47" t="str">
        <f>IFERROR(VLOOKUP(Table2[[#This Row], [Ticket]],Okey!A:B,2,0),"")</f>
        <v>ok</v>
      </c>
      <c r="I11" s="47" t="s">
        <v>5290</v>
      </c>
      <c r="J11" s="47" t="s">
        <v>17</v>
      </c>
      <c r="K11" s="47"/>
      <c r="L11" s="47"/>
      <c r="M11" s="49" t="s">
        <v>4784</v>
      </c>
    </row>
    <row r="12" spans="1:13">
      <c r="A12" s="48">
        <f t="shared" si="0"/>
        <v>11</v>
      </c>
      <c r="B12" s="47" t="s">
        <v>6</v>
      </c>
      <c r="C12" s="47" t="s">
        <v>241</v>
      </c>
      <c r="D12" s="47" t="s">
        <v>796</v>
      </c>
      <c r="E12" s="47"/>
      <c r="F12" s="47" t="s">
        <v>5725</v>
      </c>
      <c r="G12" s="47" t="s">
        <v>13</v>
      </c>
      <c r="H12" s="47" t="str">
        <f>IFERROR(VLOOKUP(Table2[[#This Row], [Ticket]],Okey!A:B,2,0),"")</f>
        <v>ok</v>
      </c>
      <c r="I12" s="47" t="s">
        <v>5290</v>
      </c>
      <c r="J12" s="47" t="s">
        <v>17</v>
      </c>
      <c r="K12" s="47"/>
      <c r="L12" s="47"/>
      <c r="M12" s="49" t="s">
        <v>4784</v>
      </c>
    </row>
    <row r="13" spans="1:13">
      <c r="A13" s="48">
        <f t="shared" si="0"/>
        <v>12</v>
      </c>
      <c r="B13" s="47" t="s">
        <v>6</v>
      </c>
      <c r="C13" s="47" t="s">
        <v>241</v>
      </c>
      <c r="D13" s="47" t="s">
        <v>798</v>
      </c>
      <c r="E13" s="47"/>
      <c r="F13" s="47" t="s">
        <v>5725</v>
      </c>
      <c r="G13" s="47" t="s">
        <v>13</v>
      </c>
      <c r="H13" s="47" t="str">
        <f>IFERROR(VLOOKUP(Table2[[#This Row], [Ticket]],Okey!A:B,2,0),"")</f>
        <v>ok</v>
      </c>
      <c r="I13" s="47" t="s">
        <v>5290</v>
      </c>
      <c r="J13" s="47" t="s">
        <v>17</v>
      </c>
      <c r="K13" s="47"/>
      <c r="L13" s="47"/>
      <c r="M13" s="49" t="s">
        <v>4784</v>
      </c>
    </row>
    <row r="14" spans="1:13">
      <c r="A14" s="48">
        <f t="shared" si="0"/>
        <v>13</v>
      </c>
      <c r="B14" s="47" t="s">
        <v>6</v>
      </c>
      <c r="C14" s="47" t="s">
        <v>242</v>
      </c>
      <c r="D14" s="47" t="s">
        <v>495</v>
      </c>
      <c r="E14" s="47" t="s">
        <v>5731</v>
      </c>
      <c r="F14" s="47"/>
      <c r="G14" s="47" t="s">
        <v>15</v>
      </c>
      <c r="H14" s="47" t="str">
        <f>IFERROR(VLOOKUP(Table2[[#This Row], [Ticket]],Okey!A:B,2,0),"")</f>
        <v>ok</v>
      </c>
      <c r="I14" s="47" t="s">
        <v>5290</v>
      </c>
      <c r="J14" s="47" t="s">
        <v>17</v>
      </c>
      <c r="K14" s="47"/>
      <c r="L14" s="47"/>
      <c r="M14" s="49" t="s">
        <v>3767</v>
      </c>
    </row>
    <row r="15" spans="1:13">
      <c r="A15" s="48">
        <f t="shared" si="0"/>
        <v>14</v>
      </c>
      <c r="B15" s="47" t="s">
        <v>6</v>
      </c>
      <c r="C15" s="47" t="s">
        <v>242</v>
      </c>
      <c r="D15" s="47" t="s">
        <v>443</v>
      </c>
      <c r="E15" s="47" t="s">
        <v>5732</v>
      </c>
      <c r="F15" s="47"/>
      <c r="G15" s="47" t="s">
        <v>15</v>
      </c>
      <c r="H15" s="47" t="str">
        <f>IFERROR(VLOOKUP(Table2[[#This Row], [Ticket]],Okey!A:B,2,0),"")</f>
        <v>ok</v>
      </c>
      <c r="I15" s="47" t="s">
        <v>5290</v>
      </c>
      <c r="J15" s="47" t="s">
        <v>17</v>
      </c>
      <c r="K15" s="47"/>
      <c r="L15" s="47"/>
      <c r="M15" s="49" t="s">
        <v>3767</v>
      </c>
    </row>
    <row r="16" spans="1:13">
      <c r="A16" s="48">
        <f t="shared" si="0"/>
        <v>15</v>
      </c>
      <c r="B16" s="47" t="s">
        <v>6</v>
      </c>
      <c r="C16" s="47" t="s">
        <v>242</v>
      </c>
      <c r="D16" s="47" t="s">
        <v>626</v>
      </c>
      <c r="E16" s="47" t="s">
        <v>5733</v>
      </c>
      <c r="F16" s="47"/>
      <c r="G16" s="47" t="s">
        <v>15</v>
      </c>
      <c r="H16" s="47" t="str">
        <f>IFERROR(VLOOKUP(Table2[[#This Row], [Ticket]],Okey!A:B,2,0),"")</f>
        <v>ok</v>
      </c>
      <c r="I16" s="47" t="s">
        <v>5290</v>
      </c>
      <c r="J16" s="47" t="s">
        <v>17</v>
      </c>
      <c r="K16" s="47"/>
      <c r="L16" s="47"/>
      <c r="M16" s="49" t="s">
        <v>3767</v>
      </c>
    </row>
    <row r="17" spans="1:13">
      <c r="A17" s="48">
        <f t="shared" si="0"/>
        <v>16</v>
      </c>
      <c r="B17" s="47" t="s">
        <v>6</v>
      </c>
      <c r="C17" s="47" t="s">
        <v>242</v>
      </c>
      <c r="D17" s="47" t="s">
        <v>627</v>
      </c>
      <c r="E17" s="47" t="s">
        <v>5734</v>
      </c>
      <c r="F17" s="47"/>
      <c r="G17" s="47" t="s">
        <v>15</v>
      </c>
      <c r="H17" s="47" t="str">
        <f>IFERROR(VLOOKUP(Table2[[#This Row], [Ticket]],Okey!A:B,2,0),"")</f>
        <v>ok</v>
      </c>
      <c r="I17" s="47" t="s">
        <v>5290</v>
      </c>
      <c r="J17" s="47" t="s">
        <v>17</v>
      </c>
      <c r="K17" s="47"/>
      <c r="L17" s="47"/>
      <c r="M17" s="49" t="s">
        <v>3767</v>
      </c>
    </row>
    <row r="18" spans="1:13">
      <c r="A18" s="48">
        <f t="shared" si="0"/>
        <v>17</v>
      </c>
      <c r="B18" s="47" t="s">
        <v>6</v>
      </c>
      <c r="C18" s="47" t="s">
        <v>242</v>
      </c>
      <c r="D18" s="47" t="s">
        <v>627</v>
      </c>
      <c r="E18" s="47" t="s">
        <v>5735</v>
      </c>
      <c r="F18" s="47"/>
      <c r="G18" s="47" t="s">
        <v>15</v>
      </c>
      <c r="H18" s="47" t="str">
        <f>IFERROR(VLOOKUP(Table2[[#This Row], [Ticket]],Okey!A:B,2,0),"")</f>
        <v>ok</v>
      </c>
      <c r="I18" s="47" t="s">
        <v>5290</v>
      </c>
      <c r="J18" s="47" t="s">
        <v>17</v>
      </c>
      <c r="K18" s="47" t="s">
        <v>5736</v>
      </c>
      <c r="L18" s="47"/>
      <c r="M18" s="49" t="s">
        <v>3767</v>
      </c>
    </row>
    <row r="19" spans="1:13">
      <c r="A19" s="48">
        <f t="shared" si="0"/>
        <v>18</v>
      </c>
      <c r="B19" s="47" t="s">
        <v>6</v>
      </c>
      <c r="C19" s="47" t="s">
        <v>242</v>
      </c>
      <c r="D19" s="47" t="s">
        <v>487</v>
      </c>
      <c r="E19" s="47" t="s">
        <v>5737</v>
      </c>
      <c r="F19" s="47" t="s">
        <v>443</v>
      </c>
      <c r="G19" s="47" t="s">
        <v>16</v>
      </c>
      <c r="H19" s="47" t="str">
        <f>IFERROR(VLOOKUP(Table2[[#This Row], [Ticket]],Okey!A:B,2,0),"")</f>
        <v>ok</v>
      </c>
      <c r="I19" s="47" t="s">
        <v>5290</v>
      </c>
      <c r="J19" s="47" t="s">
        <v>17</v>
      </c>
      <c r="K19" s="47"/>
      <c r="L19" s="47"/>
      <c r="M19" s="49" t="s">
        <v>3767</v>
      </c>
    </row>
    <row r="20" spans="1:13">
      <c r="A20" s="48">
        <f t="shared" si="0"/>
        <v>19</v>
      </c>
      <c r="B20" s="47" t="s">
        <v>6</v>
      </c>
      <c r="C20" s="47" t="s">
        <v>242</v>
      </c>
      <c r="D20" s="47" t="s">
        <v>493</v>
      </c>
      <c r="E20" s="47" t="s">
        <v>5738</v>
      </c>
      <c r="F20" s="47" t="s">
        <v>487</v>
      </c>
      <c r="G20" s="47" t="s">
        <v>16</v>
      </c>
      <c r="H20" s="47" t="str">
        <f>IFERROR(VLOOKUP(Table2[[#This Row], [Ticket]],Okey!A:B,2,0),"")</f>
        <v>ok</v>
      </c>
      <c r="I20" s="47" t="s">
        <v>5290</v>
      </c>
      <c r="J20" s="47" t="s">
        <v>17</v>
      </c>
      <c r="K20" s="47"/>
      <c r="L20" s="47"/>
      <c r="M20" s="49" t="s">
        <v>3767</v>
      </c>
    </row>
    <row r="21" spans="1:13">
      <c r="A21" s="48">
        <f t="shared" si="0"/>
        <v>20</v>
      </c>
      <c r="B21" s="47" t="s">
        <v>6</v>
      </c>
      <c r="C21" s="47" t="s">
        <v>243</v>
      </c>
      <c r="D21" s="47" t="s">
        <v>4523</v>
      </c>
      <c r="E21" s="47" t="s">
        <v>5739</v>
      </c>
      <c r="F21" s="47"/>
      <c r="G21" s="47" t="s">
        <v>15</v>
      </c>
      <c r="H21" s="47" t="str">
        <f>IFERROR(VLOOKUP(Table2[[#This Row], [Ticket]],Okey!A:B,2,0),"")</f>
        <v>ok</v>
      </c>
      <c r="I21" s="47" t="s">
        <v>5290</v>
      </c>
      <c r="J21" s="47" t="s">
        <v>20</v>
      </c>
      <c r="K21" s="47"/>
      <c r="L21" s="47"/>
      <c r="M21" s="49" t="s">
        <v>4797</v>
      </c>
    </row>
    <row r="22" spans="1:13">
      <c r="A22" s="48">
        <f t="shared" si="0"/>
        <v>21</v>
      </c>
      <c r="B22" s="47" t="s">
        <v>6</v>
      </c>
      <c r="C22" s="47" t="s">
        <v>243</v>
      </c>
      <c r="D22" s="47" t="s">
        <v>4525</v>
      </c>
      <c r="E22" s="47" t="s">
        <v>5740</v>
      </c>
      <c r="F22" s="47"/>
      <c r="G22" s="47" t="s">
        <v>15</v>
      </c>
      <c r="H22" s="47" t="str">
        <f>IFERROR(VLOOKUP(Table2[[#This Row], [Ticket]],Okey!A:B,2,0),"")</f>
        <v>ok</v>
      </c>
      <c r="I22" s="47" t="s">
        <v>5290</v>
      </c>
      <c r="J22" s="47" t="s">
        <v>20</v>
      </c>
      <c r="K22" s="47"/>
      <c r="L22" s="47"/>
      <c r="M22" s="49" t="s">
        <v>4797</v>
      </c>
    </row>
    <row r="23" spans="1:13">
      <c r="A23" s="48">
        <f t="shared" si="0"/>
        <v>22</v>
      </c>
      <c r="B23" s="47" t="s">
        <v>6</v>
      </c>
      <c r="C23" s="47" t="s">
        <v>243</v>
      </c>
      <c r="D23" s="47" t="s">
        <v>4527</v>
      </c>
      <c r="E23" s="47" t="s">
        <v>5741</v>
      </c>
      <c r="F23" s="47"/>
      <c r="G23" s="47" t="s">
        <v>15</v>
      </c>
      <c r="H23" s="47" t="str">
        <f>IFERROR(VLOOKUP(Table2[[#This Row], [Ticket]],Okey!A:B,2,0),"")</f>
        <v>ok</v>
      </c>
      <c r="I23" s="47" t="s">
        <v>5290</v>
      </c>
      <c r="J23" s="47" t="s">
        <v>20</v>
      </c>
      <c r="K23" s="47"/>
      <c r="L23" s="47"/>
      <c r="M23" s="49" t="s">
        <v>4797</v>
      </c>
    </row>
    <row r="24" spans="1:13">
      <c r="A24" s="48">
        <f t="shared" si="0"/>
        <v>23</v>
      </c>
      <c r="B24" s="47" t="s">
        <v>6</v>
      </c>
      <c r="C24" s="47" t="s">
        <v>244</v>
      </c>
      <c r="D24" s="47" t="s">
        <v>5742</v>
      </c>
      <c r="E24" s="47" t="s">
        <v>5743</v>
      </c>
      <c r="F24" s="47" t="s">
        <v>1340</v>
      </c>
      <c r="G24" s="47" t="s">
        <v>14</v>
      </c>
      <c r="H24" s="47" t="str">
        <f>IFERROR(VLOOKUP(Table2[[#This Row], [Ticket]],Okey!A:B,2,0),"")</f>
        <v>ok</v>
      </c>
      <c r="I24" s="47" t="s">
        <v>5290</v>
      </c>
      <c r="J24" s="47" t="s">
        <v>18</v>
      </c>
      <c r="K24" s="47"/>
      <c r="L24" s="47"/>
      <c r="M24" s="49" t="s">
        <v>4790</v>
      </c>
    </row>
    <row r="25" spans="1:13">
      <c r="A25" s="48">
        <f t="shared" si="0"/>
        <v>24</v>
      </c>
      <c r="B25" s="47" t="s">
        <v>6</v>
      </c>
      <c r="C25" s="47" t="s">
        <v>244</v>
      </c>
      <c r="D25" s="47" t="s">
        <v>5744</v>
      </c>
      <c r="E25" s="47" t="s">
        <v>5745</v>
      </c>
      <c r="F25" s="47" t="s">
        <v>1280</v>
      </c>
      <c r="G25" s="47" t="s">
        <v>14</v>
      </c>
      <c r="H25" s="47" t="str">
        <f>IFERROR(VLOOKUP(Table2[[#This Row], [Ticket]],Okey!A:B,2,0),"")</f>
        <v>ok</v>
      </c>
      <c r="I25" s="47" t="s">
        <v>5290</v>
      </c>
      <c r="J25" s="47" t="s">
        <v>18</v>
      </c>
      <c r="K25" s="47"/>
      <c r="L25" s="47"/>
      <c r="M25" s="49" t="s">
        <v>4790</v>
      </c>
    </row>
    <row r="26" spans="1:13">
      <c r="A26" s="48">
        <f t="shared" si="0"/>
        <v>25</v>
      </c>
      <c r="B26" s="47" t="s">
        <v>6</v>
      </c>
      <c r="C26" s="47" t="s">
        <v>244</v>
      </c>
      <c r="D26" s="47" t="s">
        <v>5746</v>
      </c>
      <c r="E26" s="47" t="s">
        <v>5747</v>
      </c>
      <c r="F26" s="47" t="s">
        <v>1421</v>
      </c>
      <c r="G26" s="47" t="s">
        <v>14</v>
      </c>
      <c r="H26" s="47" t="str">
        <f>IFERROR(VLOOKUP(Table2[[#This Row], [Ticket]],Okey!A:B,2,0),"")</f>
        <v>ok</v>
      </c>
      <c r="I26" s="47" t="s">
        <v>5290</v>
      </c>
      <c r="J26" s="47" t="s">
        <v>18</v>
      </c>
      <c r="K26" s="47"/>
      <c r="L26" s="47"/>
      <c r="M26" s="49" t="s">
        <v>4790</v>
      </c>
    </row>
    <row r="27" spans="1:13">
      <c r="A27" s="48">
        <f t="shared" si="0"/>
        <v>26</v>
      </c>
      <c r="B27" s="47" t="s">
        <v>6</v>
      </c>
      <c r="C27" s="47" t="s">
        <v>244</v>
      </c>
      <c r="D27" s="47" t="s">
        <v>5748</v>
      </c>
      <c r="E27" s="47" t="s">
        <v>5749</v>
      </c>
      <c r="F27" s="47" t="s">
        <v>1421</v>
      </c>
      <c r="G27" s="47" t="s">
        <v>14</v>
      </c>
      <c r="H27" s="47" t="str">
        <f>IFERROR(VLOOKUP(Table2[[#This Row], [Ticket]],Okey!A:B,2,0),"")</f>
        <v>ok</v>
      </c>
      <c r="I27" s="47" t="s">
        <v>5290</v>
      </c>
      <c r="J27" s="47" t="s">
        <v>18</v>
      </c>
      <c r="K27" s="47"/>
      <c r="L27" s="47"/>
      <c r="M27" s="49" t="s">
        <v>4790</v>
      </c>
    </row>
    <row r="28" spans="1:13">
      <c r="A28" s="48">
        <f t="shared" si="0"/>
        <v>27</v>
      </c>
      <c r="B28" s="47" t="s">
        <v>6</v>
      </c>
      <c r="C28" s="47" t="s">
        <v>244</v>
      </c>
      <c r="D28" s="47" t="s">
        <v>5750</v>
      </c>
      <c r="E28" s="47" t="s">
        <v>5751</v>
      </c>
      <c r="F28" s="47" t="s">
        <v>1900</v>
      </c>
      <c r="G28" s="47" t="s">
        <v>14</v>
      </c>
      <c r="H28" s="47" t="str">
        <f>IFERROR(VLOOKUP(Table2[[#This Row], [Ticket]],Okey!A:B,2,0),"")</f>
        <v>ok</v>
      </c>
      <c r="I28" s="47" t="s">
        <v>5290</v>
      </c>
      <c r="J28" s="47" t="s">
        <v>18</v>
      </c>
      <c r="K28" s="47"/>
      <c r="L28" s="47"/>
      <c r="M28" s="49" t="s">
        <v>4790</v>
      </c>
    </row>
    <row r="29" spans="1:13">
      <c r="A29" s="48">
        <f t="shared" si="0"/>
        <v>28</v>
      </c>
      <c r="B29" s="47" t="s">
        <v>6</v>
      </c>
      <c r="C29" s="47" t="s">
        <v>244</v>
      </c>
      <c r="D29" s="47" t="s">
        <v>5752</v>
      </c>
      <c r="E29" s="47" t="s">
        <v>5753</v>
      </c>
      <c r="F29" s="47" t="s">
        <v>1900</v>
      </c>
      <c r="G29" s="47" t="s">
        <v>14</v>
      </c>
      <c r="H29" s="47" t="str">
        <f>IFERROR(VLOOKUP(Table2[[#This Row], [Ticket]],Okey!A:B,2,0),"")</f>
        <v>ok</v>
      </c>
      <c r="I29" s="47" t="s">
        <v>5290</v>
      </c>
      <c r="J29" s="47" t="s">
        <v>18</v>
      </c>
      <c r="K29" s="47"/>
      <c r="L29" s="47"/>
      <c r="M29" s="49" t="s">
        <v>4790</v>
      </c>
    </row>
    <row r="30" spans="1:13">
      <c r="A30" s="48">
        <f t="shared" si="0"/>
        <v>29</v>
      </c>
      <c r="B30" s="47" t="s">
        <v>6</v>
      </c>
      <c r="C30" s="47" t="s">
        <v>244</v>
      </c>
      <c r="D30" s="47" t="s">
        <v>5754</v>
      </c>
      <c r="E30" s="47" t="s">
        <v>5755</v>
      </c>
      <c r="F30" s="47" t="s">
        <v>5756</v>
      </c>
      <c r="G30" s="47" t="s">
        <v>14</v>
      </c>
      <c r="H30" s="47" t="str">
        <f>IFERROR(VLOOKUP(Table2[[#This Row], [Ticket]],Okey!A:B,2,0),"")</f>
        <v>ok</v>
      </c>
      <c r="I30" s="47" t="s">
        <v>5290</v>
      </c>
      <c r="J30" s="47" t="s">
        <v>18</v>
      </c>
      <c r="K30" s="47"/>
      <c r="L30" s="47"/>
      <c r="M30" s="49" t="s">
        <v>4790</v>
      </c>
    </row>
    <row r="31" spans="1:13">
      <c r="A31" s="48">
        <f t="shared" si="0"/>
        <v>30</v>
      </c>
      <c r="B31" s="47" t="s">
        <v>6</v>
      </c>
      <c r="C31" s="47" t="s">
        <v>244</v>
      </c>
      <c r="D31" s="47" t="s">
        <v>5757</v>
      </c>
      <c r="E31" s="47" t="s">
        <v>5758</v>
      </c>
      <c r="F31" s="47"/>
      <c r="G31" s="47" t="s">
        <v>15</v>
      </c>
      <c r="H31" s="47" t="str">
        <f>IFERROR(VLOOKUP(Table2[[#This Row], [Ticket]],Okey!A:B,2,0),"")</f>
        <v>ok</v>
      </c>
      <c r="I31" s="47" t="s">
        <v>5290</v>
      </c>
      <c r="J31" s="47" t="s">
        <v>18</v>
      </c>
      <c r="K31" s="47"/>
      <c r="L31" s="47"/>
      <c r="M31" s="49" t="s">
        <v>4790</v>
      </c>
    </row>
    <row r="32" spans="1:13">
      <c r="A32" s="48">
        <f t="shared" si="0"/>
        <v>31</v>
      </c>
      <c r="B32" s="47" t="s">
        <v>6</v>
      </c>
      <c r="C32" s="47" t="s">
        <v>244</v>
      </c>
      <c r="D32" s="47" t="s">
        <v>5759</v>
      </c>
      <c r="E32" s="47" t="s">
        <v>5760</v>
      </c>
      <c r="F32" s="47"/>
      <c r="G32" s="47" t="s">
        <v>15</v>
      </c>
      <c r="H32" s="47" t="str">
        <f>IFERROR(VLOOKUP(Table2[[#This Row], [Ticket]],Okey!A:B,2,0),"")</f>
        <v>ok</v>
      </c>
      <c r="I32" s="47" t="s">
        <v>5290</v>
      </c>
      <c r="J32" s="47" t="s">
        <v>18</v>
      </c>
      <c r="K32" s="47"/>
      <c r="L32" s="47"/>
      <c r="M32" s="49" t="s">
        <v>4790</v>
      </c>
    </row>
    <row r="33" spans="1:13">
      <c r="A33" s="48">
        <f t="shared" si="0"/>
        <v>32</v>
      </c>
      <c r="B33" s="47" t="s">
        <v>6</v>
      </c>
      <c r="C33" s="47" t="s">
        <v>244</v>
      </c>
      <c r="D33" s="47" t="s">
        <v>4193</v>
      </c>
      <c r="E33" s="47" t="s">
        <v>5761</v>
      </c>
      <c r="F33" s="47" t="s">
        <v>5746</v>
      </c>
      <c r="G33" s="47" t="s">
        <v>16</v>
      </c>
      <c r="H33" s="47" t="str">
        <f>IFERROR(VLOOKUP(Table2[[#This Row], [Ticket]],Okey!A:B,2,0),"")</f>
        <v>ok</v>
      </c>
      <c r="I33" s="47" t="s">
        <v>5290</v>
      </c>
      <c r="J33" s="47" t="s">
        <v>18</v>
      </c>
      <c r="K33" s="47"/>
      <c r="L33" s="47"/>
      <c r="M33" s="49" t="s">
        <v>4790</v>
      </c>
    </row>
    <row r="34" spans="1:13">
      <c r="A34" s="48">
        <f t="shared" si="0"/>
        <v>33</v>
      </c>
      <c r="B34" s="47" t="s">
        <v>6</v>
      </c>
      <c r="C34" s="47" t="s">
        <v>244</v>
      </c>
      <c r="D34" s="47" t="s">
        <v>4197</v>
      </c>
      <c r="E34" s="47" t="s">
        <v>5762</v>
      </c>
      <c r="F34" s="47" t="s">
        <v>5746</v>
      </c>
      <c r="G34" s="47" t="s">
        <v>16</v>
      </c>
      <c r="H34" s="47" t="str">
        <f>IFERROR(VLOOKUP(Table2[[#This Row], [Ticket]],Okey!A:B,2,0),"")</f>
        <v>ok</v>
      </c>
      <c r="I34" s="47" t="s">
        <v>5290</v>
      </c>
      <c r="J34" s="47" t="s">
        <v>18</v>
      </c>
      <c r="K34" s="47"/>
      <c r="L34" s="47"/>
      <c r="M34" s="49" t="s">
        <v>4790</v>
      </c>
    </row>
    <row r="35" spans="1:13">
      <c r="A35" s="48">
        <f t="shared" si="0"/>
        <v>34</v>
      </c>
      <c r="B35" s="47" t="s">
        <v>6</v>
      </c>
      <c r="C35" s="47" t="s">
        <v>244</v>
      </c>
      <c r="D35" s="47" t="s">
        <v>4199</v>
      </c>
      <c r="E35" s="47" t="s">
        <v>5763</v>
      </c>
      <c r="F35" s="47" t="s">
        <v>5748</v>
      </c>
      <c r="G35" s="47" t="s">
        <v>16</v>
      </c>
      <c r="H35" s="47" t="str">
        <f>IFERROR(VLOOKUP(Table2[[#This Row], [Ticket]],Okey!A:B,2,0),"")</f>
        <v>ok</v>
      </c>
      <c r="I35" s="47" t="s">
        <v>5290</v>
      </c>
      <c r="J35" s="47" t="s">
        <v>18</v>
      </c>
      <c r="K35" s="47"/>
      <c r="L35" s="47"/>
      <c r="M35" s="49" t="s">
        <v>4790</v>
      </c>
    </row>
    <row r="36" spans="1:13">
      <c r="A36" s="48">
        <f t="shared" si="0"/>
        <v>35</v>
      </c>
      <c r="B36" s="47" t="s">
        <v>6</v>
      </c>
      <c r="C36" s="47" t="s">
        <v>244</v>
      </c>
      <c r="D36" s="47" t="s">
        <v>4203</v>
      </c>
      <c r="E36" s="47" t="s">
        <v>5764</v>
      </c>
      <c r="F36" s="47" t="s">
        <v>5748</v>
      </c>
      <c r="G36" s="47" t="s">
        <v>16</v>
      </c>
      <c r="H36" s="47" t="str">
        <f>IFERROR(VLOOKUP(Table2[[#This Row], [Ticket]],Okey!A:B,2,0),"")</f>
        <v>ok</v>
      </c>
      <c r="I36" s="47" t="s">
        <v>5290</v>
      </c>
      <c r="J36" s="47" t="s">
        <v>18</v>
      </c>
      <c r="K36" s="47"/>
      <c r="L36" s="47"/>
      <c r="M36" s="49" t="s">
        <v>4790</v>
      </c>
    </row>
    <row r="37" spans="1:13">
      <c r="A37" s="48">
        <f t="shared" si="0"/>
        <v>36</v>
      </c>
      <c r="B37" s="47" t="s">
        <v>6</v>
      </c>
      <c r="C37" s="47" t="s">
        <v>244</v>
      </c>
      <c r="D37" s="47" t="s">
        <v>5765</v>
      </c>
      <c r="E37" s="47" t="s">
        <v>5766</v>
      </c>
      <c r="F37" s="47" t="s">
        <v>5750</v>
      </c>
      <c r="G37" s="47" t="s">
        <v>16</v>
      </c>
      <c r="H37" s="47" t="str">
        <f>IFERROR(VLOOKUP(Table2[[#This Row], [Ticket]],Okey!A:B,2,0),"")</f>
        <v>ok</v>
      </c>
      <c r="I37" s="47" t="s">
        <v>5290</v>
      </c>
      <c r="J37" s="47" t="s">
        <v>18</v>
      </c>
      <c r="K37" s="47"/>
      <c r="L37" s="47"/>
      <c r="M37" s="49" t="s">
        <v>4790</v>
      </c>
    </row>
    <row r="38" spans="1:13">
      <c r="A38" s="48">
        <f t="shared" si="0"/>
        <v>37</v>
      </c>
      <c r="B38" s="47" t="s">
        <v>6</v>
      </c>
      <c r="C38" s="47" t="s">
        <v>244</v>
      </c>
      <c r="D38" s="47" t="s">
        <v>5767</v>
      </c>
      <c r="E38" s="47" t="s">
        <v>5768</v>
      </c>
      <c r="F38" s="47" t="s">
        <v>5769</v>
      </c>
      <c r="G38" s="47" t="s">
        <v>16</v>
      </c>
      <c r="H38" s="47" t="str">
        <f>IFERROR(VLOOKUP(Table2[[#This Row], [Ticket]],Okey!A:B,2,0),"")</f>
        <v>ok</v>
      </c>
      <c r="I38" s="47" t="s">
        <v>5290</v>
      </c>
      <c r="J38" s="47" t="s">
        <v>18</v>
      </c>
      <c r="K38" s="47"/>
      <c r="L38" s="47"/>
      <c r="M38" s="49" t="s">
        <v>4790</v>
      </c>
    </row>
    <row r="39" spans="1:13">
      <c r="A39" s="48">
        <f t="shared" si="0"/>
        <v>38</v>
      </c>
      <c r="B39" s="47" t="s">
        <v>6</v>
      </c>
      <c r="C39" s="47" t="s">
        <v>244</v>
      </c>
      <c r="D39" s="47" t="s">
        <v>4180</v>
      </c>
      <c r="E39" s="47" t="s">
        <v>5770</v>
      </c>
      <c r="F39" s="47" t="s">
        <v>1277</v>
      </c>
      <c r="G39" s="47" t="s">
        <v>16</v>
      </c>
      <c r="H39" s="47" t="str">
        <f>IFERROR(VLOOKUP(Table2[[#This Row], [Ticket]],Okey!A:B,2,0),"")</f>
        <v>ok</v>
      </c>
      <c r="I39" s="47" t="s">
        <v>5290</v>
      </c>
      <c r="J39" s="47" t="s">
        <v>18</v>
      </c>
      <c r="K39" s="47"/>
      <c r="L39" s="47"/>
      <c r="M39" s="49" t="s">
        <v>4790</v>
      </c>
    </row>
    <row r="40" spans="1:13">
      <c r="A40" s="48">
        <f t="shared" si="0"/>
        <v>39</v>
      </c>
      <c r="B40" s="47" t="s">
        <v>6</v>
      </c>
      <c r="C40" s="47" t="s">
        <v>244</v>
      </c>
      <c r="D40" s="47" t="s">
        <v>3322</v>
      </c>
      <c r="E40" s="47" t="s">
        <v>5771</v>
      </c>
      <c r="F40" s="47" t="s">
        <v>5769</v>
      </c>
      <c r="G40" s="47" t="s">
        <v>16</v>
      </c>
      <c r="H40" s="47" t="str">
        <f>IFERROR(VLOOKUP(Table2[[#This Row], [Ticket]],Okey!A:B,2,0),"")</f>
        <v>ok</v>
      </c>
      <c r="I40" s="47" t="s">
        <v>5290</v>
      </c>
      <c r="J40" s="47" t="s">
        <v>18</v>
      </c>
      <c r="K40" s="47"/>
      <c r="L40" s="47"/>
      <c r="M40" s="49" t="s">
        <v>4790</v>
      </c>
    </row>
    <row r="41" spans="1:13">
      <c r="A41" s="48">
        <f t="shared" si="0"/>
        <v>40</v>
      </c>
      <c r="B41" s="47" t="s">
        <v>6</v>
      </c>
      <c r="C41" s="47" t="s">
        <v>244</v>
      </c>
      <c r="D41" s="47" t="s">
        <v>5772</v>
      </c>
      <c r="E41" s="47" t="s">
        <v>5773</v>
      </c>
      <c r="F41" s="47" t="s">
        <v>5769</v>
      </c>
      <c r="G41" s="47" t="s">
        <v>16</v>
      </c>
      <c r="H41" s="47" t="str">
        <f>IFERROR(VLOOKUP(Table2[[#This Row], [Ticket]],Okey!A:B,2,0),"")</f>
        <v>ok</v>
      </c>
      <c r="I41" s="47" t="s">
        <v>5290</v>
      </c>
      <c r="J41" s="47" t="s">
        <v>18</v>
      </c>
      <c r="K41" s="47"/>
      <c r="L41" s="47"/>
      <c r="M41" s="49" t="s">
        <v>4790</v>
      </c>
    </row>
    <row r="42" spans="1:13">
      <c r="A42" s="48">
        <f t="shared" si="0"/>
        <v>41</v>
      </c>
      <c r="B42" s="47" t="s">
        <v>6</v>
      </c>
      <c r="C42" s="47" t="s">
        <v>244</v>
      </c>
      <c r="D42" s="47" t="s">
        <v>5774</v>
      </c>
      <c r="E42" s="47" t="s">
        <v>5775</v>
      </c>
      <c r="F42" s="47" t="s">
        <v>5776</v>
      </c>
      <c r="G42" s="47" t="s">
        <v>16</v>
      </c>
      <c r="H42" s="47" t="str">
        <f>IFERROR(VLOOKUP(Table2[[#This Row], [Ticket]],Okey!A:B,2,0),"")</f>
        <v>ok</v>
      </c>
      <c r="I42" s="47" t="s">
        <v>5290</v>
      </c>
      <c r="J42" s="47" t="s">
        <v>18</v>
      </c>
      <c r="K42" s="47"/>
      <c r="L42" s="47"/>
      <c r="M42" s="49" t="s">
        <v>4790</v>
      </c>
    </row>
    <row r="43" spans="1:13">
      <c r="A43" s="48">
        <f t="shared" si="0"/>
        <v>42</v>
      </c>
      <c r="B43" s="47" t="s">
        <v>6</v>
      </c>
      <c r="C43" s="47" t="s">
        <v>244</v>
      </c>
      <c r="D43" s="47" t="s">
        <v>5777</v>
      </c>
      <c r="E43" s="47" t="s">
        <v>5778</v>
      </c>
      <c r="F43" s="47" t="s">
        <v>4180</v>
      </c>
      <c r="G43" s="47" t="s">
        <v>16</v>
      </c>
      <c r="H43" s="47" t="str">
        <f>IFERROR(VLOOKUP(Table2[[#This Row], [Ticket]],Okey!A:B,2,0),"")</f>
        <v>ok</v>
      </c>
      <c r="I43" s="47" t="s">
        <v>5290</v>
      </c>
      <c r="J43" s="47" t="s">
        <v>18</v>
      </c>
      <c r="K43" s="47"/>
      <c r="L43" s="47"/>
      <c r="M43" s="49" t="s">
        <v>4790</v>
      </c>
    </row>
    <row r="44" spans="1:13">
      <c r="A44" s="48">
        <f t="shared" si="0"/>
        <v>43</v>
      </c>
      <c r="B44" s="47" t="s">
        <v>6</v>
      </c>
      <c r="C44" s="47" t="s">
        <v>244</v>
      </c>
      <c r="D44" s="47" t="s">
        <v>1896</v>
      </c>
      <c r="E44" s="47" t="s">
        <v>5779</v>
      </c>
      <c r="F44" s="47" t="s">
        <v>4180</v>
      </c>
      <c r="G44" s="47" t="s">
        <v>16</v>
      </c>
      <c r="H44" s="47" t="str">
        <f>IFERROR(VLOOKUP(Table2[[#This Row], [Ticket]],Okey!A:B,2,0),"")</f>
        <v>ok</v>
      </c>
      <c r="I44" s="47" t="s">
        <v>5290</v>
      </c>
      <c r="J44" s="47" t="s">
        <v>18</v>
      </c>
      <c r="K44" s="47"/>
      <c r="L44" s="47"/>
      <c r="M44" s="49" t="s">
        <v>4790</v>
      </c>
    </row>
    <row r="45" spans="1:13">
      <c r="A45" s="48">
        <f t="shared" si="0"/>
        <v>44</v>
      </c>
      <c r="B45" s="47" t="s">
        <v>6</v>
      </c>
      <c r="C45" s="47" t="s">
        <v>244</v>
      </c>
      <c r="D45" s="47" t="s">
        <v>1898</v>
      </c>
      <c r="E45" s="47" t="s">
        <v>5780</v>
      </c>
      <c r="F45" s="47" t="s">
        <v>4180</v>
      </c>
      <c r="G45" s="47" t="s">
        <v>16</v>
      </c>
      <c r="H45" s="47" t="str">
        <f>IFERROR(VLOOKUP(Table2[[#This Row], [Ticket]],Okey!A:B,2,0),"")</f>
        <v>ok</v>
      </c>
      <c r="I45" s="47" t="s">
        <v>5290</v>
      </c>
      <c r="J45" s="47" t="s">
        <v>18</v>
      </c>
      <c r="K45" s="47"/>
      <c r="L45" s="47"/>
      <c r="M45" s="49" t="s">
        <v>4790</v>
      </c>
    </row>
    <row r="46" spans="1:13">
      <c r="A46" s="48">
        <f t="shared" si="0"/>
        <v>45</v>
      </c>
      <c r="B46" s="47" t="s">
        <v>6</v>
      </c>
      <c r="C46" s="47" t="s">
        <v>244</v>
      </c>
      <c r="D46" s="47" t="s">
        <v>5781</v>
      </c>
      <c r="E46" s="47" t="s">
        <v>5782</v>
      </c>
      <c r="F46" s="47" t="s">
        <v>5769</v>
      </c>
      <c r="G46" s="47" t="s">
        <v>16</v>
      </c>
      <c r="H46" s="47" t="str">
        <f>IFERROR(VLOOKUP(Table2[[#This Row], [Ticket]],Okey!A:B,2,0),"")</f>
        <v>ok</v>
      </c>
      <c r="I46" s="47" t="s">
        <v>5290</v>
      </c>
      <c r="J46" s="47" t="s">
        <v>18</v>
      </c>
      <c r="K46" s="47"/>
      <c r="L46" s="47"/>
      <c r="M46" s="49" t="s">
        <v>4790</v>
      </c>
    </row>
    <row r="47" spans="1:13">
      <c r="A47" s="48">
        <f t="shared" si="0"/>
        <v>46</v>
      </c>
      <c r="B47" s="47" t="s">
        <v>6</v>
      </c>
      <c r="C47" s="47" t="s">
        <v>244</v>
      </c>
      <c r="D47" s="47" t="s">
        <v>278</v>
      </c>
      <c r="E47" s="47" t="s">
        <v>5783</v>
      </c>
      <c r="F47" s="47" t="s">
        <v>4180</v>
      </c>
      <c r="G47" s="47" t="s">
        <v>16</v>
      </c>
      <c r="H47" s="47" t="str">
        <f>IFERROR(VLOOKUP(Table2[[#This Row], [Ticket]],Okey!A:B,2,0),"")</f>
        <v>ok</v>
      </c>
      <c r="I47" s="47" t="s">
        <v>5290</v>
      </c>
      <c r="J47" s="47" t="s">
        <v>18</v>
      </c>
      <c r="K47" s="47"/>
      <c r="L47" s="47"/>
      <c r="M47" s="49" t="s">
        <v>4790</v>
      </c>
    </row>
    <row r="48" spans="1:13">
      <c r="A48" s="48">
        <f t="shared" si="0"/>
        <v>47</v>
      </c>
      <c r="B48" s="47" t="s">
        <v>6</v>
      </c>
      <c r="C48" s="47" t="s">
        <v>244</v>
      </c>
      <c r="D48" s="47" t="s">
        <v>3909</v>
      </c>
      <c r="E48" s="47"/>
      <c r="F48" s="47" t="s">
        <v>5742</v>
      </c>
      <c r="G48" s="47" t="s">
        <v>13</v>
      </c>
      <c r="H48" s="47" t="str">
        <f>IFERROR(VLOOKUP(Table2[[#This Row], [Ticket]],Okey!A:B,2,0),"")</f>
        <v>ok</v>
      </c>
      <c r="I48" s="47" t="s">
        <v>5290</v>
      </c>
      <c r="J48" s="47" t="s">
        <v>18</v>
      </c>
      <c r="K48" s="47"/>
      <c r="L48" s="47"/>
      <c r="M48" s="49" t="s">
        <v>4790</v>
      </c>
    </row>
    <row r="49" spans="1:13">
      <c r="A49" s="48">
        <f t="shared" si="0"/>
        <v>48</v>
      </c>
      <c r="B49" s="47" t="s">
        <v>6</v>
      </c>
      <c r="C49" s="47" t="s">
        <v>244</v>
      </c>
      <c r="D49" s="47" t="s">
        <v>5784</v>
      </c>
      <c r="E49" s="47"/>
      <c r="F49" s="47" t="s">
        <v>4825</v>
      </c>
      <c r="G49" s="47" t="s">
        <v>13</v>
      </c>
      <c r="H49" s="47" t="str">
        <f>IFERROR(VLOOKUP(Table2[[#This Row], [Ticket]],Okey!A:B,2,0),"")</f>
        <v>ok</v>
      </c>
      <c r="I49" s="47" t="s">
        <v>5290</v>
      </c>
      <c r="J49" s="47" t="s">
        <v>18</v>
      </c>
      <c r="K49" s="47"/>
      <c r="L49" s="47"/>
      <c r="M49" s="49" t="s">
        <v>4790</v>
      </c>
    </row>
    <row r="50" spans="1:13">
      <c r="A50" s="48">
        <f t="shared" si="0"/>
        <v>49</v>
      </c>
      <c r="B50" s="47" t="s">
        <v>6</v>
      </c>
      <c r="C50" s="47" t="s">
        <v>244</v>
      </c>
      <c r="D50" s="47" t="s">
        <v>5785</v>
      </c>
      <c r="E50" s="47"/>
      <c r="F50" s="47" t="s">
        <v>5750</v>
      </c>
      <c r="G50" s="47" t="s">
        <v>13</v>
      </c>
      <c r="H50" s="47" t="str">
        <f>IFERROR(VLOOKUP(Table2[[#This Row], [Ticket]],Okey!A:B,2,0),"")</f>
        <v>ok</v>
      </c>
      <c r="I50" s="47" t="s">
        <v>5290</v>
      </c>
      <c r="J50" s="47" t="s">
        <v>18</v>
      </c>
      <c r="K50" s="47"/>
      <c r="L50" s="47"/>
      <c r="M50" s="49" t="s">
        <v>4790</v>
      </c>
    </row>
    <row r="51" spans="1:13">
      <c r="A51" s="48">
        <f t="shared" si="0"/>
        <v>50</v>
      </c>
      <c r="B51" s="47" t="s">
        <v>6</v>
      </c>
      <c r="C51" s="47" t="s">
        <v>244</v>
      </c>
      <c r="D51" s="47" t="s">
        <v>1807</v>
      </c>
      <c r="E51" s="47"/>
      <c r="F51" s="47" t="s">
        <v>5750</v>
      </c>
      <c r="G51" s="47" t="s">
        <v>13</v>
      </c>
      <c r="H51" s="47" t="str">
        <f>IFERROR(VLOOKUP(Table2[[#This Row], [Ticket]],Okey!A:B,2,0),"")</f>
        <v>ok</v>
      </c>
      <c r="I51" s="47" t="s">
        <v>5290</v>
      </c>
      <c r="J51" s="47" t="s">
        <v>18</v>
      </c>
      <c r="K51" s="47"/>
      <c r="L51" s="47"/>
      <c r="M51" s="49" t="s">
        <v>4790</v>
      </c>
    </row>
    <row r="52" spans="1:13">
      <c r="A52" s="48">
        <f t="shared" si="0"/>
        <v>51</v>
      </c>
      <c r="B52" s="47" t="s">
        <v>6</v>
      </c>
      <c r="C52" s="47" t="s">
        <v>244</v>
      </c>
      <c r="D52" s="47" t="s">
        <v>5510</v>
      </c>
      <c r="E52" s="47"/>
      <c r="F52" s="47" t="s">
        <v>5786</v>
      </c>
      <c r="G52" s="47" t="s">
        <v>13</v>
      </c>
      <c r="H52" s="47" t="str">
        <f>IFERROR(VLOOKUP(Table2[[#This Row], [Ticket]],Okey!A:B,2,0),"")</f>
        <v>ok</v>
      </c>
      <c r="I52" s="47" t="s">
        <v>5290</v>
      </c>
      <c r="J52" s="47" t="s">
        <v>18</v>
      </c>
      <c r="K52" s="47"/>
      <c r="L52" s="47"/>
      <c r="M52" s="49" t="s">
        <v>4790</v>
      </c>
    </row>
    <row r="53" spans="1:13">
      <c r="A53" s="48">
        <f t="shared" si="0"/>
        <v>52</v>
      </c>
      <c r="B53" s="47" t="s">
        <v>6</v>
      </c>
      <c r="C53" s="47" t="s">
        <v>244</v>
      </c>
      <c r="D53" s="47" t="s">
        <v>5787</v>
      </c>
      <c r="E53" s="47"/>
      <c r="F53" s="47" t="s">
        <v>5788</v>
      </c>
      <c r="G53" s="47" t="s">
        <v>13</v>
      </c>
      <c r="H53" s="47" t="str">
        <f>IFERROR(VLOOKUP(Table2[[#This Row], [Ticket]],Okey!A:B,2,0),"")</f>
        <v>ok</v>
      </c>
      <c r="I53" s="47" t="s">
        <v>5290</v>
      </c>
      <c r="J53" s="47" t="s">
        <v>18</v>
      </c>
      <c r="K53" s="47"/>
      <c r="L53" s="47"/>
      <c r="M53" s="49" t="s">
        <v>4790</v>
      </c>
    </row>
    <row r="54" spans="1:13">
      <c r="A54" s="48">
        <f t="shared" si="0"/>
        <v>53</v>
      </c>
      <c r="B54" s="47" t="s">
        <v>6</v>
      </c>
      <c r="C54" s="47" t="s">
        <v>244</v>
      </c>
      <c r="D54" s="47" t="s">
        <v>5569</v>
      </c>
      <c r="E54" s="47"/>
      <c r="F54" s="47" t="s">
        <v>5572</v>
      </c>
      <c r="G54" s="47" t="s">
        <v>13</v>
      </c>
      <c r="H54" s="47" t="str">
        <f>IFERROR(VLOOKUP(Table2[[#This Row], [Ticket]],Okey!A:B,2,0),"")</f>
        <v>ok</v>
      </c>
      <c r="I54" s="47" t="s">
        <v>5290</v>
      </c>
      <c r="J54" s="47" t="s">
        <v>18</v>
      </c>
      <c r="K54" s="47"/>
      <c r="L54" s="47"/>
      <c r="M54" s="49" t="s">
        <v>4790</v>
      </c>
    </row>
    <row r="55" spans="1:13">
      <c r="A55" s="48">
        <f t="shared" si="0"/>
        <v>54</v>
      </c>
      <c r="B55" s="47" t="s">
        <v>6</v>
      </c>
      <c r="C55" s="47" t="s">
        <v>244</v>
      </c>
      <c r="D55" s="47" t="s">
        <v>4176</v>
      </c>
      <c r="E55" s="47"/>
      <c r="F55" s="47" t="s">
        <v>5789</v>
      </c>
      <c r="G55" s="47" t="s">
        <v>13</v>
      </c>
      <c r="H55" s="47" t="str">
        <f>IFERROR(VLOOKUP(Table2[[#This Row], [Ticket]],Okey!A:B,2,0),"")</f>
        <v>ok</v>
      </c>
      <c r="I55" s="47" t="s">
        <v>5290</v>
      </c>
      <c r="J55" s="47" t="s">
        <v>18</v>
      </c>
      <c r="K55" s="47"/>
      <c r="L55" s="47"/>
      <c r="M55" s="49" t="s">
        <v>4790</v>
      </c>
    </row>
    <row r="56" spans="1:13">
      <c r="A56" s="48">
        <f t="shared" si="0"/>
        <v>55</v>
      </c>
      <c r="B56" s="47" t="s">
        <v>6</v>
      </c>
      <c r="C56" s="47" t="s">
        <v>244</v>
      </c>
      <c r="D56" s="47" t="s">
        <v>1421</v>
      </c>
      <c r="E56" s="47"/>
      <c r="F56" s="47" t="s">
        <v>5756</v>
      </c>
      <c r="G56" s="47" t="s">
        <v>13</v>
      </c>
      <c r="H56" s="47" t="str">
        <f>IFERROR(VLOOKUP(Table2[[#This Row], [Ticket]],Okey!A:B,2,0),"")</f>
        <v>ok</v>
      </c>
      <c r="I56" s="47" t="s">
        <v>5290</v>
      </c>
      <c r="J56" s="47" t="s">
        <v>18</v>
      </c>
      <c r="K56" s="47"/>
      <c r="L56" s="47"/>
      <c r="M56" s="49" t="s">
        <v>4790</v>
      </c>
    </row>
    <row r="57" spans="1:13">
      <c r="A57" s="48">
        <f t="shared" si="0"/>
        <v>56</v>
      </c>
      <c r="B57" s="47" t="s">
        <v>6</v>
      </c>
      <c r="C57" s="47" t="s">
        <v>244</v>
      </c>
      <c r="D57" s="47" t="s">
        <v>5790</v>
      </c>
      <c r="E57" s="47"/>
      <c r="F57" s="47" t="s">
        <v>5776</v>
      </c>
      <c r="G57" s="47" t="s">
        <v>13</v>
      </c>
      <c r="H57" s="47" t="str">
        <f>IFERROR(VLOOKUP(Table2[[#This Row], [Ticket]],Okey!A:B,2,0),"")</f>
        <v>ok</v>
      </c>
      <c r="I57" s="47" t="s">
        <v>5290</v>
      </c>
      <c r="J57" s="47" t="s">
        <v>18</v>
      </c>
      <c r="K57" s="47"/>
      <c r="L57" s="47"/>
      <c r="M57" s="49" t="s">
        <v>4790</v>
      </c>
    </row>
    <row r="58" spans="1:13">
      <c r="A58" s="48">
        <f t="shared" si="0"/>
        <v>57</v>
      </c>
      <c r="B58" s="47" t="s">
        <v>6</v>
      </c>
      <c r="C58" s="47" t="s">
        <v>244</v>
      </c>
      <c r="D58" s="47" t="s">
        <v>4205</v>
      </c>
      <c r="E58" s="47"/>
      <c r="F58" s="47" t="s">
        <v>5791</v>
      </c>
      <c r="G58" s="47" t="s">
        <v>13</v>
      </c>
      <c r="H58" s="47" t="str">
        <f>IFERROR(VLOOKUP(Table2[[#This Row], [Ticket]],Okey!A:B,2,0),"")</f>
        <v>ok</v>
      </c>
      <c r="I58" s="47" t="s">
        <v>5290</v>
      </c>
      <c r="J58" s="47" t="s">
        <v>18</v>
      </c>
      <c r="K58" s="47"/>
      <c r="L58" s="47"/>
      <c r="M58" s="49" t="s">
        <v>4790</v>
      </c>
    </row>
    <row r="59" spans="1:13">
      <c r="A59" s="48">
        <f t="shared" si="0"/>
        <v>58</v>
      </c>
      <c r="B59" s="47" t="s">
        <v>6</v>
      </c>
      <c r="C59" s="47" t="s">
        <v>244</v>
      </c>
      <c r="D59" s="47" t="s">
        <v>3639</v>
      </c>
      <c r="E59" s="47"/>
      <c r="F59" s="47" t="s">
        <v>5792</v>
      </c>
      <c r="G59" s="47" t="s">
        <v>13</v>
      </c>
      <c r="H59" s="47" t="str">
        <f>IFERROR(VLOOKUP(Table2[[#This Row], [Ticket]],Okey!A:B,2,0),"")</f>
        <v>ok</v>
      </c>
      <c r="I59" s="47" t="s">
        <v>5290</v>
      </c>
      <c r="J59" s="47" t="s">
        <v>18</v>
      </c>
      <c r="K59" s="47"/>
      <c r="L59" s="47"/>
      <c r="M59" s="49" t="s">
        <v>4790</v>
      </c>
    </row>
    <row r="60" spans="1:13">
      <c r="A60" s="48">
        <f t="shared" si="0"/>
        <v>59</v>
      </c>
      <c r="B60" s="47" t="s">
        <v>6</v>
      </c>
      <c r="C60" s="47" t="s">
        <v>244</v>
      </c>
      <c r="D60" s="47" t="s">
        <v>5793</v>
      </c>
      <c r="E60" s="47"/>
      <c r="F60" s="47" t="s">
        <v>5794</v>
      </c>
      <c r="G60" s="47" t="s">
        <v>13</v>
      </c>
      <c r="H60" s="47" t="str">
        <f>IFERROR(VLOOKUP(Table2[[#This Row], [Ticket]],Okey!A:B,2,0),"")</f>
        <v>ok</v>
      </c>
      <c r="I60" s="47" t="s">
        <v>5290</v>
      </c>
      <c r="J60" s="47" t="s">
        <v>18</v>
      </c>
      <c r="K60" s="47"/>
      <c r="L60" s="47"/>
      <c r="M60" s="49" t="s">
        <v>4790</v>
      </c>
    </row>
    <row r="61" spans="1:13">
      <c r="A61" s="48">
        <f t="shared" si="0"/>
        <v>60</v>
      </c>
      <c r="B61" s="47" t="s">
        <v>6</v>
      </c>
      <c r="C61" s="47" t="s">
        <v>244</v>
      </c>
      <c r="D61" s="47" t="s">
        <v>1892</v>
      </c>
      <c r="E61" s="47"/>
      <c r="F61" s="47" t="s">
        <v>5789</v>
      </c>
      <c r="G61" s="47" t="s">
        <v>13</v>
      </c>
      <c r="H61" s="47" t="str">
        <f>IFERROR(VLOOKUP(Table2[[#This Row], [Ticket]],Okey!A:B,2,0),"")</f>
        <v>ok</v>
      </c>
      <c r="I61" s="47" t="s">
        <v>5290</v>
      </c>
      <c r="J61" s="47" t="s">
        <v>18</v>
      </c>
      <c r="K61" s="47"/>
      <c r="L61" s="47"/>
      <c r="M61" s="49" t="s">
        <v>4790</v>
      </c>
    </row>
    <row r="62" spans="1:13">
      <c r="A62" s="48">
        <f t="shared" si="0"/>
        <v>61</v>
      </c>
      <c r="B62" s="47" t="s">
        <v>6</v>
      </c>
      <c r="C62" s="47" t="s">
        <v>244</v>
      </c>
      <c r="D62" s="47" t="s">
        <v>1894</v>
      </c>
      <c r="E62" s="47"/>
      <c r="F62" s="47" t="s">
        <v>5794</v>
      </c>
      <c r="G62" s="47" t="s">
        <v>13</v>
      </c>
      <c r="H62" s="47" t="str">
        <f>IFERROR(VLOOKUP(Table2[[#This Row], [Ticket]],Okey!A:B,2,0),"")</f>
        <v>ok</v>
      </c>
      <c r="I62" s="47" t="s">
        <v>5290</v>
      </c>
      <c r="J62" s="47" t="s">
        <v>18</v>
      </c>
      <c r="K62" s="47"/>
      <c r="L62" s="47"/>
      <c r="M62" s="49" t="s">
        <v>4790</v>
      </c>
    </row>
    <row r="63" spans="1:13">
      <c r="A63" s="48">
        <f t="shared" si="0"/>
        <v>62</v>
      </c>
      <c r="B63" s="47" t="s">
        <v>6</v>
      </c>
      <c r="C63" s="47" t="s">
        <v>244</v>
      </c>
      <c r="D63" s="47" t="s">
        <v>1990</v>
      </c>
      <c r="E63" s="47"/>
      <c r="F63" s="47" t="s">
        <v>5791</v>
      </c>
      <c r="G63" s="47" t="s">
        <v>13</v>
      </c>
      <c r="H63" s="47" t="str">
        <f>IFERROR(VLOOKUP(Table2[[#This Row], [Ticket]],Okey!A:B,2,0),"")</f>
        <v>ok</v>
      </c>
      <c r="I63" s="47" t="s">
        <v>5290</v>
      </c>
      <c r="J63" s="47" t="s">
        <v>18</v>
      </c>
      <c r="K63" s="47"/>
      <c r="L63" s="47"/>
      <c r="M63" s="49" t="s">
        <v>4790</v>
      </c>
    </row>
    <row r="64" spans="1:13">
      <c r="A64" s="48">
        <f t="shared" si="0"/>
        <v>63</v>
      </c>
      <c r="B64" s="47" t="s">
        <v>6</v>
      </c>
      <c r="C64" s="47" t="s">
        <v>244</v>
      </c>
      <c r="D64" s="47" t="s">
        <v>1900</v>
      </c>
      <c r="E64" s="47"/>
      <c r="F64" s="47" t="s">
        <v>5756</v>
      </c>
      <c r="G64" s="47" t="s">
        <v>13</v>
      </c>
      <c r="H64" s="47" t="str">
        <f>IFERROR(VLOOKUP(Table2[[#This Row], [Ticket]],Okey!A:B,2,0),"")</f>
        <v>ok</v>
      </c>
      <c r="I64" s="47" t="s">
        <v>5290</v>
      </c>
      <c r="J64" s="47" t="s">
        <v>18</v>
      </c>
      <c r="K64" s="47"/>
      <c r="L64" s="47"/>
      <c r="M64" s="49" t="s">
        <v>4790</v>
      </c>
    </row>
    <row r="65" spans="1:13">
      <c r="A65" s="48">
        <f t="shared" si="0"/>
        <v>64</v>
      </c>
      <c r="B65" s="47" t="s">
        <v>6</v>
      </c>
      <c r="C65" s="47" t="s">
        <v>244</v>
      </c>
      <c r="D65" s="47" t="s">
        <v>5795</v>
      </c>
      <c r="E65" s="47"/>
      <c r="F65" s="47" t="s">
        <v>5597</v>
      </c>
      <c r="G65" s="47" t="s">
        <v>13</v>
      </c>
      <c r="H65" s="47" t="str">
        <f>IFERROR(VLOOKUP(Table2[[#This Row], [Ticket]],Okey!A:B,2,0),"")</f>
        <v>ok</v>
      </c>
      <c r="I65" s="47" t="s">
        <v>5290</v>
      </c>
      <c r="J65" s="47" t="s">
        <v>18</v>
      </c>
      <c r="K65" s="47"/>
      <c r="L65" s="47"/>
      <c r="M65" s="49" t="s">
        <v>4790</v>
      </c>
    </row>
    <row r="66" spans="1:13">
      <c r="A66" s="48">
        <f t="shared" si="0"/>
        <v>65</v>
      </c>
      <c r="B66" s="47" t="s">
        <v>6</v>
      </c>
      <c r="C66" s="47" t="s">
        <v>245</v>
      </c>
      <c r="D66" s="47" t="s">
        <v>5796</v>
      </c>
      <c r="E66" s="47" t="s">
        <v>5797</v>
      </c>
      <c r="F66" s="47" t="s">
        <v>5798</v>
      </c>
      <c r="G66" s="47" t="s">
        <v>14</v>
      </c>
      <c r="H66" s="47" t="str">
        <f>IFERROR(VLOOKUP(Table2[[#This Row], [Ticket]],Okey!A:B,2,0),"")</f>
        <v>ok</v>
      </c>
      <c r="I66" s="47" t="s">
        <v>5290</v>
      </c>
      <c r="J66" s="47" t="s">
        <v>17</v>
      </c>
      <c r="K66" s="47"/>
      <c r="L66" s="47"/>
      <c r="M66" s="49" t="s">
        <v>4778</v>
      </c>
    </row>
    <row r="67" spans="1:13">
      <c r="A67" s="48">
        <f t="shared" ref="A67:A130" si="1">1+A66</f>
        <v>66</v>
      </c>
      <c r="B67" s="47" t="s">
        <v>6</v>
      </c>
      <c r="C67" s="47" t="s">
        <v>246</v>
      </c>
      <c r="D67" s="47" t="s">
        <v>5799</v>
      </c>
      <c r="E67" s="47" t="s">
        <v>5800</v>
      </c>
      <c r="F67" s="47" t="s">
        <v>4208</v>
      </c>
      <c r="G67" s="47" t="s">
        <v>14</v>
      </c>
      <c r="H67" s="47" t="str">
        <f>IFERROR(VLOOKUP(Table2[[#This Row], [Ticket]],Okey!A:B,2,0),"")</f>
        <v>ok</v>
      </c>
      <c r="I67" s="47" t="s">
        <v>5290</v>
      </c>
      <c r="J67" s="47" t="s">
        <v>20</v>
      </c>
      <c r="K67" s="47"/>
      <c r="L67" s="47"/>
      <c r="M67" s="49" t="s">
        <v>4794</v>
      </c>
    </row>
    <row r="68" spans="1:13">
      <c r="A68" s="48">
        <f t="shared" si="1"/>
        <v>67</v>
      </c>
      <c r="B68" s="47" t="s">
        <v>6</v>
      </c>
      <c r="C68" s="47" t="s">
        <v>246</v>
      </c>
      <c r="D68" s="47" t="s">
        <v>5801</v>
      </c>
      <c r="E68" s="47" t="s">
        <v>5802</v>
      </c>
      <c r="F68" s="47" t="s">
        <v>5799</v>
      </c>
      <c r="G68" s="47" t="s">
        <v>14</v>
      </c>
      <c r="H68" s="47" t="str">
        <f>IFERROR(VLOOKUP(Table2[[#This Row], [Ticket]],Okey!A:B,2,0),"")</f>
        <v>ok</v>
      </c>
      <c r="I68" s="47" t="s">
        <v>5290</v>
      </c>
      <c r="J68" s="47" t="s">
        <v>20</v>
      </c>
      <c r="K68" s="47"/>
      <c r="L68" s="47"/>
      <c r="M68" s="49" t="s">
        <v>4794</v>
      </c>
    </row>
    <row r="69" spans="1:13">
      <c r="A69" s="48">
        <f t="shared" si="1"/>
        <v>68</v>
      </c>
      <c r="B69" s="47" t="s">
        <v>6</v>
      </c>
      <c r="C69" s="47" t="s">
        <v>246</v>
      </c>
      <c r="D69" s="47" t="s">
        <v>5803</v>
      </c>
      <c r="E69" s="47" t="s">
        <v>5804</v>
      </c>
      <c r="F69" s="47" t="s">
        <v>5799</v>
      </c>
      <c r="G69" s="47" t="s">
        <v>14</v>
      </c>
      <c r="H69" s="47" t="str">
        <f>IFERROR(VLOOKUP(Table2[[#This Row], [Ticket]],Okey!A:B,2,0),"")</f>
        <v>ok</v>
      </c>
      <c r="I69" s="47" t="s">
        <v>5290</v>
      </c>
      <c r="J69" s="47" t="s">
        <v>20</v>
      </c>
      <c r="K69" s="47"/>
      <c r="L69" s="47"/>
      <c r="M69" s="49" t="s">
        <v>4794</v>
      </c>
    </row>
    <row r="70" spans="1:13">
      <c r="A70" s="48">
        <f t="shared" si="1"/>
        <v>69</v>
      </c>
      <c r="B70" s="47" t="s">
        <v>6</v>
      </c>
      <c r="C70" s="47" t="s">
        <v>246</v>
      </c>
      <c r="D70" s="47" t="s">
        <v>5805</v>
      </c>
      <c r="E70" s="47" t="s">
        <v>5806</v>
      </c>
      <c r="F70" s="47" t="s">
        <v>5799</v>
      </c>
      <c r="G70" s="47" t="s">
        <v>14</v>
      </c>
      <c r="H70" s="47" t="str">
        <f>IFERROR(VLOOKUP(Table2[[#This Row], [Ticket]],Okey!A:B,2,0),"")</f>
        <v>ok</v>
      </c>
      <c r="I70" s="47" t="s">
        <v>5290</v>
      </c>
      <c r="J70" s="47" t="s">
        <v>20</v>
      </c>
      <c r="K70" s="47"/>
      <c r="L70" s="47"/>
      <c r="M70" s="49" t="s">
        <v>4794</v>
      </c>
    </row>
    <row r="71" spans="1:13">
      <c r="A71" s="48">
        <f t="shared" si="1"/>
        <v>70</v>
      </c>
      <c r="B71" s="47" t="s">
        <v>6</v>
      </c>
      <c r="C71" s="47" t="s">
        <v>246</v>
      </c>
      <c r="D71" s="47" t="s">
        <v>5807</v>
      </c>
      <c r="E71" s="47" t="s">
        <v>5808</v>
      </c>
      <c r="F71" s="47" t="s">
        <v>5799</v>
      </c>
      <c r="G71" s="47" t="s">
        <v>14</v>
      </c>
      <c r="H71" s="47" t="str">
        <f>IFERROR(VLOOKUP(Table2[[#This Row], [Ticket]],Okey!A:B,2,0),"")</f>
        <v>ok</v>
      </c>
      <c r="I71" s="47" t="s">
        <v>5290</v>
      </c>
      <c r="J71" s="47" t="s">
        <v>20</v>
      </c>
      <c r="K71" s="47"/>
      <c r="L71" s="47"/>
      <c r="M71" s="49" t="s">
        <v>4794</v>
      </c>
    </row>
    <row r="72" spans="1:13">
      <c r="A72" s="48">
        <f t="shared" si="1"/>
        <v>71</v>
      </c>
      <c r="B72" s="47" t="s">
        <v>6</v>
      </c>
      <c r="C72" s="47" t="s">
        <v>246</v>
      </c>
      <c r="D72" s="47" t="s">
        <v>5809</v>
      </c>
      <c r="E72" s="47"/>
      <c r="F72" s="47" t="s">
        <v>2993</v>
      </c>
      <c r="G72" s="47" t="s">
        <v>13</v>
      </c>
      <c r="H72" s="47" t="str">
        <f>IFERROR(VLOOKUP(Table2[[#This Row], [Ticket]],Okey!A:B,2,0),"")</f>
        <v>ok</v>
      </c>
      <c r="I72" s="47" t="s">
        <v>5290</v>
      </c>
      <c r="J72" s="47" t="s">
        <v>20</v>
      </c>
      <c r="K72" s="47"/>
      <c r="L72" s="47"/>
      <c r="M72" s="49" t="s">
        <v>4794</v>
      </c>
    </row>
    <row r="73" spans="1:13">
      <c r="A73" s="48">
        <f t="shared" si="1"/>
        <v>72</v>
      </c>
      <c r="B73" s="47" t="s">
        <v>6</v>
      </c>
      <c r="C73" s="47" t="s">
        <v>246</v>
      </c>
      <c r="D73" s="47" t="s">
        <v>1624</v>
      </c>
      <c r="E73" s="47"/>
      <c r="F73" s="47" t="s">
        <v>275</v>
      </c>
      <c r="G73" s="47" t="s">
        <v>12</v>
      </c>
      <c r="H73" s="47" t="str">
        <f>IFERROR(VLOOKUP(Table2[[#This Row], [Ticket]],Okey!A:B,2,0),"")</f>
        <v>ok</v>
      </c>
      <c r="I73" s="47" t="s">
        <v>5290</v>
      </c>
      <c r="J73" s="47" t="s">
        <v>20</v>
      </c>
      <c r="K73" s="47"/>
      <c r="L73" s="47"/>
      <c r="M73" s="49" t="s">
        <v>4794</v>
      </c>
    </row>
    <row r="74" spans="1:13">
      <c r="A74" s="48">
        <f t="shared" si="1"/>
        <v>73</v>
      </c>
      <c r="B74" s="47" t="s">
        <v>6</v>
      </c>
      <c r="C74" s="47" t="s">
        <v>246</v>
      </c>
      <c r="D74" s="47" t="s">
        <v>1622</v>
      </c>
      <c r="E74" s="47"/>
      <c r="F74" s="47" t="s">
        <v>275</v>
      </c>
      <c r="G74" s="47" t="s">
        <v>12</v>
      </c>
      <c r="H74" s="47" t="str">
        <f>IFERROR(VLOOKUP(Table2[[#This Row], [Ticket]],Okey!A:B,2,0),"")</f>
        <v>ok</v>
      </c>
      <c r="I74" s="47" t="s">
        <v>5290</v>
      </c>
      <c r="J74" s="47" t="s">
        <v>20</v>
      </c>
      <c r="K74" s="47"/>
      <c r="L74" s="47"/>
      <c r="M74" s="49" t="s">
        <v>4794</v>
      </c>
    </row>
    <row r="75" spans="1:13">
      <c r="A75" s="48">
        <f t="shared" si="1"/>
        <v>74</v>
      </c>
      <c r="B75" s="47" t="s">
        <v>6</v>
      </c>
      <c r="C75" s="47" t="s">
        <v>246</v>
      </c>
      <c r="D75" s="47" t="s">
        <v>2076</v>
      </c>
      <c r="E75" s="47"/>
      <c r="F75" s="47" t="s">
        <v>275</v>
      </c>
      <c r="G75" s="47" t="s">
        <v>12</v>
      </c>
      <c r="H75" s="47" t="str">
        <f>IFERROR(VLOOKUP(Table2[[#This Row], [Ticket]],Okey!A:B,2,0),"")</f>
        <v>ok</v>
      </c>
      <c r="I75" s="47" t="s">
        <v>5290</v>
      </c>
      <c r="J75" s="47" t="s">
        <v>20</v>
      </c>
      <c r="K75" s="47"/>
      <c r="L75" s="47"/>
      <c r="M75" s="49" t="s">
        <v>4794</v>
      </c>
    </row>
    <row r="76" spans="1:13">
      <c r="A76" s="48">
        <f t="shared" si="1"/>
        <v>75</v>
      </c>
      <c r="B76" s="47" t="s">
        <v>6</v>
      </c>
      <c r="C76" s="47" t="s">
        <v>246</v>
      </c>
      <c r="D76" s="47" t="s">
        <v>2651</v>
      </c>
      <c r="E76" s="47"/>
      <c r="F76" s="47" t="s">
        <v>275</v>
      </c>
      <c r="G76" s="47" t="s">
        <v>12</v>
      </c>
      <c r="H76" s="47" t="str">
        <f>IFERROR(VLOOKUP(Table2[[#This Row], [Ticket]],Okey!A:B,2,0),"")</f>
        <v>ok</v>
      </c>
      <c r="I76" s="47" t="s">
        <v>5290</v>
      </c>
      <c r="J76" s="47" t="s">
        <v>20</v>
      </c>
      <c r="K76" s="47"/>
      <c r="L76" s="47"/>
      <c r="M76" s="49" t="s">
        <v>4794</v>
      </c>
    </row>
    <row r="77" spans="1:13">
      <c r="A77" s="48">
        <f t="shared" si="1"/>
        <v>76</v>
      </c>
      <c r="B77" s="47" t="s">
        <v>6</v>
      </c>
      <c r="C77" s="47" t="s">
        <v>246</v>
      </c>
      <c r="D77" s="47" t="s">
        <v>2074</v>
      </c>
      <c r="E77" s="47"/>
      <c r="F77" s="47" t="s">
        <v>275</v>
      </c>
      <c r="G77" s="47" t="s">
        <v>12</v>
      </c>
      <c r="H77" s="47" t="str">
        <f>IFERROR(VLOOKUP(Table2[[#This Row], [Ticket]],Okey!A:B,2,0),"")</f>
        <v>ok</v>
      </c>
      <c r="I77" s="47" t="s">
        <v>5290</v>
      </c>
      <c r="J77" s="47" t="s">
        <v>20</v>
      </c>
      <c r="K77" s="47"/>
      <c r="L77" s="47"/>
      <c r="M77" s="49" t="s">
        <v>4794</v>
      </c>
    </row>
    <row r="78" spans="1:13">
      <c r="A78" s="48">
        <f t="shared" si="1"/>
        <v>77</v>
      </c>
      <c r="B78" s="47" t="s">
        <v>6</v>
      </c>
      <c r="C78" s="47" t="s">
        <v>246</v>
      </c>
      <c r="D78" s="47" t="s">
        <v>2077</v>
      </c>
      <c r="E78" s="47"/>
      <c r="F78" s="47" t="s">
        <v>275</v>
      </c>
      <c r="G78" s="47" t="s">
        <v>12</v>
      </c>
      <c r="H78" s="47" t="str">
        <f>IFERROR(VLOOKUP(Table2[[#This Row], [Ticket]],Okey!A:B,2,0),"")</f>
        <v>ok</v>
      </c>
      <c r="I78" s="47" t="s">
        <v>5290</v>
      </c>
      <c r="J78" s="47" t="s">
        <v>20</v>
      </c>
      <c r="K78" s="47"/>
      <c r="L78" s="47"/>
      <c r="M78" s="49" t="s">
        <v>4794</v>
      </c>
    </row>
    <row r="79" spans="1:13">
      <c r="A79" s="48">
        <f t="shared" si="1"/>
        <v>78</v>
      </c>
      <c r="B79" s="47" t="s">
        <v>6</v>
      </c>
      <c r="C79" s="47" t="s">
        <v>246</v>
      </c>
      <c r="D79" s="47" t="s">
        <v>2431</v>
      </c>
      <c r="E79" s="47"/>
      <c r="F79" s="47" t="s">
        <v>275</v>
      </c>
      <c r="G79" s="47" t="s">
        <v>12</v>
      </c>
      <c r="H79" s="47" t="str">
        <f>IFERROR(VLOOKUP(Table2[[#This Row], [Ticket]],Okey!A:B,2,0),"")</f>
        <v>ok</v>
      </c>
      <c r="I79" s="47" t="s">
        <v>5290</v>
      </c>
      <c r="J79" s="47" t="s">
        <v>20</v>
      </c>
      <c r="K79" s="47"/>
      <c r="L79" s="47"/>
      <c r="M79" s="49" t="s">
        <v>4794</v>
      </c>
    </row>
    <row r="80" spans="1:13">
      <c r="A80" s="48">
        <f t="shared" si="1"/>
        <v>79</v>
      </c>
      <c r="B80" s="47" t="s">
        <v>6</v>
      </c>
      <c r="C80" s="47" t="s">
        <v>246</v>
      </c>
      <c r="D80" s="47" t="s">
        <v>4705</v>
      </c>
      <c r="E80" s="47"/>
      <c r="F80" s="47" t="s">
        <v>275</v>
      </c>
      <c r="G80" s="47" t="s">
        <v>12</v>
      </c>
      <c r="H80" s="47" t="str">
        <f>IFERROR(VLOOKUP(Table2[[#This Row], [Ticket]],Okey!A:B,2,0),"")</f>
        <v>ok</v>
      </c>
      <c r="I80" s="47" t="s">
        <v>5290</v>
      </c>
      <c r="J80" s="47" t="s">
        <v>20</v>
      </c>
      <c r="K80" s="47"/>
      <c r="L80" s="47"/>
      <c r="M80" s="49" t="s">
        <v>4794</v>
      </c>
    </row>
    <row r="81" spans="1:13">
      <c r="A81" s="48">
        <f t="shared" si="1"/>
        <v>80</v>
      </c>
      <c r="B81" s="47" t="s">
        <v>6</v>
      </c>
      <c r="C81" s="47" t="s">
        <v>246</v>
      </c>
      <c r="D81" s="47" t="s">
        <v>4707</v>
      </c>
      <c r="E81" s="47"/>
      <c r="F81" s="47" t="s">
        <v>275</v>
      </c>
      <c r="G81" s="47" t="s">
        <v>12</v>
      </c>
      <c r="H81" s="47" t="str">
        <f>IFERROR(VLOOKUP(Table2[[#This Row], [Ticket]],Okey!A:B,2,0),"")</f>
        <v>ok</v>
      </c>
      <c r="I81" s="47" t="s">
        <v>5290</v>
      </c>
      <c r="J81" s="47" t="s">
        <v>20</v>
      </c>
      <c r="K81" s="47"/>
      <c r="L81" s="47"/>
      <c r="M81" s="49" t="s">
        <v>4794</v>
      </c>
    </row>
    <row r="82" spans="1:13">
      <c r="A82" s="48">
        <f t="shared" si="1"/>
        <v>81</v>
      </c>
      <c r="B82" s="47" t="s">
        <v>6</v>
      </c>
      <c r="C82" s="47" t="s">
        <v>246</v>
      </c>
      <c r="D82" s="47" t="s">
        <v>4709</v>
      </c>
      <c r="E82" s="47"/>
      <c r="F82" s="47" t="s">
        <v>275</v>
      </c>
      <c r="G82" s="47" t="s">
        <v>12</v>
      </c>
      <c r="H82" s="47" t="str">
        <f>IFERROR(VLOOKUP(Table2[[#This Row], [Ticket]],Okey!A:B,2,0),"")</f>
        <v>ok</v>
      </c>
      <c r="I82" s="47" t="s">
        <v>5290</v>
      </c>
      <c r="J82" s="47" t="s">
        <v>20</v>
      </c>
      <c r="K82" s="47"/>
      <c r="L82" s="47"/>
      <c r="M82" s="49" t="s">
        <v>4794</v>
      </c>
    </row>
    <row r="83" spans="1:13">
      <c r="A83" s="48">
        <f t="shared" si="1"/>
        <v>82</v>
      </c>
      <c r="B83" s="47" t="s">
        <v>6</v>
      </c>
      <c r="C83" s="47" t="s">
        <v>246</v>
      </c>
      <c r="D83" s="47" t="s">
        <v>4711</v>
      </c>
      <c r="E83" s="47"/>
      <c r="F83" s="47" t="s">
        <v>275</v>
      </c>
      <c r="G83" s="47" t="s">
        <v>12</v>
      </c>
      <c r="H83" s="47" t="str">
        <f>IFERROR(VLOOKUP(Table2[[#This Row], [Ticket]],Okey!A:B,2,0),"")</f>
        <v>ok</v>
      </c>
      <c r="I83" s="47" t="s">
        <v>5290</v>
      </c>
      <c r="J83" s="47" t="s">
        <v>20</v>
      </c>
      <c r="K83" s="47"/>
      <c r="L83" s="47"/>
      <c r="M83" s="49" t="s">
        <v>4794</v>
      </c>
    </row>
    <row r="84" spans="1:13">
      <c r="A84" s="48">
        <f t="shared" si="1"/>
        <v>83</v>
      </c>
      <c r="B84" s="47" t="s">
        <v>6</v>
      </c>
      <c r="C84" s="47" t="s">
        <v>246</v>
      </c>
      <c r="D84" s="47" t="s">
        <v>4713</v>
      </c>
      <c r="E84" s="47"/>
      <c r="F84" s="47" t="s">
        <v>275</v>
      </c>
      <c r="G84" s="47" t="s">
        <v>12</v>
      </c>
      <c r="H84" s="47" t="str">
        <f>IFERROR(VLOOKUP(Table2[[#This Row], [Ticket]],Okey!A:B,2,0),"")</f>
        <v>ok</v>
      </c>
      <c r="I84" s="47" t="s">
        <v>5290</v>
      </c>
      <c r="J84" s="47" t="s">
        <v>20</v>
      </c>
      <c r="K84" s="47"/>
      <c r="L84" s="47"/>
      <c r="M84" s="49" t="s">
        <v>4794</v>
      </c>
    </row>
    <row r="85" spans="1:13">
      <c r="A85" s="48">
        <f t="shared" si="1"/>
        <v>84</v>
      </c>
      <c r="B85" s="47" t="s">
        <v>6</v>
      </c>
      <c r="C85" s="47" t="s">
        <v>246</v>
      </c>
      <c r="D85" s="47" t="s">
        <v>4715</v>
      </c>
      <c r="E85" s="47"/>
      <c r="F85" s="47" t="s">
        <v>275</v>
      </c>
      <c r="G85" s="47" t="s">
        <v>12</v>
      </c>
      <c r="H85" s="47" t="str">
        <f>IFERROR(VLOOKUP(Table2[[#This Row], [Ticket]],Okey!A:B,2,0),"")</f>
        <v>ok</v>
      </c>
      <c r="I85" s="47" t="s">
        <v>5290</v>
      </c>
      <c r="J85" s="47" t="s">
        <v>20</v>
      </c>
      <c r="K85" s="47"/>
      <c r="L85" s="47"/>
      <c r="M85" s="49" t="s">
        <v>4794</v>
      </c>
    </row>
    <row r="86" spans="1:13">
      <c r="A86" s="48">
        <f t="shared" si="1"/>
        <v>85</v>
      </c>
      <c r="B86" s="47" t="s">
        <v>6</v>
      </c>
      <c r="C86" s="47" t="s">
        <v>246</v>
      </c>
      <c r="D86" s="47" t="s">
        <v>4717</v>
      </c>
      <c r="E86" s="47"/>
      <c r="F86" s="47" t="s">
        <v>275</v>
      </c>
      <c r="G86" s="47" t="s">
        <v>12</v>
      </c>
      <c r="H86" s="47" t="str">
        <f>IFERROR(VLOOKUP(Table2[[#This Row], [Ticket]],Okey!A:B,2,0),"")</f>
        <v>ok</v>
      </c>
      <c r="I86" s="47" t="s">
        <v>5290</v>
      </c>
      <c r="J86" s="47" t="s">
        <v>20</v>
      </c>
      <c r="K86" s="47"/>
      <c r="L86" s="47"/>
      <c r="M86" s="49" t="s">
        <v>4794</v>
      </c>
    </row>
    <row r="87" spans="1:13">
      <c r="A87" s="48">
        <f t="shared" si="1"/>
        <v>86</v>
      </c>
      <c r="B87" s="47" t="s">
        <v>6</v>
      </c>
      <c r="C87" s="47" t="s">
        <v>246</v>
      </c>
      <c r="D87" s="47" t="s">
        <v>5810</v>
      </c>
      <c r="E87" s="47"/>
      <c r="F87" s="47" t="s">
        <v>275</v>
      </c>
      <c r="G87" s="47" t="s">
        <v>12</v>
      </c>
      <c r="H87" s="47" t="str">
        <f>IFERROR(VLOOKUP(Table2[[#This Row], [Ticket]],Okey!A:B,2,0),"")</f>
        <v>ok</v>
      </c>
      <c r="I87" s="47" t="s">
        <v>5290</v>
      </c>
      <c r="J87" s="47" t="s">
        <v>20</v>
      </c>
      <c r="K87" s="47"/>
      <c r="L87" s="47"/>
      <c r="M87" s="49" t="s">
        <v>4794</v>
      </c>
    </row>
    <row r="88" spans="1:13">
      <c r="A88" s="48">
        <f t="shared" si="1"/>
        <v>87</v>
      </c>
      <c r="B88" s="47" t="s">
        <v>6</v>
      </c>
      <c r="C88" s="47" t="s">
        <v>246</v>
      </c>
      <c r="D88" s="47" t="s">
        <v>5811</v>
      </c>
      <c r="E88" s="47"/>
      <c r="F88" s="47" t="s">
        <v>275</v>
      </c>
      <c r="G88" s="47" t="s">
        <v>12</v>
      </c>
      <c r="H88" s="47" t="str">
        <f>IFERROR(VLOOKUP(Table2[[#This Row], [Ticket]],Okey!A:B,2,0),"")</f>
        <v>ok</v>
      </c>
      <c r="I88" s="47" t="s">
        <v>5290</v>
      </c>
      <c r="J88" s="47" t="s">
        <v>20</v>
      </c>
      <c r="K88" s="47"/>
      <c r="L88" s="47"/>
      <c r="M88" s="49" t="s">
        <v>4794</v>
      </c>
    </row>
    <row r="89" spans="1:13">
      <c r="A89" s="48">
        <f t="shared" si="1"/>
        <v>88</v>
      </c>
      <c r="B89" s="47" t="s">
        <v>6</v>
      </c>
      <c r="C89" s="47" t="s">
        <v>246</v>
      </c>
      <c r="D89" s="47" t="s">
        <v>4208</v>
      </c>
      <c r="E89" s="47" t="s">
        <v>5812</v>
      </c>
      <c r="F89" s="47"/>
      <c r="G89" s="47" t="s">
        <v>15</v>
      </c>
      <c r="H89" s="47" t="str">
        <f>IFERROR(VLOOKUP(Table2[[#This Row], [Ticket]],Okey!A:B,2,0),"")</f>
        <v>ok</v>
      </c>
      <c r="I89" s="47" t="s">
        <v>5290</v>
      </c>
      <c r="J89" s="47" t="s">
        <v>20</v>
      </c>
      <c r="K89" s="47"/>
      <c r="L89" s="47"/>
      <c r="M89" s="49" t="s">
        <v>4794</v>
      </c>
    </row>
    <row r="90" spans="1:13">
      <c r="A90" s="48">
        <f t="shared" si="1"/>
        <v>89</v>
      </c>
      <c r="B90" s="47" t="s">
        <v>6</v>
      </c>
      <c r="C90" s="47" t="s">
        <v>246</v>
      </c>
      <c r="D90" s="47" t="s">
        <v>4210</v>
      </c>
      <c r="E90" s="47" t="s">
        <v>5813</v>
      </c>
      <c r="F90" s="47"/>
      <c r="G90" s="47" t="s">
        <v>15</v>
      </c>
      <c r="H90" s="47" t="str">
        <f>IFERROR(VLOOKUP(Table2[[#This Row], [Ticket]],Okey!A:B,2,0),"")</f>
        <v>ok</v>
      </c>
      <c r="I90" s="47" t="s">
        <v>5290</v>
      </c>
      <c r="J90" s="47" t="s">
        <v>20</v>
      </c>
      <c r="K90" s="47"/>
      <c r="L90" s="47"/>
      <c r="M90" s="49" t="s">
        <v>4794</v>
      </c>
    </row>
    <row r="91" spans="1:13">
      <c r="A91" s="48">
        <f t="shared" si="1"/>
        <v>90</v>
      </c>
      <c r="B91" s="47" t="s">
        <v>6</v>
      </c>
      <c r="C91" s="47" t="s">
        <v>246</v>
      </c>
      <c r="D91" s="47" t="s">
        <v>4212</v>
      </c>
      <c r="E91" s="47" t="s">
        <v>5814</v>
      </c>
      <c r="F91" s="47"/>
      <c r="G91" s="47" t="s">
        <v>15</v>
      </c>
      <c r="H91" s="47" t="str">
        <f>IFERROR(VLOOKUP(Table2[[#This Row], [Ticket]],Okey!A:B,2,0),"")</f>
        <v>ok</v>
      </c>
      <c r="I91" s="47" t="s">
        <v>5290</v>
      </c>
      <c r="J91" s="47" t="s">
        <v>20</v>
      </c>
      <c r="K91" s="47"/>
      <c r="L91" s="47"/>
      <c r="M91" s="49" t="s">
        <v>4794</v>
      </c>
    </row>
    <row r="92" spans="1:13">
      <c r="A92" s="48">
        <f t="shared" si="1"/>
        <v>91</v>
      </c>
      <c r="B92" s="47" t="s">
        <v>6</v>
      </c>
      <c r="C92" s="47" t="s">
        <v>246</v>
      </c>
      <c r="D92" s="47" t="s">
        <v>4214</v>
      </c>
      <c r="E92" s="47" t="s">
        <v>5815</v>
      </c>
      <c r="F92" s="47"/>
      <c r="G92" s="47" t="s">
        <v>15</v>
      </c>
      <c r="H92" s="47" t="str">
        <f>IFERROR(VLOOKUP(Table2[[#This Row], [Ticket]],Okey!A:B,2,0),"")</f>
        <v>ok</v>
      </c>
      <c r="I92" s="47" t="s">
        <v>5290</v>
      </c>
      <c r="J92" s="47" t="s">
        <v>20</v>
      </c>
      <c r="K92" s="47"/>
      <c r="L92" s="47"/>
      <c r="M92" s="49" t="s">
        <v>4794</v>
      </c>
    </row>
    <row r="93" spans="1:13">
      <c r="A93" s="48">
        <f t="shared" si="1"/>
        <v>92</v>
      </c>
      <c r="B93" s="47" t="s">
        <v>6</v>
      </c>
      <c r="C93" s="47" t="s">
        <v>246</v>
      </c>
      <c r="D93" s="47" t="s">
        <v>4216</v>
      </c>
      <c r="E93" s="47" t="s">
        <v>5816</v>
      </c>
      <c r="F93" s="47"/>
      <c r="G93" s="47" t="s">
        <v>15</v>
      </c>
      <c r="H93" s="47" t="str">
        <f>IFERROR(VLOOKUP(Table2[[#This Row], [Ticket]],Okey!A:B,2,0),"")</f>
        <v>ok</v>
      </c>
      <c r="I93" s="47" t="s">
        <v>5290</v>
      </c>
      <c r="J93" s="47" t="s">
        <v>20</v>
      </c>
      <c r="K93" s="47"/>
      <c r="L93" s="47"/>
      <c r="M93" s="49" t="s">
        <v>4794</v>
      </c>
    </row>
    <row r="94" spans="1:13">
      <c r="A94" s="48">
        <f t="shared" si="1"/>
        <v>93</v>
      </c>
      <c r="B94" s="47" t="s">
        <v>6</v>
      </c>
      <c r="C94" s="47" t="s">
        <v>246</v>
      </c>
      <c r="D94" s="47" t="s">
        <v>4218</v>
      </c>
      <c r="E94" s="47" t="s">
        <v>5817</v>
      </c>
      <c r="F94" s="47"/>
      <c r="G94" s="47" t="s">
        <v>15</v>
      </c>
      <c r="H94" s="47" t="str">
        <f>IFERROR(VLOOKUP(Table2[[#This Row], [Ticket]],Okey!A:B,2,0),"")</f>
        <v>ok</v>
      </c>
      <c r="I94" s="47" t="s">
        <v>5290</v>
      </c>
      <c r="J94" s="47" t="s">
        <v>20</v>
      </c>
      <c r="K94" s="47"/>
      <c r="L94" s="47"/>
      <c r="M94" s="49" t="s">
        <v>4794</v>
      </c>
    </row>
    <row r="95" spans="1:13">
      <c r="A95" s="48">
        <f t="shared" si="1"/>
        <v>94</v>
      </c>
      <c r="B95" s="47" t="s">
        <v>6</v>
      </c>
      <c r="C95" s="47" t="s">
        <v>246</v>
      </c>
      <c r="D95" s="47" t="s">
        <v>4288</v>
      </c>
      <c r="E95" s="47" t="s">
        <v>5818</v>
      </c>
      <c r="F95" s="47"/>
      <c r="G95" s="47" t="s">
        <v>15</v>
      </c>
      <c r="H95" s="47" t="str">
        <f>IFERROR(VLOOKUP(Table2[[#This Row], [Ticket]],Okey!A:B,2,0),"")</f>
        <v>ok</v>
      </c>
      <c r="I95" s="47" t="s">
        <v>5290</v>
      </c>
      <c r="J95" s="47" t="s">
        <v>20</v>
      </c>
      <c r="K95" s="47"/>
      <c r="L95" s="47"/>
      <c r="M95" s="49" t="s">
        <v>4794</v>
      </c>
    </row>
    <row r="96" spans="1:13">
      <c r="A96" s="48">
        <f t="shared" si="1"/>
        <v>95</v>
      </c>
      <c r="B96" s="47" t="s">
        <v>6</v>
      </c>
      <c r="C96" s="47" t="s">
        <v>246</v>
      </c>
      <c r="D96" s="47" t="s">
        <v>4290</v>
      </c>
      <c r="E96" s="47" t="s">
        <v>5819</v>
      </c>
      <c r="F96" s="47"/>
      <c r="G96" s="47" t="s">
        <v>15</v>
      </c>
      <c r="H96" s="47" t="str">
        <f>IFERROR(VLOOKUP(Table2[[#This Row], [Ticket]],Okey!A:B,2,0),"")</f>
        <v>ok</v>
      </c>
      <c r="I96" s="47" t="s">
        <v>5290</v>
      </c>
      <c r="J96" s="47" t="s">
        <v>20</v>
      </c>
      <c r="K96" s="47"/>
      <c r="L96" s="47"/>
      <c r="M96" s="49" t="s">
        <v>4794</v>
      </c>
    </row>
    <row r="97" spans="1:13">
      <c r="A97" s="48">
        <f t="shared" si="1"/>
        <v>96</v>
      </c>
      <c r="B97" s="47" t="s">
        <v>6</v>
      </c>
      <c r="C97" s="47" t="s">
        <v>246</v>
      </c>
      <c r="D97" s="47" t="s">
        <v>2640</v>
      </c>
      <c r="E97" s="47" t="s">
        <v>5820</v>
      </c>
      <c r="F97" s="47"/>
      <c r="G97" s="47" t="s">
        <v>15</v>
      </c>
      <c r="H97" s="47" t="str">
        <f>IFERROR(VLOOKUP(Table2[[#This Row], [Ticket]],Okey!A:B,2,0),"")</f>
        <v>ok</v>
      </c>
      <c r="I97" s="47" t="s">
        <v>5290</v>
      </c>
      <c r="J97" s="47" t="s">
        <v>20</v>
      </c>
      <c r="K97" s="47"/>
      <c r="L97" s="47"/>
      <c r="M97" s="49" t="s">
        <v>4794</v>
      </c>
    </row>
    <row r="98" spans="1:13">
      <c r="A98" s="48">
        <f t="shared" si="1"/>
        <v>97</v>
      </c>
      <c r="B98" s="47" t="s">
        <v>6</v>
      </c>
      <c r="C98" s="47" t="s">
        <v>246</v>
      </c>
      <c r="D98" s="47" t="s">
        <v>2015</v>
      </c>
      <c r="E98" s="47" t="s">
        <v>5821</v>
      </c>
      <c r="F98" s="47"/>
      <c r="G98" s="47" t="s">
        <v>15</v>
      </c>
      <c r="H98" s="47" t="str">
        <f>IFERROR(VLOOKUP(Table2[[#This Row], [Ticket]],Okey!A:B,2,0),"")</f>
        <v>ok</v>
      </c>
      <c r="I98" s="47" t="s">
        <v>5290</v>
      </c>
      <c r="J98" s="47" t="s">
        <v>20</v>
      </c>
      <c r="K98" s="47"/>
      <c r="L98" s="47"/>
      <c r="M98" s="49" t="s">
        <v>4794</v>
      </c>
    </row>
    <row r="99" spans="1:13">
      <c r="A99" s="48">
        <f t="shared" si="1"/>
        <v>98</v>
      </c>
      <c r="B99" s="47" t="s">
        <v>6</v>
      </c>
      <c r="C99" s="47" t="s">
        <v>246</v>
      </c>
      <c r="D99" s="47" t="s">
        <v>5822</v>
      </c>
      <c r="E99" s="47" t="s">
        <v>5823</v>
      </c>
      <c r="F99" s="47"/>
      <c r="G99" s="47" t="s">
        <v>15</v>
      </c>
      <c r="H99" s="47" t="str">
        <f>IFERROR(VLOOKUP(Table2[[#This Row], [Ticket]],Okey!A:B,2,0),"")</f>
        <v>ok</v>
      </c>
      <c r="I99" s="47" t="s">
        <v>5290</v>
      </c>
      <c r="J99" s="47" t="s">
        <v>20</v>
      </c>
      <c r="K99" s="47"/>
      <c r="L99" s="47"/>
      <c r="M99" s="49" t="s">
        <v>4794</v>
      </c>
    </row>
    <row r="100" spans="1:13">
      <c r="A100" s="48">
        <f t="shared" si="1"/>
        <v>99</v>
      </c>
      <c r="B100" s="47" t="s">
        <v>6</v>
      </c>
      <c r="C100" s="47" t="s">
        <v>246</v>
      </c>
      <c r="D100" s="47" t="s">
        <v>2020</v>
      </c>
      <c r="E100" s="47" t="s">
        <v>5824</v>
      </c>
      <c r="F100" s="47"/>
      <c r="G100" s="47" t="s">
        <v>15</v>
      </c>
      <c r="H100" s="47" t="str">
        <f>IFERROR(VLOOKUP(Table2[[#This Row], [Ticket]],Okey!A:B,2,0),"")</f>
        <v>ok</v>
      </c>
      <c r="I100" s="47" t="s">
        <v>5290</v>
      </c>
      <c r="J100" s="47" t="s">
        <v>20</v>
      </c>
      <c r="K100" s="47"/>
      <c r="L100" s="47"/>
      <c r="M100" s="49" t="s">
        <v>4794</v>
      </c>
    </row>
    <row r="101" spans="1:13">
      <c r="A101" s="48">
        <f t="shared" si="1"/>
        <v>100</v>
      </c>
      <c r="B101" s="47" t="s">
        <v>6</v>
      </c>
      <c r="C101" s="47" t="s">
        <v>246</v>
      </c>
      <c r="D101" s="47" t="s">
        <v>2025</v>
      </c>
      <c r="E101" s="47" t="s">
        <v>5825</v>
      </c>
      <c r="F101" s="47"/>
      <c r="G101" s="47" t="s">
        <v>15</v>
      </c>
      <c r="H101" s="47" t="str">
        <f>IFERROR(VLOOKUP(Table2[[#This Row], [Ticket]],Okey!A:B,2,0),"")</f>
        <v>ok</v>
      </c>
      <c r="I101" s="47" t="s">
        <v>5290</v>
      </c>
      <c r="J101" s="47" t="s">
        <v>20</v>
      </c>
      <c r="K101" s="47"/>
      <c r="L101" s="47"/>
      <c r="M101" s="49" t="s">
        <v>4794</v>
      </c>
    </row>
    <row r="102" spans="1:13">
      <c r="A102" s="48">
        <f t="shared" si="1"/>
        <v>101</v>
      </c>
      <c r="B102" s="47" t="s">
        <v>6</v>
      </c>
      <c r="C102" s="47" t="s">
        <v>246</v>
      </c>
      <c r="D102" s="47" t="s">
        <v>2030</v>
      </c>
      <c r="E102" s="47" t="s">
        <v>5826</v>
      </c>
      <c r="F102" s="47"/>
      <c r="G102" s="47" t="s">
        <v>15</v>
      </c>
      <c r="H102" s="47" t="str">
        <f>IFERROR(VLOOKUP(Table2[[#This Row], [Ticket]],Okey!A:B,2,0),"")</f>
        <v>ok</v>
      </c>
      <c r="I102" s="47" t="s">
        <v>5290</v>
      </c>
      <c r="J102" s="47" t="s">
        <v>20</v>
      </c>
      <c r="K102" s="47"/>
      <c r="L102" s="47"/>
      <c r="M102" s="49" t="s">
        <v>4794</v>
      </c>
    </row>
    <row r="103" spans="1:13">
      <c r="A103" s="48">
        <f t="shared" si="1"/>
        <v>102</v>
      </c>
      <c r="B103" s="47" t="s">
        <v>6</v>
      </c>
      <c r="C103" s="47" t="s">
        <v>246</v>
      </c>
      <c r="D103" s="47" t="s">
        <v>2035</v>
      </c>
      <c r="E103" s="47" t="s">
        <v>5827</v>
      </c>
      <c r="F103" s="47"/>
      <c r="G103" s="47" t="s">
        <v>15</v>
      </c>
      <c r="H103" s="47" t="str">
        <f>IFERROR(VLOOKUP(Table2[[#This Row], [Ticket]],Okey!A:B,2,0),"")</f>
        <v>ok</v>
      </c>
      <c r="I103" s="47" t="s">
        <v>5290</v>
      </c>
      <c r="J103" s="47" t="s">
        <v>20</v>
      </c>
      <c r="K103" s="47"/>
      <c r="L103" s="47"/>
      <c r="M103" s="49" t="s">
        <v>4794</v>
      </c>
    </row>
    <row r="104" spans="1:13">
      <c r="A104" s="48">
        <f t="shared" si="1"/>
        <v>103</v>
      </c>
      <c r="B104" s="47" t="s">
        <v>6</v>
      </c>
      <c r="C104" s="47" t="s">
        <v>246</v>
      </c>
      <c r="D104" s="47" t="s">
        <v>2040</v>
      </c>
      <c r="E104" s="47" t="s">
        <v>5828</v>
      </c>
      <c r="F104" s="47"/>
      <c r="G104" s="47" t="s">
        <v>15</v>
      </c>
      <c r="H104" s="47" t="str">
        <f>IFERROR(VLOOKUP(Table2[[#This Row], [Ticket]],Okey!A:B,2,0),"")</f>
        <v>ok</v>
      </c>
      <c r="I104" s="47" t="s">
        <v>5290</v>
      </c>
      <c r="J104" s="47" t="s">
        <v>20</v>
      </c>
      <c r="K104" s="47"/>
      <c r="L104" s="47"/>
      <c r="M104" s="49" t="s">
        <v>4794</v>
      </c>
    </row>
    <row r="105" spans="1:13">
      <c r="A105" s="48">
        <f t="shared" si="1"/>
        <v>104</v>
      </c>
      <c r="B105" s="47" t="s">
        <v>6</v>
      </c>
      <c r="C105" s="47" t="s">
        <v>246</v>
      </c>
      <c r="D105" s="47" t="s">
        <v>2045</v>
      </c>
      <c r="E105" s="47" t="s">
        <v>5829</v>
      </c>
      <c r="F105" s="47"/>
      <c r="G105" s="47" t="s">
        <v>15</v>
      </c>
      <c r="H105" s="47" t="str">
        <f>IFERROR(VLOOKUP(Table2[[#This Row], [Ticket]],Okey!A:B,2,0),"")</f>
        <v>ok</v>
      </c>
      <c r="I105" s="47" t="s">
        <v>5290</v>
      </c>
      <c r="J105" s="47" t="s">
        <v>20</v>
      </c>
      <c r="K105" s="47"/>
      <c r="L105" s="47"/>
      <c r="M105" s="49" t="s">
        <v>4794</v>
      </c>
    </row>
    <row r="106" spans="1:13">
      <c r="A106" s="48">
        <f t="shared" si="1"/>
        <v>105</v>
      </c>
      <c r="B106" s="47" t="s">
        <v>6</v>
      </c>
      <c r="C106" s="47" t="s">
        <v>246</v>
      </c>
      <c r="D106" s="47" t="s">
        <v>4357</v>
      </c>
      <c r="E106" s="47" t="s">
        <v>5830</v>
      </c>
      <c r="F106" s="47"/>
      <c r="G106" s="47" t="s">
        <v>15</v>
      </c>
      <c r="H106" s="47" t="str">
        <f>IFERROR(VLOOKUP(Table2[[#This Row], [Ticket]],Okey!A:B,2,0),"")</f>
        <v>ok</v>
      </c>
      <c r="I106" s="47" t="s">
        <v>5290</v>
      </c>
      <c r="J106" s="47" t="s">
        <v>20</v>
      </c>
      <c r="K106" s="47"/>
      <c r="L106" s="47"/>
      <c r="M106" s="49" t="s">
        <v>4794</v>
      </c>
    </row>
    <row r="107" spans="1:13">
      <c r="A107" s="48">
        <f t="shared" si="1"/>
        <v>106</v>
      </c>
      <c r="B107" s="47" t="s">
        <v>6</v>
      </c>
      <c r="C107" s="47" t="s">
        <v>246</v>
      </c>
      <c r="D107" s="47" t="s">
        <v>4359</v>
      </c>
      <c r="E107" s="47" t="s">
        <v>5831</v>
      </c>
      <c r="F107" s="47"/>
      <c r="G107" s="47" t="s">
        <v>15</v>
      </c>
      <c r="H107" s="47" t="str">
        <f>IFERROR(VLOOKUP(Table2[[#This Row], [Ticket]],Okey!A:B,2,0),"")</f>
        <v>ok</v>
      </c>
      <c r="I107" s="47" t="s">
        <v>5290</v>
      </c>
      <c r="J107" s="47" t="s">
        <v>20</v>
      </c>
      <c r="K107" s="47"/>
      <c r="L107" s="47"/>
      <c r="M107" s="49" t="s">
        <v>4794</v>
      </c>
    </row>
    <row r="108" spans="1:13">
      <c r="A108" s="48">
        <f t="shared" si="1"/>
        <v>107</v>
      </c>
      <c r="B108" s="47" t="s">
        <v>6</v>
      </c>
      <c r="C108" s="47" t="s">
        <v>246</v>
      </c>
      <c r="D108" s="47" t="s">
        <v>5832</v>
      </c>
      <c r="E108" s="47" t="s">
        <v>5833</v>
      </c>
      <c r="F108" s="47"/>
      <c r="G108" s="47" t="s">
        <v>15</v>
      </c>
      <c r="H108" s="47" t="str">
        <f>IFERROR(VLOOKUP(Table2[[#This Row], [Ticket]],Okey!A:B,2,0),"")</f>
        <v>ok</v>
      </c>
      <c r="I108" s="47" t="s">
        <v>5290</v>
      </c>
      <c r="J108" s="47" t="s">
        <v>20</v>
      </c>
      <c r="K108" s="47"/>
      <c r="L108" s="47"/>
      <c r="M108" s="49" t="s">
        <v>4794</v>
      </c>
    </row>
    <row r="109" spans="1:13">
      <c r="A109" s="48">
        <f t="shared" si="1"/>
        <v>108</v>
      </c>
      <c r="B109" s="47" t="s">
        <v>6</v>
      </c>
      <c r="C109" s="47" t="s">
        <v>246</v>
      </c>
      <c r="D109" s="47" t="s">
        <v>5834</v>
      </c>
      <c r="E109" s="47" t="s">
        <v>5835</v>
      </c>
      <c r="F109" s="47"/>
      <c r="G109" s="47" t="s">
        <v>15</v>
      </c>
      <c r="H109" s="47" t="str">
        <f>IFERROR(VLOOKUP(Table2[[#This Row], [Ticket]],Okey!A:B,2,0),"")</f>
        <v>ok</v>
      </c>
      <c r="I109" s="47" t="s">
        <v>5290</v>
      </c>
      <c r="J109" s="47" t="s">
        <v>20</v>
      </c>
      <c r="K109" s="47"/>
      <c r="L109" s="47"/>
      <c r="M109" s="49" t="s">
        <v>4794</v>
      </c>
    </row>
    <row r="110" spans="1:13">
      <c r="A110" s="48">
        <f t="shared" si="1"/>
        <v>109</v>
      </c>
      <c r="B110" s="47" t="s">
        <v>6</v>
      </c>
      <c r="C110" s="47" t="s">
        <v>246</v>
      </c>
      <c r="D110" s="47" t="s">
        <v>5836</v>
      </c>
      <c r="E110" s="47" t="s">
        <v>5837</v>
      </c>
      <c r="F110" s="47"/>
      <c r="G110" s="47" t="s">
        <v>15</v>
      </c>
      <c r="H110" s="47" t="str">
        <f>IFERROR(VLOOKUP(Table2[[#This Row], [Ticket]],Okey!A:B,2,0),"")</f>
        <v>ok</v>
      </c>
      <c r="I110" s="47" t="s">
        <v>5290</v>
      </c>
      <c r="J110" s="47" t="s">
        <v>20</v>
      </c>
      <c r="K110" s="47"/>
      <c r="L110" s="47"/>
      <c r="M110" s="49" t="s">
        <v>4794</v>
      </c>
    </row>
    <row r="111" spans="1:13">
      <c r="A111" s="48">
        <f t="shared" si="1"/>
        <v>110</v>
      </c>
      <c r="B111" s="47" t="s">
        <v>6</v>
      </c>
      <c r="C111" s="47" t="s">
        <v>246</v>
      </c>
      <c r="D111" s="47" t="s">
        <v>5838</v>
      </c>
      <c r="E111" s="47" t="s">
        <v>5839</v>
      </c>
      <c r="F111" s="47"/>
      <c r="G111" s="47" t="s">
        <v>15</v>
      </c>
      <c r="H111" s="47" t="str">
        <f>IFERROR(VLOOKUP(Table2[[#This Row], [Ticket]],Okey!A:B,2,0),"")</f>
        <v>ok</v>
      </c>
      <c r="I111" s="47" t="s">
        <v>5290</v>
      </c>
      <c r="J111" s="47" t="s">
        <v>20</v>
      </c>
      <c r="K111" s="47"/>
      <c r="L111" s="47"/>
      <c r="M111" s="49" t="s">
        <v>4794</v>
      </c>
    </row>
    <row r="112" spans="1:13">
      <c r="A112" s="48">
        <f t="shared" si="1"/>
        <v>111</v>
      </c>
      <c r="B112" s="47" t="s">
        <v>6</v>
      </c>
      <c r="C112" s="47" t="s">
        <v>246</v>
      </c>
      <c r="D112" s="47" t="s">
        <v>5840</v>
      </c>
      <c r="E112" s="47" t="s">
        <v>5841</v>
      </c>
      <c r="F112" s="47"/>
      <c r="G112" s="47" t="s">
        <v>15</v>
      </c>
      <c r="H112" s="47" t="str">
        <f>IFERROR(VLOOKUP(Table2[[#This Row], [Ticket]],Okey!A:B,2,0),"")</f>
        <v>ok</v>
      </c>
      <c r="I112" s="47" t="s">
        <v>5290</v>
      </c>
      <c r="J112" s="47" t="s">
        <v>20</v>
      </c>
      <c r="K112" s="47"/>
      <c r="L112" s="47"/>
      <c r="M112" s="49" t="s">
        <v>4794</v>
      </c>
    </row>
    <row r="113" spans="1:13">
      <c r="A113" s="48">
        <f t="shared" si="1"/>
        <v>112</v>
      </c>
      <c r="B113" s="47" t="s">
        <v>6</v>
      </c>
      <c r="C113" s="47" t="s">
        <v>246</v>
      </c>
      <c r="D113" s="47" t="s">
        <v>5842</v>
      </c>
      <c r="E113" s="47" t="s">
        <v>5843</v>
      </c>
      <c r="F113" s="47"/>
      <c r="G113" s="47" t="s">
        <v>15</v>
      </c>
      <c r="H113" s="47" t="str">
        <f>IFERROR(VLOOKUP(Table2[[#This Row], [Ticket]],Okey!A:B,2,0),"")</f>
        <v>ok</v>
      </c>
      <c r="I113" s="47" t="s">
        <v>5290</v>
      </c>
      <c r="J113" s="47" t="s">
        <v>20</v>
      </c>
      <c r="K113" s="47"/>
      <c r="L113" s="47"/>
      <c r="M113" s="49" t="s">
        <v>4794</v>
      </c>
    </row>
    <row r="114" spans="1:13">
      <c r="A114" s="48">
        <f t="shared" si="1"/>
        <v>113</v>
      </c>
      <c r="B114" s="47" t="s">
        <v>6</v>
      </c>
      <c r="C114" s="47" t="s">
        <v>246</v>
      </c>
      <c r="D114" s="47" t="s">
        <v>5844</v>
      </c>
      <c r="E114" s="47" t="s">
        <v>5845</v>
      </c>
      <c r="F114" s="47"/>
      <c r="G114" s="47" t="s">
        <v>15</v>
      </c>
      <c r="H114" s="47" t="str">
        <f>IFERROR(VLOOKUP(Table2[[#This Row], [Ticket]],Okey!A:B,2,0),"")</f>
        <v>ok</v>
      </c>
      <c r="I114" s="47" t="s">
        <v>5290</v>
      </c>
      <c r="J114" s="47" t="s">
        <v>20</v>
      </c>
      <c r="K114" s="47"/>
      <c r="L114" s="47"/>
      <c r="M114" s="49" t="s">
        <v>4794</v>
      </c>
    </row>
    <row r="115" spans="1:13">
      <c r="A115" s="48">
        <f t="shared" si="1"/>
        <v>114</v>
      </c>
      <c r="B115" s="47" t="s">
        <v>6</v>
      </c>
      <c r="C115" s="47" t="s">
        <v>246</v>
      </c>
      <c r="D115" s="47" t="s">
        <v>5846</v>
      </c>
      <c r="E115" s="47" t="s">
        <v>5847</v>
      </c>
      <c r="F115" s="47"/>
      <c r="G115" s="47" t="s">
        <v>15</v>
      </c>
      <c r="H115" s="47" t="str">
        <f>IFERROR(VLOOKUP(Table2[[#This Row], [Ticket]],Okey!A:B,2,0),"")</f>
        <v>ok</v>
      </c>
      <c r="I115" s="47" t="s">
        <v>5290</v>
      </c>
      <c r="J115" s="47" t="s">
        <v>20</v>
      </c>
      <c r="K115" s="47"/>
      <c r="L115" s="47"/>
      <c r="M115" s="49" t="s">
        <v>4794</v>
      </c>
    </row>
    <row r="116" spans="1:13">
      <c r="A116" s="48">
        <f t="shared" si="1"/>
        <v>115</v>
      </c>
      <c r="B116" s="47" t="s">
        <v>6</v>
      </c>
      <c r="C116" s="47" t="s">
        <v>246</v>
      </c>
      <c r="D116" s="47" t="s">
        <v>5848</v>
      </c>
      <c r="E116" s="47" t="s">
        <v>5849</v>
      </c>
      <c r="F116" s="47"/>
      <c r="G116" s="47" t="s">
        <v>15</v>
      </c>
      <c r="H116" s="47" t="str">
        <f>IFERROR(VLOOKUP(Table2[[#This Row], [Ticket]],Okey!A:B,2,0),"")</f>
        <v>ok</v>
      </c>
      <c r="I116" s="47" t="s">
        <v>5290</v>
      </c>
      <c r="J116" s="47" t="s">
        <v>20</v>
      </c>
      <c r="K116" s="47"/>
      <c r="L116" s="47"/>
      <c r="M116" s="49" t="s">
        <v>4794</v>
      </c>
    </row>
    <row r="117" spans="1:13">
      <c r="A117" s="48">
        <f t="shared" si="1"/>
        <v>116</v>
      </c>
      <c r="B117" s="47" t="s">
        <v>6</v>
      </c>
      <c r="C117" s="47" t="s">
        <v>246</v>
      </c>
      <c r="D117" s="47" t="s">
        <v>5850</v>
      </c>
      <c r="E117" s="47" t="s">
        <v>5851</v>
      </c>
      <c r="F117" s="47"/>
      <c r="G117" s="47" t="s">
        <v>15</v>
      </c>
      <c r="H117" s="47" t="str">
        <f>IFERROR(VLOOKUP(Table2[[#This Row], [Ticket]],Okey!A:B,2,0),"")</f>
        <v>ok</v>
      </c>
      <c r="I117" s="47" t="s">
        <v>5290</v>
      </c>
      <c r="J117" s="47" t="s">
        <v>20</v>
      </c>
      <c r="K117" s="47"/>
      <c r="L117" s="47"/>
      <c r="M117" s="49" t="s">
        <v>4794</v>
      </c>
    </row>
    <row r="118" spans="1:13">
      <c r="A118" s="48">
        <f t="shared" si="1"/>
        <v>117</v>
      </c>
      <c r="B118" s="47" t="s">
        <v>6</v>
      </c>
      <c r="C118" s="47" t="s">
        <v>246</v>
      </c>
      <c r="D118" s="47" t="s">
        <v>5324</v>
      </c>
      <c r="E118" s="47" t="s">
        <v>5852</v>
      </c>
      <c r="F118" s="47"/>
      <c r="G118" s="47" t="s">
        <v>15</v>
      </c>
      <c r="H118" s="47" t="str">
        <f>IFERROR(VLOOKUP(Table2[[#This Row], [Ticket]],Okey!A:B,2,0),"")</f>
        <v>ok</v>
      </c>
      <c r="I118" s="47" t="s">
        <v>5290</v>
      </c>
      <c r="J118" s="47" t="s">
        <v>20</v>
      </c>
      <c r="K118" s="47"/>
      <c r="L118" s="47"/>
      <c r="M118" s="49" t="s">
        <v>4794</v>
      </c>
    </row>
    <row r="119" spans="1:13">
      <c r="A119" s="48">
        <f t="shared" si="1"/>
        <v>118</v>
      </c>
      <c r="B119" s="47" t="s">
        <v>6</v>
      </c>
      <c r="C119" s="47" t="s">
        <v>246</v>
      </c>
      <c r="D119" s="47" t="s">
        <v>5322</v>
      </c>
      <c r="E119" s="47" t="s">
        <v>5853</v>
      </c>
      <c r="F119" s="47"/>
      <c r="G119" s="47" t="s">
        <v>15</v>
      </c>
      <c r="H119" s="47" t="str">
        <f>IFERROR(VLOOKUP(Table2[[#This Row], [Ticket]],Okey!A:B,2,0),"")</f>
        <v>ok</v>
      </c>
      <c r="I119" s="47" t="s">
        <v>5290</v>
      </c>
      <c r="J119" s="47" t="s">
        <v>20</v>
      </c>
      <c r="K119" s="47"/>
      <c r="L119" s="47"/>
      <c r="M119" s="49" t="s">
        <v>4794</v>
      </c>
    </row>
    <row r="120" spans="1:13">
      <c r="A120" s="48">
        <f t="shared" si="1"/>
        <v>119</v>
      </c>
      <c r="B120" s="47" t="s">
        <v>6</v>
      </c>
      <c r="C120" s="47" t="s">
        <v>246</v>
      </c>
      <c r="D120" s="47" t="s">
        <v>5854</v>
      </c>
      <c r="E120" s="47" t="s">
        <v>5855</v>
      </c>
      <c r="F120" s="47"/>
      <c r="G120" s="47" t="s">
        <v>15</v>
      </c>
      <c r="H120" s="47" t="str">
        <f>IFERROR(VLOOKUP(Table2[[#This Row], [Ticket]],Okey!A:B,2,0),"")</f>
        <v>ok</v>
      </c>
      <c r="I120" s="47" t="s">
        <v>5290</v>
      </c>
      <c r="J120" s="47" t="s">
        <v>20</v>
      </c>
      <c r="K120" s="47"/>
      <c r="L120" s="47"/>
      <c r="M120" s="49" t="s">
        <v>4794</v>
      </c>
    </row>
    <row r="121" spans="1:13">
      <c r="A121" s="48">
        <f t="shared" si="1"/>
        <v>120</v>
      </c>
      <c r="B121" s="47" t="s">
        <v>6</v>
      </c>
      <c r="C121" s="47" t="s">
        <v>246</v>
      </c>
      <c r="D121" s="47" t="s">
        <v>5856</v>
      </c>
      <c r="E121" s="47" t="s">
        <v>5857</v>
      </c>
      <c r="F121" s="47"/>
      <c r="G121" s="47" t="s">
        <v>15</v>
      </c>
      <c r="H121" s="47" t="str">
        <f>IFERROR(VLOOKUP(Table2[[#This Row], [Ticket]],Okey!A:B,2,0),"")</f>
        <v>ok</v>
      </c>
      <c r="I121" s="47" t="s">
        <v>5290</v>
      </c>
      <c r="J121" s="47" t="s">
        <v>20</v>
      </c>
      <c r="K121" s="47"/>
      <c r="L121" s="47"/>
      <c r="M121" s="49" t="s">
        <v>4794</v>
      </c>
    </row>
    <row r="122" spans="1:13">
      <c r="A122" s="48">
        <f t="shared" si="1"/>
        <v>121</v>
      </c>
      <c r="B122" s="47" t="s">
        <v>6</v>
      </c>
      <c r="C122" s="47" t="s">
        <v>246</v>
      </c>
      <c r="D122" s="47" t="s">
        <v>5858</v>
      </c>
      <c r="E122" s="47" t="s">
        <v>5859</v>
      </c>
      <c r="F122" s="47"/>
      <c r="G122" s="47" t="s">
        <v>15</v>
      </c>
      <c r="H122" s="47" t="str">
        <f>IFERROR(VLOOKUP(Table2[[#This Row], [Ticket]],Okey!A:B,2,0),"")</f>
        <v>ok</v>
      </c>
      <c r="I122" s="47" t="s">
        <v>5290</v>
      </c>
      <c r="J122" s="47" t="s">
        <v>20</v>
      </c>
      <c r="K122" s="47"/>
      <c r="L122" s="47"/>
      <c r="M122" s="49" t="s">
        <v>4794</v>
      </c>
    </row>
    <row r="123" spans="1:13">
      <c r="A123" s="48">
        <f t="shared" si="1"/>
        <v>122</v>
      </c>
      <c r="B123" s="47" t="s">
        <v>6</v>
      </c>
      <c r="C123" s="47" t="s">
        <v>246</v>
      </c>
      <c r="D123" s="47" t="s">
        <v>5860</v>
      </c>
      <c r="E123" s="47" t="s">
        <v>5861</v>
      </c>
      <c r="F123" s="47"/>
      <c r="G123" s="47" t="s">
        <v>15</v>
      </c>
      <c r="H123" s="47" t="str">
        <f>IFERROR(VLOOKUP(Table2[[#This Row], [Ticket]],Okey!A:B,2,0),"")</f>
        <v>ok</v>
      </c>
      <c r="I123" s="47" t="s">
        <v>5290</v>
      </c>
      <c r="J123" s="47" t="s">
        <v>20</v>
      </c>
      <c r="K123" s="47"/>
      <c r="L123" s="47"/>
      <c r="M123" s="49" t="s">
        <v>4794</v>
      </c>
    </row>
    <row r="124" spans="1:13">
      <c r="A124" s="48">
        <f t="shared" si="1"/>
        <v>123</v>
      </c>
      <c r="B124" s="47" t="s">
        <v>6</v>
      </c>
      <c r="C124" s="47" t="s">
        <v>246</v>
      </c>
      <c r="D124" s="47" t="s">
        <v>4242</v>
      </c>
      <c r="E124" s="47" t="s">
        <v>5862</v>
      </c>
      <c r="F124" s="47"/>
      <c r="G124" s="47" t="s">
        <v>15</v>
      </c>
      <c r="H124" s="47" t="str">
        <f>IFERROR(VLOOKUP(Table2[[#This Row], [Ticket]],Okey!A:B,2,0),"")</f>
        <v>ok</v>
      </c>
      <c r="I124" s="47" t="s">
        <v>5290</v>
      </c>
      <c r="J124" s="47" t="s">
        <v>20</v>
      </c>
      <c r="K124" s="47"/>
      <c r="L124" s="47"/>
      <c r="M124" s="49" t="s">
        <v>4794</v>
      </c>
    </row>
    <row r="125" spans="1:13">
      <c r="A125" s="48">
        <f t="shared" si="1"/>
        <v>124</v>
      </c>
      <c r="B125" s="47" t="s">
        <v>6</v>
      </c>
      <c r="C125" s="47" t="s">
        <v>246</v>
      </c>
      <c r="D125" s="47" t="s">
        <v>5863</v>
      </c>
      <c r="E125" s="47" t="s">
        <v>5864</v>
      </c>
      <c r="F125" s="47"/>
      <c r="G125" s="47" t="s">
        <v>15</v>
      </c>
      <c r="H125" s="47" t="str">
        <f>IFERROR(VLOOKUP(Table2[[#This Row], [Ticket]],Okey!A:B,2,0),"")</f>
        <v>ok</v>
      </c>
      <c r="I125" s="47" t="s">
        <v>5290</v>
      </c>
      <c r="J125" s="47" t="s">
        <v>20</v>
      </c>
      <c r="K125" s="47"/>
      <c r="L125" s="47"/>
      <c r="M125" s="49" t="s">
        <v>4794</v>
      </c>
    </row>
    <row r="126" spans="1:13">
      <c r="A126" s="48">
        <f t="shared" si="1"/>
        <v>125</v>
      </c>
      <c r="B126" s="47" t="s">
        <v>6</v>
      </c>
      <c r="C126" s="47" t="s">
        <v>246</v>
      </c>
      <c r="D126" s="47" t="s">
        <v>5865</v>
      </c>
      <c r="E126" s="47" t="s">
        <v>5866</v>
      </c>
      <c r="F126" s="47"/>
      <c r="G126" s="47" t="s">
        <v>15</v>
      </c>
      <c r="H126" s="47" t="str">
        <f>IFERROR(VLOOKUP(Table2[[#This Row], [Ticket]],Okey!A:B,2,0),"")</f>
        <v>ok</v>
      </c>
      <c r="I126" s="47" t="s">
        <v>5290</v>
      </c>
      <c r="J126" s="47" t="s">
        <v>20</v>
      </c>
      <c r="K126" s="47"/>
      <c r="L126" s="47"/>
      <c r="M126" s="49" t="s">
        <v>4794</v>
      </c>
    </row>
    <row r="127" spans="1:13">
      <c r="A127" s="48">
        <f t="shared" si="1"/>
        <v>126</v>
      </c>
      <c r="B127" s="47" t="s">
        <v>6</v>
      </c>
      <c r="C127" s="47" t="s">
        <v>246</v>
      </c>
      <c r="D127" s="47" t="s">
        <v>5867</v>
      </c>
      <c r="E127" s="47" t="s">
        <v>5868</v>
      </c>
      <c r="F127" s="47"/>
      <c r="G127" s="47" t="s">
        <v>15</v>
      </c>
      <c r="H127" s="47" t="str">
        <f>IFERROR(VLOOKUP(Table2[[#This Row], [Ticket]],Okey!A:B,2,0),"")</f>
        <v>ok</v>
      </c>
      <c r="I127" s="47" t="s">
        <v>5290</v>
      </c>
      <c r="J127" s="47" t="s">
        <v>20</v>
      </c>
      <c r="K127" s="47"/>
      <c r="L127" s="47"/>
      <c r="M127" s="49" t="s">
        <v>4794</v>
      </c>
    </row>
    <row r="128" spans="1:13">
      <c r="A128" s="48">
        <f t="shared" si="1"/>
        <v>127</v>
      </c>
      <c r="B128" s="47" t="s">
        <v>6</v>
      </c>
      <c r="C128" s="47" t="s">
        <v>246</v>
      </c>
      <c r="D128" s="47" t="s">
        <v>5869</v>
      </c>
      <c r="E128" s="47" t="s">
        <v>5870</v>
      </c>
      <c r="F128" s="47"/>
      <c r="G128" s="47" t="s">
        <v>15</v>
      </c>
      <c r="H128" s="47" t="str">
        <f>IFERROR(VLOOKUP(Table2[[#This Row], [Ticket]],Okey!A:B,2,0),"")</f>
        <v>ok</v>
      </c>
      <c r="I128" s="47" t="s">
        <v>5290</v>
      </c>
      <c r="J128" s="47" t="s">
        <v>20</v>
      </c>
      <c r="K128" s="47"/>
      <c r="L128" s="47"/>
      <c r="M128" s="49" t="s">
        <v>4794</v>
      </c>
    </row>
    <row r="129" spans="1:13">
      <c r="A129" s="48">
        <f t="shared" si="1"/>
        <v>128</v>
      </c>
      <c r="B129" s="47" t="s">
        <v>6</v>
      </c>
      <c r="C129" s="47" t="s">
        <v>246</v>
      </c>
      <c r="D129" s="47" t="s">
        <v>5350</v>
      </c>
      <c r="E129" s="47" t="s">
        <v>5871</v>
      </c>
      <c r="F129" s="47"/>
      <c r="G129" s="47" t="s">
        <v>15</v>
      </c>
      <c r="H129" s="47" t="str">
        <f>IFERROR(VLOOKUP(Table2[[#This Row], [Ticket]],Okey!A:B,2,0),"")</f>
        <v>ok</v>
      </c>
      <c r="I129" s="47" t="s">
        <v>5290</v>
      </c>
      <c r="J129" s="47" t="s">
        <v>20</v>
      </c>
      <c r="K129" s="47"/>
      <c r="L129" s="47"/>
      <c r="M129" s="49" t="s">
        <v>4794</v>
      </c>
    </row>
    <row r="130" spans="1:13">
      <c r="A130" s="48">
        <f t="shared" si="1"/>
        <v>129</v>
      </c>
      <c r="B130" s="47" t="s">
        <v>6</v>
      </c>
      <c r="C130" s="47" t="s">
        <v>246</v>
      </c>
      <c r="D130" s="47" t="s">
        <v>5348</v>
      </c>
      <c r="E130" s="47" t="s">
        <v>5872</v>
      </c>
      <c r="F130" s="47"/>
      <c r="G130" s="47" t="s">
        <v>15</v>
      </c>
      <c r="H130" s="47" t="str">
        <f>IFERROR(VLOOKUP(Table2[[#This Row], [Ticket]],Okey!A:B,2,0),"")</f>
        <v>ok</v>
      </c>
      <c r="I130" s="47" t="s">
        <v>5290</v>
      </c>
      <c r="J130" s="47" t="s">
        <v>20</v>
      </c>
      <c r="K130" s="47"/>
      <c r="L130" s="47"/>
      <c r="M130" s="49" t="s">
        <v>4794</v>
      </c>
    </row>
    <row r="131" spans="1:13">
      <c r="A131" s="48">
        <f t="shared" ref="A131:A194" si="2">1+A130</f>
        <v>130</v>
      </c>
      <c r="B131" s="47" t="s">
        <v>6</v>
      </c>
      <c r="C131" s="47" t="s">
        <v>246</v>
      </c>
      <c r="D131" s="47" t="s">
        <v>5873</v>
      </c>
      <c r="E131" s="47" t="s">
        <v>5874</v>
      </c>
      <c r="F131" s="47"/>
      <c r="G131" s="47" t="s">
        <v>15</v>
      </c>
      <c r="H131" s="47" t="str">
        <f>IFERROR(VLOOKUP(Table2[[#This Row], [Ticket]],Okey!A:B,2,0),"")</f>
        <v>ok</v>
      </c>
      <c r="I131" s="47" t="s">
        <v>5290</v>
      </c>
      <c r="J131" s="47" t="s">
        <v>20</v>
      </c>
      <c r="K131" s="47"/>
      <c r="L131" s="47"/>
      <c r="M131" s="49" t="s">
        <v>4794</v>
      </c>
    </row>
    <row r="132" spans="1:13">
      <c r="A132" s="48">
        <f t="shared" si="2"/>
        <v>131</v>
      </c>
      <c r="B132" s="47" t="s">
        <v>6</v>
      </c>
      <c r="C132" s="47" t="s">
        <v>246</v>
      </c>
      <c r="D132" s="47" t="s">
        <v>5875</v>
      </c>
      <c r="E132" s="47" t="s">
        <v>5876</v>
      </c>
      <c r="F132" s="47"/>
      <c r="G132" s="47" t="s">
        <v>15</v>
      </c>
      <c r="H132" s="47" t="str">
        <f>IFERROR(VLOOKUP(Table2[[#This Row], [Ticket]],Okey!A:B,2,0),"")</f>
        <v>ok</v>
      </c>
      <c r="I132" s="47" t="s">
        <v>5290</v>
      </c>
      <c r="J132" s="47" t="s">
        <v>20</v>
      </c>
      <c r="K132" s="47"/>
      <c r="L132" s="47"/>
      <c r="M132" s="49" t="s">
        <v>4794</v>
      </c>
    </row>
    <row r="133" spans="1:13">
      <c r="A133" s="48">
        <f t="shared" si="2"/>
        <v>132</v>
      </c>
      <c r="B133" s="47" t="s">
        <v>6</v>
      </c>
      <c r="C133" s="47" t="s">
        <v>246</v>
      </c>
      <c r="D133" s="47" t="s">
        <v>5877</v>
      </c>
      <c r="E133" s="47" t="s">
        <v>5878</v>
      </c>
      <c r="F133" s="47"/>
      <c r="G133" s="47" t="s">
        <v>15</v>
      </c>
      <c r="H133" s="47" t="str">
        <f>IFERROR(VLOOKUP(Table2[[#This Row], [Ticket]],Okey!A:B,2,0),"")</f>
        <v>ok</v>
      </c>
      <c r="I133" s="47" t="s">
        <v>5290</v>
      </c>
      <c r="J133" s="47" t="s">
        <v>20</v>
      </c>
      <c r="K133" s="47"/>
      <c r="L133" s="47"/>
      <c r="M133" s="49" t="s">
        <v>4794</v>
      </c>
    </row>
    <row r="134" spans="1:13">
      <c r="A134" s="48">
        <f t="shared" si="2"/>
        <v>133</v>
      </c>
      <c r="B134" s="47" t="s">
        <v>6</v>
      </c>
      <c r="C134" s="47" t="s">
        <v>246</v>
      </c>
      <c r="D134" s="47" t="s">
        <v>5395</v>
      </c>
      <c r="E134" s="47" t="s">
        <v>5879</v>
      </c>
      <c r="F134" s="47"/>
      <c r="G134" s="47" t="s">
        <v>15</v>
      </c>
      <c r="H134" s="47" t="str">
        <f>IFERROR(VLOOKUP(Table2[[#This Row], [Ticket]],Okey!A:B,2,0),"")</f>
        <v>ok</v>
      </c>
      <c r="I134" s="47" t="s">
        <v>5290</v>
      </c>
      <c r="J134" s="47" t="s">
        <v>20</v>
      </c>
      <c r="K134" s="47"/>
      <c r="L134" s="47"/>
      <c r="M134" s="49" t="s">
        <v>4794</v>
      </c>
    </row>
    <row r="135" spans="1:13">
      <c r="A135" s="48">
        <f t="shared" si="2"/>
        <v>134</v>
      </c>
      <c r="B135" s="47" t="s">
        <v>6</v>
      </c>
      <c r="C135" s="47" t="s">
        <v>246</v>
      </c>
      <c r="D135" s="47" t="s">
        <v>5399</v>
      </c>
      <c r="E135" s="47" t="s">
        <v>5880</v>
      </c>
      <c r="F135" s="47"/>
      <c r="G135" s="47" t="s">
        <v>15</v>
      </c>
      <c r="H135" s="47" t="str">
        <f>IFERROR(VLOOKUP(Table2[[#This Row], [Ticket]],Okey!A:B,2,0),"")</f>
        <v>ok</v>
      </c>
      <c r="I135" s="47" t="s">
        <v>5290</v>
      </c>
      <c r="J135" s="47" t="s">
        <v>20</v>
      </c>
      <c r="K135" s="47"/>
      <c r="L135" s="47"/>
      <c r="M135" s="49" t="s">
        <v>4794</v>
      </c>
    </row>
    <row r="136" spans="1:13">
      <c r="A136" s="48">
        <f t="shared" si="2"/>
        <v>135</v>
      </c>
      <c r="B136" s="47" t="s">
        <v>6</v>
      </c>
      <c r="C136" s="47" t="s">
        <v>246</v>
      </c>
      <c r="D136" s="47" t="s">
        <v>5410</v>
      </c>
      <c r="E136" s="47" t="s">
        <v>5881</v>
      </c>
      <c r="F136" s="47"/>
      <c r="G136" s="47" t="s">
        <v>15</v>
      </c>
      <c r="H136" s="47" t="str">
        <f>IFERROR(VLOOKUP(Table2[[#This Row], [Ticket]],Okey!A:B,2,0),"")</f>
        <v>ok</v>
      </c>
      <c r="I136" s="47" t="s">
        <v>5290</v>
      </c>
      <c r="J136" s="47" t="s">
        <v>20</v>
      </c>
      <c r="K136" s="47"/>
      <c r="L136" s="47"/>
      <c r="M136" s="49" t="s">
        <v>4794</v>
      </c>
    </row>
    <row r="137" spans="1:13">
      <c r="A137" s="48">
        <f t="shared" si="2"/>
        <v>136</v>
      </c>
      <c r="B137" s="47" t="s">
        <v>6</v>
      </c>
      <c r="C137" s="47" t="s">
        <v>246</v>
      </c>
      <c r="D137" s="47" t="s">
        <v>5412</v>
      </c>
      <c r="E137" s="47" t="s">
        <v>5882</v>
      </c>
      <c r="F137" s="47"/>
      <c r="G137" s="47" t="s">
        <v>15</v>
      </c>
      <c r="H137" s="47" t="str">
        <f>IFERROR(VLOOKUP(Table2[[#This Row], [Ticket]],Okey!A:B,2,0),"")</f>
        <v>ok</v>
      </c>
      <c r="I137" s="47" t="s">
        <v>5290</v>
      </c>
      <c r="J137" s="47" t="s">
        <v>20</v>
      </c>
      <c r="K137" s="47"/>
      <c r="L137" s="47"/>
      <c r="M137" s="49" t="s">
        <v>4794</v>
      </c>
    </row>
    <row r="138" spans="1:13">
      <c r="A138" s="48">
        <f t="shared" si="2"/>
        <v>137</v>
      </c>
      <c r="B138" s="47" t="s">
        <v>6</v>
      </c>
      <c r="C138" s="47" t="s">
        <v>246</v>
      </c>
      <c r="D138" s="47" t="s">
        <v>5393</v>
      </c>
      <c r="E138" s="47" t="s">
        <v>5883</v>
      </c>
      <c r="F138" s="47"/>
      <c r="G138" s="47" t="s">
        <v>15</v>
      </c>
      <c r="H138" s="47" t="str">
        <f>IFERROR(VLOOKUP(Table2[[#This Row], [Ticket]],Okey!A:B,2,0),"")</f>
        <v>ok</v>
      </c>
      <c r="I138" s="47" t="s">
        <v>5290</v>
      </c>
      <c r="J138" s="47" t="s">
        <v>20</v>
      </c>
      <c r="K138" s="47"/>
      <c r="L138" s="47"/>
      <c r="M138" s="49" t="s">
        <v>4794</v>
      </c>
    </row>
    <row r="139" spans="1:13">
      <c r="A139" s="48">
        <f t="shared" si="2"/>
        <v>138</v>
      </c>
      <c r="B139" s="47" t="s">
        <v>6</v>
      </c>
      <c r="C139" s="47" t="s">
        <v>246</v>
      </c>
      <c r="D139" s="47" t="s">
        <v>5884</v>
      </c>
      <c r="E139" s="47" t="s">
        <v>5885</v>
      </c>
      <c r="F139" s="47"/>
      <c r="G139" s="47" t="s">
        <v>15</v>
      </c>
      <c r="H139" s="47" t="str">
        <f>IFERROR(VLOOKUP(Table2[[#This Row], [Ticket]],Okey!A:B,2,0),"")</f>
        <v>ok</v>
      </c>
      <c r="I139" s="47" t="s">
        <v>5290</v>
      </c>
      <c r="J139" s="47" t="s">
        <v>20</v>
      </c>
      <c r="K139" s="47"/>
      <c r="L139" s="47"/>
      <c r="M139" s="49" t="s">
        <v>4794</v>
      </c>
    </row>
    <row r="140" spans="1:13">
      <c r="A140" s="48">
        <f t="shared" si="2"/>
        <v>139</v>
      </c>
      <c r="B140" s="47" t="s">
        <v>6</v>
      </c>
      <c r="C140" s="47" t="s">
        <v>246</v>
      </c>
      <c r="D140" s="47" t="s">
        <v>5886</v>
      </c>
      <c r="E140" s="47" t="s">
        <v>5887</v>
      </c>
      <c r="F140" s="47"/>
      <c r="G140" s="47" t="s">
        <v>15</v>
      </c>
      <c r="H140" s="47" t="str">
        <f>IFERROR(VLOOKUP(Table2[[#This Row], [Ticket]],Okey!A:B,2,0),"")</f>
        <v>ok</v>
      </c>
      <c r="I140" s="47" t="s">
        <v>5290</v>
      </c>
      <c r="J140" s="47" t="s">
        <v>20</v>
      </c>
      <c r="K140" s="47"/>
      <c r="L140" s="47"/>
      <c r="M140" s="49" t="s">
        <v>4794</v>
      </c>
    </row>
    <row r="141" spans="1:13">
      <c r="A141" s="48">
        <f t="shared" si="2"/>
        <v>140</v>
      </c>
      <c r="B141" s="47" t="s">
        <v>6</v>
      </c>
      <c r="C141" s="47" t="s">
        <v>246</v>
      </c>
      <c r="D141" s="47" t="s">
        <v>5888</v>
      </c>
      <c r="E141" s="47" t="s">
        <v>5889</v>
      </c>
      <c r="F141" s="47"/>
      <c r="G141" s="47" t="s">
        <v>15</v>
      </c>
      <c r="H141" s="47" t="str">
        <f>IFERROR(VLOOKUP(Table2[[#This Row], [Ticket]],Okey!A:B,2,0),"")</f>
        <v>ok</v>
      </c>
      <c r="I141" s="47" t="s">
        <v>5290</v>
      </c>
      <c r="J141" s="47" t="s">
        <v>20</v>
      </c>
      <c r="K141" s="47"/>
      <c r="L141" s="47"/>
      <c r="M141" s="49" t="s">
        <v>4794</v>
      </c>
    </row>
    <row r="142" spans="1:13">
      <c r="A142" s="48">
        <f t="shared" si="2"/>
        <v>141</v>
      </c>
      <c r="B142" s="47" t="s">
        <v>6</v>
      </c>
      <c r="C142" s="47" t="s">
        <v>246</v>
      </c>
      <c r="D142" s="47" t="s">
        <v>5890</v>
      </c>
      <c r="E142" s="47" t="s">
        <v>5891</v>
      </c>
      <c r="F142" s="47"/>
      <c r="G142" s="47" t="s">
        <v>15</v>
      </c>
      <c r="H142" s="47" t="str">
        <f>IFERROR(VLOOKUP(Table2[[#This Row], [Ticket]],Okey!A:B,2,0),"")</f>
        <v>ok</v>
      </c>
      <c r="I142" s="47" t="s">
        <v>5290</v>
      </c>
      <c r="J142" s="47" t="s">
        <v>20</v>
      </c>
      <c r="K142" s="47"/>
      <c r="L142" s="47"/>
      <c r="M142" s="49" t="s">
        <v>4794</v>
      </c>
    </row>
    <row r="143" spans="1:13">
      <c r="A143" s="48">
        <f t="shared" si="2"/>
        <v>142</v>
      </c>
      <c r="B143" s="47" t="s">
        <v>6</v>
      </c>
      <c r="C143" s="47" t="s">
        <v>246</v>
      </c>
      <c r="D143" s="47" t="s">
        <v>5892</v>
      </c>
      <c r="E143" s="47" t="s">
        <v>5893</v>
      </c>
      <c r="F143" s="47"/>
      <c r="G143" s="47" t="s">
        <v>15</v>
      </c>
      <c r="H143" s="47" t="str">
        <f>IFERROR(VLOOKUP(Table2[[#This Row], [Ticket]],Okey!A:B,2,0),"")</f>
        <v>ok</v>
      </c>
      <c r="I143" s="47" t="s">
        <v>5290</v>
      </c>
      <c r="J143" s="47" t="s">
        <v>20</v>
      </c>
      <c r="K143" s="47"/>
      <c r="L143" s="47"/>
      <c r="M143" s="49" t="s">
        <v>4794</v>
      </c>
    </row>
    <row r="144" spans="1:13">
      <c r="A144" s="48">
        <f t="shared" si="2"/>
        <v>143</v>
      </c>
      <c r="B144" s="47" t="s">
        <v>6</v>
      </c>
      <c r="C144" s="47" t="s">
        <v>246</v>
      </c>
      <c r="D144" s="47" t="s">
        <v>5894</v>
      </c>
      <c r="E144" s="47" t="s">
        <v>5895</v>
      </c>
      <c r="F144" s="47"/>
      <c r="G144" s="47" t="s">
        <v>15</v>
      </c>
      <c r="H144" s="47" t="str">
        <f>IFERROR(VLOOKUP(Table2[[#This Row], [Ticket]],Okey!A:B,2,0),"")</f>
        <v>ok</v>
      </c>
      <c r="I144" s="47" t="s">
        <v>5290</v>
      </c>
      <c r="J144" s="47" t="s">
        <v>20</v>
      </c>
      <c r="K144" s="47"/>
      <c r="L144" s="47"/>
      <c r="M144" s="49" t="s">
        <v>4794</v>
      </c>
    </row>
    <row r="145" spans="1:13">
      <c r="A145" s="48">
        <f t="shared" si="2"/>
        <v>144</v>
      </c>
      <c r="B145" s="47" t="s">
        <v>6</v>
      </c>
      <c r="C145" s="47" t="s">
        <v>246</v>
      </c>
      <c r="D145" s="47" t="s">
        <v>5896</v>
      </c>
      <c r="E145" s="47" t="s">
        <v>5897</v>
      </c>
      <c r="F145" s="47"/>
      <c r="G145" s="47" t="s">
        <v>15</v>
      </c>
      <c r="H145" s="47" t="str">
        <f>IFERROR(VLOOKUP(Table2[[#This Row], [Ticket]],Okey!A:B,2,0),"")</f>
        <v>ok</v>
      </c>
      <c r="I145" s="47" t="s">
        <v>5290</v>
      </c>
      <c r="J145" s="47" t="s">
        <v>20</v>
      </c>
      <c r="K145" s="47"/>
      <c r="L145" s="47"/>
      <c r="M145" s="49" t="s">
        <v>4794</v>
      </c>
    </row>
    <row r="146" spans="1:13">
      <c r="A146" s="48">
        <f t="shared" si="2"/>
        <v>145</v>
      </c>
      <c r="B146" s="47" t="s">
        <v>6</v>
      </c>
      <c r="C146" s="47" t="s">
        <v>246</v>
      </c>
      <c r="D146" s="47" t="s">
        <v>5898</v>
      </c>
      <c r="E146" s="47" t="s">
        <v>5899</v>
      </c>
      <c r="F146" s="47"/>
      <c r="G146" s="47" t="s">
        <v>15</v>
      </c>
      <c r="H146" s="47" t="str">
        <f>IFERROR(VLOOKUP(Table2[[#This Row], [Ticket]],Okey!A:B,2,0),"")</f>
        <v>ok</v>
      </c>
      <c r="I146" s="47" t="s">
        <v>5290</v>
      </c>
      <c r="J146" s="47" t="s">
        <v>20</v>
      </c>
      <c r="K146" s="47"/>
      <c r="L146" s="47"/>
      <c r="M146" s="49" t="s">
        <v>4794</v>
      </c>
    </row>
    <row r="147" spans="1:13">
      <c r="A147" s="48">
        <f t="shared" si="2"/>
        <v>146</v>
      </c>
      <c r="B147" s="47" t="s">
        <v>6</v>
      </c>
      <c r="C147" s="47" t="s">
        <v>246</v>
      </c>
      <c r="D147" s="47" t="s">
        <v>2722</v>
      </c>
      <c r="E147" s="47" t="s">
        <v>5900</v>
      </c>
      <c r="F147" s="47"/>
      <c r="G147" s="47" t="s">
        <v>15</v>
      </c>
      <c r="H147" s="47" t="str">
        <f>IFERROR(VLOOKUP(Table2[[#This Row], [Ticket]],Okey!A:B,2,0),"")</f>
        <v>ok</v>
      </c>
      <c r="I147" s="47" t="s">
        <v>5290</v>
      </c>
      <c r="J147" s="47" t="s">
        <v>20</v>
      </c>
      <c r="K147" s="47"/>
      <c r="L147" s="47"/>
      <c r="M147" s="49" t="s">
        <v>4794</v>
      </c>
    </row>
    <row r="148" spans="1:13">
      <c r="A148" s="48">
        <f t="shared" si="2"/>
        <v>147</v>
      </c>
      <c r="B148" s="47" t="s">
        <v>6</v>
      </c>
      <c r="C148" s="47" t="s">
        <v>246</v>
      </c>
      <c r="D148" s="47" t="s">
        <v>2724</v>
      </c>
      <c r="E148" s="47" t="s">
        <v>5901</v>
      </c>
      <c r="F148" s="47"/>
      <c r="G148" s="47" t="s">
        <v>15</v>
      </c>
      <c r="H148" s="47" t="str">
        <f>IFERROR(VLOOKUP(Table2[[#This Row], [Ticket]],Okey!A:B,2,0),"")</f>
        <v>ok</v>
      </c>
      <c r="I148" s="47" t="s">
        <v>5290</v>
      </c>
      <c r="J148" s="47" t="s">
        <v>20</v>
      </c>
      <c r="K148" s="47"/>
      <c r="L148" s="47"/>
      <c r="M148" s="49" t="s">
        <v>4794</v>
      </c>
    </row>
    <row r="149" spans="1:13">
      <c r="A149" s="48">
        <f t="shared" si="2"/>
        <v>148</v>
      </c>
      <c r="B149" s="47" t="s">
        <v>6</v>
      </c>
      <c r="C149" s="47" t="s">
        <v>246</v>
      </c>
      <c r="D149" s="47" t="s">
        <v>5902</v>
      </c>
      <c r="E149" s="47" t="s">
        <v>5903</v>
      </c>
      <c r="F149" s="47"/>
      <c r="G149" s="47" t="s">
        <v>15</v>
      </c>
      <c r="H149" s="47" t="str">
        <f>IFERROR(VLOOKUP(Table2[[#This Row], [Ticket]],Okey!A:B,2,0),"")</f>
        <v>ok</v>
      </c>
      <c r="I149" s="47" t="s">
        <v>5290</v>
      </c>
      <c r="J149" s="47" t="s">
        <v>20</v>
      </c>
      <c r="K149" s="47"/>
      <c r="L149" s="47"/>
      <c r="M149" s="49" t="s">
        <v>4794</v>
      </c>
    </row>
    <row r="150" spans="1:13">
      <c r="A150" s="48">
        <f t="shared" si="2"/>
        <v>149</v>
      </c>
      <c r="B150" s="47" t="s">
        <v>6</v>
      </c>
      <c r="C150" s="47" t="s">
        <v>246</v>
      </c>
      <c r="D150" s="47" t="s">
        <v>5904</v>
      </c>
      <c r="E150" s="47" t="s">
        <v>5905</v>
      </c>
      <c r="F150" s="47"/>
      <c r="G150" s="47" t="s">
        <v>15</v>
      </c>
      <c r="H150" s="47" t="str">
        <f>IFERROR(VLOOKUP(Table2[[#This Row], [Ticket]],Okey!A:B,2,0),"")</f>
        <v>ok</v>
      </c>
      <c r="I150" s="47" t="s">
        <v>5290</v>
      </c>
      <c r="J150" s="47" t="s">
        <v>20</v>
      </c>
      <c r="K150" s="47"/>
      <c r="L150" s="47"/>
      <c r="M150" s="49" t="s">
        <v>4794</v>
      </c>
    </row>
    <row r="151" spans="1:13">
      <c r="A151" s="48">
        <f t="shared" si="2"/>
        <v>150</v>
      </c>
      <c r="B151" s="47" t="s">
        <v>6</v>
      </c>
      <c r="C151" s="47" t="s">
        <v>246</v>
      </c>
      <c r="D151" s="47" t="s">
        <v>2726</v>
      </c>
      <c r="E151" s="47" t="s">
        <v>4712</v>
      </c>
      <c r="F151" s="47"/>
      <c r="G151" s="47" t="s">
        <v>15</v>
      </c>
      <c r="H151" s="47" t="str">
        <f>IFERROR(VLOOKUP(Table2[[#This Row], [Ticket]],Okey!A:B,2,0),"")</f>
        <v>ok</v>
      </c>
      <c r="I151" s="47" t="s">
        <v>5290</v>
      </c>
      <c r="J151" s="47" t="s">
        <v>20</v>
      </c>
      <c r="K151" s="47"/>
      <c r="L151" s="47"/>
      <c r="M151" s="49" t="s">
        <v>4794</v>
      </c>
    </row>
    <row r="152" spans="1:13">
      <c r="A152" s="48">
        <f t="shared" si="2"/>
        <v>151</v>
      </c>
      <c r="B152" s="47" t="s">
        <v>6</v>
      </c>
      <c r="C152" s="47" t="s">
        <v>246</v>
      </c>
      <c r="D152" s="47" t="s">
        <v>2730</v>
      </c>
      <c r="E152" s="47" t="s">
        <v>5906</v>
      </c>
      <c r="F152" s="47"/>
      <c r="G152" s="47" t="s">
        <v>15</v>
      </c>
      <c r="H152" s="47" t="str">
        <f>IFERROR(VLOOKUP(Table2[[#This Row], [Ticket]],Okey!A:B,2,0),"")</f>
        <v>ok</v>
      </c>
      <c r="I152" s="47" t="s">
        <v>5290</v>
      </c>
      <c r="J152" s="47" t="s">
        <v>20</v>
      </c>
      <c r="K152" s="47"/>
      <c r="L152" s="47"/>
      <c r="M152" s="49" t="s">
        <v>4794</v>
      </c>
    </row>
    <row r="153" spans="1:13">
      <c r="A153" s="48">
        <f t="shared" si="2"/>
        <v>152</v>
      </c>
      <c r="B153" s="47" t="s">
        <v>6</v>
      </c>
      <c r="C153" s="47" t="s">
        <v>246</v>
      </c>
      <c r="D153" s="47" t="s">
        <v>2623</v>
      </c>
      <c r="E153" s="47" t="s">
        <v>5907</v>
      </c>
      <c r="F153" s="47"/>
      <c r="G153" s="47" t="s">
        <v>15</v>
      </c>
      <c r="H153" s="47" t="str">
        <f>IFERROR(VLOOKUP(Table2[[#This Row], [Ticket]],Okey!A:B,2,0),"")</f>
        <v>ok</v>
      </c>
      <c r="I153" s="47" t="s">
        <v>5290</v>
      </c>
      <c r="J153" s="47" t="s">
        <v>20</v>
      </c>
      <c r="K153" s="47"/>
      <c r="L153" s="47"/>
      <c r="M153" s="49" t="s">
        <v>4794</v>
      </c>
    </row>
    <row r="154" spans="1:13">
      <c r="A154" s="48">
        <f t="shared" si="2"/>
        <v>153</v>
      </c>
      <c r="B154" s="47" t="s">
        <v>6</v>
      </c>
      <c r="C154" s="47" t="s">
        <v>246</v>
      </c>
      <c r="D154" s="47" t="s">
        <v>2636</v>
      </c>
      <c r="E154" s="47" t="s">
        <v>5908</v>
      </c>
      <c r="F154" s="47"/>
      <c r="G154" s="47" t="s">
        <v>15</v>
      </c>
      <c r="H154" s="47" t="str">
        <f>IFERROR(VLOOKUP(Table2[[#This Row], [Ticket]],Okey!A:B,2,0),"")</f>
        <v>ok</v>
      </c>
      <c r="I154" s="47" t="s">
        <v>5290</v>
      </c>
      <c r="J154" s="47" t="s">
        <v>20</v>
      </c>
      <c r="K154" s="47"/>
      <c r="L154" s="47"/>
      <c r="M154" s="49" t="s">
        <v>4794</v>
      </c>
    </row>
    <row r="155" spans="1:13">
      <c r="A155" s="48">
        <f t="shared" si="2"/>
        <v>154</v>
      </c>
      <c r="B155" s="47" t="s">
        <v>6</v>
      </c>
      <c r="C155" s="47" t="s">
        <v>246</v>
      </c>
      <c r="D155" s="47" t="s">
        <v>4703</v>
      </c>
      <c r="E155" s="47" t="s">
        <v>5909</v>
      </c>
      <c r="F155" s="47"/>
      <c r="G155" s="47" t="s">
        <v>15</v>
      </c>
      <c r="H155" s="47" t="str">
        <f>IFERROR(VLOOKUP(Table2[[#This Row], [Ticket]],Okey!A:B,2,0),"")</f>
        <v>ok</v>
      </c>
      <c r="I155" s="47" t="s">
        <v>5290</v>
      </c>
      <c r="J155" s="47" t="s">
        <v>20</v>
      </c>
      <c r="K155" s="47"/>
      <c r="L155" s="47"/>
      <c r="M155" s="49" t="s">
        <v>4794</v>
      </c>
    </row>
    <row r="156" spans="1:13">
      <c r="A156" s="48">
        <f t="shared" si="2"/>
        <v>155</v>
      </c>
      <c r="B156" s="47" t="s">
        <v>6</v>
      </c>
      <c r="C156" s="47" t="s">
        <v>246</v>
      </c>
      <c r="D156" s="47" t="s">
        <v>4721</v>
      </c>
      <c r="E156" s="47" t="s">
        <v>5910</v>
      </c>
      <c r="F156" s="47"/>
      <c r="G156" s="47" t="s">
        <v>15</v>
      </c>
      <c r="H156" s="47" t="str">
        <f>IFERROR(VLOOKUP(Table2[[#This Row], [Ticket]],Okey!A:B,2,0),"")</f>
        <v>ok</v>
      </c>
      <c r="I156" s="47" t="s">
        <v>5290</v>
      </c>
      <c r="J156" s="47" t="s">
        <v>20</v>
      </c>
      <c r="K156" s="47"/>
      <c r="L156" s="47"/>
      <c r="M156" s="49" t="s">
        <v>4794</v>
      </c>
    </row>
    <row r="157" spans="1:13">
      <c r="A157" s="48">
        <f t="shared" si="2"/>
        <v>156</v>
      </c>
      <c r="B157" s="47" t="s">
        <v>6</v>
      </c>
      <c r="C157" s="47" t="s">
        <v>246</v>
      </c>
      <c r="D157" s="47" t="s">
        <v>1633</v>
      </c>
      <c r="E157" s="47" t="s">
        <v>5911</v>
      </c>
      <c r="F157" s="47"/>
      <c r="G157" s="47" t="s">
        <v>15</v>
      </c>
      <c r="H157" s="47" t="str">
        <f>IFERROR(VLOOKUP(Table2[[#This Row], [Ticket]],Okey!A:B,2,0),"")</f>
        <v>ok</v>
      </c>
      <c r="I157" s="47" t="s">
        <v>5290</v>
      </c>
      <c r="J157" s="47" t="s">
        <v>20</v>
      </c>
      <c r="K157" s="47"/>
      <c r="L157" s="47"/>
      <c r="M157" s="49" t="s">
        <v>4794</v>
      </c>
    </row>
    <row r="158" spans="1:13">
      <c r="A158" s="48">
        <f t="shared" si="2"/>
        <v>157</v>
      </c>
      <c r="B158" s="47" t="s">
        <v>6</v>
      </c>
      <c r="C158" s="47" t="s">
        <v>246</v>
      </c>
      <c r="D158" s="47" t="s">
        <v>5912</v>
      </c>
      <c r="E158" s="47" t="s">
        <v>5913</v>
      </c>
      <c r="F158" s="47"/>
      <c r="G158" s="47" t="s">
        <v>15</v>
      </c>
      <c r="H158" s="47" t="str">
        <f>IFERROR(VLOOKUP(Table2[[#This Row], [Ticket]],Okey!A:B,2,0),"")</f>
        <v>ok</v>
      </c>
      <c r="I158" s="47" t="s">
        <v>5290</v>
      </c>
      <c r="J158" s="47" t="s">
        <v>20</v>
      </c>
      <c r="K158" s="47"/>
      <c r="L158" s="47"/>
      <c r="M158" s="49" t="s">
        <v>4794</v>
      </c>
    </row>
    <row r="159" spans="1:13">
      <c r="A159" s="48">
        <f t="shared" si="2"/>
        <v>158</v>
      </c>
      <c r="B159" s="47" t="s">
        <v>6</v>
      </c>
      <c r="C159" s="47" t="s">
        <v>246</v>
      </c>
      <c r="D159" s="47" t="s">
        <v>5914</v>
      </c>
      <c r="E159" s="47" t="s">
        <v>5915</v>
      </c>
      <c r="F159" s="47"/>
      <c r="G159" s="47" t="s">
        <v>15</v>
      </c>
      <c r="H159" s="47" t="str">
        <f>IFERROR(VLOOKUP(Table2[[#This Row], [Ticket]],Okey!A:B,2,0),"")</f>
        <v>ok</v>
      </c>
      <c r="I159" s="47" t="s">
        <v>5290</v>
      </c>
      <c r="J159" s="47" t="s">
        <v>20</v>
      </c>
      <c r="K159" s="47"/>
      <c r="L159" s="47"/>
      <c r="M159" s="49" t="s">
        <v>4794</v>
      </c>
    </row>
    <row r="160" spans="1:13">
      <c r="A160" s="48">
        <f t="shared" si="2"/>
        <v>159</v>
      </c>
      <c r="B160" s="47" t="s">
        <v>6</v>
      </c>
      <c r="C160" s="47" t="s">
        <v>246</v>
      </c>
      <c r="D160" s="47" t="s">
        <v>5916</v>
      </c>
      <c r="E160" s="47" t="s">
        <v>5917</v>
      </c>
      <c r="F160" s="47"/>
      <c r="G160" s="47" t="s">
        <v>15</v>
      </c>
      <c r="H160" s="47" t="str">
        <f>IFERROR(VLOOKUP(Table2[[#This Row], [Ticket]],Okey!A:B,2,0),"")</f>
        <v>ok</v>
      </c>
      <c r="I160" s="47" t="s">
        <v>5290</v>
      </c>
      <c r="J160" s="47" t="s">
        <v>20</v>
      </c>
      <c r="K160" s="47"/>
      <c r="L160" s="47"/>
      <c r="M160" s="49" t="s">
        <v>4794</v>
      </c>
    </row>
    <row r="161" spans="1:13">
      <c r="A161" s="48">
        <f t="shared" si="2"/>
        <v>160</v>
      </c>
      <c r="B161" s="47" t="s">
        <v>6</v>
      </c>
      <c r="C161" s="47" t="s">
        <v>246</v>
      </c>
      <c r="D161" s="47" t="s">
        <v>4719</v>
      </c>
      <c r="E161" s="47" t="s">
        <v>5918</v>
      </c>
      <c r="F161" s="47"/>
      <c r="G161" s="47" t="s">
        <v>15</v>
      </c>
      <c r="H161" s="47" t="str">
        <f>IFERROR(VLOOKUP(Table2[[#This Row], [Ticket]],Okey!A:B,2,0),"")</f>
        <v>ok</v>
      </c>
      <c r="I161" s="47" t="s">
        <v>5290</v>
      </c>
      <c r="J161" s="47" t="s">
        <v>20</v>
      </c>
      <c r="K161" s="47"/>
      <c r="L161" s="47"/>
      <c r="M161" s="49" t="s">
        <v>4794</v>
      </c>
    </row>
    <row r="162" spans="1:13">
      <c r="A162" s="48">
        <f t="shared" si="2"/>
        <v>161</v>
      </c>
      <c r="B162" s="47" t="s">
        <v>6</v>
      </c>
      <c r="C162" s="47" t="s">
        <v>246</v>
      </c>
      <c r="D162" s="47" t="s">
        <v>4722</v>
      </c>
      <c r="E162" s="47" t="s">
        <v>5919</v>
      </c>
      <c r="F162" s="47"/>
      <c r="G162" s="47" t="s">
        <v>15</v>
      </c>
      <c r="H162" s="47" t="str">
        <f>IFERROR(VLOOKUP(Table2[[#This Row], [Ticket]],Okey!A:B,2,0),"")</f>
        <v>ok</v>
      </c>
      <c r="I162" s="47" t="s">
        <v>5290</v>
      </c>
      <c r="J162" s="47" t="s">
        <v>20</v>
      </c>
      <c r="K162" s="47"/>
      <c r="L162" s="47"/>
      <c r="M162" s="49" t="s">
        <v>4794</v>
      </c>
    </row>
    <row r="163" spans="1:13">
      <c r="A163" s="48">
        <f t="shared" si="2"/>
        <v>162</v>
      </c>
      <c r="B163" s="47" t="s">
        <v>6</v>
      </c>
      <c r="C163" s="47" t="s">
        <v>246</v>
      </c>
      <c r="D163" s="47" t="s">
        <v>3237</v>
      </c>
      <c r="E163" s="47" t="s">
        <v>5920</v>
      </c>
      <c r="F163" s="47"/>
      <c r="G163" s="47" t="s">
        <v>15</v>
      </c>
      <c r="H163" s="47" t="str">
        <f>IFERROR(VLOOKUP(Table2[[#This Row], [Ticket]],Okey!A:B,2,0),"")</f>
        <v>ok</v>
      </c>
      <c r="I163" s="47" t="s">
        <v>5290</v>
      </c>
      <c r="J163" s="47" t="s">
        <v>20</v>
      </c>
      <c r="K163" s="47"/>
      <c r="L163" s="47"/>
      <c r="M163" s="49" t="s">
        <v>4794</v>
      </c>
    </row>
    <row r="164" spans="1:13">
      <c r="A164" s="48">
        <f t="shared" si="2"/>
        <v>163</v>
      </c>
      <c r="B164" s="47" t="s">
        <v>6</v>
      </c>
      <c r="C164" s="47" t="s">
        <v>246</v>
      </c>
      <c r="D164" s="47" t="s">
        <v>3235</v>
      </c>
      <c r="E164" s="47" t="s">
        <v>5921</v>
      </c>
      <c r="F164" s="47"/>
      <c r="G164" s="47" t="s">
        <v>15</v>
      </c>
      <c r="H164" s="47" t="str">
        <f>IFERROR(VLOOKUP(Table2[[#This Row], [Ticket]],Okey!A:B,2,0),"")</f>
        <v>ok</v>
      </c>
      <c r="I164" s="47" t="s">
        <v>5290</v>
      </c>
      <c r="J164" s="47" t="s">
        <v>20</v>
      </c>
      <c r="K164" s="47"/>
      <c r="L164" s="47"/>
      <c r="M164" s="49" t="s">
        <v>4794</v>
      </c>
    </row>
    <row r="165" spans="1:13">
      <c r="A165" s="48">
        <f t="shared" si="2"/>
        <v>164</v>
      </c>
      <c r="B165" s="47" t="s">
        <v>6</v>
      </c>
      <c r="C165" s="47" t="s">
        <v>246</v>
      </c>
      <c r="D165" s="47" t="s">
        <v>3247</v>
      </c>
      <c r="E165" s="47" t="s">
        <v>5922</v>
      </c>
      <c r="F165" s="47"/>
      <c r="G165" s="47" t="s">
        <v>15</v>
      </c>
      <c r="H165" s="47" t="str">
        <f>IFERROR(VLOOKUP(Table2[[#This Row], [Ticket]],Okey!A:B,2,0),"")</f>
        <v>ok</v>
      </c>
      <c r="I165" s="47" t="s">
        <v>5290</v>
      </c>
      <c r="J165" s="47" t="s">
        <v>20</v>
      </c>
      <c r="K165" s="47"/>
      <c r="L165" s="47"/>
      <c r="M165" s="49" t="s">
        <v>4794</v>
      </c>
    </row>
    <row r="166" spans="1:13">
      <c r="A166" s="48">
        <f t="shared" si="2"/>
        <v>165</v>
      </c>
      <c r="B166" s="47" t="s">
        <v>6</v>
      </c>
      <c r="C166" s="47" t="s">
        <v>246</v>
      </c>
      <c r="D166" s="47" t="s">
        <v>4640</v>
      </c>
      <c r="E166" s="47" t="s">
        <v>5923</v>
      </c>
      <c r="F166" s="47"/>
      <c r="G166" s="47" t="s">
        <v>15</v>
      </c>
      <c r="H166" s="47" t="str">
        <f>IFERROR(VLOOKUP(Table2[[#This Row], [Ticket]],Okey!A:B,2,0),"")</f>
        <v>ok</v>
      </c>
      <c r="I166" s="47" t="s">
        <v>5290</v>
      </c>
      <c r="J166" s="47" t="s">
        <v>20</v>
      </c>
      <c r="K166" s="47"/>
      <c r="L166" s="47"/>
      <c r="M166" s="49" t="s">
        <v>4794</v>
      </c>
    </row>
    <row r="167" spans="1:13">
      <c r="A167" s="48">
        <f t="shared" si="2"/>
        <v>166</v>
      </c>
      <c r="B167" s="47" t="s">
        <v>6</v>
      </c>
      <c r="C167" s="47" t="s">
        <v>246</v>
      </c>
      <c r="D167" s="47" t="s">
        <v>4657</v>
      </c>
      <c r="E167" s="47" t="s">
        <v>5924</v>
      </c>
      <c r="F167" s="47"/>
      <c r="G167" s="47" t="s">
        <v>15</v>
      </c>
      <c r="H167" s="47" t="str">
        <f>IFERROR(VLOOKUP(Table2[[#This Row], [Ticket]],Okey!A:B,2,0),"")</f>
        <v>ok</v>
      </c>
      <c r="I167" s="47" t="s">
        <v>5290</v>
      </c>
      <c r="J167" s="47" t="s">
        <v>20</v>
      </c>
      <c r="K167" s="47"/>
      <c r="L167" s="47"/>
      <c r="M167" s="49" t="s">
        <v>4794</v>
      </c>
    </row>
    <row r="168" spans="1:13">
      <c r="A168" s="48">
        <f t="shared" si="2"/>
        <v>167</v>
      </c>
      <c r="B168" s="47" t="s">
        <v>6</v>
      </c>
      <c r="C168" s="47" t="s">
        <v>246</v>
      </c>
      <c r="D168" s="47" t="s">
        <v>4659</v>
      </c>
      <c r="E168" s="47" t="s">
        <v>5925</v>
      </c>
      <c r="F168" s="47"/>
      <c r="G168" s="47" t="s">
        <v>15</v>
      </c>
      <c r="H168" s="47" t="str">
        <f>IFERROR(VLOOKUP(Table2[[#This Row], [Ticket]],Okey!A:B,2,0),"")</f>
        <v>ok</v>
      </c>
      <c r="I168" s="47" t="s">
        <v>5290</v>
      </c>
      <c r="J168" s="47" t="s">
        <v>20</v>
      </c>
      <c r="K168" s="47"/>
      <c r="L168" s="47"/>
      <c r="M168" s="49" t="s">
        <v>4794</v>
      </c>
    </row>
    <row r="169" spans="1:13">
      <c r="A169" s="48">
        <f t="shared" si="2"/>
        <v>168</v>
      </c>
      <c r="B169" s="47" t="s">
        <v>6</v>
      </c>
      <c r="C169" s="47" t="s">
        <v>246</v>
      </c>
      <c r="D169" s="47" t="s">
        <v>5926</v>
      </c>
      <c r="E169" s="47" t="s">
        <v>5927</v>
      </c>
      <c r="F169" s="47"/>
      <c r="G169" s="47" t="s">
        <v>15</v>
      </c>
      <c r="H169" s="47" t="str">
        <f>IFERROR(VLOOKUP(Table2[[#This Row], [Ticket]],Okey!A:B,2,0),"")</f>
        <v>ok</v>
      </c>
      <c r="I169" s="47" t="s">
        <v>5290</v>
      </c>
      <c r="J169" s="47" t="s">
        <v>20</v>
      </c>
      <c r="K169" s="47"/>
      <c r="L169" s="47"/>
      <c r="M169" s="49" t="s">
        <v>4794</v>
      </c>
    </row>
    <row r="170" spans="1:13">
      <c r="A170" s="48">
        <f t="shared" si="2"/>
        <v>169</v>
      </c>
      <c r="B170" s="47" t="s">
        <v>6</v>
      </c>
      <c r="C170" s="47" t="s">
        <v>246</v>
      </c>
      <c r="D170" s="47" t="s">
        <v>4677</v>
      </c>
      <c r="E170" s="47" t="s">
        <v>5928</v>
      </c>
      <c r="F170" s="47"/>
      <c r="G170" s="47" t="s">
        <v>15</v>
      </c>
      <c r="H170" s="47" t="str">
        <f>IFERROR(VLOOKUP(Table2[[#This Row], [Ticket]],Okey!A:B,2,0),"")</f>
        <v>ok</v>
      </c>
      <c r="I170" s="47" t="s">
        <v>5290</v>
      </c>
      <c r="J170" s="47" t="s">
        <v>20</v>
      </c>
      <c r="K170" s="47"/>
      <c r="L170" s="47"/>
      <c r="M170" s="49" t="s">
        <v>4794</v>
      </c>
    </row>
    <row r="171" spans="1:13">
      <c r="A171" s="48">
        <f t="shared" si="2"/>
        <v>170</v>
      </c>
      <c r="B171" s="47" t="s">
        <v>6</v>
      </c>
      <c r="C171" s="47" t="s">
        <v>246</v>
      </c>
      <c r="D171" s="47" t="s">
        <v>4679</v>
      </c>
      <c r="E171" s="47" t="s">
        <v>5929</v>
      </c>
      <c r="F171" s="47"/>
      <c r="G171" s="47" t="s">
        <v>15</v>
      </c>
      <c r="H171" s="47" t="str">
        <f>IFERROR(VLOOKUP(Table2[[#This Row], [Ticket]],Okey!A:B,2,0),"")</f>
        <v>ok</v>
      </c>
      <c r="I171" s="47" t="s">
        <v>5290</v>
      </c>
      <c r="J171" s="47" t="s">
        <v>20</v>
      </c>
      <c r="K171" s="47"/>
      <c r="L171" s="47"/>
      <c r="M171" s="49" t="s">
        <v>4794</v>
      </c>
    </row>
    <row r="172" spans="1:13">
      <c r="A172" s="48">
        <f t="shared" si="2"/>
        <v>171</v>
      </c>
      <c r="B172" s="47" t="s">
        <v>6</v>
      </c>
      <c r="C172" s="47" t="s">
        <v>246</v>
      </c>
      <c r="D172" s="47" t="s">
        <v>2993</v>
      </c>
      <c r="E172" s="47" t="s">
        <v>5930</v>
      </c>
      <c r="F172" s="47"/>
      <c r="G172" s="47" t="s">
        <v>15</v>
      </c>
      <c r="H172" s="47" t="str">
        <f>IFERROR(VLOOKUP(Table2[[#This Row], [Ticket]],Okey!A:B,2,0),"")</f>
        <v>ok</v>
      </c>
      <c r="I172" s="47" t="s">
        <v>5290</v>
      </c>
      <c r="J172" s="47" t="s">
        <v>20</v>
      </c>
      <c r="K172" s="47"/>
      <c r="L172" s="47"/>
      <c r="M172" s="49" t="s">
        <v>4794</v>
      </c>
    </row>
    <row r="173" spans="1:13">
      <c r="A173" s="48">
        <f t="shared" si="2"/>
        <v>172</v>
      </c>
      <c r="B173" s="47" t="s">
        <v>6</v>
      </c>
      <c r="C173" s="47" t="s">
        <v>246</v>
      </c>
      <c r="D173" s="47" t="s">
        <v>5931</v>
      </c>
      <c r="E173" s="47" t="s">
        <v>5932</v>
      </c>
      <c r="F173" s="47"/>
      <c r="G173" s="47" t="s">
        <v>15</v>
      </c>
      <c r="H173" s="47" t="str">
        <f>IFERROR(VLOOKUP(Table2[[#This Row], [Ticket]],Okey!A:B,2,0),"")</f>
        <v>ok</v>
      </c>
      <c r="I173" s="47" t="s">
        <v>5290</v>
      </c>
      <c r="J173" s="47" t="s">
        <v>20</v>
      </c>
      <c r="K173" s="47"/>
      <c r="L173" s="47"/>
      <c r="M173" s="49" t="s">
        <v>4794</v>
      </c>
    </row>
    <row r="174" spans="1:13">
      <c r="A174" s="48">
        <f t="shared" si="2"/>
        <v>173</v>
      </c>
      <c r="B174" s="47" t="s">
        <v>6</v>
      </c>
      <c r="C174" s="47" t="s">
        <v>246</v>
      </c>
      <c r="D174" s="47" t="s">
        <v>5933</v>
      </c>
      <c r="E174" s="47" t="s">
        <v>5934</v>
      </c>
      <c r="F174" s="47"/>
      <c r="G174" s="47" t="s">
        <v>15</v>
      </c>
      <c r="H174" s="47" t="str">
        <f>IFERROR(VLOOKUP(Table2[[#This Row], [Ticket]],Okey!A:B,2,0),"")</f>
        <v>ok</v>
      </c>
      <c r="I174" s="47" t="s">
        <v>5290</v>
      </c>
      <c r="J174" s="47" t="s">
        <v>20</v>
      </c>
      <c r="K174" s="47"/>
      <c r="L174" s="47"/>
      <c r="M174" s="49" t="s">
        <v>4794</v>
      </c>
    </row>
    <row r="175" spans="1:13">
      <c r="A175" s="48">
        <f t="shared" si="2"/>
        <v>174</v>
      </c>
      <c r="B175" s="47" t="s">
        <v>6</v>
      </c>
      <c r="C175" s="47" t="s">
        <v>246</v>
      </c>
      <c r="D175" s="47" t="s">
        <v>5935</v>
      </c>
      <c r="E175" s="47" t="s">
        <v>5936</v>
      </c>
      <c r="F175" s="47"/>
      <c r="G175" s="47" t="s">
        <v>15</v>
      </c>
      <c r="H175" s="47" t="str">
        <f>IFERROR(VLOOKUP(Table2[[#This Row], [Ticket]],Okey!A:B,2,0),"")</f>
        <v>ok</v>
      </c>
      <c r="I175" s="47" t="s">
        <v>5290</v>
      </c>
      <c r="J175" s="47" t="s">
        <v>20</v>
      </c>
      <c r="K175" s="47"/>
      <c r="L175" s="47"/>
      <c r="M175" s="49" t="s">
        <v>4794</v>
      </c>
    </row>
    <row r="176" spans="1:13">
      <c r="A176" s="48">
        <f t="shared" si="2"/>
        <v>175</v>
      </c>
      <c r="B176" s="47" t="s">
        <v>6</v>
      </c>
      <c r="C176" s="47" t="s">
        <v>246</v>
      </c>
      <c r="D176" s="47" t="s">
        <v>5937</v>
      </c>
      <c r="E176" s="47" t="s">
        <v>5938</v>
      </c>
      <c r="F176" s="47"/>
      <c r="G176" s="47" t="s">
        <v>15</v>
      </c>
      <c r="H176" s="47" t="str">
        <f>IFERROR(VLOOKUP(Table2[[#This Row], [Ticket]],Okey!A:B,2,0),"")</f>
        <v>ok</v>
      </c>
      <c r="I176" s="47" t="s">
        <v>5290</v>
      </c>
      <c r="J176" s="47" t="s">
        <v>20</v>
      </c>
      <c r="K176" s="47"/>
      <c r="L176" s="47"/>
      <c r="M176" s="49" t="s">
        <v>4794</v>
      </c>
    </row>
    <row r="177" spans="1:13">
      <c r="A177" s="48">
        <f t="shared" si="2"/>
        <v>176</v>
      </c>
      <c r="B177" s="47" t="s">
        <v>6</v>
      </c>
      <c r="C177" s="47" t="s">
        <v>247</v>
      </c>
      <c r="D177" s="47" t="s">
        <v>5939</v>
      </c>
      <c r="E177" s="47"/>
      <c r="F177" s="47" t="s">
        <v>5725</v>
      </c>
      <c r="G177" s="47" t="s">
        <v>13</v>
      </c>
      <c r="H177" s="47" t="str">
        <f>IFERROR(VLOOKUP(Table2[[#This Row], [Ticket]],Okey!A:B,2,0),"")</f>
        <v>ok</v>
      </c>
      <c r="I177" s="47" t="s">
        <v>5290</v>
      </c>
      <c r="J177" s="47" t="s">
        <v>17</v>
      </c>
      <c r="K177" s="47"/>
      <c r="L177" s="47"/>
      <c r="M177" s="49" t="s">
        <v>4784</v>
      </c>
    </row>
    <row r="178" spans="1:13">
      <c r="A178" s="48">
        <f t="shared" si="2"/>
        <v>177</v>
      </c>
      <c r="B178" s="47" t="s">
        <v>6</v>
      </c>
      <c r="C178" s="47" t="s">
        <v>247</v>
      </c>
      <c r="D178" s="47" t="s">
        <v>651</v>
      </c>
      <c r="E178" s="47"/>
      <c r="F178" s="47" t="s">
        <v>5725</v>
      </c>
      <c r="G178" s="47" t="s">
        <v>13</v>
      </c>
      <c r="H178" s="47" t="str">
        <f>IFERROR(VLOOKUP(Table2[[#This Row], [Ticket]],Okey!A:B,2,0),"")</f>
        <v>ok</v>
      </c>
      <c r="I178" s="47" t="s">
        <v>5290</v>
      </c>
      <c r="J178" s="47" t="s">
        <v>17</v>
      </c>
      <c r="K178" s="47"/>
      <c r="L178" s="47"/>
      <c r="M178" s="49" t="s">
        <v>4784</v>
      </c>
    </row>
    <row r="179" spans="1:13">
      <c r="A179" s="48">
        <f t="shared" si="2"/>
        <v>178</v>
      </c>
      <c r="B179" s="47" t="s">
        <v>6</v>
      </c>
      <c r="C179" s="47" t="s">
        <v>247</v>
      </c>
      <c r="D179" s="47" t="s">
        <v>5940</v>
      </c>
      <c r="E179" s="47"/>
      <c r="F179" s="47" t="s">
        <v>5725</v>
      </c>
      <c r="G179" s="47" t="s">
        <v>13</v>
      </c>
      <c r="H179" s="47" t="str">
        <f>IFERROR(VLOOKUP(Table2[[#This Row], [Ticket]],Okey!A:B,2,0),"")</f>
        <v>ok</v>
      </c>
      <c r="I179" s="47" t="s">
        <v>5290</v>
      </c>
      <c r="J179" s="47" t="s">
        <v>17</v>
      </c>
      <c r="K179" s="47"/>
      <c r="L179" s="47"/>
      <c r="M179" s="49" t="s">
        <v>4784</v>
      </c>
    </row>
    <row r="180" spans="1:13">
      <c r="A180" s="48">
        <f t="shared" si="2"/>
        <v>179</v>
      </c>
      <c r="B180" s="47" t="s">
        <v>6</v>
      </c>
      <c r="C180" s="47" t="s">
        <v>247</v>
      </c>
      <c r="D180" s="47" t="s">
        <v>463</v>
      </c>
      <c r="E180" s="47"/>
      <c r="F180" s="47" t="s">
        <v>5725</v>
      </c>
      <c r="G180" s="47" t="s">
        <v>13</v>
      </c>
      <c r="H180" s="47" t="str">
        <f>IFERROR(VLOOKUP(Table2[[#This Row], [Ticket]],Okey!A:B,2,0),"")</f>
        <v>ok</v>
      </c>
      <c r="I180" s="47" t="s">
        <v>5290</v>
      </c>
      <c r="J180" s="47" t="s">
        <v>17</v>
      </c>
      <c r="K180" s="47"/>
      <c r="L180" s="47"/>
      <c r="M180" s="49" t="s">
        <v>4784</v>
      </c>
    </row>
    <row r="181" spans="1:13">
      <c r="A181" s="48">
        <f t="shared" si="2"/>
        <v>180</v>
      </c>
      <c r="B181" s="47" t="s">
        <v>6</v>
      </c>
      <c r="C181" s="47" t="s">
        <v>247</v>
      </c>
      <c r="D181" s="47" t="s">
        <v>1701</v>
      </c>
      <c r="E181" s="47"/>
      <c r="F181" s="47" t="s">
        <v>5725</v>
      </c>
      <c r="G181" s="47" t="s">
        <v>13</v>
      </c>
      <c r="H181" s="47" t="str">
        <f>IFERROR(VLOOKUP(Table2[[#This Row], [Ticket]],Okey!A:B,2,0),"")</f>
        <v>ok</v>
      </c>
      <c r="I181" s="47" t="s">
        <v>5290</v>
      </c>
      <c r="J181" s="47" t="s">
        <v>17</v>
      </c>
      <c r="K181" s="47"/>
      <c r="L181" s="47"/>
      <c r="M181" s="49" t="s">
        <v>4784</v>
      </c>
    </row>
    <row r="182" spans="1:13">
      <c r="A182" s="48">
        <f t="shared" si="2"/>
        <v>181</v>
      </c>
      <c r="B182" s="47" t="s">
        <v>6</v>
      </c>
      <c r="C182" s="47" t="s">
        <v>247</v>
      </c>
      <c r="D182" s="47" t="s">
        <v>1702</v>
      </c>
      <c r="E182" s="47"/>
      <c r="F182" s="47" t="s">
        <v>5725</v>
      </c>
      <c r="G182" s="47" t="s">
        <v>13</v>
      </c>
      <c r="H182" s="47" t="str">
        <f>IFERROR(VLOOKUP(Table2[[#This Row], [Ticket]],Okey!A:B,2,0),"")</f>
        <v>ok</v>
      </c>
      <c r="I182" s="47" t="s">
        <v>5290</v>
      </c>
      <c r="J182" s="47" t="s">
        <v>17</v>
      </c>
      <c r="K182" s="47"/>
      <c r="L182" s="47"/>
      <c r="M182" s="49" t="s">
        <v>4784</v>
      </c>
    </row>
    <row r="183" spans="1:13">
      <c r="A183" s="48">
        <f t="shared" si="2"/>
        <v>182</v>
      </c>
      <c r="B183" s="47" t="s">
        <v>6</v>
      </c>
      <c r="C183" s="47" t="s">
        <v>247</v>
      </c>
      <c r="D183" s="47" t="s">
        <v>5941</v>
      </c>
      <c r="E183" s="47"/>
      <c r="F183" s="47" t="s">
        <v>852</v>
      </c>
      <c r="G183" s="47" t="s">
        <v>13</v>
      </c>
      <c r="H183" s="47" t="str">
        <f>IFERROR(VLOOKUP(Table2[[#This Row], [Ticket]],Okey!A:B,2,0),"")</f>
        <v>ok</v>
      </c>
      <c r="I183" s="47" t="s">
        <v>5290</v>
      </c>
      <c r="J183" s="47" t="s">
        <v>17</v>
      </c>
      <c r="K183" s="47"/>
      <c r="L183" s="47"/>
      <c r="M183" s="49" t="s">
        <v>4784</v>
      </c>
    </row>
    <row r="184" spans="1:13">
      <c r="A184" s="48">
        <f t="shared" si="2"/>
        <v>183</v>
      </c>
      <c r="B184" s="47" t="s">
        <v>6</v>
      </c>
      <c r="C184" s="47" t="s">
        <v>248</v>
      </c>
      <c r="D184" s="47" t="s">
        <v>5942</v>
      </c>
      <c r="E184" s="47" t="s">
        <v>5943</v>
      </c>
      <c r="F184" s="47" t="s">
        <v>4367</v>
      </c>
      <c r="G184" s="47" t="s">
        <v>14</v>
      </c>
      <c r="H184" s="47" t="str">
        <f>IFERROR(VLOOKUP(Table2[[#This Row], [Ticket]],Okey!A:B,2,0),"")</f>
        <v>ok</v>
      </c>
      <c r="I184" s="47" t="s">
        <v>5290</v>
      </c>
      <c r="J184" s="47" t="s">
        <v>20</v>
      </c>
      <c r="K184" s="47"/>
      <c r="L184" s="47"/>
      <c r="M184" s="49" t="s">
        <v>4794</v>
      </c>
    </row>
    <row r="185" spans="1:13">
      <c r="A185" s="48">
        <f t="shared" si="2"/>
        <v>184</v>
      </c>
      <c r="B185" s="47" t="s">
        <v>6</v>
      </c>
      <c r="C185" s="47" t="s">
        <v>248</v>
      </c>
      <c r="D185" s="47" t="s">
        <v>5944</v>
      </c>
      <c r="E185" s="47" t="s">
        <v>5945</v>
      </c>
      <c r="F185" s="47" t="s">
        <v>5942</v>
      </c>
      <c r="G185" s="47" t="s">
        <v>14</v>
      </c>
      <c r="H185" s="47" t="str">
        <f>IFERROR(VLOOKUP(Table2[[#This Row], [Ticket]],Okey!A:B,2,0),"")</f>
        <v>ok</v>
      </c>
      <c r="I185" s="47" t="s">
        <v>5290</v>
      </c>
      <c r="J185" s="47" t="s">
        <v>20</v>
      </c>
      <c r="K185" s="47"/>
      <c r="L185" s="47"/>
      <c r="M185" s="49" t="s">
        <v>4794</v>
      </c>
    </row>
    <row r="186" spans="1:13">
      <c r="A186" s="48">
        <f t="shared" si="2"/>
        <v>185</v>
      </c>
      <c r="B186" s="47" t="s">
        <v>6</v>
      </c>
      <c r="C186" s="47" t="s">
        <v>248</v>
      </c>
      <c r="D186" s="47" t="s">
        <v>5946</v>
      </c>
      <c r="E186" s="47" t="s">
        <v>5947</v>
      </c>
      <c r="F186" s="47" t="s">
        <v>5942</v>
      </c>
      <c r="G186" s="47" t="s">
        <v>14</v>
      </c>
      <c r="H186" s="47" t="str">
        <f>IFERROR(VLOOKUP(Table2[[#This Row], [Ticket]],Okey!A:B,2,0),"")</f>
        <v>ok</v>
      </c>
      <c r="I186" s="47" t="s">
        <v>5290</v>
      </c>
      <c r="J186" s="47" t="s">
        <v>20</v>
      </c>
      <c r="K186" s="47"/>
      <c r="L186" s="47"/>
      <c r="M186" s="49" t="s">
        <v>4794</v>
      </c>
    </row>
    <row r="187" spans="1:13">
      <c r="A187" s="48">
        <f t="shared" si="2"/>
        <v>186</v>
      </c>
      <c r="B187" s="47" t="s">
        <v>6</v>
      </c>
      <c r="C187" s="47" t="s">
        <v>248</v>
      </c>
      <c r="D187" s="47" t="s">
        <v>5948</v>
      </c>
      <c r="E187" s="47" t="s">
        <v>5949</v>
      </c>
      <c r="F187" s="47" t="s">
        <v>5942</v>
      </c>
      <c r="G187" s="47" t="s">
        <v>14</v>
      </c>
      <c r="H187" s="47" t="str">
        <f>IFERROR(VLOOKUP(Table2[[#This Row], [Ticket]],Okey!A:B,2,0),"")</f>
        <v>ok</v>
      </c>
      <c r="I187" s="47" t="s">
        <v>5290</v>
      </c>
      <c r="J187" s="47" t="s">
        <v>20</v>
      </c>
      <c r="K187" s="47"/>
      <c r="L187" s="47"/>
      <c r="M187" s="49" t="s">
        <v>4794</v>
      </c>
    </row>
    <row r="188" spans="1:13">
      <c r="A188" s="48">
        <f t="shared" si="2"/>
        <v>187</v>
      </c>
      <c r="B188" s="47" t="s">
        <v>6</v>
      </c>
      <c r="C188" s="47" t="s">
        <v>248</v>
      </c>
      <c r="D188" s="47" t="s">
        <v>5950</v>
      </c>
      <c r="E188" s="47" t="s">
        <v>5951</v>
      </c>
      <c r="F188" s="47" t="s">
        <v>5942</v>
      </c>
      <c r="G188" s="47" t="s">
        <v>14</v>
      </c>
      <c r="H188" s="47" t="str">
        <f>IFERROR(VLOOKUP(Table2[[#This Row], [Ticket]],Okey!A:B,2,0),"")</f>
        <v>ok</v>
      </c>
      <c r="I188" s="47" t="s">
        <v>5290</v>
      </c>
      <c r="J188" s="47" t="s">
        <v>20</v>
      </c>
      <c r="K188" s="47"/>
      <c r="L188" s="47"/>
      <c r="M188" s="49" t="s">
        <v>4794</v>
      </c>
    </row>
    <row r="189" spans="1:13">
      <c r="A189" s="48">
        <f t="shared" si="2"/>
        <v>188</v>
      </c>
      <c r="B189" s="47" t="s">
        <v>6</v>
      </c>
      <c r="C189" s="47" t="s">
        <v>248</v>
      </c>
      <c r="D189" s="47" t="s">
        <v>5952</v>
      </c>
      <c r="E189" s="47" t="s">
        <v>5953</v>
      </c>
      <c r="F189" s="47" t="s">
        <v>5942</v>
      </c>
      <c r="G189" s="47" t="s">
        <v>14</v>
      </c>
      <c r="H189" s="47" t="str">
        <f>IFERROR(VLOOKUP(Table2[[#This Row], [Ticket]],Okey!A:B,2,0),"")</f>
        <v>ok</v>
      </c>
      <c r="I189" s="47" t="s">
        <v>5290</v>
      </c>
      <c r="J189" s="47" t="s">
        <v>20</v>
      </c>
      <c r="K189" s="47"/>
      <c r="L189" s="47"/>
      <c r="M189" s="49" t="s">
        <v>4794</v>
      </c>
    </row>
    <row r="190" spans="1:13">
      <c r="A190" s="48">
        <f t="shared" si="2"/>
        <v>189</v>
      </c>
      <c r="B190" s="47" t="s">
        <v>6</v>
      </c>
      <c r="C190" s="47" t="s">
        <v>248</v>
      </c>
      <c r="D190" s="47" t="s">
        <v>4503</v>
      </c>
      <c r="E190" s="47" t="s">
        <v>5954</v>
      </c>
      <c r="F190" s="47"/>
      <c r="G190" s="47" t="s">
        <v>15</v>
      </c>
      <c r="H190" s="47" t="str">
        <f>IFERROR(VLOOKUP(Table2[[#This Row], [Ticket]],Okey!A:B,2,0),"")</f>
        <v>ok</v>
      </c>
      <c r="I190" s="47" t="s">
        <v>5290</v>
      </c>
      <c r="J190" s="47" t="s">
        <v>20</v>
      </c>
      <c r="K190" s="47"/>
      <c r="L190" s="47"/>
      <c r="M190" s="49" t="s">
        <v>4794</v>
      </c>
    </row>
    <row r="191" spans="1:13">
      <c r="A191" s="48">
        <f t="shared" si="2"/>
        <v>190</v>
      </c>
      <c r="B191" s="47" t="s">
        <v>6</v>
      </c>
      <c r="C191" s="47" t="s">
        <v>249</v>
      </c>
      <c r="D191" s="47" t="s">
        <v>712</v>
      </c>
      <c r="E191" s="47"/>
      <c r="F191" s="47" t="s">
        <v>5725</v>
      </c>
      <c r="G191" s="47" t="s">
        <v>13</v>
      </c>
      <c r="H191" s="47" t="str">
        <f>IFERROR(VLOOKUP(Table2[[#This Row], [Ticket]],Okey!A:B,2,0),"")</f>
        <v>ok</v>
      </c>
      <c r="I191" s="47" t="s">
        <v>5290</v>
      </c>
      <c r="J191" s="47" t="s">
        <v>17</v>
      </c>
      <c r="K191" s="47"/>
      <c r="L191" s="47"/>
      <c r="M191" s="49" t="s">
        <v>4784</v>
      </c>
    </row>
    <row r="192" spans="1:13">
      <c r="A192" s="48">
        <f t="shared" si="2"/>
        <v>191</v>
      </c>
      <c r="B192" s="47" t="s">
        <v>6</v>
      </c>
      <c r="C192" s="47" t="s">
        <v>249</v>
      </c>
      <c r="D192" s="47" t="s">
        <v>714</v>
      </c>
      <c r="E192" s="47"/>
      <c r="F192" s="47" t="s">
        <v>5725</v>
      </c>
      <c r="G192" s="47" t="s">
        <v>13</v>
      </c>
      <c r="H192" s="47" t="str">
        <f>IFERROR(VLOOKUP(Table2[[#This Row], [Ticket]],Okey!A:B,2,0),"")</f>
        <v>ok</v>
      </c>
      <c r="I192" s="47" t="s">
        <v>5290</v>
      </c>
      <c r="J192" s="47" t="s">
        <v>17</v>
      </c>
      <c r="K192" s="47"/>
      <c r="L192" s="47"/>
      <c r="M192" s="49" t="s">
        <v>4784</v>
      </c>
    </row>
    <row r="193" spans="1:13">
      <c r="A193" s="48">
        <f t="shared" si="2"/>
        <v>192</v>
      </c>
      <c r="B193" s="47" t="s">
        <v>6</v>
      </c>
      <c r="C193" s="47" t="s">
        <v>249</v>
      </c>
      <c r="D193" s="47" t="s">
        <v>5263</v>
      </c>
      <c r="E193" s="47"/>
      <c r="F193" s="47" t="s">
        <v>5725</v>
      </c>
      <c r="G193" s="47" t="s">
        <v>13</v>
      </c>
      <c r="H193" s="47" t="str">
        <f>IFERROR(VLOOKUP(Table2[[#This Row], [Ticket]],Okey!A:B,2,0),"")</f>
        <v>ok</v>
      </c>
      <c r="I193" s="47" t="s">
        <v>5290</v>
      </c>
      <c r="J193" s="47" t="s">
        <v>17</v>
      </c>
      <c r="K193" s="47"/>
      <c r="L193" s="47"/>
      <c r="M193" s="49" t="s">
        <v>4784</v>
      </c>
    </row>
    <row r="194" spans="1:13">
      <c r="A194" s="48">
        <f t="shared" si="2"/>
        <v>193</v>
      </c>
      <c r="B194" s="47" t="s">
        <v>6</v>
      </c>
      <c r="C194" s="47" t="s">
        <v>249</v>
      </c>
      <c r="D194" s="47" t="s">
        <v>651</v>
      </c>
      <c r="E194" s="47"/>
      <c r="F194" s="47" t="s">
        <v>5725</v>
      </c>
      <c r="G194" s="47" t="s">
        <v>13</v>
      </c>
      <c r="H194" s="47" t="str">
        <f>IFERROR(VLOOKUP(Table2[[#This Row], [Ticket]],Okey!A:B,2,0),"")</f>
        <v>ok</v>
      </c>
      <c r="I194" s="47" t="s">
        <v>5290</v>
      </c>
      <c r="J194" s="47" t="s">
        <v>17</v>
      </c>
      <c r="K194" s="47"/>
      <c r="L194" s="47"/>
      <c r="M194" s="49" t="s">
        <v>4784</v>
      </c>
    </row>
    <row r="195" spans="1:13">
      <c r="A195" s="48">
        <f t="shared" ref="A195:A258" si="3">1+A194</f>
        <v>194</v>
      </c>
      <c r="B195" s="47" t="s">
        <v>6</v>
      </c>
      <c r="C195" s="47" t="s">
        <v>249</v>
      </c>
      <c r="D195" s="47" t="s">
        <v>649</v>
      </c>
      <c r="E195" s="47"/>
      <c r="F195" s="47" t="s">
        <v>5725</v>
      </c>
      <c r="G195" s="47" t="s">
        <v>13</v>
      </c>
      <c r="H195" s="47" t="str">
        <f>IFERROR(VLOOKUP(Table2[[#This Row], [Ticket]],Okey!A:B,2,0),"")</f>
        <v>ok</v>
      </c>
      <c r="I195" s="47" t="s">
        <v>5290</v>
      </c>
      <c r="J195" s="47" t="s">
        <v>17</v>
      </c>
      <c r="K195" s="47"/>
      <c r="L195" s="47"/>
      <c r="M195" s="49" t="s">
        <v>4784</v>
      </c>
    </row>
    <row r="196" spans="1:13">
      <c r="A196" s="48">
        <f t="shared" si="3"/>
        <v>195</v>
      </c>
      <c r="B196" s="47" t="s">
        <v>6</v>
      </c>
      <c r="C196" s="47" t="s">
        <v>249</v>
      </c>
      <c r="D196" s="47" t="s">
        <v>463</v>
      </c>
      <c r="E196" s="47"/>
      <c r="F196" s="47" t="s">
        <v>5725</v>
      </c>
      <c r="G196" s="47" t="s">
        <v>13</v>
      </c>
      <c r="H196" s="47" t="str">
        <f>IFERROR(VLOOKUP(Table2[[#This Row], [Ticket]],Okey!A:B,2,0),"")</f>
        <v>ok</v>
      </c>
      <c r="I196" s="47" t="s">
        <v>5290</v>
      </c>
      <c r="J196" s="47" t="s">
        <v>17</v>
      </c>
      <c r="K196" s="47"/>
      <c r="L196" s="47"/>
      <c r="M196" s="49" t="s">
        <v>4784</v>
      </c>
    </row>
    <row r="197" spans="1:13">
      <c r="A197" s="48">
        <f t="shared" si="3"/>
        <v>196</v>
      </c>
      <c r="B197" s="47" t="s">
        <v>6</v>
      </c>
      <c r="C197" s="47" t="s">
        <v>249</v>
      </c>
      <c r="D197" s="47" t="s">
        <v>1701</v>
      </c>
      <c r="E197" s="47"/>
      <c r="F197" s="47" t="s">
        <v>5725</v>
      </c>
      <c r="G197" s="47" t="s">
        <v>13</v>
      </c>
      <c r="H197" s="47" t="str">
        <f>IFERROR(VLOOKUP(Table2[[#This Row], [Ticket]],Okey!A:B,2,0),"")</f>
        <v>ok</v>
      </c>
      <c r="I197" s="47" t="s">
        <v>5290</v>
      </c>
      <c r="J197" s="47" t="s">
        <v>17</v>
      </c>
      <c r="K197" s="47"/>
      <c r="L197" s="47"/>
      <c r="M197" s="49" t="s">
        <v>4784</v>
      </c>
    </row>
    <row r="198" spans="1:13">
      <c r="A198" s="48">
        <f t="shared" si="3"/>
        <v>197</v>
      </c>
      <c r="B198" s="47" t="s">
        <v>6</v>
      </c>
      <c r="C198" s="47" t="s">
        <v>249</v>
      </c>
      <c r="D198" s="47" t="s">
        <v>1702</v>
      </c>
      <c r="E198" s="47"/>
      <c r="F198" s="47" t="s">
        <v>5725</v>
      </c>
      <c r="G198" s="47" t="s">
        <v>13</v>
      </c>
      <c r="H198" s="47" t="str">
        <f>IFERROR(VLOOKUP(Table2[[#This Row], [Ticket]],Okey!A:B,2,0),"")</f>
        <v>ok</v>
      </c>
      <c r="I198" s="47" t="s">
        <v>5290</v>
      </c>
      <c r="J198" s="47" t="s">
        <v>17</v>
      </c>
      <c r="K198" s="47"/>
      <c r="L198" s="47"/>
      <c r="M198" s="49" t="s">
        <v>4784</v>
      </c>
    </row>
    <row r="199" spans="1:13">
      <c r="A199" s="48">
        <f t="shared" si="3"/>
        <v>198</v>
      </c>
      <c r="B199" s="47" t="s">
        <v>6</v>
      </c>
      <c r="C199" s="47" t="s">
        <v>249</v>
      </c>
      <c r="D199" s="47" t="s">
        <v>421</v>
      </c>
      <c r="E199" s="47"/>
      <c r="F199" s="47" t="s">
        <v>5725</v>
      </c>
      <c r="G199" s="47" t="s">
        <v>13</v>
      </c>
      <c r="H199" s="47" t="str">
        <f>IFERROR(VLOOKUP(Table2[[#This Row], [Ticket]],Okey!A:B,2,0),"")</f>
        <v>ok</v>
      </c>
      <c r="I199" s="47" t="s">
        <v>5290</v>
      </c>
      <c r="J199" s="47" t="s">
        <v>17</v>
      </c>
      <c r="K199" s="47"/>
      <c r="L199" s="47"/>
      <c r="M199" s="49" t="s">
        <v>4784</v>
      </c>
    </row>
    <row r="200" spans="1:13">
      <c r="A200" s="48">
        <f t="shared" si="3"/>
        <v>199</v>
      </c>
      <c r="B200" s="47" t="s">
        <v>6</v>
      </c>
      <c r="C200" s="47" t="s">
        <v>249</v>
      </c>
      <c r="D200" s="47" t="s">
        <v>363</v>
      </c>
      <c r="E200" s="47"/>
      <c r="F200" s="47" t="s">
        <v>5725</v>
      </c>
      <c r="G200" s="47" t="s">
        <v>13</v>
      </c>
      <c r="H200" s="47" t="str">
        <f>IFERROR(VLOOKUP(Table2[[#This Row], [Ticket]],Okey!A:B,2,0),"")</f>
        <v>ok</v>
      </c>
      <c r="I200" s="47" t="s">
        <v>5290</v>
      </c>
      <c r="J200" s="47" t="s">
        <v>17</v>
      </c>
      <c r="K200" s="47"/>
      <c r="L200" s="47"/>
      <c r="M200" s="49" t="s">
        <v>4784</v>
      </c>
    </row>
    <row r="201" spans="1:13">
      <c r="A201" s="48">
        <f t="shared" si="3"/>
        <v>200</v>
      </c>
      <c r="B201" s="47" t="s">
        <v>6</v>
      </c>
      <c r="C201" s="47" t="s">
        <v>249</v>
      </c>
      <c r="D201" s="47" t="s">
        <v>682</v>
      </c>
      <c r="E201" s="47"/>
      <c r="F201" s="47" t="s">
        <v>5725</v>
      </c>
      <c r="G201" s="47" t="s">
        <v>13</v>
      </c>
      <c r="H201" s="47" t="str">
        <f>IFERROR(VLOOKUP(Table2[[#This Row], [Ticket]],Okey!A:B,2,0),"")</f>
        <v>ok</v>
      </c>
      <c r="I201" s="47" t="s">
        <v>5290</v>
      </c>
      <c r="J201" s="47" t="s">
        <v>17</v>
      </c>
      <c r="K201" s="47"/>
      <c r="L201" s="47"/>
      <c r="M201" s="49" t="s">
        <v>4784</v>
      </c>
    </row>
    <row r="202" spans="1:13">
      <c r="A202" s="48">
        <f t="shared" si="3"/>
        <v>201</v>
      </c>
      <c r="B202" s="47" t="s">
        <v>6</v>
      </c>
      <c r="C202" s="47" t="s">
        <v>249</v>
      </c>
      <c r="D202" s="47" t="s">
        <v>340</v>
      </c>
      <c r="E202" s="47"/>
      <c r="F202" s="47" t="s">
        <v>5725</v>
      </c>
      <c r="G202" s="47" t="s">
        <v>13</v>
      </c>
      <c r="H202" s="47" t="str">
        <f>IFERROR(VLOOKUP(Table2[[#This Row], [Ticket]],Okey!A:B,2,0),"")</f>
        <v>ok</v>
      </c>
      <c r="I202" s="47" t="s">
        <v>5290</v>
      </c>
      <c r="J202" s="47" t="s">
        <v>17</v>
      </c>
      <c r="K202" s="47"/>
      <c r="L202" s="47"/>
      <c r="M202" s="49" t="s">
        <v>4784</v>
      </c>
    </row>
    <row r="203" spans="1:13">
      <c r="A203" s="48">
        <f t="shared" si="3"/>
        <v>202</v>
      </c>
      <c r="B203" s="47" t="s">
        <v>6</v>
      </c>
      <c r="C203" s="47" t="s">
        <v>249</v>
      </c>
      <c r="D203" s="47" t="s">
        <v>1695</v>
      </c>
      <c r="E203" s="47"/>
      <c r="F203" s="47" t="s">
        <v>5725</v>
      </c>
      <c r="G203" s="47" t="s">
        <v>13</v>
      </c>
      <c r="H203" s="47" t="str">
        <f>IFERROR(VLOOKUP(Table2[[#This Row], [Ticket]],Okey!A:B,2,0),"")</f>
        <v>ok</v>
      </c>
      <c r="I203" s="47" t="s">
        <v>5290</v>
      </c>
      <c r="J203" s="47" t="s">
        <v>17</v>
      </c>
      <c r="K203" s="47"/>
      <c r="L203" s="47"/>
      <c r="M203" s="49" t="s">
        <v>4784</v>
      </c>
    </row>
    <row r="204" spans="1:13">
      <c r="A204" s="48">
        <f t="shared" si="3"/>
        <v>203</v>
      </c>
      <c r="B204" s="47" t="s">
        <v>6</v>
      </c>
      <c r="C204" s="47" t="s">
        <v>250</v>
      </c>
      <c r="D204" s="47" t="s">
        <v>5955</v>
      </c>
      <c r="E204" s="47" t="s">
        <v>5956</v>
      </c>
      <c r="F204" s="47" t="s">
        <v>5322</v>
      </c>
      <c r="G204" s="47" t="s">
        <v>14</v>
      </c>
      <c r="H204" s="47" t="str">
        <f>IFERROR(VLOOKUP(Table2[[#This Row], [Ticket]],Okey!A:B,2,0),"")</f>
        <v>ok</v>
      </c>
      <c r="I204" s="47" t="s">
        <v>5290</v>
      </c>
      <c r="J204" s="47" t="s">
        <v>20</v>
      </c>
      <c r="K204" s="47"/>
      <c r="L204" s="47"/>
      <c r="M204" s="49" t="s">
        <v>4794</v>
      </c>
    </row>
    <row r="205" spans="1:13">
      <c r="A205" s="48">
        <f t="shared" si="3"/>
        <v>204</v>
      </c>
      <c r="B205" s="47" t="s">
        <v>6</v>
      </c>
      <c r="C205" s="47" t="s">
        <v>250</v>
      </c>
      <c r="D205" s="47" t="s">
        <v>5957</v>
      </c>
      <c r="E205" s="47" t="s">
        <v>5956</v>
      </c>
      <c r="F205" s="47" t="s">
        <v>5393</v>
      </c>
      <c r="G205" s="47" t="s">
        <v>14</v>
      </c>
      <c r="H205" s="47" t="str">
        <f>IFERROR(VLOOKUP(Table2[[#This Row], [Ticket]],Okey!A:B,2,0),"")</f>
        <v>ok</v>
      </c>
      <c r="I205" s="47" t="s">
        <v>5290</v>
      </c>
      <c r="J205" s="47" t="s">
        <v>20</v>
      </c>
      <c r="K205" s="47"/>
      <c r="L205" s="47"/>
      <c r="M205" s="49" t="s">
        <v>4794</v>
      </c>
    </row>
    <row r="206" spans="1:13">
      <c r="A206" s="48">
        <f t="shared" si="3"/>
        <v>205</v>
      </c>
      <c r="B206" s="47" t="s">
        <v>6</v>
      </c>
      <c r="C206" s="47" t="s">
        <v>250</v>
      </c>
      <c r="D206" s="47" t="s">
        <v>5958</v>
      </c>
      <c r="E206" s="47" t="s">
        <v>5959</v>
      </c>
      <c r="F206" s="47" t="s">
        <v>5333</v>
      </c>
      <c r="G206" s="47" t="s">
        <v>14</v>
      </c>
      <c r="H206" s="47" t="str">
        <f>IFERROR(VLOOKUP(Table2[[#This Row], [Ticket]],Okey!A:B,2,0),"")</f>
        <v>ok</v>
      </c>
      <c r="I206" s="47" t="s">
        <v>5290</v>
      </c>
      <c r="J206" s="47" t="s">
        <v>20</v>
      </c>
      <c r="K206" s="47"/>
      <c r="L206" s="47"/>
      <c r="M206" s="49" t="s">
        <v>4794</v>
      </c>
    </row>
    <row r="207" spans="1:13">
      <c r="A207" s="48">
        <f t="shared" si="3"/>
        <v>206</v>
      </c>
      <c r="B207" s="47" t="s">
        <v>6</v>
      </c>
      <c r="C207" s="47" t="s">
        <v>251</v>
      </c>
      <c r="D207" s="47" t="s">
        <v>5960</v>
      </c>
      <c r="E207" s="47" t="s">
        <v>5961</v>
      </c>
      <c r="F207" s="47" t="s">
        <v>3642</v>
      </c>
      <c r="G207" s="47" t="s">
        <v>14</v>
      </c>
      <c r="H207" s="47" t="str">
        <f>IFERROR(VLOOKUP(Table2[[#This Row], [Ticket]],Okey!A:B,2,0),"")</f>
        <v>ok</v>
      </c>
      <c r="I207" s="47" t="s">
        <v>5290</v>
      </c>
      <c r="J207" s="47" t="s">
        <v>17</v>
      </c>
      <c r="K207" s="47"/>
      <c r="L207" s="47"/>
      <c r="M207" s="49" t="s">
        <v>4792</v>
      </c>
    </row>
    <row r="208" spans="1:13">
      <c r="A208" s="48">
        <f t="shared" si="3"/>
        <v>207</v>
      </c>
      <c r="B208" s="47" t="s">
        <v>6</v>
      </c>
      <c r="C208" s="47" t="s">
        <v>251</v>
      </c>
      <c r="D208" s="47" t="s">
        <v>5962</v>
      </c>
      <c r="E208" s="47" t="s">
        <v>5963</v>
      </c>
      <c r="F208" s="47" t="s">
        <v>3642</v>
      </c>
      <c r="G208" s="47" t="s">
        <v>14</v>
      </c>
      <c r="H208" s="47" t="str">
        <f>IFERROR(VLOOKUP(Table2[[#This Row], [Ticket]],Okey!A:B,2,0),"")</f>
        <v>ok</v>
      </c>
      <c r="I208" s="47" t="s">
        <v>5290</v>
      </c>
      <c r="J208" s="47" t="s">
        <v>17</v>
      </c>
      <c r="K208" s="47"/>
      <c r="L208" s="47"/>
      <c r="M208" s="49" t="s">
        <v>4792</v>
      </c>
    </row>
    <row r="209" spans="1:13">
      <c r="A209" s="48">
        <f t="shared" si="3"/>
        <v>208</v>
      </c>
      <c r="B209" s="47" t="s">
        <v>6</v>
      </c>
      <c r="C209" s="47" t="s">
        <v>252</v>
      </c>
      <c r="D209" s="47" t="s">
        <v>4529</v>
      </c>
      <c r="E209" s="47" t="s">
        <v>5964</v>
      </c>
      <c r="F209" s="47"/>
      <c r="G209" s="47" t="s">
        <v>15</v>
      </c>
      <c r="H209" s="47" t="str">
        <f>IFERROR(VLOOKUP(Table2[[#This Row], [Ticket]],Okey!A:B,2,0),"")</f>
        <v>ok</v>
      </c>
      <c r="I209" s="47" t="s">
        <v>5290</v>
      </c>
      <c r="J209" s="47" t="s">
        <v>20</v>
      </c>
      <c r="K209" s="47"/>
      <c r="L209" s="47"/>
      <c r="M209" s="49" t="s">
        <v>4794</v>
      </c>
    </row>
    <row r="210" spans="1:13">
      <c r="A210" s="48">
        <f t="shared" si="3"/>
        <v>209</v>
      </c>
      <c r="B210" s="47" t="s">
        <v>8</v>
      </c>
      <c r="C210" s="47" t="s">
        <v>21</v>
      </c>
      <c r="D210" s="47" t="s">
        <v>626</v>
      </c>
      <c r="E210" s="47"/>
      <c r="F210" s="47" t="s">
        <v>495</v>
      </c>
      <c r="G210" s="47" t="s">
        <v>13</v>
      </c>
      <c r="H210" s="47" t="str">
        <f>IFERROR(VLOOKUP(Table2[[#This Row], [Ticket]],Okey!A:B,2,0),"")</f>
        <v>ok</v>
      </c>
      <c r="I210" s="47" t="s">
        <v>5290</v>
      </c>
      <c r="J210" s="47" t="s">
        <v>17</v>
      </c>
      <c r="K210" s="47" t="s">
        <v>5965</v>
      </c>
      <c r="L210" s="47"/>
      <c r="M210" s="49" t="s">
        <v>3767</v>
      </c>
    </row>
    <row r="211" spans="1:13">
      <c r="A211" s="48">
        <f t="shared" si="3"/>
        <v>210</v>
      </c>
      <c r="B211" s="47" t="s">
        <v>8</v>
      </c>
      <c r="C211" s="47" t="s">
        <v>22</v>
      </c>
      <c r="D211" s="47" t="s">
        <v>1198</v>
      </c>
      <c r="E211" s="47"/>
      <c r="F211" s="47" t="s">
        <v>5725</v>
      </c>
      <c r="G211" s="47" t="s">
        <v>13</v>
      </c>
      <c r="H211" s="47" t="str">
        <f>IFERROR(VLOOKUP(Table2[[#This Row], [Ticket]],Okey!A:B,2,0),"")</f>
        <v>ok</v>
      </c>
      <c r="I211" s="47" t="s">
        <v>5290</v>
      </c>
      <c r="J211" s="47" t="s">
        <v>17</v>
      </c>
      <c r="K211" s="47" t="s">
        <v>5965</v>
      </c>
      <c r="L211" s="47"/>
      <c r="M211" s="49" t="s">
        <v>4784</v>
      </c>
    </row>
    <row r="212" spans="1:13">
      <c r="A212" s="48">
        <f t="shared" si="3"/>
        <v>211</v>
      </c>
      <c r="B212" s="47" t="s">
        <v>8</v>
      </c>
      <c r="C212" s="47" t="s">
        <v>23</v>
      </c>
      <c r="D212" s="47" t="s">
        <v>5966</v>
      </c>
      <c r="E212" s="47"/>
      <c r="F212" s="47" t="s">
        <v>377</v>
      </c>
      <c r="G212" s="47" t="s">
        <v>13</v>
      </c>
      <c r="H212" s="47" t="str">
        <f>IFERROR(VLOOKUP(Table2[[#This Row], [Ticket]],Okey!A:B,2,0),"")</f>
        <v>ok</v>
      </c>
      <c r="I212" s="47" t="s">
        <v>5290</v>
      </c>
      <c r="J212" s="47" t="s">
        <v>17</v>
      </c>
      <c r="K212" s="47" t="s">
        <v>5965</v>
      </c>
      <c r="L212" s="47"/>
      <c r="M212" s="49" t="s">
        <v>4784</v>
      </c>
    </row>
    <row r="213" spans="1:13">
      <c r="A213" s="48">
        <f t="shared" si="3"/>
        <v>212</v>
      </c>
      <c r="B213" s="47" t="s">
        <v>8</v>
      </c>
      <c r="C213" s="47" t="s">
        <v>23</v>
      </c>
      <c r="D213" s="47" t="s">
        <v>5967</v>
      </c>
      <c r="E213" s="47"/>
      <c r="F213" s="47" t="s">
        <v>377</v>
      </c>
      <c r="G213" s="47" t="s">
        <v>13</v>
      </c>
      <c r="H213" s="47" t="str">
        <f>IFERROR(VLOOKUP(Table2[[#This Row], [Ticket]],Okey!A:B,2,0),"")</f>
        <v>ok</v>
      </c>
      <c r="I213" s="47" t="s">
        <v>5290</v>
      </c>
      <c r="J213" s="47" t="s">
        <v>17</v>
      </c>
      <c r="K213" s="47" t="s">
        <v>5965</v>
      </c>
      <c r="L213" s="47"/>
      <c r="M213" s="49" t="s">
        <v>4784</v>
      </c>
    </row>
    <row r="214" spans="1:13">
      <c r="A214" s="48">
        <f t="shared" si="3"/>
        <v>213</v>
      </c>
      <c r="B214" s="47" t="s">
        <v>8</v>
      </c>
      <c r="C214" s="47" t="s">
        <v>23</v>
      </c>
      <c r="D214" s="47" t="s">
        <v>411</v>
      </c>
      <c r="E214" s="47"/>
      <c r="F214" s="47" t="s">
        <v>5725</v>
      </c>
      <c r="G214" s="47" t="s">
        <v>13</v>
      </c>
      <c r="H214" s="47" t="str">
        <f>IFERROR(VLOOKUP(Table2[[#This Row], [Ticket]],Okey!A:B,2,0),"")</f>
        <v>ok</v>
      </c>
      <c r="I214" s="47" t="s">
        <v>5290</v>
      </c>
      <c r="J214" s="47" t="s">
        <v>17</v>
      </c>
      <c r="K214" s="47" t="s">
        <v>5965</v>
      </c>
      <c r="L214" s="47"/>
      <c r="M214" s="49" t="s">
        <v>4784</v>
      </c>
    </row>
    <row r="215" spans="1:13">
      <c r="A215" s="48">
        <f t="shared" si="3"/>
        <v>214</v>
      </c>
      <c r="B215" s="47" t="s">
        <v>8</v>
      </c>
      <c r="C215" s="47" t="s">
        <v>23</v>
      </c>
      <c r="D215" s="47" t="s">
        <v>417</v>
      </c>
      <c r="E215" s="47"/>
      <c r="F215" s="47" t="s">
        <v>5725</v>
      </c>
      <c r="G215" s="47" t="s">
        <v>13</v>
      </c>
      <c r="H215" s="47" t="str">
        <f>IFERROR(VLOOKUP(Table2[[#This Row], [Ticket]],Okey!A:B,2,0),"")</f>
        <v>ok</v>
      </c>
      <c r="I215" s="47" t="s">
        <v>5290</v>
      </c>
      <c r="J215" s="47" t="s">
        <v>17</v>
      </c>
      <c r="K215" s="47" t="s">
        <v>5965</v>
      </c>
      <c r="L215" s="47"/>
      <c r="M215" s="49" t="s">
        <v>4784</v>
      </c>
    </row>
    <row r="216" spans="1:13">
      <c r="A216" s="48">
        <f t="shared" si="3"/>
        <v>215</v>
      </c>
      <c r="B216" s="47" t="s">
        <v>8</v>
      </c>
      <c r="C216" s="47" t="s">
        <v>23</v>
      </c>
      <c r="D216" s="47" t="s">
        <v>419</v>
      </c>
      <c r="E216" s="47"/>
      <c r="F216" s="47" t="s">
        <v>5725</v>
      </c>
      <c r="G216" s="47" t="s">
        <v>13</v>
      </c>
      <c r="H216" s="47" t="str">
        <f>IFERROR(VLOOKUP(Table2[[#This Row], [Ticket]],Okey!A:B,2,0),"")</f>
        <v>ok</v>
      </c>
      <c r="I216" s="47" t="s">
        <v>5290</v>
      </c>
      <c r="J216" s="47" t="s">
        <v>17</v>
      </c>
      <c r="K216" s="47" t="s">
        <v>5965</v>
      </c>
      <c r="L216" s="47"/>
      <c r="M216" s="49" t="s">
        <v>4784</v>
      </c>
    </row>
    <row r="217" spans="1:13">
      <c r="A217" s="48">
        <f t="shared" si="3"/>
        <v>216</v>
      </c>
      <c r="B217" s="47" t="s">
        <v>8</v>
      </c>
      <c r="C217" s="47" t="s">
        <v>5968</v>
      </c>
      <c r="D217" s="47" t="s">
        <v>3864</v>
      </c>
      <c r="E217" s="47" t="s">
        <v>4937</v>
      </c>
      <c r="F217" s="47"/>
      <c r="G217" s="47" t="s">
        <v>15</v>
      </c>
      <c r="H217" s="47" t="str">
        <f>IFERROR(VLOOKUP(Table2[[#This Row], [Ticket]],Okey!A:B,2,0),"")</f>
        <v>ok</v>
      </c>
      <c r="I217" s="47" t="s">
        <v>5290</v>
      </c>
      <c r="J217" s="47" t="s">
        <v>17</v>
      </c>
      <c r="K217" s="47" t="s">
        <v>5969</v>
      </c>
      <c r="L217" s="47"/>
      <c r="M217" s="49" t="s">
        <v>4784</v>
      </c>
    </row>
    <row r="218" spans="1:13">
      <c r="A218" s="48">
        <f t="shared" si="3"/>
        <v>217</v>
      </c>
      <c r="B218" s="47" t="s">
        <v>8</v>
      </c>
      <c r="C218" s="47" t="s">
        <v>5968</v>
      </c>
      <c r="D218" s="47" t="s">
        <v>4939</v>
      </c>
      <c r="E218" s="47" t="s">
        <v>4940</v>
      </c>
      <c r="F218" s="47"/>
      <c r="G218" s="47" t="s">
        <v>15</v>
      </c>
      <c r="H218" s="47" t="str">
        <f>IFERROR(VLOOKUP(Table2[[#This Row], [Ticket]],Okey!A:B,2,0),"")</f>
        <v>ok</v>
      </c>
      <c r="I218" s="47" t="s">
        <v>5290</v>
      </c>
      <c r="J218" s="47" t="s">
        <v>17</v>
      </c>
      <c r="K218" s="47" t="s">
        <v>5969</v>
      </c>
      <c r="L218" s="47"/>
      <c r="M218" s="49" t="s">
        <v>4784</v>
      </c>
    </row>
    <row r="219" spans="1:13">
      <c r="A219" s="48">
        <f t="shared" si="3"/>
        <v>218</v>
      </c>
      <c r="B219" s="47" t="s">
        <v>8</v>
      </c>
      <c r="C219" s="47" t="s">
        <v>5968</v>
      </c>
      <c r="D219" s="47" t="s">
        <v>4941</v>
      </c>
      <c r="E219" s="47" t="s">
        <v>4942</v>
      </c>
      <c r="F219" s="47"/>
      <c r="G219" s="47" t="s">
        <v>15</v>
      </c>
      <c r="H219" s="47" t="str">
        <f>IFERROR(VLOOKUP(Table2[[#This Row], [Ticket]],Okey!A:B,2,0),"")</f>
        <v>ok</v>
      </c>
      <c r="I219" s="47" t="s">
        <v>5290</v>
      </c>
      <c r="J219" s="47" t="s">
        <v>17</v>
      </c>
      <c r="K219" s="47" t="s">
        <v>5969</v>
      </c>
      <c r="L219" s="47"/>
      <c r="M219" s="49" t="s">
        <v>4784</v>
      </c>
    </row>
    <row r="220" spans="1:13">
      <c r="A220" s="48">
        <f t="shared" si="3"/>
        <v>219</v>
      </c>
      <c r="B220" s="47" t="s">
        <v>8</v>
      </c>
      <c r="C220" s="47" t="s">
        <v>5968</v>
      </c>
      <c r="D220" s="47" t="s">
        <v>4943</v>
      </c>
      <c r="E220" s="47" t="s">
        <v>5970</v>
      </c>
      <c r="F220" s="47"/>
      <c r="G220" s="47" t="s">
        <v>15</v>
      </c>
      <c r="H220" s="47" t="str">
        <f>IFERROR(VLOOKUP(Table2[[#This Row], [Ticket]],Okey!A:B,2,0),"")</f>
        <v>ok</v>
      </c>
      <c r="I220" s="47" t="s">
        <v>5290</v>
      </c>
      <c r="J220" s="47" t="s">
        <v>17</v>
      </c>
      <c r="K220" s="47" t="s">
        <v>5969</v>
      </c>
      <c r="L220" s="47"/>
      <c r="M220" s="49" t="s">
        <v>4784</v>
      </c>
    </row>
    <row r="221" spans="1:13">
      <c r="A221" s="48">
        <f t="shared" si="3"/>
        <v>220</v>
      </c>
      <c r="B221" s="47" t="s">
        <v>8</v>
      </c>
      <c r="C221" s="47" t="s">
        <v>5971</v>
      </c>
      <c r="D221" s="47" t="s">
        <v>4945</v>
      </c>
      <c r="E221" s="47" t="s">
        <v>5972</v>
      </c>
      <c r="F221" s="47"/>
      <c r="G221" s="47" t="s">
        <v>15</v>
      </c>
      <c r="H221" s="47" t="str">
        <f>IFERROR(VLOOKUP(Table2[[#This Row], [Ticket]],Okey!A:B,2,0),"")</f>
        <v>ok</v>
      </c>
      <c r="I221" s="47" t="s">
        <v>5290</v>
      </c>
      <c r="J221" s="47" t="s">
        <v>17</v>
      </c>
      <c r="K221" s="47" t="s">
        <v>5969</v>
      </c>
      <c r="L221" s="47"/>
      <c r="M221" s="49" t="s">
        <v>4784</v>
      </c>
    </row>
    <row r="222" spans="1:13">
      <c r="A222" s="48">
        <f t="shared" si="3"/>
        <v>221</v>
      </c>
      <c r="B222" s="47" t="s">
        <v>8</v>
      </c>
      <c r="C222" s="47" t="s">
        <v>5973</v>
      </c>
      <c r="D222" s="47" t="s">
        <v>4947</v>
      </c>
      <c r="E222" s="47" t="s">
        <v>4948</v>
      </c>
      <c r="F222" s="47" t="s">
        <v>345</v>
      </c>
      <c r="G222" s="47" t="s">
        <v>16</v>
      </c>
      <c r="H222" s="47" t="str">
        <f>IFERROR(VLOOKUP(Table2[[#This Row], [Ticket]],Okey!A:B,2,0),"")</f>
        <v>ok</v>
      </c>
      <c r="I222" s="47" t="s">
        <v>5290</v>
      </c>
      <c r="J222" s="47" t="s">
        <v>17</v>
      </c>
      <c r="K222" s="47" t="s">
        <v>5969</v>
      </c>
      <c r="L222" s="47"/>
      <c r="M222" s="49" t="s">
        <v>4784</v>
      </c>
    </row>
    <row r="223" spans="1:13">
      <c r="A223" s="48">
        <f t="shared" si="3"/>
        <v>222</v>
      </c>
      <c r="B223" s="47" t="s">
        <v>8</v>
      </c>
      <c r="C223" s="47" t="s">
        <v>5974</v>
      </c>
      <c r="D223" s="47" t="s">
        <v>4802</v>
      </c>
      <c r="E223" s="47" t="s">
        <v>4949</v>
      </c>
      <c r="F223" s="47" t="s">
        <v>4801</v>
      </c>
      <c r="G223" s="47" t="s">
        <v>14</v>
      </c>
      <c r="H223" s="47" t="str">
        <f>IFERROR(VLOOKUP(Table2[[#This Row], [Ticket]],Okey!A:B,2,0),"")</f>
        <v>ok</v>
      </c>
      <c r="I223" s="47" t="s">
        <v>5290</v>
      </c>
      <c r="J223" s="47" t="s">
        <v>18</v>
      </c>
      <c r="K223" s="47" t="s">
        <v>5969</v>
      </c>
      <c r="L223" s="47"/>
      <c r="M223" s="49" t="s">
        <v>4799</v>
      </c>
    </row>
    <row r="224" spans="1:13">
      <c r="A224" s="48">
        <f t="shared" si="3"/>
        <v>223</v>
      </c>
      <c r="B224" s="47" t="s">
        <v>8</v>
      </c>
      <c r="C224" s="47" t="s">
        <v>5974</v>
      </c>
      <c r="D224" s="47" t="s">
        <v>4805</v>
      </c>
      <c r="E224" s="47" t="s">
        <v>4950</v>
      </c>
      <c r="F224" s="47" t="s">
        <v>4801</v>
      </c>
      <c r="G224" s="47" t="s">
        <v>14</v>
      </c>
      <c r="H224" s="47" t="str">
        <f>IFERROR(VLOOKUP(Table2[[#This Row], [Ticket]],Okey!A:B,2,0),"")</f>
        <v>ok</v>
      </c>
      <c r="I224" s="47" t="s">
        <v>5290</v>
      </c>
      <c r="J224" s="47" t="s">
        <v>18</v>
      </c>
      <c r="K224" s="47" t="s">
        <v>5969</v>
      </c>
      <c r="L224" s="47"/>
      <c r="M224" s="49" t="s">
        <v>4799</v>
      </c>
    </row>
    <row r="225" spans="1:13">
      <c r="A225" s="48">
        <f t="shared" si="3"/>
        <v>224</v>
      </c>
      <c r="B225" s="47" t="s">
        <v>8</v>
      </c>
      <c r="C225" s="47" t="s">
        <v>5974</v>
      </c>
      <c r="D225" s="47" t="s">
        <v>4808</v>
      </c>
      <c r="E225" s="47" t="s">
        <v>4951</v>
      </c>
      <c r="F225" s="47" t="s">
        <v>4801</v>
      </c>
      <c r="G225" s="47" t="s">
        <v>14</v>
      </c>
      <c r="H225" s="47" t="str">
        <f>IFERROR(VLOOKUP(Table2[[#This Row], [Ticket]],Okey!A:B,2,0),"")</f>
        <v>ok</v>
      </c>
      <c r="I225" s="47" t="s">
        <v>5290</v>
      </c>
      <c r="J225" s="47" t="s">
        <v>18</v>
      </c>
      <c r="K225" s="47" t="s">
        <v>5969</v>
      </c>
      <c r="L225" s="47"/>
      <c r="M225" s="49" t="s">
        <v>4799</v>
      </c>
    </row>
    <row r="226" spans="1:13">
      <c r="A226" s="48">
        <f t="shared" si="3"/>
        <v>225</v>
      </c>
      <c r="B226" s="47" t="s">
        <v>8</v>
      </c>
      <c r="C226" s="47" t="s">
        <v>5974</v>
      </c>
      <c r="D226" s="47" t="s">
        <v>4810</v>
      </c>
      <c r="E226" s="47" t="s">
        <v>4952</v>
      </c>
      <c r="F226" s="47" t="s">
        <v>4801</v>
      </c>
      <c r="G226" s="47" t="s">
        <v>14</v>
      </c>
      <c r="H226" s="47" t="str">
        <f>IFERROR(VLOOKUP(Table2[[#This Row], [Ticket]],Okey!A:B,2,0),"")</f>
        <v>ok</v>
      </c>
      <c r="I226" s="47" t="s">
        <v>5290</v>
      </c>
      <c r="J226" s="47" t="s">
        <v>18</v>
      </c>
      <c r="K226" s="47" t="s">
        <v>5969</v>
      </c>
      <c r="L226" s="47"/>
      <c r="M226" s="49" t="s">
        <v>4799</v>
      </c>
    </row>
    <row r="227" spans="1:13">
      <c r="A227" s="48">
        <f t="shared" si="3"/>
        <v>226</v>
      </c>
      <c r="B227" s="47" t="s">
        <v>8</v>
      </c>
      <c r="C227" s="47" t="s">
        <v>5974</v>
      </c>
      <c r="D227" s="47" t="s">
        <v>4812</v>
      </c>
      <c r="E227" s="47" t="s">
        <v>4953</v>
      </c>
      <c r="F227" s="47" t="s">
        <v>1681</v>
      </c>
      <c r="G227" s="47" t="s">
        <v>14</v>
      </c>
      <c r="H227" s="47" t="str">
        <f>IFERROR(VLOOKUP(Table2[[#This Row], [Ticket]],Okey!A:B,2,0),"")</f>
        <v>ok</v>
      </c>
      <c r="I227" s="47" t="s">
        <v>5290</v>
      </c>
      <c r="J227" s="47" t="s">
        <v>18</v>
      </c>
      <c r="K227" s="47" t="s">
        <v>5969</v>
      </c>
      <c r="L227" s="47"/>
      <c r="M227" s="49" t="s">
        <v>4799</v>
      </c>
    </row>
    <row r="228" spans="1:13">
      <c r="A228" s="48">
        <f t="shared" si="3"/>
        <v>227</v>
      </c>
      <c r="B228" s="47" t="s">
        <v>8</v>
      </c>
      <c r="C228" s="47" t="s">
        <v>5974</v>
      </c>
      <c r="D228" s="47" t="s">
        <v>4815</v>
      </c>
      <c r="E228" s="47" t="s">
        <v>4954</v>
      </c>
      <c r="F228" s="47" t="s">
        <v>4814</v>
      </c>
      <c r="G228" s="47" t="s">
        <v>14</v>
      </c>
      <c r="H228" s="47" t="str">
        <f>IFERROR(VLOOKUP(Table2[[#This Row], [Ticket]],Okey!A:B,2,0),"")</f>
        <v>ok</v>
      </c>
      <c r="I228" s="47" t="s">
        <v>5290</v>
      </c>
      <c r="J228" s="47" t="s">
        <v>18</v>
      </c>
      <c r="K228" s="47" t="s">
        <v>5969</v>
      </c>
      <c r="L228" s="47"/>
      <c r="M228" s="49" t="s">
        <v>4799</v>
      </c>
    </row>
    <row r="229" spans="1:13">
      <c r="A229" s="48">
        <f t="shared" si="3"/>
        <v>228</v>
      </c>
      <c r="B229" s="47" t="s">
        <v>8</v>
      </c>
      <c r="C229" s="47" t="s">
        <v>5974</v>
      </c>
      <c r="D229" s="47" t="s">
        <v>4817</v>
      </c>
      <c r="E229" s="47" t="s">
        <v>4955</v>
      </c>
      <c r="F229" s="47" t="s">
        <v>1906</v>
      </c>
      <c r="G229" s="47" t="s">
        <v>14</v>
      </c>
      <c r="H229" s="47" t="str">
        <f>IFERROR(VLOOKUP(Table2[[#This Row], [Ticket]],Okey!A:B,2,0),"")</f>
        <v>ok</v>
      </c>
      <c r="I229" s="47" t="s">
        <v>5290</v>
      </c>
      <c r="J229" s="47" t="s">
        <v>18</v>
      </c>
      <c r="K229" s="47" t="s">
        <v>5969</v>
      </c>
      <c r="L229" s="47"/>
      <c r="M229" s="49" t="s">
        <v>4799</v>
      </c>
    </row>
    <row r="230" spans="1:13">
      <c r="A230" s="48">
        <f t="shared" si="3"/>
        <v>229</v>
      </c>
      <c r="B230" s="47" t="s">
        <v>8</v>
      </c>
      <c r="C230" s="47" t="s">
        <v>5974</v>
      </c>
      <c r="D230" s="47" t="s">
        <v>4819</v>
      </c>
      <c r="E230" s="47" t="s">
        <v>4956</v>
      </c>
      <c r="F230" s="47" t="s">
        <v>1352</v>
      </c>
      <c r="G230" s="47" t="s">
        <v>14</v>
      </c>
      <c r="H230" s="47" t="str">
        <f>IFERROR(VLOOKUP(Table2[[#This Row], [Ticket]],Okey!A:B,2,0),"")</f>
        <v>ok</v>
      </c>
      <c r="I230" s="47" t="s">
        <v>5290</v>
      </c>
      <c r="J230" s="47" t="s">
        <v>18</v>
      </c>
      <c r="K230" s="47" t="s">
        <v>5969</v>
      </c>
      <c r="L230" s="47"/>
      <c r="M230" s="49" t="s">
        <v>4799</v>
      </c>
    </row>
    <row r="231" spans="1:13">
      <c r="A231" s="48">
        <f t="shared" si="3"/>
        <v>230</v>
      </c>
      <c r="B231" s="47" t="s">
        <v>8</v>
      </c>
      <c r="C231" s="47" t="s">
        <v>5974</v>
      </c>
      <c r="D231" s="47" t="s">
        <v>4821</v>
      </c>
      <c r="E231" s="47" t="s">
        <v>4957</v>
      </c>
      <c r="F231" s="47" t="s">
        <v>4819</v>
      </c>
      <c r="G231" s="47" t="s">
        <v>14</v>
      </c>
      <c r="H231" s="47" t="str">
        <f>IFERROR(VLOOKUP(Table2[[#This Row], [Ticket]],Okey!A:B,2,0),"")</f>
        <v>ok</v>
      </c>
      <c r="I231" s="47" t="s">
        <v>5290</v>
      </c>
      <c r="J231" s="47" t="s">
        <v>18</v>
      </c>
      <c r="K231" s="47" t="s">
        <v>5969</v>
      </c>
      <c r="L231" s="47"/>
      <c r="M231" s="49" t="s">
        <v>4799</v>
      </c>
    </row>
    <row r="232" spans="1:13">
      <c r="A232" s="48">
        <f t="shared" si="3"/>
        <v>231</v>
      </c>
      <c r="B232" s="47" t="s">
        <v>8</v>
      </c>
      <c r="C232" s="47" t="s">
        <v>5974</v>
      </c>
      <c r="D232" s="47" t="s">
        <v>4823</v>
      </c>
      <c r="E232" s="47" t="s">
        <v>4958</v>
      </c>
      <c r="F232" s="47" t="s">
        <v>4819</v>
      </c>
      <c r="G232" s="47" t="s">
        <v>14</v>
      </c>
      <c r="H232" s="47" t="str">
        <f>IFERROR(VLOOKUP(Table2[[#This Row], [Ticket]],Okey!A:B,2,0),"")</f>
        <v>ok</v>
      </c>
      <c r="I232" s="47" t="s">
        <v>5290</v>
      </c>
      <c r="J232" s="47" t="s">
        <v>18</v>
      </c>
      <c r="K232" s="47" t="s">
        <v>5969</v>
      </c>
      <c r="L232" s="47"/>
      <c r="M232" s="49" t="s">
        <v>4799</v>
      </c>
    </row>
    <row r="233" spans="1:13">
      <c r="A233" s="48">
        <f t="shared" si="3"/>
        <v>232</v>
      </c>
      <c r="B233" s="47" t="s">
        <v>8</v>
      </c>
      <c r="C233" s="47" t="s">
        <v>5974</v>
      </c>
      <c r="D233" s="47" t="s">
        <v>4826</v>
      </c>
      <c r="E233" s="47" t="s">
        <v>4959</v>
      </c>
      <c r="F233" s="47" t="s">
        <v>4825</v>
      </c>
      <c r="G233" s="47" t="s">
        <v>14</v>
      </c>
      <c r="H233" s="47" t="str">
        <f>IFERROR(VLOOKUP(Table2[[#This Row], [Ticket]],Okey!A:B,2,0),"")</f>
        <v>ok</v>
      </c>
      <c r="I233" s="47" t="s">
        <v>5290</v>
      </c>
      <c r="J233" s="47" t="s">
        <v>18</v>
      </c>
      <c r="K233" s="47" t="s">
        <v>5969</v>
      </c>
      <c r="L233" s="47"/>
      <c r="M233" s="49" t="s">
        <v>4799</v>
      </c>
    </row>
    <row r="234" spans="1:13">
      <c r="A234" s="48">
        <f t="shared" si="3"/>
        <v>233</v>
      </c>
      <c r="B234" s="47" t="s">
        <v>8</v>
      </c>
      <c r="C234" s="47" t="s">
        <v>5974</v>
      </c>
      <c r="D234" s="47" t="s">
        <v>4829</v>
      </c>
      <c r="E234" s="47" t="s">
        <v>4960</v>
      </c>
      <c r="F234" s="47" t="s">
        <v>4828</v>
      </c>
      <c r="G234" s="47" t="s">
        <v>14</v>
      </c>
      <c r="H234" s="47" t="str">
        <f>IFERROR(VLOOKUP(Table2[[#This Row], [Ticket]],Okey!A:B,2,0),"")</f>
        <v>ok</v>
      </c>
      <c r="I234" s="47" t="s">
        <v>5290</v>
      </c>
      <c r="J234" s="47" t="s">
        <v>18</v>
      </c>
      <c r="K234" s="47" t="s">
        <v>5969</v>
      </c>
      <c r="L234" s="47"/>
      <c r="M234" s="49" t="s">
        <v>4799</v>
      </c>
    </row>
    <row r="235" spans="1:13">
      <c r="A235" s="48">
        <f t="shared" si="3"/>
        <v>234</v>
      </c>
      <c r="B235" s="47" t="s">
        <v>8</v>
      </c>
      <c r="C235" s="47" t="s">
        <v>5974</v>
      </c>
      <c r="D235" s="47" t="s">
        <v>4832</v>
      </c>
      <c r="E235" s="47" t="s">
        <v>4961</v>
      </c>
      <c r="F235" s="47" t="s">
        <v>4831</v>
      </c>
      <c r="G235" s="47" t="s">
        <v>14</v>
      </c>
      <c r="H235" s="47" t="str">
        <f>IFERROR(VLOOKUP(Table2[[#This Row], [Ticket]],Okey!A:B,2,0),"")</f>
        <v>ok</v>
      </c>
      <c r="I235" s="47" t="s">
        <v>5290</v>
      </c>
      <c r="J235" s="47" t="s">
        <v>18</v>
      </c>
      <c r="K235" s="47" t="s">
        <v>5969</v>
      </c>
      <c r="L235" s="47"/>
      <c r="M235" s="49" t="s">
        <v>4799</v>
      </c>
    </row>
    <row r="236" spans="1:13">
      <c r="A236" s="48">
        <f t="shared" si="3"/>
        <v>235</v>
      </c>
      <c r="B236" s="47" t="s">
        <v>8</v>
      </c>
      <c r="C236" s="47" t="s">
        <v>5974</v>
      </c>
      <c r="D236" s="47" t="s">
        <v>4834</v>
      </c>
      <c r="E236" s="47" t="s">
        <v>4962</v>
      </c>
      <c r="F236" s="47" t="s">
        <v>3497</v>
      </c>
      <c r="G236" s="47" t="s">
        <v>14</v>
      </c>
      <c r="H236" s="47" t="str">
        <f>IFERROR(VLOOKUP(Table2[[#This Row], [Ticket]],Okey!A:B,2,0),"")</f>
        <v>ok</v>
      </c>
      <c r="I236" s="47" t="s">
        <v>5290</v>
      </c>
      <c r="J236" s="47" t="s">
        <v>18</v>
      </c>
      <c r="K236" s="47" t="s">
        <v>5969</v>
      </c>
      <c r="L236" s="47"/>
      <c r="M236" s="49" t="s">
        <v>4799</v>
      </c>
    </row>
    <row r="237" spans="1:13">
      <c r="A237" s="48">
        <f t="shared" si="3"/>
        <v>236</v>
      </c>
      <c r="B237" s="47" t="s">
        <v>8</v>
      </c>
      <c r="C237" s="47" t="s">
        <v>5974</v>
      </c>
      <c r="D237" s="47" t="s">
        <v>4836</v>
      </c>
      <c r="E237" s="47" t="s">
        <v>4963</v>
      </c>
      <c r="F237" s="47" t="s">
        <v>3497</v>
      </c>
      <c r="G237" s="47" t="s">
        <v>14</v>
      </c>
      <c r="H237" s="47" t="str">
        <f>IFERROR(VLOOKUP(Table2[[#This Row], [Ticket]],Okey!A:B,2,0),"")</f>
        <v>ok</v>
      </c>
      <c r="I237" s="47" t="s">
        <v>5290</v>
      </c>
      <c r="J237" s="47" t="s">
        <v>18</v>
      </c>
      <c r="K237" s="47" t="s">
        <v>5969</v>
      </c>
      <c r="L237" s="47"/>
      <c r="M237" s="49" t="s">
        <v>4799</v>
      </c>
    </row>
    <row r="238" spans="1:13">
      <c r="A238" s="48">
        <f t="shared" si="3"/>
        <v>237</v>
      </c>
      <c r="B238" s="47" t="s">
        <v>8</v>
      </c>
      <c r="C238" s="47" t="s">
        <v>5974</v>
      </c>
      <c r="D238" s="47" t="s">
        <v>4839</v>
      </c>
      <c r="E238" s="47" t="s">
        <v>4964</v>
      </c>
      <c r="F238" s="47" t="s">
        <v>3497</v>
      </c>
      <c r="G238" s="47" t="s">
        <v>14</v>
      </c>
      <c r="H238" s="47" t="str">
        <f>IFERROR(VLOOKUP(Table2[[#This Row], [Ticket]],Okey!A:B,2,0),"")</f>
        <v>ok</v>
      </c>
      <c r="I238" s="47" t="s">
        <v>5290</v>
      </c>
      <c r="J238" s="47" t="s">
        <v>18</v>
      </c>
      <c r="K238" s="47" t="s">
        <v>5969</v>
      </c>
      <c r="L238" s="47"/>
      <c r="M238" s="49" t="s">
        <v>4799</v>
      </c>
    </row>
    <row r="239" spans="1:13">
      <c r="A239" s="48">
        <f t="shared" si="3"/>
        <v>238</v>
      </c>
      <c r="B239" s="47" t="s">
        <v>8</v>
      </c>
      <c r="C239" s="47" t="s">
        <v>5974</v>
      </c>
      <c r="D239" s="47" t="s">
        <v>4842</v>
      </c>
      <c r="E239" s="47" t="s">
        <v>4965</v>
      </c>
      <c r="F239" s="47" t="s">
        <v>3497</v>
      </c>
      <c r="G239" s="47" t="s">
        <v>14</v>
      </c>
      <c r="H239" s="47" t="str">
        <f>IFERROR(VLOOKUP(Table2[[#This Row], [Ticket]],Okey!A:B,2,0),"")</f>
        <v>ok</v>
      </c>
      <c r="I239" s="47" t="s">
        <v>5290</v>
      </c>
      <c r="J239" s="47" t="s">
        <v>18</v>
      </c>
      <c r="K239" s="47" t="s">
        <v>5969</v>
      </c>
      <c r="L239" s="47"/>
      <c r="M239" s="49" t="s">
        <v>4799</v>
      </c>
    </row>
    <row r="240" spans="1:13">
      <c r="A240" s="48">
        <f t="shared" si="3"/>
        <v>239</v>
      </c>
      <c r="B240" s="47" t="s">
        <v>8</v>
      </c>
      <c r="C240" s="47" t="s">
        <v>5974</v>
      </c>
      <c r="D240" s="47" t="s">
        <v>4845</v>
      </c>
      <c r="E240" s="47" t="s">
        <v>4966</v>
      </c>
      <c r="F240" s="47" t="s">
        <v>3497</v>
      </c>
      <c r="G240" s="47" t="s">
        <v>14</v>
      </c>
      <c r="H240" s="47" t="str">
        <f>IFERROR(VLOOKUP(Table2[[#This Row], [Ticket]],Okey!A:B,2,0),"")</f>
        <v>ok</v>
      </c>
      <c r="I240" s="47" t="s">
        <v>5290</v>
      </c>
      <c r="J240" s="47" t="s">
        <v>18</v>
      </c>
      <c r="K240" s="47" t="s">
        <v>5969</v>
      </c>
      <c r="L240" s="47"/>
      <c r="M240" s="49" t="s">
        <v>4799</v>
      </c>
    </row>
    <row r="241" spans="1:13">
      <c r="A241" s="48">
        <f t="shared" si="3"/>
        <v>240</v>
      </c>
      <c r="B241" s="47" t="s">
        <v>8</v>
      </c>
      <c r="C241" s="47" t="s">
        <v>5974</v>
      </c>
      <c r="D241" s="47" t="s">
        <v>4847</v>
      </c>
      <c r="E241" s="47" t="s">
        <v>4967</v>
      </c>
      <c r="F241" s="47" t="s">
        <v>3497</v>
      </c>
      <c r="G241" s="47" t="s">
        <v>14</v>
      </c>
      <c r="H241" s="47" t="str">
        <f>IFERROR(VLOOKUP(Table2[[#This Row], [Ticket]],Okey!A:B,2,0),"")</f>
        <v>ok</v>
      </c>
      <c r="I241" s="47" t="s">
        <v>5290</v>
      </c>
      <c r="J241" s="47" t="s">
        <v>18</v>
      </c>
      <c r="K241" s="47" t="s">
        <v>5969</v>
      </c>
      <c r="L241" s="47"/>
      <c r="M241" s="49" t="s">
        <v>4799</v>
      </c>
    </row>
    <row r="242" spans="1:13">
      <c r="A242" s="48">
        <f t="shared" si="3"/>
        <v>241</v>
      </c>
      <c r="B242" s="47" t="s">
        <v>8</v>
      </c>
      <c r="C242" s="47" t="s">
        <v>5974</v>
      </c>
      <c r="D242" s="47" t="s">
        <v>4849</v>
      </c>
      <c r="E242" s="47" t="s">
        <v>4968</v>
      </c>
      <c r="F242" s="47" t="s">
        <v>3497</v>
      </c>
      <c r="G242" s="47" t="s">
        <v>14</v>
      </c>
      <c r="H242" s="47" t="str">
        <f>IFERROR(VLOOKUP(Table2[[#This Row], [Ticket]],Okey!A:B,2,0),"")</f>
        <v>ok</v>
      </c>
      <c r="I242" s="47" t="s">
        <v>5290</v>
      </c>
      <c r="J242" s="47" t="s">
        <v>18</v>
      </c>
      <c r="K242" s="47" t="s">
        <v>5969</v>
      </c>
      <c r="L242" s="47"/>
      <c r="M242" s="49" t="s">
        <v>4799</v>
      </c>
    </row>
    <row r="243" spans="1:13">
      <c r="A243" s="48">
        <f t="shared" si="3"/>
        <v>242</v>
      </c>
      <c r="B243" s="47" t="s">
        <v>8</v>
      </c>
      <c r="C243" s="47" t="s">
        <v>5974</v>
      </c>
      <c r="D243" s="47" t="s">
        <v>4852</v>
      </c>
      <c r="E243" s="47" t="s">
        <v>4969</v>
      </c>
      <c r="F243" s="47" t="s">
        <v>3495</v>
      </c>
      <c r="G243" s="47" t="s">
        <v>14</v>
      </c>
      <c r="H243" s="47" t="str">
        <f>IFERROR(VLOOKUP(Table2[[#This Row], [Ticket]],Okey!A:B,2,0),"")</f>
        <v>ok</v>
      </c>
      <c r="I243" s="47" t="s">
        <v>5290</v>
      </c>
      <c r="J243" s="47" t="s">
        <v>18</v>
      </c>
      <c r="K243" s="47" t="s">
        <v>5969</v>
      </c>
      <c r="L243" s="47"/>
      <c r="M243" s="49" t="s">
        <v>4799</v>
      </c>
    </row>
    <row r="244" spans="1:13">
      <c r="A244" s="48">
        <f t="shared" si="3"/>
        <v>243</v>
      </c>
      <c r="B244" s="47" t="s">
        <v>8</v>
      </c>
      <c r="C244" s="47" t="s">
        <v>5974</v>
      </c>
      <c r="D244" s="47" t="s">
        <v>4854</v>
      </c>
      <c r="E244" s="47" t="s">
        <v>4970</v>
      </c>
      <c r="F244" s="47" t="s">
        <v>3495</v>
      </c>
      <c r="G244" s="47" t="s">
        <v>14</v>
      </c>
      <c r="H244" s="47" t="str">
        <f>IFERROR(VLOOKUP(Table2[[#This Row], [Ticket]],Okey!A:B,2,0),"")</f>
        <v>ok</v>
      </c>
      <c r="I244" s="47" t="s">
        <v>5290</v>
      </c>
      <c r="J244" s="47" t="s">
        <v>18</v>
      </c>
      <c r="K244" s="47" t="s">
        <v>5969</v>
      </c>
      <c r="L244" s="47"/>
      <c r="M244" s="49" t="s">
        <v>4799</v>
      </c>
    </row>
    <row r="245" spans="1:13">
      <c r="A245" s="48">
        <f t="shared" si="3"/>
        <v>244</v>
      </c>
      <c r="B245" s="47" t="s">
        <v>8</v>
      </c>
      <c r="C245" s="47" t="s">
        <v>5974</v>
      </c>
      <c r="D245" s="47" t="s">
        <v>4856</v>
      </c>
      <c r="E245" s="47" t="s">
        <v>4971</v>
      </c>
      <c r="F245" s="47" t="s">
        <v>3495</v>
      </c>
      <c r="G245" s="47" t="s">
        <v>14</v>
      </c>
      <c r="H245" s="47" t="str">
        <f>IFERROR(VLOOKUP(Table2[[#This Row], [Ticket]],Okey!A:B,2,0),"")</f>
        <v>ok</v>
      </c>
      <c r="I245" s="47" t="s">
        <v>5290</v>
      </c>
      <c r="J245" s="47" t="s">
        <v>18</v>
      </c>
      <c r="K245" s="47" t="s">
        <v>5969</v>
      </c>
      <c r="L245" s="47"/>
      <c r="M245" s="49" t="s">
        <v>4799</v>
      </c>
    </row>
    <row r="246" spans="1:13">
      <c r="A246" s="48">
        <f t="shared" si="3"/>
        <v>245</v>
      </c>
      <c r="B246" s="47" t="s">
        <v>8</v>
      </c>
      <c r="C246" s="47" t="s">
        <v>5974</v>
      </c>
      <c r="D246" s="47" t="s">
        <v>4858</v>
      </c>
      <c r="E246" s="47" t="s">
        <v>4972</v>
      </c>
      <c r="F246" s="47" t="s">
        <v>3495</v>
      </c>
      <c r="G246" s="47" t="s">
        <v>14</v>
      </c>
      <c r="H246" s="47" t="str">
        <f>IFERROR(VLOOKUP(Table2[[#This Row], [Ticket]],Okey!A:B,2,0),"")</f>
        <v>ok</v>
      </c>
      <c r="I246" s="47" t="s">
        <v>5290</v>
      </c>
      <c r="J246" s="47" t="s">
        <v>18</v>
      </c>
      <c r="K246" s="47" t="s">
        <v>5969</v>
      </c>
      <c r="L246" s="47"/>
      <c r="M246" s="49" t="s">
        <v>4799</v>
      </c>
    </row>
    <row r="247" spans="1:13">
      <c r="A247" s="48">
        <f t="shared" si="3"/>
        <v>246</v>
      </c>
      <c r="B247" s="47" t="s">
        <v>8</v>
      </c>
      <c r="C247" s="47" t="s">
        <v>5974</v>
      </c>
      <c r="D247" s="47" t="s">
        <v>4860</v>
      </c>
      <c r="E247" s="47" t="s">
        <v>4973</v>
      </c>
      <c r="F247" s="47" t="s">
        <v>3495</v>
      </c>
      <c r="G247" s="47" t="s">
        <v>14</v>
      </c>
      <c r="H247" s="47" t="str">
        <f>IFERROR(VLOOKUP(Table2[[#This Row], [Ticket]],Okey!A:B,2,0),"")</f>
        <v>ok</v>
      </c>
      <c r="I247" s="47" t="s">
        <v>5290</v>
      </c>
      <c r="J247" s="47" t="s">
        <v>18</v>
      </c>
      <c r="K247" s="47" t="s">
        <v>5969</v>
      </c>
      <c r="L247" s="47"/>
      <c r="M247" s="49" t="s">
        <v>4799</v>
      </c>
    </row>
    <row r="248" spans="1:13">
      <c r="A248" s="48">
        <f t="shared" si="3"/>
        <v>247</v>
      </c>
      <c r="B248" s="47" t="s">
        <v>8</v>
      </c>
      <c r="C248" s="47" t="s">
        <v>5974</v>
      </c>
      <c r="D248" s="47" t="s">
        <v>4862</v>
      </c>
      <c r="E248" s="47" t="s">
        <v>4974</v>
      </c>
      <c r="F248" s="47" t="s">
        <v>3495</v>
      </c>
      <c r="G248" s="47" t="s">
        <v>14</v>
      </c>
      <c r="H248" s="47" t="str">
        <f>IFERROR(VLOOKUP(Table2[[#This Row], [Ticket]],Okey!A:B,2,0),"")</f>
        <v>ok</v>
      </c>
      <c r="I248" s="47" t="s">
        <v>5290</v>
      </c>
      <c r="J248" s="47" t="s">
        <v>18</v>
      </c>
      <c r="K248" s="47" t="s">
        <v>5969</v>
      </c>
      <c r="L248" s="47"/>
      <c r="M248" s="49" t="s">
        <v>4799</v>
      </c>
    </row>
    <row r="249" spans="1:13">
      <c r="A249" s="48">
        <f t="shared" si="3"/>
        <v>248</v>
      </c>
      <c r="B249" s="47" t="s">
        <v>8</v>
      </c>
      <c r="C249" s="47" t="s">
        <v>5974</v>
      </c>
      <c r="D249" s="47" t="s">
        <v>4864</v>
      </c>
      <c r="E249" s="47" t="s">
        <v>4975</v>
      </c>
      <c r="F249" s="47" t="s">
        <v>3495</v>
      </c>
      <c r="G249" s="47" t="s">
        <v>14</v>
      </c>
      <c r="H249" s="47" t="str">
        <f>IFERROR(VLOOKUP(Table2[[#This Row], [Ticket]],Okey!A:B,2,0),"")</f>
        <v>ok</v>
      </c>
      <c r="I249" s="47" t="s">
        <v>5290</v>
      </c>
      <c r="J249" s="47" t="s">
        <v>18</v>
      </c>
      <c r="K249" s="47" t="s">
        <v>5969</v>
      </c>
      <c r="L249" s="47"/>
      <c r="M249" s="49" t="s">
        <v>4799</v>
      </c>
    </row>
    <row r="250" spans="1:13">
      <c r="A250" s="48">
        <f t="shared" si="3"/>
        <v>249</v>
      </c>
      <c r="B250" s="47" t="s">
        <v>8</v>
      </c>
      <c r="C250" s="47" t="s">
        <v>5974</v>
      </c>
      <c r="D250" s="47" t="s">
        <v>4866</v>
      </c>
      <c r="E250" s="47" t="s">
        <v>4976</v>
      </c>
      <c r="F250" s="47" t="s">
        <v>3495</v>
      </c>
      <c r="G250" s="47" t="s">
        <v>14</v>
      </c>
      <c r="H250" s="47" t="str">
        <f>IFERROR(VLOOKUP(Table2[[#This Row], [Ticket]],Okey!A:B,2,0),"")</f>
        <v>ok</v>
      </c>
      <c r="I250" s="47" t="s">
        <v>5290</v>
      </c>
      <c r="J250" s="47" t="s">
        <v>18</v>
      </c>
      <c r="K250" s="47" t="s">
        <v>5969</v>
      </c>
      <c r="L250" s="47"/>
      <c r="M250" s="49" t="s">
        <v>4799</v>
      </c>
    </row>
    <row r="251" spans="1:13">
      <c r="A251" s="48">
        <f t="shared" si="3"/>
        <v>250</v>
      </c>
      <c r="B251" s="47" t="s">
        <v>8</v>
      </c>
      <c r="C251" s="47" t="s">
        <v>5974</v>
      </c>
      <c r="D251" s="47" t="s">
        <v>4828</v>
      </c>
      <c r="E251" s="47" t="s">
        <v>4977</v>
      </c>
      <c r="F251" s="47" t="s">
        <v>3956</v>
      </c>
      <c r="G251" s="47" t="s">
        <v>14</v>
      </c>
      <c r="H251" s="47" t="str">
        <f>IFERROR(VLOOKUP(Table2[[#This Row], [Ticket]],Okey!A:B,2,0),"")</f>
        <v>ok</v>
      </c>
      <c r="I251" s="47" t="s">
        <v>5290</v>
      </c>
      <c r="J251" s="47" t="s">
        <v>18</v>
      </c>
      <c r="K251" s="47" t="s">
        <v>5969</v>
      </c>
      <c r="L251" s="47"/>
      <c r="M251" s="49" t="s">
        <v>4799</v>
      </c>
    </row>
    <row r="252" spans="1:13">
      <c r="A252" s="48">
        <f t="shared" si="3"/>
        <v>251</v>
      </c>
      <c r="B252" s="47" t="s">
        <v>8</v>
      </c>
      <c r="C252" s="47" t="s">
        <v>5974</v>
      </c>
      <c r="D252" s="47" t="s">
        <v>4869</v>
      </c>
      <c r="E252" s="47" t="s">
        <v>4978</v>
      </c>
      <c r="F252" s="47" t="s">
        <v>4828</v>
      </c>
      <c r="G252" s="47" t="s">
        <v>14</v>
      </c>
      <c r="H252" s="47" t="str">
        <f>IFERROR(VLOOKUP(Table2[[#This Row], [Ticket]],Okey!A:B,2,0),"")</f>
        <v>ok</v>
      </c>
      <c r="I252" s="47" t="s">
        <v>5290</v>
      </c>
      <c r="J252" s="47" t="s">
        <v>18</v>
      </c>
      <c r="K252" s="47" t="s">
        <v>5969</v>
      </c>
      <c r="L252" s="47"/>
      <c r="M252" s="49" t="s">
        <v>4799</v>
      </c>
    </row>
    <row r="253" spans="1:13">
      <c r="A253" s="48">
        <f t="shared" si="3"/>
        <v>252</v>
      </c>
      <c r="B253" s="47" t="s">
        <v>8</v>
      </c>
      <c r="C253" s="47" t="s">
        <v>5974</v>
      </c>
      <c r="D253" s="47" t="s">
        <v>4831</v>
      </c>
      <c r="E253" s="47" t="s">
        <v>4979</v>
      </c>
      <c r="F253" s="47" t="s">
        <v>3956</v>
      </c>
      <c r="G253" s="47" t="s">
        <v>14</v>
      </c>
      <c r="H253" s="47" t="str">
        <f>IFERROR(VLOOKUP(Table2[[#This Row], [Ticket]],Okey!A:B,2,0),"")</f>
        <v>ok</v>
      </c>
      <c r="I253" s="47" t="s">
        <v>5290</v>
      </c>
      <c r="J253" s="47" t="s">
        <v>18</v>
      </c>
      <c r="K253" s="47" t="s">
        <v>5969</v>
      </c>
      <c r="L253" s="47"/>
      <c r="M253" s="49" t="s">
        <v>4799</v>
      </c>
    </row>
    <row r="254" spans="1:13">
      <c r="A254" s="48">
        <f t="shared" si="3"/>
        <v>253</v>
      </c>
      <c r="B254" s="47" t="s">
        <v>8</v>
      </c>
      <c r="C254" s="47" t="s">
        <v>5974</v>
      </c>
      <c r="D254" s="47" t="s">
        <v>4872</v>
      </c>
      <c r="E254" s="47" t="s">
        <v>4980</v>
      </c>
      <c r="F254" s="47" t="s">
        <v>4831</v>
      </c>
      <c r="G254" s="47" t="s">
        <v>14</v>
      </c>
      <c r="H254" s="47" t="str">
        <f>IFERROR(VLOOKUP(Table2[[#This Row], [Ticket]],Okey!A:B,2,0),"")</f>
        <v>ok</v>
      </c>
      <c r="I254" s="47" t="s">
        <v>5290</v>
      </c>
      <c r="J254" s="47" t="s">
        <v>18</v>
      </c>
      <c r="K254" s="47" t="s">
        <v>5969</v>
      </c>
      <c r="L254" s="47"/>
      <c r="M254" s="49" t="s">
        <v>4799</v>
      </c>
    </row>
    <row r="255" spans="1:13">
      <c r="A255" s="48">
        <f t="shared" si="3"/>
        <v>254</v>
      </c>
      <c r="B255" s="47" t="s">
        <v>8</v>
      </c>
      <c r="C255" s="47" t="s">
        <v>5974</v>
      </c>
      <c r="D255" s="47" t="s">
        <v>4874</v>
      </c>
      <c r="E255" s="47" t="s">
        <v>4981</v>
      </c>
      <c r="F255" s="47" t="s">
        <v>4831</v>
      </c>
      <c r="G255" s="47" t="s">
        <v>14</v>
      </c>
      <c r="H255" s="47" t="str">
        <f>IFERROR(VLOOKUP(Table2[[#This Row], [Ticket]],Okey!A:B,2,0),"")</f>
        <v>ok</v>
      </c>
      <c r="I255" s="47" t="s">
        <v>5290</v>
      </c>
      <c r="J255" s="47" t="s">
        <v>18</v>
      </c>
      <c r="K255" s="47" t="s">
        <v>5969</v>
      </c>
      <c r="L255" s="47"/>
      <c r="M255" s="49" t="s">
        <v>4799</v>
      </c>
    </row>
    <row r="256" spans="1:13">
      <c r="A256" s="48">
        <f t="shared" si="3"/>
        <v>255</v>
      </c>
      <c r="B256" s="47" t="s">
        <v>8</v>
      </c>
      <c r="C256" s="47" t="s">
        <v>5974</v>
      </c>
      <c r="D256" s="47" t="s">
        <v>4876</v>
      </c>
      <c r="E256" s="47" t="s">
        <v>4982</v>
      </c>
      <c r="F256" s="47" t="s">
        <v>4831</v>
      </c>
      <c r="G256" s="47" t="s">
        <v>14</v>
      </c>
      <c r="H256" s="47" t="str">
        <f>IFERROR(VLOOKUP(Table2[[#This Row], [Ticket]],Okey!A:B,2,0),"")</f>
        <v>ok</v>
      </c>
      <c r="I256" s="47" t="s">
        <v>5290</v>
      </c>
      <c r="J256" s="47" t="s">
        <v>18</v>
      </c>
      <c r="K256" s="47" t="s">
        <v>5969</v>
      </c>
      <c r="L256" s="47"/>
      <c r="M256" s="49" t="s">
        <v>4799</v>
      </c>
    </row>
    <row r="257" spans="1:13">
      <c r="A257" s="48">
        <f t="shared" si="3"/>
        <v>256</v>
      </c>
      <c r="B257" s="47" t="s">
        <v>8</v>
      </c>
      <c r="C257" s="47" t="s">
        <v>5974</v>
      </c>
      <c r="D257" s="47" t="s">
        <v>4878</v>
      </c>
      <c r="E257" s="47" t="s">
        <v>4983</v>
      </c>
      <c r="F257" s="47" t="s">
        <v>4831</v>
      </c>
      <c r="G257" s="47" t="s">
        <v>14</v>
      </c>
      <c r="H257" s="47" t="str">
        <f>IFERROR(VLOOKUP(Table2[[#This Row], [Ticket]],Okey!A:B,2,0),"")</f>
        <v>ok</v>
      </c>
      <c r="I257" s="47" t="s">
        <v>5290</v>
      </c>
      <c r="J257" s="47" t="s">
        <v>18</v>
      </c>
      <c r="K257" s="47" t="s">
        <v>5969</v>
      </c>
      <c r="L257" s="47"/>
      <c r="M257" s="49" t="s">
        <v>4799</v>
      </c>
    </row>
    <row r="258" spans="1:13">
      <c r="A258" s="48">
        <f t="shared" si="3"/>
        <v>257</v>
      </c>
      <c r="B258" s="47" t="s">
        <v>8</v>
      </c>
      <c r="C258" s="47" t="s">
        <v>5974</v>
      </c>
      <c r="D258" s="47" t="s">
        <v>4881</v>
      </c>
      <c r="E258" s="47" t="s">
        <v>4984</v>
      </c>
      <c r="F258" s="47" t="s">
        <v>4880</v>
      </c>
      <c r="G258" s="47" t="s">
        <v>14</v>
      </c>
      <c r="H258" s="47" t="str">
        <f>IFERROR(VLOOKUP(Table2[[#This Row], [Ticket]],Okey!A:B,2,0),"")</f>
        <v>ok</v>
      </c>
      <c r="I258" s="47" t="s">
        <v>5290</v>
      </c>
      <c r="J258" s="47" t="s">
        <v>18</v>
      </c>
      <c r="K258" s="47" t="s">
        <v>5969</v>
      </c>
      <c r="L258" s="47"/>
      <c r="M258" s="49" t="s">
        <v>4799</v>
      </c>
    </row>
    <row r="259" spans="1:13">
      <c r="A259" s="48">
        <f t="shared" ref="A259:A322" si="4">1+A258</f>
        <v>258</v>
      </c>
      <c r="B259" s="47" t="s">
        <v>8</v>
      </c>
      <c r="C259" s="47" t="s">
        <v>5974</v>
      </c>
      <c r="D259" s="47" t="s">
        <v>4883</v>
      </c>
      <c r="E259" s="47" t="s">
        <v>4985</v>
      </c>
      <c r="F259" s="47" t="s">
        <v>4880</v>
      </c>
      <c r="G259" s="47" t="s">
        <v>14</v>
      </c>
      <c r="H259" s="47" t="str">
        <f>IFERROR(VLOOKUP(Table2[[#This Row], [Ticket]],Okey!A:B,2,0),"")</f>
        <v>ok</v>
      </c>
      <c r="I259" s="47" t="s">
        <v>5290</v>
      </c>
      <c r="J259" s="47" t="s">
        <v>18</v>
      </c>
      <c r="K259" s="47" t="s">
        <v>5969</v>
      </c>
      <c r="L259" s="47"/>
      <c r="M259" s="49" t="s">
        <v>4799</v>
      </c>
    </row>
    <row r="260" spans="1:13" ht="30">
      <c r="A260" s="48">
        <f t="shared" si="4"/>
        <v>259</v>
      </c>
      <c r="B260" s="47" t="s">
        <v>8</v>
      </c>
      <c r="C260" s="47" t="s">
        <v>5974</v>
      </c>
      <c r="D260" s="47" t="s">
        <v>4886</v>
      </c>
      <c r="E260" s="47" t="s">
        <v>4986</v>
      </c>
      <c r="F260" s="51" t="s">
        <v>4885</v>
      </c>
      <c r="G260" s="47" t="s">
        <v>14</v>
      </c>
      <c r="H260" s="47" t="str">
        <f>IFERROR(VLOOKUP(Table2[[#This Row], [Ticket]],Okey!A:B,2,0),"")</f>
        <v>ok</v>
      </c>
      <c r="I260" s="47" t="s">
        <v>5290</v>
      </c>
      <c r="J260" s="47" t="s">
        <v>18</v>
      </c>
      <c r="K260" s="47" t="s">
        <v>5969</v>
      </c>
      <c r="L260" s="47"/>
      <c r="M260" s="49" t="s">
        <v>4799</v>
      </c>
    </row>
    <row r="261" spans="1:13">
      <c r="A261" s="48">
        <f t="shared" si="4"/>
        <v>260</v>
      </c>
      <c r="B261" s="47" t="s">
        <v>8</v>
      </c>
      <c r="C261" s="47" t="s">
        <v>5974</v>
      </c>
      <c r="D261" s="47" t="s">
        <v>4888</v>
      </c>
      <c r="E261" s="47" t="s">
        <v>4987</v>
      </c>
      <c r="F261" s="47" t="s">
        <v>1354</v>
      </c>
      <c r="G261" s="47" t="s">
        <v>14</v>
      </c>
      <c r="H261" s="47" t="str">
        <f>IFERROR(VLOOKUP(Table2[[#This Row], [Ticket]],Okey!A:B,2,0),"")</f>
        <v>ok</v>
      </c>
      <c r="I261" s="47" t="s">
        <v>5290</v>
      </c>
      <c r="J261" s="47" t="s">
        <v>18</v>
      </c>
      <c r="K261" s="47" t="s">
        <v>5969</v>
      </c>
      <c r="L261" s="47"/>
      <c r="M261" s="49" t="s">
        <v>4799</v>
      </c>
    </row>
    <row r="262" spans="1:13">
      <c r="A262" s="48">
        <f t="shared" si="4"/>
        <v>261</v>
      </c>
      <c r="B262" s="47" t="s">
        <v>8</v>
      </c>
      <c r="C262" s="47" t="s">
        <v>5974</v>
      </c>
      <c r="D262" s="47" t="s">
        <v>4890</v>
      </c>
      <c r="E262" s="47" t="s">
        <v>4988</v>
      </c>
      <c r="F262" s="47" t="s">
        <v>1354</v>
      </c>
      <c r="G262" s="47" t="s">
        <v>14</v>
      </c>
      <c r="H262" s="47" t="str">
        <f>IFERROR(VLOOKUP(Table2[[#This Row], [Ticket]],Okey!A:B,2,0),"")</f>
        <v>ok</v>
      </c>
      <c r="I262" s="47" t="s">
        <v>5290</v>
      </c>
      <c r="J262" s="47" t="s">
        <v>18</v>
      </c>
      <c r="K262" s="47" t="s">
        <v>5969</v>
      </c>
      <c r="L262" s="47"/>
      <c r="M262" s="49" t="s">
        <v>4799</v>
      </c>
    </row>
    <row r="263" spans="1:13">
      <c r="A263" s="48">
        <f t="shared" si="4"/>
        <v>262</v>
      </c>
      <c r="B263" s="47" t="s">
        <v>8</v>
      </c>
      <c r="C263" s="47" t="s">
        <v>5974</v>
      </c>
      <c r="D263" s="47" t="s">
        <v>4892</v>
      </c>
      <c r="E263" s="47" t="s">
        <v>4989</v>
      </c>
      <c r="F263" s="47" t="s">
        <v>1354</v>
      </c>
      <c r="G263" s="47" t="s">
        <v>14</v>
      </c>
      <c r="H263" s="47" t="str">
        <f>IFERROR(VLOOKUP(Table2[[#This Row], [Ticket]],Okey!A:B,2,0),"")</f>
        <v>ok</v>
      </c>
      <c r="I263" s="47" t="s">
        <v>5290</v>
      </c>
      <c r="J263" s="47" t="s">
        <v>18</v>
      </c>
      <c r="K263" s="47" t="s">
        <v>5969</v>
      </c>
      <c r="L263" s="47"/>
      <c r="M263" s="49" t="s">
        <v>4799</v>
      </c>
    </row>
    <row r="264" spans="1:13">
      <c r="A264" s="48">
        <f t="shared" si="4"/>
        <v>263</v>
      </c>
      <c r="B264" s="47" t="s">
        <v>8</v>
      </c>
      <c r="C264" s="47" t="s">
        <v>5974</v>
      </c>
      <c r="D264" s="47" t="s">
        <v>4894</v>
      </c>
      <c r="E264" s="47" t="s">
        <v>4990</v>
      </c>
      <c r="F264" s="47" t="s">
        <v>1354</v>
      </c>
      <c r="G264" s="47" t="s">
        <v>14</v>
      </c>
      <c r="H264" s="47" t="str">
        <f>IFERROR(VLOOKUP(Table2[[#This Row], [Ticket]],Okey!A:B,2,0),"")</f>
        <v>ok</v>
      </c>
      <c r="I264" s="47" t="s">
        <v>5290</v>
      </c>
      <c r="J264" s="47" t="s">
        <v>18</v>
      </c>
      <c r="K264" s="47" t="s">
        <v>5969</v>
      </c>
      <c r="L264" s="47"/>
      <c r="M264" s="49" t="s">
        <v>4799</v>
      </c>
    </row>
    <row r="265" spans="1:13">
      <c r="A265" s="48">
        <f t="shared" si="4"/>
        <v>264</v>
      </c>
      <c r="B265" s="47" t="s">
        <v>8</v>
      </c>
      <c r="C265" s="47" t="s">
        <v>5974</v>
      </c>
      <c r="D265" s="47" t="s">
        <v>4896</v>
      </c>
      <c r="E265" s="47" t="s">
        <v>4991</v>
      </c>
      <c r="F265" s="47" t="s">
        <v>4894</v>
      </c>
      <c r="G265" s="47" t="s">
        <v>14</v>
      </c>
      <c r="H265" s="47" t="str">
        <f>IFERROR(VLOOKUP(Table2[[#This Row], [Ticket]],Okey!A:B,2,0),"")</f>
        <v>ok</v>
      </c>
      <c r="I265" s="47" t="s">
        <v>5290</v>
      </c>
      <c r="J265" s="47" t="s">
        <v>18</v>
      </c>
      <c r="K265" s="47" t="s">
        <v>5969</v>
      </c>
      <c r="L265" s="47"/>
      <c r="M265" s="49" t="s">
        <v>4799</v>
      </c>
    </row>
    <row r="266" spans="1:13">
      <c r="A266" s="48">
        <f t="shared" si="4"/>
        <v>265</v>
      </c>
      <c r="B266" s="47" t="s">
        <v>8</v>
      </c>
      <c r="C266" s="47" t="s">
        <v>5974</v>
      </c>
      <c r="D266" s="47" t="s">
        <v>4898</v>
      </c>
      <c r="E266" s="47" t="s">
        <v>4992</v>
      </c>
      <c r="F266" s="47" t="s">
        <v>4894</v>
      </c>
      <c r="G266" s="47" t="s">
        <v>14</v>
      </c>
      <c r="H266" s="47" t="str">
        <f>IFERROR(VLOOKUP(Table2[[#This Row], [Ticket]],Okey!A:B,2,0),"")</f>
        <v>ok</v>
      </c>
      <c r="I266" s="47" t="s">
        <v>5290</v>
      </c>
      <c r="J266" s="47" t="s">
        <v>18</v>
      </c>
      <c r="K266" s="47" t="s">
        <v>5969</v>
      </c>
      <c r="L266" s="47"/>
      <c r="M266" s="49" t="s">
        <v>4799</v>
      </c>
    </row>
    <row r="267" spans="1:13">
      <c r="A267" s="48">
        <f t="shared" si="4"/>
        <v>266</v>
      </c>
      <c r="B267" s="47" t="s">
        <v>8</v>
      </c>
      <c r="C267" s="47" t="s">
        <v>5974</v>
      </c>
      <c r="D267" s="47" t="s">
        <v>4900</v>
      </c>
      <c r="E267" s="47" t="s">
        <v>4993</v>
      </c>
      <c r="F267" s="47" t="s">
        <v>4894</v>
      </c>
      <c r="G267" s="47" t="s">
        <v>14</v>
      </c>
      <c r="H267" s="47" t="str">
        <f>IFERROR(VLOOKUP(Table2[[#This Row], [Ticket]],Okey!A:B,2,0),"")</f>
        <v>ok</v>
      </c>
      <c r="I267" s="47" t="s">
        <v>5290</v>
      </c>
      <c r="J267" s="47" t="s">
        <v>18</v>
      </c>
      <c r="K267" s="47" t="s">
        <v>5969</v>
      </c>
      <c r="L267" s="47"/>
      <c r="M267" s="49" t="s">
        <v>4799</v>
      </c>
    </row>
    <row r="268" spans="1:13">
      <c r="A268" s="48">
        <f t="shared" si="4"/>
        <v>267</v>
      </c>
      <c r="B268" s="47" t="s">
        <v>8</v>
      </c>
      <c r="C268" s="47" t="s">
        <v>5974</v>
      </c>
      <c r="D268" s="47" t="s">
        <v>4902</v>
      </c>
      <c r="E268" s="47" t="s">
        <v>4994</v>
      </c>
      <c r="F268" s="47" t="s">
        <v>4894</v>
      </c>
      <c r="G268" s="47" t="s">
        <v>14</v>
      </c>
      <c r="H268" s="47" t="str">
        <f>IFERROR(VLOOKUP(Table2[[#This Row], [Ticket]],Okey!A:B,2,0),"")</f>
        <v>ok</v>
      </c>
      <c r="I268" s="47" t="s">
        <v>5290</v>
      </c>
      <c r="J268" s="47" t="s">
        <v>18</v>
      </c>
      <c r="K268" s="47" t="s">
        <v>5969</v>
      </c>
      <c r="L268" s="47"/>
      <c r="M268" s="49" t="s">
        <v>4799</v>
      </c>
    </row>
    <row r="269" spans="1:13">
      <c r="A269" s="48">
        <f t="shared" si="4"/>
        <v>268</v>
      </c>
      <c r="B269" s="47" t="s">
        <v>8</v>
      </c>
      <c r="C269" s="47" t="s">
        <v>5974</v>
      </c>
      <c r="D269" s="47" t="s">
        <v>4904</v>
      </c>
      <c r="E269" s="47" t="s">
        <v>4995</v>
      </c>
      <c r="F269" s="47" t="s">
        <v>4894</v>
      </c>
      <c r="G269" s="47" t="s">
        <v>14</v>
      </c>
      <c r="H269" s="47" t="str">
        <f>IFERROR(VLOOKUP(Table2[[#This Row], [Ticket]],Okey!A:B,2,0),"")</f>
        <v>ok</v>
      </c>
      <c r="I269" s="47" t="s">
        <v>5290</v>
      </c>
      <c r="J269" s="47" t="s">
        <v>18</v>
      </c>
      <c r="K269" s="47" t="s">
        <v>5969</v>
      </c>
      <c r="L269" s="47"/>
      <c r="M269" s="49" t="s">
        <v>4799</v>
      </c>
    </row>
    <row r="270" spans="1:13">
      <c r="A270" s="48">
        <f t="shared" si="4"/>
        <v>269</v>
      </c>
      <c r="B270" s="47" t="s">
        <v>8</v>
      </c>
      <c r="C270" s="47" t="s">
        <v>5974</v>
      </c>
      <c r="D270" s="47" t="s">
        <v>4906</v>
      </c>
      <c r="E270" s="47" t="s">
        <v>4996</v>
      </c>
      <c r="F270" s="47" t="s">
        <v>4894</v>
      </c>
      <c r="G270" s="47" t="s">
        <v>14</v>
      </c>
      <c r="H270" s="47" t="str">
        <f>IFERROR(VLOOKUP(Table2[[#This Row], [Ticket]],Okey!A:B,2,0),"")</f>
        <v>ok</v>
      </c>
      <c r="I270" s="47" t="s">
        <v>5290</v>
      </c>
      <c r="J270" s="47" t="s">
        <v>18</v>
      </c>
      <c r="K270" s="47" t="s">
        <v>5969</v>
      </c>
      <c r="L270" s="47"/>
      <c r="M270" s="49" t="s">
        <v>4799</v>
      </c>
    </row>
    <row r="271" spans="1:13">
      <c r="A271" s="48">
        <f t="shared" si="4"/>
        <v>270</v>
      </c>
      <c r="B271" s="47" t="s">
        <v>8</v>
      </c>
      <c r="C271" s="47" t="s">
        <v>5974</v>
      </c>
      <c r="D271" s="47" t="s">
        <v>4908</v>
      </c>
      <c r="E271" s="47" t="s">
        <v>4997</v>
      </c>
      <c r="F271" s="47" t="s">
        <v>4894</v>
      </c>
      <c r="G271" s="47" t="s">
        <v>14</v>
      </c>
      <c r="H271" s="47" t="str">
        <f>IFERROR(VLOOKUP(Table2[[#This Row], [Ticket]],Okey!A:B,2,0),"")</f>
        <v>ok</v>
      </c>
      <c r="I271" s="47" t="s">
        <v>5290</v>
      </c>
      <c r="J271" s="47" t="s">
        <v>18</v>
      </c>
      <c r="K271" s="47" t="s">
        <v>5969</v>
      </c>
      <c r="L271" s="47"/>
      <c r="M271" s="49" t="s">
        <v>4799</v>
      </c>
    </row>
    <row r="272" spans="1:13">
      <c r="A272" s="48">
        <f t="shared" si="4"/>
        <v>271</v>
      </c>
      <c r="B272" s="47" t="s">
        <v>8</v>
      </c>
      <c r="C272" s="47" t="s">
        <v>5974</v>
      </c>
      <c r="D272" s="47" t="s">
        <v>4998</v>
      </c>
      <c r="E272" s="47" t="s">
        <v>4999</v>
      </c>
      <c r="F272" s="47"/>
      <c r="G272" s="47" t="s">
        <v>15</v>
      </c>
      <c r="H272" s="47" t="str">
        <f>IFERROR(VLOOKUP(Table2[[#This Row], [Ticket]],Okey!A:B,2,0),"")</f>
        <v>ok</v>
      </c>
      <c r="I272" s="47" t="s">
        <v>5290</v>
      </c>
      <c r="J272" s="47" t="s">
        <v>18</v>
      </c>
      <c r="K272" s="47" t="s">
        <v>5969</v>
      </c>
      <c r="L272" s="47"/>
      <c r="M272" s="49" t="s">
        <v>4799</v>
      </c>
    </row>
    <row r="273" spans="1:13">
      <c r="A273" s="48">
        <f t="shared" si="4"/>
        <v>272</v>
      </c>
      <c r="B273" s="47" t="s">
        <v>8</v>
      </c>
      <c r="C273" s="47" t="s">
        <v>5974</v>
      </c>
      <c r="D273" s="47" t="s">
        <v>5000</v>
      </c>
      <c r="E273" s="47" t="s">
        <v>5001</v>
      </c>
      <c r="F273" s="47"/>
      <c r="G273" s="47" t="s">
        <v>15</v>
      </c>
      <c r="H273" s="47" t="str">
        <f>IFERROR(VLOOKUP(Table2[[#This Row], [Ticket]],Okey!A:B,2,0),"")</f>
        <v>ok</v>
      </c>
      <c r="I273" s="47" t="s">
        <v>5290</v>
      </c>
      <c r="J273" s="47" t="s">
        <v>18</v>
      </c>
      <c r="K273" s="47" t="s">
        <v>5969</v>
      </c>
      <c r="L273" s="47"/>
      <c r="M273" s="49" t="s">
        <v>4799</v>
      </c>
    </row>
    <row r="274" spans="1:13">
      <c r="A274" s="48">
        <f t="shared" si="4"/>
        <v>273</v>
      </c>
      <c r="B274" s="47" t="s">
        <v>8</v>
      </c>
      <c r="C274" s="47" t="s">
        <v>5974</v>
      </c>
      <c r="D274" s="47" t="s">
        <v>3488</v>
      </c>
      <c r="E274" s="47" t="s">
        <v>5002</v>
      </c>
      <c r="F274" s="47"/>
      <c r="G274" s="47" t="s">
        <v>15</v>
      </c>
      <c r="H274" s="47" t="str">
        <f>IFERROR(VLOOKUP(Table2[[#This Row], [Ticket]],Okey!A:B,2,0),"")</f>
        <v>ok</v>
      </c>
      <c r="I274" s="47" t="s">
        <v>5290</v>
      </c>
      <c r="J274" s="47" t="s">
        <v>18</v>
      </c>
      <c r="K274" s="47" t="s">
        <v>5969</v>
      </c>
      <c r="L274" s="47"/>
      <c r="M274" s="49" t="s">
        <v>4799</v>
      </c>
    </row>
    <row r="275" spans="1:13">
      <c r="A275" s="48">
        <f t="shared" si="4"/>
        <v>274</v>
      </c>
      <c r="B275" s="47" t="s">
        <v>8</v>
      </c>
      <c r="C275" s="47" t="s">
        <v>5974</v>
      </c>
      <c r="D275" s="47" t="s">
        <v>3528</v>
      </c>
      <c r="E275" s="47" t="s">
        <v>5003</v>
      </c>
      <c r="F275" s="47"/>
      <c r="G275" s="47" t="s">
        <v>15</v>
      </c>
      <c r="H275" s="47" t="str">
        <f>IFERROR(VLOOKUP(Table2[[#This Row], [Ticket]],Okey!A:B,2,0),"")</f>
        <v>ok</v>
      </c>
      <c r="I275" s="47" t="s">
        <v>5290</v>
      </c>
      <c r="J275" s="47" t="s">
        <v>18</v>
      </c>
      <c r="K275" s="47" t="s">
        <v>5969</v>
      </c>
      <c r="L275" s="47"/>
      <c r="M275" s="49" t="s">
        <v>4799</v>
      </c>
    </row>
    <row r="276" spans="1:13">
      <c r="A276" s="48">
        <f t="shared" si="4"/>
        <v>275</v>
      </c>
      <c r="B276" s="47" t="s">
        <v>8</v>
      </c>
      <c r="C276" s="47" t="s">
        <v>5974</v>
      </c>
      <c r="D276" s="47" t="s">
        <v>3529</v>
      </c>
      <c r="E276" s="47" t="s">
        <v>5004</v>
      </c>
      <c r="F276" s="47"/>
      <c r="G276" s="47" t="s">
        <v>15</v>
      </c>
      <c r="H276" s="47" t="str">
        <f>IFERROR(VLOOKUP(Table2[[#This Row], [Ticket]],Okey!A:B,2,0),"")</f>
        <v>ok</v>
      </c>
      <c r="I276" s="47" t="s">
        <v>5290</v>
      </c>
      <c r="J276" s="47" t="s">
        <v>18</v>
      </c>
      <c r="K276" s="47" t="s">
        <v>5969</v>
      </c>
      <c r="L276" s="47"/>
      <c r="M276" s="49" t="s">
        <v>4799</v>
      </c>
    </row>
    <row r="277" spans="1:13">
      <c r="A277" s="48">
        <f t="shared" si="4"/>
        <v>276</v>
      </c>
      <c r="B277" s="47" t="s">
        <v>8</v>
      </c>
      <c r="C277" s="47" t="s">
        <v>5974</v>
      </c>
      <c r="D277" s="47" t="s">
        <v>3539</v>
      </c>
      <c r="E277" s="47" t="s">
        <v>5005</v>
      </c>
      <c r="F277" s="47"/>
      <c r="G277" s="47" t="s">
        <v>15</v>
      </c>
      <c r="H277" s="47" t="str">
        <f>IFERROR(VLOOKUP(Table2[[#This Row], [Ticket]],Okey!A:B,2,0),"")</f>
        <v>ok</v>
      </c>
      <c r="I277" s="47" t="s">
        <v>5290</v>
      </c>
      <c r="J277" s="47" t="s">
        <v>18</v>
      </c>
      <c r="K277" s="47" t="s">
        <v>5969</v>
      </c>
      <c r="L277" s="47"/>
      <c r="M277" s="49" t="s">
        <v>4799</v>
      </c>
    </row>
    <row r="278" spans="1:13">
      <c r="A278" s="48">
        <f t="shared" si="4"/>
        <v>277</v>
      </c>
      <c r="B278" s="47" t="s">
        <v>8</v>
      </c>
      <c r="C278" s="47" t="s">
        <v>5974</v>
      </c>
      <c r="D278" s="47" t="s">
        <v>4076</v>
      </c>
      <c r="E278" s="47" t="s">
        <v>5006</v>
      </c>
      <c r="F278" s="47"/>
      <c r="G278" s="47" t="s">
        <v>15</v>
      </c>
      <c r="H278" s="47" t="str">
        <f>IFERROR(VLOOKUP(Table2[[#This Row], [Ticket]],Okey!A:B,2,0),"")</f>
        <v>ok</v>
      </c>
      <c r="I278" s="47" t="s">
        <v>5290</v>
      </c>
      <c r="J278" s="47" t="s">
        <v>18</v>
      </c>
      <c r="K278" s="47" t="s">
        <v>5969</v>
      </c>
      <c r="L278" s="47"/>
      <c r="M278" s="49" t="s">
        <v>4799</v>
      </c>
    </row>
    <row r="279" spans="1:13">
      <c r="A279" s="48">
        <f t="shared" si="4"/>
        <v>278</v>
      </c>
      <c r="B279" s="47" t="s">
        <v>8</v>
      </c>
      <c r="C279" s="47" t="s">
        <v>5974</v>
      </c>
      <c r="D279" s="47" t="s">
        <v>3508</v>
      </c>
      <c r="E279" s="47" t="s">
        <v>5007</v>
      </c>
      <c r="F279" s="47"/>
      <c r="G279" s="47" t="s">
        <v>15</v>
      </c>
      <c r="H279" s="47" t="str">
        <f>IFERROR(VLOOKUP(Table2[[#This Row], [Ticket]],Okey!A:B,2,0),"")</f>
        <v>ok</v>
      </c>
      <c r="I279" s="47" t="s">
        <v>5290</v>
      </c>
      <c r="J279" s="47" t="s">
        <v>18</v>
      </c>
      <c r="K279" s="47" t="s">
        <v>5969</v>
      </c>
      <c r="L279" s="47"/>
      <c r="M279" s="49" t="s">
        <v>4799</v>
      </c>
    </row>
    <row r="280" spans="1:13">
      <c r="A280" s="48">
        <f t="shared" si="4"/>
        <v>279</v>
      </c>
      <c r="B280" s="47" t="s">
        <v>8</v>
      </c>
      <c r="C280" s="47" t="s">
        <v>5974</v>
      </c>
      <c r="D280" s="47" t="s">
        <v>3499</v>
      </c>
      <c r="E280" s="47" t="s">
        <v>5008</v>
      </c>
      <c r="F280" s="47"/>
      <c r="G280" s="47" t="s">
        <v>15</v>
      </c>
      <c r="H280" s="47" t="str">
        <f>IFERROR(VLOOKUP(Table2[[#This Row], [Ticket]],Okey!A:B,2,0),"")</f>
        <v>ok</v>
      </c>
      <c r="I280" s="47" t="s">
        <v>5290</v>
      </c>
      <c r="J280" s="47" t="s">
        <v>18</v>
      </c>
      <c r="K280" s="47" t="s">
        <v>5969</v>
      </c>
      <c r="L280" s="47"/>
      <c r="M280" s="49" t="s">
        <v>4799</v>
      </c>
    </row>
    <row r="281" spans="1:13">
      <c r="A281" s="48">
        <f t="shared" si="4"/>
        <v>280</v>
      </c>
      <c r="B281" s="47" t="s">
        <v>8</v>
      </c>
      <c r="C281" s="47" t="s">
        <v>5974</v>
      </c>
      <c r="D281" s="47" t="s">
        <v>4059</v>
      </c>
      <c r="E281" s="47" t="s">
        <v>5009</v>
      </c>
      <c r="F281" s="47"/>
      <c r="G281" s="47" t="s">
        <v>15</v>
      </c>
      <c r="H281" s="47" t="str">
        <f>IFERROR(VLOOKUP(Table2[[#This Row], [Ticket]],Okey!A:B,2,0),"")</f>
        <v>ok</v>
      </c>
      <c r="I281" s="47" t="s">
        <v>5290</v>
      </c>
      <c r="J281" s="47" t="s">
        <v>18</v>
      </c>
      <c r="K281" s="47" t="s">
        <v>5969</v>
      </c>
      <c r="L281" s="47"/>
      <c r="M281" s="49" t="s">
        <v>4799</v>
      </c>
    </row>
    <row r="282" spans="1:13">
      <c r="A282" s="48">
        <f t="shared" si="4"/>
        <v>281</v>
      </c>
      <c r="B282" s="47" t="s">
        <v>8</v>
      </c>
      <c r="C282" s="47" t="s">
        <v>5974</v>
      </c>
      <c r="D282" s="47" t="s">
        <v>3957</v>
      </c>
      <c r="E282" s="47" t="s">
        <v>5010</v>
      </c>
      <c r="F282" s="47"/>
      <c r="G282" s="47" t="s">
        <v>15</v>
      </c>
      <c r="H282" s="47" t="str">
        <f>IFERROR(VLOOKUP(Table2[[#This Row], [Ticket]],Okey!A:B,2,0),"")</f>
        <v>ok</v>
      </c>
      <c r="I282" s="47" t="s">
        <v>5290</v>
      </c>
      <c r="J282" s="47" t="s">
        <v>18</v>
      </c>
      <c r="K282" s="47" t="s">
        <v>5969</v>
      </c>
      <c r="L282" s="47"/>
      <c r="M282" s="49" t="s">
        <v>4799</v>
      </c>
    </row>
    <row r="283" spans="1:13">
      <c r="A283" s="48">
        <f t="shared" si="4"/>
        <v>282</v>
      </c>
      <c r="B283" s="47" t="s">
        <v>8</v>
      </c>
      <c r="C283" s="47" t="s">
        <v>5974</v>
      </c>
      <c r="D283" s="47" t="s">
        <v>5011</v>
      </c>
      <c r="E283" s="47" t="s">
        <v>5012</v>
      </c>
      <c r="F283" s="47"/>
      <c r="G283" s="47" t="s">
        <v>15</v>
      </c>
      <c r="H283" s="47" t="str">
        <f>IFERROR(VLOOKUP(Table2[[#This Row], [Ticket]],Okey!A:B,2,0),"")</f>
        <v>ok</v>
      </c>
      <c r="I283" s="47" t="s">
        <v>5290</v>
      </c>
      <c r="J283" s="47" t="s">
        <v>18</v>
      </c>
      <c r="K283" s="47" t="s">
        <v>5969</v>
      </c>
      <c r="L283" s="47"/>
      <c r="M283" s="49" t="s">
        <v>4799</v>
      </c>
    </row>
    <row r="284" spans="1:13">
      <c r="A284" s="48">
        <f t="shared" si="4"/>
        <v>283</v>
      </c>
      <c r="B284" s="47" t="s">
        <v>8</v>
      </c>
      <c r="C284" s="47" t="s">
        <v>5974</v>
      </c>
      <c r="D284" s="47" t="s">
        <v>5013</v>
      </c>
      <c r="E284" s="47" t="s">
        <v>5014</v>
      </c>
      <c r="F284" s="47"/>
      <c r="G284" s="47" t="s">
        <v>15</v>
      </c>
      <c r="H284" s="47" t="str">
        <f>IFERROR(VLOOKUP(Table2[[#This Row], [Ticket]],Okey!A:B,2,0),"")</f>
        <v>ok</v>
      </c>
      <c r="I284" s="47" t="s">
        <v>5290</v>
      </c>
      <c r="J284" s="47" t="s">
        <v>18</v>
      </c>
      <c r="K284" s="47" t="s">
        <v>5969</v>
      </c>
      <c r="L284" s="47"/>
      <c r="M284" s="49" t="s">
        <v>4799</v>
      </c>
    </row>
    <row r="285" spans="1:13">
      <c r="A285" s="48">
        <f t="shared" si="4"/>
        <v>284</v>
      </c>
      <c r="B285" s="47" t="s">
        <v>8</v>
      </c>
      <c r="C285" s="47" t="s">
        <v>5974</v>
      </c>
      <c r="D285" s="47" t="s">
        <v>5015</v>
      </c>
      <c r="E285" s="47" t="s">
        <v>5016</v>
      </c>
      <c r="F285" s="47" t="s">
        <v>5975</v>
      </c>
      <c r="G285" s="47" t="s">
        <v>16</v>
      </c>
      <c r="H285" s="47" t="str">
        <f>IFERROR(VLOOKUP(Table2[[#This Row], [Ticket]],Okey!A:B,2,0),"")</f>
        <v>ok</v>
      </c>
      <c r="I285" s="47" t="s">
        <v>5290</v>
      </c>
      <c r="J285" s="47" t="s">
        <v>18</v>
      </c>
      <c r="K285" s="47" t="s">
        <v>5969</v>
      </c>
      <c r="L285" s="47"/>
      <c r="M285" s="49" t="s">
        <v>4799</v>
      </c>
    </row>
    <row r="286" spans="1:13">
      <c r="A286" s="48">
        <f t="shared" si="4"/>
        <v>285</v>
      </c>
      <c r="B286" s="47" t="s">
        <v>8</v>
      </c>
      <c r="C286" s="47" t="s">
        <v>5974</v>
      </c>
      <c r="D286" s="47" t="s">
        <v>5017</v>
      </c>
      <c r="E286" s="47" t="s">
        <v>5018</v>
      </c>
      <c r="F286" s="47" t="s">
        <v>5015</v>
      </c>
      <c r="G286" s="47" t="s">
        <v>16</v>
      </c>
      <c r="H286" s="47" t="str">
        <f>IFERROR(VLOOKUP(Table2[[#This Row], [Ticket]],Okey!A:B,2,0),"")</f>
        <v>ok</v>
      </c>
      <c r="I286" s="47" t="s">
        <v>5290</v>
      </c>
      <c r="J286" s="47" t="s">
        <v>18</v>
      </c>
      <c r="K286" s="47" t="s">
        <v>5969</v>
      </c>
      <c r="L286" s="47"/>
      <c r="M286" s="49" t="s">
        <v>4799</v>
      </c>
    </row>
    <row r="287" spans="1:13">
      <c r="A287" s="48">
        <f t="shared" si="4"/>
        <v>286</v>
      </c>
      <c r="B287" s="47" t="s">
        <v>8</v>
      </c>
      <c r="C287" s="47" t="s">
        <v>5974</v>
      </c>
      <c r="D287" s="47" t="s">
        <v>5019</v>
      </c>
      <c r="E287" s="47" t="s">
        <v>5020</v>
      </c>
      <c r="F287" s="47" t="s">
        <v>5015</v>
      </c>
      <c r="G287" s="47" t="s">
        <v>16</v>
      </c>
      <c r="H287" s="47" t="str">
        <f>IFERROR(VLOOKUP(Table2[[#This Row], [Ticket]],Okey!A:B,2,0),"")</f>
        <v>ok</v>
      </c>
      <c r="I287" s="47" t="s">
        <v>5290</v>
      </c>
      <c r="J287" s="47" t="s">
        <v>18</v>
      </c>
      <c r="K287" s="47" t="s">
        <v>5969</v>
      </c>
      <c r="L287" s="47"/>
      <c r="M287" s="49" t="s">
        <v>4799</v>
      </c>
    </row>
    <row r="288" spans="1:13">
      <c r="A288" s="48">
        <f t="shared" si="4"/>
        <v>287</v>
      </c>
      <c r="B288" s="47" t="s">
        <v>8</v>
      </c>
      <c r="C288" s="47" t="s">
        <v>5974</v>
      </c>
      <c r="D288" s="47" t="s">
        <v>5021</v>
      </c>
      <c r="E288" s="47" t="s">
        <v>5022</v>
      </c>
      <c r="F288" s="47" t="s">
        <v>5015</v>
      </c>
      <c r="G288" s="47" t="s">
        <v>16</v>
      </c>
      <c r="H288" s="47" t="str">
        <f>IFERROR(VLOOKUP(Table2[[#This Row], [Ticket]],Okey!A:B,2,0),"")</f>
        <v>ok</v>
      </c>
      <c r="I288" s="47" t="s">
        <v>5290</v>
      </c>
      <c r="J288" s="47" t="s">
        <v>18</v>
      </c>
      <c r="K288" s="47" t="s">
        <v>5969</v>
      </c>
      <c r="L288" s="47"/>
      <c r="M288" s="49" t="s">
        <v>4799</v>
      </c>
    </row>
    <row r="289" spans="1:13">
      <c r="A289" s="48">
        <f t="shared" si="4"/>
        <v>288</v>
      </c>
      <c r="B289" s="47" t="s">
        <v>8</v>
      </c>
      <c r="C289" s="47" t="s">
        <v>5974</v>
      </c>
      <c r="D289" s="47" t="s">
        <v>4112</v>
      </c>
      <c r="E289" s="47" t="s">
        <v>5023</v>
      </c>
      <c r="F289" s="47" t="s">
        <v>4828</v>
      </c>
      <c r="G289" s="47" t="s">
        <v>16</v>
      </c>
      <c r="H289" s="47" t="str">
        <f>IFERROR(VLOOKUP(Table2[[#This Row], [Ticket]],Okey!A:B,2,0),"")</f>
        <v>ok</v>
      </c>
      <c r="I289" s="47" t="s">
        <v>5290</v>
      </c>
      <c r="J289" s="47" t="s">
        <v>18</v>
      </c>
      <c r="K289" s="47" t="s">
        <v>5969</v>
      </c>
      <c r="L289" s="47"/>
      <c r="M289" s="49" t="s">
        <v>4799</v>
      </c>
    </row>
    <row r="290" spans="1:13">
      <c r="A290" s="48">
        <f t="shared" si="4"/>
        <v>289</v>
      </c>
      <c r="B290" s="47" t="s">
        <v>8</v>
      </c>
      <c r="C290" s="47" t="s">
        <v>5974</v>
      </c>
      <c r="D290" s="47" t="s">
        <v>4088</v>
      </c>
      <c r="E290" s="47" t="s">
        <v>5024</v>
      </c>
      <c r="F290" s="47" t="s">
        <v>3617</v>
      </c>
      <c r="G290" s="47" t="s">
        <v>16</v>
      </c>
      <c r="H290" s="47" t="str">
        <f>IFERROR(VLOOKUP(Table2[[#This Row], [Ticket]],Okey!A:B,2,0),"")</f>
        <v>ok</v>
      </c>
      <c r="I290" s="47" t="s">
        <v>5290</v>
      </c>
      <c r="J290" s="47" t="s">
        <v>18</v>
      </c>
      <c r="K290" s="47" t="s">
        <v>5969</v>
      </c>
      <c r="L290" s="47"/>
      <c r="M290" s="49" t="s">
        <v>4799</v>
      </c>
    </row>
    <row r="291" spans="1:13">
      <c r="A291" s="48">
        <f t="shared" si="4"/>
        <v>290</v>
      </c>
      <c r="B291" s="47" t="s">
        <v>8</v>
      </c>
      <c r="C291" s="47" t="s">
        <v>5974</v>
      </c>
      <c r="D291" s="47" t="s">
        <v>3513</v>
      </c>
      <c r="E291" s="47" t="s">
        <v>5025</v>
      </c>
      <c r="F291" s="47" t="s">
        <v>3495</v>
      </c>
      <c r="G291" s="47" t="s">
        <v>16</v>
      </c>
      <c r="H291" s="47" t="str">
        <f>IFERROR(VLOOKUP(Table2[[#This Row], [Ticket]],Okey!A:B,2,0),"")</f>
        <v>ok</v>
      </c>
      <c r="I291" s="47" t="s">
        <v>5290</v>
      </c>
      <c r="J291" s="47" t="s">
        <v>18</v>
      </c>
      <c r="K291" s="47" t="s">
        <v>5969</v>
      </c>
      <c r="L291" s="47"/>
      <c r="M291" s="49" t="s">
        <v>4799</v>
      </c>
    </row>
    <row r="292" spans="1:13">
      <c r="A292" s="48">
        <f t="shared" si="4"/>
        <v>291</v>
      </c>
      <c r="B292" s="47" t="s">
        <v>8</v>
      </c>
      <c r="C292" s="47" t="s">
        <v>5974</v>
      </c>
      <c r="D292" s="47" t="s">
        <v>3558</v>
      </c>
      <c r="E292" s="47" t="s">
        <v>5026</v>
      </c>
      <c r="F292" s="47" t="s">
        <v>3497</v>
      </c>
      <c r="G292" s="47" t="s">
        <v>16</v>
      </c>
      <c r="H292" s="47" t="str">
        <f>IFERROR(VLOOKUP(Table2[[#This Row], [Ticket]],Okey!A:B,2,0),"")</f>
        <v>ok</v>
      </c>
      <c r="I292" s="47" t="s">
        <v>5290</v>
      </c>
      <c r="J292" s="47" t="s">
        <v>18</v>
      </c>
      <c r="K292" s="47" t="s">
        <v>5969</v>
      </c>
      <c r="L292" s="47"/>
      <c r="M292" s="49" t="s">
        <v>4799</v>
      </c>
    </row>
    <row r="293" spans="1:13">
      <c r="A293" s="48">
        <f t="shared" si="4"/>
        <v>292</v>
      </c>
      <c r="B293" s="47" t="s">
        <v>8</v>
      </c>
      <c r="C293" s="47" t="s">
        <v>5974</v>
      </c>
      <c r="D293" s="47" t="s">
        <v>3622</v>
      </c>
      <c r="E293" s="47" t="s">
        <v>5027</v>
      </c>
      <c r="F293" s="47" t="s">
        <v>4849</v>
      </c>
      <c r="G293" s="47" t="s">
        <v>16</v>
      </c>
      <c r="H293" s="47" t="str">
        <f>IFERROR(VLOOKUP(Table2[[#This Row], [Ticket]],Okey!A:B,2,0),"")</f>
        <v>ok</v>
      </c>
      <c r="I293" s="47" t="s">
        <v>5290</v>
      </c>
      <c r="J293" s="47" t="s">
        <v>18</v>
      </c>
      <c r="K293" s="47" t="s">
        <v>5969</v>
      </c>
      <c r="L293" s="47"/>
      <c r="M293" s="49" t="s">
        <v>4799</v>
      </c>
    </row>
    <row r="294" spans="1:13">
      <c r="A294" s="48">
        <f t="shared" si="4"/>
        <v>293</v>
      </c>
      <c r="B294" s="47" t="s">
        <v>8</v>
      </c>
      <c r="C294" s="47" t="s">
        <v>5974</v>
      </c>
      <c r="D294" s="47" t="s">
        <v>3495</v>
      </c>
      <c r="E294" s="47" t="s">
        <v>5028</v>
      </c>
      <c r="F294" s="47" t="s">
        <v>3956</v>
      </c>
      <c r="G294" s="47" t="s">
        <v>16</v>
      </c>
      <c r="H294" s="47" t="str">
        <f>IFERROR(VLOOKUP(Table2[[#This Row], [Ticket]],Okey!A:B,2,0),"")</f>
        <v>ok</v>
      </c>
      <c r="I294" s="47" t="s">
        <v>5290</v>
      </c>
      <c r="J294" s="47" t="s">
        <v>18</v>
      </c>
      <c r="K294" s="47" t="s">
        <v>5969</v>
      </c>
      <c r="L294" s="47"/>
      <c r="M294" s="49" t="s">
        <v>4799</v>
      </c>
    </row>
    <row r="295" spans="1:13">
      <c r="A295" s="48">
        <f t="shared" si="4"/>
        <v>294</v>
      </c>
      <c r="B295" s="47" t="s">
        <v>8</v>
      </c>
      <c r="C295" s="47" t="s">
        <v>5974</v>
      </c>
      <c r="D295" s="47" t="s">
        <v>3484</v>
      </c>
      <c r="E295" s="47" t="s">
        <v>5029</v>
      </c>
      <c r="F295" s="47" t="s">
        <v>4828</v>
      </c>
      <c r="G295" s="47" t="s">
        <v>16</v>
      </c>
      <c r="H295" s="47" t="str">
        <f>IFERROR(VLOOKUP(Table2[[#This Row], [Ticket]],Okey!A:B,2,0),"")</f>
        <v>ok</v>
      </c>
      <c r="I295" s="47" t="s">
        <v>5290</v>
      </c>
      <c r="J295" s="47" t="s">
        <v>18</v>
      </c>
      <c r="K295" s="47" t="s">
        <v>5969</v>
      </c>
      <c r="L295" s="47"/>
      <c r="M295" s="49" t="s">
        <v>4799</v>
      </c>
    </row>
    <row r="296" spans="1:13">
      <c r="A296" s="48">
        <f t="shared" si="4"/>
        <v>295</v>
      </c>
      <c r="B296" s="47" t="s">
        <v>8</v>
      </c>
      <c r="C296" s="47" t="s">
        <v>5974</v>
      </c>
      <c r="D296" s="47" t="s">
        <v>3612</v>
      </c>
      <c r="E296" s="47" t="s">
        <v>5030</v>
      </c>
      <c r="F296" s="47" t="s">
        <v>3497</v>
      </c>
      <c r="G296" s="47" t="s">
        <v>16</v>
      </c>
      <c r="H296" s="47" t="str">
        <f>IFERROR(VLOOKUP(Table2[[#This Row], [Ticket]],Okey!A:B,2,0),"")</f>
        <v>ok</v>
      </c>
      <c r="I296" s="47" t="s">
        <v>5290</v>
      </c>
      <c r="J296" s="47" t="s">
        <v>18</v>
      </c>
      <c r="K296" s="47" t="s">
        <v>5969</v>
      </c>
      <c r="L296" s="47"/>
      <c r="M296" s="49" t="s">
        <v>4799</v>
      </c>
    </row>
    <row r="297" spans="1:13">
      <c r="A297" s="48">
        <f t="shared" si="4"/>
        <v>296</v>
      </c>
      <c r="B297" s="47" t="s">
        <v>8</v>
      </c>
      <c r="C297" s="47" t="s">
        <v>5974</v>
      </c>
      <c r="D297" s="47" t="s">
        <v>4057</v>
      </c>
      <c r="E297" s="47" t="s">
        <v>5031</v>
      </c>
      <c r="F297" s="47" t="s">
        <v>4828</v>
      </c>
      <c r="G297" s="47" t="s">
        <v>16</v>
      </c>
      <c r="H297" s="47" t="str">
        <f>IFERROR(VLOOKUP(Table2[[#This Row], [Ticket]],Okey!A:B,2,0),"")</f>
        <v>ok</v>
      </c>
      <c r="I297" s="47" t="s">
        <v>5290</v>
      </c>
      <c r="J297" s="47" t="s">
        <v>18</v>
      </c>
      <c r="K297" s="47" t="s">
        <v>5969</v>
      </c>
      <c r="L297" s="47"/>
      <c r="M297" s="49" t="s">
        <v>4799</v>
      </c>
    </row>
    <row r="298" spans="1:13">
      <c r="A298" s="48">
        <f t="shared" si="4"/>
        <v>297</v>
      </c>
      <c r="B298" s="47" t="s">
        <v>8</v>
      </c>
      <c r="C298" s="47" t="s">
        <v>5974</v>
      </c>
      <c r="D298" s="47" t="s">
        <v>3490</v>
      </c>
      <c r="E298" s="47" t="s">
        <v>5032</v>
      </c>
      <c r="F298" s="47" t="s">
        <v>4849</v>
      </c>
      <c r="G298" s="47" t="s">
        <v>16</v>
      </c>
      <c r="H298" s="47" t="str">
        <f>IFERROR(VLOOKUP(Table2[[#This Row], [Ticket]],Okey!A:B,2,0),"")</f>
        <v>ok</v>
      </c>
      <c r="I298" s="47" t="s">
        <v>5290</v>
      </c>
      <c r="J298" s="47" t="s">
        <v>18</v>
      </c>
      <c r="K298" s="47" t="s">
        <v>5969</v>
      </c>
      <c r="L298" s="47"/>
      <c r="M298" s="49" t="s">
        <v>4799</v>
      </c>
    </row>
    <row r="299" spans="1:13">
      <c r="A299" s="48">
        <f t="shared" si="4"/>
        <v>298</v>
      </c>
      <c r="B299" s="47" t="s">
        <v>8</v>
      </c>
      <c r="C299" s="47" t="s">
        <v>5974</v>
      </c>
      <c r="D299" s="47" t="s">
        <v>3491</v>
      </c>
      <c r="E299" s="47" t="s">
        <v>5033</v>
      </c>
      <c r="F299" s="47" t="s">
        <v>4849</v>
      </c>
      <c r="G299" s="47" t="s">
        <v>16</v>
      </c>
      <c r="H299" s="47" t="str">
        <f>IFERROR(VLOOKUP(Table2[[#This Row], [Ticket]],Okey!A:B,2,0),"")</f>
        <v>ok</v>
      </c>
      <c r="I299" s="47" t="s">
        <v>5290</v>
      </c>
      <c r="J299" s="47" t="s">
        <v>18</v>
      </c>
      <c r="K299" s="47" t="s">
        <v>5969</v>
      </c>
      <c r="L299" s="47"/>
      <c r="M299" s="49" t="s">
        <v>4799</v>
      </c>
    </row>
    <row r="300" spans="1:13">
      <c r="A300" s="48">
        <f t="shared" si="4"/>
        <v>299</v>
      </c>
      <c r="B300" s="47" t="s">
        <v>8</v>
      </c>
      <c r="C300" s="47" t="s">
        <v>5974</v>
      </c>
      <c r="D300" s="47" t="s">
        <v>5034</v>
      </c>
      <c r="E300" s="47" t="s">
        <v>5976</v>
      </c>
      <c r="F300" s="47" t="s">
        <v>3491</v>
      </c>
      <c r="G300" s="47" t="s">
        <v>16</v>
      </c>
      <c r="H300" s="47" t="str">
        <f>IFERROR(VLOOKUP(Table2[[#This Row], [Ticket]],Okey!A:B,2,0),"")</f>
        <v>ok</v>
      </c>
      <c r="I300" s="47" t="s">
        <v>5290</v>
      </c>
      <c r="J300" s="47" t="s">
        <v>18</v>
      </c>
      <c r="K300" s="47" t="s">
        <v>5969</v>
      </c>
      <c r="L300" s="47"/>
      <c r="M300" s="49" t="s">
        <v>4799</v>
      </c>
    </row>
    <row r="301" spans="1:13">
      <c r="A301" s="48">
        <f t="shared" si="4"/>
        <v>300</v>
      </c>
      <c r="B301" s="47" t="s">
        <v>8</v>
      </c>
      <c r="C301" s="47" t="s">
        <v>5974</v>
      </c>
      <c r="D301" s="47" t="s">
        <v>3611</v>
      </c>
      <c r="E301" s="47" t="s">
        <v>4968</v>
      </c>
      <c r="F301" s="47" t="s">
        <v>4849</v>
      </c>
      <c r="G301" s="47" t="s">
        <v>16</v>
      </c>
      <c r="H301" s="47" t="str">
        <f>IFERROR(VLOOKUP(Table2[[#This Row], [Ticket]],Okey!A:B,2,0),"")</f>
        <v>ok</v>
      </c>
      <c r="I301" s="47" t="s">
        <v>5290</v>
      </c>
      <c r="J301" s="47" t="s">
        <v>18</v>
      </c>
      <c r="K301" s="47" t="s">
        <v>5969</v>
      </c>
      <c r="L301" s="47"/>
      <c r="M301" s="49" t="s">
        <v>4799</v>
      </c>
    </row>
    <row r="302" spans="1:13">
      <c r="A302" s="48">
        <f t="shared" si="4"/>
        <v>301</v>
      </c>
      <c r="B302" s="47" t="s">
        <v>8</v>
      </c>
      <c r="C302" s="47" t="s">
        <v>5974</v>
      </c>
      <c r="D302" s="47" t="s">
        <v>3982</v>
      </c>
      <c r="E302" s="47" t="s">
        <v>5037</v>
      </c>
      <c r="F302" s="47" t="s">
        <v>3517</v>
      </c>
      <c r="G302" s="47" t="s">
        <v>16</v>
      </c>
      <c r="H302" s="47" t="str">
        <f>IFERROR(VLOOKUP(Table2[[#This Row], [Ticket]],Okey!A:B,2,0),"")</f>
        <v>ok</v>
      </c>
      <c r="I302" s="47" t="s">
        <v>5290</v>
      </c>
      <c r="J302" s="47" t="s">
        <v>18</v>
      </c>
      <c r="K302" s="47" t="s">
        <v>5969</v>
      </c>
      <c r="L302" s="47"/>
      <c r="M302" s="49" t="s">
        <v>4799</v>
      </c>
    </row>
    <row r="303" spans="1:13">
      <c r="A303" s="48">
        <f t="shared" si="4"/>
        <v>302</v>
      </c>
      <c r="B303" s="47" t="s">
        <v>8</v>
      </c>
      <c r="C303" s="47" t="s">
        <v>5974</v>
      </c>
      <c r="D303" s="47" t="s">
        <v>3934</v>
      </c>
      <c r="E303" s="47" t="s">
        <v>5038</v>
      </c>
      <c r="F303" s="47" t="s">
        <v>4828</v>
      </c>
      <c r="G303" s="47" t="s">
        <v>16</v>
      </c>
      <c r="H303" s="47" t="str">
        <f>IFERROR(VLOOKUP(Table2[[#This Row], [Ticket]],Okey!A:B,2,0),"")</f>
        <v>ok</v>
      </c>
      <c r="I303" s="47" t="s">
        <v>5290</v>
      </c>
      <c r="J303" s="47" t="s">
        <v>18</v>
      </c>
      <c r="K303" s="47" t="s">
        <v>5969</v>
      </c>
      <c r="L303" s="47"/>
      <c r="M303" s="49" t="s">
        <v>4799</v>
      </c>
    </row>
    <row r="304" spans="1:13">
      <c r="A304" s="48">
        <f t="shared" si="4"/>
        <v>303</v>
      </c>
      <c r="B304" s="47" t="s">
        <v>8</v>
      </c>
      <c r="C304" s="47" t="s">
        <v>5974</v>
      </c>
      <c r="D304" s="47" t="s">
        <v>5977</v>
      </c>
      <c r="E304" s="47"/>
      <c r="F304" s="47" t="s">
        <v>5978</v>
      </c>
      <c r="G304" s="47" t="s">
        <v>13</v>
      </c>
      <c r="H304" s="47" t="str">
        <f>IFERROR(VLOOKUP(Table2[[#This Row], [Ticket]],Okey!A:B,2,0),"")</f>
        <v>ok</v>
      </c>
      <c r="I304" s="47" t="s">
        <v>5290</v>
      </c>
      <c r="J304" s="47" t="s">
        <v>18</v>
      </c>
      <c r="K304" s="47" t="s">
        <v>5979</v>
      </c>
      <c r="L304" s="47"/>
      <c r="M304" s="49" t="s">
        <v>4799</v>
      </c>
    </row>
    <row r="305" spans="1:13">
      <c r="A305" s="48">
        <f t="shared" si="4"/>
        <v>304</v>
      </c>
      <c r="B305" s="47" t="s">
        <v>8</v>
      </c>
      <c r="C305" s="47" t="s">
        <v>5974</v>
      </c>
      <c r="D305" s="47" t="s">
        <v>5980</v>
      </c>
      <c r="E305" s="47"/>
      <c r="F305" s="47" t="s">
        <v>5978</v>
      </c>
      <c r="G305" s="47" t="s">
        <v>13</v>
      </c>
      <c r="H305" s="47" t="str">
        <f>IFERROR(VLOOKUP(Table2[[#This Row], [Ticket]],Okey!A:B,2,0),"")</f>
        <v>ok</v>
      </c>
      <c r="I305" s="47" t="s">
        <v>5290</v>
      </c>
      <c r="J305" s="47" t="s">
        <v>18</v>
      </c>
      <c r="K305" s="47" t="s">
        <v>5979</v>
      </c>
      <c r="L305" s="47"/>
      <c r="M305" s="49" t="s">
        <v>4799</v>
      </c>
    </row>
    <row r="306" spans="1:13">
      <c r="A306" s="48">
        <f t="shared" si="4"/>
        <v>305</v>
      </c>
      <c r="B306" s="47" t="s">
        <v>8</v>
      </c>
      <c r="C306" s="47" t="s">
        <v>5974</v>
      </c>
      <c r="D306" s="47" t="s">
        <v>5981</v>
      </c>
      <c r="E306" s="47"/>
      <c r="F306" s="47" t="s">
        <v>5978</v>
      </c>
      <c r="G306" s="47" t="s">
        <v>13</v>
      </c>
      <c r="H306" s="47" t="str">
        <f>IFERROR(VLOOKUP(Table2[[#This Row], [Ticket]],Okey!A:B,2,0),"")</f>
        <v>ok</v>
      </c>
      <c r="I306" s="47" t="s">
        <v>5290</v>
      </c>
      <c r="J306" s="47" t="s">
        <v>18</v>
      </c>
      <c r="K306" s="47" t="s">
        <v>5979</v>
      </c>
      <c r="L306" s="47"/>
      <c r="M306" s="49" t="s">
        <v>4799</v>
      </c>
    </row>
    <row r="307" spans="1:13">
      <c r="A307" s="48">
        <f t="shared" si="4"/>
        <v>306</v>
      </c>
      <c r="B307" s="47" t="s">
        <v>8</v>
      </c>
      <c r="C307" s="47" t="s">
        <v>5974</v>
      </c>
      <c r="D307" s="47" t="s">
        <v>5982</v>
      </c>
      <c r="E307" s="47"/>
      <c r="F307" s="47" t="s">
        <v>4801</v>
      </c>
      <c r="G307" s="47" t="s">
        <v>13</v>
      </c>
      <c r="H307" s="47" t="str">
        <f>IFERROR(VLOOKUP(Table2[[#This Row], [Ticket]],Okey!A:B,2,0),"")</f>
        <v>ok</v>
      </c>
      <c r="I307" s="47" t="s">
        <v>5290</v>
      </c>
      <c r="J307" s="47" t="s">
        <v>18</v>
      </c>
      <c r="K307" s="47" t="s">
        <v>5979</v>
      </c>
      <c r="L307" s="47"/>
      <c r="M307" s="49" t="s">
        <v>4799</v>
      </c>
    </row>
    <row r="308" spans="1:13">
      <c r="A308" s="48">
        <f t="shared" si="4"/>
        <v>307</v>
      </c>
      <c r="B308" s="47" t="s">
        <v>8</v>
      </c>
      <c r="C308" s="47" t="s">
        <v>5974</v>
      </c>
      <c r="D308" s="47" t="s">
        <v>5983</v>
      </c>
      <c r="E308" s="47"/>
      <c r="F308" s="47" t="s">
        <v>4801</v>
      </c>
      <c r="G308" s="47" t="s">
        <v>13</v>
      </c>
      <c r="H308" s="47" t="str">
        <f>IFERROR(VLOOKUP(Table2[[#This Row], [Ticket]],Okey!A:B,2,0),"")</f>
        <v>ok</v>
      </c>
      <c r="I308" s="47" t="s">
        <v>5290</v>
      </c>
      <c r="J308" s="47" t="s">
        <v>18</v>
      </c>
      <c r="K308" s="47" t="s">
        <v>5979</v>
      </c>
      <c r="L308" s="47"/>
      <c r="M308" s="49" t="s">
        <v>4799</v>
      </c>
    </row>
    <row r="309" spans="1:13">
      <c r="A309" s="48">
        <f t="shared" si="4"/>
        <v>308</v>
      </c>
      <c r="B309" s="47" t="s">
        <v>8</v>
      </c>
      <c r="C309" s="47" t="s">
        <v>5974</v>
      </c>
      <c r="D309" s="47" t="s">
        <v>5984</v>
      </c>
      <c r="E309" s="47"/>
      <c r="F309" s="47" t="s">
        <v>5581</v>
      </c>
      <c r="G309" s="47" t="s">
        <v>13</v>
      </c>
      <c r="H309" s="47" t="str">
        <f>IFERROR(VLOOKUP(Table2[[#This Row], [Ticket]],Okey!A:B,2,0),"")</f>
        <v>ok</v>
      </c>
      <c r="I309" s="47" t="s">
        <v>5290</v>
      </c>
      <c r="J309" s="47" t="s">
        <v>18</v>
      </c>
      <c r="K309" s="47" t="s">
        <v>5979</v>
      </c>
      <c r="L309" s="47"/>
      <c r="M309" s="49" t="s">
        <v>4799</v>
      </c>
    </row>
    <row r="310" spans="1:13">
      <c r="A310" s="48">
        <f t="shared" si="4"/>
        <v>309</v>
      </c>
      <c r="B310" s="47" t="s">
        <v>8</v>
      </c>
      <c r="C310" s="47" t="s">
        <v>5974</v>
      </c>
      <c r="D310" s="47" t="s">
        <v>5985</v>
      </c>
      <c r="E310" s="47"/>
      <c r="F310" s="47" t="s">
        <v>4801</v>
      </c>
      <c r="G310" s="47" t="s">
        <v>13</v>
      </c>
      <c r="H310" s="47" t="str">
        <f>IFERROR(VLOOKUP(Table2[[#This Row], [Ticket]],Okey!A:B,2,0),"")</f>
        <v>ok</v>
      </c>
      <c r="I310" s="47" t="s">
        <v>5290</v>
      </c>
      <c r="J310" s="47" t="s">
        <v>18</v>
      </c>
      <c r="K310" s="47" t="s">
        <v>5979</v>
      </c>
      <c r="L310" s="47"/>
      <c r="M310" s="49" t="s">
        <v>4799</v>
      </c>
    </row>
    <row r="311" spans="1:13">
      <c r="A311" s="48">
        <f t="shared" si="4"/>
        <v>310</v>
      </c>
      <c r="B311" s="47" t="s">
        <v>8</v>
      </c>
      <c r="C311" s="47" t="s">
        <v>5974</v>
      </c>
      <c r="D311" s="47" t="s">
        <v>3876</v>
      </c>
      <c r="E311" s="47"/>
      <c r="F311" s="47" t="s">
        <v>1681</v>
      </c>
      <c r="G311" s="47" t="s">
        <v>13</v>
      </c>
      <c r="H311" s="47" t="str">
        <f>IFERROR(VLOOKUP(Table2[[#This Row], [Ticket]],Okey!A:B,2,0),"")</f>
        <v>ok</v>
      </c>
      <c r="I311" s="47" t="s">
        <v>5290</v>
      </c>
      <c r="J311" s="47" t="s">
        <v>18</v>
      </c>
      <c r="K311" s="47" t="s">
        <v>5979</v>
      </c>
      <c r="L311" s="47"/>
      <c r="M311" s="49" t="s">
        <v>4799</v>
      </c>
    </row>
    <row r="312" spans="1:13">
      <c r="A312" s="48">
        <f t="shared" si="4"/>
        <v>311</v>
      </c>
      <c r="B312" s="47" t="s">
        <v>8</v>
      </c>
      <c r="C312" s="47" t="s">
        <v>5974</v>
      </c>
      <c r="D312" s="47" t="s">
        <v>1939</v>
      </c>
      <c r="E312" s="47"/>
      <c r="F312" s="47" t="s">
        <v>1352</v>
      </c>
      <c r="G312" s="47" t="s">
        <v>13</v>
      </c>
      <c r="H312" s="47" t="str">
        <f>IFERROR(VLOOKUP(Table2[[#This Row], [Ticket]],Okey!A:B,2,0),"")</f>
        <v>ok</v>
      </c>
      <c r="I312" s="47" t="s">
        <v>5290</v>
      </c>
      <c r="J312" s="47" t="s">
        <v>18</v>
      </c>
      <c r="K312" s="47" t="s">
        <v>5979</v>
      </c>
      <c r="L312" s="47"/>
      <c r="M312" s="49" t="s">
        <v>4799</v>
      </c>
    </row>
    <row r="313" spans="1:13">
      <c r="A313" s="48">
        <f t="shared" si="4"/>
        <v>312</v>
      </c>
      <c r="B313" s="47" t="s">
        <v>8</v>
      </c>
      <c r="C313" s="47" t="s">
        <v>5974</v>
      </c>
      <c r="D313" s="47" t="s">
        <v>5986</v>
      </c>
      <c r="E313" s="47"/>
      <c r="F313" s="47" t="s">
        <v>4825</v>
      </c>
      <c r="G313" s="47" t="s">
        <v>13</v>
      </c>
      <c r="H313" s="47" t="str">
        <f>IFERROR(VLOOKUP(Table2[[#This Row], [Ticket]],Okey!A:B,2,0),"")</f>
        <v>ok</v>
      </c>
      <c r="I313" s="47" t="s">
        <v>5290</v>
      </c>
      <c r="J313" s="47" t="s">
        <v>18</v>
      </c>
      <c r="K313" s="47" t="s">
        <v>5979</v>
      </c>
      <c r="L313" s="47"/>
      <c r="M313" s="49" t="s">
        <v>4799</v>
      </c>
    </row>
    <row r="314" spans="1:13">
      <c r="A314" s="48">
        <f t="shared" si="4"/>
        <v>313</v>
      </c>
      <c r="B314" s="47" t="s">
        <v>8</v>
      </c>
      <c r="C314" s="47" t="s">
        <v>5974</v>
      </c>
      <c r="D314" s="47" t="s">
        <v>5987</v>
      </c>
      <c r="E314" s="47"/>
      <c r="F314" s="47" t="s">
        <v>4825</v>
      </c>
      <c r="G314" s="47" t="s">
        <v>13</v>
      </c>
      <c r="H314" s="47" t="str">
        <f>IFERROR(VLOOKUP(Table2[[#This Row], [Ticket]],Okey!A:B,2,0),"")</f>
        <v>ok</v>
      </c>
      <c r="I314" s="47" t="s">
        <v>5290</v>
      </c>
      <c r="J314" s="47" t="s">
        <v>18</v>
      </c>
      <c r="K314" s="47" t="s">
        <v>5979</v>
      </c>
      <c r="L314" s="47"/>
      <c r="M314" s="49" t="s">
        <v>4799</v>
      </c>
    </row>
    <row r="315" spans="1:13">
      <c r="A315" s="48">
        <f t="shared" si="4"/>
        <v>314</v>
      </c>
      <c r="B315" s="47" t="s">
        <v>8</v>
      </c>
      <c r="C315" s="47" t="s">
        <v>5974</v>
      </c>
      <c r="D315" s="47" t="s">
        <v>5988</v>
      </c>
      <c r="E315" s="47"/>
      <c r="F315" s="47" t="s">
        <v>4046</v>
      </c>
      <c r="G315" s="47" t="s">
        <v>13</v>
      </c>
      <c r="H315" s="47" t="str">
        <f>IFERROR(VLOOKUP(Table2[[#This Row], [Ticket]],Okey!A:B,2,0),"")</f>
        <v>ok</v>
      </c>
      <c r="I315" s="47" t="s">
        <v>5290</v>
      </c>
      <c r="J315" s="47" t="s">
        <v>18</v>
      </c>
      <c r="K315" s="47" t="s">
        <v>5979</v>
      </c>
      <c r="L315" s="47"/>
      <c r="M315" s="49" t="s">
        <v>4799</v>
      </c>
    </row>
    <row r="316" spans="1:13">
      <c r="A316" s="48">
        <f t="shared" si="4"/>
        <v>315</v>
      </c>
      <c r="B316" s="47" t="s">
        <v>8</v>
      </c>
      <c r="C316" s="47" t="s">
        <v>5974</v>
      </c>
      <c r="D316" s="47" t="s">
        <v>5989</v>
      </c>
      <c r="E316" s="47"/>
      <c r="F316" s="47" t="s">
        <v>4046</v>
      </c>
      <c r="G316" s="47" t="s">
        <v>13</v>
      </c>
      <c r="H316" s="47" t="str">
        <f>IFERROR(VLOOKUP(Table2[[#This Row], [Ticket]],Okey!A:B,2,0),"")</f>
        <v>ok</v>
      </c>
      <c r="I316" s="47" t="s">
        <v>5290</v>
      </c>
      <c r="J316" s="47" t="s">
        <v>18</v>
      </c>
      <c r="K316" s="47" t="s">
        <v>5979</v>
      </c>
      <c r="L316" s="47"/>
      <c r="M316" s="49" t="s">
        <v>4799</v>
      </c>
    </row>
    <row r="317" spans="1:13">
      <c r="A317" s="48">
        <f t="shared" si="4"/>
        <v>316</v>
      </c>
      <c r="B317" s="47" t="s">
        <v>8</v>
      </c>
      <c r="C317" s="47" t="s">
        <v>5974</v>
      </c>
      <c r="D317" s="47" t="s">
        <v>5990</v>
      </c>
      <c r="E317" s="47"/>
      <c r="F317" s="47" t="s">
        <v>4112</v>
      </c>
      <c r="G317" s="47" t="s">
        <v>13</v>
      </c>
      <c r="H317" s="47" t="str">
        <f>IFERROR(VLOOKUP(Table2[[#This Row], [Ticket]],Okey!A:B,2,0),"")</f>
        <v>ok</v>
      </c>
      <c r="I317" s="47" t="s">
        <v>5290</v>
      </c>
      <c r="J317" s="47" t="s">
        <v>18</v>
      </c>
      <c r="K317" s="47" t="s">
        <v>5979</v>
      </c>
      <c r="L317" s="47"/>
      <c r="M317" s="49" t="s">
        <v>4799</v>
      </c>
    </row>
    <row r="318" spans="1:13">
      <c r="A318" s="48">
        <f t="shared" si="4"/>
        <v>317</v>
      </c>
      <c r="B318" s="47" t="s">
        <v>8</v>
      </c>
      <c r="C318" s="47" t="s">
        <v>5974</v>
      </c>
      <c r="D318" s="47" t="s">
        <v>3487</v>
      </c>
      <c r="E318" s="47"/>
      <c r="F318" s="47" t="s">
        <v>3484</v>
      </c>
      <c r="G318" s="47" t="s">
        <v>13</v>
      </c>
      <c r="H318" s="47" t="str">
        <f>IFERROR(VLOOKUP(Table2[[#This Row], [Ticket]],Okey!A:B,2,0),"")</f>
        <v>ok</v>
      </c>
      <c r="I318" s="47" t="s">
        <v>5290</v>
      </c>
      <c r="J318" s="47" t="s">
        <v>18</v>
      </c>
      <c r="K318" s="47" t="s">
        <v>5979</v>
      </c>
      <c r="L318" s="47"/>
      <c r="M318" s="49" t="s">
        <v>4799</v>
      </c>
    </row>
    <row r="319" spans="1:13">
      <c r="A319" s="48">
        <f t="shared" si="4"/>
        <v>318</v>
      </c>
      <c r="B319" s="47" t="s">
        <v>8</v>
      </c>
      <c r="C319" s="47" t="s">
        <v>5974</v>
      </c>
      <c r="D319" s="47" t="s">
        <v>5991</v>
      </c>
      <c r="E319" s="47"/>
      <c r="F319" s="47" t="s">
        <v>3484</v>
      </c>
      <c r="G319" s="47" t="s">
        <v>13</v>
      </c>
      <c r="H319" s="47" t="str">
        <f>IFERROR(VLOOKUP(Table2[[#This Row], [Ticket]],Okey!A:B,2,0),"")</f>
        <v>ok</v>
      </c>
      <c r="I319" s="47" t="s">
        <v>5290</v>
      </c>
      <c r="J319" s="47" t="s">
        <v>18</v>
      </c>
      <c r="K319" s="47" t="s">
        <v>5979</v>
      </c>
      <c r="L319" s="47"/>
      <c r="M319" s="49" t="s">
        <v>4799</v>
      </c>
    </row>
    <row r="320" spans="1:13">
      <c r="A320" s="48">
        <f t="shared" si="4"/>
        <v>319</v>
      </c>
      <c r="B320" s="47" t="s">
        <v>8</v>
      </c>
      <c r="C320" s="47" t="s">
        <v>5974</v>
      </c>
      <c r="D320" s="47" t="s">
        <v>5992</v>
      </c>
      <c r="E320" s="47"/>
      <c r="F320" s="47" t="s">
        <v>4860</v>
      </c>
      <c r="G320" s="47" t="s">
        <v>13</v>
      </c>
      <c r="H320" s="47" t="str">
        <f>IFERROR(VLOOKUP(Table2[[#This Row], [Ticket]],Okey!A:B,2,0),"")</f>
        <v>ok</v>
      </c>
      <c r="I320" s="47" t="s">
        <v>5290</v>
      </c>
      <c r="J320" s="47" t="s">
        <v>18</v>
      </c>
      <c r="K320" s="47" t="s">
        <v>5979</v>
      </c>
      <c r="L320" s="47"/>
      <c r="M320" s="49" t="s">
        <v>4799</v>
      </c>
    </row>
    <row r="321" spans="1:13">
      <c r="A321" s="48">
        <f t="shared" si="4"/>
        <v>320</v>
      </c>
      <c r="B321" s="47" t="s">
        <v>8</v>
      </c>
      <c r="C321" s="47" t="s">
        <v>5974</v>
      </c>
      <c r="D321" s="47" t="s">
        <v>4140</v>
      </c>
      <c r="E321" s="47"/>
      <c r="F321" s="47" t="s">
        <v>4852</v>
      </c>
      <c r="G321" s="47" t="s">
        <v>13</v>
      </c>
      <c r="H321" s="47" t="str">
        <f>IFERROR(VLOOKUP(Table2[[#This Row], [Ticket]],Okey!A:B,2,0),"")</f>
        <v>ok</v>
      </c>
      <c r="I321" s="47" t="s">
        <v>5290</v>
      </c>
      <c r="J321" s="47" t="s">
        <v>18</v>
      </c>
      <c r="K321" s="47" t="s">
        <v>5979</v>
      </c>
      <c r="L321" s="47"/>
      <c r="M321" s="49" t="s">
        <v>4799</v>
      </c>
    </row>
    <row r="322" spans="1:13">
      <c r="A322" s="48">
        <f t="shared" si="4"/>
        <v>321</v>
      </c>
      <c r="B322" s="47" t="s">
        <v>8</v>
      </c>
      <c r="C322" s="47" t="s">
        <v>5974</v>
      </c>
      <c r="D322" s="47" t="s">
        <v>4074</v>
      </c>
      <c r="E322" s="47"/>
      <c r="F322" s="47" t="s">
        <v>4852</v>
      </c>
      <c r="G322" s="47" t="s">
        <v>13</v>
      </c>
      <c r="H322" s="47" t="str">
        <f>IFERROR(VLOOKUP(Table2[[#This Row], [Ticket]],Okey!A:B,2,0),"")</f>
        <v>ok</v>
      </c>
      <c r="I322" s="47" t="s">
        <v>5290</v>
      </c>
      <c r="J322" s="47" t="s">
        <v>18</v>
      </c>
      <c r="K322" s="47" t="s">
        <v>5979</v>
      </c>
      <c r="L322" s="47"/>
      <c r="M322" s="49" t="s">
        <v>4799</v>
      </c>
    </row>
    <row r="323" spans="1:13">
      <c r="A323" s="48">
        <f t="shared" ref="A323:A386" si="5">1+A322</f>
        <v>322</v>
      </c>
      <c r="B323" s="47" t="s">
        <v>8</v>
      </c>
      <c r="C323" s="47" t="s">
        <v>5974</v>
      </c>
      <c r="D323" s="47" t="s">
        <v>4142</v>
      </c>
      <c r="E323" s="47"/>
      <c r="F323" s="47" t="s">
        <v>4878</v>
      </c>
      <c r="G323" s="47" t="s">
        <v>13</v>
      </c>
      <c r="H323" s="47" t="str">
        <f>IFERROR(VLOOKUP(Table2[[#This Row], [Ticket]],Okey!A:B,2,0),"")</f>
        <v>ok</v>
      </c>
      <c r="I323" s="47" t="s">
        <v>5290</v>
      </c>
      <c r="J323" s="47" t="s">
        <v>18</v>
      </c>
      <c r="K323" s="47" t="s">
        <v>5979</v>
      </c>
      <c r="L323" s="47"/>
      <c r="M323" s="49" t="s">
        <v>4799</v>
      </c>
    </row>
    <row r="324" spans="1:13">
      <c r="A324" s="48">
        <f t="shared" si="5"/>
        <v>323</v>
      </c>
      <c r="B324" s="47" t="s">
        <v>8</v>
      </c>
      <c r="C324" s="47" t="s">
        <v>5974</v>
      </c>
      <c r="D324" s="47" t="s">
        <v>5993</v>
      </c>
      <c r="E324" s="47"/>
      <c r="F324" s="47" t="s">
        <v>4852</v>
      </c>
      <c r="G324" s="47" t="s">
        <v>13</v>
      </c>
      <c r="H324" s="47" t="str">
        <f>IFERROR(VLOOKUP(Table2[[#This Row], [Ticket]],Okey!A:B,2,0),"")</f>
        <v>ok</v>
      </c>
      <c r="I324" s="47" t="s">
        <v>5290</v>
      </c>
      <c r="J324" s="47" t="s">
        <v>18</v>
      </c>
      <c r="K324" s="47" t="s">
        <v>5979</v>
      </c>
      <c r="L324" s="47"/>
      <c r="M324" s="49" t="s">
        <v>4799</v>
      </c>
    </row>
    <row r="325" spans="1:13">
      <c r="A325" s="48">
        <f t="shared" si="5"/>
        <v>324</v>
      </c>
      <c r="B325" s="47" t="s">
        <v>8</v>
      </c>
      <c r="C325" s="47" t="s">
        <v>5974</v>
      </c>
      <c r="D325" s="47" t="s">
        <v>5994</v>
      </c>
      <c r="E325" s="47"/>
      <c r="F325" s="47" t="s">
        <v>4878</v>
      </c>
      <c r="G325" s="47" t="s">
        <v>13</v>
      </c>
      <c r="H325" s="47" t="str">
        <f>IFERROR(VLOOKUP(Table2[[#This Row], [Ticket]],Okey!A:B,2,0),"")</f>
        <v>ok</v>
      </c>
      <c r="I325" s="47" t="s">
        <v>5290</v>
      </c>
      <c r="J325" s="47" t="s">
        <v>18</v>
      </c>
      <c r="K325" s="47" t="s">
        <v>5979</v>
      </c>
      <c r="L325" s="47"/>
      <c r="M325" s="49" t="s">
        <v>4799</v>
      </c>
    </row>
    <row r="326" spans="1:13">
      <c r="A326" s="48">
        <f t="shared" si="5"/>
        <v>325</v>
      </c>
      <c r="B326" s="47" t="s">
        <v>8</v>
      </c>
      <c r="C326" s="47" t="s">
        <v>5974</v>
      </c>
      <c r="D326" s="47" t="s">
        <v>5995</v>
      </c>
      <c r="E326" s="47"/>
      <c r="F326" s="47" t="s">
        <v>4852</v>
      </c>
      <c r="G326" s="47" t="s">
        <v>13</v>
      </c>
      <c r="H326" s="47" t="str">
        <f>IFERROR(VLOOKUP(Table2[[#This Row], [Ticket]],Okey!A:B,2,0),"")</f>
        <v>ok</v>
      </c>
      <c r="I326" s="47" t="s">
        <v>5290</v>
      </c>
      <c r="J326" s="47" t="s">
        <v>18</v>
      </c>
      <c r="K326" s="47" t="s">
        <v>5979</v>
      </c>
      <c r="L326" s="47"/>
      <c r="M326" s="49" t="s">
        <v>4799</v>
      </c>
    </row>
    <row r="327" spans="1:13">
      <c r="A327" s="48">
        <f t="shared" si="5"/>
        <v>326</v>
      </c>
      <c r="B327" s="47" t="s">
        <v>8</v>
      </c>
      <c r="C327" s="47" t="s">
        <v>5974</v>
      </c>
      <c r="D327" s="47" t="s">
        <v>3497</v>
      </c>
      <c r="E327" s="47"/>
      <c r="F327" s="47" t="s">
        <v>3956</v>
      </c>
      <c r="G327" s="47" t="s">
        <v>13</v>
      </c>
      <c r="H327" s="47" t="str">
        <f>IFERROR(VLOOKUP(Table2[[#This Row], [Ticket]],Okey!A:B,2,0),"")</f>
        <v>ok</v>
      </c>
      <c r="I327" s="47" t="s">
        <v>5290</v>
      </c>
      <c r="J327" s="47" t="s">
        <v>18</v>
      </c>
      <c r="K327" s="47" t="s">
        <v>5979</v>
      </c>
      <c r="L327" s="47"/>
      <c r="M327" s="49" t="s">
        <v>4799</v>
      </c>
    </row>
    <row r="328" spans="1:13">
      <c r="A328" s="48">
        <f t="shared" si="5"/>
        <v>327</v>
      </c>
      <c r="B328" s="47" t="s">
        <v>8</v>
      </c>
      <c r="C328" s="47" t="s">
        <v>5974</v>
      </c>
      <c r="D328" s="47" t="s">
        <v>3496</v>
      </c>
      <c r="E328" s="47"/>
      <c r="F328" s="47" t="s">
        <v>4849</v>
      </c>
      <c r="G328" s="47" t="s">
        <v>13</v>
      </c>
      <c r="H328" s="47" t="str">
        <f>IFERROR(VLOOKUP(Table2[[#This Row], [Ticket]],Okey!A:B,2,0),"")</f>
        <v>ok</v>
      </c>
      <c r="I328" s="47" t="s">
        <v>5290</v>
      </c>
      <c r="J328" s="47" t="s">
        <v>18</v>
      </c>
      <c r="K328" s="47" t="s">
        <v>5979</v>
      </c>
      <c r="L328" s="47"/>
      <c r="M328" s="49" t="s">
        <v>4799</v>
      </c>
    </row>
    <row r="329" spans="1:13">
      <c r="A329" s="48">
        <f t="shared" si="5"/>
        <v>328</v>
      </c>
      <c r="B329" s="47" t="s">
        <v>8</v>
      </c>
      <c r="C329" s="47" t="s">
        <v>5974</v>
      </c>
      <c r="D329" s="47" t="s">
        <v>4096</v>
      </c>
      <c r="E329" s="47"/>
      <c r="F329" s="47" t="s">
        <v>4845</v>
      </c>
      <c r="G329" s="47" t="s">
        <v>13</v>
      </c>
      <c r="H329" s="47" t="str">
        <f>IFERROR(VLOOKUP(Table2[[#This Row], [Ticket]],Okey!A:B,2,0),"")</f>
        <v>ok</v>
      </c>
      <c r="I329" s="47" t="s">
        <v>5290</v>
      </c>
      <c r="J329" s="47" t="s">
        <v>18</v>
      </c>
      <c r="K329" s="47" t="s">
        <v>5979</v>
      </c>
      <c r="L329" s="47"/>
      <c r="M329" s="49" t="s">
        <v>4799</v>
      </c>
    </row>
    <row r="330" spans="1:13">
      <c r="A330" s="48">
        <f t="shared" si="5"/>
        <v>329</v>
      </c>
      <c r="B330" s="47" t="s">
        <v>8</v>
      </c>
      <c r="C330" s="47" t="s">
        <v>5974</v>
      </c>
      <c r="D330" s="47" t="s">
        <v>3619</v>
      </c>
      <c r="E330" s="47"/>
      <c r="F330" s="47" t="s">
        <v>4845</v>
      </c>
      <c r="G330" s="47" t="s">
        <v>13</v>
      </c>
      <c r="H330" s="47" t="str">
        <f>IFERROR(VLOOKUP(Table2[[#This Row], [Ticket]],Okey!A:B,2,0),"")</f>
        <v>ok</v>
      </c>
      <c r="I330" s="47" t="s">
        <v>5290</v>
      </c>
      <c r="J330" s="47" t="s">
        <v>18</v>
      </c>
      <c r="K330" s="47" t="s">
        <v>5979</v>
      </c>
      <c r="L330" s="47"/>
      <c r="M330" s="49" t="s">
        <v>4799</v>
      </c>
    </row>
    <row r="331" spans="1:13">
      <c r="A331" s="48">
        <f t="shared" si="5"/>
        <v>330</v>
      </c>
      <c r="B331" s="47" t="s">
        <v>8</v>
      </c>
      <c r="C331" s="47" t="s">
        <v>5974</v>
      </c>
      <c r="D331" s="47" t="s">
        <v>3621</v>
      </c>
      <c r="E331" s="47"/>
      <c r="F331" s="47" t="s">
        <v>4849</v>
      </c>
      <c r="G331" s="47" t="s">
        <v>13</v>
      </c>
      <c r="H331" s="47" t="str">
        <f>IFERROR(VLOOKUP(Table2[[#This Row], [Ticket]],Okey!A:B,2,0),"")</f>
        <v>ok</v>
      </c>
      <c r="I331" s="47" t="s">
        <v>5290</v>
      </c>
      <c r="J331" s="47" t="s">
        <v>18</v>
      </c>
      <c r="K331" s="47" t="s">
        <v>5979</v>
      </c>
      <c r="L331" s="47"/>
      <c r="M331" s="49" t="s">
        <v>4799</v>
      </c>
    </row>
    <row r="332" spans="1:13">
      <c r="A332" s="48">
        <f t="shared" si="5"/>
        <v>331</v>
      </c>
      <c r="B332" s="47" t="s">
        <v>8</v>
      </c>
      <c r="C332" s="47" t="s">
        <v>5974</v>
      </c>
      <c r="D332" s="47" t="s">
        <v>3493</v>
      </c>
      <c r="E332" s="47"/>
      <c r="F332" s="47" t="s">
        <v>4831</v>
      </c>
      <c r="G332" s="47" t="s">
        <v>13</v>
      </c>
      <c r="H332" s="47" t="str">
        <f>IFERROR(VLOOKUP(Table2[[#This Row], [Ticket]],Okey!A:B,2,0),"")</f>
        <v>ok</v>
      </c>
      <c r="I332" s="47" t="s">
        <v>5290</v>
      </c>
      <c r="J332" s="47" t="s">
        <v>18</v>
      </c>
      <c r="K332" s="47" t="s">
        <v>5979</v>
      </c>
      <c r="L332" s="47"/>
      <c r="M332" s="49" t="s">
        <v>4799</v>
      </c>
    </row>
    <row r="333" spans="1:13">
      <c r="A333" s="48">
        <f t="shared" si="5"/>
        <v>332</v>
      </c>
      <c r="B333" s="47" t="s">
        <v>8</v>
      </c>
      <c r="C333" s="47" t="s">
        <v>5974</v>
      </c>
      <c r="D333" s="47" t="s">
        <v>5996</v>
      </c>
      <c r="E333" s="47"/>
      <c r="F333" s="47" t="s">
        <v>4866</v>
      </c>
      <c r="G333" s="47" t="s">
        <v>13</v>
      </c>
      <c r="H333" s="47" t="str">
        <f>IFERROR(VLOOKUP(Table2[[#This Row], [Ticket]],Okey!A:B,2,0),"")</f>
        <v>ok</v>
      </c>
      <c r="I333" s="47" t="s">
        <v>5290</v>
      </c>
      <c r="J333" s="47" t="s">
        <v>18</v>
      </c>
      <c r="K333" s="47" t="s">
        <v>5979</v>
      </c>
      <c r="L333" s="47"/>
      <c r="M333" s="49" t="s">
        <v>4799</v>
      </c>
    </row>
    <row r="334" spans="1:13">
      <c r="A334" s="48">
        <f t="shared" si="5"/>
        <v>333</v>
      </c>
      <c r="B334" s="47" t="s">
        <v>8</v>
      </c>
      <c r="C334" s="47" t="s">
        <v>5974</v>
      </c>
      <c r="D334" s="47" t="s">
        <v>5997</v>
      </c>
      <c r="E334" s="47"/>
      <c r="F334" s="47" t="s">
        <v>4874</v>
      </c>
      <c r="G334" s="47" t="s">
        <v>13</v>
      </c>
      <c r="H334" s="47" t="str">
        <f>IFERROR(VLOOKUP(Table2[[#This Row], [Ticket]],Okey!A:B,2,0),"")</f>
        <v>ok</v>
      </c>
      <c r="I334" s="47" t="s">
        <v>5290</v>
      </c>
      <c r="J334" s="47" t="s">
        <v>18</v>
      </c>
      <c r="K334" s="47" t="s">
        <v>5979</v>
      </c>
      <c r="L334" s="47"/>
      <c r="M334" s="49" t="s">
        <v>4799</v>
      </c>
    </row>
    <row r="335" spans="1:13">
      <c r="A335" s="48">
        <f t="shared" si="5"/>
        <v>334</v>
      </c>
      <c r="B335" s="47" t="s">
        <v>8</v>
      </c>
      <c r="C335" s="47" t="s">
        <v>5974</v>
      </c>
      <c r="D335" s="47" t="s">
        <v>5998</v>
      </c>
      <c r="E335" s="47"/>
      <c r="F335" s="47" t="s">
        <v>4874</v>
      </c>
      <c r="G335" s="47" t="s">
        <v>13</v>
      </c>
      <c r="H335" s="47" t="str">
        <f>IFERROR(VLOOKUP(Table2[[#This Row], [Ticket]],Okey!A:B,2,0),"")</f>
        <v>ok</v>
      </c>
      <c r="I335" s="47" t="s">
        <v>5290</v>
      </c>
      <c r="J335" s="47" t="s">
        <v>18</v>
      </c>
      <c r="K335" s="47" t="s">
        <v>5979</v>
      </c>
      <c r="L335" s="47"/>
      <c r="M335" s="49" t="s">
        <v>4799</v>
      </c>
    </row>
    <row r="336" spans="1:13">
      <c r="A336" s="48">
        <f t="shared" si="5"/>
        <v>335</v>
      </c>
      <c r="B336" s="47" t="s">
        <v>8</v>
      </c>
      <c r="C336" s="47" t="s">
        <v>5974</v>
      </c>
      <c r="D336" s="47" t="s">
        <v>5999</v>
      </c>
      <c r="E336" s="47"/>
      <c r="F336" s="47" t="s">
        <v>4874</v>
      </c>
      <c r="G336" s="47" t="s">
        <v>13</v>
      </c>
      <c r="H336" s="47" t="str">
        <f>IFERROR(VLOOKUP(Table2[[#This Row], [Ticket]],Okey!A:B,2,0),"")</f>
        <v>ok</v>
      </c>
      <c r="I336" s="47" t="s">
        <v>5290</v>
      </c>
      <c r="J336" s="47" t="s">
        <v>18</v>
      </c>
      <c r="K336" s="47" t="s">
        <v>5979</v>
      </c>
      <c r="L336" s="47"/>
      <c r="M336" s="49" t="s">
        <v>4799</v>
      </c>
    </row>
    <row r="337" spans="1:13">
      <c r="A337" s="48">
        <f t="shared" si="5"/>
        <v>336</v>
      </c>
      <c r="B337" s="47" t="s">
        <v>8</v>
      </c>
      <c r="C337" s="47" t="s">
        <v>5974</v>
      </c>
      <c r="D337" s="47" t="s">
        <v>6000</v>
      </c>
      <c r="E337" s="47"/>
      <c r="F337" s="47" t="s">
        <v>4874</v>
      </c>
      <c r="G337" s="47" t="s">
        <v>13</v>
      </c>
      <c r="H337" s="47" t="str">
        <f>IFERROR(VLOOKUP(Table2[[#This Row], [Ticket]],Okey!A:B,2,0),"")</f>
        <v>ok</v>
      </c>
      <c r="I337" s="47" t="s">
        <v>5290</v>
      </c>
      <c r="J337" s="47" t="s">
        <v>18</v>
      </c>
      <c r="K337" s="47" t="s">
        <v>5979</v>
      </c>
      <c r="L337" s="47"/>
      <c r="M337" s="49" t="s">
        <v>4799</v>
      </c>
    </row>
    <row r="338" spans="1:13">
      <c r="A338" s="48">
        <f t="shared" si="5"/>
        <v>337</v>
      </c>
      <c r="B338" s="47" t="s">
        <v>8</v>
      </c>
      <c r="C338" s="47" t="s">
        <v>5974</v>
      </c>
      <c r="D338" s="47" t="s">
        <v>6001</v>
      </c>
      <c r="E338" s="47"/>
      <c r="F338" s="47" t="s">
        <v>4874</v>
      </c>
      <c r="G338" s="47" t="s">
        <v>13</v>
      </c>
      <c r="H338" s="47" t="str">
        <f>IFERROR(VLOOKUP(Table2[[#This Row], [Ticket]],Okey!A:B,2,0),"")</f>
        <v>ok</v>
      </c>
      <c r="I338" s="47" t="s">
        <v>5290</v>
      </c>
      <c r="J338" s="47" t="s">
        <v>18</v>
      </c>
      <c r="K338" s="47" t="s">
        <v>5979</v>
      </c>
      <c r="L338" s="47"/>
      <c r="M338" s="49" t="s">
        <v>4799</v>
      </c>
    </row>
    <row r="339" spans="1:13">
      <c r="A339" s="48">
        <f t="shared" si="5"/>
        <v>338</v>
      </c>
      <c r="B339" s="47" t="s">
        <v>8</v>
      </c>
      <c r="C339" s="47" t="s">
        <v>5974</v>
      </c>
      <c r="D339" s="47" t="s">
        <v>6002</v>
      </c>
      <c r="E339" s="47"/>
      <c r="F339" s="47" t="s">
        <v>3497</v>
      </c>
      <c r="G339" s="47" t="s">
        <v>13</v>
      </c>
      <c r="H339" s="47" t="str">
        <f>IFERROR(VLOOKUP(Table2[[#This Row], [Ticket]],Okey!A:B,2,0),"")</f>
        <v>ok</v>
      </c>
      <c r="I339" s="47" t="s">
        <v>5290</v>
      </c>
      <c r="J339" s="47" t="s">
        <v>18</v>
      </c>
      <c r="K339" s="47" t="s">
        <v>5979</v>
      </c>
      <c r="L339" s="47"/>
      <c r="M339" s="49" t="s">
        <v>4799</v>
      </c>
    </row>
    <row r="340" spans="1:13">
      <c r="A340" s="48">
        <f t="shared" si="5"/>
        <v>339</v>
      </c>
      <c r="B340" s="47" t="s">
        <v>8</v>
      </c>
      <c r="C340" s="47" t="s">
        <v>5974</v>
      </c>
      <c r="D340" s="47" t="s">
        <v>6003</v>
      </c>
      <c r="E340" s="47"/>
      <c r="F340" s="47" t="s">
        <v>3497</v>
      </c>
      <c r="G340" s="47" t="s">
        <v>13</v>
      </c>
      <c r="H340" s="47" t="str">
        <f>IFERROR(VLOOKUP(Table2[[#This Row], [Ticket]],Okey!A:B,2,0),"")</f>
        <v>ok</v>
      </c>
      <c r="I340" s="47" t="s">
        <v>5290</v>
      </c>
      <c r="J340" s="47" t="s">
        <v>18</v>
      </c>
      <c r="K340" s="47" t="s">
        <v>5979</v>
      </c>
      <c r="L340" s="47"/>
      <c r="M340" s="49" t="s">
        <v>4799</v>
      </c>
    </row>
    <row r="341" spans="1:13">
      <c r="A341" s="48">
        <f t="shared" si="5"/>
        <v>340</v>
      </c>
      <c r="B341" s="47" t="s">
        <v>8</v>
      </c>
      <c r="C341" s="47" t="s">
        <v>5974</v>
      </c>
      <c r="D341" s="47" t="s">
        <v>6004</v>
      </c>
      <c r="E341" s="47"/>
      <c r="F341" s="47" t="s">
        <v>3495</v>
      </c>
      <c r="G341" s="47" t="s">
        <v>13</v>
      </c>
      <c r="H341" s="47" t="str">
        <f>IFERROR(VLOOKUP(Table2[[#This Row], [Ticket]],Okey!A:B,2,0),"")</f>
        <v>ok</v>
      </c>
      <c r="I341" s="47" t="s">
        <v>5290</v>
      </c>
      <c r="J341" s="47" t="s">
        <v>18</v>
      </c>
      <c r="K341" s="47" t="s">
        <v>5979</v>
      </c>
      <c r="L341" s="47"/>
      <c r="M341" s="49" t="s">
        <v>4799</v>
      </c>
    </row>
    <row r="342" spans="1:13">
      <c r="A342" s="48">
        <f t="shared" si="5"/>
        <v>341</v>
      </c>
      <c r="B342" s="47" t="s">
        <v>8</v>
      </c>
      <c r="C342" s="47" t="s">
        <v>5974</v>
      </c>
      <c r="D342" s="47" t="s">
        <v>6005</v>
      </c>
      <c r="E342" s="47"/>
      <c r="F342" s="47" t="s">
        <v>3495</v>
      </c>
      <c r="G342" s="47" t="s">
        <v>13</v>
      </c>
      <c r="H342" s="47" t="str">
        <f>IFERROR(VLOOKUP(Table2[[#This Row], [Ticket]],Okey!A:B,2,0),"")</f>
        <v>ok</v>
      </c>
      <c r="I342" s="47" t="s">
        <v>5290</v>
      </c>
      <c r="J342" s="47" t="s">
        <v>18</v>
      </c>
      <c r="K342" s="47" t="s">
        <v>5979</v>
      </c>
      <c r="L342" s="47"/>
      <c r="M342" s="49" t="s">
        <v>4799</v>
      </c>
    </row>
    <row r="343" spans="1:13">
      <c r="A343" s="48">
        <f t="shared" si="5"/>
        <v>342</v>
      </c>
      <c r="B343" s="47" t="s">
        <v>8</v>
      </c>
      <c r="C343" s="47" t="s">
        <v>5974</v>
      </c>
      <c r="D343" s="47" t="s">
        <v>6006</v>
      </c>
      <c r="E343" s="47"/>
      <c r="F343" s="47" t="s">
        <v>3497</v>
      </c>
      <c r="G343" s="47" t="s">
        <v>13</v>
      </c>
      <c r="H343" s="47" t="str">
        <f>IFERROR(VLOOKUP(Table2[[#This Row], [Ticket]],Okey!A:B,2,0),"")</f>
        <v>ok</v>
      </c>
      <c r="I343" s="47" t="s">
        <v>5290</v>
      </c>
      <c r="J343" s="47" t="s">
        <v>18</v>
      </c>
      <c r="K343" s="47" t="s">
        <v>5979</v>
      </c>
      <c r="L343" s="47"/>
      <c r="M343" s="49" t="s">
        <v>4799</v>
      </c>
    </row>
    <row r="344" spans="1:13">
      <c r="A344" s="48">
        <f t="shared" si="5"/>
        <v>343</v>
      </c>
      <c r="B344" s="47" t="s">
        <v>8</v>
      </c>
      <c r="C344" s="47" t="s">
        <v>5974</v>
      </c>
      <c r="D344" s="47" t="s">
        <v>6007</v>
      </c>
      <c r="E344" s="47"/>
      <c r="F344" s="47" t="s">
        <v>3491</v>
      </c>
      <c r="G344" s="47" t="s">
        <v>13</v>
      </c>
      <c r="H344" s="47" t="str">
        <f>IFERROR(VLOOKUP(Table2[[#This Row], [Ticket]],Okey!A:B,2,0),"")</f>
        <v>ok</v>
      </c>
      <c r="I344" s="47" t="s">
        <v>5290</v>
      </c>
      <c r="J344" s="47" t="s">
        <v>18</v>
      </c>
      <c r="K344" s="47" t="s">
        <v>5979</v>
      </c>
      <c r="L344" s="47"/>
      <c r="M344" s="49" t="s">
        <v>4799</v>
      </c>
    </row>
    <row r="345" spans="1:13">
      <c r="A345" s="48">
        <f t="shared" si="5"/>
        <v>344</v>
      </c>
      <c r="B345" s="47" t="s">
        <v>8</v>
      </c>
      <c r="C345" s="47" t="s">
        <v>5974</v>
      </c>
      <c r="D345" s="47" t="s">
        <v>6008</v>
      </c>
      <c r="E345" s="47"/>
      <c r="F345" s="47" t="s">
        <v>3495</v>
      </c>
      <c r="G345" s="47" t="s">
        <v>13</v>
      </c>
      <c r="H345" s="47" t="str">
        <f>IFERROR(VLOOKUP(Table2[[#This Row], [Ticket]],Okey!A:B,2,0),"")</f>
        <v>ok</v>
      </c>
      <c r="I345" s="47" t="s">
        <v>5290</v>
      </c>
      <c r="J345" s="47" t="s">
        <v>18</v>
      </c>
      <c r="K345" s="47" t="s">
        <v>5979</v>
      </c>
      <c r="L345" s="47"/>
      <c r="M345" s="49" t="s">
        <v>4799</v>
      </c>
    </row>
    <row r="346" spans="1:13">
      <c r="A346" s="48">
        <f t="shared" si="5"/>
        <v>345</v>
      </c>
      <c r="B346" s="47" t="s">
        <v>8</v>
      </c>
      <c r="C346" s="47" t="s">
        <v>5974</v>
      </c>
      <c r="D346" s="47" t="s">
        <v>3489</v>
      </c>
      <c r="E346" s="47"/>
      <c r="F346" s="47" t="s">
        <v>4828</v>
      </c>
      <c r="G346" s="47" t="s">
        <v>13</v>
      </c>
      <c r="H346" s="47" t="str">
        <f>IFERROR(VLOOKUP(Table2[[#This Row], [Ticket]],Okey!A:B,2,0),"")</f>
        <v>ok</v>
      </c>
      <c r="I346" s="47" t="s">
        <v>5290</v>
      </c>
      <c r="J346" s="47" t="s">
        <v>18</v>
      </c>
      <c r="K346" s="47" t="s">
        <v>5979</v>
      </c>
      <c r="L346" s="47"/>
      <c r="M346" s="49" t="s">
        <v>4799</v>
      </c>
    </row>
    <row r="347" spans="1:13">
      <c r="A347" s="48">
        <f t="shared" si="5"/>
        <v>346</v>
      </c>
      <c r="B347" s="47" t="s">
        <v>8</v>
      </c>
      <c r="C347" s="47" t="s">
        <v>5974</v>
      </c>
      <c r="D347" s="47" t="s">
        <v>6009</v>
      </c>
      <c r="E347" s="47"/>
      <c r="F347" s="47" t="s">
        <v>3918</v>
      </c>
      <c r="G347" s="47" t="s">
        <v>13</v>
      </c>
      <c r="H347" s="47" t="str">
        <f>IFERROR(VLOOKUP(Table2[[#This Row], [Ticket]],Okey!A:B,2,0),"")</f>
        <v>ok</v>
      </c>
      <c r="I347" s="47" t="s">
        <v>5290</v>
      </c>
      <c r="J347" s="47" t="s">
        <v>18</v>
      </c>
      <c r="K347" s="47" t="s">
        <v>5979</v>
      </c>
      <c r="L347" s="47"/>
      <c r="M347" s="49" t="s">
        <v>4799</v>
      </c>
    </row>
    <row r="348" spans="1:13">
      <c r="A348" s="48">
        <f t="shared" si="5"/>
        <v>347</v>
      </c>
      <c r="B348" s="47" t="s">
        <v>8</v>
      </c>
      <c r="C348" s="47" t="s">
        <v>5974</v>
      </c>
      <c r="D348" s="47" t="s">
        <v>6010</v>
      </c>
      <c r="E348" s="47"/>
      <c r="F348" s="47" t="s">
        <v>3941</v>
      </c>
      <c r="G348" s="47" t="s">
        <v>13</v>
      </c>
      <c r="H348" s="47" t="str">
        <f>IFERROR(VLOOKUP(Table2[[#This Row], [Ticket]],Okey!A:B,2,0),"")</f>
        <v>ok</v>
      </c>
      <c r="I348" s="47" t="s">
        <v>5290</v>
      </c>
      <c r="J348" s="47" t="s">
        <v>18</v>
      </c>
      <c r="K348" s="47" t="s">
        <v>5979</v>
      </c>
      <c r="L348" s="47"/>
      <c r="M348" s="49" t="s">
        <v>4799</v>
      </c>
    </row>
    <row r="349" spans="1:13">
      <c r="A349" s="48">
        <f t="shared" si="5"/>
        <v>348</v>
      </c>
      <c r="B349" s="47" t="s">
        <v>8</v>
      </c>
      <c r="C349" s="47" t="s">
        <v>5974</v>
      </c>
      <c r="D349" s="47" t="s">
        <v>6011</v>
      </c>
      <c r="E349" s="47"/>
      <c r="F349" s="47" t="s">
        <v>3941</v>
      </c>
      <c r="G349" s="47" t="s">
        <v>13</v>
      </c>
      <c r="H349" s="47" t="str">
        <f>IFERROR(VLOOKUP(Table2[[#This Row], [Ticket]],Okey!A:B,2,0),"")</f>
        <v>ok</v>
      </c>
      <c r="I349" s="47" t="s">
        <v>5290</v>
      </c>
      <c r="J349" s="47" t="s">
        <v>18</v>
      </c>
      <c r="K349" s="47" t="s">
        <v>5979</v>
      </c>
      <c r="L349" s="47"/>
      <c r="M349" s="49" t="s">
        <v>4799</v>
      </c>
    </row>
    <row r="350" spans="1:13">
      <c r="A350" s="48">
        <f t="shared" si="5"/>
        <v>349</v>
      </c>
      <c r="B350" s="47" t="s">
        <v>8</v>
      </c>
      <c r="C350" s="47" t="s">
        <v>5974</v>
      </c>
      <c r="D350" s="47" t="s">
        <v>6012</v>
      </c>
      <c r="E350" s="47"/>
      <c r="F350" s="47" t="s">
        <v>3515</v>
      </c>
      <c r="G350" s="47" t="s">
        <v>13</v>
      </c>
      <c r="H350" s="47" t="str">
        <f>IFERROR(VLOOKUP(Table2[[#This Row], [Ticket]],Okey!A:B,2,0),"")</f>
        <v>ok</v>
      </c>
      <c r="I350" s="47" t="s">
        <v>5290</v>
      </c>
      <c r="J350" s="47" t="s">
        <v>18</v>
      </c>
      <c r="K350" s="47" t="s">
        <v>5979</v>
      </c>
      <c r="L350" s="47"/>
      <c r="M350" s="49" t="s">
        <v>4799</v>
      </c>
    </row>
    <row r="351" spans="1:13">
      <c r="A351" s="48">
        <f t="shared" si="5"/>
        <v>350</v>
      </c>
      <c r="B351" s="47" t="s">
        <v>8</v>
      </c>
      <c r="C351" s="47" t="s">
        <v>5974</v>
      </c>
      <c r="D351" s="47" t="s">
        <v>3941</v>
      </c>
      <c r="E351" s="47"/>
      <c r="F351" s="47" t="s">
        <v>3514</v>
      </c>
      <c r="G351" s="47" t="s">
        <v>13</v>
      </c>
      <c r="H351" s="47" t="str">
        <f>IFERROR(VLOOKUP(Table2[[#This Row], [Ticket]],Okey!A:B,2,0),"")</f>
        <v>ok</v>
      </c>
      <c r="I351" s="47" t="s">
        <v>5290</v>
      </c>
      <c r="J351" s="47" t="s">
        <v>18</v>
      </c>
      <c r="K351" s="47" t="s">
        <v>5979</v>
      </c>
      <c r="L351" s="47"/>
      <c r="M351" s="49" t="s">
        <v>4799</v>
      </c>
    </row>
    <row r="352" spans="1:13">
      <c r="A352" s="48">
        <f t="shared" si="5"/>
        <v>351</v>
      </c>
      <c r="B352" s="47" t="s">
        <v>8</v>
      </c>
      <c r="C352" s="47" t="s">
        <v>5974</v>
      </c>
      <c r="D352" s="47" t="s">
        <v>3918</v>
      </c>
      <c r="E352" s="47"/>
      <c r="F352" s="47" t="s">
        <v>4828</v>
      </c>
      <c r="G352" s="47" t="s">
        <v>13</v>
      </c>
      <c r="H352" s="47" t="str">
        <f>IFERROR(VLOOKUP(Table2[[#This Row], [Ticket]],Okey!A:B,2,0),"")</f>
        <v>ok</v>
      </c>
      <c r="I352" s="47" t="s">
        <v>5290</v>
      </c>
      <c r="J352" s="47" t="s">
        <v>18</v>
      </c>
      <c r="K352" s="47" t="s">
        <v>5979</v>
      </c>
      <c r="L352" s="47"/>
      <c r="M352" s="49" t="s">
        <v>4799</v>
      </c>
    </row>
    <row r="353" spans="1:13">
      <c r="A353" s="48">
        <f t="shared" si="5"/>
        <v>352</v>
      </c>
      <c r="B353" s="47" t="s">
        <v>8</v>
      </c>
      <c r="C353" s="47" t="s">
        <v>5974</v>
      </c>
      <c r="D353" s="47" t="s">
        <v>4068</v>
      </c>
      <c r="E353" s="47"/>
      <c r="F353" s="47" t="s">
        <v>4869</v>
      </c>
      <c r="G353" s="47" t="s">
        <v>13</v>
      </c>
      <c r="H353" s="47" t="str">
        <f>IFERROR(VLOOKUP(Table2[[#This Row], [Ticket]],Okey!A:B,2,0),"")</f>
        <v>ok</v>
      </c>
      <c r="I353" s="47" t="s">
        <v>5290</v>
      </c>
      <c r="J353" s="47" t="s">
        <v>18</v>
      </c>
      <c r="K353" s="47" t="s">
        <v>5979</v>
      </c>
      <c r="L353" s="47"/>
      <c r="M353" s="49" t="s">
        <v>4799</v>
      </c>
    </row>
    <row r="354" spans="1:13">
      <c r="A354" s="48">
        <f t="shared" si="5"/>
        <v>353</v>
      </c>
      <c r="B354" s="47" t="s">
        <v>8</v>
      </c>
      <c r="C354" s="47" t="s">
        <v>5974</v>
      </c>
      <c r="D354" s="47" t="s">
        <v>3925</v>
      </c>
      <c r="E354" s="47"/>
      <c r="F354" s="47" t="s">
        <v>4869</v>
      </c>
      <c r="G354" s="47" t="s">
        <v>13</v>
      </c>
      <c r="H354" s="47" t="str">
        <f>IFERROR(VLOOKUP(Table2[[#This Row], [Ticket]],Okey!A:B,2,0),"")</f>
        <v>ok</v>
      </c>
      <c r="I354" s="47" t="s">
        <v>5290</v>
      </c>
      <c r="J354" s="47" t="s">
        <v>18</v>
      </c>
      <c r="K354" s="47" t="s">
        <v>5979</v>
      </c>
      <c r="L354" s="47"/>
      <c r="M354" s="49" t="s">
        <v>4799</v>
      </c>
    </row>
    <row r="355" spans="1:13">
      <c r="A355" s="48">
        <f t="shared" si="5"/>
        <v>354</v>
      </c>
      <c r="B355" s="47" t="s">
        <v>8</v>
      </c>
      <c r="C355" s="47" t="s">
        <v>5974</v>
      </c>
      <c r="D355" s="47" t="s">
        <v>6013</v>
      </c>
      <c r="E355" s="47"/>
      <c r="F355" s="47" t="s">
        <v>6014</v>
      </c>
      <c r="G355" s="47" t="s">
        <v>13</v>
      </c>
      <c r="H355" s="47" t="str">
        <f>IFERROR(VLOOKUP(Table2[[#This Row], [Ticket]],Okey!A:B,2,0),"")</f>
        <v>ok</v>
      </c>
      <c r="I355" s="47" t="s">
        <v>5290</v>
      </c>
      <c r="J355" s="47" t="s">
        <v>18</v>
      </c>
      <c r="K355" s="47" t="s">
        <v>5979</v>
      </c>
      <c r="L355" s="47"/>
      <c r="M355" s="49" t="s">
        <v>4799</v>
      </c>
    </row>
    <row r="356" spans="1:13">
      <c r="A356" s="48">
        <f t="shared" si="5"/>
        <v>355</v>
      </c>
      <c r="B356" s="47" t="s">
        <v>8</v>
      </c>
      <c r="C356" s="47" t="s">
        <v>5974</v>
      </c>
      <c r="D356" s="47" t="s">
        <v>6015</v>
      </c>
      <c r="E356" s="47"/>
      <c r="F356" s="47" t="s">
        <v>953</v>
      </c>
      <c r="G356" s="47" t="s">
        <v>13</v>
      </c>
      <c r="H356" s="47" t="str">
        <f>IFERROR(VLOOKUP(Table2[[#This Row], [Ticket]],Okey!A:B,2,0),"")</f>
        <v>ok</v>
      </c>
      <c r="I356" s="47" t="s">
        <v>5290</v>
      </c>
      <c r="J356" s="47" t="s">
        <v>18</v>
      </c>
      <c r="K356" s="47" t="s">
        <v>5979</v>
      </c>
      <c r="L356" s="47"/>
      <c r="M356" s="49" t="s">
        <v>4799</v>
      </c>
    </row>
    <row r="357" spans="1:13">
      <c r="A357" s="48">
        <f t="shared" si="5"/>
        <v>356</v>
      </c>
      <c r="B357" s="47" t="s">
        <v>8</v>
      </c>
      <c r="C357" s="47" t="s">
        <v>5974</v>
      </c>
      <c r="D357" s="47" t="s">
        <v>1319</v>
      </c>
      <c r="E357" s="47"/>
      <c r="F357" s="47" t="s">
        <v>1910</v>
      </c>
      <c r="G357" s="47" t="s">
        <v>13</v>
      </c>
      <c r="H357" s="47" t="str">
        <f>IFERROR(VLOOKUP(Table2[[#This Row], [Ticket]],Okey!A:B,2,0),"")</f>
        <v>ok</v>
      </c>
      <c r="I357" s="47" t="s">
        <v>5290</v>
      </c>
      <c r="J357" s="47" t="s">
        <v>18</v>
      </c>
      <c r="K357" s="47" t="s">
        <v>5979</v>
      </c>
      <c r="L357" s="47"/>
      <c r="M357" s="49" t="s">
        <v>4799</v>
      </c>
    </row>
    <row r="358" spans="1:13">
      <c r="A358" s="48">
        <f t="shared" si="5"/>
        <v>357</v>
      </c>
      <c r="B358" s="47" t="s">
        <v>8</v>
      </c>
      <c r="C358" s="47" t="s">
        <v>5974</v>
      </c>
      <c r="D358" s="47" t="s">
        <v>6016</v>
      </c>
      <c r="E358" s="47"/>
      <c r="F358" s="47" t="s">
        <v>1910</v>
      </c>
      <c r="G358" s="47" t="s">
        <v>13</v>
      </c>
      <c r="H358" s="47" t="str">
        <f>IFERROR(VLOOKUP(Table2[[#This Row], [Ticket]],Okey!A:B,2,0),"")</f>
        <v>ok</v>
      </c>
      <c r="I358" s="47" t="s">
        <v>5290</v>
      </c>
      <c r="J358" s="47" t="s">
        <v>18</v>
      </c>
      <c r="K358" s="47" t="s">
        <v>5979</v>
      </c>
      <c r="L358" s="47"/>
      <c r="M358" s="49" t="s">
        <v>4799</v>
      </c>
    </row>
    <row r="359" spans="1:13">
      <c r="A359" s="48">
        <f t="shared" si="5"/>
        <v>358</v>
      </c>
      <c r="B359" s="47" t="s">
        <v>8</v>
      </c>
      <c r="C359" s="47" t="s">
        <v>5974</v>
      </c>
      <c r="D359" s="47" t="s">
        <v>5527</v>
      </c>
      <c r="E359" s="47"/>
      <c r="F359" s="47" t="s">
        <v>1346</v>
      </c>
      <c r="G359" s="47" t="s">
        <v>13</v>
      </c>
      <c r="H359" s="47" t="str">
        <f>IFERROR(VLOOKUP(Table2[[#This Row], [Ticket]],Okey!A:B,2,0),"")</f>
        <v>ok</v>
      </c>
      <c r="I359" s="47" t="s">
        <v>5290</v>
      </c>
      <c r="J359" s="47" t="s">
        <v>18</v>
      </c>
      <c r="K359" s="47" t="s">
        <v>5979</v>
      </c>
      <c r="L359" s="47"/>
      <c r="M359" s="49" t="s">
        <v>4799</v>
      </c>
    </row>
    <row r="360" spans="1:13">
      <c r="A360" s="48">
        <f t="shared" si="5"/>
        <v>359</v>
      </c>
      <c r="B360" s="47" t="s">
        <v>8</v>
      </c>
      <c r="C360" s="47" t="s">
        <v>5974</v>
      </c>
      <c r="D360" s="47" t="s">
        <v>6017</v>
      </c>
      <c r="E360" s="47"/>
      <c r="F360" s="47" t="s">
        <v>5777</v>
      </c>
      <c r="G360" s="47" t="s">
        <v>13</v>
      </c>
      <c r="H360" s="47" t="str">
        <f>IFERROR(VLOOKUP(Table2[[#This Row], [Ticket]],Okey!A:B,2,0),"")</f>
        <v>ok</v>
      </c>
      <c r="I360" s="47" t="s">
        <v>5290</v>
      </c>
      <c r="J360" s="47" t="s">
        <v>18</v>
      </c>
      <c r="K360" s="47" t="s">
        <v>5979</v>
      </c>
      <c r="L360" s="47"/>
      <c r="M360" s="49" t="s">
        <v>4799</v>
      </c>
    </row>
    <row r="361" spans="1:13">
      <c r="A361" s="48">
        <f t="shared" si="5"/>
        <v>360</v>
      </c>
      <c r="B361" s="47" t="s">
        <v>8</v>
      </c>
      <c r="C361" s="47" t="s">
        <v>5974</v>
      </c>
      <c r="D361" s="47" t="s">
        <v>5548</v>
      </c>
      <c r="E361" s="47"/>
      <c r="F361" s="47" t="s">
        <v>6018</v>
      </c>
      <c r="G361" s="47" t="s">
        <v>13</v>
      </c>
      <c r="H361" s="47" t="str">
        <f>IFERROR(VLOOKUP(Table2[[#This Row], [Ticket]],Okey!A:B,2,0),"")</f>
        <v>ok</v>
      </c>
      <c r="I361" s="47" t="s">
        <v>5290</v>
      </c>
      <c r="J361" s="47" t="s">
        <v>18</v>
      </c>
      <c r="K361" s="47" t="s">
        <v>5979</v>
      </c>
      <c r="L361" s="47"/>
      <c r="M361" s="49" t="s">
        <v>4799</v>
      </c>
    </row>
    <row r="362" spans="1:13">
      <c r="A362" s="48">
        <f t="shared" si="5"/>
        <v>361</v>
      </c>
      <c r="B362" s="47" t="s">
        <v>8</v>
      </c>
      <c r="C362" s="47" t="s">
        <v>5974</v>
      </c>
      <c r="D362" s="47" t="s">
        <v>4090</v>
      </c>
      <c r="E362" s="47"/>
      <c r="F362" s="47" t="s">
        <v>5595</v>
      </c>
      <c r="G362" s="47" t="s">
        <v>13</v>
      </c>
      <c r="H362" s="47" t="str">
        <f>IFERROR(VLOOKUP(Table2[[#This Row], [Ticket]],Okey!A:B,2,0),"")</f>
        <v>ok</v>
      </c>
      <c r="I362" s="47" t="s">
        <v>5290</v>
      </c>
      <c r="J362" s="47" t="s">
        <v>18</v>
      </c>
      <c r="K362" s="47" t="s">
        <v>5979</v>
      </c>
      <c r="L362" s="47"/>
      <c r="M362" s="49" t="s">
        <v>4799</v>
      </c>
    </row>
    <row r="363" spans="1:13">
      <c r="A363" s="48">
        <f t="shared" si="5"/>
        <v>362</v>
      </c>
      <c r="B363" s="47" t="s">
        <v>8</v>
      </c>
      <c r="C363" s="47" t="s">
        <v>5974</v>
      </c>
      <c r="D363" s="47" t="s">
        <v>6019</v>
      </c>
      <c r="E363" s="47"/>
      <c r="F363" s="47" t="s">
        <v>5595</v>
      </c>
      <c r="G363" s="47" t="s">
        <v>13</v>
      </c>
      <c r="H363" s="47" t="str">
        <f>IFERROR(VLOOKUP(Table2[[#This Row], [Ticket]],Okey!A:B,2,0),"")</f>
        <v>ok</v>
      </c>
      <c r="I363" s="47" t="s">
        <v>5290</v>
      </c>
      <c r="J363" s="47" t="s">
        <v>18</v>
      </c>
      <c r="K363" s="47" t="s">
        <v>5979</v>
      </c>
      <c r="L363" s="47"/>
      <c r="M363" s="49" t="s">
        <v>4799</v>
      </c>
    </row>
    <row r="364" spans="1:13">
      <c r="A364" s="48">
        <f t="shared" si="5"/>
        <v>363</v>
      </c>
      <c r="B364" s="47" t="s">
        <v>8</v>
      </c>
      <c r="C364" s="47" t="s">
        <v>5974</v>
      </c>
      <c r="D364" s="47" t="s">
        <v>1477</v>
      </c>
      <c r="E364" s="47"/>
      <c r="F364" s="47" t="s">
        <v>5597</v>
      </c>
      <c r="G364" s="47" t="s">
        <v>13</v>
      </c>
      <c r="H364" s="47" t="str">
        <f>IFERROR(VLOOKUP(Table2[[#This Row], [Ticket]],Okey!A:B,2,0),"")</f>
        <v>ok</v>
      </c>
      <c r="I364" s="47" t="s">
        <v>5290</v>
      </c>
      <c r="J364" s="47" t="s">
        <v>18</v>
      </c>
      <c r="K364" s="47" t="s">
        <v>5979</v>
      </c>
      <c r="L364" s="47"/>
      <c r="M364" s="49" t="s">
        <v>4799</v>
      </c>
    </row>
    <row r="365" spans="1:13">
      <c r="A365" s="48">
        <f t="shared" si="5"/>
        <v>364</v>
      </c>
      <c r="B365" s="47" t="s">
        <v>8</v>
      </c>
      <c r="C365" s="47" t="s">
        <v>5974</v>
      </c>
      <c r="D365" s="47" t="s">
        <v>1479</v>
      </c>
      <c r="E365" s="47"/>
      <c r="F365" s="47" t="s">
        <v>5597</v>
      </c>
      <c r="G365" s="47" t="s">
        <v>13</v>
      </c>
      <c r="H365" s="47" t="str">
        <f>IFERROR(VLOOKUP(Table2[[#This Row], [Ticket]],Okey!A:B,2,0),"")</f>
        <v>ok</v>
      </c>
      <c r="I365" s="47" t="s">
        <v>5290</v>
      </c>
      <c r="J365" s="47" t="s">
        <v>18</v>
      </c>
      <c r="K365" s="47" t="s">
        <v>5979</v>
      </c>
      <c r="L365" s="47"/>
      <c r="M365" s="49" t="s">
        <v>4799</v>
      </c>
    </row>
    <row r="366" spans="1:13">
      <c r="A366" s="48">
        <f t="shared" si="5"/>
        <v>365</v>
      </c>
      <c r="B366" s="47" t="s">
        <v>8</v>
      </c>
      <c r="C366" s="47" t="s">
        <v>5974</v>
      </c>
      <c r="D366" s="47" t="s">
        <v>1480</v>
      </c>
      <c r="E366" s="47"/>
      <c r="F366" s="47" t="s">
        <v>5597</v>
      </c>
      <c r="G366" s="47" t="s">
        <v>13</v>
      </c>
      <c r="H366" s="47" t="str">
        <f>IFERROR(VLOOKUP(Table2[[#This Row], [Ticket]],Okey!A:B,2,0),"")</f>
        <v>ok</v>
      </c>
      <c r="I366" s="47" t="s">
        <v>5290</v>
      </c>
      <c r="J366" s="47" t="s">
        <v>18</v>
      </c>
      <c r="K366" s="47" t="s">
        <v>5979</v>
      </c>
      <c r="L366" s="47"/>
      <c r="M366" s="49" t="s">
        <v>4799</v>
      </c>
    </row>
    <row r="367" spans="1:13">
      <c r="A367" s="48">
        <f t="shared" si="5"/>
        <v>366</v>
      </c>
      <c r="B367" s="47" t="s">
        <v>8</v>
      </c>
      <c r="C367" s="47" t="s">
        <v>5974</v>
      </c>
      <c r="D367" s="47" t="s">
        <v>1481</v>
      </c>
      <c r="E367" s="47"/>
      <c r="F367" s="47" t="s">
        <v>5597</v>
      </c>
      <c r="G367" s="47" t="s">
        <v>13</v>
      </c>
      <c r="H367" s="47" t="str">
        <f>IFERROR(VLOOKUP(Table2[[#This Row], [Ticket]],Okey!A:B,2,0),"")</f>
        <v>ok</v>
      </c>
      <c r="I367" s="47" t="s">
        <v>5290</v>
      </c>
      <c r="J367" s="47" t="s">
        <v>18</v>
      </c>
      <c r="K367" s="47" t="s">
        <v>5979</v>
      </c>
      <c r="L367" s="47"/>
      <c r="M367" s="49" t="s">
        <v>4799</v>
      </c>
    </row>
    <row r="368" spans="1:13">
      <c r="A368" s="48">
        <f t="shared" si="5"/>
        <v>367</v>
      </c>
      <c r="B368" s="47" t="s">
        <v>8</v>
      </c>
      <c r="C368" s="47" t="s">
        <v>5974</v>
      </c>
      <c r="D368" s="47" t="s">
        <v>1482</v>
      </c>
      <c r="E368" s="47"/>
      <c r="F368" s="47" t="s">
        <v>5597</v>
      </c>
      <c r="G368" s="47" t="s">
        <v>13</v>
      </c>
      <c r="H368" s="47" t="str">
        <f>IFERROR(VLOOKUP(Table2[[#This Row], [Ticket]],Okey!A:B,2,0),"")</f>
        <v>ok</v>
      </c>
      <c r="I368" s="47" t="s">
        <v>5290</v>
      </c>
      <c r="J368" s="47" t="s">
        <v>18</v>
      </c>
      <c r="K368" s="47" t="s">
        <v>5979</v>
      </c>
      <c r="L368" s="47"/>
      <c r="M368" s="49" t="s">
        <v>4799</v>
      </c>
    </row>
    <row r="369" spans="1:13">
      <c r="A369" s="48">
        <f t="shared" si="5"/>
        <v>368</v>
      </c>
      <c r="B369" s="47" t="s">
        <v>8</v>
      </c>
      <c r="C369" s="47" t="s">
        <v>5974</v>
      </c>
      <c r="D369" s="47" t="s">
        <v>1483</v>
      </c>
      <c r="E369" s="47"/>
      <c r="F369" s="47" t="s">
        <v>5597</v>
      </c>
      <c r="G369" s="47" t="s">
        <v>13</v>
      </c>
      <c r="H369" s="47" t="str">
        <f>IFERROR(VLOOKUP(Table2[[#This Row], [Ticket]],Okey!A:B,2,0),"")</f>
        <v>ok</v>
      </c>
      <c r="I369" s="47" t="s">
        <v>5290</v>
      </c>
      <c r="J369" s="47" t="s">
        <v>18</v>
      </c>
      <c r="K369" s="47" t="s">
        <v>5979</v>
      </c>
      <c r="L369" s="47"/>
      <c r="M369" s="49" t="s">
        <v>4799</v>
      </c>
    </row>
    <row r="370" spans="1:13">
      <c r="A370" s="48">
        <f t="shared" si="5"/>
        <v>369</v>
      </c>
      <c r="B370" s="47" t="s">
        <v>8</v>
      </c>
      <c r="C370" s="47" t="s">
        <v>5974</v>
      </c>
      <c r="D370" s="47" t="s">
        <v>6020</v>
      </c>
      <c r="E370" s="47"/>
      <c r="F370" s="47" t="s">
        <v>5597</v>
      </c>
      <c r="G370" s="47" t="s">
        <v>13</v>
      </c>
      <c r="H370" s="47" t="str">
        <f>IFERROR(VLOOKUP(Table2[[#This Row], [Ticket]],Okey!A:B,2,0),"")</f>
        <v>ok</v>
      </c>
      <c r="I370" s="47" t="s">
        <v>5290</v>
      </c>
      <c r="J370" s="47" t="s">
        <v>18</v>
      </c>
      <c r="K370" s="47" t="s">
        <v>5979</v>
      </c>
      <c r="L370" s="47"/>
      <c r="M370" s="49" t="s">
        <v>4799</v>
      </c>
    </row>
    <row r="371" spans="1:13">
      <c r="A371" s="48">
        <f t="shared" si="5"/>
        <v>370</v>
      </c>
      <c r="B371" s="47" t="s">
        <v>8</v>
      </c>
      <c r="C371" s="47" t="s">
        <v>5974</v>
      </c>
      <c r="D371" s="47" t="s">
        <v>6021</v>
      </c>
      <c r="E371" s="47"/>
      <c r="F371" s="47" t="s">
        <v>5597</v>
      </c>
      <c r="G371" s="47" t="s">
        <v>13</v>
      </c>
      <c r="H371" s="47" t="str">
        <f>IFERROR(VLOOKUP(Table2[[#This Row], [Ticket]],Okey!A:B,2,0),"")</f>
        <v>ok</v>
      </c>
      <c r="I371" s="47" t="s">
        <v>5290</v>
      </c>
      <c r="J371" s="47" t="s">
        <v>18</v>
      </c>
      <c r="K371" s="47" t="s">
        <v>5979</v>
      </c>
      <c r="L371" s="47"/>
      <c r="M371" s="49" t="s">
        <v>4799</v>
      </c>
    </row>
    <row r="372" spans="1:13">
      <c r="A372" s="48">
        <f t="shared" si="5"/>
        <v>371</v>
      </c>
      <c r="B372" s="47" t="s">
        <v>8</v>
      </c>
      <c r="C372" s="47" t="s">
        <v>5974</v>
      </c>
      <c r="D372" s="47" t="s">
        <v>6022</v>
      </c>
      <c r="E372" s="47"/>
      <c r="F372" s="47" t="s">
        <v>5597</v>
      </c>
      <c r="G372" s="47" t="s">
        <v>13</v>
      </c>
      <c r="H372" s="47" t="str">
        <f>IFERROR(VLOOKUP(Table2[[#This Row], [Ticket]],Okey!A:B,2,0),"")</f>
        <v>ok</v>
      </c>
      <c r="I372" s="47" t="s">
        <v>5290</v>
      </c>
      <c r="J372" s="47" t="s">
        <v>18</v>
      </c>
      <c r="K372" s="47" t="s">
        <v>5979</v>
      </c>
      <c r="L372" s="47"/>
      <c r="M372" s="49" t="s">
        <v>4799</v>
      </c>
    </row>
    <row r="373" spans="1:13">
      <c r="A373" s="48">
        <f t="shared" si="5"/>
        <v>372</v>
      </c>
      <c r="B373" s="47" t="s">
        <v>8</v>
      </c>
      <c r="C373" s="47" t="s">
        <v>5974</v>
      </c>
      <c r="D373" s="47" t="s">
        <v>6023</v>
      </c>
      <c r="E373" s="47"/>
      <c r="F373" s="47" t="s">
        <v>5597</v>
      </c>
      <c r="G373" s="47" t="s">
        <v>13</v>
      </c>
      <c r="H373" s="47" t="str">
        <f>IFERROR(VLOOKUP(Table2[[#This Row], [Ticket]],Okey!A:B,2,0),"")</f>
        <v>ok</v>
      </c>
      <c r="I373" s="47" t="s">
        <v>5290</v>
      </c>
      <c r="J373" s="47" t="s">
        <v>18</v>
      </c>
      <c r="K373" s="47" t="s">
        <v>5979</v>
      </c>
      <c r="L373" s="47"/>
      <c r="M373" s="49" t="s">
        <v>4799</v>
      </c>
    </row>
    <row r="374" spans="1:13">
      <c r="A374" s="48">
        <f t="shared" si="5"/>
        <v>373</v>
      </c>
      <c r="B374" s="47" t="s">
        <v>8</v>
      </c>
      <c r="C374" s="47" t="s">
        <v>5974</v>
      </c>
      <c r="D374" s="47" t="s">
        <v>6024</v>
      </c>
      <c r="E374" s="47"/>
      <c r="F374" s="47" t="s">
        <v>5597</v>
      </c>
      <c r="G374" s="47" t="s">
        <v>13</v>
      </c>
      <c r="H374" s="47" t="str">
        <f>IFERROR(VLOOKUP(Table2[[#This Row], [Ticket]],Okey!A:B,2,0),"")</f>
        <v>ok</v>
      </c>
      <c r="I374" s="47" t="s">
        <v>5290</v>
      </c>
      <c r="J374" s="47" t="s">
        <v>18</v>
      </c>
      <c r="K374" s="47" t="s">
        <v>5979</v>
      </c>
      <c r="L374" s="47"/>
      <c r="M374" s="49" t="s">
        <v>4799</v>
      </c>
    </row>
    <row r="375" spans="1:13">
      <c r="A375" s="48">
        <f t="shared" si="5"/>
        <v>374</v>
      </c>
      <c r="B375" s="47" t="s">
        <v>8</v>
      </c>
      <c r="C375" s="47" t="s">
        <v>5974</v>
      </c>
      <c r="D375" s="47" t="s">
        <v>5784</v>
      </c>
      <c r="E375" s="47"/>
      <c r="F375" s="47" t="s">
        <v>5597</v>
      </c>
      <c r="G375" s="47" t="s">
        <v>13</v>
      </c>
      <c r="H375" s="47" t="str">
        <f>IFERROR(VLOOKUP(Table2[[#This Row], [Ticket]],Okey!A:B,2,0),"")</f>
        <v>ok</v>
      </c>
      <c r="I375" s="47" t="s">
        <v>5290</v>
      </c>
      <c r="J375" s="47" t="s">
        <v>18</v>
      </c>
      <c r="K375" s="47" t="s">
        <v>5979</v>
      </c>
      <c r="L375" s="47"/>
      <c r="M375" s="49" t="s">
        <v>4799</v>
      </c>
    </row>
    <row r="376" spans="1:13">
      <c r="A376" s="48">
        <f t="shared" si="5"/>
        <v>375</v>
      </c>
      <c r="B376" s="47" t="s">
        <v>8</v>
      </c>
      <c r="C376" s="47" t="s">
        <v>5974</v>
      </c>
      <c r="D376" s="47" t="s">
        <v>6025</v>
      </c>
      <c r="E376" s="47"/>
      <c r="F376" s="47" t="s">
        <v>5591</v>
      </c>
      <c r="G376" s="47" t="s">
        <v>13</v>
      </c>
      <c r="H376" s="47" t="str">
        <f>IFERROR(VLOOKUP(Table2[[#This Row], [Ticket]],Okey!A:B,2,0),"")</f>
        <v>ok</v>
      </c>
      <c r="I376" s="47" t="s">
        <v>5290</v>
      </c>
      <c r="J376" s="47" t="s">
        <v>18</v>
      </c>
      <c r="K376" s="47" t="s">
        <v>5979</v>
      </c>
      <c r="L376" s="47"/>
      <c r="M376" s="49" t="s">
        <v>4799</v>
      </c>
    </row>
    <row r="377" spans="1:13">
      <c r="A377" s="48">
        <f t="shared" si="5"/>
        <v>376</v>
      </c>
      <c r="B377" s="47" t="s">
        <v>8</v>
      </c>
      <c r="C377" s="47" t="s">
        <v>5974</v>
      </c>
      <c r="D377" s="47" t="s">
        <v>6026</v>
      </c>
      <c r="E377" s="47"/>
      <c r="F377" s="47" t="s">
        <v>5591</v>
      </c>
      <c r="G377" s="47" t="s">
        <v>13</v>
      </c>
      <c r="H377" s="47" t="str">
        <f>IFERROR(VLOOKUP(Table2[[#This Row], [Ticket]],Okey!A:B,2,0),"")</f>
        <v>ok</v>
      </c>
      <c r="I377" s="47" t="s">
        <v>5290</v>
      </c>
      <c r="J377" s="47" t="s">
        <v>18</v>
      </c>
      <c r="K377" s="47" t="s">
        <v>5979</v>
      </c>
      <c r="L377" s="47"/>
      <c r="M377" s="49" t="s">
        <v>4799</v>
      </c>
    </row>
    <row r="378" spans="1:13">
      <c r="A378" s="48">
        <f t="shared" si="5"/>
        <v>377</v>
      </c>
      <c r="B378" s="47" t="s">
        <v>8</v>
      </c>
      <c r="C378" s="47" t="s">
        <v>5974</v>
      </c>
      <c r="D378" s="47" t="s">
        <v>6027</v>
      </c>
      <c r="E378" s="47"/>
      <c r="F378" s="47" t="s">
        <v>5591</v>
      </c>
      <c r="G378" s="47" t="s">
        <v>13</v>
      </c>
      <c r="H378" s="47" t="str">
        <f>IFERROR(VLOOKUP(Table2[[#This Row], [Ticket]],Okey!A:B,2,0),"")</f>
        <v>ok</v>
      </c>
      <c r="I378" s="47" t="s">
        <v>5290</v>
      </c>
      <c r="J378" s="47" t="s">
        <v>18</v>
      </c>
      <c r="K378" s="47" t="s">
        <v>5979</v>
      </c>
      <c r="L378" s="47"/>
      <c r="M378" s="49" t="s">
        <v>4799</v>
      </c>
    </row>
    <row r="379" spans="1:13">
      <c r="A379" s="48">
        <f t="shared" si="5"/>
        <v>378</v>
      </c>
      <c r="B379" s="47" t="s">
        <v>8</v>
      </c>
      <c r="C379" s="47" t="s">
        <v>5974</v>
      </c>
      <c r="D379" s="47" t="s">
        <v>6028</v>
      </c>
      <c r="E379" s="47"/>
      <c r="F379" s="47" t="s">
        <v>6029</v>
      </c>
      <c r="G379" s="47" t="s">
        <v>13</v>
      </c>
      <c r="H379" s="47" t="str">
        <f>IFERROR(VLOOKUP(Table2[[#This Row], [Ticket]],Okey!A:B,2,0),"")</f>
        <v>ok</v>
      </c>
      <c r="I379" s="47" t="s">
        <v>5290</v>
      </c>
      <c r="J379" s="47" t="s">
        <v>18</v>
      </c>
      <c r="K379" s="47" t="s">
        <v>5979</v>
      </c>
      <c r="L379" s="47"/>
      <c r="M379" s="49" t="s">
        <v>4799</v>
      </c>
    </row>
    <row r="380" spans="1:13">
      <c r="A380" s="48">
        <f t="shared" si="5"/>
        <v>379</v>
      </c>
      <c r="B380" s="47" t="s">
        <v>8</v>
      </c>
      <c r="C380" s="47" t="s">
        <v>5974</v>
      </c>
      <c r="D380" s="47" t="s">
        <v>6030</v>
      </c>
      <c r="E380" s="47"/>
      <c r="F380" s="47" t="s">
        <v>6029</v>
      </c>
      <c r="G380" s="47" t="s">
        <v>13</v>
      </c>
      <c r="H380" s="47" t="str">
        <f>IFERROR(VLOOKUP(Table2[[#This Row], [Ticket]],Okey!A:B,2,0),"")</f>
        <v>ok</v>
      </c>
      <c r="I380" s="47" t="s">
        <v>5290</v>
      </c>
      <c r="J380" s="47" t="s">
        <v>18</v>
      </c>
      <c r="K380" s="47" t="s">
        <v>5979</v>
      </c>
      <c r="L380" s="47"/>
      <c r="M380" s="49" t="s">
        <v>4799</v>
      </c>
    </row>
    <row r="381" spans="1:13">
      <c r="A381" s="48">
        <f t="shared" si="5"/>
        <v>380</v>
      </c>
      <c r="B381" s="47" t="s">
        <v>8</v>
      </c>
      <c r="C381" s="47" t="s">
        <v>5974</v>
      </c>
      <c r="D381" s="47" t="s">
        <v>6031</v>
      </c>
      <c r="E381" s="47"/>
      <c r="F381" s="47" t="s">
        <v>6029</v>
      </c>
      <c r="G381" s="47" t="s">
        <v>13</v>
      </c>
      <c r="H381" s="47" t="str">
        <f>IFERROR(VLOOKUP(Table2[[#This Row], [Ticket]],Okey!A:B,2,0),"")</f>
        <v>ok</v>
      </c>
      <c r="I381" s="47" t="s">
        <v>5290</v>
      </c>
      <c r="J381" s="47" t="s">
        <v>18</v>
      </c>
      <c r="K381" s="47" t="s">
        <v>5979</v>
      </c>
      <c r="L381" s="47"/>
      <c r="M381" s="49" t="s">
        <v>4799</v>
      </c>
    </row>
    <row r="382" spans="1:13">
      <c r="A382" s="48">
        <f t="shared" si="5"/>
        <v>381</v>
      </c>
      <c r="B382" s="47" t="s">
        <v>8</v>
      </c>
      <c r="C382" s="47" t="s">
        <v>5974</v>
      </c>
      <c r="D382" s="47" t="s">
        <v>6032</v>
      </c>
      <c r="E382" s="47"/>
      <c r="F382" s="47" t="s">
        <v>6029</v>
      </c>
      <c r="G382" s="47" t="s">
        <v>13</v>
      </c>
      <c r="H382" s="47" t="str">
        <f>IFERROR(VLOOKUP(Table2[[#This Row], [Ticket]],Okey!A:B,2,0),"")</f>
        <v>ok</v>
      </c>
      <c r="I382" s="47" t="s">
        <v>5290</v>
      </c>
      <c r="J382" s="47" t="s">
        <v>18</v>
      </c>
      <c r="K382" s="47" t="s">
        <v>5979</v>
      </c>
      <c r="L382" s="47"/>
      <c r="M382" s="49" t="s">
        <v>4799</v>
      </c>
    </row>
    <row r="383" spans="1:13">
      <c r="A383" s="48">
        <f t="shared" si="5"/>
        <v>382</v>
      </c>
      <c r="B383" s="47" t="s">
        <v>8</v>
      </c>
      <c r="C383" s="47" t="s">
        <v>5974</v>
      </c>
      <c r="D383" s="47" t="s">
        <v>6033</v>
      </c>
      <c r="E383" s="47"/>
      <c r="F383" s="47" t="s">
        <v>6029</v>
      </c>
      <c r="G383" s="47" t="s">
        <v>13</v>
      </c>
      <c r="H383" s="47" t="str">
        <f>IFERROR(VLOOKUP(Table2[[#This Row], [Ticket]],Okey!A:B,2,0),"")</f>
        <v>ok</v>
      </c>
      <c r="I383" s="47" t="s">
        <v>5290</v>
      </c>
      <c r="J383" s="47" t="s">
        <v>18</v>
      </c>
      <c r="K383" s="47" t="s">
        <v>5979</v>
      </c>
      <c r="L383" s="47"/>
      <c r="M383" s="49" t="s">
        <v>4799</v>
      </c>
    </row>
    <row r="384" spans="1:13">
      <c r="A384" s="48">
        <f t="shared" si="5"/>
        <v>383</v>
      </c>
      <c r="B384" s="47" t="s">
        <v>8</v>
      </c>
      <c r="C384" s="47" t="s">
        <v>5974</v>
      </c>
      <c r="D384" s="47" t="s">
        <v>6034</v>
      </c>
      <c r="E384" s="47"/>
      <c r="F384" s="47" t="s">
        <v>6029</v>
      </c>
      <c r="G384" s="47" t="s">
        <v>13</v>
      </c>
      <c r="H384" s="47" t="str">
        <f>IFERROR(VLOOKUP(Table2[[#This Row], [Ticket]],Okey!A:B,2,0),"")</f>
        <v>ok</v>
      </c>
      <c r="I384" s="47" t="s">
        <v>5290</v>
      </c>
      <c r="J384" s="47" t="s">
        <v>18</v>
      </c>
      <c r="K384" s="47" t="s">
        <v>5979</v>
      </c>
      <c r="L384" s="47"/>
      <c r="M384" s="49" t="s">
        <v>4799</v>
      </c>
    </row>
    <row r="385" spans="1:13">
      <c r="A385" s="48">
        <f t="shared" si="5"/>
        <v>384</v>
      </c>
      <c r="B385" s="47" t="s">
        <v>8</v>
      </c>
      <c r="C385" s="47" t="s">
        <v>5974</v>
      </c>
      <c r="D385" s="47" t="s">
        <v>6035</v>
      </c>
      <c r="E385" s="47"/>
      <c r="F385" s="47" t="s">
        <v>6029</v>
      </c>
      <c r="G385" s="47" t="s">
        <v>13</v>
      </c>
      <c r="H385" s="47" t="str">
        <f>IFERROR(VLOOKUP(Table2[[#This Row], [Ticket]],Okey!A:B,2,0),"")</f>
        <v>ok</v>
      </c>
      <c r="I385" s="47" t="s">
        <v>5290</v>
      </c>
      <c r="J385" s="47" t="s">
        <v>18</v>
      </c>
      <c r="K385" s="47" t="s">
        <v>5979</v>
      </c>
      <c r="L385" s="47"/>
      <c r="M385" s="49" t="s">
        <v>4799</v>
      </c>
    </row>
    <row r="386" spans="1:13">
      <c r="A386" s="48">
        <f t="shared" si="5"/>
        <v>385</v>
      </c>
      <c r="B386" s="47" t="s">
        <v>8</v>
      </c>
      <c r="C386" s="47" t="s">
        <v>5974</v>
      </c>
      <c r="D386" s="47" t="s">
        <v>6036</v>
      </c>
      <c r="E386" s="47"/>
      <c r="F386" s="47" t="s">
        <v>6029</v>
      </c>
      <c r="G386" s="47" t="s">
        <v>13</v>
      </c>
      <c r="H386" s="47" t="str">
        <f>IFERROR(VLOOKUP(Table2[[#This Row], [Ticket]],Okey!A:B,2,0),"")</f>
        <v>ok</v>
      </c>
      <c r="I386" s="47" t="s">
        <v>5290</v>
      </c>
      <c r="J386" s="47" t="s">
        <v>18</v>
      </c>
      <c r="K386" s="47" t="s">
        <v>5979</v>
      </c>
      <c r="L386" s="47"/>
      <c r="M386" s="49" t="s">
        <v>4799</v>
      </c>
    </row>
    <row r="387" spans="1:13">
      <c r="A387" s="48">
        <f t="shared" ref="A387:A450" si="6">1+A386</f>
        <v>386</v>
      </c>
      <c r="B387" s="47" t="s">
        <v>8</v>
      </c>
      <c r="C387" s="47" t="s">
        <v>5974</v>
      </c>
      <c r="D387" s="47" t="s">
        <v>6037</v>
      </c>
      <c r="E387" s="47"/>
      <c r="F387" s="47" t="s">
        <v>6029</v>
      </c>
      <c r="G387" s="47" t="s">
        <v>13</v>
      </c>
      <c r="H387" s="47" t="str">
        <f>IFERROR(VLOOKUP(Table2[[#This Row], [Ticket]],Okey!A:B,2,0),"")</f>
        <v>ok</v>
      </c>
      <c r="I387" s="47" t="s">
        <v>5290</v>
      </c>
      <c r="J387" s="47" t="s">
        <v>18</v>
      </c>
      <c r="K387" s="47" t="s">
        <v>5979</v>
      </c>
      <c r="L387" s="47"/>
      <c r="M387" s="49" t="s">
        <v>4799</v>
      </c>
    </row>
    <row r="388" spans="1:13">
      <c r="A388" s="48">
        <f t="shared" si="6"/>
        <v>387</v>
      </c>
      <c r="B388" s="47" t="s">
        <v>8</v>
      </c>
      <c r="C388" s="47" t="s">
        <v>5974</v>
      </c>
      <c r="D388" s="47" t="s">
        <v>6038</v>
      </c>
      <c r="E388" s="47"/>
      <c r="F388" s="47" t="s">
        <v>6029</v>
      </c>
      <c r="G388" s="47" t="s">
        <v>13</v>
      </c>
      <c r="H388" s="47" t="str">
        <f>IFERROR(VLOOKUP(Table2[[#This Row], [Ticket]],Okey!A:B,2,0),"")</f>
        <v>ok</v>
      </c>
      <c r="I388" s="47" t="s">
        <v>5290</v>
      </c>
      <c r="J388" s="47" t="s">
        <v>18</v>
      </c>
      <c r="K388" s="47" t="s">
        <v>5979</v>
      </c>
      <c r="L388" s="47"/>
      <c r="M388" s="49" t="s">
        <v>4799</v>
      </c>
    </row>
    <row r="389" spans="1:13">
      <c r="A389" s="48">
        <f t="shared" si="6"/>
        <v>388</v>
      </c>
      <c r="B389" s="47" t="s">
        <v>8</v>
      </c>
      <c r="C389" s="47" t="s">
        <v>5974</v>
      </c>
      <c r="D389" s="47" t="s">
        <v>6039</v>
      </c>
      <c r="E389" s="47"/>
      <c r="F389" s="47" t="s">
        <v>6029</v>
      </c>
      <c r="G389" s="47" t="s">
        <v>13</v>
      </c>
      <c r="H389" s="47" t="str">
        <f>IFERROR(VLOOKUP(Table2[[#This Row], [Ticket]],Okey!A:B,2,0),"")</f>
        <v>ok</v>
      </c>
      <c r="I389" s="47" t="s">
        <v>5290</v>
      </c>
      <c r="J389" s="47" t="s">
        <v>18</v>
      </c>
      <c r="K389" s="47" t="s">
        <v>5979</v>
      </c>
      <c r="L389" s="47"/>
      <c r="M389" s="49" t="s">
        <v>4799</v>
      </c>
    </row>
    <row r="390" spans="1:13">
      <c r="A390" s="48">
        <f t="shared" si="6"/>
        <v>389</v>
      </c>
      <c r="B390" s="47" t="s">
        <v>8</v>
      </c>
      <c r="C390" s="47" t="s">
        <v>5974</v>
      </c>
      <c r="D390" s="47" t="s">
        <v>6040</v>
      </c>
      <c r="E390" s="47"/>
      <c r="F390" s="47" t="s">
        <v>6029</v>
      </c>
      <c r="G390" s="47" t="s">
        <v>13</v>
      </c>
      <c r="H390" s="47" t="str">
        <f>IFERROR(VLOOKUP(Table2[[#This Row], [Ticket]],Okey!A:B,2,0),"")</f>
        <v>ok</v>
      </c>
      <c r="I390" s="47" t="s">
        <v>5290</v>
      </c>
      <c r="J390" s="47" t="s">
        <v>18</v>
      </c>
      <c r="K390" s="47" t="s">
        <v>5979</v>
      </c>
      <c r="L390" s="47"/>
      <c r="M390" s="49" t="s">
        <v>4799</v>
      </c>
    </row>
    <row r="391" spans="1:13">
      <c r="A391" s="48">
        <f t="shared" si="6"/>
        <v>390</v>
      </c>
      <c r="B391" s="47" t="s">
        <v>8</v>
      </c>
      <c r="C391" s="47" t="s">
        <v>5974</v>
      </c>
      <c r="D391" s="47" t="s">
        <v>6041</v>
      </c>
      <c r="E391" s="47"/>
      <c r="F391" s="47" t="s">
        <v>6029</v>
      </c>
      <c r="G391" s="47" t="s">
        <v>13</v>
      </c>
      <c r="H391" s="47" t="str">
        <f>IFERROR(VLOOKUP(Table2[[#This Row], [Ticket]],Okey!A:B,2,0),"")</f>
        <v>ok</v>
      </c>
      <c r="I391" s="47" t="s">
        <v>5290</v>
      </c>
      <c r="J391" s="47" t="s">
        <v>18</v>
      </c>
      <c r="K391" s="47" t="s">
        <v>5979</v>
      </c>
      <c r="L391" s="47"/>
      <c r="M391" s="49" t="s">
        <v>4799</v>
      </c>
    </row>
    <row r="392" spans="1:13">
      <c r="A392" s="48">
        <f t="shared" si="6"/>
        <v>391</v>
      </c>
      <c r="B392" s="47" t="s">
        <v>8</v>
      </c>
      <c r="C392" s="47" t="s">
        <v>5974</v>
      </c>
      <c r="D392" s="47" t="s">
        <v>6042</v>
      </c>
      <c r="E392" s="47"/>
      <c r="F392" s="47" t="s">
        <v>6029</v>
      </c>
      <c r="G392" s="47" t="s">
        <v>13</v>
      </c>
      <c r="H392" s="47" t="str">
        <f>IFERROR(VLOOKUP(Table2[[#This Row], [Ticket]],Okey!A:B,2,0),"")</f>
        <v>ok</v>
      </c>
      <c r="I392" s="47" t="s">
        <v>5290</v>
      </c>
      <c r="J392" s="47" t="s">
        <v>18</v>
      </c>
      <c r="K392" s="47" t="s">
        <v>5979</v>
      </c>
      <c r="L392" s="47"/>
      <c r="M392" s="49" t="s">
        <v>4799</v>
      </c>
    </row>
    <row r="393" spans="1:13">
      <c r="A393" s="48">
        <f t="shared" si="6"/>
        <v>392</v>
      </c>
      <c r="B393" s="47" t="s">
        <v>8</v>
      </c>
      <c r="C393" s="47" t="s">
        <v>5974</v>
      </c>
      <c r="D393" s="47" t="s">
        <v>6043</v>
      </c>
      <c r="E393" s="47"/>
      <c r="F393" s="47" t="s">
        <v>6029</v>
      </c>
      <c r="G393" s="47" t="s">
        <v>13</v>
      </c>
      <c r="H393" s="47" t="str">
        <f>IFERROR(VLOOKUP(Table2[[#This Row], [Ticket]],Okey!A:B,2,0),"")</f>
        <v>ok</v>
      </c>
      <c r="I393" s="47" t="s">
        <v>5290</v>
      </c>
      <c r="J393" s="47" t="s">
        <v>18</v>
      </c>
      <c r="K393" s="47" t="s">
        <v>5979</v>
      </c>
      <c r="L393" s="47"/>
      <c r="M393" s="49" t="s">
        <v>4799</v>
      </c>
    </row>
    <row r="394" spans="1:13">
      <c r="A394" s="48">
        <f t="shared" si="6"/>
        <v>393</v>
      </c>
      <c r="B394" s="47" t="s">
        <v>8</v>
      </c>
      <c r="C394" s="47" t="s">
        <v>5974</v>
      </c>
      <c r="D394" s="47" t="s">
        <v>6044</v>
      </c>
      <c r="E394" s="47"/>
      <c r="F394" s="47" t="s">
        <v>6029</v>
      </c>
      <c r="G394" s="47" t="s">
        <v>13</v>
      </c>
      <c r="H394" s="47" t="str">
        <f>IFERROR(VLOOKUP(Table2[[#This Row], [Ticket]],Okey!A:B,2,0),"")</f>
        <v>ok</v>
      </c>
      <c r="I394" s="47" t="s">
        <v>5290</v>
      </c>
      <c r="J394" s="47" t="s">
        <v>18</v>
      </c>
      <c r="K394" s="47" t="s">
        <v>5979</v>
      </c>
      <c r="L394" s="47"/>
      <c r="M394" s="49" t="s">
        <v>4799</v>
      </c>
    </row>
    <row r="395" spans="1:13">
      <c r="A395" s="48">
        <f t="shared" si="6"/>
        <v>394</v>
      </c>
      <c r="B395" s="47" t="s">
        <v>8</v>
      </c>
      <c r="C395" s="47" t="s">
        <v>5974</v>
      </c>
      <c r="D395" s="47" t="s">
        <v>6045</v>
      </c>
      <c r="E395" s="47"/>
      <c r="F395" s="47" t="s">
        <v>6029</v>
      </c>
      <c r="G395" s="47" t="s">
        <v>13</v>
      </c>
      <c r="H395" s="47" t="str">
        <f>IFERROR(VLOOKUP(Table2[[#This Row], [Ticket]],Okey!A:B,2,0),"")</f>
        <v>ok</v>
      </c>
      <c r="I395" s="47" t="s">
        <v>5290</v>
      </c>
      <c r="J395" s="47" t="s">
        <v>18</v>
      </c>
      <c r="K395" s="47" t="s">
        <v>5979</v>
      </c>
      <c r="L395" s="47"/>
      <c r="M395" s="49" t="s">
        <v>4799</v>
      </c>
    </row>
    <row r="396" spans="1:13">
      <c r="A396" s="48">
        <f t="shared" si="6"/>
        <v>395</v>
      </c>
      <c r="B396" s="47" t="s">
        <v>8</v>
      </c>
      <c r="C396" s="47" t="s">
        <v>5974</v>
      </c>
      <c r="D396" s="47" t="s">
        <v>6046</v>
      </c>
      <c r="E396" s="47"/>
      <c r="F396" s="47" t="s">
        <v>6029</v>
      </c>
      <c r="G396" s="47" t="s">
        <v>13</v>
      </c>
      <c r="H396" s="47" t="str">
        <f>IFERROR(VLOOKUP(Table2[[#This Row], [Ticket]],Okey!A:B,2,0),"")</f>
        <v>ok</v>
      </c>
      <c r="I396" s="47" t="s">
        <v>5290</v>
      </c>
      <c r="J396" s="47" t="s">
        <v>18</v>
      </c>
      <c r="K396" s="47" t="s">
        <v>5979</v>
      </c>
      <c r="L396" s="47"/>
      <c r="M396" s="49" t="s">
        <v>4799</v>
      </c>
    </row>
    <row r="397" spans="1:13">
      <c r="A397" s="48">
        <f t="shared" si="6"/>
        <v>396</v>
      </c>
      <c r="B397" s="47" t="s">
        <v>8</v>
      </c>
      <c r="C397" s="47" t="s">
        <v>5974</v>
      </c>
      <c r="D397" s="47" t="s">
        <v>6047</v>
      </c>
      <c r="E397" s="47"/>
      <c r="F397" s="47" t="s">
        <v>6029</v>
      </c>
      <c r="G397" s="47" t="s">
        <v>13</v>
      </c>
      <c r="H397" s="47" t="str">
        <f>IFERROR(VLOOKUP(Table2[[#This Row], [Ticket]],Okey!A:B,2,0),"")</f>
        <v>ok</v>
      </c>
      <c r="I397" s="47" t="s">
        <v>5290</v>
      </c>
      <c r="J397" s="47" t="s">
        <v>18</v>
      </c>
      <c r="K397" s="47" t="s">
        <v>5979</v>
      </c>
      <c r="L397" s="47"/>
      <c r="M397" s="49" t="s">
        <v>4799</v>
      </c>
    </row>
    <row r="398" spans="1:13">
      <c r="A398" s="48">
        <f t="shared" si="6"/>
        <v>397</v>
      </c>
      <c r="B398" s="47" t="s">
        <v>8</v>
      </c>
      <c r="C398" s="47" t="s">
        <v>5974</v>
      </c>
      <c r="D398" s="47" t="s">
        <v>6048</v>
      </c>
      <c r="E398" s="47"/>
      <c r="F398" s="47" t="s">
        <v>6029</v>
      </c>
      <c r="G398" s="47" t="s">
        <v>13</v>
      </c>
      <c r="H398" s="47" t="str">
        <f>IFERROR(VLOOKUP(Table2[[#This Row], [Ticket]],Okey!A:B,2,0),"")</f>
        <v>ok</v>
      </c>
      <c r="I398" s="47" t="s">
        <v>5290</v>
      </c>
      <c r="J398" s="47" t="s">
        <v>18</v>
      </c>
      <c r="K398" s="47" t="s">
        <v>5979</v>
      </c>
      <c r="L398" s="47"/>
      <c r="M398" s="49" t="s">
        <v>4799</v>
      </c>
    </row>
    <row r="399" spans="1:13">
      <c r="A399" s="48">
        <f t="shared" si="6"/>
        <v>398</v>
      </c>
      <c r="B399" s="47" t="s">
        <v>8</v>
      </c>
      <c r="C399" s="47" t="s">
        <v>5974</v>
      </c>
      <c r="D399" s="47" t="s">
        <v>6049</v>
      </c>
      <c r="E399" s="47"/>
      <c r="F399" s="47" t="s">
        <v>6029</v>
      </c>
      <c r="G399" s="47" t="s">
        <v>13</v>
      </c>
      <c r="H399" s="47" t="str">
        <f>IFERROR(VLOOKUP(Table2[[#This Row], [Ticket]],Okey!A:B,2,0),"")</f>
        <v>ok</v>
      </c>
      <c r="I399" s="47" t="s">
        <v>5290</v>
      </c>
      <c r="J399" s="47" t="s">
        <v>18</v>
      </c>
      <c r="K399" s="47" t="s">
        <v>5979</v>
      </c>
      <c r="L399" s="47"/>
      <c r="M399" s="49" t="s">
        <v>4799</v>
      </c>
    </row>
    <row r="400" spans="1:13">
      <c r="A400" s="48">
        <f t="shared" si="6"/>
        <v>399</v>
      </c>
      <c r="B400" s="47" t="s">
        <v>8</v>
      </c>
      <c r="C400" s="47" t="s">
        <v>5974</v>
      </c>
      <c r="D400" s="47" t="s">
        <v>6050</v>
      </c>
      <c r="E400" s="47"/>
      <c r="F400" s="47" t="s">
        <v>6029</v>
      </c>
      <c r="G400" s="47" t="s">
        <v>13</v>
      </c>
      <c r="H400" s="47" t="str">
        <f>IFERROR(VLOOKUP(Table2[[#This Row], [Ticket]],Okey!A:B,2,0),"")</f>
        <v>ok</v>
      </c>
      <c r="I400" s="47" t="s">
        <v>5290</v>
      </c>
      <c r="J400" s="47" t="s">
        <v>18</v>
      </c>
      <c r="K400" s="47" t="s">
        <v>5979</v>
      </c>
      <c r="L400" s="47"/>
      <c r="M400" s="49" t="s">
        <v>4799</v>
      </c>
    </row>
    <row r="401" spans="1:13">
      <c r="A401" s="48">
        <f t="shared" si="6"/>
        <v>400</v>
      </c>
      <c r="B401" s="47" t="s">
        <v>8</v>
      </c>
      <c r="C401" s="47" t="s">
        <v>5974</v>
      </c>
      <c r="D401" s="47" t="s">
        <v>6051</v>
      </c>
      <c r="E401" s="47"/>
      <c r="F401" s="47" t="s">
        <v>6029</v>
      </c>
      <c r="G401" s="47" t="s">
        <v>13</v>
      </c>
      <c r="H401" s="47" t="str">
        <f>IFERROR(VLOOKUP(Table2[[#This Row], [Ticket]],Okey!A:B,2,0),"")</f>
        <v>ok</v>
      </c>
      <c r="I401" s="47" t="s">
        <v>5290</v>
      </c>
      <c r="J401" s="47" t="s">
        <v>18</v>
      </c>
      <c r="K401" s="47" t="s">
        <v>5979</v>
      </c>
      <c r="L401" s="47"/>
      <c r="M401" s="49" t="s">
        <v>4799</v>
      </c>
    </row>
    <row r="402" spans="1:13">
      <c r="A402" s="48">
        <f t="shared" si="6"/>
        <v>401</v>
      </c>
      <c r="B402" s="47" t="s">
        <v>8</v>
      </c>
      <c r="C402" s="47" t="s">
        <v>5974</v>
      </c>
      <c r="D402" s="47" t="s">
        <v>6052</v>
      </c>
      <c r="E402" s="47"/>
      <c r="F402" s="47" t="s">
        <v>6029</v>
      </c>
      <c r="G402" s="47" t="s">
        <v>13</v>
      </c>
      <c r="H402" s="47" t="str">
        <f>IFERROR(VLOOKUP(Table2[[#This Row], [Ticket]],Okey!A:B,2,0),"")</f>
        <v>ok</v>
      </c>
      <c r="I402" s="47" t="s">
        <v>5290</v>
      </c>
      <c r="J402" s="47" t="s">
        <v>18</v>
      </c>
      <c r="K402" s="47" t="s">
        <v>5979</v>
      </c>
      <c r="L402" s="47"/>
      <c r="M402" s="49" t="s">
        <v>4799</v>
      </c>
    </row>
    <row r="403" spans="1:13">
      <c r="A403" s="48">
        <f t="shared" si="6"/>
        <v>402</v>
      </c>
      <c r="B403" s="47" t="s">
        <v>8</v>
      </c>
      <c r="C403" s="47" t="s">
        <v>5974</v>
      </c>
      <c r="D403" s="47" t="s">
        <v>6053</v>
      </c>
      <c r="E403" s="47"/>
      <c r="F403" s="47" t="s">
        <v>6029</v>
      </c>
      <c r="G403" s="47" t="s">
        <v>13</v>
      </c>
      <c r="H403" s="47" t="str">
        <f>IFERROR(VLOOKUP(Table2[[#This Row], [Ticket]],Okey!A:B,2,0),"")</f>
        <v>ok</v>
      </c>
      <c r="I403" s="47" t="s">
        <v>5290</v>
      </c>
      <c r="J403" s="47" t="s">
        <v>18</v>
      </c>
      <c r="K403" s="47" t="s">
        <v>5979</v>
      </c>
      <c r="L403" s="47"/>
      <c r="M403" s="49" t="s">
        <v>4799</v>
      </c>
    </row>
    <row r="404" spans="1:13">
      <c r="A404" s="48">
        <f t="shared" si="6"/>
        <v>403</v>
      </c>
      <c r="B404" s="47" t="s">
        <v>8</v>
      </c>
      <c r="C404" s="47" t="s">
        <v>5974</v>
      </c>
      <c r="D404" s="47" t="s">
        <v>6054</v>
      </c>
      <c r="E404" s="47"/>
      <c r="F404" s="47" t="s">
        <v>6029</v>
      </c>
      <c r="G404" s="47" t="s">
        <v>13</v>
      </c>
      <c r="H404" s="47" t="str">
        <f>IFERROR(VLOOKUP(Table2[[#This Row], [Ticket]],Okey!A:B,2,0),"")</f>
        <v>ok</v>
      </c>
      <c r="I404" s="47" t="s">
        <v>5290</v>
      </c>
      <c r="J404" s="47" t="s">
        <v>18</v>
      </c>
      <c r="K404" s="47" t="s">
        <v>5979</v>
      </c>
      <c r="L404" s="47"/>
      <c r="M404" s="49" t="s">
        <v>4799</v>
      </c>
    </row>
    <row r="405" spans="1:13">
      <c r="A405" s="48">
        <f t="shared" si="6"/>
        <v>404</v>
      </c>
      <c r="B405" s="47" t="s">
        <v>8</v>
      </c>
      <c r="C405" s="47" t="s">
        <v>5974</v>
      </c>
      <c r="D405" s="47" t="s">
        <v>6055</v>
      </c>
      <c r="E405" s="47"/>
      <c r="F405" s="47" t="s">
        <v>6029</v>
      </c>
      <c r="G405" s="47" t="s">
        <v>13</v>
      </c>
      <c r="H405" s="47" t="str">
        <f>IFERROR(VLOOKUP(Table2[[#This Row], [Ticket]],Okey!A:B,2,0),"")</f>
        <v>ok</v>
      </c>
      <c r="I405" s="47" t="s">
        <v>5290</v>
      </c>
      <c r="J405" s="47" t="s">
        <v>18</v>
      </c>
      <c r="K405" s="47" t="s">
        <v>5979</v>
      </c>
      <c r="L405" s="47"/>
      <c r="M405" s="49" t="s">
        <v>4799</v>
      </c>
    </row>
    <row r="406" spans="1:13">
      <c r="A406" s="48">
        <f t="shared" si="6"/>
        <v>405</v>
      </c>
      <c r="B406" s="47" t="s">
        <v>8</v>
      </c>
      <c r="C406" s="47" t="s">
        <v>5974</v>
      </c>
      <c r="D406" s="47" t="s">
        <v>6056</v>
      </c>
      <c r="E406" s="47"/>
      <c r="F406" s="47" t="s">
        <v>6029</v>
      </c>
      <c r="G406" s="47" t="s">
        <v>13</v>
      </c>
      <c r="H406" s="47" t="str">
        <f>IFERROR(VLOOKUP(Table2[[#This Row], [Ticket]],Okey!A:B,2,0),"")</f>
        <v>ok</v>
      </c>
      <c r="I406" s="47" t="s">
        <v>5290</v>
      </c>
      <c r="J406" s="47" t="s">
        <v>18</v>
      </c>
      <c r="K406" s="47" t="s">
        <v>5979</v>
      </c>
      <c r="L406" s="47"/>
      <c r="M406" s="49" t="s">
        <v>4799</v>
      </c>
    </row>
    <row r="407" spans="1:13">
      <c r="A407" s="48">
        <f t="shared" si="6"/>
        <v>406</v>
      </c>
      <c r="B407" s="47" t="s">
        <v>8</v>
      </c>
      <c r="C407" s="47" t="s">
        <v>5974</v>
      </c>
      <c r="D407" s="47" t="s">
        <v>6057</v>
      </c>
      <c r="E407" s="47"/>
      <c r="F407" s="47" t="s">
        <v>6029</v>
      </c>
      <c r="G407" s="47" t="s">
        <v>13</v>
      </c>
      <c r="H407" s="47" t="str">
        <f>IFERROR(VLOOKUP(Table2[[#This Row], [Ticket]],Okey!A:B,2,0),"")</f>
        <v>ok</v>
      </c>
      <c r="I407" s="47" t="s">
        <v>5290</v>
      </c>
      <c r="J407" s="47" t="s">
        <v>18</v>
      </c>
      <c r="K407" s="47" t="s">
        <v>5979</v>
      </c>
      <c r="L407" s="47"/>
      <c r="M407" s="49" t="s">
        <v>4799</v>
      </c>
    </row>
    <row r="408" spans="1:13">
      <c r="A408" s="48">
        <f t="shared" si="6"/>
        <v>407</v>
      </c>
      <c r="B408" s="47" t="s">
        <v>8</v>
      </c>
      <c r="C408" s="47" t="s">
        <v>5974</v>
      </c>
      <c r="D408" s="47" t="s">
        <v>6058</v>
      </c>
      <c r="E408" s="47"/>
      <c r="F408" s="47" t="s">
        <v>6029</v>
      </c>
      <c r="G408" s="47" t="s">
        <v>13</v>
      </c>
      <c r="H408" s="47" t="str">
        <f>IFERROR(VLOOKUP(Table2[[#This Row], [Ticket]],Okey!A:B,2,0),"")</f>
        <v>ok</v>
      </c>
      <c r="I408" s="47" t="s">
        <v>5290</v>
      </c>
      <c r="J408" s="47" t="s">
        <v>18</v>
      </c>
      <c r="K408" s="47" t="s">
        <v>5979</v>
      </c>
      <c r="L408" s="47"/>
      <c r="M408" s="49" t="s">
        <v>4799</v>
      </c>
    </row>
    <row r="409" spans="1:13">
      <c r="A409" s="48">
        <f t="shared" si="6"/>
        <v>408</v>
      </c>
      <c r="B409" s="47" t="s">
        <v>8</v>
      </c>
      <c r="C409" s="47" t="s">
        <v>5974</v>
      </c>
      <c r="D409" s="47" t="s">
        <v>6059</v>
      </c>
      <c r="E409" s="47"/>
      <c r="F409" s="47" t="s">
        <v>6029</v>
      </c>
      <c r="G409" s="47" t="s">
        <v>13</v>
      </c>
      <c r="H409" s="47" t="str">
        <f>IFERROR(VLOOKUP(Table2[[#This Row], [Ticket]],Okey!A:B,2,0),"")</f>
        <v>ok</v>
      </c>
      <c r="I409" s="47" t="s">
        <v>5290</v>
      </c>
      <c r="J409" s="47" t="s">
        <v>18</v>
      </c>
      <c r="K409" s="47" t="s">
        <v>5979</v>
      </c>
      <c r="L409" s="47"/>
      <c r="M409" s="49" t="s">
        <v>4799</v>
      </c>
    </row>
    <row r="410" spans="1:13">
      <c r="A410" s="48">
        <f t="shared" si="6"/>
        <v>409</v>
      </c>
      <c r="B410" s="47" t="s">
        <v>8</v>
      </c>
      <c r="C410" s="47" t="s">
        <v>5974</v>
      </c>
      <c r="D410" s="47" t="s">
        <v>6060</v>
      </c>
      <c r="E410" s="47"/>
      <c r="F410" s="47" t="s">
        <v>6029</v>
      </c>
      <c r="G410" s="47" t="s">
        <v>13</v>
      </c>
      <c r="H410" s="47" t="str">
        <f>IFERROR(VLOOKUP(Table2[[#This Row], [Ticket]],Okey!A:B,2,0),"")</f>
        <v>ok</v>
      </c>
      <c r="I410" s="47" t="s">
        <v>5290</v>
      </c>
      <c r="J410" s="47" t="s">
        <v>18</v>
      </c>
      <c r="K410" s="47" t="s">
        <v>5979</v>
      </c>
      <c r="L410" s="47"/>
      <c r="M410" s="49" t="s">
        <v>4799</v>
      </c>
    </row>
    <row r="411" spans="1:13">
      <c r="A411" s="48">
        <f t="shared" si="6"/>
        <v>410</v>
      </c>
      <c r="B411" s="47" t="s">
        <v>8</v>
      </c>
      <c r="C411" s="47" t="s">
        <v>5974</v>
      </c>
      <c r="D411" s="47" t="s">
        <v>6061</v>
      </c>
      <c r="E411" s="47"/>
      <c r="F411" s="47" t="s">
        <v>6029</v>
      </c>
      <c r="G411" s="47" t="s">
        <v>13</v>
      </c>
      <c r="H411" s="47" t="str">
        <f>IFERROR(VLOOKUP(Table2[[#This Row], [Ticket]],Okey!A:B,2,0),"")</f>
        <v>ok</v>
      </c>
      <c r="I411" s="47" t="s">
        <v>5290</v>
      </c>
      <c r="J411" s="47" t="s">
        <v>18</v>
      </c>
      <c r="K411" s="47" t="s">
        <v>5979</v>
      </c>
      <c r="L411" s="47"/>
      <c r="M411" s="49" t="s">
        <v>4799</v>
      </c>
    </row>
    <row r="412" spans="1:13">
      <c r="A412" s="48">
        <f t="shared" si="6"/>
        <v>411</v>
      </c>
      <c r="B412" s="47" t="s">
        <v>8</v>
      </c>
      <c r="C412" s="47" t="s">
        <v>5974</v>
      </c>
      <c r="D412" s="47" t="s">
        <v>6062</v>
      </c>
      <c r="E412" s="47"/>
      <c r="F412" s="47" t="s">
        <v>6029</v>
      </c>
      <c r="G412" s="47" t="s">
        <v>13</v>
      </c>
      <c r="H412" s="47" t="str">
        <f>IFERROR(VLOOKUP(Table2[[#This Row], [Ticket]],Okey!A:B,2,0),"")</f>
        <v>ok</v>
      </c>
      <c r="I412" s="47" t="s">
        <v>5290</v>
      </c>
      <c r="J412" s="47" t="s">
        <v>18</v>
      </c>
      <c r="K412" s="47" t="s">
        <v>5979</v>
      </c>
      <c r="L412" s="47"/>
      <c r="M412" s="49" t="s">
        <v>4799</v>
      </c>
    </row>
    <row r="413" spans="1:13">
      <c r="A413" s="48">
        <f t="shared" si="6"/>
        <v>412</v>
      </c>
      <c r="B413" s="47" t="s">
        <v>8</v>
      </c>
      <c r="C413" s="47" t="s">
        <v>5974</v>
      </c>
      <c r="D413" s="47" t="s">
        <v>6063</v>
      </c>
      <c r="E413" s="47"/>
      <c r="F413" s="47" t="s">
        <v>6029</v>
      </c>
      <c r="G413" s="47" t="s">
        <v>13</v>
      </c>
      <c r="H413" s="47" t="str">
        <f>IFERROR(VLOOKUP(Table2[[#This Row], [Ticket]],Okey!A:B,2,0),"")</f>
        <v>ok</v>
      </c>
      <c r="I413" s="47" t="s">
        <v>5290</v>
      </c>
      <c r="J413" s="47" t="s">
        <v>18</v>
      </c>
      <c r="K413" s="47" t="s">
        <v>5979</v>
      </c>
      <c r="L413" s="47"/>
      <c r="M413" s="49" t="s">
        <v>4799</v>
      </c>
    </row>
    <row r="414" spans="1:13">
      <c r="A414" s="48">
        <f t="shared" si="6"/>
        <v>413</v>
      </c>
      <c r="B414" s="47" t="s">
        <v>8</v>
      </c>
      <c r="C414" s="47" t="s">
        <v>5974</v>
      </c>
      <c r="D414" s="47" t="s">
        <v>6064</v>
      </c>
      <c r="E414" s="47"/>
      <c r="F414" s="47" t="s">
        <v>6029</v>
      </c>
      <c r="G414" s="47" t="s">
        <v>13</v>
      </c>
      <c r="H414" s="47" t="str">
        <f>IFERROR(VLOOKUP(Table2[[#This Row], [Ticket]],Okey!A:B,2,0),"")</f>
        <v>ok</v>
      </c>
      <c r="I414" s="47" t="s">
        <v>5290</v>
      </c>
      <c r="J414" s="47" t="s">
        <v>18</v>
      </c>
      <c r="K414" s="47" t="s">
        <v>5979</v>
      </c>
      <c r="L414" s="47"/>
      <c r="M414" s="49" t="s">
        <v>4799</v>
      </c>
    </row>
    <row r="415" spans="1:13">
      <c r="A415" s="48">
        <f t="shared" si="6"/>
        <v>414</v>
      </c>
      <c r="B415" s="47" t="s">
        <v>8</v>
      </c>
      <c r="C415" s="47" t="s">
        <v>5974</v>
      </c>
      <c r="D415" s="47" t="s">
        <v>6065</v>
      </c>
      <c r="E415" s="47"/>
      <c r="F415" s="47" t="s">
        <v>6029</v>
      </c>
      <c r="G415" s="47" t="s">
        <v>13</v>
      </c>
      <c r="H415" s="47" t="str">
        <f>IFERROR(VLOOKUP(Table2[[#This Row], [Ticket]],Okey!A:B,2,0),"")</f>
        <v>ok</v>
      </c>
      <c r="I415" s="47" t="s">
        <v>5290</v>
      </c>
      <c r="J415" s="47" t="s">
        <v>18</v>
      </c>
      <c r="K415" s="47" t="s">
        <v>5979</v>
      </c>
      <c r="L415" s="47"/>
      <c r="M415" s="49" t="s">
        <v>4799</v>
      </c>
    </row>
    <row r="416" spans="1:13">
      <c r="A416" s="48">
        <f t="shared" si="6"/>
        <v>415</v>
      </c>
      <c r="B416" s="47" t="s">
        <v>8</v>
      </c>
      <c r="C416" s="47" t="s">
        <v>5974</v>
      </c>
      <c r="D416" s="47" t="s">
        <v>6066</v>
      </c>
      <c r="E416" s="47"/>
      <c r="F416" s="47" t="s">
        <v>6029</v>
      </c>
      <c r="G416" s="47" t="s">
        <v>13</v>
      </c>
      <c r="H416" s="47" t="str">
        <f>IFERROR(VLOOKUP(Table2[[#This Row], [Ticket]],Okey!A:B,2,0),"")</f>
        <v>ok</v>
      </c>
      <c r="I416" s="47" t="s">
        <v>5290</v>
      </c>
      <c r="J416" s="47" t="s">
        <v>18</v>
      </c>
      <c r="K416" s="47" t="s">
        <v>5979</v>
      </c>
      <c r="L416" s="47"/>
      <c r="M416" s="49" t="s">
        <v>4799</v>
      </c>
    </row>
    <row r="417" spans="1:13">
      <c r="A417" s="48">
        <f t="shared" si="6"/>
        <v>416</v>
      </c>
      <c r="B417" s="47" t="s">
        <v>8</v>
      </c>
      <c r="C417" s="47" t="s">
        <v>5974</v>
      </c>
      <c r="D417" s="47" t="s">
        <v>6067</v>
      </c>
      <c r="E417" s="47"/>
      <c r="F417" s="47" t="s">
        <v>6029</v>
      </c>
      <c r="G417" s="47" t="s">
        <v>13</v>
      </c>
      <c r="H417" s="47" t="str">
        <f>IFERROR(VLOOKUP(Table2[[#This Row], [Ticket]],Okey!A:B,2,0),"")</f>
        <v>ok</v>
      </c>
      <c r="I417" s="47" t="s">
        <v>5290</v>
      </c>
      <c r="J417" s="47" t="s">
        <v>18</v>
      </c>
      <c r="K417" s="47" t="s">
        <v>5979</v>
      </c>
      <c r="L417" s="47"/>
      <c r="M417" s="49" t="s">
        <v>4799</v>
      </c>
    </row>
    <row r="418" spans="1:13">
      <c r="A418" s="48">
        <f t="shared" si="6"/>
        <v>417</v>
      </c>
      <c r="B418" s="47" t="s">
        <v>8</v>
      </c>
      <c r="C418" s="47" t="s">
        <v>5974</v>
      </c>
      <c r="D418" s="47" t="s">
        <v>6068</v>
      </c>
      <c r="E418" s="47"/>
      <c r="F418" s="47" t="s">
        <v>6029</v>
      </c>
      <c r="G418" s="47" t="s">
        <v>13</v>
      </c>
      <c r="H418" s="47" t="str">
        <f>IFERROR(VLOOKUP(Table2[[#This Row], [Ticket]],Okey!A:B,2,0),"")</f>
        <v>ok</v>
      </c>
      <c r="I418" s="47" t="s">
        <v>5290</v>
      </c>
      <c r="J418" s="47" t="s">
        <v>18</v>
      </c>
      <c r="K418" s="47" t="s">
        <v>5979</v>
      </c>
      <c r="L418" s="47"/>
      <c r="M418" s="49" t="s">
        <v>4799</v>
      </c>
    </row>
    <row r="419" spans="1:13">
      <c r="A419" s="48">
        <f t="shared" si="6"/>
        <v>418</v>
      </c>
      <c r="B419" s="47" t="s">
        <v>8</v>
      </c>
      <c r="C419" s="47" t="s">
        <v>5974</v>
      </c>
      <c r="D419" s="47" t="s">
        <v>6069</v>
      </c>
      <c r="E419" s="47"/>
      <c r="F419" s="47" t="s">
        <v>6029</v>
      </c>
      <c r="G419" s="47" t="s">
        <v>13</v>
      </c>
      <c r="H419" s="47" t="str">
        <f>IFERROR(VLOOKUP(Table2[[#This Row], [Ticket]],Okey!A:B,2,0),"")</f>
        <v>ok</v>
      </c>
      <c r="I419" s="47" t="s">
        <v>5290</v>
      </c>
      <c r="J419" s="47" t="s">
        <v>18</v>
      </c>
      <c r="K419" s="47" t="s">
        <v>5979</v>
      </c>
      <c r="L419" s="47"/>
      <c r="M419" s="49" t="s">
        <v>4799</v>
      </c>
    </row>
    <row r="420" spans="1:13">
      <c r="A420" s="48">
        <f t="shared" si="6"/>
        <v>419</v>
      </c>
      <c r="B420" s="47" t="s">
        <v>8</v>
      </c>
      <c r="C420" s="47" t="s">
        <v>5974</v>
      </c>
      <c r="D420" s="47" t="s">
        <v>6070</v>
      </c>
      <c r="E420" s="47"/>
      <c r="F420" s="47" t="s">
        <v>6029</v>
      </c>
      <c r="G420" s="47" t="s">
        <v>13</v>
      </c>
      <c r="H420" s="47" t="str">
        <f>IFERROR(VLOOKUP(Table2[[#This Row], [Ticket]],Okey!A:B,2,0),"")</f>
        <v>ok</v>
      </c>
      <c r="I420" s="47" t="s">
        <v>5290</v>
      </c>
      <c r="J420" s="47" t="s">
        <v>18</v>
      </c>
      <c r="K420" s="47" t="s">
        <v>5979</v>
      </c>
      <c r="L420" s="47"/>
      <c r="M420" s="49" t="s">
        <v>4799</v>
      </c>
    </row>
    <row r="421" spans="1:13">
      <c r="A421" s="48">
        <f t="shared" si="6"/>
        <v>420</v>
      </c>
      <c r="B421" s="47" t="s">
        <v>8</v>
      </c>
      <c r="C421" s="47" t="s">
        <v>5974</v>
      </c>
      <c r="D421" s="47" t="s">
        <v>6071</v>
      </c>
      <c r="E421" s="47"/>
      <c r="F421" s="47" t="s">
        <v>6029</v>
      </c>
      <c r="G421" s="47" t="s">
        <v>13</v>
      </c>
      <c r="H421" s="47" t="str">
        <f>IFERROR(VLOOKUP(Table2[[#This Row], [Ticket]],Okey!A:B,2,0),"")</f>
        <v>ok</v>
      </c>
      <c r="I421" s="47" t="s">
        <v>5290</v>
      </c>
      <c r="J421" s="47" t="s">
        <v>18</v>
      </c>
      <c r="K421" s="47" t="s">
        <v>5979</v>
      </c>
      <c r="L421" s="47"/>
      <c r="M421" s="49" t="s">
        <v>4799</v>
      </c>
    </row>
    <row r="422" spans="1:13">
      <c r="A422" s="48">
        <f t="shared" si="6"/>
        <v>421</v>
      </c>
      <c r="B422" s="47" t="s">
        <v>8</v>
      </c>
      <c r="C422" s="47" t="s">
        <v>5974</v>
      </c>
      <c r="D422" s="47" t="s">
        <v>6072</v>
      </c>
      <c r="E422" s="47"/>
      <c r="F422" s="47" t="s">
        <v>6029</v>
      </c>
      <c r="G422" s="47" t="s">
        <v>13</v>
      </c>
      <c r="H422" s="47" t="str">
        <f>IFERROR(VLOOKUP(Table2[[#This Row], [Ticket]],Okey!A:B,2,0),"")</f>
        <v>ok</v>
      </c>
      <c r="I422" s="47" t="s">
        <v>5290</v>
      </c>
      <c r="J422" s="47" t="s">
        <v>18</v>
      </c>
      <c r="K422" s="47" t="s">
        <v>5979</v>
      </c>
      <c r="L422" s="47"/>
      <c r="M422" s="49" t="s">
        <v>4799</v>
      </c>
    </row>
    <row r="423" spans="1:13">
      <c r="A423" s="48">
        <f t="shared" si="6"/>
        <v>422</v>
      </c>
      <c r="B423" s="47" t="s">
        <v>8</v>
      </c>
      <c r="C423" s="47" t="s">
        <v>5974</v>
      </c>
      <c r="D423" s="47" t="s">
        <v>6073</v>
      </c>
      <c r="E423" s="47"/>
      <c r="F423" s="47" t="s">
        <v>6029</v>
      </c>
      <c r="G423" s="47" t="s">
        <v>13</v>
      </c>
      <c r="H423" s="47" t="str">
        <f>IFERROR(VLOOKUP(Table2[[#This Row], [Ticket]],Okey!A:B,2,0),"")</f>
        <v>ok</v>
      </c>
      <c r="I423" s="47" t="s">
        <v>5290</v>
      </c>
      <c r="J423" s="47" t="s">
        <v>18</v>
      </c>
      <c r="K423" s="47" t="s">
        <v>5979</v>
      </c>
      <c r="L423" s="47"/>
      <c r="M423" s="49" t="s">
        <v>4799</v>
      </c>
    </row>
    <row r="424" spans="1:13">
      <c r="A424" s="48">
        <f t="shared" si="6"/>
        <v>423</v>
      </c>
      <c r="B424" s="47" t="s">
        <v>8</v>
      </c>
      <c r="C424" s="47" t="s">
        <v>5974</v>
      </c>
      <c r="D424" s="47" t="s">
        <v>6074</v>
      </c>
      <c r="E424" s="47"/>
      <c r="F424" s="47" t="s">
        <v>6029</v>
      </c>
      <c r="G424" s="47" t="s">
        <v>13</v>
      </c>
      <c r="H424" s="47" t="str">
        <f>IFERROR(VLOOKUP(Table2[[#This Row], [Ticket]],Okey!A:B,2,0),"")</f>
        <v>ok</v>
      </c>
      <c r="I424" s="47" t="s">
        <v>5290</v>
      </c>
      <c r="J424" s="47" t="s">
        <v>18</v>
      </c>
      <c r="K424" s="47" t="s">
        <v>5979</v>
      </c>
      <c r="L424" s="47"/>
      <c r="M424" s="49" t="s">
        <v>4799</v>
      </c>
    </row>
    <row r="425" spans="1:13">
      <c r="A425" s="48">
        <f t="shared" si="6"/>
        <v>424</v>
      </c>
      <c r="B425" s="47" t="s">
        <v>8</v>
      </c>
      <c r="C425" s="47" t="s">
        <v>5974</v>
      </c>
      <c r="D425" s="47" t="s">
        <v>6075</v>
      </c>
      <c r="E425" s="47"/>
      <c r="F425" s="47" t="s">
        <v>6029</v>
      </c>
      <c r="G425" s="47" t="s">
        <v>13</v>
      </c>
      <c r="H425" s="47" t="str">
        <f>IFERROR(VLOOKUP(Table2[[#This Row], [Ticket]],Okey!A:B,2,0),"")</f>
        <v>ok</v>
      </c>
      <c r="I425" s="47" t="s">
        <v>5290</v>
      </c>
      <c r="J425" s="47" t="s">
        <v>18</v>
      </c>
      <c r="K425" s="47" t="s">
        <v>5979</v>
      </c>
      <c r="L425" s="47"/>
      <c r="M425" s="49" t="s">
        <v>4799</v>
      </c>
    </row>
    <row r="426" spans="1:13">
      <c r="A426" s="48">
        <f t="shared" si="6"/>
        <v>425</v>
      </c>
      <c r="B426" s="47" t="s">
        <v>8</v>
      </c>
      <c r="C426" s="47" t="s">
        <v>5974</v>
      </c>
      <c r="D426" s="47" t="s">
        <v>6076</v>
      </c>
      <c r="E426" s="47"/>
      <c r="F426" s="47" t="s">
        <v>6029</v>
      </c>
      <c r="G426" s="47" t="s">
        <v>13</v>
      </c>
      <c r="H426" s="47" t="str">
        <f>IFERROR(VLOOKUP(Table2[[#This Row], [Ticket]],Okey!A:B,2,0),"")</f>
        <v>ok</v>
      </c>
      <c r="I426" s="47" t="s">
        <v>5290</v>
      </c>
      <c r="J426" s="47" t="s">
        <v>18</v>
      </c>
      <c r="K426" s="47" t="s">
        <v>5979</v>
      </c>
      <c r="L426" s="47"/>
      <c r="M426" s="49" t="s">
        <v>4799</v>
      </c>
    </row>
    <row r="427" spans="1:13">
      <c r="A427" s="48">
        <f t="shared" si="6"/>
        <v>426</v>
      </c>
      <c r="B427" s="47" t="s">
        <v>8</v>
      </c>
      <c r="C427" s="47" t="s">
        <v>5974</v>
      </c>
      <c r="D427" s="47" t="s">
        <v>6077</v>
      </c>
      <c r="E427" s="47"/>
      <c r="F427" s="47" t="s">
        <v>6029</v>
      </c>
      <c r="G427" s="47" t="s">
        <v>13</v>
      </c>
      <c r="H427" s="47" t="str">
        <f>IFERROR(VLOOKUP(Table2[[#This Row], [Ticket]],Okey!A:B,2,0),"")</f>
        <v>ok</v>
      </c>
      <c r="I427" s="47" t="s">
        <v>5290</v>
      </c>
      <c r="J427" s="47" t="s">
        <v>18</v>
      </c>
      <c r="K427" s="47" t="s">
        <v>5979</v>
      </c>
      <c r="L427" s="47"/>
      <c r="M427" s="49" t="s">
        <v>4799</v>
      </c>
    </row>
    <row r="428" spans="1:13">
      <c r="A428" s="48">
        <f t="shared" si="6"/>
        <v>427</v>
      </c>
      <c r="B428" s="47" t="s">
        <v>8</v>
      </c>
      <c r="C428" s="47" t="s">
        <v>5974</v>
      </c>
      <c r="D428" s="47" t="s">
        <v>6078</v>
      </c>
      <c r="E428" s="47"/>
      <c r="F428" s="47" t="s">
        <v>6029</v>
      </c>
      <c r="G428" s="47" t="s">
        <v>13</v>
      </c>
      <c r="H428" s="47" t="str">
        <f>IFERROR(VLOOKUP(Table2[[#This Row], [Ticket]],Okey!A:B,2,0),"")</f>
        <v>ok</v>
      </c>
      <c r="I428" s="47" t="s">
        <v>5290</v>
      </c>
      <c r="J428" s="47" t="s">
        <v>18</v>
      </c>
      <c r="K428" s="47" t="s">
        <v>5979</v>
      </c>
      <c r="L428" s="47"/>
      <c r="M428" s="49" t="s">
        <v>4799</v>
      </c>
    </row>
    <row r="429" spans="1:13">
      <c r="A429" s="48">
        <f t="shared" si="6"/>
        <v>428</v>
      </c>
      <c r="B429" s="47" t="s">
        <v>8</v>
      </c>
      <c r="C429" s="47" t="s">
        <v>5974</v>
      </c>
      <c r="D429" s="47" t="s">
        <v>6079</v>
      </c>
      <c r="E429" s="47"/>
      <c r="F429" s="47" t="s">
        <v>6029</v>
      </c>
      <c r="G429" s="47" t="s">
        <v>13</v>
      </c>
      <c r="H429" s="47" t="str">
        <f>IFERROR(VLOOKUP(Table2[[#This Row], [Ticket]],Okey!A:B,2,0),"")</f>
        <v>ok</v>
      </c>
      <c r="I429" s="47" t="s">
        <v>5290</v>
      </c>
      <c r="J429" s="47" t="s">
        <v>18</v>
      </c>
      <c r="K429" s="47" t="s">
        <v>5979</v>
      </c>
      <c r="L429" s="47"/>
      <c r="M429" s="49" t="s">
        <v>4799</v>
      </c>
    </row>
    <row r="430" spans="1:13">
      <c r="A430" s="48">
        <f t="shared" si="6"/>
        <v>429</v>
      </c>
      <c r="B430" s="47" t="s">
        <v>8</v>
      </c>
      <c r="C430" s="47" t="s">
        <v>5974</v>
      </c>
      <c r="D430" s="47" t="s">
        <v>6080</v>
      </c>
      <c r="E430" s="47"/>
      <c r="F430" s="47" t="s">
        <v>6029</v>
      </c>
      <c r="G430" s="47" t="s">
        <v>13</v>
      </c>
      <c r="H430" s="47" t="str">
        <f>IFERROR(VLOOKUP(Table2[[#This Row], [Ticket]],Okey!A:B,2,0),"")</f>
        <v>ok</v>
      </c>
      <c r="I430" s="47" t="s">
        <v>5290</v>
      </c>
      <c r="J430" s="47" t="s">
        <v>18</v>
      </c>
      <c r="K430" s="47" t="s">
        <v>5979</v>
      </c>
      <c r="L430" s="47"/>
      <c r="M430" s="49" t="s">
        <v>4799</v>
      </c>
    </row>
    <row r="431" spans="1:13">
      <c r="A431" s="48">
        <f t="shared" si="6"/>
        <v>430</v>
      </c>
      <c r="B431" s="47" t="s">
        <v>8</v>
      </c>
      <c r="C431" s="47" t="s">
        <v>5974</v>
      </c>
      <c r="D431" s="47" t="s">
        <v>6081</v>
      </c>
      <c r="E431" s="47"/>
      <c r="F431" s="47" t="s">
        <v>6029</v>
      </c>
      <c r="G431" s="47" t="s">
        <v>13</v>
      </c>
      <c r="H431" s="47" t="str">
        <f>IFERROR(VLOOKUP(Table2[[#This Row], [Ticket]],Okey!A:B,2,0),"")</f>
        <v>ok</v>
      </c>
      <c r="I431" s="47" t="s">
        <v>5290</v>
      </c>
      <c r="J431" s="47" t="s">
        <v>18</v>
      </c>
      <c r="K431" s="47" t="s">
        <v>5979</v>
      </c>
      <c r="L431" s="47"/>
      <c r="M431" s="49" t="s">
        <v>4799</v>
      </c>
    </row>
    <row r="432" spans="1:13">
      <c r="A432" s="48">
        <f t="shared" si="6"/>
        <v>431</v>
      </c>
      <c r="B432" s="47" t="s">
        <v>8</v>
      </c>
      <c r="C432" s="47" t="s">
        <v>5974</v>
      </c>
      <c r="D432" s="47" t="s">
        <v>6082</v>
      </c>
      <c r="E432" s="47"/>
      <c r="F432" s="47" t="s">
        <v>6029</v>
      </c>
      <c r="G432" s="47" t="s">
        <v>13</v>
      </c>
      <c r="H432" s="47" t="str">
        <f>IFERROR(VLOOKUP(Table2[[#This Row], [Ticket]],Okey!A:B,2,0),"")</f>
        <v>ok</v>
      </c>
      <c r="I432" s="47" t="s">
        <v>5290</v>
      </c>
      <c r="J432" s="47" t="s">
        <v>18</v>
      </c>
      <c r="K432" s="47" t="s">
        <v>5979</v>
      </c>
      <c r="L432" s="47"/>
      <c r="M432" s="49" t="s">
        <v>4799</v>
      </c>
    </row>
    <row r="433" spans="1:13">
      <c r="A433" s="48">
        <f t="shared" si="6"/>
        <v>432</v>
      </c>
      <c r="B433" s="47" t="s">
        <v>8</v>
      </c>
      <c r="C433" s="47" t="s">
        <v>5974</v>
      </c>
      <c r="D433" s="47" t="s">
        <v>6083</v>
      </c>
      <c r="E433" s="47"/>
      <c r="F433" s="47" t="s">
        <v>6029</v>
      </c>
      <c r="G433" s="47" t="s">
        <v>13</v>
      </c>
      <c r="H433" s="47" t="str">
        <f>IFERROR(VLOOKUP(Table2[[#This Row], [Ticket]],Okey!A:B,2,0),"")</f>
        <v>ok</v>
      </c>
      <c r="I433" s="47" t="s">
        <v>5290</v>
      </c>
      <c r="J433" s="47" t="s">
        <v>18</v>
      </c>
      <c r="K433" s="47" t="s">
        <v>5979</v>
      </c>
      <c r="L433" s="47"/>
      <c r="M433" s="49" t="s">
        <v>4799</v>
      </c>
    </row>
    <row r="434" spans="1:13">
      <c r="A434" s="48">
        <f t="shared" si="6"/>
        <v>433</v>
      </c>
      <c r="B434" s="47" t="s">
        <v>8</v>
      </c>
      <c r="C434" s="47" t="s">
        <v>5974</v>
      </c>
      <c r="D434" s="47" t="s">
        <v>6084</v>
      </c>
      <c r="E434" s="47"/>
      <c r="F434" s="47" t="s">
        <v>6029</v>
      </c>
      <c r="G434" s="47" t="s">
        <v>13</v>
      </c>
      <c r="H434" s="47" t="str">
        <f>IFERROR(VLOOKUP(Table2[[#This Row], [Ticket]],Okey!A:B,2,0),"")</f>
        <v>ok</v>
      </c>
      <c r="I434" s="47" t="s">
        <v>5290</v>
      </c>
      <c r="J434" s="47" t="s">
        <v>18</v>
      </c>
      <c r="K434" s="47" t="s">
        <v>5979</v>
      </c>
      <c r="L434" s="47"/>
      <c r="M434" s="49" t="s">
        <v>4799</v>
      </c>
    </row>
    <row r="435" spans="1:13">
      <c r="A435" s="48">
        <f t="shared" si="6"/>
        <v>434</v>
      </c>
      <c r="B435" s="47" t="s">
        <v>8</v>
      </c>
      <c r="C435" s="47" t="s">
        <v>5974</v>
      </c>
      <c r="D435" s="47" t="s">
        <v>6085</v>
      </c>
      <c r="E435" s="47"/>
      <c r="F435" s="47" t="s">
        <v>6029</v>
      </c>
      <c r="G435" s="47" t="s">
        <v>13</v>
      </c>
      <c r="H435" s="47" t="str">
        <f>IFERROR(VLOOKUP(Table2[[#This Row], [Ticket]],Okey!A:B,2,0),"")</f>
        <v>ok</v>
      </c>
      <c r="I435" s="47" t="s">
        <v>5290</v>
      </c>
      <c r="J435" s="47" t="s">
        <v>18</v>
      </c>
      <c r="K435" s="47" t="s">
        <v>5979</v>
      </c>
      <c r="L435" s="47"/>
      <c r="M435" s="49" t="s">
        <v>4799</v>
      </c>
    </row>
    <row r="436" spans="1:13">
      <c r="A436" s="48">
        <f t="shared" si="6"/>
        <v>435</v>
      </c>
      <c r="B436" s="47" t="s">
        <v>8</v>
      </c>
      <c r="C436" s="47" t="s">
        <v>5974</v>
      </c>
      <c r="D436" s="47" t="s">
        <v>6086</v>
      </c>
      <c r="E436" s="47"/>
      <c r="F436" s="47" t="s">
        <v>6029</v>
      </c>
      <c r="G436" s="47" t="s">
        <v>13</v>
      </c>
      <c r="H436" s="47" t="str">
        <f>IFERROR(VLOOKUP(Table2[[#This Row], [Ticket]],Okey!A:B,2,0),"")</f>
        <v>ok</v>
      </c>
      <c r="I436" s="47" t="s">
        <v>5290</v>
      </c>
      <c r="J436" s="47" t="s">
        <v>18</v>
      </c>
      <c r="K436" s="47" t="s">
        <v>5979</v>
      </c>
      <c r="L436" s="47"/>
      <c r="M436" s="49" t="s">
        <v>4799</v>
      </c>
    </row>
    <row r="437" spans="1:13">
      <c r="A437" s="48">
        <f t="shared" si="6"/>
        <v>436</v>
      </c>
      <c r="B437" s="47" t="s">
        <v>8</v>
      </c>
      <c r="C437" s="47" t="s">
        <v>5974</v>
      </c>
      <c r="D437" s="47" t="s">
        <v>6087</v>
      </c>
      <c r="E437" s="47"/>
      <c r="F437" s="47" t="s">
        <v>6029</v>
      </c>
      <c r="G437" s="47" t="s">
        <v>13</v>
      </c>
      <c r="H437" s="47" t="str">
        <f>IFERROR(VLOOKUP(Table2[[#This Row], [Ticket]],Okey!A:B,2,0),"")</f>
        <v>ok</v>
      </c>
      <c r="I437" s="47" t="s">
        <v>5290</v>
      </c>
      <c r="J437" s="47" t="s">
        <v>18</v>
      </c>
      <c r="K437" s="47" t="s">
        <v>5979</v>
      </c>
      <c r="L437" s="47"/>
      <c r="M437" s="49" t="s">
        <v>4799</v>
      </c>
    </row>
    <row r="438" spans="1:13">
      <c r="A438" s="48">
        <f t="shared" si="6"/>
        <v>437</v>
      </c>
      <c r="B438" s="47" t="s">
        <v>8</v>
      </c>
      <c r="C438" s="47" t="s">
        <v>5974</v>
      </c>
      <c r="D438" s="47" t="s">
        <v>6088</v>
      </c>
      <c r="E438" s="47"/>
      <c r="F438" s="47" t="s">
        <v>6029</v>
      </c>
      <c r="G438" s="47" t="s">
        <v>13</v>
      </c>
      <c r="H438" s="47" t="str">
        <f>IFERROR(VLOOKUP(Table2[[#This Row], [Ticket]],Okey!A:B,2,0),"")</f>
        <v>ok</v>
      </c>
      <c r="I438" s="47" t="s">
        <v>5290</v>
      </c>
      <c r="J438" s="47" t="s">
        <v>18</v>
      </c>
      <c r="K438" s="47" t="s">
        <v>5979</v>
      </c>
      <c r="L438" s="47"/>
      <c r="M438" s="49" t="s">
        <v>4799</v>
      </c>
    </row>
    <row r="439" spans="1:13">
      <c r="A439" s="48">
        <f t="shared" si="6"/>
        <v>438</v>
      </c>
      <c r="B439" s="47" t="s">
        <v>8</v>
      </c>
      <c r="C439" s="47" t="s">
        <v>5974</v>
      </c>
      <c r="D439" s="47" t="s">
        <v>6089</v>
      </c>
      <c r="E439" s="47"/>
      <c r="F439" s="47" t="s">
        <v>6029</v>
      </c>
      <c r="G439" s="47" t="s">
        <v>13</v>
      </c>
      <c r="H439" s="47" t="str">
        <f>IFERROR(VLOOKUP(Table2[[#This Row], [Ticket]],Okey!A:B,2,0),"")</f>
        <v>ok</v>
      </c>
      <c r="I439" s="47" t="s">
        <v>5290</v>
      </c>
      <c r="J439" s="47" t="s">
        <v>18</v>
      </c>
      <c r="K439" s="47" t="s">
        <v>5979</v>
      </c>
      <c r="L439" s="47"/>
      <c r="M439" s="49" t="s">
        <v>4799</v>
      </c>
    </row>
    <row r="440" spans="1:13">
      <c r="A440" s="48">
        <f t="shared" si="6"/>
        <v>439</v>
      </c>
      <c r="B440" s="47" t="s">
        <v>8</v>
      </c>
      <c r="C440" s="47" t="s">
        <v>5974</v>
      </c>
      <c r="D440" s="47" t="s">
        <v>6090</v>
      </c>
      <c r="E440" s="47"/>
      <c r="F440" s="47" t="s">
        <v>6029</v>
      </c>
      <c r="G440" s="47" t="s">
        <v>13</v>
      </c>
      <c r="H440" s="47" t="str">
        <f>IFERROR(VLOOKUP(Table2[[#This Row], [Ticket]],Okey!A:B,2,0),"")</f>
        <v>ok</v>
      </c>
      <c r="I440" s="47" t="s">
        <v>5290</v>
      </c>
      <c r="J440" s="47" t="s">
        <v>18</v>
      </c>
      <c r="K440" s="47" t="s">
        <v>5979</v>
      </c>
      <c r="L440" s="47"/>
      <c r="M440" s="49" t="s">
        <v>4799</v>
      </c>
    </row>
    <row r="441" spans="1:13">
      <c r="A441" s="48">
        <f t="shared" si="6"/>
        <v>440</v>
      </c>
      <c r="B441" s="47" t="s">
        <v>8</v>
      </c>
      <c r="C441" s="47" t="s">
        <v>5974</v>
      </c>
      <c r="D441" s="47" t="s">
        <v>6091</v>
      </c>
      <c r="E441" s="47"/>
      <c r="F441" s="47" t="s">
        <v>6029</v>
      </c>
      <c r="G441" s="47" t="s">
        <v>13</v>
      </c>
      <c r="H441" s="47" t="str">
        <f>IFERROR(VLOOKUP(Table2[[#This Row], [Ticket]],Okey!A:B,2,0),"")</f>
        <v>ok</v>
      </c>
      <c r="I441" s="47" t="s">
        <v>5290</v>
      </c>
      <c r="J441" s="47" t="s">
        <v>18</v>
      </c>
      <c r="K441" s="47" t="s">
        <v>5979</v>
      </c>
      <c r="L441" s="47"/>
      <c r="M441" s="49" t="s">
        <v>4799</v>
      </c>
    </row>
    <row r="442" spans="1:13">
      <c r="A442" s="48">
        <f t="shared" si="6"/>
        <v>441</v>
      </c>
      <c r="B442" s="47" t="s">
        <v>8</v>
      </c>
      <c r="C442" s="47" t="s">
        <v>5974</v>
      </c>
      <c r="D442" s="47" t="s">
        <v>6092</v>
      </c>
      <c r="E442" s="47"/>
      <c r="F442" s="47" t="s">
        <v>6029</v>
      </c>
      <c r="G442" s="47" t="s">
        <v>13</v>
      </c>
      <c r="H442" s="47" t="str">
        <f>IFERROR(VLOOKUP(Table2[[#This Row], [Ticket]],Okey!A:B,2,0),"")</f>
        <v>ok</v>
      </c>
      <c r="I442" s="47" t="s">
        <v>5290</v>
      </c>
      <c r="J442" s="47" t="s">
        <v>18</v>
      </c>
      <c r="K442" s="47" t="s">
        <v>5979</v>
      </c>
      <c r="L442" s="47"/>
      <c r="M442" s="49" t="s">
        <v>4799</v>
      </c>
    </row>
    <row r="443" spans="1:13">
      <c r="A443" s="48">
        <f t="shared" si="6"/>
        <v>442</v>
      </c>
      <c r="B443" s="47" t="s">
        <v>8</v>
      </c>
      <c r="C443" s="47" t="s">
        <v>6093</v>
      </c>
      <c r="D443" s="47" t="s">
        <v>5039</v>
      </c>
      <c r="E443" s="47" t="s">
        <v>5040</v>
      </c>
      <c r="F443" s="47"/>
      <c r="G443" s="47" t="s">
        <v>15</v>
      </c>
      <c r="H443" s="47" t="str">
        <f>IFERROR(VLOOKUP(Table2[[#This Row], [Ticket]],Okey!A:B,2,0),"")</f>
        <v>ok</v>
      </c>
      <c r="I443" s="47" t="s">
        <v>5290</v>
      </c>
      <c r="J443" s="47" t="s">
        <v>17</v>
      </c>
      <c r="K443" s="47" t="s">
        <v>5969</v>
      </c>
      <c r="L443" s="47"/>
      <c r="M443" s="49" t="s">
        <v>4778</v>
      </c>
    </row>
    <row r="444" spans="1:13">
      <c r="A444" s="48">
        <f t="shared" si="6"/>
        <v>443</v>
      </c>
      <c r="B444" s="47" t="s">
        <v>8</v>
      </c>
      <c r="C444" s="47" t="s">
        <v>6093</v>
      </c>
      <c r="D444" s="47" t="s">
        <v>5041</v>
      </c>
      <c r="E444" s="47" t="s">
        <v>5042</v>
      </c>
      <c r="F444" s="47"/>
      <c r="G444" s="47" t="s">
        <v>15</v>
      </c>
      <c r="H444" s="47" t="str">
        <f>IFERROR(VLOOKUP(Table2[[#This Row], [Ticket]],Okey!A:B,2,0),"")</f>
        <v>ok</v>
      </c>
      <c r="I444" s="47" t="s">
        <v>5290</v>
      </c>
      <c r="J444" s="47" t="s">
        <v>17</v>
      </c>
      <c r="K444" s="47" t="s">
        <v>5969</v>
      </c>
      <c r="L444" s="47"/>
      <c r="M444" s="49" t="s">
        <v>4778</v>
      </c>
    </row>
    <row r="445" spans="1:13">
      <c r="A445" s="48">
        <f t="shared" si="6"/>
        <v>444</v>
      </c>
      <c r="B445" s="47" t="s">
        <v>8</v>
      </c>
      <c r="C445" s="47" t="s">
        <v>6093</v>
      </c>
      <c r="D445" s="47" t="s">
        <v>5043</v>
      </c>
      <c r="E445" s="47" t="s">
        <v>5044</v>
      </c>
      <c r="F445" s="47"/>
      <c r="G445" s="47" t="s">
        <v>15</v>
      </c>
      <c r="H445" s="47" t="str">
        <f>IFERROR(VLOOKUP(Table2[[#This Row], [Ticket]],Okey!A:B,2,0),"")</f>
        <v>ok</v>
      </c>
      <c r="I445" s="47" t="s">
        <v>5290</v>
      </c>
      <c r="J445" s="47" t="s">
        <v>17</v>
      </c>
      <c r="K445" s="47" t="s">
        <v>5969</v>
      </c>
      <c r="L445" s="47"/>
      <c r="M445" s="49" t="s">
        <v>4778</v>
      </c>
    </row>
    <row r="446" spans="1:13">
      <c r="A446" s="48">
        <f t="shared" si="6"/>
        <v>445</v>
      </c>
      <c r="B446" s="47" t="s">
        <v>8</v>
      </c>
      <c r="C446" s="47" t="s">
        <v>6093</v>
      </c>
      <c r="D446" s="47" t="s">
        <v>5045</v>
      </c>
      <c r="E446" s="47" t="s">
        <v>5046</v>
      </c>
      <c r="F446" s="47"/>
      <c r="G446" s="47" t="s">
        <v>15</v>
      </c>
      <c r="H446" s="47" t="str">
        <f>IFERROR(VLOOKUP(Table2[[#This Row], [Ticket]],Okey!A:B,2,0),"")</f>
        <v>ok</v>
      </c>
      <c r="I446" s="47" t="s">
        <v>5290</v>
      </c>
      <c r="J446" s="47" t="s">
        <v>17</v>
      </c>
      <c r="K446" s="47" t="s">
        <v>5969</v>
      </c>
      <c r="L446" s="47"/>
      <c r="M446" s="49" t="s">
        <v>4778</v>
      </c>
    </row>
    <row r="447" spans="1:13">
      <c r="A447" s="48">
        <f t="shared" si="6"/>
        <v>446</v>
      </c>
      <c r="B447" s="47" t="s">
        <v>8</v>
      </c>
      <c r="C447" s="47" t="s">
        <v>6093</v>
      </c>
      <c r="D447" s="47" t="s">
        <v>5047</v>
      </c>
      <c r="E447" s="47" t="s">
        <v>5048</v>
      </c>
      <c r="F447" s="47"/>
      <c r="G447" s="47" t="s">
        <v>15</v>
      </c>
      <c r="H447" s="47" t="str">
        <f>IFERROR(VLOOKUP(Table2[[#This Row], [Ticket]],Okey!A:B,2,0),"")</f>
        <v>ok</v>
      </c>
      <c r="I447" s="47" t="s">
        <v>5290</v>
      </c>
      <c r="J447" s="47" t="s">
        <v>17</v>
      </c>
      <c r="K447" s="47" t="s">
        <v>5969</v>
      </c>
      <c r="L447" s="47"/>
      <c r="M447" s="49" t="s">
        <v>4778</v>
      </c>
    </row>
    <row r="448" spans="1:13">
      <c r="A448" s="48">
        <f t="shared" si="6"/>
        <v>447</v>
      </c>
      <c r="B448" s="47" t="s">
        <v>8</v>
      </c>
      <c r="C448" s="47" t="s">
        <v>6093</v>
      </c>
      <c r="D448" s="47" t="s">
        <v>5049</v>
      </c>
      <c r="E448" s="47" t="s">
        <v>5050</v>
      </c>
      <c r="F448" s="47"/>
      <c r="G448" s="47" t="s">
        <v>15</v>
      </c>
      <c r="H448" s="47" t="str">
        <f>IFERROR(VLOOKUP(Table2[[#This Row], [Ticket]],Okey!A:B,2,0),"")</f>
        <v>ok</v>
      </c>
      <c r="I448" s="47" t="s">
        <v>5290</v>
      </c>
      <c r="J448" s="47" t="s">
        <v>17</v>
      </c>
      <c r="K448" s="47" t="s">
        <v>5969</v>
      </c>
      <c r="L448" s="47"/>
      <c r="M448" s="49" t="s">
        <v>4778</v>
      </c>
    </row>
    <row r="449" spans="1:13">
      <c r="A449" s="48">
        <f t="shared" si="6"/>
        <v>448</v>
      </c>
      <c r="B449" s="47" t="s">
        <v>8</v>
      </c>
      <c r="C449" s="47" t="s">
        <v>6093</v>
      </c>
      <c r="D449" s="47" t="s">
        <v>5051</v>
      </c>
      <c r="E449" s="47" t="s">
        <v>5052</v>
      </c>
      <c r="F449" s="47"/>
      <c r="G449" s="47" t="s">
        <v>15</v>
      </c>
      <c r="H449" s="47" t="str">
        <f>IFERROR(VLOOKUP(Table2[[#This Row], [Ticket]],Okey!A:B,2,0),"")</f>
        <v>ok</v>
      </c>
      <c r="I449" s="47" t="s">
        <v>5290</v>
      </c>
      <c r="J449" s="47" t="s">
        <v>17</v>
      </c>
      <c r="K449" s="47" t="s">
        <v>5969</v>
      </c>
      <c r="L449" s="47"/>
      <c r="M449" s="49" t="s">
        <v>4778</v>
      </c>
    </row>
    <row r="450" spans="1:13">
      <c r="A450" s="48">
        <f t="shared" si="6"/>
        <v>449</v>
      </c>
      <c r="B450" s="47" t="s">
        <v>8</v>
      </c>
      <c r="C450" s="47" t="s">
        <v>6093</v>
      </c>
      <c r="D450" s="47" t="s">
        <v>5053</v>
      </c>
      <c r="E450" s="47" t="s">
        <v>5054</v>
      </c>
      <c r="F450" s="47"/>
      <c r="G450" s="47" t="s">
        <v>15</v>
      </c>
      <c r="H450" s="47" t="str">
        <f>IFERROR(VLOOKUP(Table2[[#This Row], [Ticket]],Okey!A:B,2,0),"")</f>
        <v>ok</v>
      </c>
      <c r="I450" s="47" t="s">
        <v>5290</v>
      </c>
      <c r="J450" s="47" t="s">
        <v>17</v>
      </c>
      <c r="K450" s="47" t="s">
        <v>5969</v>
      </c>
      <c r="L450" s="47"/>
      <c r="M450" s="49" t="s">
        <v>4778</v>
      </c>
    </row>
    <row r="451" spans="1:13">
      <c r="A451" s="48">
        <f t="shared" ref="A451:A514" si="7">1+A450</f>
        <v>450</v>
      </c>
      <c r="B451" s="47" t="s">
        <v>8</v>
      </c>
      <c r="C451" s="47" t="s">
        <v>6093</v>
      </c>
      <c r="D451" s="47" t="s">
        <v>5055</v>
      </c>
      <c r="E451" s="47" t="s">
        <v>5056</v>
      </c>
      <c r="F451" s="47"/>
      <c r="G451" s="47" t="s">
        <v>15</v>
      </c>
      <c r="H451" s="47" t="str">
        <f>IFERROR(VLOOKUP(Table2[[#This Row], [Ticket]],Okey!A:B,2,0),"")</f>
        <v>ok</v>
      </c>
      <c r="I451" s="47" t="s">
        <v>5290</v>
      </c>
      <c r="J451" s="47" t="s">
        <v>17</v>
      </c>
      <c r="K451" s="47" t="s">
        <v>5969</v>
      </c>
      <c r="L451" s="47"/>
      <c r="M451" s="49" t="s">
        <v>4778</v>
      </c>
    </row>
    <row r="452" spans="1:13">
      <c r="A452" s="48">
        <f t="shared" si="7"/>
        <v>451</v>
      </c>
      <c r="B452" s="47" t="s">
        <v>8</v>
      </c>
      <c r="C452" s="47" t="s">
        <v>6093</v>
      </c>
      <c r="D452" s="47" t="s">
        <v>5057</v>
      </c>
      <c r="E452" s="47" t="s">
        <v>5058</v>
      </c>
      <c r="F452" s="47"/>
      <c r="G452" s="47" t="s">
        <v>15</v>
      </c>
      <c r="H452" s="47" t="str">
        <f>IFERROR(VLOOKUP(Table2[[#This Row], [Ticket]],Okey!A:B,2,0),"")</f>
        <v>ok</v>
      </c>
      <c r="I452" s="47" t="s">
        <v>5290</v>
      </c>
      <c r="J452" s="47" t="s">
        <v>17</v>
      </c>
      <c r="K452" s="47" t="s">
        <v>5969</v>
      </c>
      <c r="L452" s="47"/>
      <c r="M452" s="49" t="s">
        <v>4778</v>
      </c>
    </row>
    <row r="453" spans="1:13">
      <c r="A453" s="48">
        <f t="shared" si="7"/>
        <v>452</v>
      </c>
      <c r="B453" s="47" t="s">
        <v>8</v>
      </c>
      <c r="C453" s="47" t="s">
        <v>6093</v>
      </c>
      <c r="D453" s="47" t="s">
        <v>5059</v>
      </c>
      <c r="E453" s="47" t="s">
        <v>5060</v>
      </c>
      <c r="F453" s="47"/>
      <c r="G453" s="47" t="s">
        <v>15</v>
      </c>
      <c r="H453" s="47" t="str">
        <f>IFERROR(VLOOKUP(Table2[[#This Row], [Ticket]],Okey!A:B,2,0),"")</f>
        <v>ok</v>
      </c>
      <c r="I453" s="47" t="s">
        <v>5290</v>
      </c>
      <c r="J453" s="47" t="s">
        <v>17</v>
      </c>
      <c r="K453" s="47" t="s">
        <v>5969</v>
      </c>
      <c r="L453" s="47"/>
      <c r="M453" s="49" t="s">
        <v>4778</v>
      </c>
    </row>
    <row r="454" spans="1:13">
      <c r="A454" s="48">
        <f t="shared" si="7"/>
        <v>453</v>
      </c>
      <c r="B454" s="47" t="s">
        <v>8</v>
      </c>
      <c r="C454" s="47" t="s">
        <v>6093</v>
      </c>
      <c r="D454" s="47" t="s">
        <v>5061</v>
      </c>
      <c r="E454" s="47" t="s">
        <v>5062</v>
      </c>
      <c r="F454" s="47"/>
      <c r="G454" s="47" t="s">
        <v>15</v>
      </c>
      <c r="H454" s="47" t="str">
        <f>IFERROR(VLOOKUP(Table2[[#This Row], [Ticket]],Okey!A:B,2,0),"")</f>
        <v>ok</v>
      </c>
      <c r="I454" s="47" t="s">
        <v>5290</v>
      </c>
      <c r="J454" s="47" t="s">
        <v>17</v>
      </c>
      <c r="K454" s="47" t="s">
        <v>5969</v>
      </c>
      <c r="L454" s="47"/>
      <c r="M454" s="49" t="s">
        <v>4778</v>
      </c>
    </row>
    <row r="455" spans="1:13">
      <c r="A455" s="48">
        <f t="shared" si="7"/>
        <v>454</v>
      </c>
      <c r="B455" s="47" t="s">
        <v>8</v>
      </c>
      <c r="C455" s="47" t="s">
        <v>6093</v>
      </c>
      <c r="D455" s="47" t="s">
        <v>5063</v>
      </c>
      <c r="E455" s="47" t="s">
        <v>5064</v>
      </c>
      <c r="F455" s="47"/>
      <c r="G455" s="47" t="s">
        <v>15</v>
      </c>
      <c r="H455" s="47" t="str">
        <f>IFERROR(VLOOKUP(Table2[[#This Row], [Ticket]],Okey!A:B,2,0),"")</f>
        <v>ok</v>
      </c>
      <c r="I455" s="47" t="s">
        <v>5290</v>
      </c>
      <c r="J455" s="47" t="s">
        <v>17</v>
      </c>
      <c r="K455" s="47" t="s">
        <v>5969</v>
      </c>
      <c r="L455" s="47"/>
      <c r="M455" s="49" t="s">
        <v>4778</v>
      </c>
    </row>
    <row r="456" spans="1:13">
      <c r="A456" s="48">
        <f t="shared" si="7"/>
        <v>455</v>
      </c>
      <c r="B456" s="47" t="s">
        <v>8</v>
      </c>
      <c r="C456" s="47" t="s">
        <v>6093</v>
      </c>
      <c r="D456" s="47" t="s">
        <v>5065</v>
      </c>
      <c r="E456" s="47" t="s">
        <v>5066</v>
      </c>
      <c r="F456" s="47"/>
      <c r="G456" s="47" t="s">
        <v>15</v>
      </c>
      <c r="H456" s="47" t="str">
        <f>IFERROR(VLOOKUP(Table2[[#This Row], [Ticket]],Okey!A:B,2,0),"")</f>
        <v>ok</v>
      </c>
      <c r="I456" s="47" t="s">
        <v>5290</v>
      </c>
      <c r="J456" s="47" t="s">
        <v>17</v>
      </c>
      <c r="K456" s="47" t="s">
        <v>5969</v>
      </c>
      <c r="L456" s="47"/>
      <c r="M456" s="49" t="s">
        <v>4778</v>
      </c>
    </row>
    <row r="457" spans="1:13">
      <c r="A457" s="48">
        <f t="shared" si="7"/>
        <v>456</v>
      </c>
      <c r="B457" s="47" t="s">
        <v>8</v>
      </c>
      <c r="C457" s="47" t="s">
        <v>6093</v>
      </c>
      <c r="D457" s="47" t="s">
        <v>5067</v>
      </c>
      <c r="E457" s="47" t="s">
        <v>5068</v>
      </c>
      <c r="F457" s="47"/>
      <c r="G457" s="47" t="s">
        <v>15</v>
      </c>
      <c r="H457" s="47" t="str">
        <f>IFERROR(VLOOKUP(Table2[[#This Row], [Ticket]],Okey!A:B,2,0),"")</f>
        <v>ok</v>
      </c>
      <c r="I457" s="47" t="s">
        <v>5290</v>
      </c>
      <c r="J457" s="47" t="s">
        <v>17</v>
      </c>
      <c r="K457" s="47" t="s">
        <v>5969</v>
      </c>
      <c r="L457" s="47"/>
      <c r="M457" s="49" t="s">
        <v>4778</v>
      </c>
    </row>
    <row r="458" spans="1:13">
      <c r="A458" s="48">
        <f t="shared" si="7"/>
        <v>457</v>
      </c>
      <c r="B458" s="47" t="s">
        <v>8</v>
      </c>
      <c r="C458" s="47" t="s">
        <v>6093</v>
      </c>
      <c r="D458" s="47" t="s">
        <v>5069</v>
      </c>
      <c r="E458" s="47" t="s">
        <v>5070</v>
      </c>
      <c r="F458" s="47"/>
      <c r="G458" s="47" t="s">
        <v>15</v>
      </c>
      <c r="H458" s="47" t="str">
        <f>IFERROR(VLOOKUP(Table2[[#This Row], [Ticket]],Okey!A:B,2,0),"")</f>
        <v>ok</v>
      </c>
      <c r="I458" s="47" t="s">
        <v>5290</v>
      </c>
      <c r="J458" s="47" t="s">
        <v>17</v>
      </c>
      <c r="K458" s="47" t="s">
        <v>5969</v>
      </c>
      <c r="L458" s="47"/>
      <c r="M458" s="49" t="s">
        <v>4778</v>
      </c>
    </row>
    <row r="459" spans="1:13">
      <c r="A459" s="48">
        <f t="shared" si="7"/>
        <v>458</v>
      </c>
      <c r="B459" s="47" t="s">
        <v>8</v>
      </c>
      <c r="C459" s="47" t="s">
        <v>6093</v>
      </c>
      <c r="D459" s="47" t="s">
        <v>5071</v>
      </c>
      <c r="E459" s="47" t="s">
        <v>5072</v>
      </c>
      <c r="F459" s="47"/>
      <c r="G459" s="47" t="s">
        <v>15</v>
      </c>
      <c r="H459" s="47" t="str">
        <f>IFERROR(VLOOKUP(Table2[[#This Row], [Ticket]],Okey!A:B,2,0),"")</f>
        <v>ok</v>
      </c>
      <c r="I459" s="47" t="s">
        <v>5290</v>
      </c>
      <c r="J459" s="47" t="s">
        <v>17</v>
      </c>
      <c r="K459" s="47" t="s">
        <v>5969</v>
      </c>
      <c r="L459" s="47"/>
      <c r="M459" s="49" t="s">
        <v>4778</v>
      </c>
    </row>
    <row r="460" spans="1:13">
      <c r="A460" s="48">
        <f t="shared" si="7"/>
        <v>459</v>
      </c>
      <c r="B460" s="47" t="s">
        <v>8</v>
      </c>
      <c r="C460" s="47" t="s">
        <v>6093</v>
      </c>
      <c r="D460" s="47" t="s">
        <v>5073</v>
      </c>
      <c r="E460" s="47" t="s">
        <v>5074</v>
      </c>
      <c r="F460" s="47"/>
      <c r="G460" s="47" t="s">
        <v>15</v>
      </c>
      <c r="H460" s="47" t="str">
        <f>IFERROR(VLOOKUP(Table2[[#This Row], [Ticket]],Okey!A:B,2,0),"")</f>
        <v>ok</v>
      </c>
      <c r="I460" s="47" t="s">
        <v>5290</v>
      </c>
      <c r="J460" s="47" t="s">
        <v>17</v>
      </c>
      <c r="K460" s="47" t="s">
        <v>5969</v>
      </c>
      <c r="L460" s="47"/>
      <c r="M460" s="49" t="s">
        <v>4778</v>
      </c>
    </row>
    <row r="461" spans="1:13">
      <c r="A461" s="48">
        <f t="shared" si="7"/>
        <v>460</v>
      </c>
      <c r="B461" s="47" t="s">
        <v>8</v>
      </c>
      <c r="C461" s="47" t="s">
        <v>6093</v>
      </c>
      <c r="D461" s="47" t="s">
        <v>5075</v>
      </c>
      <c r="E461" s="47" t="s">
        <v>5076</v>
      </c>
      <c r="F461" s="47"/>
      <c r="G461" s="47" t="s">
        <v>15</v>
      </c>
      <c r="H461" s="47" t="str">
        <f>IFERROR(VLOOKUP(Table2[[#This Row], [Ticket]],Okey!A:B,2,0),"")</f>
        <v>ok</v>
      </c>
      <c r="I461" s="47" t="s">
        <v>5290</v>
      </c>
      <c r="J461" s="47" t="s">
        <v>17</v>
      </c>
      <c r="K461" s="47" t="s">
        <v>5969</v>
      </c>
      <c r="L461" s="47"/>
      <c r="M461" s="49" t="s">
        <v>4778</v>
      </c>
    </row>
    <row r="462" spans="1:13">
      <c r="A462" s="48">
        <f t="shared" si="7"/>
        <v>461</v>
      </c>
      <c r="B462" s="47" t="s">
        <v>8</v>
      </c>
      <c r="C462" s="47" t="s">
        <v>6093</v>
      </c>
      <c r="D462" s="47" t="s">
        <v>5077</v>
      </c>
      <c r="E462" s="47" t="s">
        <v>5078</v>
      </c>
      <c r="F462" s="47"/>
      <c r="G462" s="47" t="s">
        <v>15</v>
      </c>
      <c r="H462" s="47" t="str">
        <f>IFERROR(VLOOKUP(Table2[[#This Row], [Ticket]],Okey!A:B,2,0),"")</f>
        <v>ok</v>
      </c>
      <c r="I462" s="47" t="s">
        <v>5290</v>
      </c>
      <c r="J462" s="47" t="s">
        <v>17</v>
      </c>
      <c r="K462" s="47" t="s">
        <v>5969</v>
      </c>
      <c r="L462" s="47"/>
      <c r="M462" s="49" t="s">
        <v>4778</v>
      </c>
    </row>
    <row r="463" spans="1:13">
      <c r="A463" s="48">
        <f t="shared" si="7"/>
        <v>462</v>
      </c>
      <c r="B463" s="47" t="s">
        <v>8</v>
      </c>
      <c r="C463" s="47" t="s">
        <v>6093</v>
      </c>
      <c r="D463" s="47" t="s">
        <v>5079</v>
      </c>
      <c r="E463" s="47" t="s">
        <v>5080</v>
      </c>
      <c r="F463" s="47"/>
      <c r="G463" s="47" t="s">
        <v>15</v>
      </c>
      <c r="H463" s="47" t="str">
        <f>IFERROR(VLOOKUP(Table2[[#This Row], [Ticket]],Okey!A:B,2,0),"")</f>
        <v>ok</v>
      </c>
      <c r="I463" s="47" t="s">
        <v>5290</v>
      </c>
      <c r="J463" s="47" t="s">
        <v>17</v>
      </c>
      <c r="K463" s="47" t="s">
        <v>5969</v>
      </c>
      <c r="L463" s="47"/>
      <c r="M463" s="49" t="s">
        <v>4778</v>
      </c>
    </row>
    <row r="464" spans="1:13">
      <c r="A464" s="48">
        <f t="shared" si="7"/>
        <v>463</v>
      </c>
      <c r="B464" s="47" t="s">
        <v>8</v>
      </c>
      <c r="C464" s="47" t="s">
        <v>6093</v>
      </c>
      <c r="D464" s="47" t="s">
        <v>5081</v>
      </c>
      <c r="E464" s="47" t="s">
        <v>5082</v>
      </c>
      <c r="F464" s="47"/>
      <c r="G464" s="47" t="s">
        <v>15</v>
      </c>
      <c r="H464" s="47" t="str">
        <f>IFERROR(VLOOKUP(Table2[[#This Row], [Ticket]],Okey!A:B,2,0),"")</f>
        <v>ok</v>
      </c>
      <c r="I464" s="47" t="s">
        <v>5290</v>
      </c>
      <c r="J464" s="47" t="s">
        <v>17</v>
      </c>
      <c r="K464" s="47" t="s">
        <v>5969</v>
      </c>
      <c r="L464" s="47"/>
      <c r="M464" s="49" t="s">
        <v>4778</v>
      </c>
    </row>
    <row r="465" spans="1:13">
      <c r="A465" s="48">
        <f t="shared" si="7"/>
        <v>464</v>
      </c>
      <c r="B465" s="47" t="s">
        <v>8</v>
      </c>
      <c r="C465" s="47" t="s">
        <v>6093</v>
      </c>
      <c r="D465" s="47" t="s">
        <v>5083</v>
      </c>
      <c r="E465" s="47" t="s">
        <v>5084</v>
      </c>
      <c r="F465" s="47"/>
      <c r="G465" s="47" t="s">
        <v>15</v>
      </c>
      <c r="H465" s="47" t="str">
        <f>IFERROR(VLOOKUP(Table2[[#This Row], [Ticket]],Okey!A:B,2,0),"")</f>
        <v>ok</v>
      </c>
      <c r="I465" s="47" t="s">
        <v>5290</v>
      </c>
      <c r="J465" s="47" t="s">
        <v>17</v>
      </c>
      <c r="K465" s="47" t="s">
        <v>5969</v>
      </c>
      <c r="L465" s="47"/>
      <c r="M465" s="49" t="s">
        <v>4778</v>
      </c>
    </row>
    <row r="466" spans="1:13">
      <c r="A466" s="48">
        <f t="shared" si="7"/>
        <v>465</v>
      </c>
      <c r="B466" s="47" t="s">
        <v>8</v>
      </c>
      <c r="C466" s="47" t="s">
        <v>6093</v>
      </c>
      <c r="D466" s="47" t="s">
        <v>5085</v>
      </c>
      <c r="E466" s="47" t="s">
        <v>5086</v>
      </c>
      <c r="F466" s="47"/>
      <c r="G466" s="47" t="s">
        <v>15</v>
      </c>
      <c r="H466" s="47" t="str">
        <f>IFERROR(VLOOKUP(Table2[[#This Row], [Ticket]],Okey!A:B,2,0),"")</f>
        <v>ok</v>
      </c>
      <c r="I466" s="47" t="s">
        <v>5290</v>
      </c>
      <c r="J466" s="47" t="s">
        <v>17</v>
      </c>
      <c r="K466" s="47" t="s">
        <v>5969</v>
      </c>
      <c r="L466" s="47"/>
      <c r="M466" s="49" t="s">
        <v>4778</v>
      </c>
    </row>
    <row r="467" spans="1:13">
      <c r="A467" s="48">
        <f t="shared" si="7"/>
        <v>466</v>
      </c>
      <c r="B467" s="47" t="s">
        <v>8</v>
      </c>
      <c r="C467" s="47" t="s">
        <v>6093</v>
      </c>
      <c r="D467" s="47" t="s">
        <v>5087</v>
      </c>
      <c r="E467" s="47" t="s">
        <v>5088</v>
      </c>
      <c r="F467" s="47"/>
      <c r="G467" s="47" t="s">
        <v>15</v>
      </c>
      <c r="H467" s="47" t="str">
        <f>IFERROR(VLOOKUP(Table2[[#This Row], [Ticket]],Okey!A:B,2,0),"")</f>
        <v>ok</v>
      </c>
      <c r="I467" s="47" t="s">
        <v>5290</v>
      </c>
      <c r="J467" s="47" t="s">
        <v>17</v>
      </c>
      <c r="K467" s="47" t="s">
        <v>5969</v>
      </c>
      <c r="L467" s="47"/>
      <c r="M467" s="49" t="s">
        <v>4778</v>
      </c>
    </row>
    <row r="468" spans="1:13">
      <c r="A468" s="48">
        <f t="shared" si="7"/>
        <v>467</v>
      </c>
      <c r="B468" s="47" t="s">
        <v>8</v>
      </c>
      <c r="C468" s="47" t="s">
        <v>6093</v>
      </c>
      <c r="D468" s="47" t="s">
        <v>5089</v>
      </c>
      <c r="E468" s="47" t="s">
        <v>5090</v>
      </c>
      <c r="F468" s="47"/>
      <c r="G468" s="47" t="s">
        <v>15</v>
      </c>
      <c r="H468" s="47" t="str">
        <f>IFERROR(VLOOKUP(Table2[[#This Row], [Ticket]],Okey!A:B,2,0),"")</f>
        <v>ok</v>
      </c>
      <c r="I468" s="47" t="s">
        <v>5290</v>
      </c>
      <c r="J468" s="47" t="s">
        <v>17</v>
      </c>
      <c r="K468" s="47" t="s">
        <v>5969</v>
      </c>
      <c r="L468" s="47"/>
      <c r="M468" s="49" t="s">
        <v>4778</v>
      </c>
    </row>
    <row r="469" spans="1:13">
      <c r="A469" s="48">
        <f t="shared" si="7"/>
        <v>468</v>
      </c>
      <c r="B469" s="47" t="s">
        <v>8</v>
      </c>
      <c r="C469" s="47" t="s">
        <v>6093</v>
      </c>
      <c r="D469" s="47" t="s">
        <v>5091</v>
      </c>
      <c r="E469" s="47" t="s">
        <v>5092</v>
      </c>
      <c r="F469" s="47"/>
      <c r="G469" s="47" t="s">
        <v>15</v>
      </c>
      <c r="H469" s="47" t="str">
        <f>IFERROR(VLOOKUP(Table2[[#This Row], [Ticket]],Okey!A:B,2,0),"")</f>
        <v>ok</v>
      </c>
      <c r="I469" s="47" t="s">
        <v>5290</v>
      </c>
      <c r="J469" s="47" t="s">
        <v>17</v>
      </c>
      <c r="K469" s="47" t="s">
        <v>5969</v>
      </c>
      <c r="L469" s="47"/>
      <c r="M469" s="49" t="s">
        <v>4778</v>
      </c>
    </row>
    <row r="470" spans="1:13">
      <c r="A470" s="48">
        <f t="shared" si="7"/>
        <v>469</v>
      </c>
      <c r="B470" s="47" t="s">
        <v>8</v>
      </c>
      <c r="C470" s="47" t="s">
        <v>6093</v>
      </c>
      <c r="D470" s="47" t="s">
        <v>5093</v>
      </c>
      <c r="E470" s="47" t="s">
        <v>5094</v>
      </c>
      <c r="F470" s="47"/>
      <c r="G470" s="47" t="s">
        <v>15</v>
      </c>
      <c r="H470" s="47" t="str">
        <f>IFERROR(VLOOKUP(Table2[[#This Row], [Ticket]],Okey!A:B,2,0),"")</f>
        <v>ok</v>
      </c>
      <c r="I470" s="47" t="s">
        <v>5290</v>
      </c>
      <c r="J470" s="47" t="s">
        <v>17</v>
      </c>
      <c r="K470" s="47" t="s">
        <v>5969</v>
      </c>
      <c r="L470" s="47"/>
      <c r="M470" s="49" t="s">
        <v>4778</v>
      </c>
    </row>
    <row r="471" spans="1:13">
      <c r="A471" s="48">
        <f t="shared" si="7"/>
        <v>470</v>
      </c>
      <c r="B471" s="47" t="s">
        <v>8</v>
      </c>
      <c r="C471" s="47" t="s">
        <v>6093</v>
      </c>
      <c r="D471" s="47" t="s">
        <v>5095</v>
      </c>
      <c r="E471" s="47" t="s">
        <v>5096</v>
      </c>
      <c r="F471" s="47"/>
      <c r="G471" s="47" t="s">
        <v>15</v>
      </c>
      <c r="H471" s="47" t="str">
        <f>IFERROR(VLOOKUP(Table2[[#This Row], [Ticket]],Okey!A:B,2,0),"")</f>
        <v>ok</v>
      </c>
      <c r="I471" s="47" t="s">
        <v>5290</v>
      </c>
      <c r="J471" s="47" t="s">
        <v>17</v>
      </c>
      <c r="K471" s="47" t="s">
        <v>5969</v>
      </c>
      <c r="L471" s="47"/>
      <c r="M471" s="49" t="s">
        <v>4778</v>
      </c>
    </row>
    <row r="472" spans="1:13">
      <c r="A472" s="48">
        <f t="shared" si="7"/>
        <v>471</v>
      </c>
      <c r="B472" s="47" t="s">
        <v>8</v>
      </c>
      <c r="C472" s="47" t="s">
        <v>6093</v>
      </c>
      <c r="D472" s="47" t="s">
        <v>5097</v>
      </c>
      <c r="E472" s="47" t="s">
        <v>5098</v>
      </c>
      <c r="F472" s="47"/>
      <c r="G472" s="47" t="s">
        <v>15</v>
      </c>
      <c r="H472" s="47" t="str">
        <f>IFERROR(VLOOKUP(Table2[[#This Row], [Ticket]],Okey!A:B,2,0),"")</f>
        <v>ok</v>
      </c>
      <c r="I472" s="47" t="s">
        <v>5290</v>
      </c>
      <c r="J472" s="47" t="s">
        <v>17</v>
      </c>
      <c r="K472" s="47" t="s">
        <v>5969</v>
      </c>
      <c r="L472" s="47"/>
      <c r="M472" s="49" t="s">
        <v>4778</v>
      </c>
    </row>
    <row r="473" spans="1:13">
      <c r="A473" s="48">
        <f t="shared" si="7"/>
        <v>472</v>
      </c>
      <c r="B473" s="47" t="s">
        <v>8</v>
      </c>
      <c r="C473" s="47" t="s">
        <v>6093</v>
      </c>
      <c r="D473" s="47" t="s">
        <v>5099</v>
      </c>
      <c r="E473" s="47" t="s">
        <v>5100</v>
      </c>
      <c r="F473" s="47"/>
      <c r="G473" s="47" t="s">
        <v>15</v>
      </c>
      <c r="H473" s="47" t="str">
        <f>IFERROR(VLOOKUP(Table2[[#This Row], [Ticket]],Okey!A:B,2,0),"")</f>
        <v>ok</v>
      </c>
      <c r="I473" s="47" t="s">
        <v>5290</v>
      </c>
      <c r="J473" s="47" t="s">
        <v>17</v>
      </c>
      <c r="K473" s="47" t="s">
        <v>5969</v>
      </c>
      <c r="L473" s="47"/>
      <c r="M473" s="49" t="s">
        <v>4778</v>
      </c>
    </row>
    <row r="474" spans="1:13">
      <c r="A474" s="48">
        <f t="shared" si="7"/>
        <v>473</v>
      </c>
      <c r="B474" s="47" t="s">
        <v>8</v>
      </c>
      <c r="C474" s="47" t="s">
        <v>6093</v>
      </c>
      <c r="D474" s="47" t="s">
        <v>5101</v>
      </c>
      <c r="E474" s="47" t="s">
        <v>5102</v>
      </c>
      <c r="F474" s="47"/>
      <c r="G474" s="47" t="s">
        <v>15</v>
      </c>
      <c r="H474" s="47" t="str">
        <f>IFERROR(VLOOKUP(Table2[[#This Row], [Ticket]],Okey!A:B,2,0),"")</f>
        <v>ok</v>
      </c>
      <c r="I474" s="47" t="s">
        <v>5290</v>
      </c>
      <c r="J474" s="47" t="s">
        <v>17</v>
      </c>
      <c r="K474" s="47" t="s">
        <v>5969</v>
      </c>
      <c r="L474" s="47"/>
      <c r="M474" s="49" t="s">
        <v>4778</v>
      </c>
    </row>
    <row r="475" spans="1:13">
      <c r="A475" s="48">
        <f t="shared" si="7"/>
        <v>474</v>
      </c>
      <c r="B475" s="47" t="s">
        <v>8</v>
      </c>
      <c r="C475" s="47" t="s">
        <v>6093</v>
      </c>
      <c r="D475" s="47" t="s">
        <v>5103</v>
      </c>
      <c r="E475" s="47" t="s">
        <v>5104</v>
      </c>
      <c r="F475" s="47"/>
      <c r="G475" s="47" t="s">
        <v>15</v>
      </c>
      <c r="H475" s="47" t="str">
        <f>IFERROR(VLOOKUP(Table2[[#This Row], [Ticket]],Okey!A:B,2,0),"")</f>
        <v>ok</v>
      </c>
      <c r="I475" s="47" t="s">
        <v>5290</v>
      </c>
      <c r="J475" s="47" t="s">
        <v>17</v>
      </c>
      <c r="K475" s="47" t="s">
        <v>5969</v>
      </c>
      <c r="L475" s="47"/>
      <c r="M475" s="49" t="s">
        <v>4778</v>
      </c>
    </row>
    <row r="476" spans="1:13">
      <c r="A476" s="48">
        <f t="shared" si="7"/>
        <v>475</v>
      </c>
      <c r="B476" s="47" t="s">
        <v>8</v>
      </c>
      <c r="C476" s="47" t="s">
        <v>6093</v>
      </c>
      <c r="D476" s="47" t="s">
        <v>5105</v>
      </c>
      <c r="E476" s="47" t="s">
        <v>5106</v>
      </c>
      <c r="F476" s="47"/>
      <c r="G476" s="47" t="s">
        <v>15</v>
      </c>
      <c r="H476" s="47" t="str">
        <f>IFERROR(VLOOKUP(Table2[[#This Row], [Ticket]],Okey!A:B,2,0),"")</f>
        <v>ok</v>
      </c>
      <c r="I476" s="47" t="s">
        <v>5290</v>
      </c>
      <c r="J476" s="47" t="s">
        <v>17</v>
      </c>
      <c r="K476" s="47" t="s">
        <v>5969</v>
      </c>
      <c r="L476" s="47"/>
      <c r="M476" s="49" t="s">
        <v>4778</v>
      </c>
    </row>
    <row r="477" spans="1:13">
      <c r="A477" s="48">
        <f t="shared" si="7"/>
        <v>476</v>
      </c>
      <c r="B477" s="47" t="s">
        <v>8</v>
      </c>
      <c r="C477" s="47" t="s">
        <v>6093</v>
      </c>
      <c r="D477" s="47" t="s">
        <v>5107</v>
      </c>
      <c r="E477" s="47" t="s">
        <v>5108</v>
      </c>
      <c r="F477" s="47"/>
      <c r="G477" s="47" t="s">
        <v>15</v>
      </c>
      <c r="H477" s="47" t="str">
        <f>IFERROR(VLOOKUP(Table2[[#This Row], [Ticket]],Okey!A:B,2,0),"")</f>
        <v>ok</v>
      </c>
      <c r="I477" s="47" t="s">
        <v>5290</v>
      </c>
      <c r="J477" s="47" t="s">
        <v>17</v>
      </c>
      <c r="K477" s="47" t="s">
        <v>5969</v>
      </c>
      <c r="L477" s="47"/>
      <c r="M477" s="49" t="s">
        <v>4778</v>
      </c>
    </row>
    <row r="478" spans="1:13">
      <c r="A478" s="48">
        <f t="shared" si="7"/>
        <v>477</v>
      </c>
      <c r="B478" s="47" t="s">
        <v>8</v>
      </c>
      <c r="C478" s="47" t="s">
        <v>6093</v>
      </c>
      <c r="D478" s="47" t="s">
        <v>5109</v>
      </c>
      <c r="E478" s="47" t="s">
        <v>5110</v>
      </c>
      <c r="F478" s="47"/>
      <c r="G478" s="47" t="s">
        <v>15</v>
      </c>
      <c r="H478" s="47" t="str">
        <f>IFERROR(VLOOKUP(Table2[[#This Row], [Ticket]],Okey!A:B,2,0),"")</f>
        <v>ok</v>
      </c>
      <c r="I478" s="47" t="s">
        <v>5290</v>
      </c>
      <c r="J478" s="47" t="s">
        <v>17</v>
      </c>
      <c r="K478" s="47" t="s">
        <v>5969</v>
      </c>
      <c r="L478" s="47"/>
      <c r="M478" s="49" t="s">
        <v>4778</v>
      </c>
    </row>
    <row r="479" spans="1:13">
      <c r="A479" s="48">
        <f t="shared" si="7"/>
        <v>478</v>
      </c>
      <c r="B479" s="47" t="s">
        <v>8</v>
      </c>
      <c r="C479" s="47" t="s">
        <v>6093</v>
      </c>
      <c r="D479" s="47" t="s">
        <v>5111</v>
      </c>
      <c r="E479" s="47" t="s">
        <v>5112</v>
      </c>
      <c r="F479" s="47"/>
      <c r="G479" s="47" t="s">
        <v>15</v>
      </c>
      <c r="H479" s="47" t="str">
        <f>IFERROR(VLOOKUP(Table2[[#This Row], [Ticket]],Okey!A:B,2,0),"")</f>
        <v>ok</v>
      </c>
      <c r="I479" s="47" t="s">
        <v>5290</v>
      </c>
      <c r="J479" s="47" t="s">
        <v>17</v>
      </c>
      <c r="K479" s="47" t="s">
        <v>5969</v>
      </c>
      <c r="L479" s="47"/>
      <c r="M479" s="49" t="s">
        <v>4778</v>
      </c>
    </row>
    <row r="480" spans="1:13">
      <c r="A480" s="48">
        <f t="shared" si="7"/>
        <v>479</v>
      </c>
      <c r="B480" s="47" t="s">
        <v>8</v>
      </c>
      <c r="C480" s="47" t="s">
        <v>6093</v>
      </c>
      <c r="D480" s="47" t="s">
        <v>5113</v>
      </c>
      <c r="E480" s="47" t="s">
        <v>5114</v>
      </c>
      <c r="F480" s="47"/>
      <c r="G480" s="47" t="s">
        <v>15</v>
      </c>
      <c r="H480" s="47" t="str">
        <f>IFERROR(VLOOKUP(Table2[[#This Row], [Ticket]],Okey!A:B,2,0),"")</f>
        <v>ok</v>
      </c>
      <c r="I480" s="47" t="s">
        <v>5290</v>
      </c>
      <c r="J480" s="47" t="s">
        <v>17</v>
      </c>
      <c r="K480" s="47" t="s">
        <v>5969</v>
      </c>
      <c r="L480" s="47"/>
      <c r="M480" s="49" t="s">
        <v>4778</v>
      </c>
    </row>
    <row r="481" spans="1:13">
      <c r="A481" s="48">
        <f t="shared" si="7"/>
        <v>480</v>
      </c>
      <c r="B481" s="47" t="s">
        <v>8</v>
      </c>
      <c r="C481" s="47" t="s">
        <v>6093</v>
      </c>
      <c r="D481" s="47" t="s">
        <v>5115</v>
      </c>
      <c r="E481" s="47" t="s">
        <v>5116</v>
      </c>
      <c r="F481" s="47"/>
      <c r="G481" s="47" t="s">
        <v>15</v>
      </c>
      <c r="H481" s="47" t="str">
        <f>IFERROR(VLOOKUP(Table2[[#This Row], [Ticket]],Okey!A:B,2,0),"")</f>
        <v>ok</v>
      </c>
      <c r="I481" s="47" t="s">
        <v>5290</v>
      </c>
      <c r="J481" s="47" t="s">
        <v>17</v>
      </c>
      <c r="K481" s="47" t="s">
        <v>5969</v>
      </c>
      <c r="L481" s="47"/>
      <c r="M481" s="49" t="s">
        <v>4778</v>
      </c>
    </row>
    <row r="482" spans="1:13">
      <c r="A482" s="48">
        <f t="shared" si="7"/>
        <v>481</v>
      </c>
      <c r="B482" s="47" t="s">
        <v>8</v>
      </c>
      <c r="C482" s="47" t="s">
        <v>6093</v>
      </c>
      <c r="D482" s="47" t="s">
        <v>5117</v>
      </c>
      <c r="E482" s="47" t="s">
        <v>5118</v>
      </c>
      <c r="F482" s="47"/>
      <c r="G482" s="47" t="s">
        <v>15</v>
      </c>
      <c r="H482" s="47" t="str">
        <f>IFERROR(VLOOKUP(Table2[[#This Row], [Ticket]],Okey!A:B,2,0),"")</f>
        <v>ok</v>
      </c>
      <c r="I482" s="47" t="s">
        <v>5290</v>
      </c>
      <c r="J482" s="47" t="s">
        <v>17</v>
      </c>
      <c r="K482" s="47" t="s">
        <v>5969</v>
      </c>
      <c r="L482" s="47"/>
      <c r="M482" s="49" t="s">
        <v>4778</v>
      </c>
    </row>
    <row r="483" spans="1:13">
      <c r="A483" s="48">
        <f t="shared" si="7"/>
        <v>482</v>
      </c>
      <c r="B483" s="47" t="s">
        <v>8</v>
      </c>
      <c r="C483" s="47" t="s">
        <v>6093</v>
      </c>
      <c r="D483" s="47" t="s">
        <v>5119</v>
      </c>
      <c r="E483" s="47" t="s">
        <v>5120</v>
      </c>
      <c r="F483" s="47"/>
      <c r="G483" s="47" t="s">
        <v>15</v>
      </c>
      <c r="H483" s="47" t="str">
        <f>IFERROR(VLOOKUP(Table2[[#This Row], [Ticket]],Okey!A:B,2,0),"")</f>
        <v>ok</v>
      </c>
      <c r="I483" s="47" t="s">
        <v>5290</v>
      </c>
      <c r="J483" s="47" t="s">
        <v>17</v>
      </c>
      <c r="K483" s="47" t="s">
        <v>5969</v>
      </c>
      <c r="L483" s="47"/>
      <c r="M483" s="49" t="s">
        <v>4778</v>
      </c>
    </row>
    <row r="484" spans="1:13">
      <c r="A484" s="48">
        <f t="shared" si="7"/>
        <v>483</v>
      </c>
      <c r="B484" s="47" t="s">
        <v>8</v>
      </c>
      <c r="C484" s="47" t="s">
        <v>6093</v>
      </c>
      <c r="D484" s="47" t="s">
        <v>5121</v>
      </c>
      <c r="E484" s="47" t="s">
        <v>5122</v>
      </c>
      <c r="F484" s="47"/>
      <c r="G484" s="47" t="s">
        <v>15</v>
      </c>
      <c r="H484" s="47" t="str">
        <f>IFERROR(VLOOKUP(Table2[[#This Row], [Ticket]],Okey!A:B,2,0),"")</f>
        <v>ok</v>
      </c>
      <c r="I484" s="47" t="s">
        <v>5290</v>
      </c>
      <c r="J484" s="47" t="s">
        <v>17</v>
      </c>
      <c r="K484" s="47" t="s">
        <v>5969</v>
      </c>
      <c r="L484" s="47"/>
      <c r="M484" s="49" t="s">
        <v>4778</v>
      </c>
    </row>
    <row r="485" spans="1:13">
      <c r="A485" s="48">
        <f t="shared" si="7"/>
        <v>484</v>
      </c>
      <c r="B485" s="47" t="s">
        <v>8</v>
      </c>
      <c r="C485" s="47" t="s">
        <v>6093</v>
      </c>
      <c r="D485" s="47" t="s">
        <v>5123</v>
      </c>
      <c r="E485" s="47" t="s">
        <v>5124</v>
      </c>
      <c r="F485" s="47"/>
      <c r="G485" s="47" t="s">
        <v>15</v>
      </c>
      <c r="H485" s="47" t="str">
        <f>IFERROR(VLOOKUP(Table2[[#This Row], [Ticket]],Okey!A:B,2,0),"")</f>
        <v>ok</v>
      </c>
      <c r="I485" s="47" t="s">
        <v>5290</v>
      </c>
      <c r="J485" s="47" t="s">
        <v>17</v>
      </c>
      <c r="K485" s="47" t="s">
        <v>5969</v>
      </c>
      <c r="L485" s="47"/>
      <c r="M485" s="49" t="s">
        <v>4778</v>
      </c>
    </row>
    <row r="486" spans="1:13">
      <c r="A486" s="48">
        <f t="shared" si="7"/>
        <v>485</v>
      </c>
      <c r="B486" s="47" t="s">
        <v>8</v>
      </c>
      <c r="C486" s="47" t="s">
        <v>6093</v>
      </c>
      <c r="D486" s="47" t="s">
        <v>5125</v>
      </c>
      <c r="E486" s="47" t="s">
        <v>5126</v>
      </c>
      <c r="F486" s="47"/>
      <c r="G486" s="47" t="s">
        <v>15</v>
      </c>
      <c r="H486" s="47" t="str">
        <f>IFERROR(VLOOKUP(Table2[[#This Row], [Ticket]],Okey!A:B,2,0),"")</f>
        <v>ok</v>
      </c>
      <c r="I486" s="47" t="s">
        <v>5290</v>
      </c>
      <c r="J486" s="47" t="s">
        <v>17</v>
      </c>
      <c r="K486" s="47" t="s">
        <v>5969</v>
      </c>
      <c r="L486" s="47"/>
      <c r="M486" s="49" t="s">
        <v>4778</v>
      </c>
    </row>
    <row r="487" spans="1:13">
      <c r="A487" s="48">
        <f t="shared" si="7"/>
        <v>486</v>
      </c>
      <c r="B487" s="47" t="s">
        <v>8</v>
      </c>
      <c r="C487" s="47" t="s">
        <v>6093</v>
      </c>
      <c r="D487" s="47" t="s">
        <v>5127</v>
      </c>
      <c r="E487" s="47" t="s">
        <v>5128</v>
      </c>
      <c r="F487" s="47"/>
      <c r="G487" s="47" t="s">
        <v>15</v>
      </c>
      <c r="H487" s="47" t="str">
        <f>IFERROR(VLOOKUP(Table2[[#This Row], [Ticket]],Okey!A:B,2,0),"")</f>
        <v>ok</v>
      </c>
      <c r="I487" s="47" t="s">
        <v>5290</v>
      </c>
      <c r="J487" s="47" t="s">
        <v>17</v>
      </c>
      <c r="K487" s="47" t="s">
        <v>5969</v>
      </c>
      <c r="L487" s="47"/>
      <c r="M487" s="49" t="s">
        <v>4778</v>
      </c>
    </row>
    <row r="488" spans="1:13">
      <c r="A488" s="48">
        <f t="shared" si="7"/>
        <v>487</v>
      </c>
      <c r="B488" s="47" t="s">
        <v>8</v>
      </c>
      <c r="C488" s="47" t="s">
        <v>6093</v>
      </c>
      <c r="D488" s="47" t="s">
        <v>5129</v>
      </c>
      <c r="E488" s="47" t="s">
        <v>5130</v>
      </c>
      <c r="F488" s="47"/>
      <c r="G488" s="47" t="s">
        <v>15</v>
      </c>
      <c r="H488" s="47" t="str">
        <f>IFERROR(VLOOKUP(Table2[[#This Row], [Ticket]],Okey!A:B,2,0),"")</f>
        <v>ok</v>
      </c>
      <c r="I488" s="47" t="s">
        <v>5290</v>
      </c>
      <c r="J488" s="47" t="s">
        <v>17</v>
      </c>
      <c r="K488" s="47" t="s">
        <v>5969</v>
      </c>
      <c r="L488" s="47"/>
      <c r="M488" s="49" t="s">
        <v>4778</v>
      </c>
    </row>
    <row r="489" spans="1:13">
      <c r="A489" s="48">
        <f t="shared" si="7"/>
        <v>488</v>
      </c>
      <c r="B489" s="47" t="s">
        <v>8</v>
      </c>
      <c r="C489" s="47" t="s">
        <v>6093</v>
      </c>
      <c r="D489" s="47" t="s">
        <v>5131</v>
      </c>
      <c r="E489" s="47" t="s">
        <v>5132</v>
      </c>
      <c r="F489" s="47"/>
      <c r="G489" s="47" t="s">
        <v>15</v>
      </c>
      <c r="H489" s="47" t="str">
        <f>IFERROR(VLOOKUP(Table2[[#This Row], [Ticket]],Okey!A:B,2,0),"")</f>
        <v>ok</v>
      </c>
      <c r="I489" s="47" t="s">
        <v>5290</v>
      </c>
      <c r="J489" s="47" t="s">
        <v>17</v>
      </c>
      <c r="K489" s="47" t="s">
        <v>5969</v>
      </c>
      <c r="L489" s="47"/>
      <c r="M489" s="49" t="s">
        <v>4778</v>
      </c>
    </row>
    <row r="490" spans="1:13">
      <c r="A490" s="48">
        <f t="shared" si="7"/>
        <v>489</v>
      </c>
      <c r="B490" s="47" t="s">
        <v>8</v>
      </c>
      <c r="C490" s="47" t="s">
        <v>6093</v>
      </c>
      <c r="D490" s="47" t="s">
        <v>5133</v>
      </c>
      <c r="E490" s="47" t="s">
        <v>5134</v>
      </c>
      <c r="F490" s="47"/>
      <c r="G490" s="47" t="s">
        <v>15</v>
      </c>
      <c r="H490" s="47" t="str">
        <f>IFERROR(VLOOKUP(Table2[[#This Row], [Ticket]],Okey!A:B,2,0),"")</f>
        <v>ok</v>
      </c>
      <c r="I490" s="47" t="s">
        <v>5290</v>
      </c>
      <c r="J490" s="47" t="s">
        <v>17</v>
      </c>
      <c r="K490" s="47" t="s">
        <v>5969</v>
      </c>
      <c r="L490" s="47"/>
      <c r="M490" s="49" t="s">
        <v>4778</v>
      </c>
    </row>
    <row r="491" spans="1:13">
      <c r="A491" s="48">
        <f t="shared" si="7"/>
        <v>490</v>
      </c>
      <c r="B491" s="47" t="s">
        <v>8</v>
      </c>
      <c r="C491" s="47" t="s">
        <v>6093</v>
      </c>
      <c r="D491" s="47" t="s">
        <v>5135</v>
      </c>
      <c r="E491" s="47" t="s">
        <v>5136</v>
      </c>
      <c r="F491" s="47"/>
      <c r="G491" s="47" t="s">
        <v>15</v>
      </c>
      <c r="H491" s="47" t="str">
        <f>IFERROR(VLOOKUP(Table2[[#This Row], [Ticket]],Okey!A:B,2,0),"")</f>
        <v>ok</v>
      </c>
      <c r="I491" s="47" t="s">
        <v>5290</v>
      </c>
      <c r="J491" s="47" t="s">
        <v>17</v>
      </c>
      <c r="K491" s="47" t="s">
        <v>5969</v>
      </c>
      <c r="L491" s="47"/>
      <c r="M491" s="49" t="s">
        <v>4778</v>
      </c>
    </row>
    <row r="492" spans="1:13">
      <c r="A492" s="48">
        <f t="shared" si="7"/>
        <v>491</v>
      </c>
      <c r="B492" s="47" t="s">
        <v>8</v>
      </c>
      <c r="C492" s="47" t="s">
        <v>6093</v>
      </c>
      <c r="D492" s="47" t="s">
        <v>5137</v>
      </c>
      <c r="E492" s="47" t="s">
        <v>5138</v>
      </c>
      <c r="F492" s="47"/>
      <c r="G492" s="47" t="s">
        <v>15</v>
      </c>
      <c r="H492" s="47" t="str">
        <f>IFERROR(VLOOKUP(Table2[[#This Row], [Ticket]],Okey!A:B,2,0),"")</f>
        <v>ok</v>
      </c>
      <c r="I492" s="47" t="s">
        <v>5290</v>
      </c>
      <c r="J492" s="47" t="s">
        <v>17</v>
      </c>
      <c r="K492" s="47" t="s">
        <v>5969</v>
      </c>
      <c r="L492" s="47"/>
      <c r="M492" s="49" t="s">
        <v>4778</v>
      </c>
    </row>
    <row r="493" spans="1:13">
      <c r="A493" s="48">
        <f t="shared" si="7"/>
        <v>492</v>
      </c>
      <c r="B493" s="47" t="s">
        <v>8</v>
      </c>
      <c r="C493" s="47" t="s">
        <v>6093</v>
      </c>
      <c r="D493" s="47" t="s">
        <v>5139</v>
      </c>
      <c r="E493" s="47" t="s">
        <v>5140</v>
      </c>
      <c r="F493" s="47"/>
      <c r="G493" s="47" t="s">
        <v>15</v>
      </c>
      <c r="H493" s="47" t="str">
        <f>IFERROR(VLOOKUP(Table2[[#This Row], [Ticket]],Okey!A:B,2,0),"")</f>
        <v>ok</v>
      </c>
      <c r="I493" s="47" t="s">
        <v>5290</v>
      </c>
      <c r="J493" s="47" t="s">
        <v>17</v>
      </c>
      <c r="K493" s="47" t="s">
        <v>5969</v>
      </c>
      <c r="L493" s="47"/>
      <c r="M493" s="49" t="s">
        <v>4778</v>
      </c>
    </row>
    <row r="494" spans="1:13">
      <c r="A494" s="48">
        <f t="shared" si="7"/>
        <v>493</v>
      </c>
      <c r="B494" s="47" t="s">
        <v>8</v>
      </c>
      <c r="C494" s="47" t="s">
        <v>6093</v>
      </c>
      <c r="D494" s="47" t="s">
        <v>5141</v>
      </c>
      <c r="E494" s="47" t="s">
        <v>5142</v>
      </c>
      <c r="F494" s="47"/>
      <c r="G494" s="47" t="s">
        <v>15</v>
      </c>
      <c r="H494" s="47" t="str">
        <f>IFERROR(VLOOKUP(Table2[[#This Row], [Ticket]],Okey!A:B,2,0),"")</f>
        <v>ok</v>
      </c>
      <c r="I494" s="47" t="s">
        <v>5290</v>
      </c>
      <c r="J494" s="47" t="s">
        <v>17</v>
      </c>
      <c r="K494" s="47" t="s">
        <v>5969</v>
      </c>
      <c r="L494" s="47"/>
      <c r="M494" s="49" t="s">
        <v>4778</v>
      </c>
    </row>
    <row r="495" spans="1:13">
      <c r="A495" s="48">
        <f t="shared" si="7"/>
        <v>494</v>
      </c>
      <c r="B495" s="47" t="s">
        <v>8</v>
      </c>
      <c r="C495" s="47" t="s">
        <v>6093</v>
      </c>
      <c r="D495" s="47" t="s">
        <v>5143</v>
      </c>
      <c r="E495" s="47" t="s">
        <v>5144</v>
      </c>
      <c r="F495" s="47"/>
      <c r="G495" s="47" t="s">
        <v>15</v>
      </c>
      <c r="H495" s="47" t="str">
        <f>IFERROR(VLOOKUP(Table2[[#This Row], [Ticket]],Okey!A:B,2,0),"")</f>
        <v>ok</v>
      </c>
      <c r="I495" s="47" t="s">
        <v>5290</v>
      </c>
      <c r="J495" s="47" t="s">
        <v>17</v>
      </c>
      <c r="K495" s="47" t="s">
        <v>5969</v>
      </c>
      <c r="L495" s="47"/>
      <c r="M495" s="49" t="s">
        <v>4778</v>
      </c>
    </row>
    <row r="496" spans="1:13">
      <c r="A496" s="48">
        <f t="shared" si="7"/>
        <v>495</v>
      </c>
      <c r="B496" s="47" t="s">
        <v>8</v>
      </c>
      <c r="C496" s="47" t="s">
        <v>6093</v>
      </c>
      <c r="D496" s="47" t="s">
        <v>5145</v>
      </c>
      <c r="E496" s="47" t="s">
        <v>5146</v>
      </c>
      <c r="F496" s="47"/>
      <c r="G496" s="47" t="s">
        <v>15</v>
      </c>
      <c r="H496" s="47" t="str">
        <f>IFERROR(VLOOKUP(Table2[[#This Row], [Ticket]],Okey!A:B,2,0),"")</f>
        <v>ok</v>
      </c>
      <c r="I496" s="47" t="s">
        <v>5290</v>
      </c>
      <c r="J496" s="47" t="s">
        <v>17</v>
      </c>
      <c r="K496" s="47" t="s">
        <v>5969</v>
      </c>
      <c r="L496" s="47"/>
      <c r="M496" s="49" t="s">
        <v>4778</v>
      </c>
    </row>
    <row r="497" spans="1:13">
      <c r="A497" s="48">
        <f t="shared" si="7"/>
        <v>496</v>
      </c>
      <c r="B497" s="47" t="s">
        <v>8</v>
      </c>
      <c r="C497" s="47" t="s">
        <v>6093</v>
      </c>
      <c r="D497" s="47" t="s">
        <v>5147</v>
      </c>
      <c r="E497" s="47" t="s">
        <v>5148</v>
      </c>
      <c r="F497" s="47"/>
      <c r="G497" s="47" t="s">
        <v>15</v>
      </c>
      <c r="H497" s="47" t="str">
        <f>IFERROR(VLOOKUP(Table2[[#This Row], [Ticket]],Okey!A:B,2,0),"")</f>
        <v>ok</v>
      </c>
      <c r="I497" s="47" t="s">
        <v>5290</v>
      </c>
      <c r="J497" s="47" t="s">
        <v>17</v>
      </c>
      <c r="K497" s="47" t="s">
        <v>5969</v>
      </c>
      <c r="L497" s="47"/>
      <c r="M497" s="49" t="s">
        <v>4778</v>
      </c>
    </row>
    <row r="498" spans="1:13">
      <c r="A498" s="48">
        <f t="shared" si="7"/>
        <v>497</v>
      </c>
      <c r="B498" s="47" t="s">
        <v>8</v>
      </c>
      <c r="C498" s="47" t="s">
        <v>6093</v>
      </c>
      <c r="D498" s="47" t="s">
        <v>4804</v>
      </c>
      <c r="E498" s="47" t="s">
        <v>5149</v>
      </c>
      <c r="F498" s="47" t="s">
        <v>4803</v>
      </c>
      <c r="G498" s="47" t="s">
        <v>14</v>
      </c>
      <c r="H498" s="47" t="str">
        <f>IFERROR(VLOOKUP(Table2[[#This Row], [Ticket]],Okey!A:B,2,0),"")</f>
        <v>ok</v>
      </c>
      <c r="I498" s="47" t="s">
        <v>5290</v>
      </c>
      <c r="J498" s="47" t="s">
        <v>17</v>
      </c>
      <c r="K498" s="47" t="s">
        <v>5969</v>
      </c>
      <c r="L498" s="47"/>
      <c r="M498" s="49" t="s">
        <v>4778</v>
      </c>
    </row>
    <row r="499" spans="1:13">
      <c r="A499" s="48">
        <f t="shared" si="7"/>
        <v>498</v>
      </c>
      <c r="B499" s="47" t="s">
        <v>8</v>
      </c>
      <c r="C499" s="47" t="s">
        <v>6093</v>
      </c>
      <c r="D499" s="47" t="s">
        <v>4807</v>
      </c>
      <c r="E499" s="47" t="s">
        <v>5150</v>
      </c>
      <c r="F499" s="47" t="s">
        <v>4806</v>
      </c>
      <c r="G499" s="47" t="s">
        <v>14</v>
      </c>
      <c r="H499" s="47" t="str">
        <f>IFERROR(VLOOKUP(Table2[[#This Row], [Ticket]],Okey!A:B,2,0),"")</f>
        <v>ok</v>
      </c>
      <c r="I499" s="47" t="s">
        <v>5290</v>
      </c>
      <c r="J499" s="47" t="s">
        <v>17</v>
      </c>
      <c r="K499" s="47" t="s">
        <v>5969</v>
      </c>
      <c r="L499" s="47"/>
      <c r="M499" s="49" t="s">
        <v>4778</v>
      </c>
    </row>
    <row r="500" spans="1:13">
      <c r="A500" s="48">
        <f t="shared" si="7"/>
        <v>499</v>
      </c>
      <c r="B500" s="47" t="s">
        <v>8</v>
      </c>
      <c r="C500" s="47" t="s">
        <v>6093</v>
      </c>
      <c r="D500" s="47" t="s">
        <v>4809</v>
      </c>
      <c r="E500" s="47" t="s">
        <v>5151</v>
      </c>
      <c r="F500" s="47" t="s">
        <v>4806</v>
      </c>
      <c r="G500" s="47" t="s">
        <v>14</v>
      </c>
      <c r="H500" s="47" t="str">
        <f>IFERROR(VLOOKUP(Table2[[#This Row], [Ticket]],Okey!A:B,2,0),"")</f>
        <v>ok</v>
      </c>
      <c r="I500" s="47" t="s">
        <v>5290</v>
      </c>
      <c r="J500" s="47" t="s">
        <v>17</v>
      </c>
      <c r="K500" s="47" t="s">
        <v>5969</v>
      </c>
      <c r="L500" s="47"/>
      <c r="M500" s="49" t="s">
        <v>4778</v>
      </c>
    </row>
    <row r="501" spans="1:13">
      <c r="A501" s="48">
        <f t="shared" si="7"/>
        <v>500</v>
      </c>
      <c r="B501" s="47" t="s">
        <v>8</v>
      </c>
      <c r="C501" s="47" t="s">
        <v>6093</v>
      </c>
      <c r="D501" s="47" t="s">
        <v>4811</v>
      </c>
      <c r="E501" s="47" t="s">
        <v>5152</v>
      </c>
      <c r="F501" s="47" t="s">
        <v>4806</v>
      </c>
      <c r="G501" s="47" t="s">
        <v>14</v>
      </c>
      <c r="H501" s="47" t="str">
        <f>IFERROR(VLOOKUP(Table2[[#This Row], [Ticket]],Okey!A:B,2,0),"")</f>
        <v>ok</v>
      </c>
      <c r="I501" s="47" t="s">
        <v>5290</v>
      </c>
      <c r="J501" s="47" t="s">
        <v>17</v>
      </c>
      <c r="K501" s="47" t="s">
        <v>5969</v>
      </c>
      <c r="L501" s="47"/>
      <c r="M501" s="49" t="s">
        <v>4778</v>
      </c>
    </row>
    <row r="502" spans="1:13">
      <c r="A502" s="48">
        <f t="shared" si="7"/>
        <v>501</v>
      </c>
      <c r="B502" s="47" t="s">
        <v>8</v>
      </c>
      <c r="C502" s="47" t="s">
        <v>6093</v>
      </c>
      <c r="D502" s="47" t="s">
        <v>4813</v>
      </c>
      <c r="E502" s="47" t="s">
        <v>5153</v>
      </c>
      <c r="F502" s="47" t="s">
        <v>4806</v>
      </c>
      <c r="G502" s="47" t="s">
        <v>14</v>
      </c>
      <c r="H502" s="47" t="str">
        <f>IFERROR(VLOOKUP(Table2[[#This Row], [Ticket]],Okey!A:B,2,0),"")</f>
        <v>ok</v>
      </c>
      <c r="I502" s="47" t="s">
        <v>5290</v>
      </c>
      <c r="J502" s="47" t="s">
        <v>17</v>
      </c>
      <c r="K502" s="47" t="s">
        <v>5969</v>
      </c>
      <c r="L502" s="47"/>
      <c r="M502" s="49" t="s">
        <v>4778</v>
      </c>
    </row>
    <row r="503" spans="1:13">
      <c r="A503" s="48">
        <f t="shared" si="7"/>
        <v>502</v>
      </c>
      <c r="B503" s="47" t="s">
        <v>8</v>
      </c>
      <c r="C503" s="47" t="s">
        <v>6093</v>
      </c>
      <c r="D503" s="47" t="s">
        <v>4816</v>
      </c>
      <c r="E503" s="47" t="s">
        <v>5154</v>
      </c>
      <c r="F503" s="47" t="s">
        <v>4806</v>
      </c>
      <c r="G503" s="47" t="s">
        <v>14</v>
      </c>
      <c r="H503" s="47" t="str">
        <f>IFERROR(VLOOKUP(Table2[[#This Row], [Ticket]],Okey!A:B,2,0),"")</f>
        <v>ok</v>
      </c>
      <c r="I503" s="47" t="s">
        <v>5290</v>
      </c>
      <c r="J503" s="47" t="s">
        <v>17</v>
      </c>
      <c r="K503" s="47" t="s">
        <v>5969</v>
      </c>
      <c r="L503" s="47"/>
      <c r="M503" s="49" t="s">
        <v>4778</v>
      </c>
    </row>
    <row r="504" spans="1:13">
      <c r="A504" s="48">
        <f t="shared" si="7"/>
        <v>503</v>
      </c>
      <c r="B504" s="47" t="s">
        <v>8</v>
      </c>
      <c r="C504" s="47" t="s">
        <v>6093</v>
      </c>
      <c r="D504" s="47" t="s">
        <v>4818</v>
      </c>
      <c r="E504" s="47" t="s">
        <v>5155</v>
      </c>
      <c r="F504" s="47" t="s">
        <v>4806</v>
      </c>
      <c r="G504" s="47" t="s">
        <v>14</v>
      </c>
      <c r="H504" s="47" t="str">
        <f>IFERROR(VLOOKUP(Table2[[#This Row], [Ticket]],Okey!A:B,2,0),"")</f>
        <v>ok</v>
      </c>
      <c r="I504" s="47" t="s">
        <v>5290</v>
      </c>
      <c r="J504" s="47" t="s">
        <v>17</v>
      </c>
      <c r="K504" s="47" t="s">
        <v>5969</v>
      </c>
      <c r="L504" s="47"/>
      <c r="M504" s="49" t="s">
        <v>4778</v>
      </c>
    </row>
    <row r="505" spans="1:13">
      <c r="A505" s="48">
        <f t="shared" si="7"/>
        <v>504</v>
      </c>
      <c r="B505" s="47" t="s">
        <v>8</v>
      </c>
      <c r="C505" s="47" t="s">
        <v>6093</v>
      </c>
      <c r="D505" s="47" t="s">
        <v>4820</v>
      </c>
      <c r="E505" s="47" t="s">
        <v>5156</v>
      </c>
      <c r="F505" s="47" t="s">
        <v>4806</v>
      </c>
      <c r="G505" s="47" t="s">
        <v>14</v>
      </c>
      <c r="H505" s="47" t="str">
        <f>IFERROR(VLOOKUP(Table2[[#This Row], [Ticket]],Okey!A:B,2,0),"")</f>
        <v>ok</v>
      </c>
      <c r="I505" s="47" t="s">
        <v>5290</v>
      </c>
      <c r="J505" s="47" t="s">
        <v>17</v>
      </c>
      <c r="K505" s="47" t="s">
        <v>5969</v>
      </c>
      <c r="L505" s="47"/>
      <c r="M505" s="49" t="s">
        <v>4778</v>
      </c>
    </row>
    <row r="506" spans="1:13">
      <c r="A506" s="48">
        <f t="shared" si="7"/>
        <v>505</v>
      </c>
      <c r="B506" s="47" t="s">
        <v>8</v>
      </c>
      <c r="C506" s="47" t="s">
        <v>6093</v>
      </c>
      <c r="D506" s="47" t="s">
        <v>4822</v>
      </c>
      <c r="E506" s="47" t="s">
        <v>5157</v>
      </c>
      <c r="F506" s="47" t="s">
        <v>3694</v>
      </c>
      <c r="G506" s="47" t="s">
        <v>14</v>
      </c>
      <c r="H506" s="47" t="str">
        <f>IFERROR(VLOOKUP(Table2[[#This Row], [Ticket]],Okey!A:B,2,0),"")</f>
        <v>ok</v>
      </c>
      <c r="I506" s="47" t="s">
        <v>5290</v>
      </c>
      <c r="J506" s="47" t="s">
        <v>17</v>
      </c>
      <c r="K506" s="47" t="s">
        <v>5969</v>
      </c>
      <c r="L506" s="47"/>
      <c r="M506" s="49" t="s">
        <v>4778</v>
      </c>
    </row>
    <row r="507" spans="1:13">
      <c r="A507" s="48">
        <f t="shared" si="7"/>
        <v>506</v>
      </c>
      <c r="B507" s="47" t="s">
        <v>8</v>
      </c>
      <c r="C507" s="47" t="s">
        <v>6093</v>
      </c>
      <c r="D507" s="47" t="s">
        <v>4824</v>
      </c>
      <c r="E507" s="47" t="s">
        <v>5158</v>
      </c>
      <c r="F507" s="47" t="s">
        <v>4822</v>
      </c>
      <c r="G507" s="47" t="s">
        <v>14</v>
      </c>
      <c r="H507" s="47" t="str">
        <f>IFERROR(VLOOKUP(Table2[[#This Row], [Ticket]],Okey!A:B,2,0),"")</f>
        <v>ok</v>
      </c>
      <c r="I507" s="47" t="s">
        <v>5290</v>
      </c>
      <c r="J507" s="47" t="s">
        <v>17</v>
      </c>
      <c r="K507" s="47" t="s">
        <v>5969</v>
      </c>
      <c r="L507" s="47"/>
      <c r="M507" s="49" t="s">
        <v>4778</v>
      </c>
    </row>
    <row r="508" spans="1:13">
      <c r="A508" s="48">
        <f t="shared" si="7"/>
        <v>507</v>
      </c>
      <c r="B508" s="47" t="s">
        <v>8</v>
      </c>
      <c r="C508" s="47" t="s">
        <v>6093</v>
      </c>
      <c r="D508" s="47" t="s">
        <v>4827</v>
      </c>
      <c r="E508" s="47" t="s">
        <v>5159</v>
      </c>
      <c r="F508" s="47" t="s">
        <v>4822</v>
      </c>
      <c r="G508" s="47" t="s">
        <v>14</v>
      </c>
      <c r="H508" s="47" t="str">
        <f>IFERROR(VLOOKUP(Table2[[#This Row], [Ticket]],Okey!A:B,2,0),"")</f>
        <v>ok</v>
      </c>
      <c r="I508" s="47" t="s">
        <v>5290</v>
      </c>
      <c r="J508" s="47" t="s">
        <v>17</v>
      </c>
      <c r="K508" s="47" t="s">
        <v>5969</v>
      </c>
      <c r="L508" s="47"/>
      <c r="M508" s="49" t="s">
        <v>4778</v>
      </c>
    </row>
    <row r="509" spans="1:13">
      <c r="A509" s="48">
        <f t="shared" si="7"/>
        <v>508</v>
      </c>
      <c r="B509" s="47" t="s">
        <v>8</v>
      </c>
      <c r="C509" s="47" t="s">
        <v>6093</v>
      </c>
      <c r="D509" s="47" t="s">
        <v>4830</v>
      </c>
      <c r="E509" s="47" t="s">
        <v>5160</v>
      </c>
      <c r="F509" s="47" t="s">
        <v>4824</v>
      </c>
      <c r="G509" s="47" t="s">
        <v>14</v>
      </c>
      <c r="H509" s="47" t="str">
        <f>IFERROR(VLOOKUP(Table2[[#This Row], [Ticket]],Okey!A:B,2,0),"")</f>
        <v>ok</v>
      </c>
      <c r="I509" s="47" t="s">
        <v>5290</v>
      </c>
      <c r="J509" s="47" t="s">
        <v>17</v>
      </c>
      <c r="K509" s="47" t="s">
        <v>5969</v>
      </c>
      <c r="L509" s="47"/>
      <c r="M509" s="49" t="s">
        <v>4778</v>
      </c>
    </row>
    <row r="510" spans="1:13">
      <c r="A510" s="48">
        <f t="shared" si="7"/>
        <v>509</v>
      </c>
      <c r="B510" s="47" t="s">
        <v>8</v>
      </c>
      <c r="C510" s="47" t="s">
        <v>6093</v>
      </c>
      <c r="D510" s="47" t="s">
        <v>4833</v>
      </c>
      <c r="E510" s="47" t="s">
        <v>5161</v>
      </c>
      <c r="F510" s="47" t="s">
        <v>4827</v>
      </c>
      <c r="G510" s="47" t="s">
        <v>14</v>
      </c>
      <c r="H510" s="47" t="str">
        <f>IFERROR(VLOOKUP(Table2[[#This Row], [Ticket]],Okey!A:B,2,0),"")</f>
        <v>ok</v>
      </c>
      <c r="I510" s="47" t="s">
        <v>5290</v>
      </c>
      <c r="J510" s="47" t="s">
        <v>17</v>
      </c>
      <c r="K510" s="47" t="s">
        <v>5969</v>
      </c>
      <c r="L510" s="47"/>
      <c r="M510" s="49" t="s">
        <v>4778</v>
      </c>
    </row>
    <row r="511" spans="1:13">
      <c r="A511" s="48">
        <f t="shared" si="7"/>
        <v>510</v>
      </c>
      <c r="B511" s="47" t="s">
        <v>8</v>
      </c>
      <c r="C511" s="47" t="s">
        <v>6093</v>
      </c>
      <c r="D511" s="47" t="s">
        <v>4835</v>
      </c>
      <c r="E511" s="47" t="s">
        <v>5162</v>
      </c>
      <c r="F511" s="47" t="s">
        <v>4827</v>
      </c>
      <c r="G511" s="47" t="s">
        <v>14</v>
      </c>
      <c r="H511" s="47" t="str">
        <f>IFERROR(VLOOKUP(Table2[[#This Row], [Ticket]],Okey!A:B,2,0),"")</f>
        <v>ok</v>
      </c>
      <c r="I511" s="47" t="s">
        <v>5290</v>
      </c>
      <c r="J511" s="47" t="s">
        <v>17</v>
      </c>
      <c r="K511" s="47" t="s">
        <v>5969</v>
      </c>
      <c r="L511" s="47"/>
      <c r="M511" s="49" t="s">
        <v>4778</v>
      </c>
    </row>
    <row r="512" spans="1:13">
      <c r="A512" s="48">
        <f t="shared" si="7"/>
        <v>511</v>
      </c>
      <c r="B512" s="47" t="s">
        <v>8</v>
      </c>
      <c r="C512" s="47" t="s">
        <v>6093</v>
      </c>
      <c r="D512" s="47" t="s">
        <v>4838</v>
      </c>
      <c r="E512" s="47" t="s">
        <v>5163</v>
      </c>
      <c r="F512" s="47" t="s">
        <v>4837</v>
      </c>
      <c r="G512" s="47" t="s">
        <v>14</v>
      </c>
      <c r="H512" s="47" t="str">
        <f>IFERROR(VLOOKUP(Table2[[#This Row], [Ticket]],Okey!A:B,2,0),"")</f>
        <v>ok</v>
      </c>
      <c r="I512" s="47" t="s">
        <v>5290</v>
      </c>
      <c r="J512" s="47" t="s">
        <v>17</v>
      </c>
      <c r="K512" s="47" t="s">
        <v>5969</v>
      </c>
      <c r="L512" s="47"/>
      <c r="M512" s="49" t="s">
        <v>4778</v>
      </c>
    </row>
    <row r="513" spans="1:13">
      <c r="A513" s="48">
        <f t="shared" si="7"/>
        <v>512</v>
      </c>
      <c r="B513" s="47" t="s">
        <v>8</v>
      </c>
      <c r="C513" s="47" t="s">
        <v>6093</v>
      </c>
      <c r="D513" s="47" t="s">
        <v>4841</v>
      </c>
      <c r="E513" s="47" t="s">
        <v>5164</v>
      </c>
      <c r="F513" s="47" t="s">
        <v>4840</v>
      </c>
      <c r="G513" s="47" t="s">
        <v>14</v>
      </c>
      <c r="H513" s="47" t="str">
        <f>IFERROR(VLOOKUP(Table2[[#This Row], [Ticket]],Okey!A:B,2,0),"")</f>
        <v>ok</v>
      </c>
      <c r="I513" s="47" t="s">
        <v>5290</v>
      </c>
      <c r="J513" s="47" t="s">
        <v>17</v>
      </c>
      <c r="K513" s="47" t="s">
        <v>5969</v>
      </c>
      <c r="L513" s="47"/>
      <c r="M513" s="49" t="s">
        <v>4778</v>
      </c>
    </row>
    <row r="514" spans="1:13">
      <c r="A514" s="48">
        <f t="shared" si="7"/>
        <v>513</v>
      </c>
      <c r="B514" s="47" t="s">
        <v>8</v>
      </c>
      <c r="C514" s="47" t="s">
        <v>6093</v>
      </c>
      <c r="D514" s="47" t="s">
        <v>6094</v>
      </c>
      <c r="E514" s="47"/>
      <c r="F514" s="47" t="s">
        <v>275</v>
      </c>
      <c r="G514" s="47" t="s">
        <v>12</v>
      </c>
      <c r="H514" s="47" t="str">
        <f>IFERROR(VLOOKUP(Table2[[#This Row], [Ticket]],Okey!A:B,2,0),"")</f>
        <v>ok</v>
      </c>
      <c r="I514" s="47" t="s">
        <v>5290</v>
      </c>
      <c r="J514" s="47" t="s">
        <v>17</v>
      </c>
      <c r="K514" s="47" t="s">
        <v>5969</v>
      </c>
      <c r="L514" s="47"/>
      <c r="M514" s="49" t="s">
        <v>4778</v>
      </c>
    </row>
    <row r="515" spans="1:13">
      <c r="A515" s="48">
        <f t="shared" ref="A515:A578" si="8">1+A514</f>
        <v>514</v>
      </c>
      <c r="B515" s="47" t="s">
        <v>8</v>
      </c>
      <c r="C515" s="47" t="s">
        <v>6095</v>
      </c>
      <c r="D515" s="47" t="s">
        <v>4844</v>
      </c>
      <c r="E515" s="47" t="s">
        <v>5165</v>
      </c>
      <c r="F515" s="47" t="s">
        <v>4843</v>
      </c>
      <c r="G515" s="47" t="s">
        <v>14</v>
      </c>
      <c r="H515" s="47" t="str">
        <f>IFERROR(VLOOKUP(Table2[[#This Row], [Ticket]],Okey!A:B,2,0),"")</f>
        <v>ok</v>
      </c>
      <c r="I515" s="47" t="s">
        <v>5290</v>
      </c>
      <c r="J515" s="47" t="s">
        <v>20</v>
      </c>
      <c r="K515" s="47" t="s">
        <v>5969</v>
      </c>
      <c r="L515" s="47"/>
      <c r="M515" s="49" t="s">
        <v>4794</v>
      </c>
    </row>
    <row r="516" spans="1:13">
      <c r="A516" s="48">
        <f t="shared" si="8"/>
        <v>515</v>
      </c>
      <c r="B516" s="47" t="s">
        <v>8</v>
      </c>
      <c r="C516" s="47" t="s">
        <v>6095</v>
      </c>
      <c r="D516" s="47" t="s">
        <v>4846</v>
      </c>
      <c r="E516" s="47" t="s">
        <v>5166</v>
      </c>
      <c r="F516" s="47" t="s">
        <v>4843</v>
      </c>
      <c r="G516" s="47" t="s">
        <v>14</v>
      </c>
      <c r="H516" s="47" t="str">
        <f>IFERROR(VLOOKUP(Table2[[#This Row], [Ticket]],Okey!A:B,2,0),"")</f>
        <v>ok</v>
      </c>
      <c r="I516" s="47" t="s">
        <v>5290</v>
      </c>
      <c r="J516" s="47" t="s">
        <v>20</v>
      </c>
      <c r="K516" s="47" t="s">
        <v>5969</v>
      </c>
      <c r="L516" s="47"/>
      <c r="M516" s="49" t="s">
        <v>4794</v>
      </c>
    </row>
    <row r="517" spans="1:13">
      <c r="A517" s="48">
        <f t="shared" si="8"/>
        <v>516</v>
      </c>
      <c r="B517" s="47" t="s">
        <v>8</v>
      </c>
      <c r="C517" s="47" t="s">
        <v>6095</v>
      </c>
      <c r="D517" s="47" t="s">
        <v>4848</v>
      </c>
      <c r="E517" s="47" t="s">
        <v>5167</v>
      </c>
      <c r="F517" s="47" t="s">
        <v>4843</v>
      </c>
      <c r="G517" s="47" t="s">
        <v>14</v>
      </c>
      <c r="H517" s="47" t="str">
        <f>IFERROR(VLOOKUP(Table2[[#This Row], [Ticket]],Okey!A:B,2,0),"")</f>
        <v>ok</v>
      </c>
      <c r="I517" s="47" t="s">
        <v>5290</v>
      </c>
      <c r="J517" s="47" t="s">
        <v>20</v>
      </c>
      <c r="K517" s="47" t="s">
        <v>5969</v>
      </c>
      <c r="L517" s="47"/>
      <c r="M517" s="49" t="s">
        <v>4794</v>
      </c>
    </row>
    <row r="518" spans="1:13">
      <c r="A518" s="48">
        <f t="shared" si="8"/>
        <v>517</v>
      </c>
      <c r="B518" s="47" t="s">
        <v>8</v>
      </c>
      <c r="C518" s="47" t="s">
        <v>6095</v>
      </c>
      <c r="D518" s="47" t="s">
        <v>4851</v>
      </c>
      <c r="E518" s="47" t="s">
        <v>5168</v>
      </c>
      <c r="F518" s="47" t="s">
        <v>4850</v>
      </c>
      <c r="G518" s="47" t="s">
        <v>14</v>
      </c>
      <c r="H518" s="47" t="str">
        <f>IFERROR(VLOOKUP(Table2[[#This Row], [Ticket]],Okey!A:B,2,0),"")</f>
        <v>ok</v>
      </c>
      <c r="I518" s="47" t="s">
        <v>5290</v>
      </c>
      <c r="J518" s="47" t="s">
        <v>20</v>
      </c>
      <c r="K518" s="47" t="s">
        <v>5969</v>
      </c>
      <c r="L518" s="47"/>
      <c r="M518" s="49" t="s">
        <v>4794</v>
      </c>
    </row>
    <row r="519" spans="1:13">
      <c r="A519" s="48">
        <f t="shared" si="8"/>
        <v>518</v>
      </c>
      <c r="B519" s="47" t="s">
        <v>8</v>
      </c>
      <c r="C519" s="47" t="s">
        <v>6095</v>
      </c>
      <c r="D519" s="47" t="s">
        <v>4853</v>
      </c>
      <c r="E519" s="47" t="s">
        <v>5169</v>
      </c>
      <c r="F519" s="47" t="s">
        <v>2993</v>
      </c>
      <c r="G519" s="47" t="s">
        <v>14</v>
      </c>
      <c r="H519" s="47" t="str">
        <f>IFERROR(VLOOKUP(Table2[[#This Row], [Ticket]],Okey!A:B,2,0),"")</f>
        <v>ok</v>
      </c>
      <c r="I519" s="47" t="s">
        <v>5290</v>
      </c>
      <c r="J519" s="47" t="s">
        <v>20</v>
      </c>
      <c r="K519" s="47" t="s">
        <v>5969</v>
      </c>
      <c r="L519" s="47"/>
      <c r="M519" s="49" t="s">
        <v>4794</v>
      </c>
    </row>
    <row r="520" spans="1:13">
      <c r="A520" s="48">
        <f t="shared" si="8"/>
        <v>519</v>
      </c>
      <c r="B520" s="47" t="s">
        <v>8</v>
      </c>
      <c r="C520" s="47" t="s">
        <v>6095</v>
      </c>
      <c r="D520" s="47" t="s">
        <v>4855</v>
      </c>
      <c r="E520" s="47" t="s">
        <v>5170</v>
      </c>
      <c r="F520" s="47" t="s">
        <v>4850</v>
      </c>
      <c r="G520" s="47" t="s">
        <v>14</v>
      </c>
      <c r="H520" s="47" t="str">
        <f>IFERROR(VLOOKUP(Table2[[#This Row], [Ticket]],Okey!A:B,2,0),"")</f>
        <v>ok</v>
      </c>
      <c r="I520" s="47" t="s">
        <v>5290</v>
      </c>
      <c r="J520" s="47" t="s">
        <v>20</v>
      </c>
      <c r="K520" s="47" t="s">
        <v>5969</v>
      </c>
      <c r="L520" s="47"/>
      <c r="M520" s="49" t="s">
        <v>4794</v>
      </c>
    </row>
    <row r="521" spans="1:13">
      <c r="A521" s="48">
        <f t="shared" si="8"/>
        <v>520</v>
      </c>
      <c r="B521" s="47" t="s">
        <v>8</v>
      </c>
      <c r="C521" s="47" t="s">
        <v>6095</v>
      </c>
      <c r="D521" s="47" t="s">
        <v>4857</v>
      </c>
      <c r="E521" s="47" t="s">
        <v>2691</v>
      </c>
      <c r="F521" s="47" t="s">
        <v>2688</v>
      </c>
      <c r="G521" s="47" t="s">
        <v>14</v>
      </c>
      <c r="H521" s="47" t="str">
        <f>IFERROR(VLOOKUP(Table2[[#This Row], [Ticket]],Okey!A:B,2,0),"")</f>
        <v>ok</v>
      </c>
      <c r="I521" s="47" t="s">
        <v>5290</v>
      </c>
      <c r="J521" s="47" t="s">
        <v>20</v>
      </c>
      <c r="K521" s="47" t="s">
        <v>5969</v>
      </c>
      <c r="L521" s="47"/>
      <c r="M521" s="49" t="s">
        <v>4794</v>
      </c>
    </row>
    <row r="522" spans="1:13">
      <c r="A522" s="48">
        <f t="shared" si="8"/>
        <v>521</v>
      </c>
      <c r="B522" s="47" t="s">
        <v>8</v>
      </c>
      <c r="C522" s="47" t="s">
        <v>6095</v>
      </c>
      <c r="D522" s="47" t="s">
        <v>4859</v>
      </c>
      <c r="E522" s="47" t="s">
        <v>5171</v>
      </c>
      <c r="F522" s="47" t="s">
        <v>2688</v>
      </c>
      <c r="G522" s="47" t="s">
        <v>14</v>
      </c>
      <c r="H522" s="47" t="str">
        <f>IFERROR(VLOOKUP(Table2[[#This Row], [Ticket]],Okey!A:B,2,0),"")</f>
        <v>ok</v>
      </c>
      <c r="I522" s="47" t="s">
        <v>5290</v>
      </c>
      <c r="J522" s="47" t="s">
        <v>20</v>
      </c>
      <c r="K522" s="47" t="s">
        <v>5969</v>
      </c>
      <c r="L522" s="47"/>
      <c r="M522" s="49" t="s">
        <v>4794</v>
      </c>
    </row>
    <row r="523" spans="1:13">
      <c r="A523" s="48">
        <f t="shared" si="8"/>
        <v>522</v>
      </c>
      <c r="B523" s="47" t="s">
        <v>8</v>
      </c>
      <c r="C523" s="47" t="s">
        <v>6095</v>
      </c>
      <c r="D523" s="47" t="s">
        <v>4861</v>
      </c>
      <c r="E523" s="47" t="s">
        <v>5172</v>
      </c>
      <c r="F523" s="47" t="s">
        <v>2688</v>
      </c>
      <c r="G523" s="47" t="s">
        <v>14</v>
      </c>
      <c r="H523" s="47" t="str">
        <f>IFERROR(VLOOKUP(Table2[[#This Row], [Ticket]],Okey!A:B,2,0),"")</f>
        <v>ok</v>
      </c>
      <c r="I523" s="47" t="s">
        <v>5290</v>
      </c>
      <c r="J523" s="47" t="s">
        <v>20</v>
      </c>
      <c r="K523" s="47" t="s">
        <v>5969</v>
      </c>
      <c r="L523" s="47"/>
      <c r="M523" s="49" t="s">
        <v>4794</v>
      </c>
    </row>
    <row r="524" spans="1:13">
      <c r="A524" s="48">
        <f t="shared" si="8"/>
        <v>523</v>
      </c>
      <c r="B524" s="47" t="s">
        <v>8</v>
      </c>
      <c r="C524" s="47" t="s">
        <v>6095</v>
      </c>
      <c r="D524" s="47" t="s">
        <v>4863</v>
      </c>
      <c r="E524" s="47" t="s">
        <v>5173</v>
      </c>
      <c r="F524" s="47" t="s">
        <v>2688</v>
      </c>
      <c r="G524" s="47" t="s">
        <v>14</v>
      </c>
      <c r="H524" s="47" t="str">
        <f>IFERROR(VLOOKUP(Table2[[#This Row], [Ticket]],Okey!A:B,2,0),"")</f>
        <v>ok</v>
      </c>
      <c r="I524" s="47" t="s">
        <v>5290</v>
      </c>
      <c r="J524" s="47" t="s">
        <v>20</v>
      </c>
      <c r="K524" s="47" t="s">
        <v>5969</v>
      </c>
      <c r="L524" s="47"/>
      <c r="M524" s="49" t="s">
        <v>4794</v>
      </c>
    </row>
    <row r="525" spans="1:13">
      <c r="A525" s="48">
        <f t="shared" si="8"/>
        <v>524</v>
      </c>
      <c r="B525" s="47" t="s">
        <v>8</v>
      </c>
      <c r="C525" s="47" t="s">
        <v>6095</v>
      </c>
      <c r="D525" s="47" t="s">
        <v>4865</v>
      </c>
      <c r="E525" s="47" t="s">
        <v>5174</v>
      </c>
      <c r="F525" s="47" t="s">
        <v>4859</v>
      </c>
      <c r="G525" s="47" t="s">
        <v>14</v>
      </c>
      <c r="H525" s="47" t="str">
        <f>IFERROR(VLOOKUP(Table2[[#This Row], [Ticket]],Okey!A:B,2,0),"")</f>
        <v>ok</v>
      </c>
      <c r="I525" s="47" t="s">
        <v>5290</v>
      </c>
      <c r="J525" s="47" t="s">
        <v>20</v>
      </c>
      <c r="K525" s="47" t="s">
        <v>5969</v>
      </c>
      <c r="L525" s="47"/>
      <c r="M525" s="49" t="s">
        <v>4794</v>
      </c>
    </row>
    <row r="526" spans="1:13">
      <c r="A526" s="48">
        <f t="shared" si="8"/>
        <v>525</v>
      </c>
      <c r="B526" s="47" t="s">
        <v>8</v>
      </c>
      <c r="C526" s="47" t="s">
        <v>6095</v>
      </c>
      <c r="D526" s="47" t="s">
        <v>4867</v>
      </c>
      <c r="E526" s="47" t="s">
        <v>5175</v>
      </c>
      <c r="F526" s="47" t="s">
        <v>4859</v>
      </c>
      <c r="G526" s="47" t="s">
        <v>14</v>
      </c>
      <c r="H526" s="47" t="str">
        <f>IFERROR(VLOOKUP(Table2[[#This Row], [Ticket]],Okey!A:B,2,0),"")</f>
        <v>ok</v>
      </c>
      <c r="I526" s="47" t="s">
        <v>5290</v>
      </c>
      <c r="J526" s="47" t="s">
        <v>20</v>
      </c>
      <c r="K526" s="47" t="s">
        <v>5969</v>
      </c>
      <c r="L526" s="47"/>
      <c r="M526" s="49" t="s">
        <v>4794</v>
      </c>
    </row>
    <row r="527" spans="1:13">
      <c r="A527" s="48">
        <f t="shared" si="8"/>
        <v>526</v>
      </c>
      <c r="B527" s="47" t="s">
        <v>8</v>
      </c>
      <c r="C527" s="47" t="s">
        <v>6095</v>
      </c>
      <c r="D527" s="47" t="s">
        <v>4868</v>
      </c>
      <c r="E527" s="47" t="s">
        <v>5176</v>
      </c>
      <c r="F527" s="47" t="s">
        <v>4859</v>
      </c>
      <c r="G527" s="47" t="s">
        <v>14</v>
      </c>
      <c r="H527" s="47" t="str">
        <f>IFERROR(VLOOKUP(Table2[[#This Row], [Ticket]],Okey!A:B,2,0),"")</f>
        <v>ok</v>
      </c>
      <c r="I527" s="47" t="s">
        <v>5290</v>
      </c>
      <c r="J527" s="47" t="s">
        <v>20</v>
      </c>
      <c r="K527" s="47" t="s">
        <v>5969</v>
      </c>
      <c r="L527" s="47"/>
      <c r="M527" s="49" t="s">
        <v>4794</v>
      </c>
    </row>
    <row r="528" spans="1:13">
      <c r="A528" s="48">
        <f t="shared" si="8"/>
        <v>527</v>
      </c>
      <c r="B528" s="47" t="s">
        <v>8</v>
      </c>
      <c r="C528" s="47" t="s">
        <v>6095</v>
      </c>
      <c r="D528" s="47" t="s">
        <v>4870</v>
      </c>
      <c r="E528" s="47" t="s">
        <v>5177</v>
      </c>
      <c r="F528" s="47" t="s">
        <v>4859</v>
      </c>
      <c r="G528" s="47" t="s">
        <v>14</v>
      </c>
      <c r="H528" s="47" t="str">
        <f>IFERROR(VLOOKUP(Table2[[#This Row], [Ticket]],Okey!A:B,2,0),"")</f>
        <v>ok</v>
      </c>
      <c r="I528" s="47" t="s">
        <v>5290</v>
      </c>
      <c r="J528" s="47" t="s">
        <v>20</v>
      </c>
      <c r="K528" s="47" t="s">
        <v>5969</v>
      </c>
      <c r="L528" s="47"/>
      <c r="M528" s="49" t="s">
        <v>4794</v>
      </c>
    </row>
    <row r="529" spans="1:13">
      <c r="A529" s="48">
        <f t="shared" si="8"/>
        <v>528</v>
      </c>
      <c r="B529" s="47" t="s">
        <v>8</v>
      </c>
      <c r="C529" s="47" t="s">
        <v>6095</v>
      </c>
      <c r="D529" s="47" t="s">
        <v>4871</v>
      </c>
      <c r="E529" s="47" t="s">
        <v>5178</v>
      </c>
      <c r="F529" s="47" t="s">
        <v>4859</v>
      </c>
      <c r="G529" s="47" t="s">
        <v>14</v>
      </c>
      <c r="H529" s="47" t="str">
        <f>IFERROR(VLOOKUP(Table2[[#This Row], [Ticket]],Okey!A:B,2,0),"")</f>
        <v>ok</v>
      </c>
      <c r="I529" s="47" t="s">
        <v>5290</v>
      </c>
      <c r="J529" s="47" t="s">
        <v>20</v>
      </c>
      <c r="K529" s="47" t="s">
        <v>5969</v>
      </c>
      <c r="L529" s="47"/>
      <c r="M529" s="49" t="s">
        <v>4794</v>
      </c>
    </row>
    <row r="530" spans="1:13">
      <c r="A530" s="48">
        <f t="shared" si="8"/>
        <v>529</v>
      </c>
      <c r="B530" s="47" t="s">
        <v>8</v>
      </c>
      <c r="C530" s="47" t="s">
        <v>6095</v>
      </c>
      <c r="D530" s="47" t="s">
        <v>4873</v>
      </c>
      <c r="E530" s="47" t="s">
        <v>5179</v>
      </c>
      <c r="F530" s="47" t="s">
        <v>4861</v>
      </c>
      <c r="G530" s="47" t="s">
        <v>14</v>
      </c>
      <c r="H530" s="47" t="str">
        <f>IFERROR(VLOOKUP(Table2[[#This Row], [Ticket]],Okey!A:B,2,0),"")</f>
        <v>ok</v>
      </c>
      <c r="I530" s="47" t="s">
        <v>5290</v>
      </c>
      <c r="J530" s="47" t="s">
        <v>20</v>
      </c>
      <c r="K530" s="47" t="s">
        <v>5969</v>
      </c>
      <c r="L530" s="47"/>
      <c r="M530" s="49" t="s">
        <v>4794</v>
      </c>
    </row>
    <row r="531" spans="1:13">
      <c r="A531" s="48">
        <f t="shared" si="8"/>
        <v>530</v>
      </c>
      <c r="B531" s="47" t="s">
        <v>8</v>
      </c>
      <c r="C531" s="47" t="s">
        <v>6095</v>
      </c>
      <c r="D531" s="47" t="s">
        <v>4875</v>
      </c>
      <c r="E531" s="47" t="s">
        <v>5180</v>
      </c>
      <c r="F531" s="47" t="s">
        <v>4861</v>
      </c>
      <c r="G531" s="47" t="s">
        <v>14</v>
      </c>
      <c r="H531" s="47" t="str">
        <f>IFERROR(VLOOKUP(Table2[[#This Row], [Ticket]],Okey!A:B,2,0),"")</f>
        <v>ok</v>
      </c>
      <c r="I531" s="47" t="s">
        <v>5290</v>
      </c>
      <c r="J531" s="47" t="s">
        <v>20</v>
      </c>
      <c r="K531" s="47" t="s">
        <v>5969</v>
      </c>
      <c r="L531" s="47"/>
      <c r="M531" s="49" t="s">
        <v>4794</v>
      </c>
    </row>
    <row r="532" spans="1:13">
      <c r="A532" s="48">
        <f t="shared" si="8"/>
        <v>531</v>
      </c>
      <c r="B532" s="47" t="s">
        <v>8</v>
      </c>
      <c r="C532" s="47" t="s">
        <v>6095</v>
      </c>
      <c r="D532" s="47" t="s">
        <v>4877</v>
      </c>
      <c r="E532" s="47" t="s">
        <v>5181</v>
      </c>
      <c r="F532" s="47" t="s">
        <v>4861</v>
      </c>
      <c r="G532" s="47" t="s">
        <v>14</v>
      </c>
      <c r="H532" s="47" t="str">
        <f>IFERROR(VLOOKUP(Table2[[#This Row], [Ticket]],Okey!A:B,2,0),"")</f>
        <v>ok</v>
      </c>
      <c r="I532" s="47" t="s">
        <v>5290</v>
      </c>
      <c r="J532" s="47" t="s">
        <v>20</v>
      </c>
      <c r="K532" s="47" t="s">
        <v>5969</v>
      </c>
      <c r="L532" s="47"/>
      <c r="M532" s="49" t="s">
        <v>4794</v>
      </c>
    </row>
    <row r="533" spans="1:13">
      <c r="A533" s="48">
        <f t="shared" si="8"/>
        <v>532</v>
      </c>
      <c r="B533" s="47" t="s">
        <v>8</v>
      </c>
      <c r="C533" s="47" t="s">
        <v>6095</v>
      </c>
      <c r="D533" s="47" t="s">
        <v>4879</v>
      </c>
      <c r="E533" s="47" t="s">
        <v>5182</v>
      </c>
      <c r="F533" s="47" t="s">
        <v>4861</v>
      </c>
      <c r="G533" s="47" t="s">
        <v>14</v>
      </c>
      <c r="H533" s="47" t="str">
        <f>IFERROR(VLOOKUP(Table2[[#This Row], [Ticket]],Okey!A:B,2,0),"")</f>
        <v>ok</v>
      </c>
      <c r="I533" s="47" t="s">
        <v>5290</v>
      </c>
      <c r="J533" s="47" t="s">
        <v>20</v>
      </c>
      <c r="K533" s="47" t="s">
        <v>5969</v>
      </c>
      <c r="L533" s="47"/>
      <c r="M533" s="49" t="s">
        <v>4794</v>
      </c>
    </row>
    <row r="534" spans="1:13">
      <c r="A534" s="48">
        <f t="shared" si="8"/>
        <v>533</v>
      </c>
      <c r="B534" s="47" t="s">
        <v>8</v>
      </c>
      <c r="C534" s="47" t="s">
        <v>6095</v>
      </c>
      <c r="D534" s="47" t="s">
        <v>4882</v>
      </c>
      <c r="E534" s="47" t="s">
        <v>5183</v>
      </c>
      <c r="F534" s="47" t="s">
        <v>4861</v>
      </c>
      <c r="G534" s="47" t="s">
        <v>14</v>
      </c>
      <c r="H534" s="47" t="str">
        <f>IFERROR(VLOOKUP(Table2[[#This Row], [Ticket]],Okey!A:B,2,0),"")</f>
        <v>ok</v>
      </c>
      <c r="I534" s="47" t="s">
        <v>5290</v>
      </c>
      <c r="J534" s="47" t="s">
        <v>20</v>
      </c>
      <c r="K534" s="47" t="s">
        <v>5969</v>
      </c>
      <c r="L534" s="47"/>
      <c r="M534" s="49" t="s">
        <v>4794</v>
      </c>
    </row>
    <row r="535" spans="1:13">
      <c r="A535" s="48">
        <f t="shared" si="8"/>
        <v>534</v>
      </c>
      <c r="B535" s="47" t="s">
        <v>8</v>
      </c>
      <c r="C535" s="47" t="s">
        <v>6095</v>
      </c>
      <c r="D535" s="47" t="s">
        <v>4884</v>
      </c>
      <c r="E535" s="47" t="s">
        <v>4732</v>
      </c>
      <c r="F535" s="47" t="s">
        <v>4863</v>
      </c>
      <c r="G535" s="47" t="s">
        <v>14</v>
      </c>
      <c r="H535" s="47" t="str">
        <f>IFERROR(VLOOKUP(Table2[[#This Row], [Ticket]],Okey!A:B,2,0),"")</f>
        <v>ok</v>
      </c>
      <c r="I535" s="47" t="s">
        <v>5290</v>
      </c>
      <c r="J535" s="47" t="s">
        <v>20</v>
      </c>
      <c r="K535" s="47" t="s">
        <v>5969</v>
      </c>
      <c r="L535" s="47"/>
      <c r="M535" s="49" t="s">
        <v>4794</v>
      </c>
    </row>
    <row r="536" spans="1:13">
      <c r="A536" s="48">
        <f t="shared" si="8"/>
        <v>535</v>
      </c>
      <c r="B536" s="47" t="s">
        <v>8</v>
      </c>
      <c r="C536" s="47" t="s">
        <v>6095</v>
      </c>
      <c r="D536" s="47" t="s">
        <v>4887</v>
      </c>
      <c r="E536" s="47" t="s">
        <v>5184</v>
      </c>
      <c r="F536" s="47" t="s">
        <v>4865</v>
      </c>
      <c r="G536" s="47" t="s">
        <v>14</v>
      </c>
      <c r="H536" s="47" t="str">
        <f>IFERROR(VLOOKUP(Table2[[#This Row], [Ticket]],Okey!A:B,2,0),"")</f>
        <v>ok</v>
      </c>
      <c r="I536" s="47" t="s">
        <v>5290</v>
      </c>
      <c r="J536" s="47" t="s">
        <v>20</v>
      </c>
      <c r="K536" s="47" t="s">
        <v>5969</v>
      </c>
      <c r="L536" s="47"/>
      <c r="M536" s="49" t="s">
        <v>4794</v>
      </c>
    </row>
    <row r="537" spans="1:13">
      <c r="A537" s="48">
        <f t="shared" si="8"/>
        <v>536</v>
      </c>
      <c r="B537" s="47" t="s">
        <v>8</v>
      </c>
      <c r="C537" s="47" t="s">
        <v>6095</v>
      </c>
      <c r="D537" s="47" t="s">
        <v>4889</v>
      </c>
      <c r="E537" s="47" t="s">
        <v>5185</v>
      </c>
      <c r="F537" s="47" t="s">
        <v>4865</v>
      </c>
      <c r="G537" s="47" t="s">
        <v>14</v>
      </c>
      <c r="H537" s="47" t="str">
        <f>IFERROR(VLOOKUP(Table2[[#This Row], [Ticket]],Okey!A:B,2,0),"")</f>
        <v>ok</v>
      </c>
      <c r="I537" s="47" t="s">
        <v>5290</v>
      </c>
      <c r="J537" s="47" t="s">
        <v>20</v>
      </c>
      <c r="K537" s="47" t="s">
        <v>5969</v>
      </c>
      <c r="L537" s="47"/>
      <c r="M537" s="49" t="s">
        <v>4794</v>
      </c>
    </row>
    <row r="538" spans="1:13">
      <c r="A538" s="48">
        <f t="shared" si="8"/>
        <v>537</v>
      </c>
      <c r="B538" s="47" t="s">
        <v>8</v>
      </c>
      <c r="C538" s="47" t="s">
        <v>6095</v>
      </c>
      <c r="D538" s="47" t="s">
        <v>4891</v>
      </c>
      <c r="E538" s="47" t="s">
        <v>5186</v>
      </c>
      <c r="F538" s="47" t="s">
        <v>4865</v>
      </c>
      <c r="G538" s="47" t="s">
        <v>14</v>
      </c>
      <c r="H538" s="47" t="str">
        <f>IFERROR(VLOOKUP(Table2[[#This Row], [Ticket]],Okey!A:B,2,0),"")</f>
        <v>ok</v>
      </c>
      <c r="I538" s="47" t="s">
        <v>5290</v>
      </c>
      <c r="J538" s="47" t="s">
        <v>20</v>
      </c>
      <c r="K538" s="47" t="s">
        <v>5969</v>
      </c>
      <c r="L538" s="47"/>
      <c r="M538" s="49" t="s">
        <v>4794</v>
      </c>
    </row>
    <row r="539" spans="1:13">
      <c r="A539" s="48">
        <f t="shared" si="8"/>
        <v>538</v>
      </c>
      <c r="B539" s="47" t="s">
        <v>8</v>
      </c>
      <c r="C539" s="47" t="s">
        <v>6095</v>
      </c>
      <c r="D539" s="47" t="s">
        <v>4893</v>
      </c>
      <c r="E539" s="47" t="s">
        <v>5187</v>
      </c>
      <c r="F539" s="47" t="s">
        <v>4865</v>
      </c>
      <c r="G539" s="47" t="s">
        <v>14</v>
      </c>
      <c r="H539" s="47" t="str">
        <f>IFERROR(VLOOKUP(Table2[[#This Row], [Ticket]],Okey!A:B,2,0),"")</f>
        <v>ok</v>
      </c>
      <c r="I539" s="47" t="s">
        <v>5290</v>
      </c>
      <c r="J539" s="47" t="s">
        <v>20</v>
      </c>
      <c r="K539" s="47" t="s">
        <v>5969</v>
      </c>
      <c r="L539" s="47"/>
      <c r="M539" s="49" t="s">
        <v>4794</v>
      </c>
    </row>
    <row r="540" spans="1:13">
      <c r="A540" s="48">
        <f t="shared" si="8"/>
        <v>539</v>
      </c>
      <c r="B540" s="47" t="s">
        <v>8</v>
      </c>
      <c r="C540" s="47" t="s">
        <v>6095</v>
      </c>
      <c r="D540" s="47" t="s">
        <v>4895</v>
      </c>
      <c r="E540" s="47" t="s">
        <v>5188</v>
      </c>
      <c r="F540" s="47" t="s">
        <v>4865</v>
      </c>
      <c r="G540" s="47" t="s">
        <v>14</v>
      </c>
      <c r="H540" s="47" t="str">
        <f>IFERROR(VLOOKUP(Table2[[#This Row], [Ticket]],Okey!A:B,2,0),"")</f>
        <v>ok</v>
      </c>
      <c r="I540" s="47" t="s">
        <v>5290</v>
      </c>
      <c r="J540" s="47" t="s">
        <v>20</v>
      </c>
      <c r="K540" s="47" t="s">
        <v>5969</v>
      </c>
      <c r="L540" s="47"/>
      <c r="M540" s="49" t="s">
        <v>4794</v>
      </c>
    </row>
    <row r="541" spans="1:13">
      <c r="A541" s="48">
        <f t="shared" si="8"/>
        <v>540</v>
      </c>
      <c r="B541" s="47" t="s">
        <v>8</v>
      </c>
      <c r="C541" s="47" t="s">
        <v>6095</v>
      </c>
      <c r="D541" s="47" t="s">
        <v>4897</v>
      </c>
      <c r="E541" s="47" t="s">
        <v>5189</v>
      </c>
      <c r="F541" s="47" t="s">
        <v>4867</v>
      </c>
      <c r="G541" s="47" t="s">
        <v>14</v>
      </c>
      <c r="H541" s="47" t="str">
        <f>IFERROR(VLOOKUP(Table2[[#This Row], [Ticket]],Okey!A:B,2,0),"")</f>
        <v>ok</v>
      </c>
      <c r="I541" s="47" t="s">
        <v>5290</v>
      </c>
      <c r="J541" s="47" t="s">
        <v>20</v>
      </c>
      <c r="K541" s="47" t="s">
        <v>5969</v>
      </c>
      <c r="L541" s="47"/>
      <c r="M541" s="49" t="s">
        <v>4794</v>
      </c>
    </row>
    <row r="542" spans="1:13">
      <c r="A542" s="48">
        <f t="shared" si="8"/>
        <v>541</v>
      </c>
      <c r="B542" s="47" t="s">
        <v>8</v>
      </c>
      <c r="C542" s="47" t="s">
        <v>6095</v>
      </c>
      <c r="D542" s="47" t="s">
        <v>4899</v>
      </c>
      <c r="E542" s="47" t="s">
        <v>5190</v>
      </c>
      <c r="F542" s="47" t="s">
        <v>4867</v>
      </c>
      <c r="G542" s="47" t="s">
        <v>14</v>
      </c>
      <c r="H542" s="47" t="str">
        <f>IFERROR(VLOOKUP(Table2[[#This Row], [Ticket]],Okey!A:B,2,0),"")</f>
        <v>ok</v>
      </c>
      <c r="I542" s="47" t="s">
        <v>5290</v>
      </c>
      <c r="J542" s="47" t="s">
        <v>20</v>
      </c>
      <c r="K542" s="47" t="s">
        <v>5969</v>
      </c>
      <c r="L542" s="47"/>
      <c r="M542" s="49" t="s">
        <v>4794</v>
      </c>
    </row>
    <row r="543" spans="1:13">
      <c r="A543" s="48">
        <f t="shared" si="8"/>
        <v>542</v>
      </c>
      <c r="B543" s="47" t="s">
        <v>8</v>
      </c>
      <c r="C543" s="47" t="s">
        <v>6095</v>
      </c>
      <c r="D543" s="47" t="s">
        <v>4901</v>
      </c>
      <c r="E543" s="47" t="s">
        <v>5191</v>
      </c>
      <c r="F543" s="47" t="s">
        <v>4867</v>
      </c>
      <c r="G543" s="47" t="s">
        <v>14</v>
      </c>
      <c r="H543" s="47" t="str">
        <f>IFERROR(VLOOKUP(Table2[[#This Row], [Ticket]],Okey!A:B,2,0),"")</f>
        <v>ok</v>
      </c>
      <c r="I543" s="47" t="s">
        <v>5290</v>
      </c>
      <c r="J543" s="47" t="s">
        <v>20</v>
      </c>
      <c r="K543" s="47" t="s">
        <v>5969</v>
      </c>
      <c r="L543" s="47"/>
      <c r="M543" s="49" t="s">
        <v>4794</v>
      </c>
    </row>
    <row r="544" spans="1:13">
      <c r="A544" s="48">
        <f t="shared" si="8"/>
        <v>543</v>
      </c>
      <c r="B544" s="47" t="s">
        <v>8</v>
      </c>
      <c r="C544" s="47" t="s">
        <v>6095</v>
      </c>
      <c r="D544" s="47" t="s">
        <v>4903</v>
      </c>
      <c r="E544" s="47" t="s">
        <v>5192</v>
      </c>
      <c r="F544" s="47" t="s">
        <v>4868</v>
      </c>
      <c r="G544" s="47" t="s">
        <v>14</v>
      </c>
      <c r="H544" s="47" t="str">
        <f>IFERROR(VLOOKUP(Table2[[#This Row], [Ticket]],Okey!A:B,2,0),"")</f>
        <v>ok</v>
      </c>
      <c r="I544" s="47" t="s">
        <v>5290</v>
      </c>
      <c r="J544" s="47" t="s">
        <v>20</v>
      </c>
      <c r="K544" s="47" t="s">
        <v>5969</v>
      </c>
      <c r="L544" s="47"/>
      <c r="M544" s="49" t="s">
        <v>4794</v>
      </c>
    </row>
    <row r="545" spans="1:13">
      <c r="A545" s="48">
        <f t="shared" si="8"/>
        <v>544</v>
      </c>
      <c r="B545" s="47" t="s">
        <v>8</v>
      </c>
      <c r="C545" s="47" t="s">
        <v>6095</v>
      </c>
      <c r="D545" s="47" t="s">
        <v>4905</v>
      </c>
      <c r="E545" s="47" t="s">
        <v>5193</v>
      </c>
      <c r="F545" s="47" t="s">
        <v>4868</v>
      </c>
      <c r="G545" s="47" t="s">
        <v>14</v>
      </c>
      <c r="H545" s="47" t="str">
        <f>IFERROR(VLOOKUP(Table2[[#This Row], [Ticket]],Okey!A:B,2,0),"")</f>
        <v>ok</v>
      </c>
      <c r="I545" s="47" t="s">
        <v>5290</v>
      </c>
      <c r="J545" s="47" t="s">
        <v>20</v>
      </c>
      <c r="K545" s="47" t="s">
        <v>5969</v>
      </c>
      <c r="L545" s="47"/>
      <c r="M545" s="49" t="s">
        <v>4794</v>
      </c>
    </row>
    <row r="546" spans="1:13">
      <c r="A546" s="48">
        <f t="shared" si="8"/>
        <v>545</v>
      </c>
      <c r="B546" s="47" t="s">
        <v>8</v>
      </c>
      <c r="C546" s="47" t="s">
        <v>6095</v>
      </c>
      <c r="D546" s="47" t="s">
        <v>4907</v>
      </c>
      <c r="E546" s="47" t="s">
        <v>5194</v>
      </c>
      <c r="F546" s="47" t="s">
        <v>4868</v>
      </c>
      <c r="G546" s="47" t="s">
        <v>14</v>
      </c>
      <c r="H546" s="47" t="str">
        <f>IFERROR(VLOOKUP(Table2[[#This Row], [Ticket]],Okey!A:B,2,0),"")</f>
        <v>ok</v>
      </c>
      <c r="I546" s="47" t="s">
        <v>5290</v>
      </c>
      <c r="J546" s="47" t="s">
        <v>20</v>
      </c>
      <c r="K546" s="47" t="s">
        <v>5969</v>
      </c>
      <c r="L546" s="47"/>
      <c r="M546" s="49" t="s">
        <v>4794</v>
      </c>
    </row>
    <row r="547" spans="1:13">
      <c r="A547" s="48">
        <f t="shared" si="8"/>
        <v>546</v>
      </c>
      <c r="B547" s="47" t="s">
        <v>8</v>
      </c>
      <c r="C547" s="47" t="s">
        <v>6095</v>
      </c>
      <c r="D547" s="47" t="s">
        <v>4909</v>
      </c>
      <c r="E547" s="47" t="s">
        <v>5195</v>
      </c>
      <c r="F547" s="47" t="s">
        <v>4870</v>
      </c>
      <c r="G547" s="47" t="s">
        <v>14</v>
      </c>
      <c r="H547" s="47" t="str">
        <f>IFERROR(VLOOKUP(Table2[[#This Row], [Ticket]],Okey!A:B,2,0),"")</f>
        <v>ok</v>
      </c>
      <c r="I547" s="47" t="s">
        <v>5290</v>
      </c>
      <c r="J547" s="47" t="s">
        <v>20</v>
      </c>
      <c r="K547" s="47" t="s">
        <v>5969</v>
      </c>
      <c r="L547" s="47"/>
      <c r="M547" s="49" t="s">
        <v>4794</v>
      </c>
    </row>
    <row r="548" spans="1:13">
      <c r="A548" s="48">
        <f t="shared" si="8"/>
        <v>547</v>
      </c>
      <c r="B548" s="47" t="s">
        <v>8</v>
      </c>
      <c r="C548" s="47" t="s">
        <v>6095</v>
      </c>
      <c r="D548" s="47" t="s">
        <v>4910</v>
      </c>
      <c r="E548" s="47" t="s">
        <v>5196</v>
      </c>
      <c r="F548" s="47" t="s">
        <v>4870</v>
      </c>
      <c r="G548" s="47" t="s">
        <v>14</v>
      </c>
      <c r="H548" s="47" t="str">
        <f>IFERROR(VLOOKUP(Table2[[#This Row], [Ticket]],Okey!A:B,2,0),"")</f>
        <v>ok</v>
      </c>
      <c r="I548" s="47" t="s">
        <v>5290</v>
      </c>
      <c r="J548" s="47" t="s">
        <v>20</v>
      </c>
      <c r="K548" s="47" t="s">
        <v>5969</v>
      </c>
      <c r="L548" s="47"/>
      <c r="M548" s="49" t="s">
        <v>4794</v>
      </c>
    </row>
    <row r="549" spans="1:13">
      <c r="A549" s="48">
        <f t="shared" si="8"/>
        <v>548</v>
      </c>
      <c r="B549" s="47" t="s">
        <v>8</v>
      </c>
      <c r="C549" s="47" t="s">
        <v>6095</v>
      </c>
      <c r="D549" s="47" t="s">
        <v>4911</v>
      </c>
      <c r="E549" s="47" t="s">
        <v>5197</v>
      </c>
      <c r="F549" s="47" t="s">
        <v>4870</v>
      </c>
      <c r="G549" s="47" t="s">
        <v>14</v>
      </c>
      <c r="H549" s="47" t="str">
        <f>IFERROR(VLOOKUP(Table2[[#This Row], [Ticket]],Okey!A:B,2,0),"")</f>
        <v>ok</v>
      </c>
      <c r="I549" s="47" t="s">
        <v>5290</v>
      </c>
      <c r="J549" s="47" t="s">
        <v>20</v>
      </c>
      <c r="K549" s="47" t="s">
        <v>5969</v>
      </c>
      <c r="L549" s="47"/>
      <c r="M549" s="49" t="s">
        <v>4794</v>
      </c>
    </row>
    <row r="550" spans="1:13">
      <c r="A550" s="48">
        <f t="shared" si="8"/>
        <v>549</v>
      </c>
      <c r="B550" s="47" t="s">
        <v>8</v>
      </c>
      <c r="C550" s="47" t="s">
        <v>6095</v>
      </c>
      <c r="D550" s="47" t="s">
        <v>4912</v>
      </c>
      <c r="E550" s="47" t="s">
        <v>5198</v>
      </c>
      <c r="F550" s="47" t="s">
        <v>4873</v>
      </c>
      <c r="G550" s="47" t="s">
        <v>14</v>
      </c>
      <c r="H550" s="47" t="str">
        <f>IFERROR(VLOOKUP(Table2[[#This Row], [Ticket]],Okey!A:B,2,0),"")</f>
        <v>ok</v>
      </c>
      <c r="I550" s="47" t="s">
        <v>5290</v>
      </c>
      <c r="J550" s="47" t="s">
        <v>20</v>
      </c>
      <c r="K550" s="47" t="s">
        <v>5969</v>
      </c>
      <c r="L550" s="47"/>
      <c r="M550" s="49" t="s">
        <v>4794</v>
      </c>
    </row>
    <row r="551" spans="1:13">
      <c r="A551" s="48">
        <f t="shared" si="8"/>
        <v>550</v>
      </c>
      <c r="B551" s="47" t="s">
        <v>8</v>
      </c>
      <c r="C551" s="47" t="s">
        <v>6095</v>
      </c>
      <c r="D551" s="47" t="s">
        <v>4913</v>
      </c>
      <c r="E551" s="47" t="s">
        <v>5199</v>
      </c>
      <c r="F551" s="47" t="s">
        <v>4873</v>
      </c>
      <c r="G551" s="47" t="s">
        <v>14</v>
      </c>
      <c r="H551" s="47" t="str">
        <f>IFERROR(VLOOKUP(Table2[[#This Row], [Ticket]],Okey!A:B,2,0),"")</f>
        <v>ok</v>
      </c>
      <c r="I551" s="47" t="s">
        <v>5290</v>
      </c>
      <c r="J551" s="47" t="s">
        <v>20</v>
      </c>
      <c r="K551" s="47" t="s">
        <v>5969</v>
      </c>
      <c r="L551" s="47"/>
      <c r="M551" s="49" t="s">
        <v>4794</v>
      </c>
    </row>
    <row r="552" spans="1:13">
      <c r="A552" s="48">
        <f t="shared" si="8"/>
        <v>551</v>
      </c>
      <c r="B552" s="47" t="s">
        <v>8</v>
      </c>
      <c r="C552" s="47" t="s">
        <v>6095</v>
      </c>
      <c r="D552" s="47" t="s">
        <v>4914</v>
      </c>
      <c r="E552" s="47" t="s">
        <v>5200</v>
      </c>
      <c r="F552" s="47" t="s">
        <v>4873</v>
      </c>
      <c r="G552" s="47" t="s">
        <v>14</v>
      </c>
      <c r="H552" s="47" t="str">
        <f>IFERROR(VLOOKUP(Table2[[#This Row], [Ticket]],Okey!A:B,2,0),"")</f>
        <v>ok</v>
      </c>
      <c r="I552" s="47" t="s">
        <v>5290</v>
      </c>
      <c r="J552" s="47" t="s">
        <v>20</v>
      </c>
      <c r="K552" s="47" t="s">
        <v>5969</v>
      </c>
      <c r="L552" s="47"/>
      <c r="M552" s="49" t="s">
        <v>4794</v>
      </c>
    </row>
    <row r="553" spans="1:13">
      <c r="A553" s="48">
        <f t="shared" si="8"/>
        <v>552</v>
      </c>
      <c r="B553" s="47" t="s">
        <v>8</v>
      </c>
      <c r="C553" s="47" t="s">
        <v>6095</v>
      </c>
      <c r="D553" s="47" t="s">
        <v>4915</v>
      </c>
      <c r="E553" s="47" t="s">
        <v>5201</v>
      </c>
      <c r="F553" s="47" t="s">
        <v>4875</v>
      </c>
      <c r="G553" s="47" t="s">
        <v>14</v>
      </c>
      <c r="H553" s="47" t="str">
        <f>IFERROR(VLOOKUP(Table2[[#This Row], [Ticket]],Okey!A:B,2,0),"")</f>
        <v>ok</v>
      </c>
      <c r="I553" s="47" t="s">
        <v>5290</v>
      </c>
      <c r="J553" s="47" t="s">
        <v>20</v>
      </c>
      <c r="K553" s="47" t="s">
        <v>5969</v>
      </c>
      <c r="L553" s="47"/>
      <c r="M553" s="49" t="s">
        <v>4794</v>
      </c>
    </row>
    <row r="554" spans="1:13">
      <c r="A554" s="48">
        <f t="shared" si="8"/>
        <v>553</v>
      </c>
      <c r="B554" s="47" t="s">
        <v>8</v>
      </c>
      <c r="C554" s="47" t="s">
        <v>6095</v>
      </c>
      <c r="D554" s="47" t="s">
        <v>4916</v>
      </c>
      <c r="E554" s="47" t="s">
        <v>5202</v>
      </c>
      <c r="F554" s="47" t="s">
        <v>4875</v>
      </c>
      <c r="G554" s="47" t="s">
        <v>14</v>
      </c>
      <c r="H554" s="47" t="str">
        <f>IFERROR(VLOOKUP(Table2[[#This Row], [Ticket]],Okey!A:B,2,0),"")</f>
        <v>ok</v>
      </c>
      <c r="I554" s="47" t="s">
        <v>5290</v>
      </c>
      <c r="J554" s="47" t="s">
        <v>20</v>
      </c>
      <c r="K554" s="47" t="s">
        <v>5969</v>
      </c>
      <c r="L554" s="47"/>
      <c r="M554" s="49" t="s">
        <v>4794</v>
      </c>
    </row>
    <row r="555" spans="1:13">
      <c r="A555" s="48">
        <f t="shared" si="8"/>
        <v>554</v>
      </c>
      <c r="B555" s="47" t="s">
        <v>8</v>
      </c>
      <c r="C555" s="47" t="s">
        <v>6095</v>
      </c>
      <c r="D555" s="47" t="s">
        <v>4917</v>
      </c>
      <c r="E555" s="47" t="s">
        <v>5203</v>
      </c>
      <c r="F555" s="47" t="s">
        <v>4875</v>
      </c>
      <c r="G555" s="47" t="s">
        <v>14</v>
      </c>
      <c r="H555" s="47" t="str">
        <f>IFERROR(VLOOKUP(Table2[[#This Row], [Ticket]],Okey!A:B,2,0),"")</f>
        <v>ok</v>
      </c>
      <c r="I555" s="47" t="s">
        <v>5290</v>
      </c>
      <c r="J555" s="47" t="s">
        <v>20</v>
      </c>
      <c r="K555" s="47" t="s">
        <v>5969</v>
      </c>
      <c r="L555" s="47"/>
      <c r="M555" s="49" t="s">
        <v>4794</v>
      </c>
    </row>
    <row r="556" spans="1:13">
      <c r="A556" s="48">
        <f t="shared" si="8"/>
        <v>555</v>
      </c>
      <c r="B556" s="47" t="s">
        <v>8</v>
      </c>
      <c r="C556" s="47" t="s">
        <v>6095</v>
      </c>
      <c r="D556" s="47" t="s">
        <v>4918</v>
      </c>
      <c r="E556" s="47" t="s">
        <v>5204</v>
      </c>
      <c r="F556" s="47" t="s">
        <v>4877</v>
      </c>
      <c r="G556" s="47" t="s">
        <v>14</v>
      </c>
      <c r="H556" s="47" t="str">
        <f>IFERROR(VLOOKUP(Table2[[#This Row], [Ticket]],Okey!A:B,2,0),"")</f>
        <v>ok</v>
      </c>
      <c r="I556" s="47" t="s">
        <v>5290</v>
      </c>
      <c r="J556" s="47" t="s">
        <v>20</v>
      </c>
      <c r="K556" s="47" t="s">
        <v>5969</v>
      </c>
      <c r="L556" s="47"/>
      <c r="M556" s="49" t="s">
        <v>4794</v>
      </c>
    </row>
    <row r="557" spans="1:13">
      <c r="A557" s="48">
        <f t="shared" si="8"/>
        <v>556</v>
      </c>
      <c r="B557" s="47" t="s">
        <v>8</v>
      </c>
      <c r="C557" s="47" t="s">
        <v>6095</v>
      </c>
      <c r="D557" s="47" t="s">
        <v>4919</v>
      </c>
      <c r="E557" s="47" t="s">
        <v>5205</v>
      </c>
      <c r="F557" s="47" t="s">
        <v>4877</v>
      </c>
      <c r="G557" s="47" t="s">
        <v>14</v>
      </c>
      <c r="H557" s="47" t="str">
        <f>IFERROR(VLOOKUP(Table2[[#This Row], [Ticket]],Okey!A:B,2,0),"")</f>
        <v>ok</v>
      </c>
      <c r="I557" s="47" t="s">
        <v>5290</v>
      </c>
      <c r="J557" s="47" t="s">
        <v>20</v>
      </c>
      <c r="K557" s="47" t="s">
        <v>5969</v>
      </c>
      <c r="L557" s="47"/>
      <c r="M557" s="49" t="s">
        <v>4794</v>
      </c>
    </row>
    <row r="558" spans="1:13">
      <c r="A558" s="48">
        <f t="shared" si="8"/>
        <v>557</v>
      </c>
      <c r="B558" s="47" t="s">
        <v>8</v>
      </c>
      <c r="C558" s="47" t="s">
        <v>6095</v>
      </c>
      <c r="D558" s="47" t="s">
        <v>4920</v>
      </c>
      <c r="E558" s="47" t="s">
        <v>5206</v>
      </c>
      <c r="F558" s="47" t="s">
        <v>4877</v>
      </c>
      <c r="G558" s="47" t="s">
        <v>14</v>
      </c>
      <c r="H558" s="47" t="str">
        <f>IFERROR(VLOOKUP(Table2[[#This Row], [Ticket]],Okey!A:B,2,0),"")</f>
        <v>ok</v>
      </c>
      <c r="I558" s="47" t="s">
        <v>5290</v>
      </c>
      <c r="J558" s="47" t="s">
        <v>20</v>
      </c>
      <c r="K558" s="47" t="s">
        <v>5969</v>
      </c>
      <c r="L558" s="47"/>
      <c r="M558" s="49" t="s">
        <v>4794</v>
      </c>
    </row>
    <row r="559" spans="1:13">
      <c r="A559" s="48">
        <f t="shared" si="8"/>
        <v>558</v>
      </c>
      <c r="B559" s="47" t="s">
        <v>8</v>
      </c>
      <c r="C559" s="47" t="s">
        <v>6095</v>
      </c>
      <c r="D559" s="47" t="s">
        <v>4921</v>
      </c>
      <c r="E559" s="47" t="s">
        <v>5207</v>
      </c>
      <c r="F559" s="47" t="s">
        <v>4879</v>
      </c>
      <c r="G559" s="47" t="s">
        <v>14</v>
      </c>
      <c r="H559" s="47" t="str">
        <f>IFERROR(VLOOKUP(Table2[[#This Row], [Ticket]],Okey!A:B,2,0),"")</f>
        <v>ok</v>
      </c>
      <c r="I559" s="47" t="s">
        <v>5290</v>
      </c>
      <c r="J559" s="47" t="s">
        <v>20</v>
      </c>
      <c r="K559" s="47" t="s">
        <v>5969</v>
      </c>
      <c r="L559" s="47"/>
      <c r="M559" s="49" t="s">
        <v>4794</v>
      </c>
    </row>
    <row r="560" spans="1:13">
      <c r="A560" s="48">
        <f t="shared" si="8"/>
        <v>559</v>
      </c>
      <c r="B560" s="47" t="s">
        <v>8</v>
      </c>
      <c r="C560" s="47" t="s">
        <v>6095</v>
      </c>
      <c r="D560" s="47" t="s">
        <v>4922</v>
      </c>
      <c r="E560" s="47" t="s">
        <v>5208</v>
      </c>
      <c r="F560" s="47" t="s">
        <v>4879</v>
      </c>
      <c r="G560" s="47" t="s">
        <v>14</v>
      </c>
      <c r="H560" s="47" t="str">
        <f>IFERROR(VLOOKUP(Table2[[#This Row], [Ticket]],Okey!A:B,2,0),"")</f>
        <v>ok</v>
      </c>
      <c r="I560" s="47" t="s">
        <v>5290</v>
      </c>
      <c r="J560" s="47" t="s">
        <v>20</v>
      </c>
      <c r="K560" s="47" t="s">
        <v>5969</v>
      </c>
      <c r="L560" s="47"/>
      <c r="M560" s="49" t="s">
        <v>4794</v>
      </c>
    </row>
    <row r="561" spans="1:13">
      <c r="A561" s="48">
        <f t="shared" si="8"/>
        <v>560</v>
      </c>
      <c r="B561" s="47" t="s">
        <v>8</v>
      </c>
      <c r="C561" s="47" t="s">
        <v>6095</v>
      </c>
      <c r="D561" s="47" t="s">
        <v>4923</v>
      </c>
      <c r="E561" s="47" t="s">
        <v>5209</v>
      </c>
      <c r="F561" s="47" t="s">
        <v>4879</v>
      </c>
      <c r="G561" s="47" t="s">
        <v>14</v>
      </c>
      <c r="H561" s="47" t="str">
        <f>IFERROR(VLOOKUP(Table2[[#This Row], [Ticket]],Okey!A:B,2,0),"")</f>
        <v>ok</v>
      </c>
      <c r="I561" s="47" t="s">
        <v>5290</v>
      </c>
      <c r="J561" s="47" t="s">
        <v>20</v>
      </c>
      <c r="K561" s="47" t="s">
        <v>5969</v>
      </c>
      <c r="L561" s="47"/>
      <c r="M561" s="49" t="s">
        <v>4794</v>
      </c>
    </row>
    <row r="562" spans="1:13">
      <c r="A562" s="48">
        <f t="shared" si="8"/>
        <v>561</v>
      </c>
      <c r="B562" s="47" t="s">
        <v>8</v>
      </c>
      <c r="C562" s="47" t="s">
        <v>6095</v>
      </c>
      <c r="D562" s="47" t="s">
        <v>4924</v>
      </c>
      <c r="E562" s="47" t="s">
        <v>5210</v>
      </c>
      <c r="F562" s="47" t="s">
        <v>4882</v>
      </c>
      <c r="G562" s="47" t="s">
        <v>14</v>
      </c>
      <c r="H562" s="47" t="str">
        <f>IFERROR(VLOOKUP(Table2[[#This Row], [Ticket]],Okey!A:B,2,0),"")</f>
        <v>ok</v>
      </c>
      <c r="I562" s="47" t="s">
        <v>5290</v>
      </c>
      <c r="J562" s="47" t="s">
        <v>20</v>
      </c>
      <c r="K562" s="47" t="s">
        <v>5969</v>
      </c>
      <c r="L562" s="47"/>
      <c r="M562" s="49" t="s">
        <v>4794</v>
      </c>
    </row>
    <row r="563" spans="1:13">
      <c r="A563" s="48">
        <f t="shared" si="8"/>
        <v>562</v>
      </c>
      <c r="B563" s="47" t="s">
        <v>8</v>
      </c>
      <c r="C563" s="47" t="s">
        <v>6095</v>
      </c>
      <c r="D563" s="47" t="s">
        <v>4925</v>
      </c>
      <c r="E563" s="47" t="s">
        <v>5211</v>
      </c>
      <c r="F563" s="47" t="s">
        <v>4882</v>
      </c>
      <c r="G563" s="47" t="s">
        <v>14</v>
      </c>
      <c r="H563" s="47" t="str">
        <f>IFERROR(VLOOKUP(Table2[[#This Row], [Ticket]],Okey!A:B,2,0),"")</f>
        <v>ok</v>
      </c>
      <c r="I563" s="47" t="s">
        <v>5290</v>
      </c>
      <c r="J563" s="47" t="s">
        <v>20</v>
      </c>
      <c r="K563" s="47" t="s">
        <v>5969</v>
      </c>
      <c r="L563" s="47"/>
      <c r="M563" s="49" t="s">
        <v>4794</v>
      </c>
    </row>
    <row r="564" spans="1:13">
      <c r="A564" s="48">
        <f t="shared" si="8"/>
        <v>563</v>
      </c>
      <c r="B564" s="47" t="s">
        <v>8</v>
      </c>
      <c r="C564" s="47" t="s">
        <v>6095</v>
      </c>
      <c r="D564" s="47" t="s">
        <v>4926</v>
      </c>
      <c r="E564" s="47" t="s">
        <v>5212</v>
      </c>
      <c r="F564" s="47" t="s">
        <v>4882</v>
      </c>
      <c r="G564" s="47" t="s">
        <v>14</v>
      </c>
      <c r="H564" s="47" t="str">
        <f>IFERROR(VLOOKUP(Table2[[#This Row], [Ticket]],Okey!A:B,2,0),"")</f>
        <v>ok</v>
      </c>
      <c r="I564" s="47" t="s">
        <v>5290</v>
      </c>
      <c r="J564" s="47" t="s">
        <v>20</v>
      </c>
      <c r="K564" s="47" t="s">
        <v>5969</v>
      </c>
      <c r="L564" s="47"/>
      <c r="M564" s="49" t="s">
        <v>4794</v>
      </c>
    </row>
    <row r="565" spans="1:13">
      <c r="A565" s="48">
        <f t="shared" si="8"/>
        <v>564</v>
      </c>
      <c r="B565" s="47" t="s">
        <v>8</v>
      </c>
      <c r="C565" s="47" t="s">
        <v>6095</v>
      </c>
      <c r="D565" s="47" t="s">
        <v>4927</v>
      </c>
      <c r="E565" s="47" t="s">
        <v>5213</v>
      </c>
      <c r="F565" s="47" t="s">
        <v>3172</v>
      </c>
      <c r="G565" s="47" t="s">
        <v>14</v>
      </c>
      <c r="H565" s="47" t="str">
        <f>IFERROR(VLOOKUP(Table2[[#This Row], [Ticket]],Okey!A:B,2,0),"")</f>
        <v>ok</v>
      </c>
      <c r="I565" s="47" t="s">
        <v>5290</v>
      </c>
      <c r="J565" s="47" t="s">
        <v>20</v>
      </c>
      <c r="K565" s="47" t="s">
        <v>5969</v>
      </c>
      <c r="L565" s="47"/>
      <c r="M565" s="49" t="s">
        <v>4794</v>
      </c>
    </row>
    <row r="566" spans="1:13">
      <c r="A566" s="48">
        <f t="shared" si="8"/>
        <v>565</v>
      </c>
      <c r="B566" s="47" t="s">
        <v>8</v>
      </c>
      <c r="C566" s="47" t="s">
        <v>6095</v>
      </c>
      <c r="D566" s="47" t="s">
        <v>4928</v>
      </c>
      <c r="E566" s="47" t="s">
        <v>5214</v>
      </c>
      <c r="F566" s="47" t="s">
        <v>2742</v>
      </c>
      <c r="G566" s="47" t="s">
        <v>14</v>
      </c>
      <c r="H566" s="47" t="str">
        <f>IFERROR(VLOOKUP(Table2[[#This Row], [Ticket]],Okey!A:B,2,0),"")</f>
        <v>ok</v>
      </c>
      <c r="I566" s="47" t="s">
        <v>5290</v>
      </c>
      <c r="J566" s="47" t="s">
        <v>20</v>
      </c>
      <c r="K566" s="47" t="s">
        <v>5969</v>
      </c>
      <c r="L566" s="47"/>
      <c r="M566" s="49" t="s">
        <v>4794</v>
      </c>
    </row>
    <row r="567" spans="1:13">
      <c r="A567" s="48">
        <f t="shared" si="8"/>
        <v>566</v>
      </c>
      <c r="B567" s="47" t="s">
        <v>8</v>
      </c>
      <c r="C567" s="47" t="s">
        <v>6095</v>
      </c>
      <c r="D567" s="47" t="s">
        <v>4929</v>
      </c>
      <c r="E567" s="47" t="s">
        <v>5215</v>
      </c>
      <c r="F567" s="47" t="s">
        <v>2742</v>
      </c>
      <c r="G567" s="47" t="s">
        <v>14</v>
      </c>
      <c r="H567" s="47" t="str">
        <f>IFERROR(VLOOKUP(Table2[[#This Row], [Ticket]],Okey!A:B,2,0),"")</f>
        <v>ok</v>
      </c>
      <c r="I567" s="47" t="s">
        <v>5290</v>
      </c>
      <c r="J567" s="47" t="s">
        <v>20</v>
      </c>
      <c r="K567" s="47" t="s">
        <v>5969</v>
      </c>
      <c r="L567" s="47"/>
      <c r="M567" s="49" t="s">
        <v>4794</v>
      </c>
    </row>
    <row r="568" spans="1:13">
      <c r="A568" s="48">
        <f t="shared" si="8"/>
        <v>567</v>
      </c>
      <c r="B568" s="47" t="s">
        <v>8</v>
      </c>
      <c r="C568" s="47" t="s">
        <v>6095</v>
      </c>
      <c r="D568" s="47" t="s">
        <v>4930</v>
      </c>
      <c r="E568" s="47" t="s">
        <v>5216</v>
      </c>
      <c r="F568" s="47" t="s">
        <v>2742</v>
      </c>
      <c r="G568" s="47" t="s">
        <v>14</v>
      </c>
      <c r="H568" s="47" t="str">
        <f>IFERROR(VLOOKUP(Table2[[#This Row], [Ticket]],Okey!A:B,2,0),"")</f>
        <v>ok</v>
      </c>
      <c r="I568" s="47" t="s">
        <v>5290</v>
      </c>
      <c r="J568" s="47" t="s">
        <v>20</v>
      </c>
      <c r="K568" s="47" t="s">
        <v>5969</v>
      </c>
      <c r="L568" s="47"/>
      <c r="M568" s="49" t="s">
        <v>4794</v>
      </c>
    </row>
    <row r="569" spans="1:13">
      <c r="A569" s="48">
        <f t="shared" si="8"/>
        <v>568</v>
      </c>
      <c r="B569" s="47" t="s">
        <v>8</v>
      </c>
      <c r="C569" s="47" t="s">
        <v>6095</v>
      </c>
      <c r="D569" s="47" t="s">
        <v>4931</v>
      </c>
      <c r="E569" s="47" t="s">
        <v>5217</v>
      </c>
      <c r="F569" s="47" t="s">
        <v>2742</v>
      </c>
      <c r="G569" s="47" t="s">
        <v>14</v>
      </c>
      <c r="H569" s="47" t="str">
        <f>IFERROR(VLOOKUP(Table2[[#This Row], [Ticket]],Okey!A:B,2,0),"")</f>
        <v>ok</v>
      </c>
      <c r="I569" s="47" t="s">
        <v>5290</v>
      </c>
      <c r="J569" s="47" t="s">
        <v>20</v>
      </c>
      <c r="K569" s="47" t="s">
        <v>5969</v>
      </c>
      <c r="L569" s="47"/>
      <c r="M569" s="49" t="s">
        <v>4794</v>
      </c>
    </row>
    <row r="570" spans="1:13">
      <c r="A570" s="48">
        <f t="shared" si="8"/>
        <v>569</v>
      </c>
      <c r="B570" s="47" t="s">
        <v>8</v>
      </c>
      <c r="C570" s="47" t="s">
        <v>6095</v>
      </c>
      <c r="D570" s="47" t="s">
        <v>4932</v>
      </c>
      <c r="E570" s="47" t="s">
        <v>5218</v>
      </c>
      <c r="F570" s="47" t="s">
        <v>2742</v>
      </c>
      <c r="G570" s="47" t="s">
        <v>14</v>
      </c>
      <c r="H570" s="47" t="str">
        <f>IFERROR(VLOOKUP(Table2[[#This Row], [Ticket]],Okey!A:B,2,0),"")</f>
        <v>ok</v>
      </c>
      <c r="I570" s="47" t="s">
        <v>5290</v>
      </c>
      <c r="J570" s="47" t="s">
        <v>20</v>
      </c>
      <c r="K570" s="47" t="s">
        <v>5969</v>
      </c>
      <c r="L570" s="47"/>
      <c r="M570" s="49" t="s">
        <v>4794</v>
      </c>
    </row>
    <row r="571" spans="1:13">
      <c r="A571" s="48">
        <f t="shared" si="8"/>
        <v>570</v>
      </c>
      <c r="B571" s="47" t="s">
        <v>8</v>
      </c>
      <c r="C571" s="47" t="s">
        <v>6095</v>
      </c>
      <c r="D571" s="47" t="s">
        <v>4933</v>
      </c>
      <c r="E571" s="47" t="s">
        <v>5219</v>
      </c>
      <c r="F571" s="47" t="s">
        <v>3172</v>
      </c>
      <c r="G571" s="47" t="s">
        <v>14</v>
      </c>
      <c r="H571" s="47" t="str">
        <f>IFERROR(VLOOKUP(Table2[[#This Row], [Ticket]],Okey!A:B,2,0),"")</f>
        <v>ok</v>
      </c>
      <c r="I571" s="47" t="s">
        <v>5290</v>
      </c>
      <c r="J571" s="47" t="s">
        <v>20</v>
      </c>
      <c r="K571" s="47" t="s">
        <v>5969</v>
      </c>
      <c r="L571" s="47"/>
      <c r="M571" s="49" t="s">
        <v>4794</v>
      </c>
    </row>
    <row r="572" spans="1:13">
      <c r="A572" s="48">
        <f t="shared" si="8"/>
        <v>571</v>
      </c>
      <c r="B572" s="47" t="s">
        <v>8</v>
      </c>
      <c r="C572" s="47" t="s">
        <v>6095</v>
      </c>
      <c r="D572" s="47" t="s">
        <v>5220</v>
      </c>
      <c r="E572" s="47" t="s">
        <v>5221</v>
      </c>
      <c r="F572" s="47"/>
      <c r="G572" s="47" t="s">
        <v>15</v>
      </c>
      <c r="H572" s="47" t="str">
        <f>IFERROR(VLOOKUP(Table2[[#This Row], [Ticket]],Okey!A:B,2,0),"")</f>
        <v>ok</v>
      </c>
      <c r="I572" s="47" t="s">
        <v>5290</v>
      </c>
      <c r="J572" s="47" t="s">
        <v>20</v>
      </c>
      <c r="K572" s="47" t="s">
        <v>5969</v>
      </c>
      <c r="L572" s="47"/>
      <c r="M572" s="49" t="s">
        <v>4794</v>
      </c>
    </row>
    <row r="573" spans="1:13">
      <c r="A573" s="48">
        <f t="shared" si="8"/>
        <v>572</v>
      </c>
      <c r="B573" s="47" t="s">
        <v>8</v>
      </c>
      <c r="C573" s="47" t="s">
        <v>6095</v>
      </c>
      <c r="D573" s="47" t="s">
        <v>5222</v>
      </c>
      <c r="E573" s="47" t="s">
        <v>5223</v>
      </c>
      <c r="F573" s="47"/>
      <c r="G573" s="47" t="s">
        <v>15</v>
      </c>
      <c r="H573" s="47" t="str">
        <f>IFERROR(VLOOKUP(Table2[[#This Row], [Ticket]],Okey!A:B,2,0),"")</f>
        <v>ok</v>
      </c>
      <c r="I573" s="47" t="s">
        <v>5290</v>
      </c>
      <c r="J573" s="47" t="s">
        <v>20</v>
      </c>
      <c r="K573" s="47" t="s">
        <v>5969</v>
      </c>
      <c r="L573" s="47"/>
      <c r="M573" s="49" t="s">
        <v>4794</v>
      </c>
    </row>
    <row r="574" spans="1:13">
      <c r="A574" s="48">
        <f t="shared" si="8"/>
        <v>573</v>
      </c>
      <c r="B574" s="47" t="s">
        <v>8</v>
      </c>
      <c r="C574" s="47" t="s">
        <v>6095</v>
      </c>
      <c r="D574" s="47" t="s">
        <v>3161</v>
      </c>
      <c r="E574" s="47" t="s">
        <v>5224</v>
      </c>
      <c r="F574" s="47"/>
      <c r="G574" s="47" t="s">
        <v>15</v>
      </c>
      <c r="H574" s="47" t="str">
        <f>IFERROR(VLOOKUP(Table2[[#This Row], [Ticket]],Okey!A:B,2,0),"")</f>
        <v>ok</v>
      </c>
      <c r="I574" s="47" t="s">
        <v>5290</v>
      </c>
      <c r="J574" s="47" t="s">
        <v>20</v>
      </c>
      <c r="K574" s="47" t="s">
        <v>5969</v>
      </c>
      <c r="L574" s="47"/>
      <c r="M574" s="49" t="s">
        <v>4794</v>
      </c>
    </row>
    <row r="575" spans="1:13">
      <c r="A575" s="48">
        <f t="shared" si="8"/>
        <v>574</v>
      </c>
      <c r="B575" s="47" t="s">
        <v>8</v>
      </c>
      <c r="C575" s="47" t="s">
        <v>6095</v>
      </c>
      <c r="D575" s="47" t="s">
        <v>3163</v>
      </c>
      <c r="E575" s="47" t="s">
        <v>5225</v>
      </c>
      <c r="F575" s="47"/>
      <c r="G575" s="47" t="s">
        <v>15</v>
      </c>
      <c r="H575" s="47" t="str">
        <f>IFERROR(VLOOKUP(Table2[[#This Row], [Ticket]],Okey!A:B,2,0),"")</f>
        <v>ok</v>
      </c>
      <c r="I575" s="47" t="s">
        <v>5290</v>
      </c>
      <c r="J575" s="47" t="s">
        <v>20</v>
      </c>
      <c r="K575" s="47" t="s">
        <v>5969</v>
      </c>
      <c r="L575" s="47"/>
      <c r="M575" s="49" t="s">
        <v>4794</v>
      </c>
    </row>
    <row r="576" spans="1:13">
      <c r="A576" s="48">
        <f t="shared" si="8"/>
        <v>575</v>
      </c>
      <c r="B576" s="47" t="s">
        <v>8</v>
      </c>
      <c r="C576" s="47" t="s">
        <v>6095</v>
      </c>
      <c r="D576" s="47" t="s">
        <v>2441</v>
      </c>
      <c r="E576" s="47" t="s">
        <v>5226</v>
      </c>
      <c r="F576" s="47"/>
      <c r="G576" s="47" t="s">
        <v>15</v>
      </c>
      <c r="H576" s="47" t="str">
        <f>IFERROR(VLOOKUP(Table2[[#This Row], [Ticket]],Okey!A:B,2,0),"")</f>
        <v>ok</v>
      </c>
      <c r="I576" s="47" t="s">
        <v>5290</v>
      </c>
      <c r="J576" s="47" t="s">
        <v>20</v>
      </c>
      <c r="K576" s="47" t="s">
        <v>5969</v>
      </c>
      <c r="L576" s="47"/>
      <c r="M576" s="49" t="s">
        <v>4794</v>
      </c>
    </row>
    <row r="577" spans="1:13">
      <c r="A577" s="48">
        <f t="shared" si="8"/>
        <v>576</v>
      </c>
      <c r="B577" s="47" t="s">
        <v>8</v>
      </c>
      <c r="C577" s="47" t="s">
        <v>6095</v>
      </c>
      <c r="D577" s="47" t="s">
        <v>3167</v>
      </c>
      <c r="E577" s="47" t="s">
        <v>5227</v>
      </c>
      <c r="F577" s="47"/>
      <c r="G577" s="47" t="s">
        <v>15</v>
      </c>
      <c r="H577" s="47" t="str">
        <f>IFERROR(VLOOKUP(Table2[[#This Row], [Ticket]],Okey!A:B,2,0),"")</f>
        <v>ok</v>
      </c>
      <c r="I577" s="47" t="s">
        <v>5290</v>
      </c>
      <c r="J577" s="47" t="s">
        <v>20</v>
      </c>
      <c r="K577" s="47" t="s">
        <v>5969</v>
      </c>
      <c r="L577" s="47"/>
      <c r="M577" s="49" t="s">
        <v>4794</v>
      </c>
    </row>
    <row r="578" spans="1:13">
      <c r="A578" s="48">
        <f t="shared" si="8"/>
        <v>577</v>
      </c>
      <c r="B578" s="47" t="s">
        <v>8</v>
      </c>
      <c r="C578" s="47" t="s">
        <v>6095</v>
      </c>
      <c r="D578" s="47" t="s">
        <v>5228</v>
      </c>
      <c r="E578" s="47" t="s">
        <v>5229</v>
      </c>
      <c r="F578" s="47"/>
      <c r="G578" s="47" t="s">
        <v>15</v>
      </c>
      <c r="H578" s="47" t="str">
        <f>IFERROR(VLOOKUP(Table2[[#This Row], [Ticket]],Okey!A:B,2,0),"")</f>
        <v>ok</v>
      </c>
      <c r="I578" s="47" t="s">
        <v>5290</v>
      </c>
      <c r="J578" s="47" t="s">
        <v>20</v>
      </c>
      <c r="K578" s="47" t="s">
        <v>5969</v>
      </c>
      <c r="L578" s="47"/>
      <c r="M578" s="49" t="s">
        <v>4794</v>
      </c>
    </row>
    <row r="579" spans="1:13">
      <c r="A579" s="48">
        <f t="shared" ref="A579:A642" si="9">1+A578</f>
        <v>578</v>
      </c>
      <c r="B579" s="47" t="s">
        <v>8</v>
      </c>
      <c r="C579" s="47" t="s">
        <v>6095</v>
      </c>
      <c r="D579" s="47" t="s">
        <v>5230</v>
      </c>
      <c r="E579" s="47" t="s">
        <v>5231</v>
      </c>
      <c r="F579" s="47"/>
      <c r="G579" s="47" t="s">
        <v>15</v>
      </c>
      <c r="H579" s="47" t="str">
        <f>IFERROR(VLOOKUP(Table2[[#This Row], [Ticket]],Okey!A:B,2,0),"")</f>
        <v>ok</v>
      </c>
      <c r="I579" s="47" t="s">
        <v>5290</v>
      </c>
      <c r="J579" s="47" t="s">
        <v>20</v>
      </c>
      <c r="K579" s="47" t="s">
        <v>5969</v>
      </c>
      <c r="L579" s="47"/>
      <c r="M579" s="49" t="s">
        <v>4794</v>
      </c>
    </row>
    <row r="580" spans="1:13">
      <c r="A580" s="48">
        <f t="shared" si="9"/>
        <v>579</v>
      </c>
      <c r="B580" s="47" t="s">
        <v>8</v>
      </c>
      <c r="C580" s="47" t="s">
        <v>6095</v>
      </c>
      <c r="D580" s="47" t="s">
        <v>2438</v>
      </c>
      <c r="E580" s="47" t="s">
        <v>5232</v>
      </c>
      <c r="F580" s="47"/>
      <c r="G580" s="47" t="s">
        <v>15</v>
      </c>
      <c r="H580" s="47" t="str">
        <f>IFERROR(VLOOKUP(Table2[[#This Row], [Ticket]],Okey!A:B,2,0),"")</f>
        <v>ok</v>
      </c>
      <c r="I580" s="47" t="s">
        <v>5290</v>
      </c>
      <c r="J580" s="47" t="s">
        <v>20</v>
      </c>
      <c r="K580" s="47" t="s">
        <v>5969</v>
      </c>
      <c r="L580" s="47"/>
      <c r="M580" s="49" t="s">
        <v>4794</v>
      </c>
    </row>
    <row r="581" spans="1:13">
      <c r="A581" s="48">
        <f t="shared" si="9"/>
        <v>580</v>
      </c>
      <c r="B581" s="47" t="s">
        <v>8</v>
      </c>
      <c r="C581" s="47" t="s">
        <v>6095</v>
      </c>
      <c r="D581" s="47" t="s">
        <v>3210</v>
      </c>
      <c r="E581" s="47" t="s">
        <v>5233</v>
      </c>
      <c r="F581" s="47"/>
      <c r="G581" s="47" t="s">
        <v>15</v>
      </c>
      <c r="H581" s="47" t="str">
        <f>IFERROR(VLOOKUP(Table2[[#This Row], [Ticket]],Okey!A:B,2,0),"")</f>
        <v>ok</v>
      </c>
      <c r="I581" s="47" t="s">
        <v>5290</v>
      </c>
      <c r="J581" s="47" t="s">
        <v>20</v>
      </c>
      <c r="K581" s="47" t="s">
        <v>5969</v>
      </c>
      <c r="L581" s="47"/>
      <c r="M581" s="49" t="s">
        <v>4794</v>
      </c>
    </row>
    <row r="582" spans="1:13">
      <c r="A582" s="48">
        <f t="shared" si="9"/>
        <v>581</v>
      </c>
      <c r="B582" s="47" t="s">
        <v>8</v>
      </c>
      <c r="C582" s="47" t="s">
        <v>6095</v>
      </c>
      <c r="D582" s="47" t="s">
        <v>3165</v>
      </c>
      <c r="E582" s="47" t="s">
        <v>5234</v>
      </c>
      <c r="F582" s="47"/>
      <c r="G582" s="47" t="s">
        <v>15</v>
      </c>
      <c r="H582" s="47" t="str">
        <f>IFERROR(VLOOKUP(Table2[[#This Row], [Ticket]],Okey!A:B,2,0),"")</f>
        <v>ok</v>
      </c>
      <c r="I582" s="47" t="s">
        <v>5290</v>
      </c>
      <c r="J582" s="47" t="s">
        <v>20</v>
      </c>
      <c r="K582" s="47" t="s">
        <v>5969</v>
      </c>
      <c r="L582" s="47"/>
      <c r="M582" s="49" t="s">
        <v>4794</v>
      </c>
    </row>
    <row r="583" spans="1:13">
      <c r="A583" s="48">
        <f t="shared" si="9"/>
        <v>582</v>
      </c>
      <c r="B583" s="47" t="s">
        <v>8</v>
      </c>
      <c r="C583" s="47" t="s">
        <v>6095</v>
      </c>
      <c r="D583" s="47" t="s">
        <v>2161</v>
      </c>
      <c r="E583" s="47" t="s">
        <v>5235</v>
      </c>
      <c r="F583" s="47"/>
      <c r="G583" s="47" t="s">
        <v>15</v>
      </c>
      <c r="H583" s="47" t="str">
        <f>IFERROR(VLOOKUP(Table2[[#This Row], [Ticket]],Okey!A:B,2,0),"")</f>
        <v>ok</v>
      </c>
      <c r="I583" s="47" t="s">
        <v>5290</v>
      </c>
      <c r="J583" s="47" t="s">
        <v>20</v>
      </c>
      <c r="K583" s="47" t="s">
        <v>5969</v>
      </c>
      <c r="L583" s="47"/>
      <c r="M583" s="49" t="s">
        <v>4794</v>
      </c>
    </row>
    <row r="584" spans="1:13">
      <c r="A584" s="48">
        <f t="shared" si="9"/>
        <v>583</v>
      </c>
      <c r="B584" s="47" t="s">
        <v>8</v>
      </c>
      <c r="C584" s="47" t="s">
        <v>6095</v>
      </c>
      <c r="D584" s="47" t="s">
        <v>2192</v>
      </c>
      <c r="E584" s="47" t="s">
        <v>5236</v>
      </c>
      <c r="F584" s="47"/>
      <c r="G584" s="47" t="s">
        <v>15</v>
      </c>
      <c r="H584" s="47" t="str">
        <f>IFERROR(VLOOKUP(Table2[[#This Row], [Ticket]],Okey!A:B,2,0),"")</f>
        <v>ok</v>
      </c>
      <c r="I584" s="47" t="s">
        <v>5290</v>
      </c>
      <c r="J584" s="47" t="s">
        <v>20</v>
      </c>
      <c r="K584" s="47" t="s">
        <v>5969</v>
      </c>
      <c r="L584" s="47"/>
      <c r="M584" s="49" t="s">
        <v>4794</v>
      </c>
    </row>
    <row r="585" spans="1:13">
      <c r="A585" s="48">
        <f t="shared" si="9"/>
        <v>584</v>
      </c>
      <c r="B585" s="47" t="s">
        <v>8</v>
      </c>
      <c r="C585" s="47" t="s">
        <v>6095</v>
      </c>
      <c r="D585" s="47" t="s">
        <v>2544</v>
      </c>
      <c r="E585" s="47" t="s">
        <v>5237</v>
      </c>
      <c r="F585" s="47"/>
      <c r="G585" s="47" t="s">
        <v>15</v>
      </c>
      <c r="H585" s="47" t="str">
        <f>IFERROR(VLOOKUP(Table2[[#This Row], [Ticket]],Okey!A:B,2,0),"")</f>
        <v>ok</v>
      </c>
      <c r="I585" s="47" t="s">
        <v>5290</v>
      </c>
      <c r="J585" s="47" t="s">
        <v>20</v>
      </c>
      <c r="K585" s="47" t="s">
        <v>5969</v>
      </c>
      <c r="L585" s="47"/>
      <c r="M585" s="49" t="s">
        <v>4794</v>
      </c>
    </row>
    <row r="586" spans="1:13">
      <c r="A586" s="48">
        <f t="shared" si="9"/>
        <v>585</v>
      </c>
      <c r="B586" s="47" t="s">
        <v>8</v>
      </c>
      <c r="C586" s="47" t="s">
        <v>6095</v>
      </c>
      <c r="D586" s="47" t="s">
        <v>5238</v>
      </c>
      <c r="E586" s="47" t="s">
        <v>5239</v>
      </c>
      <c r="F586" s="47"/>
      <c r="G586" s="47" t="s">
        <v>15</v>
      </c>
      <c r="H586" s="47" t="str">
        <f>IFERROR(VLOOKUP(Table2[[#This Row], [Ticket]],Okey!A:B,2,0),"")</f>
        <v>ok</v>
      </c>
      <c r="I586" s="47" t="s">
        <v>5290</v>
      </c>
      <c r="J586" s="47" t="s">
        <v>20</v>
      </c>
      <c r="K586" s="47" t="s">
        <v>5969</v>
      </c>
      <c r="L586" s="47"/>
      <c r="M586" s="49" t="s">
        <v>4794</v>
      </c>
    </row>
    <row r="587" spans="1:13">
      <c r="A587" s="48">
        <f t="shared" si="9"/>
        <v>586</v>
      </c>
      <c r="B587" s="47" t="s">
        <v>8</v>
      </c>
      <c r="C587" s="47" t="s">
        <v>6095</v>
      </c>
      <c r="D587" s="47" t="s">
        <v>2081</v>
      </c>
      <c r="E587" s="47" t="s">
        <v>5240</v>
      </c>
      <c r="F587" s="47"/>
      <c r="G587" s="47" t="s">
        <v>15</v>
      </c>
      <c r="H587" s="47" t="str">
        <f>IFERROR(VLOOKUP(Table2[[#This Row], [Ticket]],Okey!A:B,2,0),"")</f>
        <v>ok</v>
      </c>
      <c r="I587" s="47" t="s">
        <v>5290</v>
      </c>
      <c r="J587" s="47" t="s">
        <v>20</v>
      </c>
      <c r="K587" s="47" t="s">
        <v>5969</v>
      </c>
      <c r="L587" s="47"/>
      <c r="M587" s="49" t="s">
        <v>4794</v>
      </c>
    </row>
    <row r="588" spans="1:13">
      <c r="A588" s="48">
        <f t="shared" si="9"/>
        <v>587</v>
      </c>
      <c r="B588" s="47" t="s">
        <v>8</v>
      </c>
      <c r="C588" s="47" t="s">
        <v>6095</v>
      </c>
      <c r="D588" s="47" t="s">
        <v>2144</v>
      </c>
      <c r="E588" s="47" t="s">
        <v>5241</v>
      </c>
      <c r="F588" s="47"/>
      <c r="G588" s="47" t="s">
        <v>15</v>
      </c>
      <c r="H588" s="47" t="str">
        <f>IFERROR(VLOOKUP(Table2[[#This Row], [Ticket]],Okey!A:B,2,0),"")</f>
        <v>ok</v>
      </c>
      <c r="I588" s="47" t="s">
        <v>5290</v>
      </c>
      <c r="J588" s="47" t="s">
        <v>20</v>
      </c>
      <c r="K588" s="47" t="s">
        <v>5969</v>
      </c>
      <c r="L588" s="47"/>
      <c r="M588" s="49" t="s">
        <v>4794</v>
      </c>
    </row>
    <row r="589" spans="1:13">
      <c r="A589" s="48">
        <f t="shared" si="9"/>
        <v>588</v>
      </c>
      <c r="B589" s="47" t="s">
        <v>8</v>
      </c>
      <c r="C589" s="47" t="s">
        <v>6096</v>
      </c>
      <c r="D589" s="47" t="s">
        <v>4935</v>
      </c>
      <c r="E589" s="47" t="s">
        <v>5242</v>
      </c>
      <c r="F589" s="47" t="s">
        <v>4934</v>
      </c>
      <c r="G589" s="47" t="s">
        <v>14</v>
      </c>
      <c r="H589" s="47" t="str">
        <f>IFERROR(VLOOKUP(Table2[[#This Row], [Ticket]],Okey!A:B,2,0),"")</f>
        <v>ok</v>
      </c>
      <c r="I589" s="47" t="s">
        <v>5290</v>
      </c>
      <c r="J589" s="47" t="s">
        <v>19</v>
      </c>
      <c r="K589" s="47" t="s">
        <v>5969</v>
      </c>
      <c r="L589" s="47"/>
      <c r="M589" s="49" t="s">
        <v>1613</v>
      </c>
    </row>
    <row r="590" spans="1:13">
      <c r="A590" s="48">
        <f t="shared" si="9"/>
        <v>589</v>
      </c>
      <c r="B590" s="47" t="s">
        <v>8</v>
      </c>
      <c r="C590" s="47" t="s">
        <v>6096</v>
      </c>
      <c r="D590" s="47" t="s">
        <v>4936</v>
      </c>
      <c r="E590" s="47" t="s">
        <v>5243</v>
      </c>
      <c r="F590" s="47" t="s">
        <v>4934</v>
      </c>
      <c r="G590" s="47" t="s">
        <v>14</v>
      </c>
      <c r="H590" s="47" t="str">
        <f>IFERROR(VLOOKUP(Table2[[#This Row], [Ticket]],Okey!A:B,2,0),"")</f>
        <v>ok</v>
      </c>
      <c r="I590" s="47" t="s">
        <v>5290</v>
      </c>
      <c r="J590" s="47" t="s">
        <v>19</v>
      </c>
      <c r="K590" s="47" t="s">
        <v>5969</v>
      </c>
      <c r="L590" s="47"/>
      <c r="M590" s="49" t="s">
        <v>1613</v>
      </c>
    </row>
    <row r="591" spans="1:13">
      <c r="A591" s="48">
        <f t="shared" si="9"/>
        <v>590</v>
      </c>
      <c r="B591" s="47" t="s">
        <v>8</v>
      </c>
      <c r="C591" s="47" t="s">
        <v>6096</v>
      </c>
      <c r="D591" s="47" t="s">
        <v>6097</v>
      </c>
      <c r="E591" s="47"/>
      <c r="F591" s="47" t="s">
        <v>4936</v>
      </c>
      <c r="G591" s="47" t="s">
        <v>13</v>
      </c>
      <c r="H591" s="47" t="str">
        <f>IFERROR(VLOOKUP(Table2[[#This Row], [Ticket]],Okey!A:B,2,0),"")</f>
        <v>ok</v>
      </c>
      <c r="I591" s="47" t="s">
        <v>5290</v>
      </c>
      <c r="J591" s="47" t="s">
        <v>19</v>
      </c>
      <c r="K591" s="47" t="s">
        <v>5979</v>
      </c>
      <c r="L591" s="47"/>
      <c r="M591" s="49" t="s">
        <v>1613</v>
      </c>
    </row>
    <row r="592" spans="1:13">
      <c r="A592" s="48">
        <f t="shared" si="9"/>
        <v>591</v>
      </c>
      <c r="B592" s="47" t="s">
        <v>8</v>
      </c>
      <c r="C592" s="47" t="s">
        <v>6096</v>
      </c>
      <c r="D592" s="47" t="s">
        <v>6098</v>
      </c>
      <c r="E592" s="47"/>
      <c r="F592" s="47" t="s">
        <v>4936</v>
      </c>
      <c r="G592" s="47" t="s">
        <v>13</v>
      </c>
      <c r="H592" s="47" t="str">
        <f>IFERROR(VLOOKUP(Table2[[#This Row], [Ticket]],Okey!A:B,2,0),"")</f>
        <v>ok</v>
      </c>
      <c r="I592" s="47" t="s">
        <v>5290</v>
      </c>
      <c r="J592" s="47" t="s">
        <v>19</v>
      </c>
      <c r="K592" s="47" t="s">
        <v>5979</v>
      </c>
      <c r="L592" s="47"/>
      <c r="M592" s="49" t="s">
        <v>1613</v>
      </c>
    </row>
    <row r="593" spans="1:13">
      <c r="A593" s="48">
        <f t="shared" si="9"/>
        <v>592</v>
      </c>
      <c r="B593" s="47" t="s">
        <v>8</v>
      </c>
      <c r="C593" s="47" t="s">
        <v>6096</v>
      </c>
      <c r="D593" s="47" t="s">
        <v>6099</v>
      </c>
      <c r="E593" s="47"/>
      <c r="F593" s="47" t="s">
        <v>4936</v>
      </c>
      <c r="G593" s="47" t="s">
        <v>13</v>
      </c>
      <c r="H593" s="47" t="str">
        <f>IFERROR(VLOOKUP(Table2[[#This Row], [Ticket]],Okey!A:B,2,0),"")</f>
        <v>ok</v>
      </c>
      <c r="I593" s="47" t="s">
        <v>5290</v>
      </c>
      <c r="J593" s="47" t="s">
        <v>19</v>
      </c>
      <c r="K593" s="47" t="s">
        <v>5979</v>
      </c>
      <c r="L593" s="47"/>
      <c r="M593" s="49" t="s">
        <v>1613</v>
      </c>
    </row>
    <row r="594" spans="1:13">
      <c r="A594" s="48">
        <f t="shared" si="9"/>
        <v>593</v>
      </c>
      <c r="B594" s="47" t="s">
        <v>8</v>
      </c>
      <c r="C594" s="47" t="s">
        <v>6096</v>
      </c>
      <c r="D594" s="47" t="s">
        <v>6100</v>
      </c>
      <c r="E594" s="47"/>
      <c r="F594" s="47" t="s">
        <v>4936</v>
      </c>
      <c r="G594" s="47" t="s">
        <v>13</v>
      </c>
      <c r="H594" s="47" t="str">
        <f>IFERROR(VLOOKUP(Table2[[#This Row], [Ticket]],Okey!A:B,2,0),"")</f>
        <v>ok</v>
      </c>
      <c r="I594" s="47" t="s">
        <v>5290</v>
      </c>
      <c r="J594" s="47" t="s">
        <v>19</v>
      </c>
      <c r="K594" s="47" t="s">
        <v>5979</v>
      </c>
      <c r="L594" s="47"/>
      <c r="M594" s="49" t="s">
        <v>1613</v>
      </c>
    </row>
    <row r="595" spans="1:13">
      <c r="A595" s="48">
        <f t="shared" si="9"/>
        <v>594</v>
      </c>
      <c r="B595" s="47" t="s">
        <v>8</v>
      </c>
      <c r="C595" s="47" t="s">
        <v>6096</v>
      </c>
      <c r="D595" s="47" t="s">
        <v>6101</v>
      </c>
      <c r="E595" s="47"/>
      <c r="F595" s="47" t="s">
        <v>4936</v>
      </c>
      <c r="G595" s="47" t="s">
        <v>13</v>
      </c>
      <c r="H595" s="47" t="str">
        <f>IFERROR(VLOOKUP(Table2[[#This Row], [Ticket]],Okey!A:B,2,0),"")</f>
        <v>ok</v>
      </c>
      <c r="I595" s="47" t="s">
        <v>5290</v>
      </c>
      <c r="J595" s="47" t="s">
        <v>19</v>
      </c>
      <c r="K595" s="47" t="s">
        <v>5979</v>
      </c>
      <c r="L595" s="47"/>
      <c r="M595" s="49" t="s">
        <v>1613</v>
      </c>
    </row>
    <row r="596" spans="1:13">
      <c r="A596" s="48">
        <f t="shared" si="9"/>
        <v>595</v>
      </c>
      <c r="B596" s="47" t="s">
        <v>8</v>
      </c>
      <c r="C596" s="47" t="s">
        <v>6102</v>
      </c>
      <c r="D596" s="47" t="s">
        <v>387</v>
      </c>
      <c r="E596" s="55" t="s">
        <v>5244</v>
      </c>
      <c r="F596" s="47" t="s">
        <v>5287</v>
      </c>
      <c r="G596" s="47" t="s">
        <v>16</v>
      </c>
      <c r="H596" s="47" t="str">
        <f>IFERROR(VLOOKUP(Table2[[#This Row], [Ticket]],Okey!A:B,2,0),"")</f>
        <v>ok</v>
      </c>
      <c r="I596" s="47" t="s">
        <v>5290</v>
      </c>
      <c r="J596" s="47" t="s">
        <v>17</v>
      </c>
      <c r="K596" s="47"/>
      <c r="L596" s="47"/>
      <c r="M596" s="49" t="s">
        <v>4784</v>
      </c>
    </row>
    <row r="597" spans="1:13">
      <c r="A597" s="48">
        <f t="shared" si="9"/>
        <v>596</v>
      </c>
      <c r="B597" s="47" t="s">
        <v>8</v>
      </c>
      <c r="C597" s="47" t="s">
        <v>6102</v>
      </c>
      <c r="D597" s="55" t="s">
        <v>543</v>
      </c>
      <c r="E597" s="55" t="s">
        <v>5245</v>
      </c>
      <c r="F597" s="47" t="s">
        <v>387</v>
      </c>
      <c r="G597" s="47" t="s">
        <v>16</v>
      </c>
      <c r="H597" s="47" t="str">
        <f>IFERROR(VLOOKUP(Table2[[#This Row], [Ticket]],Okey!A:B,2,0),"")</f>
        <v>ok</v>
      </c>
      <c r="I597" s="47" t="s">
        <v>5290</v>
      </c>
      <c r="J597" s="47" t="s">
        <v>17</v>
      </c>
      <c r="K597" s="47"/>
      <c r="L597" s="47"/>
      <c r="M597" s="49" t="s">
        <v>4784</v>
      </c>
    </row>
    <row r="598" spans="1:13">
      <c r="A598" s="48">
        <f t="shared" si="9"/>
        <v>597</v>
      </c>
      <c r="B598" s="47" t="s">
        <v>8</v>
      </c>
      <c r="C598" s="47" t="s">
        <v>6102</v>
      </c>
      <c r="D598" s="55" t="s">
        <v>649</v>
      </c>
      <c r="E598" s="55" t="s">
        <v>5246</v>
      </c>
      <c r="F598" s="47" t="s">
        <v>543</v>
      </c>
      <c r="G598" s="47" t="s">
        <v>16</v>
      </c>
      <c r="H598" s="47" t="str">
        <f>IFERROR(VLOOKUP(Table2[[#This Row], [Ticket]],Okey!A:B,2,0),"")</f>
        <v>ok</v>
      </c>
      <c r="I598" s="47" t="s">
        <v>5290</v>
      </c>
      <c r="J598" s="47" t="s">
        <v>17</v>
      </c>
      <c r="K598" s="47"/>
      <c r="L598" s="47"/>
      <c r="M598" s="49" t="s">
        <v>4784</v>
      </c>
    </row>
    <row r="599" spans="1:13">
      <c r="A599" s="48">
        <f t="shared" si="9"/>
        <v>598</v>
      </c>
      <c r="B599" s="47" t="s">
        <v>8</v>
      </c>
      <c r="C599" s="47" t="s">
        <v>6102</v>
      </c>
      <c r="D599" s="47" t="s">
        <v>651</v>
      </c>
      <c r="E599" s="47" t="s">
        <v>5247</v>
      </c>
      <c r="F599" s="47" t="s">
        <v>649</v>
      </c>
      <c r="G599" s="47" t="s">
        <v>16</v>
      </c>
      <c r="H599" s="47" t="str">
        <f>IFERROR(VLOOKUP(Table2[[#This Row], [Ticket]],Okey!A:B,2,0),"")</f>
        <v>ok</v>
      </c>
      <c r="I599" s="47" t="s">
        <v>5290</v>
      </c>
      <c r="J599" s="47" t="s">
        <v>17</v>
      </c>
      <c r="K599" s="47"/>
      <c r="L599" s="47"/>
      <c r="M599" s="49" t="s">
        <v>4784</v>
      </c>
    </row>
    <row r="600" spans="1:13">
      <c r="A600" s="48">
        <f t="shared" si="9"/>
        <v>599</v>
      </c>
      <c r="B600" s="47" t="s">
        <v>8</v>
      </c>
      <c r="C600" s="47" t="s">
        <v>6102</v>
      </c>
      <c r="D600" s="47" t="s">
        <v>463</v>
      </c>
      <c r="E600" s="47" t="s">
        <v>5248</v>
      </c>
      <c r="F600" s="47" t="s">
        <v>651</v>
      </c>
      <c r="G600" s="47" t="s">
        <v>16</v>
      </c>
      <c r="H600" s="47" t="str">
        <f>IFERROR(VLOOKUP(Table2[[#This Row], [Ticket]],Okey!A:B,2,0),"")</f>
        <v>ok</v>
      </c>
      <c r="I600" s="47" t="s">
        <v>5290</v>
      </c>
      <c r="J600" s="47" t="s">
        <v>17</v>
      </c>
      <c r="K600" s="47"/>
      <c r="L600" s="47"/>
      <c r="M600" s="49" t="s">
        <v>4784</v>
      </c>
    </row>
    <row r="601" spans="1:13">
      <c r="A601" s="48">
        <f t="shared" si="9"/>
        <v>600</v>
      </c>
      <c r="B601" s="47" t="s">
        <v>8</v>
      </c>
      <c r="C601" s="47" t="s">
        <v>6102</v>
      </c>
      <c r="D601" s="47" t="s">
        <v>411</v>
      </c>
      <c r="E601" s="47" t="s">
        <v>5249</v>
      </c>
      <c r="F601" s="47" t="s">
        <v>651</v>
      </c>
      <c r="G601" s="47" t="s">
        <v>16</v>
      </c>
      <c r="H601" s="47" t="str">
        <f>IFERROR(VLOOKUP(Table2[[#This Row], [Ticket]],Okey!A:B,2,0),"")</f>
        <v>ok</v>
      </c>
      <c r="I601" s="47" t="s">
        <v>5290</v>
      </c>
      <c r="J601" s="47" t="s">
        <v>17</v>
      </c>
      <c r="K601" s="47"/>
      <c r="L601" s="47"/>
      <c r="M601" s="49" t="s">
        <v>4784</v>
      </c>
    </row>
    <row r="602" spans="1:13">
      <c r="A602" s="48">
        <f t="shared" si="9"/>
        <v>601</v>
      </c>
      <c r="B602" s="47" t="s">
        <v>8</v>
      </c>
      <c r="C602" s="47" t="s">
        <v>6102</v>
      </c>
      <c r="D602" s="47" t="s">
        <v>417</v>
      </c>
      <c r="E602" s="47" t="s">
        <v>5250</v>
      </c>
      <c r="F602" s="47" t="s">
        <v>651</v>
      </c>
      <c r="G602" s="47" t="s">
        <v>16</v>
      </c>
      <c r="H602" s="47" t="str">
        <f>IFERROR(VLOOKUP(Table2[[#This Row], [Ticket]],Okey!A:B,2,0),"")</f>
        <v>ok</v>
      </c>
      <c r="I602" s="47" t="s">
        <v>5290</v>
      </c>
      <c r="J602" s="47" t="s">
        <v>17</v>
      </c>
      <c r="K602" s="47"/>
      <c r="L602" s="47"/>
      <c r="M602" s="49" t="s">
        <v>4784</v>
      </c>
    </row>
    <row r="603" spans="1:13">
      <c r="A603" s="48">
        <f t="shared" si="9"/>
        <v>602</v>
      </c>
      <c r="B603" s="47" t="s">
        <v>8</v>
      </c>
      <c r="C603" s="47" t="s">
        <v>6102</v>
      </c>
      <c r="D603" s="47" t="s">
        <v>328</v>
      </c>
      <c r="E603" s="47" t="s">
        <v>5251</v>
      </c>
      <c r="F603" s="47" t="s">
        <v>649</v>
      </c>
      <c r="G603" s="47" t="s">
        <v>16</v>
      </c>
      <c r="H603" s="47" t="str">
        <f>IFERROR(VLOOKUP(Table2[[#This Row], [Ticket]],Okey!A:B,2,0),"")</f>
        <v>ok</v>
      </c>
      <c r="I603" s="47" t="s">
        <v>5290</v>
      </c>
      <c r="J603" s="47" t="s">
        <v>17</v>
      </c>
      <c r="K603" s="47"/>
      <c r="L603" s="47"/>
      <c r="M603" s="49" t="s">
        <v>4784</v>
      </c>
    </row>
    <row r="604" spans="1:13">
      <c r="A604" s="48">
        <f t="shared" si="9"/>
        <v>603</v>
      </c>
      <c r="B604" s="47" t="s">
        <v>8</v>
      </c>
      <c r="C604" s="47" t="s">
        <v>6102</v>
      </c>
      <c r="D604" s="47" t="s">
        <v>330</v>
      </c>
      <c r="E604" s="47" t="s">
        <v>5248</v>
      </c>
      <c r="F604" s="47" t="s">
        <v>328</v>
      </c>
      <c r="G604" s="47" t="s">
        <v>16</v>
      </c>
      <c r="H604" s="47" t="str">
        <f>IFERROR(VLOOKUP(Table2[[#This Row], [Ticket]],Okey!A:B,2,0),"")</f>
        <v>ok</v>
      </c>
      <c r="I604" s="47" t="s">
        <v>5290</v>
      </c>
      <c r="J604" s="47" t="s">
        <v>17</v>
      </c>
      <c r="K604" s="47"/>
      <c r="L604" s="47"/>
      <c r="M604" s="49" t="s">
        <v>4784</v>
      </c>
    </row>
    <row r="605" spans="1:13">
      <c r="A605" s="48">
        <f t="shared" si="9"/>
        <v>604</v>
      </c>
      <c r="B605" s="47" t="s">
        <v>8</v>
      </c>
      <c r="C605" s="47" t="s">
        <v>6102</v>
      </c>
      <c r="D605" s="47" t="s">
        <v>1695</v>
      </c>
      <c r="E605" s="47" t="s">
        <v>5249</v>
      </c>
      <c r="F605" s="47" t="s">
        <v>328</v>
      </c>
      <c r="G605" s="47" t="s">
        <v>16</v>
      </c>
      <c r="H605" s="47" t="str">
        <f>IFERROR(VLOOKUP(Table2[[#This Row], [Ticket]],Okey!A:B,2,0),"")</f>
        <v>ok</v>
      </c>
      <c r="I605" s="47" t="s">
        <v>5290</v>
      </c>
      <c r="J605" s="47" t="s">
        <v>17</v>
      </c>
      <c r="K605" s="47"/>
      <c r="L605" s="47"/>
      <c r="M605" s="49" t="s">
        <v>4784</v>
      </c>
    </row>
    <row r="606" spans="1:13">
      <c r="A606" s="48">
        <f t="shared" si="9"/>
        <v>605</v>
      </c>
      <c r="B606" s="47" t="s">
        <v>8</v>
      </c>
      <c r="C606" s="47" t="s">
        <v>6102</v>
      </c>
      <c r="D606" s="47" t="s">
        <v>5252</v>
      </c>
      <c r="E606" s="47" t="s">
        <v>5250</v>
      </c>
      <c r="F606" s="47" t="s">
        <v>328</v>
      </c>
      <c r="G606" s="47" t="s">
        <v>16</v>
      </c>
      <c r="H606" s="47" t="str">
        <f>IFERROR(VLOOKUP(Table2[[#This Row], [Ticket]],Okey!A:B,2,0),"")</f>
        <v>ok</v>
      </c>
      <c r="I606" s="47" t="s">
        <v>5290</v>
      </c>
      <c r="J606" s="47" t="s">
        <v>17</v>
      </c>
      <c r="K606" s="47"/>
      <c r="L606" s="47"/>
      <c r="M606" s="49" t="s">
        <v>4784</v>
      </c>
    </row>
    <row r="607" spans="1:13">
      <c r="A607" s="48">
        <f t="shared" si="9"/>
        <v>606</v>
      </c>
      <c r="B607" s="47" t="s">
        <v>8</v>
      </c>
      <c r="C607" s="47" t="s">
        <v>6102</v>
      </c>
      <c r="D607" s="47" t="s">
        <v>340</v>
      </c>
      <c r="E607" s="47" t="s">
        <v>5253</v>
      </c>
      <c r="F607" s="47" t="s">
        <v>649</v>
      </c>
      <c r="G607" s="47" t="s">
        <v>16</v>
      </c>
      <c r="H607" s="47" t="str">
        <f>IFERROR(VLOOKUP(Table2[[#This Row], [Ticket]],Okey!A:B,2,0),"")</f>
        <v>ok</v>
      </c>
      <c r="I607" s="47" t="s">
        <v>5290</v>
      </c>
      <c r="J607" s="47" t="s">
        <v>17</v>
      </c>
      <c r="K607" s="47"/>
      <c r="L607" s="47"/>
      <c r="M607" s="49" t="s">
        <v>4784</v>
      </c>
    </row>
    <row r="608" spans="1:13">
      <c r="A608" s="48">
        <f t="shared" si="9"/>
        <v>607</v>
      </c>
      <c r="B608" s="47" t="s">
        <v>8</v>
      </c>
      <c r="C608" s="47" t="s">
        <v>6102</v>
      </c>
      <c r="D608" s="47" t="s">
        <v>1501</v>
      </c>
      <c r="E608" s="47" t="s">
        <v>5248</v>
      </c>
      <c r="F608" s="47" t="s">
        <v>340</v>
      </c>
      <c r="G608" s="47" t="s">
        <v>16</v>
      </c>
      <c r="H608" s="47" t="str">
        <f>IFERROR(VLOOKUP(Table2[[#This Row], [Ticket]],Okey!A:B,2,0),"")</f>
        <v>ok</v>
      </c>
      <c r="I608" s="47" t="s">
        <v>5290</v>
      </c>
      <c r="J608" s="47" t="s">
        <v>17</v>
      </c>
      <c r="K608" s="47"/>
      <c r="L608" s="47"/>
      <c r="M608" s="49" t="s">
        <v>4784</v>
      </c>
    </row>
    <row r="609" spans="1:13">
      <c r="A609" s="48">
        <f t="shared" si="9"/>
        <v>608</v>
      </c>
      <c r="B609" s="47" t="s">
        <v>8</v>
      </c>
      <c r="C609" s="47" t="s">
        <v>6102</v>
      </c>
      <c r="D609" s="47" t="s">
        <v>1527</v>
      </c>
      <c r="E609" s="47" t="s">
        <v>5249</v>
      </c>
      <c r="F609" s="47" t="s">
        <v>340</v>
      </c>
      <c r="G609" s="47" t="s">
        <v>16</v>
      </c>
      <c r="H609" s="47" t="str">
        <f>IFERROR(VLOOKUP(Table2[[#This Row], [Ticket]],Okey!A:B,2,0),"")</f>
        <v>ok</v>
      </c>
      <c r="I609" s="47" t="s">
        <v>5290</v>
      </c>
      <c r="J609" s="47" t="s">
        <v>17</v>
      </c>
      <c r="K609" s="47"/>
      <c r="L609" s="47"/>
      <c r="M609" s="49" t="s">
        <v>4784</v>
      </c>
    </row>
    <row r="610" spans="1:13">
      <c r="A610" s="48">
        <f t="shared" si="9"/>
        <v>609</v>
      </c>
      <c r="B610" s="47" t="s">
        <v>8</v>
      </c>
      <c r="C610" s="47" t="s">
        <v>6102</v>
      </c>
      <c r="D610" s="47" t="s">
        <v>1529</v>
      </c>
      <c r="E610" s="47" t="s">
        <v>5250</v>
      </c>
      <c r="F610" s="47" t="s">
        <v>340</v>
      </c>
      <c r="G610" s="47" t="s">
        <v>16</v>
      </c>
      <c r="H610" s="47" t="str">
        <f>IFERROR(VLOOKUP(Table2[[#This Row], [Ticket]],Okey!A:B,2,0),"")</f>
        <v>ok</v>
      </c>
      <c r="I610" s="47" t="s">
        <v>5290</v>
      </c>
      <c r="J610" s="47" t="s">
        <v>17</v>
      </c>
      <c r="K610" s="47"/>
      <c r="L610" s="47"/>
      <c r="M610" s="49" t="s">
        <v>4784</v>
      </c>
    </row>
    <row r="611" spans="1:13">
      <c r="A611" s="48">
        <f t="shared" si="9"/>
        <v>610</v>
      </c>
      <c r="B611" s="47" t="s">
        <v>8</v>
      </c>
      <c r="C611" s="47" t="s">
        <v>6102</v>
      </c>
      <c r="D611" s="47" t="s">
        <v>1531</v>
      </c>
      <c r="E611" s="47" t="s">
        <v>5254</v>
      </c>
      <c r="F611" s="47" t="s">
        <v>543</v>
      </c>
      <c r="G611" s="47" t="s">
        <v>16</v>
      </c>
      <c r="H611" s="47" t="str">
        <f>IFERROR(VLOOKUP(Table2[[#This Row], [Ticket]],Okey!A:B,2,0),"")</f>
        <v>ok</v>
      </c>
      <c r="I611" s="47" t="s">
        <v>5290</v>
      </c>
      <c r="J611" s="47" t="s">
        <v>17</v>
      </c>
      <c r="K611" s="47"/>
      <c r="L611" s="47"/>
      <c r="M611" s="49" t="s">
        <v>4784</v>
      </c>
    </row>
    <row r="612" spans="1:13">
      <c r="A612" s="48">
        <f t="shared" si="9"/>
        <v>611</v>
      </c>
      <c r="B612" s="47" t="s">
        <v>8</v>
      </c>
      <c r="C612" s="47" t="s">
        <v>6102</v>
      </c>
      <c r="D612" s="47" t="s">
        <v>1198</v>
      </c>
      <c r="E612" s="47" t="s">
        <v>5255</v>
      </c>
      <c r="F612" s="47" t="s">
        <v>543</v>
      </c>
      <c r="G612" s="47" t="s">
        <v>16</v>
      </c>
      <c r="H612" s="47" t="str">
        <f>IFERROR(VLOOKUP(Table2[[#This Row], [Ticket]],Okey!A:B,2,0),"")</f>
        <v>ok</v>
      </c>
      <c r="I612" s="47" t="s">
        <v>5290</v>
      </c>
      <c r="J612" s="47" t="s">
        <v>17</v>
      </c>
      <c r="K612" s="47"/>
      <c r="L612" s="47"/>
      <c r="M612" s="49" t="s">
        <v>4784</v>
      </c>
    </row>
    <row r="613" spans="1:13">
      <c r="A613" s="48">
        <f t="shared" si="9"/>
        <v>612</v>
      </c>
      <c r="B613" s="47" t="s">
        <v>8</v>
      </c>
      <c r="C613" s="47" t="s">
        <v>6102</v>
      </c>
      <c r="D613" s="47" t="s">
        <v>5256</v>
      </c>
      <c r="E613" s="47" t="s">
        <v>5257</v>
      </c>
      <c r="F613" s="47" t="s">
        <v>387</v>
      </c>
      <c r="G613" s="47" t="s">
        <v>16</v>
      </c>
      <c r="H613" s="47" t="str">
        <f>IFERROR(VLOOKUP(Table2[[#This Row], [Ticket]],Okey!A:B,2,0),"")</f>
        <v>ok</v>
      </c>
      <c r="I613" s="47" t="s">
        <v>5290</v>
      </c>
      <c r="J613" s="47" t="s">
        <v>17</v>
      </c>
      <c r="K613" s="47"/>
      <c r="L613" s="47"/>
      <c r="M613" s="49" t="s">
        <v>4784</v>
      </c>
    </row>
    <row r="614" spans="1:13">
      <c r="A614" s="48">
        <f t="shared" si="9"/>
        <v>613</v>
      </c>
      <c r="B614" s="47" t="s">
        <v>8</v>
      </c>
      <c r="C614" s="47" t="s">
        <v>6102</v>
      </c>
      <c r="D614" s="47" t="s">
        <v>5258</v>
      </c>
      <c r="E614" s="47" t="s">
        <v>5259</v>
      </c>
      <c r="F614" s="47" t="s">
        <v>5256</v>
      </c>
      <c r="G614" s="47" t="s">
        <v>16</v>
      </c>
      <c r="H614" s="47" t="str">
        <f>IFERROR(VLOOKUP(Table2[[#This Row], [Ticket]],Okey!A:B,2,0),"")</f>
        <v>ok</v>
      </c>
      <c r="I614" s="47" t="s">
        <v>5290</v>
      </c>
      <c r="J614" s="47" t="s">
        <v>17</v>
      </c>
      <c r="K614" s="47"/>
      <c r="L614" s="47"/>
      <c r="M614" s="49" t="s">
        <v>4784</v>
      </c>
    </row>
    <row r="615" spans="1:13">
      <c r="A615" s="48">
        <f t="shared" si="9"/>
        <v>614</v>
      </c>
      <c r="B615" s="47" t="s">
        <v>8</v>
      </c>
      <c r="C615" s="47" t="s">
        <v>6102</v>
      </c>
      <c r="D615" s="47" t="s">
        <v>5260</v>
      </c>
      <c r="E615" s="47" t="s">
        <v>5247</v>
      </c>
      <c r="F615" s="47" t="s">
        <v>5258</v>
      </c>
      <c r="G615" s="47" t="s">
        <v>16</v>
      </c>
      <c r="H615" s="47" t="str">
        <f>IFERROR(VLOOKUP(Table2[[#This Row], [Ticket]],Okey!A:B,2,0),"")</f>
        <v>ok</v>
      </c>
      <c r="I615" s="47" t="s">
        <v>5290</v>
      </c>
      <c r="J615" s="47" t="s">
        <v>17</v>
      </c>
      <c r="K615" s="47"/>
      <c r="L615" s="47"/>
      <c r="M615" s="49" t="s">
        <v>4784</v>
      </c>
    </row>
    <row r="616" spans="1:13">
      <c r="A616" s="48">
        <f t="shared" si="9"/>
        <v>615</v>
      </c>
      <c r="B616" s="47" t="s">
        <v>8</v>
      </c>
      <c r="C616" s="47" t="s">
        <v>6102</v>
      </c>
      <c r="D616" s="47" t="s">
        <v>5261</v>
      </c>
      <c r="E616" s="47" t="s">
        <v>5248</v>
      </c>
      <c r="F616" s="47" t="s">
        <v>5260</v>
      </c>
      <c r="G616" s="47" t="s">
        <v>16</v>
      </c>
      <c r="H616" s="47" t="str">
        <f>IFERROR(VLOOKUP(Table2[[#This Row], [Ticket]],Okey!A:B,2,0),"")</f>
        <v>ok</v>
      </c>
      <c r="I616" s="47" t="s">
        <v>5290</v>
      </c>
      <c r="J616" s="47" t="s">
        <v>17</v>
      </c>
      <c r="K616" s="47"/>
      <c r="L616" s="47"/>
      <c r="M616" s="49" t="s">
        <v>4784</v>
      </c>
    </row>
    <row r="617" spans="1:13">
      <c r="A617" s="48">
        <f t="shared" si="9"/>
        <v>616</v>
      </c>
      <c r="B617" s="47" t="s">
        <v>8</v>
      </c>
      <c r="C617" s="47" t="s">
        <v>6102</v>
      </c>
      <c r="D617" s="47" t="s">
        <v>1699</v>
      </c>
      <c r="E617" s="47" t="s">
        <v>5249</v>
      </c>
      <c r="F617" s="47" t="s">
        <v>5260</v>
      </c>
      <c r="G617" s="47" t="s">
        <v>16</v>
      </c>
      <c r="H617" s="47" t="str">
        <f>IFERROR(VLOOKUP(Table2[[#This Row], [Ticket]],Okey!A:B,2,0),"")</f>
        <v>ok</v>
      </c>
      <c r="I617" s="47" t="s">
        <v>5290</v>
      </c>
      <c r="J617" s="47" t="s">
        <v>17</v>
      </c>
      <c r="K617" s="47"/>
      <c r="L617" s="47"/>
      <c r="M617" s="49" t="s">
        <v>4784</v>
      </c>
    </row>
    <row r="618" spans="1:13">
      <c r="A618" s="48">
        <f t="shared" si="9"/>
        <v>617</v>
      </c>
      <c r="B618" s="47" t="s">
        <v>8</v>
      </c>
      <c r="C618" s="47" t="s">
        <v>6102</v>
      </c>
      <c r="D618" s="47" t="s">
        <v>1701</v>
      </c>
      <c r="E618" s="47" t="s">
        <v>5250</v>
      </c>
      <c r="F618" s="47" t="s">
        <v>5260</v>
      </c>
      <c r="G618" s="47" t="s">
        <v>16</v>
      </c>
      <c r="H618" s="47" t="str">
        <f>IFERROR(VLOOKUP(Table2[[#This Row], [Ticket]],Okey!A:B,2,0),"")</f>
        <v>ok</v>
      </c>
      <c r="I618" s="47" t="s">
        <v>5290</v>
      </c>
      <c r="J618" s="47" t="s">
        <v>17</v>
      </c>
      <c r="K618" s="47"/>
      <c r="L618" s="47"/>
      <c r="M618" s="49" t="s">
        <v>4784</v>
      </c>
    </row>
    <row r="619" spans="1:13">
      <c r="A619" s="48">
        <f t="shared" si="9"/>
        <v>618</v>
      </c>
      <c r="B619" s="47" t="s">
        <v>8</v>
      </c>
      <c r="C619" s="47" t="s">
        <v>6102</v>
      </c>
      <c r="D619" s="47" t="s">
        <v>1702</v>
      </c>
      <c r="E619" s="47" t="s">
        <v>5251</v>
      </c>
      <c r="F619" s="47" t="s">
        <v>5258</v>
      </c>
      <c r="G619" s="47" t="s">
        <v>16</v>
      </c>
      <c r="H619" s="47" t="str">
        <f>IFERROR(VLOOKUP(Table2[[#This Row], [Ticket]],Okey!A:B,2,0),"")</f>
        <v>ok</v>
      </c>
      <c r="I619" s="47" t="s">
        <v>5290</v>
      </c>
      <c r="J619" s="47" t="s">
        <v>17</v>
      </c>
      <c r="K619" s="47"/>
      <c r="L619" s="47"/>
      <c r="M619" s="49" t="s">
        <v>4784</v>
      </c>
    </row>
    <row r="620" spans="1:13">
      <c r="A620" s="48">
        <f t="shared" si="9"/>
        <v>619</v>
      </c>
      <c r="B620" s="47" t="s">
        <v>8</v>
      </c>
      <c r="C620" s="47" t="s">
        <v>6102</v>
      </c>
      <c r="D620" s="47" t="s">
        <v>637</v>
      </c>
      <c r="E620" s="47" t="s">
        <v>5248</v>
      </c>
      <c r="F620" s="47" t="s">
        <v>1702</v>
      </c>
      <c r="G620" s="47" t="s">
        <v>16</v>
      </c>
      <c r="H620" s="47" t="str">
        <f>IFERROR(VLOOKUP(Table2[[#This Row], [Ticket]],Okey!A:B,2,0),"")</f>
        <v>ok</v>
      </c>
      <c r="I620" s="47" t="s">
        <v>5290</v>
      </c>
      <c r="J620" s="47" t="s">
        <v>17</v>
      </c>
      <c r="K620" s="47"/>
      <c r="L620" s="47"/>
      <c r="M620" s="49" t="s">
        <v>4784</v>
      </c>
    </row>
    <row r="621" spans="1:13">
      <c r="A621" s="48">
        <f t="shared" si="9"/>
        <v>620</v>
      </c>
      <c r="B621" s="47" t="s">
        <v>8</v>
      </c>
      <c r="C621" s="47" t="s">
        <v>6102</v>
      </c>
      <c r="D621" s="47" t="s">
        <v>363</v>
      </c>
      <c r="E621" s="47" t="s">
        <v>5249</v>
      </c>
      <c r="F621" s="47" t="s">
        <v>1702</v>
      </c>
      <c r="G621" s="47" t="s">
        <v>16</v>
      </c>
      <c r="H621" s="47" t="str">
        <f>IFERROR(VLOOKUP(Table2[[#This Row], [Ticket]],Okey!A:B,2,0),"")</f>
        <v>ok</v>
      </c>
      <c r="I621" s="47" t="s">
        <v>5290</v>
      </c>
      <c r="J621" s="47" t="s">
        <v>17</v>
      </c>
      <c r="K621" s="47"/>
      <c r="L621" s="47"/>
      <c r="M621" s="49" t="s">
        <v>4784</v>
      </c>
    </row>
    <row r="622" spans="1:13">
      <c r="A622" s="48">
        <f t="shared" si="9"/>
        <v>621</v>
      </c>
      <c r="B622" s="47" t="s">
        <v>8</v>
      </c>
      <c r="C622" s="47" t="s">
        <v>6102</v>
      </c>
      <c r="D622" s="47" t="s">
        <v>621</v>
      </c>
      <c r="E622" s="47" t="s">
        <v>5250</v>
      </c>
      <c r="F622" s="47" t="s">
        <v>1702</v>
      </c>
      <c r="G622" s="47" t="s">
        <v>16</v>
      </c>
      <c r="H622" s="47" t="str">
        <f>IFERROR(VLOOKUP(Table2[[#This Row], [Ticket]],Okey!A:B,2,0),"")</f>
        <v>ok</v>
      </c>
      <c r="I622" s="47" t="s">
        <v>5290</v>
      </c>
      <c r="J622" s="47" t="s">
        <v>17</v>
      </c>
      <c r="K622" s="47"/>
      <c r="L622" s="47"/>
      <c r="M622" s="49" t="s">
        <v>4784</v>
      </c>
    </row>
    <row r="623" spans="1:13">
      <c r="A623" s="48">
        <f t="shared" si="9"/>
        <v>622</v>
      </c>
      <c r="B623" s="47" t="s">
        <v>8</v>
      </c>
      <c r="C623" s="47" t="s">
        <v>6102</v>
      </c>
      <c r="D623" s="47" t="s">
        <v>5262</v>
      </c>
      <c r="E623" s="47" t="s">
        <v>5253</v>
      </c>
      <c r="F623" s="47" t="s">
        <v>5258</v>
      </c>
      <c r="G623" s="47" t="s">
        <v>16</v>
      </c>
      <c r="H623" s="47" t="str">
        <f>IFERROR(VLOOKUP(Table2[[#This Row], [Ticket]],Okey!A:B,2,0),"")</f>
        <v>ok</v>
      </c>
      <c r="I623" s="47" t="s">
        <v>5290</v>
      </c>
      <c r="J623" s="47" t="s">
        <v>17</v>
      </c>
      <c r="K623" s="47"/>
      <c r="L623" s="47"/>
      <c r="M623" s="49" t="s">
        <v>4784</v>
      </c>
    </row>
    <row r="624" spans="1:13">
      <c r="A624" s="48">
        <f t="shared" si="9"/>
        <v>623</v>
      </c>
      <c r="B624" s="47" t="s">
        <v>8</v>
      </c>
      <c r="C624" s="47" t="s">
        <v>6102</v>
      </c>
      <c r="D624" s="47" t="s">
        <v>5263</v>
      </c>
      <c r="E624" s="47" t="s">
        <v>5248</v>
      </c>
      <c r="F624" s="47" t="s">
        <v>5262</v>
      </c>
      <c r="G624" s="47" t="s">
        <v>16</v>
      </c>
      <c r="H624" s="47" t="str">
        <f>IFERROR(VLOOKUP(Table2[[#This Row], [Ticket]],Okey!A:B,2,0),"")</f>
        <v>ok</v>
      </c>
      <c r="I624" s="47" t="s">
        <v>5290</v>
      </c>
      <c r="J624" s="47" t="s">
        <v>17</v>
      </c>
      <c r="K624" s="47"/>
      <c r="L624" s="47"/>
      <c r="M624" s="49" t="s">
        <v>4784</v>
      </c>
    </row>
    <row r="625" spans="1:13">
      <c r="A625" s="48">
        <f t="shared" si="9"/>
        <v>624</v>
      </c>
      <c r="B625" s="47" t="s">
        <v>8</v>
      </c>
      <c r="C625" s="47" t="s">
        <v>6102</v>
      </c>
      <c r="D625" s="47" t="s">
        <v>321</v>
      </c>
      <c r="E625" s="47" t="s">
        <v>5249</v>
      </c>
      <c r="F625" s="47" t="s">
        <v>5262</v>
      </c>
      <c r="G625" s="47" t="s">
        <v>16</v>
      </c>
      <c r="H625" s="47" t="str">
        <f>IFERROR(VLOOKUP(Table2[[#This Row], [Ticket]],Okey!A:B,2,0),"")</f>
        <v>ok</v>
      </c>
      <c r="I625" s="47" t="s">
        <v>5290</v>
      </c>
      <c r="J625" s="47" t="s">
        <v>17</v>
      </c>
      <c r="K625" s="47"/>
      <c r="L625" s="47"/>
      <c r="M625" s="49" t="s">
        <v>4784</v>
      </c>
    </row>
    <row r="626" spans="1:13">
      <c r="A626" s="48">
        <f t="shared" si="9"/>
        <v>625</v>
      </c>
      <c r="B626" s="47" t="s">
        <v>8</v>
      </c>
      <c r="C626" s="47" t="s">
        <v>6102</v>
      </c>
      <c r="D626" s="47" t="s">
        <v>5264</v>
      </c>
      <c r="E626" s="47" t="s">
        <v>5250</v>
      </c>
      <c r="F626" s="47" t="s">
        <v>5262</v>
      </c>
      <c r="G626" s="47" t="s">
        <v>16</v>
      </c>
      <c r="H626" s="47" t="str">
        <f>IFERROR(VLOOKUP(Table2[[#This Row], [Ticket]],Okey!A:B,2,0),"")</f>
        <v>ok</v>
      </c>
      <c r="I626" s="47" t="s">
        <v>5290</v>
      </c>
      <c r="J626" s="47" t="s">
        <v>17</v>
      </c>
      <c r="K626" s="47"/>
      <c r="L626" s="47"/>
      <c r="M626" s="49" t="s">
        <v>4784</v>
      </c>
    </row>
    <row r="627" spans="1:13">
      <c r="A627" s="48">
        <f t="shared" si="9"/>
        <v>626</v>
      </c>
      <c r="B627" s="47" t="s">
        <v>8</v>
      </c>
      <c r="C627" s="47" t="s">
        <v>6102</v>
      </c>
      <c r="D627" s="47" t="s">
        <v>5265</v>
      </c>
      <c r="E627" s="47" t="s">
        <v>5254</v>
      </c>
      <c r="F627" s="47" t="s">
        <v>5256</v>
      </c>
      <c r="G627" s="47" t="s">
        <v>16</v>
      </c>
      <c r="H627" s="47" t="str">
        <f>IFERROR(VLOOKUP(Table2[[#This Row], [Ticket]],Okey!A:B,2,0),"")</f>
        <v>ok</v>
      </c>
      <c r="I627" s="47" t="s">
        <v>5290</v>
      </c>
      <c r="J627" s="47" t="s">
        <v>17</v>
      </c>
      <c r="K627" s="47"/>
      <c r="L627" s="47"/>
      <c r="M627" s="49" t="s">
        <v>4784</v>
      </c>
    </row>
    <row r="628" spans="1:13">
      <c r="A628" s="48">
        <f t="shared" si="9"/>
        <v>627</v>
      </c>
      <c r="B628" s="47" t="s">
        <v>8</v>
      </c>
      <c r="C628" s="47" t="s">
        <v>6102</v>
      </c>
      <c r="D628" s="47" t="s">
        <v>1227</v>
      </c>
      <c r="E628" s="47" t="s">
        <v>5266</v>
      </c>
      <c r="F628" s="47" t="s">
        <v>5256</v>
      </c>
      <c r="G628" s="47" t="s">
        <v>16</v>
      </c>
      <c r="H628" s="47" t="str">
        <f>IFERROR(VLOOKUP(Table2[[#This Row], [Ticket]],Okey!A:B,2,0),"")</f>
        <v>ok</v>
      </c>
      <c r="I628" s="47" t="s">
        <v>5290</v>
      </c>
      <c r="J628" s="47" t="s">
        <v>17</v>
      </c>
      <c r="K628" s="47"/>
      <c r="L628" s="47"/>
      <c r="M628" s="49" t="s">
        <v>4784</v>
      </c>
    </row>
    <row r="629" spans="1:13">
      <c r="A629" s="48">
        <f t="shared" si="9"/>
        <v>628</v>
      </c>
      <c r="B629" s="47" t="s">
        <v>8</v>
      </c>
      <c r="C629" s="47" t="s">
        <v>6103</v>
      </c>
      <c r="D629" s="47" t="s">
        <v>5267</v>
      </c>
      <c r="E629" s="47" t="s">
        <v>1670</v>
      </c>
      <c r="F629" s="47" t="s">
        <v>5286</v>
      </c>
      <c r="G629" s="47" t="s">
        <v>14</v>
      </c>
      <c r="H629" s="47" t="str">
        <f>IFERROR(VLOOKUP(Table2[[#This Row], [Ticket]],Okey!A:B,2,0),"")</f>
        <v>ok</v>
      </c>
      <c r="I629" s="47" t="s">
        <v>5290</v>
      </c>
      <c r="J629" s="47" t="s">
        <v>17</v>
      </c>
      <c r="K629" s="47"/>
      <c r="L629" s="47"/>
      <c r="M629" s="49" t="s">
        <v>4782</v>
      </c>
    </row>
    <row r="630" spans="1:13">
      <c r="A630" s="48">
        <f t="shared" si="9"/>
        <v>629</v>
      </c>
      <c r="B630" s="47" t="s">
        <v>8</v>
      </c>
      <c r="C630" s="47" t="s">
        <v>6103</v>
      </c>
      <c r="D630" s="47" t="s">
        <v>5268</v>
      </c>
      <c r="E630" s="47" t="s">
        <v>5269</v>
      </c>
      <c r="F630" s="47" t="s">
        <v>5286</v>
      </c>
      <c r="G630" s="47" t="s">
        <v>14</v>
      </c>
      <c r="H630" s="47" t="str">
        <f>IFERROR(VLOOKUP(Table2[[#This Row], [Ticket]],Okey!A:B,2,0),"")</f>
        <v>ok</v>
      </c>
      <c r="I630" s="47" t="s">
        <v>5290</v>
      </c>
      <c r="J630" s="47" t="s">
        <v>17</v>
      </c>
      <c r="K630" s="47"/>
      <c r="L630" s="47"/>
      <c r="M630" s="49" t="s">
        <v>4782</v>
      </c>
    </row>
    <row r="631" spans="1:13">
      <c r="A631" s="48">
        <f t="shared" si="9"/>
        <v>630</v>
      </c>
      <c r="B631" s="47" t="s">
        <v>8</v>
      </c>
      <c r="C631" s="47" t="s">
        <v>6103</v>
      </c>
      <c r="D631" s="47" t="s">
        <v>5270</v>
      </c>
      <c r="E631" s="47" t="s">
        <v>5271</v>
      </c>
      <c r="F631" s="47" t="s">
        <v>5286</v>
      </c>
      <c r="G631" s="47" t="s">
        <v>14</v>
      </c>
      <c r="H631" s="47" t="str">
        <f>IFERROR(VLOOKUP(Table2[[#This Row], [Ticket]],Okey!A:B,2,0),"")</f>
        <v>ok</v>
      </c>
      <c r="I631" s="47" t="s">
        <v>5290</v>
      </c>
      <c r="J631" s="47" t="s">
        <v>17</v>
      </c>
      <c r="K631" s="47"/>
      <c r="L631" s="47"/>
      <c r="M631" s="49" t="s">
        <v>4782</v>
      </c>
    </row>
    <row r="632" spans="1:13">
      <c r="A632" s="48">
        <f t="shared" si="9"/>
        <v>631</v>
      </c>
      <c r="B632" s="47" t="s">
        <v>8</v>
      </c>
      <c r="C632" s="47" t="s">
        <v>6104</v>
      </c>
      <c r="D632" s="47" t="s">
        <v>5272</v>
      </c>
      <c r="E632" s="47" t="s">
        <v>5273</v>
      </c>
      <c r="F632" s="47" t="s">
        <v>3679</v>
      </c>
      <c r="G632" s="47" t="s">
        <v>14</v>
      </c>
      <c r="H632" s="47" t="str">
        <f>IFERROR(VLOOKUP(Table2[[#This Row], [Ticket]],Okey!A:B,2,0),"")</f>
        <v>ok</v>
      </c>
      <c r="I632" s="47" t="s">
        <v>5290</v>
      </c>
      <c r="J632" s="47" t="s">
        <v>17</v>
      </c>
      <c r="K632" s="47"/>
      <c r="L632" s="47"/>
      <c r="M632" s="49" t="s">
        <v>4778</v>
      </c>
    </row>
    <row r="633" spans="1:13">
      <c r="A633" s="48">
        <f t="shared" si="9"/>
        <v>632</v>
      </c>
      <c r="B633" s="47" t="s">
        <v>8</v>
      </c>
      <c r="C633" s="47" t="s">
        <v>6104</v>
      </c>
      <c r="D633" s="47" t="s">
        <v>5274</v>
      </c>
      <c r="E633" s="47" t="s">
        <v>5275</v>
      </c>
      <c r="F633" s="47" t="s">
        <v>5272</v>
      </c>
      <c r="G633" s="47" t="s">
        <v>14</v>
      </c>
      <c r="H633" s="47" t="str">
        <f>IFERROR(VLOOKUP(Table2[[#This Row], [Ticket]],Okey!A:B,2,0),"")</f>
        <v>ok</v>
      </c>
      <c r="I633" s="47" t="s">
        <v>5290</v>
      </c>
      <c r="J633" s="47" t="s">
        <v>17</v>
      </c>
      <c r="K633" s="47"/>
      <c r="L633" s="47"/>
      <c r="M633" s="49" t="s">
        <v>4778</v>
      </c>
    </row>
    <row r="634" spans="1:13">
      <c r="A634" s="48">
        <f t="shared" si="9"/>
        <v>633</v>
      </c>
      <c r="B634" s="47" t="s">
        <v>8</v>
      </c>
      <c r="C634" s="47" t="s">
        <v>6104</v>
      </c>
      <c r="D634" s="47" t="s">
        <v>5276</v>
      </c>
      <c r="E634" s="47" t="s">
        <v>5277</v>
      </c>
      <c r="F634" s="47" t="s">
        <v>5272</v>
      </c>
      <c r="G634" s="47" t="s">
        <v>14</v>
      </c>
      <c r="H634" s="47" t="str">
        <f>IFERROR(VLOOKUP(Table2[[#This Row], [Ticket]],Okey!A:B,2,0),"")</f>
        <v>ok</v>
      </c>
      <c r="I634" s="47" t="s">
        <v>5290</v>
      </c>
      <c r="J634" s="47" t="s">
        <v>17</v>
      </c>
      <c r="K634" s="47"/>
      <c r="L634" s="47"/>
      <c r="M634" s="49" t="s">
        <v>4778</v>
      </c>
    </row>
    <row r="635" spans="1:13">
      <c r="A635" s="48">
        <f t="shared" si="9"/>
        <v>634</v>
      </c>
      <c r="B635" s="47" t="s">
        <v>8</v>
      </c>
      <c r="C635" s="47" t="s">
        <v>6104</v>
      </c>
      <c r="D635" s="47" t="s">
        <v>5278</v>
      </c>
      <c r="E635" s="47" t="s">
        <v>5279</v>
      </c>
      <c r="F635" s="47" t="s">
        <v>5274</v>
      </c>
      <c r="G635" s="47" t="s">
        <v>14</v>
      </c>
      <c r="H635" s="47" t="str">
        <f>IFERROR(VLOOKUP(Table2[[#This Row], [Ticket]],Okey!A:B,2,0),"")</f>
        <v>ok</v>
      </c>
      <c r="I635" s="47" t="s">
        <v>5290</v>
      </c>
      <c r="J635" s="47" t="s">
        <v>17</v>
      </c>
      <c r="K635" s="47"/>
      <c r="L635" s="47"/>
      <c r="M635" s="49" t="s">
        <v>4778</v>
      </c>
    </row>
    <row r="636" spans="1:13">
      <c r="A636" s="48">
        <f t="shared" si="9"/>
        <v>635</v>
      </c>
      <c r="B636" s="47" t="s">
        <v>8</v>
      </c>
      <c r="C636" s="47" t="s">
        <v>6104</v>
      </c>
      <c r="D636" s="47" t="s">
        <v>5280</v>
      </c>
      <c r="E636" s="47" t="s">
        <v>5281</v>
      </c>
      <c r="F636" s="47" t="s">
        <v>5276</v>
      </c>
      <c r="G636" s="47" t="s">
        <v>14</v>
      </c>
      <c r="H636" s="47" t="str">
        <f>IFERROR(VLOOKUP(Table2[[#This Row], [Ticket]],Okey!A:B,2,0),"")</f>
        <v>ok</v>
      </c>
      <c r="I636" s="47" t="s">
        <v>5290</v>
      </c>
      <c r="J636" s="47" t="s">
        <v>17</v>
      </c>
      <c r="K636" s="47"/>
      <c r="L636" s="47"/>
      <c r="M636" s="49" t="s">
        <v>4778</v>
      </c>
    </row>
    <row r="637" spans="1:13">
      <c r="A637" s="48">
        <f t="shared" si="9"/>
        <v>636</v>
      </c>
      <c r="B637" s="47" t="s">
        <v>8</v>
      </c>
      <c r="C637" s="47" t="s">
        <v>6104</v>
      </c>
      <c r="D637" s="47" t="s">
        <v>5282</v>
      </c>
      <c r="E637" s="47" t="s">
        <v>5283</v>
      </c>
      <c r="F637" s="47" t="s">
        <v>5276</v>
      </c>
      <c r="G637" s="47" t="s">
        <v>14</v>
      </c>
      <c r="H637" s="47" t="str">
        <f>IFERROR(VLOOKUP(Table2[[#This Row], [Ticket]],Okey!A:B,2,0),"")</f>
        <v>ok</v>
      </c>
      <c r="I637" s="47" t="s">
        <v>5290</v>
      </c>
      <c r="J637" s="47" t="s">
        <v>17</v>
      </c>
      <c r="K637" s="47"/>
      <c r="L637" s="47"/>
      <c r="M637" s="49" t="s">
        <v>4778</v>
      </c>
    </row>
    <row r="638" spans="1:13">
      <c r="A638" s="48">
        <f t="shared" si="9"/>
        <v>637</v>
      </c>
      <c r="B638" s="47" t="s">
        <v>8</v>
      </c>
      <c r="C638" s="47" t="s">
        <v>6104</v>
      </c>
      <c r="D638" s="47" t="s">
        <v>5284</v>
      </c>
      <c r="E638" s="47" t="s">
        <v>5285</v>
      </c>
      <c r="F638" s="47" t="s">
        <v>5274</v>
      </c>
      <c r="G638" s="47" t="s">
        <v>14</v>
      </c>
      <c r="H638" s="47" t="str">
        <f>IFERROR(VLOOKUP(Table2[[#This Row], [Ticket]],Okey!A:B,2,0),"")</f>
        <v>ok</v>
      </c>
      <c r="I638" s="47" t="s">
        <v>5290</v>
      </c>
      <c r="J638" s="47" t="s">
        <v>17</v>
      </c>
      <c r="K638" s="47"/>
      <c r="L638" s="47"/>
      <c r="M638" s="49" t="s">
        <v>4778</v>
      </c>
    </row>
    <row r="639" spans="1:13">
      <c r="A639" s="48">
        <f t="shared" si="9"/>
        <v>638</v>
      </c>
      <c r="B639" s="47" t="s">
        <v>8</v>
      </c>
      <c r="C639" s="47" t="s">
        <v>6105</v>
      </c>
      <c r="D639" s="47" t="s">
        <v>6106</v>
      </c>
      <c r="E639" s="47"/>
      <c r="F639" s="47" t="s">
        <v>6107</v>
      </c>
      <c r="G639" s="47" t="s">
        <v>13</v>
      </c>
      <c r="H639" s="47" t="str">
        <f>IFERROR(VLOOKUP(Table2[[#This Row], [Ticket]],Okey!A:B,2,0),"")</f>
        <v>ok</v>
      </c>
      <c r="I639" s="47" t="s">
        <v>5290</v>
      </c>
      <c r="J639" s="47" t="s">
        <v>19</v>
      </c>
      <c r="K639" s="47"/>
      <c r="L639" s="47"/>
      <c r="M639" s="49" t="s">
        <v>4798</v>
      </c>
    </row>
    <row r="640" spans="1:13" ht="30">
      <c r="A640" s="48">
        <f t="shared" si="9"/>
        <v>639</v>
      </c>
      <c r="B640" s="47" t="s">
        <v>3295</v>
      </c>
      <c r="C640" s="47" t="s">
        <v>6109</v>
      </c>
      <c r="D640" s="47" t="s">
        <v>6112</v>
      </c>
      <c r="E640" s="56" t="s">
        <v>6108</v>
      </c>
      <c r="F640" s="47" t="s">
        <v>6118</v>
      </c>
      <c r="G640" s="47" t="s">
        <v>14</v>
      </c>
      <c r="H640" s="47" t="str">
        <f>IFERROR(VLOOKUP(Table2[[#This Row], [Ticket]],Okey!A:B,2,0),"")</f>
        <v>ok</v>
      </c>
      <c r="I640" s="47" t="s">
        <v>5290</v>
      </c>
      <c r="J640" s="47" t="s">
        <v>19</v>
      </c>
      <c r="K640" s="47"/>
      <c r="L640" s="47"/>
      <c r="M640" s="49" t="s">
        <v>1613</v>
      </c>
    </row>
    <row r="641" spans="1:13">
      <c r="A641" s="48">
        <f t="shared" si="9"/>
        <v>640</v>
      </c>
      <c r="B641" s="47" t="s">
        <v>3295</v>
      </c>
      <c r="C641" s="47" t="s">
        <v>6111</v>
      </c>
      <c r="D641" s="57" t="s">
        <v>2967</v>
      </c>
      <c r="E641" s="47"/>
      <c r="F641" s="58" t="s">
        <v>1344</v>
      </c>
      <c r="G641" s="47" t="s">
        <v>13</v>
      </c>
      <c r="H641" s="47" t="str">
        <f>IFERROR(VLOOKUP(Table2[[#This Row], [Ticket]],Okey!A:B,2,0),"")</f>
        <v>ok</v>
      </c>
      <c r="I641" s="47" t="s">
        <v>5290</v>
      </c>
      <c r="J641" s="47" t="s">
        <v>18</v>
      </c>
      <c r="K641" s="47" t="s">
        <v>6456</v>
      </c>
      <c r="L641" s="47"/>
      <c r="M641" s="49" t="s">
        <v>6110</v>
      </c>
    </row>
    <row r="642" spans="1:13">
      <c r="A642" s="48">
        <f t="shared" si="9"/>
        <v>641</v>
      </c>
      <c r="B642" s="47" t="s">
        <v>3295</v>
      </c>
      <c r="C642" s="47" t="s">
        <v>6111</v>
      </c>
      <c r="D642" s="57" t="s">
        <v>3269</v>
      </c>
      <c r="E642" s="47"/>
      <c r="F642" s="58" t="s">
        <v>1344</v>
      </c>
      <c r="G642" s="47" t="s">
        <v>13</v>
      </c>
      <c r="H642" s="47" t="str">
        <f>IFERROR(VLOOKUP(Table2[[#This Row], [Ticket]],Okey!A:B,2,0),"")</f>
        <v>ok</v>
      </c>
      <c r="I642" s="47" t="s">
        <v>5290</v>
      </c>
      <c r="J642" s="47" t="s">
        <v>18</v>
      </c>
      <c r="K642" s="47" t="s">
        <v>6456</v>
      </c>
      <c r="L642" s="47"/>
      <c r="M642" s="49" t="s">
        <v>6110</v>
      </c>
    </row>
    <row r="643" spans="1:13">
      <c r="A643" s="48">
        <f t="shared" ref="A643:A706" si="10">1+A642</f>
        <v>642</v>
      </c>
      <c r="B643" s="47" t="s">
        <v>3295</v>
      </c>
      <c r="C643" s="47" t="s">
        <v>6114</v>
      </c>
      <c r="D643" s="47" t="s">
        <v>6117</v>
      </c>
      <c r="E643" s="47" t="s">
        <v>6113</v>
      </c>
      <c r="F643" s="47" t="s">
        <v>6115</v>
      </c>
      <c r="G643" s="47" t="s">
        <v>14</v>
      </c>
      <c r="H643" s="47" t="str">
        <f>IFERROR(VLOOKUP(Table2[[#This Row], [Ticket]],Okey!A:B,2,0),"")</f>
        <v>ok</v>
      </c>
      <c r="I643" s="47" t="s">
        <v>5290</v>
      </c>
      <c r="J643" s="47" t="s">
        <v>19</v>
      </c>
      <c r="K643" s="47"/>
      <c r="L643" s="47"/>
      <c r="M643" s="49" t="s">
        <v>6116</v>
      </c>
    </row>
    <row r="644" spans="1:13">
      <c r="A644" s="48">
        <f t="shared" si="10"/>
        <v>643</v>
      </c>
      <c r="B644" s="47" t="s">
        <v>3295</v>
      </c>
      <c r="C644" s="47" t="s">
        <v>6120</v>
      </c>
      <c r="D644" s="47" t="s">
        <v>6119</v>
      </c>
      <c r="E644" s="47"/>
      <c r="F644" s="47" t="s">
        <v>5725</v>
      </c>
      <c r="G644" s="47" t="s">
        <v>13</v>
      </c>
      <c r="H644" s="47" t="str">
        <f>IFERROR(VLOOKUP(Table2[[#This Row], [Ticket]],Okey!A:B,2,0),"")</f>
        <v>ok</v>
      </c>
      <c r="I644" s="47" t="s">
        <v>5290</v>
      </c>
      <c r="J644" s="47" t="s">
        <v>17</v>
      </c>
      <c r="K644" s="47" t="s">
        <v>6456</v>
      </c>
      <c r="L644" s="47"/>
      <c r="M644" s="49" t="s">
        <v>6121</v>
      </c>
    </row>
    <row r="645" spans="1:13">
      <c r="A645" s="48">
        <f t="shared" si="10"/>
        <v>644</v>
      </c>
      <c r="B645" s="47" t="s">
        <v>3295</v>
      </c>
      <c r="C645" s="47" t="s">
        <v>6123</v>
      </c>
      <c r="D645" s="47" t="s">
        <v>987</v>
      </c>
      <c r="E645" s="47" t="s">
        <v>6122</v>
      </c>
      <c r="F645" s="47"/>
      <c r="G645" s="47" t="s">
        <v>15</v>
      </c>
      <c r="H645" s="47" t="str">
        <f>IFERROR(VLOOKUP(Table2[[#This Row], [Ticket]],Okey!A:B,2,0),"")</f>
        <v>ok</v>
      </c>
      <c r="I645" s="47" t="s">
        <v>5290</v>
      </c>
      <c r="J645" s="47" t="s">
        <v>19</v>
      </c>
      <c r="K645" s="47" t="s">
        <v>6397</v>
      </c>
      <c r="L645" s="47"/>
      <c r="M645" s="49" t="s">
        <v>4786</v>
      </c>
    </row>
    <row r="646" spans="1:13">
      <c r="A646" s="48">
        <f t="shared" si="10"/>
        <v>645</v>
      </c>
      <c r="B646" s="47" t="s">
        <v>3295</v>
      </c>
      <c r="C646" s="47" t="s">
        <v>6132</v>
      </c>
      <c r="D646" s="47" t="s">
        <v>6391</v>
      </c>
      <c r="E646" s="47" t="s">
        <v>6124</v>
      </c>
      <c r="F646" s="47" t="s">
        <v>6129</v>
      </c>
      <c r="G646" s="47" t="s">
        <v>14</v>
      </c>
      <c r="H646" s="47" t="str">
        <f>IFERROR(VLOOKUP(Table2[[#This Row], [Ticket]],Okey!A:B,2,0),"")</f>
        <v>ok</v>
      </c>
      <c r="I646" s="47" t="s">
        <v>5290</v>
      </c>
      <c r="J646" s="47" t="s">
        <v>17</v>
      </c>
      <c r="K646" s="47" t="s">
        <v>6396</v>
      </c>
      <c r="L646" s="47"/>
      <c r="M646" s="49" t="s">
        <v>4782</v>
      </c>
    </row>
    <row r="647" spans="1:13">
      <c r="A647" s="48">
        <f t="shared" si="10"/>
        <v>646</v>
      </c>
      <c r="B647" s="47" t="s">
        <v>3295</v>
      </c>
      <c r="C647" s="47" t="s">
        <v>6132</v>
      </c>
      <c r="D647" s="47" t="s">
        <v>6392</v>
      </c>
      <c r="E647" s="47" t="s">
        <v>6125</v>
      </c>
      <c r="F647" s="47" t="s">
        <v>6129</v>
      </c>
      <c r="G647" s="47" t="s">
        <v>14</v>
      </c>
      <c r="H647" s="47" t="str">
        <f>IFERROR(VLOOKUP(Table2[[#This Row], [Ticket]],Okey!A:B,2,0),"")</f>
        <v>ok</v>
      </c>
      <c r="I647" s="47" t="s">
        <v>5290</v>
      </c>
      <c r="J647" s="47" t="s">
        <v>17</v>
      </c>
      <c r="K647" s="47" t="s">
        <v>6396</v>
      </c>
      <c r="L647" s="47"/>
      <c r="M647" s="49" t="s">
        <v>4782</v>
      </c>
    </row>
    <row r="648" spans="1:13">
      <c r="A648" s="48">
        <f t="shared" si="10"/>
        <v>647</v>
      </c>
      <c r="B648" s="47" t="s">
        <v>3295</v>
      </c>
      <c r="C648" s="47" t="s">
        <v>6132</v>
      </c>
      <c r="D648" s="47" t="s">
        <v>6393</v>
      </c>
      <c r="E648" s="47" t="s">
        <v>6126</v>
      </c>
      <c r="F648" s="47" t="s">
        <v>6130</v>
      </c>
      <c r="G648" s="47" t="s">
        <v>14</v>
      </c>
      <c r="H648" s="47" t="str">
        <f>IFERROR(VLOOKUP(Table2[[#This Row], [Ticket]],Okey!A:B,2,0),"")</f>
        <v>ok</v>
      </c>
      <c r="I648" s="47" t="s">
        <v>5290</v>
      </c>
      <c r="J648" s="47" t="s">
        <v>17</v>
      </c>
      <c r="K648" s="47" t="s">
        <v>6396</v>
      </c>
      <c r="L648" s="47"/>
      <c r="M648" s="49" t="s">
        <v>4782</v>
      </c>
    </row>
    <row r="649" spans="1:13">
      <c r="A649" s="48">
        <f t="shared" si="10"/>
        <v>648</v>
      </c>
      <c r="B649" s="47" t="s">
        <v>3295</v>
      </c>
      <c r="C649" s="47" t="s">
        <v>6132</v>
      </c>
      <c r="D649" s="47" t="s">
        <v>6394</v>
      </c>
      <c r="E649" s="47" t="s">
        <v>6127</v>
      </c>
      <c r="F649" s="47" t="s">
        <v>6130</v>
      </c>
      <c r="G649" s="47" t="s">
        <v>14</v>
      </c>
      <c r="H649" s="47" t="str">
        <f>IFERROR(VLOOKUP(Table2[[#This Row], [Ticket]],Okey!A:B,2,0),"")</f>
        <v>ok</v>
      </c>
      <c r="I649" s="47" t="s">
        <v>5290</v>
      </c>
      <c r="J649" s="47" t="s">
        <v>17</v>
      </c>
      <c r="K649" s="47" t="s">
        <v>6396</v>
      </c>
      <c r="L649" s="47"/>
      <c r="M649" s="49" t="s">
        <v>4782</v>
      </c>
    </row>
    <row r="650" spans="1:13">
      <c r="A650" s="48">
        <f t="shared" si="10"/>
        <v>649</v>
      </c>
      <c r="B650" s="47" t="s">
        <v>3295</v>
      </c>
      <c r="C650" s="47" t="s">
        <v>6132</v>
      </c>
      <c r="D650" s="47" t="s">
        <v>6395</v>
      </c>
      <c r="E650" s="47" t="s">
        <v>6128</v>
      </c>
      <c r="F650" s="47" t="s">
        <v>6131</v>
      </c>
      <c r="G650" s="47" t="s">
        <v>14</v>
      </c>
      <c r="H650" s="47" t="str">
        <f>IFERROR(VLOOKUP(Table2[[#This Row], [Ticket]],Okey!A:B,2,0),"")</f>
        <v>ok</v>
      </c>
      <c r="I650" s="47" t="s">
        <v>5290</v>
      </c>
      <c r="J650" s="47" t="s">
        <v>17</v>
      </c>
      <c r="K650" s="47" t="s">
        <v>6396</v>
      </c>
      <c r="L650" s="47"/>
      <c r="M650" s="49" t="s">
        <v>4782</v>
      </c>
    </row>
    <row r="651" spans="1:13">
      <c r="A651" s="48">
        <f t="shared" si="10"/>
        <v>650</v>
      </c>
      <c r="B651" s="47" t="s">
        <v>3295</v>
      </c>
      <c r="C651" s="47" t="s">
        <v>6216</v>
      </c>
      <c r="D651" s="47" t="s">
        <v>6355</v>
      </c>
      <c r="E651" s="47" t="s">
        <v>6173</v>
      </c>
      <c r="F651" s="47" t="s">
        <v>1684</v>
      </c>
      <c r="G651" s="47" t="s">
        <v>14</v>
      </c>
      <c r="H651" s="47" t="str">
        <f>IFERROR(VLOOKUP(Table2[[#This Row], [Ticket]],Okey!A:B,2,0),"")</f>
        <v>ok</v>
      </c>
      <c r="I651" s="47" t="s">
        <v>5290</v>
      </c>
      <c r="J651" s="47" t="s">
        <v>17</v>
      </c>
      <c r="K651" s="47" t="s">
        <v>6396</v>
      </c>
      <c r="L651" s="47"/>
      <c r="M651" s="49" t="s">
        <v>4778</v>
      </c>
    </row>
    <row r="652" spans="1:13">
      <c r="A652" s="48">
        <f t="shared" si="10"/>
        <v>651</v>
      </c>
      <c r="B652" s="47" t="s">
        <v>3295</v>
      </c>
      <c r="C652" s="47" t="s">
        <v>6216</v>
      </c>
      <c r="D652" s="47" t="s">
        <v>6356</v>
      </c>
      <c r="E652" s="47" t="s">
        <v>6174</v>
      </c>
      <c r="F652" s="47" t="s">
        <v>5699</v>
      </c>
      <c r="G652" s="47" t="s">
        <v>14</v>
      </c>
      <c r="H652" s="47" t="str">
        <f>IFERROR(VLOOKUP(Table2[[#This Row], [Ticket]],Okey!A:B,2,0),"")</f>
        <v>ok</v>
      </c>
      <c r="I652" s="47" t="s">
        <v>5290</v>
      </c>
      <c r="J652" s="47" t="s">
        <v>17</v>
      </c>
      <c r="K652" s="47" t="s">
        <v>6396</v>
      </c>
      <c r="L652" s="47"/>
      <c r="M652" s="49" t="s">
        <v>4778</v>
      </c>
    </row>
    <row r="653" spans="1:13">
      <c r="A653" s="48">
        <f t="shared" si="10"/>
        <v>652</v>
      </c>
      <c r="B653" s="47" t="s">
        <v>3295</v>
      </c>
      <c r="C653" s="47" t="s">
        <v>6216</v>
      </c>
      <c r="D653" s="47" t="s">
        <v>6357</v>
      </c>
      <c r="E653" s="47" t="s">
        <v>6175</v>
      </c>
      <c r="F653" s="47" t="s">
        <v>3827</v>
      </c>
      <c r="G653" s="47" t="s">
        <v>14</v>
      </c>
      <c r="H653" s="47" t="str">
        <f>IFERROR(VLOOKUP(Table2[[#This Row], [Ticket]],Okey!A:B,2,0),"")</f>
        <v>ok</v>
      </c>
      <c r="I653" s="47" t="s">
        <v>5290</v>
      </c>
      <c r="J653" s="47" t="s">
        <v>17</v>
      </c>
      <c r="K653" s="47" t="s">
        <v>6396</v>
      </c>
      <c r="L653" s="47"/>
      <c r="M653" s="49" t="s">
        <v>4778</v>
      </c>
    </row>
    <row r="654" spans="1:13">
      <c r="A654" s="48">
        <f t="shared" si="10"/>
        <v>653</v>
      </c>
      <c r="B654" s="47" t="s">
        <v>3295</v>
      </c>
      <c r="C654" s="47" t="s">
        <v>6216</v>
      </c>
      <c r="D654" s="47" t="s">
        <v>6358</v>
      </c>
      <c r="E654" s="47" t="s">
        <v>6176</v>
      </c>
      <c r="F654" s="47" t="s">
        <v>6357</v>
      </c>
      <c r="G654" s="47" t="s">
        <v>14</v>
      </c>
      <c r="H654" s="47" t="str">
        <f>IFERROR(VLOOKUP(Table2[[#This Row], [Ticket]],Okey!A:B,2,0),"")</f>
        <v>ok</v>
      </c>
      <c r="I654" s="47" t="s">
        <v>5290</v>
      </c>
      <c r="J654" s="47" t="s">
        <v>17</v>
      </c>
      <c r="K654" s="47" t="s">
        <v>6396</v>
      </c>
      <c r="L654" s="47"/>
      <c r="M654" s="49" t="s">
        <v>4778</v>
      </c>
    </row>
    <row r="655" spans="1:13">
      <c r="A655" s="48">
        <f t="shared" si="10"/>
        <v>654</v>
      </c>
      <c r="B655" s="47" t="s">
        <v>3295</v>
      </c>
      <c r="C655" s="47" t="s">
        <v>6216</v>
      </c>
      <c r="D655" s="47" t="s">
        <v>6359</v>
      </c>
      <c r="E655" s="47" t="s">
        <v>6177</v>
      </c>
      <c r="F655" s="47" t="s">
        <v>6357</v>
      </c>
      <c r="G655" s="47" t="s">
        <v>14</v>
      </c>
      <c r="H655" s="47" t="str">
        <f>IFERROR(VLOOKUP(Table2[[#This Row], [Ticket]],Okey!A:B,2,0),"")</f>
        <v>ok</v>
      </c>
      <c r="I655" s="47" t="s">
        <v>5290</v>
      </c>
      <c r="J655" s="47" t="s">
        <v>17</v>
      </c>
      <c r="K655" s="47" t="s">
        <v>6396</v>
      </c>
      <c r="L655" s="47"/>
      <c r="M655" s="49" t="s">
        <v>4778</v>
      </c>
    </row>
    <row r="656" spans="1:13">
      <c r="A656" s="48">
        <f t="shared" si="10"/>
        <v>655</v>
      </c>
      <c r="B656" s="47" t="s">
        <v>3295</v>
      </c>
      <c r="C656" s="47" t="s">
        <v>6216</v>
      </c>
      <c r="D656" s="47" t="s">
        <v>6360</v>
      </c>
      <c r="E656" s="47" t="s">
        <v>6178</v>
      </c>
      <c r="F656" s="47" t="s">
        <v>3827</v>
      </c>
      <c r="G656" s="47" t="s">
        <v>14</v>
      </c>
      <c r="H656" s="47" t="str">
        <f>IFERROR(VLOOKUP(Table2[[#This Row], [Ticket]],Okey!A:B,2,0),"")</f>
        <v>ok</v>
      </c>
      <c r="I656" s="47" t="s">
        <v>5290</v>
      </c>
      <c r="J656" s="47" t="s">
        <v>17</v>
      </c>
      <c r="K656" s="47" t="s">
        <v>6396</v>
      </c>
      <c r="L656" s="47"/>
      <c r="M656" s="49" t="s">
        <v>4778</v>
      </c>
    </row>
    <row r="657" spans="1:13">
      <c r="A657" s="48">
        <f t="shared" si="10"/>
        <v>656</v>
      </c>
      <c r="B657" s="47" t="s">
        <v>3295</v>
      </c>
      <c r="C657" s="47" t="s">
        <v>6216</v>
      </c>
      <c r="D657" s="47" t="s">
        <v>6361</v>
      </c>
      <c r="E657" s="47" t="s">
        <v>6179</v>
      </c>
      <c r="F657" s="47" t="s">
        <v>6360</v>
      </c>
      <c r="G657" s="47" t="s">
        <v>14</v>
      </c>
      <c r="H657" s="47" t="str">
        <f>IFERROR(VLOOKUP(Table2[[#This Row], [Ticket]],Okey!A:B,2,0),"")</f>
        <v>ok</v>
      </c>
      <c r="I657" s="47" t="s">
        <v>5290</v>
      </c>
      <c r="J657" s="47" t="s">
        <v>17</v>
      </c>
      <c r="K657" s="47" t="s">
        <v>6396</v>
      </c>
      <c r="L657" s="47"/>
      <c r="M657" s="49" t="s">
        <v>4778</v>
      </c>
    </row>
    <row r="658" spans="1:13">
      <c r="A658" s="48">
        <f t="shared" si="10"/>
        <v>657</v>
      </c>
      <c r="B658" s="47" t="s">
        <v>3295</v>
      </c>
      <c r="C658" s="47" t="s">
        <v>6216</v>
      </c>
      <c r="D658" s="47" t="s">
        <v>6362</v>
      </c>
      <c r="E658" s="47" t="s">
        <v>6180</v>
      </c>
      <c r="F658" s="47" t="s">
        <v>6360</v>
      </c>
      <c r="G658" s="47" t="s">
        <v>14</v>
      </c>
      <c r="H658" s="47" t="str">
        <f>IFERROR(VLOOKUP(Table2[[#This Row], [Ticket]],Okey!A:B,2,0),"")</f>
        <v>ok</v>
      </c>
      <c r="I658" s="47" t="s">
        <v>5290</v>
      </c>
      <c r="J658" s="47" t="s">
        <v>17</v>
      </c>
      <c r="K658" s="47" t="s">
        <v>6396</v>
      </c>
      <c r="L658" s="47"/>
      <c r="M658" s="49" t="s">
        <v>4778</v>
      </c>
    </row>
    <row r="659" spans="1:13">
      <c r="A659" s="48">
        <f t="shared" si="10"/>
        <v>658</v>
      </c>
      <c r="B659" s="47" t="s">
        <v>3295</v>
      </c>
      <c r="C659" s="47" t="s">
        <v>6216</v>
      </c>
      <c r="D659" s="47" t="s">
        <v>6363</v>
      </c>
      <c r="E659" s="47" t="s">
        <v>6181</v>
      </c>
      <c r="F659" s="47" t="s">
        <v>6360</v>
      </c>
      <c r="G659" s="47" t="s">
        <v>14</v>
      </c>
      <c r="H659" s="47" t="str">
        <f>IFERROR(VLOOKUP(Table2[[#This Row], [Ticket]],Okey!A:B,2,0),"")</f>
        <v>ok</v>
      </c>
      <c r="I659" s="47" t="s">
        <v>5290</v>
      </c>
      <c r="J659" s="47" t="s">
        <v>17</v>
      </c>
      <c r="K659" s="47" t="s">
        <v>6396</v>
      </c>
      <c r="L659" s="47"/>
      <c r="M659" s="49" t="s">
        <v>4778</v>
      </c>
    </row>
    <row r="660" spans="1:13">
      <c r="A660" s="48">
        <f t="shared" si="10"/>
        <v>659</v>
      </c>
      <c r="B660" s="47" t="s">
        <v>3295</v>
      </c>
      <c r="C660" s="47" t="s">
        <v>6216</v>
      </c>
      <c r="D660" s="47" t="s">
        <v>6364</v>
      </c>
      <c r="E660" s="47" t="s">
        <v>6182</v>
      </c>
      <c r="F660" s="47" t="s">
        <v>3827</v>
      </c>
      <c r="G660" s="47" t="s">
        <v>14</v>
      </c>
      <c r="H660" s="47" t="str">
        <f>IFERROR(VLOOKUP(Table2[[#This Row], [Ticket]],Okey!A:B,2,0),"")</f>
        <v>ok</v>
      </c>
      <c r="I660" s="47" t="s">
        <v>5290</v>
      </c>
      <c r="J660" s="47" t="s">
        <v>17</v>
      </c>
      <c r="K660" s="47" t="s">
        <v>6396</v>
      </c>
      <c r="L660" s="47"/>
      <c r="M660" s="49" t="s">
        <v>4778</v>
      </c>
    </row>
    <row r="661" spans="1:13">
      <c r="A661" s="48">
        <f t="shared" si="10"/>
        <v>660</v>
      </c>
      <c r="B661" s="47" t="s">
        <v>3295</v>
      </c>
      <c r="C661" s="47" t="s">
        <v>6216</v>
      </c>
      <c r="D661" s="47" t="s">
        <v>6365</v>
      </c>
      <c r="E661" s="47" t="s">
        <v>6183</v>
      </c>
      <c r="F661" s="47" t="s">
        <v>6364</v>
      </c>
      <c r="G661" s="47" t="s">
        <v>14</v>
      </c>
      <c r="H661" s="47" t="str">
        <f>IFERROR(VLOOKUP(Table2[[#This Row], [Ticket]],Okey!A:B,2,0),"")</f>
        <v>ok</v>
      </c>
      <c r="I661" s="47" t="s">
        <v>5290</v>
      </c>
      <c r="J661" s="47" t="s">
        <v>17</v>
      </c>
      <c r="K661" s="47" t="s">
        <v>6396</v>
      </c>
      <c r="L661" s="47"/>
      <c r="M661" s="49" t="s">
        <v>4778</v>
      </c>
    </row>
    <row r="662" spans="1:13">
      <c r="A662" s="48">
        <f t="shared" si="10"/>
        <v>661</v>
      </c>
      <c r="B662" s="47" t="s">
        <v>3295</v>
      </c>
      <c r="C662" s="47" t="s">
        <v>6216</v>
      </c>
      <c r="D662" s="47" t="s">
        <v>6366</v>
      </c>
      <c r="E662" s="47" t="s">
        <v>6184</v>
      </c>
      <c r="F662" s="47" t="s">
        <v>6364</v>
      </c>
      <c r="G662" s="47" t="s">
        <v>14</v>
      </c>
      <c r="H662" s="47" t="str">
        <f>IFERROR(VLOOKUP(Table2[[#This Row], [Ticket]],Okey!A:B,2,0),"")</f>
        <v>ok</v>
      </c>
      <c r="I662" s="47" t="s">
        <v>5290</v>
      </c>
      <c r="J662" s="47" t="s">
        <v>17</v>
      </c>
      <c r="K662" s="47" t="s">
        <v>6396</v>
      </c>
      <c r="L662" s="47"/>
      <c r="M662" s="49" t="s">
        <v>4778</v>
      </c>
    </row>
    <row r="663" spans="1:13">
      <c r="A663" s="48">
        <f t="shared" si="10"/>
        <v>662</v>
      </c>
      <c r="B663" s="47" t="s">
        <v>3295</v>
      </c>
      <c r="C663" s="47" t="s">
        <v>6216</v>
      </c>
      <c r="D663" s="47" t="s">
        <v>6367</v>
      </c>
      <c r="E663" s="47" t="s">
        <v>6185</v>
      </c>
      <c r="F663" s="47" t="s">
        <v>6364</v>
      </c>
      <c r="G663" s="47" t="s">
        <v>14</v>
      </c>
      <c r="H663" s="47" t="str">
        <f>IFERROR(VLOOKUP(Table2[[#This Row], [Ticket]],Okey!A:B,2,0),"")</f>
        <v>ok</v>
      </c>
      <c r="I663" s="47" t="s">
        <v>5290</v>
      </c>
      <c r="J663" s="47" t="s">
        <v>17</v>
      </c>
      <c r="K663" s="47" t="s">
        <v>6396</v>
      </c>
      <c r="L663" s="47"/>
      <c r="M663" s="49" t="s">
        <v>4778</v>
      </c>
    </row>
    <row r="664" spans="1:13">
      <c r="A664" s="48">
        <f t="shared" si="10"/>
        <v>663</v>
      </c>
      <c r="B664" s="47" t="s">
        <v>3295</v>
      </c>
      <c r="C664" s="47" t="s">
        <v>6216</v>
      </c>
      <c r="D664" s="47" t="s">
        <v>6368</v>
      </c>
      <c r="E664" s="47" t="s">
        <v>6186</v>
      </c>
      <c r="F664" s="47" t="s">
        <v>6364</v>
      </c>
      <c r="G664" s="47" t="s">
        <v>14</v>
      </c>
      <c r="H664" s="47" t="str">
        <f>IFERROR(VLOOKUP(Table2[[#This Row], [Ticket]],Okey!A:B,2,0),"")</f>
        <v>ok</v>
      </c>
      <c r="I664" s="47" t="s">
        <v>5290</v>
      </c>
      <c r="J664" s="47" t="s">
        <v>17</v>
      </c>
      <c r="K664" s="47" t="s">
        <v>6396</v>
      </c>
      <c r="L664" s="47"/>
      <c r="M664" s="49" t="s">
        <v>4778</v>
      </c>
    </row>
    <row r="665" spans="1:13">
      <c r="A665" s="48">
        <f t="shared" si="10"/>
        <v>664</v>
      </c>
      <c r="B665" s="47" t="s">
        <v>3295</v>
      </c>
      <c r="C665" s="47" t="s">
        <v>6216</v>
      </c>
      <c r="D665" s="47" t="s">
        <v>6369</v>
      </c>
      <c r="E665" s="47" t="s">
        <v>6187</v>
      </c>
      <c r="F665" s="47" t="s">
        <v>6364</v>
      </c>
      <c r="G665" s="47" t="s">
        <v>14</v>
      </c>
      <c r="H665" s="47" t="str">
        <f>IFERROR(VLOOKUP(Table2[[#This Row], [Ticket]],Okey!A:B,2,0),"")</f>
        <v>ok</v>
      </c>
      <c r="I665" s="47" t="s">
        <v>5290</v>
      </c>
      <c r="J665" s="47" t="s">
        <v>17</v>
      </c>
      <c r="K665" s="47" t="s">
        <v>6396</v>
      </c>
      <c r="L665" s="47"/>
      <c r="M665" s="49" t="s">
        <v>4778</v>
      </c>
    </row>
    <row r="666" spans="1:13">
      <c r="A666" s="48">
        <f t="shared" si="10"/>
        <v>665</v>
      </c>
      <c r="B666" s="47" t="s">
        <v>3295</v>
      </c>
      <c r="C666" s="47" t="s">
        <v>6216</v>
      </c>
      <c r="D666" s="47" t="s">
        <v>6370</v>
      </c>
      <c r="E666" s="47" t="s">
        <v>6188</v>
      </c>
      <c r="F666" s="47" t="s">
        <v>6364</v>
      </c>
      <c r="G666" s="47" t="s">
        <v>14</v>
      </c>
      <c r="H666" s="47" t="str">
        <f>IFERROR(VLOOKUP(Table2[[#This Row], [Ticket]],Okey!A:B,2,0),"")</f>
        <v>ok</v>
      </c>
      <c r="I666" s="47" t="s">
        <v>5290</v>
      </c>
      <c r="J666" s="47" t="s">
        <v>17</v>
      </c>
      <c r="K666" s="47" t="s">
        <v>6396</v>
      </c>
      <c r="L666" s="47"/>
      <c r="M666" s="49" t="s">
        <v>4778</v>
      </c>
    </row>
    <row r="667" spans="1:13">
      <c r="A667" s="48">
        <f t="shared" si="10"/>
        <v>666</v>
      </c>
      <c r="B667" s="47" t="s">
        <v>3295</v>
      </c>
      <c r="C667" s="47" t="s">
        <v>6216</v>
      </c>
      <c r="D667" s="47" t="s">
        <v>6371</v>
      </c>
      <c r="E667" s="47" t="s">
        <v>6189</v>
      </c>
      <c r="F667" s="47" t="s">
        <v>6364</v>
      </c>
      <c r="G667" s="47" t="s">
        <v>14</v>
      </c>
      <c r="H667" s="47" t="str">
        <f>IFERROR(VLOOKUP(Table2[[#This Row], [Ticket]],Okey!A:B,2,0),"")</f>
        <v>ok</v>
      </c>
      <c r="I667" s="47" t="s">
        <v>5290</v>
      </c>
      <c r="J667" s="47" t="s">
        <v>17</v>
      </c>
      <c r="K667" s="47" t="s">
        <v>6396</v>
      </c>
      <c r="L667" s="47"/>
      <c r="M667" s="49" t="s">
        <v>4778</v>
      </c>
    </row>
    <row r="668" spans="1:13">
      <c r="A668" s="48">
        <f t="shared" si="10"/>
        <v>667</v>
      </c>
      <c r="B668" s="47" t="s">
        <v>3295</v>
      </c>
      <c r="C668" s="47" t="s">
        <v>6216</v>
      </c>
      <c r="D668" s="47" t="s">
        <v>6372</v>
      </c>
      <c r="E668" s="47" t="s">
        <v>6190</v>
      </c>
      <c r="F668" s="47" t="s">
        <v>3827</v>
      </c>
      <c r="G668" s="47" t="s">
        <v>14</v>
      </c>
      <c r="H668" s="47" t="str">
        <f>IFERROR(VLOOKUP(Table2[[#This Row], [Ticket]],Okey!A:B,2,0),"")</f>
        <v>ok</v>
      </c>
      <c r="I668" s="47" t="s">
        <v>5290</v>
      </c>
      <c r="J668" s="47" t="s">
        <v>17</v>
      </c>
      <c r="K668" s="47" t="s">
        <v>6396</v>
      </c>
      <c r="L668" s="47"/>
      <c r="M668" s="49" t="s">
        <v>4778</v>
      </c>
    </row>
    <row r="669" spans="1:13">
      <c r="A669" s="48">
        <f t="shared" si="10"/>
        <v>668</v>
      </c>
      <c r="B669" s="47" t="s">
        <v>3295</v>
      </c>
      <c r="C669" s="47" t="s">
        <v>6216</v>
      </c>
      <c r="D669" s="47" t="s">
        <v>6373</v>
      </c>
      <c r="E669" s="47" t="s">
        <v>6191</v>
      </c>
      <c r="F669" s="47" t="s">
        <v>3827</v>
      </c>
      <c r="G669" s="47" t="s">
        <v>14</v>
      </c>
      <c r="H669" s="47" t="str">
        <f>IFERROR(VLOOKUP(Table2[[#This Row], [Ticket]],Okey!A:B,2,0),"")</f>
        <v>ok</v>
      </c>
      <c r="I669" s="47" t="s">
        <v>5290</v>
      </c>
      <c r="J669" s="47" t="s">
        <v>17</v>
      </c>
      <c r="K669" s="47" t="s">
        <v>6396</v>
      </c>
      <c r="L669" s="47"/>
      <c r="M669" s="49" t="s">
        <v>4778</v>
      </c>
    </row>
    <row r="670" spans="1:13">
      <c r="A670" s="48">
        <f t="shared" si="10"/>
        <v>669</v>
      </c>
      <c r="B670" s="47" t="s">
        <v>3295</v>
      </c>
      <c r="C670" s="47" t="s">
        <v>6216</v>
      </c>
      <c r="D670" s="47" t="s">
        <v>6374</v>
      </c>
      <c r="E670" s="47" t="s">
        <v>6192</v>
      </c>
      <c r="F670" s="47" t="s">
        <v>6373</v>
      </c>
      <c r="G670" s="47" t="s">
        <v>14</v>
      </c>
      <c r="H670" s="47" t="str">
        <f>IFERROR(VLOOKUP(Table2[[#This Row], [Ticket]],Okey!A:B,2,0),"")</f>
        <v>ok</v>
      </c>
      <c r="I670" s="47" t="s">
        <v>5290</v>
      </c>
      <c r="J670" s="47" t="s">
        <v>17</v>
      </c>
      <c r="K670" s="47" t="s">
        <v>6396</v>
      </c>
      <c r="L670" s="47"/>
      <c r="M670" s="49" t="s">
        <v>4778</v>
      </c>
    </row>
    <row r="671" spans="1:13">
      <c r="A671" s="48">
        <f t="shared" si="10"/>
        <v>670</v>
      </c>
      <c r="B671" s="47" t="s">
        <v>3295</v>
      </c>
      <c r="C671" s="47" t="s">
        <v>6216</v>
      </c>
      <c r="D671" s="47" t="s">
        <v>6375</v>
      </c>
      <c r="E671" s="47" t="s">
        <v>6193</v>
      </c>
      <c r="F671" s="47" t="s">
        <v>3827</v>
      </c>
      <c r="G671" s="47" t="s">
        <v>14</v>
      </c>
      <c r="H671" s="47" t="str">
        <f>IFERROR(VLOOKUP(Table2[[#This Row], [Ticket]],Okey!A:B,2,0),"")</f>
        <v>ok</v>
      </c>
      <c r="I671" s="47" t="s">
        <v>5290</v>
      </c>
      <c r="J671" s="47" t="s">
        <v>17</v>
      </c>
      <c r="K671" s="47" t="s">
        <v>6396</v>
      </c>
      <c r="L671" s="47"/>
      <c r="M671" s="49" t="s">
        <v>4778</v>
      </c>
    </row>
    <row r="672" spans="1:13">
      <c r="A672" s="48">
        <f t="shared" si="10"/>
        <v>671</v>
      </c>
      <c r="B672" s="47" t="s">
        <v>3295</v>
      </c>
      <c r="C672" s="47" t="s">
        <v>6216</v>
      </c>
      <c r="D672" s="47" t="s">
        <v>6376</v>
      </c>
      <c r="E672" s="47" t="s">
        <v>6194</v>
      </c>
      <c r="F672" s="47" t="s">
        <v>6375</v>
      </c>
      <c r="G672" s="47" t="s">
        <v>14</v>
      </c>
      <c r="H672" s="47" t="str">
        <f>IFERROR(VLOOKUP(Table2[[#This Row], [Ticket]],Okey!A:B,2,0),"")</f>
        <v>ok</v>
      </c>
      <c r="I672" s="47" t="s">
        <v>5290</v>
      </c>
      <c r="J672" s="47" t="s">
        <v>17</v>
      </c>
      <c r="K672" s="47" t="s">
        <v>6396</v>
      </c>
      <c r="L672" s="47"/>
      <c r="M672" s="49" t="s">
        <v>4778</v>
      </c>
    </row>
    <row r="673" spans="1:13">
      <c r="A673" s="48">
        <f t="shared" si="10"/>
        <v>672</v>
      </c>
      <c r="B673" s="47" t="s">
        <v>3295</v>
      </c>
      <c r="C673" s="47" t="s">
        <v>6216</v>
      </c>
      <c r="D673" s="47" t="s">
        <v>6377</v>
      </c>
      <c r="E673" s="47" t="s">
        <v>6195</v>
      </c>
      <c r="F673" s="47" t="s">
        <v>6375</v>
      </c>
      <c r="G673" s="47" t="s">
        <v>14</v>
      </c>
      <c r="H673" s="47" t="str">
        <f>IFERROR(VLOOKUP(Table2[[#This Row], [Ticket]],Okey!A:B,2,0),"")</f>
        <v>ok</v>
      </c>
      <c r="I673" s="47" t="s">
        <v>5290</v>
      </c>
      <c r="J673" s="47" t="s">
        <v>17</v>
      </c>
      <c r="K673" s="47" t="s">
        <v>6396</v>
      </c>
      <c r="L673" s="47"/>
      <c r="M673" s="49" t="s">
        <v>4778</v>
      </c>
    </row>
    <row r="674" spans="1:13">
      <c r="A674" s="48">
        <f t="shared" si="10"/>
        <v>673</v>
      </c>
      <c r="B674" s="47" t="s">
        <v>3295</v>
      </c>
      <c r="C674" s="47" t="s">
        <v>6216</v>
      </c>
      <c r="D674" s="47" t="s">
        <v>6378</v>
      </c>
      <c r="E674" s="47" t="s">
        <v>6196</v>
      </c>
      <c r="F674" s="47" t="s">
        <v>6375</v>
      </c>
      <c r="G674" s="47" t="s">
        <v>14</v>
      </c>
      <c r="H674" s="47" t="str">
        <f>IFERROR(VLOOKUP(Table2[[#This Row], [Ticket]],Okey!A:B,2,0),"")</f>
        <v>ok</v>
      </c>
      <c r="I674" s="47" t="s">
        <v>5290</v>
      </c>
      <c r="J674" s="47" t="s">
        <v>17</v>
      </c>
      <c r="K674" s="47" t="s">
        <v>6396</v>
      </c>
      <c r="L674" s="47"/>
      <c r="M674" s="49" t="s">
        <v>4778</v>
      </c>
    </row>
    <row r="675" spans="1:13">
      <c r="A675" s="48">
        <f t="shared" si="10"/>
        <v>674</v>
      </c>
      <c r="B675" s="47" t="s">
        <v>3295</v>
      </c>
      <c r="C675" s="47" t="s">
        <v>6216</v>
      </c>
      <c r="D675" s="47" t="s">
        <v>6379</v>
      </c>
      <c r="E675" s="47" t="s">
        <v>6197</v>
      </c>
      <c r="F675" s="47" t="s">
        <v>6375</v>
      </c>
      <c r="G675" s="47" t="s">
        <v>14</v>
      </c>
      <c r="H675" s="47" t="str">
        <f>IFERROR(VLOOKUP(Table2[[#This Row], [Ticket]],Okey!A:B,2,0),"")</f>
        <v>ok</v>
      </c>
      <c r="I675" s="47" t="s">
        <v>5290</v>
      </c>
      <c r="J675" s="47" t="s">
        <v>17</v>
      </c>
      <c r="K675" s="47" t="s">
        <v>6396</v>
      </c>
      <c r="L675" s="47"/>
      <c r="M675" s="49" t="s">
        <v>4778</v>
      </c>
    </row>
    <row r="676" spans="1:13">
      <c r="A676" s="48">
        <f t="shared" si="10"/>
        <v>675</v>
      </c>
      <c r="B676" s="47" t="s">
        <v>3295</v>
      </c>
      <c r="C676" s="47" t="s">
        <v>6216</v>
      </c>
      <c r="D676" s="47" t="s">
        <v>6380</v>
      </c>
      <c r="E676" s="47" t="s">
        <v>6198</v>
      </c>
      <c r="F676" s="47" t="s">
        <v>6375</v>
      </c>
      <c r="G676" s="47" t="s">
        <v>14</v>
      </c>
      <c r="H676" s="47" t="str">
        <f>IFERROR(VLOOKUP(Table2[[#This Row], [Ticket]],Okey!A:B,2,0),"")</f>
        <v>ok</v>
      </c>
      <c r="I676" s="47" t="s">
        <v>5290</v>
      </c>
      <c r="J676" s="47" t="s">
        <v>17</v>
      </c>
      <c r="K676" s="47" t="s">
        <v>6396</v>
      </c>
      <c r="L676" s="47"/>
      <c r="M676" s="49" t="s">
        <v>4778</v>
      </c>
    </row>
    <row r="677" spans="1:13">
      <c r="A677" s="48">
        <f t="shared" si="10"/>
        <v>676</v>
      </c>
      <c r="B677" s="47" t="s">
        <v>3295</v>
      </c>
      <c r="C677" s="47" t="s">
        <v>6216</v>
      </c>
      <c r="D677" s="47" t="s">
        <v>6381</v>
      </c>
      <c r="E677" s="47" t="s">
        <v>6199</v>
      </c>
      <c r="F677" s="47" t="s">
        <v>3827</v>
      </c>
      <c r="G677" s="47" t="s">
        <v>14</v>
      </c>
      <c r="H677" s="47" t="str">
        <f>IFERROR(VLOOKUP(Table2[[#This Row], [Ticket]],Okey!A:B,2,0),"")</f>
        <v>ok</v>
      </c>
      <c r="I677" s="47" t="s">
        <v>5290</v>
      </c>
      <c r="J677" s="47" t="s">
        <v>17</v>
      </c>
      <c r="K677" s="47" t="s">
        <v>6396</v>
      </c>
      <c r="L677" s="47"/>
      <c r="M677" s="49" t="s">
        <v>4778</v>
      </c>
    </row>
    <row r="678" spans="1:13">
      <c r="A678" s="48">
        <f t="shared" si="10"/>
        <v>677</v>
      </c>
      <c r="B678" s="47" t="s">
        <v>3295</v>
      </c>
      <c r="C678" s="47" t="s">
        <v>6216</v>
      </c>
      <c r="D678" s="47" t="s">
        <v>6382</v>
      </c>
      <c r="E678" s="47" t="s">
        <v>6200</v>
      </c>
      <c r="F678" s="47" t="s">
        <v>3827</v>
      </c>
      <c r="G678" s="47" t="s">
        <v>14</v>
      </c>
      <c r="H678" s="47" t="str">
        <f>IFERROR(VLOOKUP(Table2[[#This Row], [Ticket]],Okey!A:B,2,0),"")</f>
        <v>ok</v>
      </c>
      <c r="I678" s="47" t="s">
        <v>5290</v>
      </c>
      <c r="J678" s="47" t="s">
        <v>17</v>
      </c>
      <c r="K678" s="47" t="s">
        <v>6396</v>
      </c>
      <c r="L678" s="47"/>
      <c r="M678" s="49" t="s">
        <v>4778</v>
      </c>
    </row>
    <row r="679" spans="1:13">
      <c r="A679" s="48">
        <f t="shared" si="10"/>
        <v>678</v>
      </c>
      <c r="B679" s="47" t="s">
        <v>3295</v>
      </c>
      <c r="C679" s="47" t="s">
        <v>6216</v>
      </c>
      <c r="D679" s="47" t="s">
        <v>6383</v>
      </c>
      <c r="E679" s="47" t="s">
        <v>6201</v>
      </c>
      <c r="F679" s="47" t="s">
        <v>6382</v>
      </c>
      <c r="G679" s="47" t="s">
        <v>14</v>
      </c>
      <c r="H679" s="47" t="str">
        <f>IFERROR(VLOOKUP(Table2[[#This Row], [Ticket]],Okey!A:B,2,0),"")</f>
        <v>ok</v>
      </c>
      <c r="I679" s="47" t="s">
        <v>5290</v>
      </c>
      <c r="J679" s="47" t="s">
        <v>17</v>
      </c>
      <c r="K679" s="47" t="s">
        <v>6396</v>
      </c>
      <c r="L679" s="47"/>
      <c r="M679" s="49" t="s">
        <v>4778</v>
      </c>
    </row>
    <row r="680" spans="1:13">
      <c r="A680" s="48">
        <f t="shared" si="10"/>
        <v>679</v>
      </c>
      <c r="B680" s="47" t="s">
        <v>3295</v>
      </c>
      <c r="C680" s="47" t="s">
        <v>6216</v>
      </c>
      <c r="D680" s="47" t="s">
        <v>6384</v>
      </c>
      <c r="E680" s="47" t="s">
        <v>6202</v>
      </c>
      <c r="F680" s="47" t="s">
        <v>5284</v>
      </c>
      <c r="G680" s="47" t="s">
        <v>14</v>
      </c>
      <c r="H680" s="47" t="str">
        <f>IFERROR(VLOOKUP(Table2[[#This Row], [Ticket]],Okey!A:B,2,0),"")</f>
        <v>ok</v>
      </c>
      <c r="I680" s="47" t="s">
        <v>5290</v>
      </c>
      <c r="J680" s="47" t="s">
        <v>17</v>
      </c>
      <c r="K680" s="47" t="s">
        <v>6396</v>
      </c>
      <c r="L680" s="47"/>
      <c r="M680" s="49" t="s">
        <v>4778</v>
      </c>
    </row>
    <row r="681" spans="1:13">
      <c r="A681" s="48">
        <f t="shared" si="10"/>
        <v>680</v>
      </c>
      <c r="B681" s="47" t="s">
        <v>3295</v>
      </c>
      <c r="C681" s="47" t="s">
        <v>6216</v>
      </c>
      <c r="D681" s="47" t="s">
        <v>6385</v>
      </c>
      <c r="E681" s="47" t="s">
        <v>6203</v>
      </c>
      <c r="F681" s="47" t="s">
        <v>6213</v>
      </c>
      <c r="G681" s="47" t="s">
        <v>14</v>
      </c>
      <c r="H681" s="47" t="str">
        <f>IFERROR(VLOOKUP(Table2[[#This Row], [Ticket]],Okey!A:B,2,0),"")</f>
        <v>ok</v>
      </c>
      <c r="I681" s="47" t="s">
        <v>5290</v>
      </c>
      <c r="J681" s="47" t="s">
        <v>17</v>
      </c>
      <c r="K681" s="47" t="s">
        <v>6396</v>
      </c>
      <c r="L681" s="47"/>
      <c r="M681" s="49" t="s">
        <v>4778</v>
      </c>
    </row>
    <row r="682" spans="1:13">
      <c r="A682" s="48">
        <f t="shared" si="10"/>
        <v>681</v>
      </c>
      <c r="B682" s="47" t="s">
        <v>3295</v>
      </c>
      <c r="C682" s="47" t="s">
        <v>6216</v>
      </c>
      <c r="D682" s="47" t="s">
        <v>6386</v>
      </c>
      <c r="E682" s="47" t="s">
        <v>6204</v>
      </c>
      <c r="F682" s="47" t="s">
        <v>6213</v>
      </c>
      <c r="G682" s="47" t="s">
        <v>14</v>
      </c>
      <c r="H682" s="47" t="str">
        <f>IFERROR(VLOOKUP(Table2[[#This Row], [Ticket]],Okey!A:B,2,0),"")</f>
        <v>ok</v>
      </c>
      <c r="I682" s="47" t="s">
        <v>5290</v>
      </c>
      <c r="J682" s="47" t="s">
        <v>17</v>
      </c>
      <c r="K682" s="47" t="s">
        <v>6396</v>
      </c>
      <c r="L682" s="47"/>
      <c r="M682" s="49" t="s">
        <v>4778</v>
      </c>
    </row>
    <row r="683" spans="1:13">
      <c r="A683" s="48">
        <f t="shared" si="10"/>
        <v>682</v>
      </c>
      <c r="B683" s="47" t="s">
        <v>3295</v>
      </c>
      <c r="C683" s="47" t="s">
        <v>6216</v>
      </c>
      <c r="D683" s="47" t="s">
        <v>6387</v>
      </c>
      <c r="E683" s="47" t="s">
        <v>6205</v>
      </c>
      <c r="F683" s="47" t="s">
        <v>5284</v>
      </c>
      <c r="G683" s="47" t="s">
        <v>14</v>
      </c>
      <c r="H683" s="47" t="str">
        <f>IFERROR(VLOOKUP(Table2[[#This Row], [Ticket]],Okey!A:B,2,0),"")</f>
        <v>ok</v>
      </c>
      <c r="I683" s="47" t="s">
        <v>5290</v>
      </c>
      <c r="J683" s="47" t="s">
        <v>17</v>
      </c>
      <c r="K683" s="47" t="s">
        <v>6396</v>
      </c>
      <c r="L683" s="47"/>
      <c r="M683" s="49" t="s">
        <v>4778</v>
      </c>
    </row>
    <row r="684" spans="1:13">
      <c r="A684" s="48">
        <f t="shared" si="10"/>
        <v>683</v>
      </c>
      <c r="B684" s="47" t="s">
        <v>3295</v>
      </c>
      <c r="C684" s="47" t="s">
        <v>6216</v>
      </c>
      <c r="D684" s="47" t="s">
        <v>6388</v>
      </c>
      <c r="E684" s="47" t="s">
        <v>6206</v>
      </c>
      <c r="F684" s="47" t="s">
        <v>6387</v>
      </c>
      <c r="G684" s="47" t="s">
        <v>14</v>
      </c>
      <c r="H684" s="47" t="str">
        <f>IFERROR(VLOOKUP(Table2[[#This Row], [Ticket]],Okey!A:B,2,0),"")</f>
        <v>ok</v>
      </c>
      <c r="I684" s="47" t="s">
        <v>5290</v>
      </c>
      <c r="J684" s="47" t="s">
        <v>17</v>
      </c>
      <c r="K684" s="47" t="s">
        <v>6396</v>
      </c>
      <c r="L684" s="47"/>
      <c r="M684" s="49" t="s">
        <v>4778</v>
      </c>
    </row>
    <row r="685" spans="1:13">
      <c r="A685" s="48">
        <f t="shared" si="10"/>
        <v>684</v>
      </c>
      <c r="B685" s="47" t="s">
        <v>3295</v>
      </c>
      <c r="C685" s="47" t="s">
        <v>6216</v>
      </c>
      <c r="D685" s="47" t="s">
        <v>6389</v>
      </c>
      <c r="E685" s="47" t="s">
        <v>6207</v>
      </c>
      <c r="F685" s="47" t="s">
        <v>1238</v>
      </c>
      <c r="G685" s="47" t="s">
        <v>14</v>
      </c>
      <c r="H685" s="47" t="str">
        <f>IFERROR(VLOOKUP(Table2[[#This Row], [Ticket]],Okey!A:B,2,0),"")</f>
        <v>ok</v>
      </c>
      <c r="I685" s="47" t="s">
        <v>5290</v>
      </c>
      <c r="J685" s="47" t="s">
        <v>17</v>
      </c>
      <c r="K685" s="47" t="s">
        <v>6396</v>
      </c>
      <c r="L685" s="47"/>
      <c r="M685" s="49" t="s">
        <v>4778</v>
      </c>
    </row>
    <row r="686" spans="1:13">
      <c r="A686" s="48">
        <f t="shared" si="10"/>
        <v>685</v>
      </c>
      <c r="B686" s="47" t="s">
        <v>3295</v>
      </c>
      <c r="C686" s="47" t="s">
        <v>6216</v>
      </c>
      <c r="D686" s="47" t="s">
        <v>6390</v>
      </c>
      <c r="E686" s="47" t="s">
        <v>6208</v>
      </c>
      <c r="F686" s="47" t="s">
        <v>5284</v>
      </c>
      <c r="G686" s="47" t="s">
        <v>14</v>
      </c>
      <c r="H686" s="47" t="str">
        <f>IFERROR(VLOOKUP(Table2[[#This Row], [Ticket]],Okey!A:B,2,0),"")</f>
        <v>ok</v>
      </c>
      <c r="I686" s="47" t="s">
        <v>5290</v>
      </c>
      <c r="J686" s="47" t="s">
        <v>17</v>
      </c>
      <c r="K686" s="47" t="s">
        <v>6396</v>
      </c>
      <c r="L686" s="47"/>
      <c r="M686" s="49" t="s">
        <v>4778</v>
      </c>
    </row>
    <row r="687" spans="1:13">
      <c r="A687" s="48">
        <f t="shared" si="10"/>
        <v>686</v>
      </c>
      <c r="B687" s="47" t="s">
        <v>3295</v>
      </c>
      <c r="C687" s="47" t="s">
        <v>6216</v>
      </c>
      <c r="D687" s="47" t="s">
        <v>6133</v>
      </c>
      <c r="E687" s="47" t="s">
        <v>6173</v>
      </c>
      <c r="F687" s="47" t="s">
        <v>6355</v>
      </c>
      <c r="G687" s="47" t="s">
        <v>14</v>
      </c>
      <c r="H687" s="47" t="str">
        <f>IFERROR(VLOOKUP(Table2[[#This Row], [Ticket]],Okey!A:B,2,0),"")</f>
        <v>ok</v>
      </c>
      <c r="I687" s="47" t="s">
        <v>5290</v>
      </c>
      <c r="J687" s="47" t="s">
        <v>17</v>
      </c>
      <c r="K687" s="47" t="s">
        <v>6396</v>
      </c>
      <c r="L687" s="47"/>
      <c r="M687" s="49" t="s">
        <v>4778</v>
      </c>
    </row>
    <row r="688" spans="1:13">
      <c r="A688" s="48">
        <f t="shared" si="10"/>
        <v>687</v>
      </c>
      <c r="B688" s="47" t="s">
        <v>3295</v>
      </c>
      <c r="C688" s="47" t="s">
        <v>6216</v>
      </c>
      <c r="D688" s="47" t="s">
        <v>6134</v>
      </c>
      <c r="E688" s="47" t="s">
        <v>6174</v>
      </c>
      <c r="F688" s="47" t="s">
        <v>6356</v>
      </c>
      <c r="G688" s="47" t="s">
        <v>14</v>
      </c>
      <c r="H688" s="47" t="str">
        <f>IFERROR(VLOOKUP(Table2[[#This Row], [Ticket]],Okey!A:B,2,0),"")</f>
        <v>ok</v>
      </c>
      <c r="I688" s="47" t="s">
        <v>5290</v>
      </c>
      <c r="J688" s="47" t="s">
        <v>17</v>
      </c>
      <c r="K688" s="47" t="s">
        <v>6396</v>
      </c>
      <c r="L688" s="47"/>
      <c r="M688" s="49" t="s">
        <v>4778</v>
      </c>
    </row>
    <row r="689" spans="1:13">
      <c r="A689" s="48">
        <f t="shared" si="10"/>
        <v>688</v>
      </c>
      <c r="B689" s="47" t="s">
        <v>3295</v>
      </c>
      <c r="C689" s="47" t="s">
        <v>6216</v>
      </c>
      <c r="D689" s="47" t="s">
        <v>6135</v>
      </c>
      <c r="E689" s="47" t="s">
        <v>6175</v>
      </c>
      <c r="F689" s="47" t="s">
        <v>6357</v>
      </c>
      <c r="G689" s="47" t="s">
        <v>14</v>
      </c>
      <c r="H689" s="47" t="str">
        <f>IFERROR(VLOOKUP(Table2[[#This Row], [Ticket]],Okey!A:B,2,0),"")</f>
        <v>ok</v>
      </c>
      <c r="I689" s="47" t="s">
        <v>5290</v>
      </c>
      <c r="J689" s="47" t="s">
        <v>17</v>
      </c>
      <c r="K689" s="47" t="s">
        <v>6396</v>
      </c>
      <c r="L689" s="47"/>
      <c r="M689" s="49" t="s">
        <v>4778</v>
      </c>
    </row>
    <row r="690" spans="1:13">
      <c r="A690" s="48">
        <f t="shared" si="10"/>
        <v>689</v>
      </c>
      <c r="B690" s="47" t="s">
        <v>3295</v>
      </c>
      <c r="C690" s="47" t="s">
        <v>6216</v>
      </c>
      <c r="D690" s="47" t="s">
        <v>6136</v>
      </c>
      <c r="E690" s="47" t="s">
        <v>6176</v>
      </c>
      <c r="F690" s="47" t="s">
        <v>6358</v>
      </c>
      <c r="G690" s="47" t="s">
        <v>14</v>
      </c>
      <c r="H690" s="47" t="str">
        <f>IFERROR(VLOOKUP(Table2[[#This Row], [Ticket]],Okey!A:B,2,0),"")</f>
        <v>ok</v>
      </c>
      <c r="I690" s="47" t="s">
        <v>5290</v>
      </c>
      <c r="J690" s="47" t="s">
        <v>17</v>
      </c>
      <c r="K690" s="47" t="s">
        <v>6396</v>
      </c>
      <c r="L690" s="47"/>
      <c r="M690" s="49" t="s">
        <v>4778</v>
      </c>
    </row>
    <row r="691" spans="1:13">
      <c r="A691" s="48">
        <f t="shared" si="10"/>
        <v>690</v>
      </c>
      <c r="B691" s="47" t="s">
        <v>3295</v>
      </c>
      <c r="C691" s="47" t="s">
        <v>6216</v>
      </c>
      <c r="D691" s="47" t="s">
        <v>6137</v>
      </c>
      <c r="E691" s="47" t="s">
        <v>6177</v>
      </c>
      <c r="F691" s="47" t="s">
        <v>6359</v>
      </c>
      <c r="G691" s="47" t="s">
        <v>14</v>
      </c>
      <c r="H691" s="47" t="str">
        <f>IFERROR(VLOOKUP(Table2[[#This Row], [Ticket]],Okey!A:B,2,0),"")</f>
        <v>ok</v>
      </c>
      <c r="I691" s="47" t="s">
        <v>5290</v>
      </c>
      <c r="J691" s="47" t="s">
        <v>17</v>
      </c>
      <c r="K691" s="47" t="s">
        <v>6396</v>
      </c>
      <c r="L691" s="47"/>
      <c r="M691" s="49" t="s">
        <v>4778</v>
      </c>
    </row>
    <row r="692" spans="1:13">
      <c r="A692" s="48">
        <f t="shared" si="10"/>
        <v>691</v>
      </c>
      <c r="B692" s="47" t="s">
        <v>3295</v>
      </c>
      <c r="C692" s="47" t="s">
        <v>6216</v>
      </c>
      <c r="D692" s="47" t="s">
        <v>6138</v>
      </c>
      <c r="E692" s="47" t="s">
        <v>6178</v>
      </c>
      <c r="F692" s="47" t="s">
        <v>6360</v>
      </c>
      <c r="G692" s="47" t="s">
        <v>14</v>
      </c>
      <c r="H692" s="47" t="str">
        <f>IFERROR(VLOOKUP(Table2[[#This Row], [Ticket]],Okey!A:B,2,0),"")</f>
        <v>ok</v>
      </c>
      <c r="I692" s="47" t="s">
        <v>5290</v>
      </c>
      <c r="J692" s="47" t="s">
        <v>17</v>
      </c>
      <c r="K692" s="47" t="s">
        <v>6396</v>
      </c>
      <c r="L692" s="47"/>
      <c r="M692" s="49" t="s">
        <v>4778</v>
      </c>
    </row>
    <row r="693" spans="1:13">
      <c r="A693" s="48">
        <f t="shared" si="10"/>
        <v>692</v>
      </c>
      <c r="B693" s="47" t="s">
        <v>3295</v>
      </c>
      <c r="C693" s="47" t="s">
        <v>6216</v>
      </c>
      <c r="D693" s="47" t="s">
        <v>6139</v>
      </c>
      <c r="E693" s="47" t="s">
        <v>6179</v>
      </c>
      <c r="F693" s="47" t="s">
        <v>6361</v>
      </c>
      <c r="G693" s="47" t="s">
        <v>14</v>
      </c>
      <c r="H693" s="47" t="str">
        <f>IFERROR(VLOOKUP(Table2[[#This Row], [Ticket]],Okey!A:B,2,0),"")</f>
        <v>ok</v>
      </c>
      <c r="I693" s="47" t="s">
        <v>5290</v>
      </c>
      <c r="J693" s="47" t="s">
        <v>17</v>
      </c>
      <c r="K693" s="47" t="s">
        <v>6396</v>
      </c>
      <c r="L693" s="47"/>
      <c r="M693" s="49" t="s">
        <v>4778</v>
      </c>
    </row>
    <row r="694" spans="1:13">
      <c r="A694" s="48">
        <f t="shared" si="10"/>
        <v>693</v>
      </c>
      <c r="B694" s="47" t="s">
        <v>3295</v>
      </c>
      <c r="C694" s="47" t="s">
        <v>6216</v>
      </c>
      <c r="D694" s="47" t="s">
        <v>6140</v>
      </c>
      <c r="E694" s="47" t="s">
        <v>6180</v>
      </c>
      <c r="F694" s="47" t="s">
        <v>6362</v>
      </c>
      <c r="G694" s="47" t="s">
        <v>14</v>
      </c>
      <c r="H694" s="47" t="str">
        <f>IFERROR(VLOOKUP(Table2[[#This Row], [Ticket]],Okey!A:B,2,0),"")</f>
        <v>ok</v>
      </c>
      <c r="I694" s="47" t="s">
        <v>5290</v>
      </c>
      <c r="J694" s="47" t="s">
        <v>17</v>
      </c>
      <c r="K694" s="47" t="s">
        <v>6396</v>
      </c>
      <c r="L694" s="47"/>
      <c r="M694" s="49" t="s">
        <v>4778</v>
      </c>
    </row>
    <row r="695" spans="1:13">
      <c r="A695" s="48">
        <f t="shared" si="10"/>
        <v>694</v>
      </c>
      <c r="B695" s="47" t="s">
        <v>3295</v>
      </c>
      <c r="C695" s="47" t="s">
        <v>6216</v>
      </c>
      <c r="D695" s="47" t="s">
        <v>6141</v>
      </c>
      <c r="E695" s="47" t="s">
        <v>6181</v>
      </c>
      <c r="F695" s="47" t="s">
        <v>6363</v>
      </c>
      <c r="G695" s="47" t="s">
        <v>14</v>
      </c>
      <c r="H695" s="47" t="str">
        <f>IFERROR(VLOOKUP(Table2[[#This Row], [Ticket]],Okey!A:B,2,0),"")</f>
        <v>ok</v>
      </c>
      <c r="I695" s="47" t="s">
        <v>5290</v>
      </c>
      <c r="J695" s="47" t="s">
        <v>17</v>
      </c>
      <c r="K695" s="47" t="s">
        <v>6396</v>
      </c>
      <c r="L695" s="47"/>
      <c r="M695" s="49" t="s">
        <v>4778</v>
      </c>
    </row>
    <row r="696" spans="1:13">
      <c r="A696" s="48">
        <f t="shared" si="10"/>
        <v>695</v>
      </c>
      <c r="B696" s="47" t="s">
        <v>3295</v>
      </c>
      <c r="C696" s="47" t="s">
        <v>6216</v>
      </c>
      <c r="D696" s="47" t="s">
        <v>6142</v>
      </c>
      <c r="E696" s="47" t="s">
        <v>6182</v>
      </c>
      <c r="F696" s="47" t="s">
        <v>6364</v>
      </c>
      <c r="G696" s="47" t="s">
        <v>14</v>
      </c>
      <c r="H696" s="47" t="str">
        <f>IFERROR(VLOOKUP(Table2[[#This Row], [Ticket]],Okey!A:B,2,0),"")</f>
        <v>ok</v>
      </c>
      <c r="I696" s="47" t="s">
        <v>5290</v>
      </c>
      <c r="J696" s="47" t="s">
        <v>17</v>
      </c>
      <c r="K696" s="47" t="s">
        <v>6396</v>
      </c>
      <c r="L696" s="47"/>
      <c r="M696" s="49" t="s">
        <v>4778</v>
      </c>
    </row>
    <row r="697" spans="1:13">
      <c r="A697" s="48">
        <f t="shared" si="10"/>
        <v>696</v>
      </c>
      <c r="B697" s="47" t="s">
        <v>3295</v>
      </c>
      <c r="C697" s="47" t="s">
        <v>6216</v>
      </c>
      <c r="D697" s="47" t="s">
        <v>6143</v>
      </c>
      <c r="E697" s="47" t="s">
        <v>6183</v>
      </c>
      <c r="F697" s="47" t="s">
        <v>6365</v>
      </c>
      <c r="G697" s="47" t="s">
        <v>14</v>
      </c>
      <c r="H697" s="47" t="str">
        <f>IFERROR(VLOOKUP(Table2[[#This Row], [Ticket]],Okey!A:B,2,0),"")</f>
        <v>ok</v>
      </c>
      <c r="I697" s="47" t="s">
        <v>5290</v>
      </c>
      <c r="J697" s="47" t="s">
        <v>17</v>
      </c>
      <c r="K697" s="47" t="s">
        <v>6396</v>
      </c>
      <c r="L697" s="47"/>
      <c r="M697" s="49" t="s">
        <v>4778</v>
      </c>
    </row>
    <row r="698" spans="1:13">
      <c r="A698" s="48">
        <f t="shared" si="10"/>
        <v>697</v>
      </c>
      <c r="B698" s="47" t="s">
        <v>3295</v>
      </c>
      <c r="C698" s="47" t="s">
        <v>6216</v>
      </c>
      <c r="D698" s="47" t="s">
        <v>6144</v>
      </c>
      <c r="E698" s="47" t="s">
        <v>6184</v>
      </c>
      <c r="F698" s="47" t="s">
        <v>6366</v>
      </c>
      <c r="G698" s="47" t="s">
        <v>14</v>
      </c>
      <c r="H698" s="47" t="str">
        <f>IFERROR(VLOOKUP(Table2[[#This Row], [Ticket]],Okey!A:B,2,0),"")</f>
        <v>ok</v>
      </c>
      <c r="I698" s="47" t="s">
        <v>5290</v>
      </c>
      <c r="J698" s="47" t="s">
        <v>17</v>
      </c>
      <c r="K698" s="47" t="s">
        <v>6396</v>
      </c>
      <c r="L698" s="47"/>
      <c r="M698" s="49" t="s">
        <v>4778</v>
      </c>
    </row>
    <row r="699" spans="1:13">
      <c r="A699" s="48">
        <f t="shared" si="10"/>
        <v>698</v>
      </c>
      <c r="B699" s="47" t="s">
        <v>3295</v>
      </c>
      <c r="C699" s="47" t="s">
        <v>6216</v>
      </c>
      <c r="D699" s="47" t="s">
        <v>6145</v>
      </c>
      <c r="E699" s="47" t="s">
        <v>6185</v>
      </c>
      <c r="F699" s="47" t="s">
        <v>6367</v>
      </c>
      <c r="G699" s="47" t="s">
        <v>14</v>
      </c>
      <c r="H699" s="47" t="str">
        <f>IFERROR(VLOOKUP(Table2[[#This Row], [Ticket]],Okey!A:B,2,0),"")</f>
        <v>ok</v>
      </c>
      <c r="I699" s="47" t="s">
        <v>5290</v>
      </c>
      <c r="J699" s="47" t="s">
        <v>17</v>
      </c>
      <c r="K699" s="47" t="s">
        <v>6396</v>
      </c>
      <c r="L699" s="47"/>
      <c r="M699" s="49" t="s">
        <v>4778</v>
      </c>
    </row>
    <row r="700" spans="1:13">
      <c r="A700" s="48">
        <f t="shared" si="10"/>
        <v>699</v>
      </c>
      <c r="B700" s="47" t="s">
        <v>3295</v>
      </c>
      <c r="C700" s="47" t="s">
        <v>6216</v>
      </c>
      <c r="D700" s="47" t="s">
        <v>6146</v>
      </c>
      <c r="E700" s="47" t="s">
        <v>6186</v>
      </c>
      <c r="F700" s="47" t="s">
        <v>6368</v>
      </c>
      <c r="G700" s="47" t="s">
        <v>14</v>
      </c>
      <c r="H700" s="47" t="str">
        <f>IFERROR(VLOOKUP(Table2[[#This Row], [Ticket]],Okey!A:B,2,0),"")</f>
        <v>ok</v>
      </c>
      <c r="I700" s="47" t="s">
        <v>5290</v>
      </c>
      <c r="J700" s="47" t="s">
        <v>17</v>
      </c>
      <c r="K700" s="47" t="s">
        <v>6396</v>
      </c>
      <c r="L700" s="47"/>
      <c r="M700" s="49" t="s">
        <v>4778</v>
      </c>
    </row>
    <row r="701" spans="1:13">
      <c r="A701" s="48">
        <f t="shared" si="10"/>
        <v>700</v>
      </c>
      <c r="B701" s="47" t="s">
        <v>3295</v>
      </c>
      <c r="C701" s="47" t="s">
        <v>6216</v>
      </c>
      <c r="D701" s="47" t="s">
        <v>6147</v>
      </c>
      <c r="E701" s="47" t="s">
        <v>6187</v>
      </c>
      <c r="F701" s="47" t="s">
        <v>6369</v>
      </c>
      <c r="G701" s="47" t="s">
        <v>14</v>
      </c>
      <c r="H701" s="47" t="str">
        <f>IFERROR(VLOOKUP(Table2[[#This Row], [Ticket]],Okey!A:B,2,0),"")</f>
        <v>ok</v>
      </c>
      <c r="I701" s="47" t="s">
        <v>5290</v>
      </c>
      <c r="J701" s="47" t="s">
        <v>17</v>
      </c>
      <c r="K701" s="47" t="s">
        <v>6396</v>
      </c>
      <c r="L701" s="47"/>
      <c r="M701" s="49" t="s">
        <v>4778</v>
      </c>
    </row>
    <row r="702" spans="1:13">
      <c r="A702" s="48">
        <f t="shared" si="10"/>
        <v>701</v>
      </c>
      <c r="B702" s="47" t="s">
        <v>3295</v>
      </c>
      <c r="C702" s="47" t="s">
        <v>6216</v>
      </c>
      <c r="D702" s="47" t="s">
        <v>6148</v>
      </c>
      <c r="E702" s="47" t="s">
        <v>6188</v>
      </c>
      <c r="F702" s="47" t="s">
        <v>6370</v>
      </c>
      <c r="G702" s="47" t="s">
        <v>14</v>
      </c>
      <c r="H702" s="47" t="str">
        <f>IFERROR(VLOOKUP(Table2[[#This Row], [Ticket]],Okey!A:B,2,0),"")</f>
        <v>ok</v>
      </c>
      <c r="I702" s="47" t="s">
        <v>5290</v>
      </c>
      <c r="J702" s="47" t="s">
        <v>17</v>
      </c>
      <c r="K702" s="47" t="s">
        <v>6396</v>
      </c>
      <c r="L702" s="47"/>
      <c r="M702" s="49" t="s">
        <v>4778</v>
      </c>
    </row>
    <row r="703" spans="1:13">
      <c r="A703" s="48">
        <f t="shared" si="10"/>
        <v>702</v>
      </c>
      <c r="B703" s="47" t="s">
        <v>3295</v>
      </c>
      <c r="C703" s="47" t="s">
        <v>6216</v>
      </c>
      <c r="D703" s="47" t="s">
        <v>6149</v>
      </c>
      <c r="E703" s="47" t="s">
        <v>6189</v>
      </c>
      <c r="F703" s="47" t="s">
        <v>6371</v>
      </c>
      <c r="G703" s="47" t="s">
        <v>14</v>
      </c>
      <c r="H703" s="47" t="str">
        <f>IFERROR(VLOOKUP(Table2[[#This Row], [Ticket]],Okey!A:B,2,0),"")</f>
        <v>ok</v>
      </c>
      <c r="I703" s="47" t="s">
        <v>5290</v>
      </c>
      <c r="J703" s="47" t="s">
        <v>17</v>
      </c>
      <c r="K703" s="47" t="s">
        <v>6396</v>
      </c>
      <c r="L703" s="47"/>
      <c r="M703" s="49" t="s">
        <v>4778</v>
      </c>
    </row>
    <row r="704" spans="1:13">
      <c r="A704" s="48">
        <f t="shared" si="10"/>
        <v>703</v>
      </c>
      <c r="B704" s="47" t="s">
        <v>3295</v>
      </c>
      <c r="C704" s="47" t="s">
        <v>6216</v>
      </c>
      <c r="D704" s="47" t="s">
        <v>6150</v>
      </c>
      <c r="E704" s="47" t="s">
        <v>6190</v>
      </c>
      <c r="F704" s="47" t="s">
        <v>6372</v>
      </c>
      <c r="G704" s="47" t="s">
        <v>14</v>
      </c>
      <c r="H704" s="47" t="str">
        <f>IFERROR(VLOOKUP(Table2[[#This Row], [Ticket]],Okey!A:B,2,0),"")</f>
        <v>ok</v>
      </c>
      <c r="I704" s="47" t="s">
        <v>5290</v>
      </c>
      <c r="J704" s="47" t="s">
        <v>17</v>
      </c>
      <c r="K704" s="47" t="s">
        <v>6396</v>
      </c>
      <c r="L704" s="47"/>
      <c r="M704" s="49" t="s">
        <v>4778</v>
      </c>
    </row>
    <row r="705" spans="1:13">
      <c r="A705" s="48">
        <f t="shared" si="10"/>
        <v>704</v>
      </c>
      <c r="B705" s="47" t="s">
        <v>3295</v>
      </c>
      <c r="C705" s="47" t="s">
        <v>6216</v>
      </c>
      <c r="D705" s="47" t="s">
        <v>6151</v>
      </c>
      <c r="E705" s="47" t="s">
        <v>6191</v>
      </c>
      <c r="F705" s="47" t="s">
        <v>6373</v>
      </c>
      <c r="G705" s="47" t="s">
        <v>14</v>
      </c>
      <c r="H705" s="47" t="str">
        <f>IFERROR(VLOOKUP(Table2[[#This Row], [Ticket]],Okey!A:B,2,0),"")</f>
        <v>ok</v>
      </c>
      <c r="I705" s="47" t="s">
        <v>5290</v>
      </c>
      <c r="J705" s="47" t="s">
        <v>17</v>
      </c>
      <c r="K705" s="47" t="s">
        <v>6396</v>
      </c>
      <c r="L705" s="47"/>
      <c r="M705" s="49" t="s">
        <v>4778</v>
      </c>
    </row>
    <row r="706" spans="1:13">
      <c r="A706" s="48">
        <f t="shared" si="10"/>
        <v>705</v>
      </c>
      <c r="B706" s="47" t="s">
        <v>3295</v>
      </c>
      <c r="C706" s="47" t="s">
        <v>6216</v>
      </c>
      <c r="D706" s="47" t="s">
        <v>6152</v>
      </c>
      <c r="E706" s="47" t="s">
        <v>6192</v>
      </c>
      <c r="F706" s="47" t="s">
        <v>6374</v>
      </c>
      <c r="G706" s="47" t="s">
        <v>14</v>
      </c>
      <c r="H706" s="47" t="str">
        <f>IFERROR(VLOOKUP(Table2[[#This Row], [Ticket]],Okey!A:B,2,0),"")</f>
        <v>ok</v>
      </c>
      <c r="I706" s="47" t="s">
        <v>5290</v>
      </c>
      <c r="J706" s="47" t="s">
        <v>17</v>
      </c>
      <c r="K706" s="47" t="s">
        <v>6396</v>
      </c>
      <c r="L706" s="47"/>
      <c r="M706" s="49" t="s">
        <v>4778</v>
      </c>
    </row>
    <row r="707" spans="1:13">
      <c r="A707" s="48">
        <f t="shared" ref="A707:A770" si="11">1+A706</f>
        <v>706</v>
      </c>
      <c r="B707" s="47" t="s">
        <v>3295</v>
      </c>
      <c r="C707" s="47" t="s">
        <v>6216</v>
      </c>
      <c r="D707" s="47" t="s">
        <v>6153</v>
      </c>
      <c r="E707" s="47" t="s">
        <v>6193</v>
      </c>
      <c r="F707" s="47" t="s">
        <v>6375</v>
      </c>
      <c r="G707" s="47" t="s">
        <v>14</v>
      </c>
      <c r="H707" s="47" t="str">
        <f>IFERROR(VLOOKUP(Table2[[#This Row], [Ticket]],Okey!A:B,2,0),"")</f>
        <v>ok</v>
      </c>
      <c r="I707" s="47" t="s">
        <v>5290</v>
      </c>
      <c r="J707" s="47" t="s">
        <v>17</v>
      </c>
      <c r="K707" s="47" t="s">
        <v>6396</v>
      </c>
      <c r="L707" s="47"/>
      <c r="M707" s="49" t="s">
        <v>4778</v>
      </c>
    </row>
    <row r="708" spans="1:13">
      <c r="A708" s="48">
        <f t="shared" si="11"/>
        <v>707</v>
      </c>
      <c r="B708" s="47" t="s">
        <v>3295</v>
      </c>
      <c r="C708" s="47" t="s">
        <v>6216</v>
      </c>
      <c r="D708" s="47" t="s">
        <v>6154</v>
      </c>
      <c r="E708" s="47" t="s">
        <v>6194</v>
      </c>
      <c r="F708" s="47" t="s">
        <v>6376</v>
      </c>
      <c r="G708" s="47" t="s">
        <v>14</v>
      </c>
      <c r="H708" s="47" t="str">
        <f>IFERROR(VLOOKUP(Table2[[#This Row], [Ticket]],Okey!A:B,2,0),"")</f>
        <v>ok</v>
      </c>
      <c r="I708" s="47" t="s">
        <v>5290</v>
      </c>
      <c r="J708" s="47" t="s">
        <v>17</v>
      </c>
      <c r="K708" s="47" t="s">
        <v>6396</v>
      </c>
      <c r="L708" s="47"/>
      <c r="M708" s="49" t="s">
        <v>4778</v>
      </c>
    </row>
    <row r="709" spans="1:13">
      <c r="A709" s="48">
        <f t="shared" si="11"/>
        <v>708</v>
      </c>
      <c r="B709" s="47" t="s">
        <v>3295</v>
      </c>
      <c r="C709" s="47" t="s">
        <v>6216</v>
      </c>
      <c r="D709" s="47" t="s">
        <v>6155</v>
      </c>
      <c r="E709" s="47" t="s">
        <v>6195</v>
      </c>
      <c r="F709" s="47" t="s">
        <v>6377</v>
      </c>
      <c r="G709" s="47" t="s">
        <v>14</v>
      </c>
      <c r="H709" s="47" t="str">
        <f>IFERROR(VLOOKUP(Table2[[#This Row], [Ticket]],Okey!A:B,2,0),"")</f>
        <v>ok</v>
      </c>
      <c r="I709" s="47" t="s">
        <v>5290</v>
      </c>
      <c r="J709" s="47" t="s">
        <v>17</v>
      </c>
      <c r="K709" s="47" t="s">
        <v>6396</v>
      </c>
      <c r="L709" s="47"/>
      <c r="M709" s="49" t="s">
        <v>4778</v>
      </c>
    </row>
    <row r="710" spans="1:13">
      <c r="A710" s="48">
        <f t="shared" si="11"/>
        <v>709</v>
      </c>
      <c r="B710" s="47" t="s">
        <v>3295</v>
      </c>
      <c r="C710" s="47" t="s">
        <v>6216</v>
      </c>
      <c r="D710" s="47" t="s">
        <v>6156</v>
      </c>
      <c r="E710" s="47" t="s">
        <v>6196</v>
      </c>
      <c r="F710" s="47" t="s">
        <v>6378</v>
      </c>
      <c r="G710" s="47" t="s">
        <v>14</v>
      </c>
      <c r="H710" s="47" t="str">
        <f>IFERROR(VLOOKUP(Table2[[#This Row], [Ticket]],Okey!A:B,2,0),"")</f>
        <v>ok</v>
      </c>
      <c r="I710" s="47" t="s">
        <v>5290</v>
      </c>
      <c r="J710" s="47" t="s">
        <v>17</v>
      </c>
      <c r="K710" s="47" t="s">
        <v>6396</v>
      </c>
      <c r="L710" s="47"/>
      <c r="M710" s="49" t="s">
        <v>4778</v>
      </c>
    </row>
    <row r="711" spans="1:13">
      <c r="A711" s="48">
        <f t="shared" si="11"/>
        <v>710</v>
      </c>
      <c r="B711" s="47" t="s">
        <v>3295</v>
      </c>
      <c r="C711" s="47" t="s">
        <v>6216</v>
      </c>
      <c r="D711" s="47" t="s">
        <v>6157</v>
      </c>
      <c r="E711" s="47" t="s">
        <v>6197</v>
      </c>
      <c r="F711" s="47" t="s">
        <v>6379</v>
      </c>
      <c r="G711" s="47" t="s">
        <v>14</v>
      </c>
      <c r="H711" s="47" t="str">
        <f>IFERROR(VLOOKUP(Table2[[#This Row], [Ticket]],Okey!A:B,2,0),"")</f>
        <v>ok</v>
      </c>
      <c r="I711" s="47" t="s">
        <v>5290</v>
      </c>
      <c r="J711" s="47" t="s">
        <v>17</v>
      </c>
      <c r="K711" s="47" t="s">
        <v>6396</v>
      </c>
      <c r="L711" s="47"/>
      <c r="M711" s="49" t="s">
        <v>4778</v>
      </c>
    </row>
    <row r="712" spans="1:13">
      <c r="A712" s="48">
        <f t="shared" si="11"/>
        <v>711</v>
      </c>
      <c r="B712" s="47" t="s">
        <v>3295</v>
      </c>
      <c r="C712" s="47" t="s">
        <v>6216</v>
      </c>
      <c r="D712" s="47" t="s">
        <v>6158</v>
      </c>
      <c r="E712" s="47" t="s">
        <v>6198</v>
      </c>
      <c r="F712" s="47" t="s">
        <v>6380</v>
      </c>
      <c r="G712" s="47" t="s">
        <v>14</v>
      </c>
      <c r="H712" s="47" t="str">
        <f>IFERROR(VLOOKUP(Table2[[#This Row], [Ticket]],Okey!A:B,2,0),"")</f>
        <v>ok</v>
      </c>
      <c r="I712" s="47" t="s">
        <v>5290</v>
      </c>
      <c r="J712" s="47" t="s">
        <v>17</v>
      </c>
      <c r="K712" s="47" t="s">
        <v>6396</v>
      </c>
      <c r="L712" s="47"/>
      <c r="M712" s="49" t="s">
        <v>4778</v>
      </c>
    </row>
    <row r="713" spans="1:13">
      <c r="A713" s="48">
        <f t="shared" si="11"/>
        <v>712</v>
      </c>
      <c r="B713" s="47" t="s">
        <v>3295</v>
      </c>
      <c r="C713" s="47" t="s">
        <v>6216</v>
      </c>
      <c r="D713" s="47" t="s">
        <v>6159</v>
      </c>
      <c r="E713" s="47" t="s">
        <v>6199</v>
      </c>
      <c r="F713" s="47" t="s">
        <v>6381</v>
      </c>
      <c r="G713" s="47" t="s">
        <v>14</v>
      </c>
      <c r="H713" s="47" t="str">
        <f>IFERROR(VLOOKUP(Table2[[#This Row], [Ticket]],Okey!A:B,2,0),"")</f>
        <v>ok</v>
      </c>
      <c r="I713" s="47" t="s">
        <v>5290</v>
      </c>
      <c r="J713" s="47" t="s">
        <v>17</v>
      </c>
      <c r="K713" s="47" t="s">
        <v>6396</v>
      </c>
      <c r="L713" s="47"/>
      <c r="M713" s="49" t="s">
        <v>4778</v>
      </c>
    </row>
    <row r="714" spans="1:13">
      <c r="A714" s="48">
        <f t="shared" si="11"/>
        <v>713</v>
      </c>
      <c r="B714" s="47" t="s">
        <v>3295</v>
      </c>
      <c r="C714" s="47" t="s">
        <v>6216</v>
      </c>
      <c r="D714" s="47" t="s">
        <v>6160</v>
      </c>
      <c r="E714" s="47" t="s">
        <v>6200</v>
      </c>
      <c r="F714" s="47" t="s">
        <v>6382</v>
      </c>
      <c r="G714" s="47" t="s">
        <v>14</v>
      </c>
      <c r="H714" s="47" t="str">
        <f>IFERROR(VLOOKUP(Table2[[#This Row], [Ticket]],Okey!A:B,2,0),"")</f>
        <v>ok</v>
      </c>
      <c r="I714" s="47" t="s">
        <v>5290</v>
      </c>
      <c r="J714" s="47" t="s">
        <v>17</v>
      </c>
      <c r="K714" s="47" t="s">
        <v>6396</v>
      </c>
      <c r="L714" s="47"/>
      <c r="M714" s="49" t="s">
        <v>4778</v>
      </c>
    </row>
    <row r="715" spans="1:13">
      <c r="A715" s="48">
        <f t="shared" si="11"/>
        <v>714</v>
      </c>
      <c r="B715" s="47" t="s">
        <v>3295</v>
      </c>
      <c r="C715" s="47" t="s">
        <v>6216</v>
      </c>
      <c r="D715" s="47" t="s">
        <v>6161</v>
      </c>
      <c r="E715" s="47" t="s">
        <v>6201</v>
      </c>
      <c r="F715" s="47" t="s">
        <v>6383</v>
      </c>
      <c r="G715" s="47" t="s">
        <v>14</v>
      </c>
      <c r="H715" s="47" t="str">
        <f>IFERROR(VLOOKUP(Table2[[#This Row], [Ticket]],Okey!A:B,2,0),"")</f>
        <v>ok</v>
      </c>
      <c r="I715" s="47" t="s">
        <v>5290</v>
      </c>
      <c r="J715" s="47" t="s">
        <v>17</v>
      </c>
      <c r="K715" s="47" t="s">
        <v>6396</v>
      </c>
      <c r="L715" s="47"/>
      <c r="M715" s="49" t="s">
        <v>4778</v>
      </c>
    </row>
    <row r="716" spans="1:13">
      <c r="A716" s="48">
        <f t="shared" si="11"/>
        <v>715</v>
      </c>
      <c r="B716" s="47" t="s">
        <v>3295</v>
      </c>
      <c r="C716" s="47" t="s">
        <v>6216</v>
      </c>
      <c r="D716" s="47" t="s">
        <v>6162</v>
      </c>
      <c r="E716" s="47" t="s">
        <v>6209</v>
      </c>
      <c r="F716" s="47" t="s">
        <v>5284</v>
      </c>
      <c r="G716" s="47" t="s">
        <v>14</v>
      </c>
      <c r="H716" s="47" t="str">
        <f>IFERROR(VLOOKUP(Table2[[#This Row], [Ticket]],Okey!A:B,2,0),"")</f>
        <v>ok</v>
      </c>
      <c r="I716" s="47" t="s">
        <v>5290</v>
      </c>
      <c r="J716" s="47" t="s">
        <v>17</v>
      </c>
      <c r="K716" s="47" t="s">
        <v>6455</v>
      </c>
      <c r="L716" s="47"/>
      <c r="M716" s="49" t="s">
        <v>4778</v>
      </c>
    </row>
    <row r="717" spans="1:13">
      <c r="A717" s="48">
        <f t="shared" si="11"/>
        <v>716</v>
      </c>
      <c r="B717" s="47" t="s">
        <v>3295</v>
      </c>
      <c r="C717" s="47" t="s">
        <v>6216</v>
      </c>
      <c r="D717" s="47" t="s">
        <v>6163</v>
      </c>
      <c r="E717" s="47" t="s">
        <v>6202</v>
      </c>
      <c r="F717" s="47" t="s">
        <v>6384</v>
      </c>
      <c r="G717" s="47" t="s">
        <v>14</v>
      </c>
      <c r="H717" s="47" t="str">
        <f>IFERROR(VLOOKUP(Table2[[#This Row], [Ticket]],Okey!A:B,2,0),"")</f>
        <v>ok</v>
      </c>
      <c r="I717" s="47" t="s">
        <v>5290</v>
      </c>
      <c r="J717" s="47" t="s">
        <v>17</v>
      </c>
      <c r="K717" s="47" t="s">
        <v>6396</v>
      </c>
      <c r="L717" s="47"/>
      <c r="M717" s="49" t="s">
        <v>4778</v>
      </c>
    </row>
    <row r="718" spans="1:13">
      <c r="A718" s="48">
        <f t="shared" si="11"/>
        <v>717</v>
      </c>
      <c r="B718" s="47" t="s">
        <v>3295</v>
      </c>
      <c r="C718" s="47" t="s">
        <v>6216</v>
      </c>
      <c r="D718" s="47" t="s">
        <v>6164</v>
      </c>
      <c r="E718" s="47" t="s">
        <v>6203</v>
      </c>
      <c r="F718" s="47" t="s">
        <v>6385</v>
      </c>
      <c r="G718" s="47" t="s">
        <v>14</v>
      </c>
      <c r="H718" s="47" t="str">
        <f>IFERROR(VLOOKUP(Table2[[#This Row], [Ticket]],Okey!A:B,2,0),"")</f>
        <v>ok</v>
      </c>
      <c r="I718" s="47" t="s">
        <v>5290</v>
      </c>
      <c r="J718" s="47" t="s">
        <v>17</v>
      </c>
      <c r="K718" s="47" t="s">
        <v>6396</v>
      </c>
      <c r="L718" s="47"/>
      <c r="M718" s="49" t="s">
        <v>4778</v>
      </c>
    </row>
    <row r="719" spans="1:13">
      <c r="A719" s="48">
        <f t="shared" si="11"/>
        <v>718</v>
      </c>
      <c r="B719" s="47" t="s">
        <v>3295</v>
      </c>
      <c r="C719" s="47" t="s">
        <v>6216</v>
      </c>
      <c r="D719" s="47" t="s">
        <v>6165</v>
      </c>
      <c r="E719" s="47" t="s">
        <v>6204</v>
      </c>
      <c r="F719" s="47" t="s">
        <v>6386</v>
      </c>
      <c r="G719" s="47" t="s">
        <v>14</v>
      </c>
      <c r="H719" s="47" t="str">
        <f>IFERROR(VLOOKUP(Table2[[#This Row], [Ticket]],Okey!A:B,2,0),"")</f>
        <v>ok</v>
      </c>
      <c r="I719" s="47" t="s">
        <v>5290</v>
      </c>
      <c r="J719" s="47" t="s">
        <v>17</v>
      </c>
      <c r="K719" s="47" t="s">
        <v>6396</v>
      </c>
      <c r="L719" s="47"/>
      <c r="M719" s="49" t="s">
        <v>4778</v>
      </c>
    </row>
    <row r="720" spans="1:13">
      <c r="A720" s="48">
        <f t="shared" si="11"/>
        <v>719</v>
      </c>
      <c r="B720" s="47" t="s">
        <v>3295</v>
      </c>
      <c r="C720" s="47" t="s">
        <v>6216</v>
      </c>
      <c r="D720" s="47" t="s">
        <v>6166</v>
      </c>
      <c r="E720" s="47" t="s">
        <v>6205</v>
      </c>
      <c r="F720" s="47" t="s">
        <v>6387</v>
      </c>
      <c r="G720" s="47" t="s">
        <v>14</v>
      </c>
      <c r="H720" s="47" t="str">
        <f>IFERROR(VLOOKUP(Table2[[#This Row], [Ticket]],Okey!A:B,2,0),"")</f>
        <v>ok</v>
      </c>
      <c r="I720" s="47" t="s">
        <v>5290</v>
      </c>
      <c r="J720" s="47" t="s">
        <v>17</v>
      </c>
      <c r="K720" s="47" t="s">
        <v>6396</v>
      </c>
      <c r="L720" s="47"/>
      <c r="M720" s="49" t="s">
        <v>4778</v>
      </c>
    </row>
    <row r="721" spans="1:13">
      <c r="A721" s="48">
        <f t="shared" si="11"/>
        <v>720</v>
      </c>
      <c r="B721" s="47" t="s">
        <v>3295</v>
      </c>
      <c r="C721" s="47" t="s">
        <v>6216</v>
      </c>
      <c r="D721" s="47" t="s">
        <v>6167</v>
      </c>
      <c r="E721" s="47" t="s">
        <v>6206</v>
      </c>
      <c r="F721" s="47" t="s">
        <v>6388</v>
      </c>
      <c r="G721" s="47" t="s">
        <v>14</v>
      </c>
      <c r="H721" s="47" t="str">
        <f>IFERROR(VLOOKUP(Table2[[#This Row], [Ticket]],Okey!A:B,2,0),"")</f>
        <v>ok</v>
      </c>
      <c r="I721" s="47" t="s">
        <v>5290</v>
      </c>
      <c r="J721" s="47" t="s">
        <v>17</v>
      </c>
      <c r="K721" s="47" t="s">
        <v>6396</v>
      </c>
      <c r="L721" s="47"/>
      <c r="M721" s="49" t="s">
        <v>4778</v>
      </c>
    </row>
    <row r="722" spans="1:13">
      <c r="A722" s="48">
        <f t="shared" si="11"/>
        <v>721</v>
      </c>
      <c r="B722" s="47" t="s">
        <v>3295</v>
      </c>
      <c r="C722" s="47" t="s">
        <v>6216</v>
      </c>
      <c r="D722" s="47" t="s">
        <v>6168</v>
      </c>
      <c r="E722" s="47" t="s">
        <v>6210</v>
      </c>
      <c r="F722" s="47" t="s">
        <v>1238</v>
      </c>
      <c r="G722" s="47" t="s">
        <v>14</v>
      </c>
      <c r="H722" s="47" t="str">
        <f>IFERROR(VLOOKUP(Table2[[#This Row], [Ticket]],Okey!A:B,2,0),"")</f>
        <v>ok</v>
      </c>
      <c r="I722" s="47" t="s">
        <v>5290</v>
      </c>
      <c r="J722" s="47" t="s">
        <v>17</v>
      </c>
      <c r="K722" s="47" t="s">
        <v>6396</v>
      </c>
      <c r="L722" s="47"/>
      <c r="M722" s="49" t="s">
        <v>4778</v>
      </c>
    </row>
    <row r="723" spans="1:13">
      <c r="A723" s="48">
        <f t="shared" si="11"/>
        <v>722</v>
      </c>
      <c r="B723" s="47" t="s">
        <v>3295</v>
      </c>
      <c r="C723" s="47" t="s">
        <v>6216</v>
      </c>
      <c r="D723" s="47" t="s">
        <v>6169</v>
      </c>
      <c r="E723" s="47" t="s">
        <v>6211</v>
      </c>
      <c r="F723" s="47" t="s">
        <v>6214</v>
      </c>
      <c r="G723" s="47" t="s">
        <v>14</v>
      </c>
      <c r="H723" s="47" t="str">
        <f>IFERROR(VLOOKUP(Table2[[#This Row], [Ticket]],Okey!A:B,2,0),"")</f>
        <v>ok</v>
      </c>
      <c r="I723" s="47" t="s">
        <v>5290</v>
      </c>
      <c r="J723" s="47" t="s">
        <v>17</v>
      </c>
      <c r="K723" s="47" t="s">
        <v>6396</v>
      </c>
      <c r="L723" s="47"/>
      <c r="M723" s="49" t="s">
        <v>4778</v>
      </c>
    </row>
    <row r="724" spans="1:13">
      <c r="A724" s="48">
        <f t="shared" si="11"/>
        <v>723</v>
      </c>
      <c r="B724" s="47" t="s">
        <v>3295</v>
      </c>
      <c r="C724" s="47" t="s">
        <v>6216</v>
      </c>
      <c r="D724" s="47" t="s">
        <v>6170</v>
      </c>
      <c r="E724" s="47" t="s">
        <v>6212</v>
      </c>
      <c r="F724" s="47" t="s">
        <v>6215</v>
      </c>
      <c r="G724" s="47" t="s">
        <v>14</v>
      </c>
      <c r="H724" s="47" t="str">
        <f>IFERROR(VLOOKUP(Table2[[#This Row], [Ticket]],Okey!A:B,2,0),"")</f>
        <v>ok</v>
      </c>
      <c r="I724" s="47" t="s">
        <v>5290</v>
      </c>
      <c r="J724" s="47" t="s">
        <v>17</v>
      </c>
      <c r="K724" s="47" t="s">
        <v>6396</v>
      </c>
      <c r="L724" s="47"/>
      <c r="M724" s="49" t="s">
        <v>4778</v>
      </c>
    </row>
    <row r="725" spans="1:13">
      <c r="A725" s="48">
        <f t="shared" si="11"/>
        <v>724</v>
      </c>
      <c r="B725" s="47" t="s">
        <v>3295</v>
      </c>
      <c r="C725" s="47" t="s">
        <v>6216</v>
      </c>
      <c r="D725" s="47" t="s">
        <v>6171</v>
      </c>
      <c r="E725" s="47" t="s">
        <v>6207</v>
      </c>
      <c r="F725" s="47" t="s">
        <v>6389</v>
      </c>
      <c r="G725" s="47" t="s">
        <v>14</v>
      </c>
      <c r="H725" s="47" t="str">
        <f>IFERROR(VLOOKUP(Table2[[#This Row], [Ticket]],Okey!A:B,2,0),"")</f>
        <v>ok</v>
      </c>
      <c r="I725" s="47" t="s">
        <v>5290</v>
      </c>
      <c r="J725" s="47" t="s">
        <v>17</v>
      </c>
      <c r="K725" s="47" t="s">
        <v>6396</v>
      </c>
      <c r="L725" s="47"/>
      <c r="M725" s="49" t="s">
        <v>4778</v>
      </c>
    </row>
    <row r="726" spans="1:13">
      <c r="A726" s="48">
        <f t="shared" si="11"/>
        <v>725</v>
      </c>
      <c r="B726" s="47" t="s">
        <v>3295</v>
      </c>
      <c r="C726" s="47" t="s">
        <v>6216</v>
      </c>
      <c r="D726" s="47" t="s">
        <v>6172</v>
      </c>
      <c r="E726" s="47" t="s">
        <v>6208</v>
      </c>
      <c r="F726" s="47" t="s">
        <v>6390</v>
      </c>
      <c r="G726" s="47" t="s">
        <v>14</v>
      </c>
      <c r="H726" s="47" t="str">
        <f>IFERROR(VLOOKUP(Table2[[#This Row], [Ticket]],Okey!A:B,2,0),"")</f>
        <v>ok</v>
      </c>
      <c r="I726" s="47" t="s">
        <v>5290</v>
      </c>
      <c r="J726" s="47" t="s">
        <v>17</v>
      </c>
      <c r="K726" s="47" t="s">
        <v>6396</v>
      </c>
      <c r="L726" s="47"/>
      <c r="M726" s="49" t="s">
        <v>4778</v>
      </c>
    </row>
    <row r="727" spans="1:13">
      <c r="A727" s="48">
        <f t="shared" si="11"/>
        <v>726</v>
      </c>
      <c r="B727" s="47" t="s">
        <v>3295</v>
      </c>
      <c r="C727" s="47" t="s">
        <v>6216</v>
      </c>
      <c r="D727" s="47" t="s">
        <v>3707</v>
      </c>
      <c r="E727" s="47" t="s">
        <v>6217</v>
      </c>
      <c r="F727" s="47"/>
      <c r="G727" s="47" t="s">
        <v>15</v>
      </c>
      <c r="H727" s="47" t="str">
        <f>IFERROR(VLOOKUP(Table2[[#This Row], [Ticket]],Okey!A:B,2,0),"")</f>
        <v>ok</v>
      </c>
      <c r="I727" s="47" t="s">
        <v>5290</v>
      </c>
      <c r="J727" s="47" t="s">
        <v>17</v>
      </c>
      <c r="K727" s="47" t="s">
        <v>6397</v>
      </c>
      <c r="L727" s="47"/>
      <c r="M727" s="49" t="s">
        <v>4778</v>
      </c>
    </row>
    <row r="728" spans="1:13">
      <c r="A728" s="48">
        <f t="shared" si="11"/>
        <v>727</v>
      </c>
      <c r="B728" s="47" t="s">
        <v>3295</v>
      </c>
      <c r="C728" s="47" t="s">
        <v>6216</v>
      </c>
      <c r="D728" s="47" t="s">
        <v>3705</v>
      </c>
      <c r="E728" s="47" t="s">
        <v>6218</v>
      </c>
      <c r="F728" s="47"/>
      <c r="G728" s="47" t="s">
        <v>15</v>
      </c>
      <c r="H728" s="47" t="str">
        <f>IFERROR(VLOOKUP(Table2[[#This Row], [Ticket]],Okey!A:B,2,0),"")</f>
        <v>ok</v>
      </c>
      <c r="I728" s="47" t="s">
        <v>5290</v>
      </c>
      <c r="J728" s="47" t="s">
        <v>17</v>
      </c>
      <c r="K728" s="47" t="s">
        <v>6397</v>
      </c>
      <c r="L728" s="47"/>
      <c r="M728" s="49" t="s">
        <v>4778</v>
      </c>
    </row>
    <row r="729" spans="1:13">
      <c r="A729" s="48">
        <f t="shared" si="11"/>
        <v>728</v>
      </c>
      <c r="B729" s="47" t="s">
        <v>3295</v>
      </c>
      <c r="C729" s="47" t="s">
        <v>6216</v>
      </c>
      <c r="D729" s="47" t="s">
        <v>6219</v>
      </c>
      <c r="E729" s="47" t="s">
        <v>6220</v>
      </c>
      <c r="F729" s="47"/>
      <c r="G729" s="47" t="s">
        <v>15</v>
      </c>
      <c r="H729" s="47" t="str">
        <f>IFERROR(VLOOKUP(Table2[[#This Row], [Ticket]],Okey!A:B,2,0),"")</f>
        <v>ok</v>
      </c>
      <c r="I729" s="47" t="s">
        <v>5290</v>
      </c>
      <c r="J729" s="47" t="s">
        <v>17</v>
      </c>
      <c r="K729" s="47" t="s">
        <v>6397</v>
      </c>
      <c r="L729" s="47"/>
      <c r="M729" s="49" t="s">
        <v>4778</v>
      </c>
    </row>
    <row r="730" spans="1:13">
      <c r="A730" s="48">
        <f t="shared" si="11"/>
        <v>729</v>
      </c>
      <c r="B730" s="47" t="s">
        <v>3295</v>
      </c>
      <c r="C730" s="47" t="s">
        <v>6216</v>
      </c>
      <c r="D730" s="47" t="s">
        <v>6221</v>
      </c>
      <c r="E730" s="47" t="s">
        <v>6222</v>
      </c>
      <c r="F730" s="47"/>
      <c r="G730" s="47" t="s">
        <v>15</v>
      </c>
      <c r="H730" s="47" t="str">
        <f>IFERROR(VLOOKUP(Table2[[#This Row], [Ticket]],Okey!A:B,2,0),"")</f>
        <v>ok</v>
      </c>
      <c r="I730" s="47" t="s">
        <v>5290</v>
      </c>
      <c r="J730" s="47" t="s">
        <v>17</v>
      </c>
      <c r="K730" s="47" t="s">
        <v>6397</v>
      </c>
      <c r="L730" s="47"/>
      <c r="M730" s="49" t="s">
        <v>4778</v>
      </c>
    </row>
    <row r="731" spans="1:13">
      <c r="A731" s="48">
        <f t="shared" si="11"/>
        <v>730</v>
      </c>
      <c r="B731" s="47" t="s">
        <v>3295</v>
      </c>
      <c r="C731" s="47" t="s">
        <v>6216</v>
      </c>
      <c r="D731" s="47" t="s">
        <v>6223</v>
      </c>
      <c r="E731" s="47" t="s">
        <v>6220</v>
      </c>
      <c r="F731" s="47"/>
      <c r="G731" s="47" t="s">
        <v>15</v>
      </c>
      <c r="H731" s="47" t="str">
        <f>IFERROR(VLOOKUP(Table2[[#This Row], [Ticket]],Okey!A:B,2,0),"")</f>
        <v>ok</v>
      </c>
      <c r="I731" s="47" t="s">
        <v>5290</v>
      </c>
      <c r="J731" s="47" t="s">
        <v>17</v>
      </c>
      <c r="K731" s="47" t="s">
        <v>6397</v>
      </c>
      <c r="L731" s="47"/>
      <c r="M731" s="49" t="s">
        <v>4778</v>
      </c>
    </row>
    <row r="732" spans="1:13">
      <c r="A732" s="48">
        <f t="shared" si="11"/>
        <v>731</v>
      </c>
      <c r="B732" s="47" t="s">
        <v>3295</v>
      </c>
      <c r="C732" s="47" t="s">
        <v>6216</v>
      </c>
      <c r="D732" s="47" t="s">
        <v>1684</v>
      </c>
      <c r="E732" s="47" t="s">
        <v>6224</v>
      </c>
      <c r="F732" s="47"/>
      <c r="G732" s="47" t="s">
        <v>15</v>
      </c>
      <c r="H732" s="47" t="str">
        <f>IFERROR(VLOOKUP(Table2[[#This Row], [Ticket]],Okey!A:B,2,0),"")</f>
        <v>ok</v>
      </c>
      <c r="I732" s="47" t="s">
        <v>5290</v>
      </c>
      <c r="J732" s="47" t="s">
        <v>17</v>
      </c>
      <c r="K732" s="47" t="s">
        <v>6397</v>
      </c>
      <c r="L732" s="47"/>
      <c r="M732" s="49" t="s">
        <v>4778</v>
      </c>
    </row>
    <row r="733" spans="1:13">
      <c r="A733" s="48">
        <f t="shared" si="11"/>
        <v>732</v>
      </c>
      <c r="B733" s="47" t="s">
        <v>3295</v>
      </c>
      <c r="C733" s="47" t="s">
        <v>6216</v>
      </c>
      <c r="D733" s="47" t="s">
        <v>3331</v>
      </c>
      <c r="E733" s="47" t="s">
        <v>6225</v>
      </c>
      <c r="F733" s="47"/>
      <c r="G733" s="47" t="s">
        <v>15</v>
      </c>
      <c r="H733" s="47" t="str">
        <f>IFERROR(VLOOKUP(Table2[[#This Row], [Ticket]],Okey!A:B,2,0),"")</f>
        <v>ok</v>
      </c>
      <c r="I733" s="47" t="s">
        <v>5290</v>
      </c>
      <c r="J733" s="47" t="s">
        <v>17</v>
      </c>
      <c r="K733" s="47" t="s">
        <v>6397</v>
      </c>
      <c r="L733" s="47"/>
      <c r="M733" s="49" t="s">
        <v>4778</v>
      </c>
    </row>
    <row r="734" spans="1:13">
      <c r="A734" s="48">
        <f t="shared" si="11"/>
        <v>733</v>
      </c>
      <c r="B734" s="47" t="s">
        <v>3295</v>
      </c>
      <c r="C734" s="47" t="s">
        <v>6216</v>
      </c>
      <c r="D734" s="47" t="s">
        <v>3330</v>
      </c>
      <c r="E734" s="47" t="s">
        <v>6224</v>
      </c>
      <c r="F734" s="47"/>
      <c r="G734" s="47" t="s">
        <v>15</v>
      </c>
      <c r="H734" s="47" t="str">
        <f>IFERROR(VLOOKUP(Table2[[#This Row], [Ticket]],Okey!A:B,2,0),"")</f>
        <v>ok</v>
      </c>
      <c r="I734" s="47" t="s">
        <v>5290</v>
      </c>
      <c r="J734" s="47" t="s">
        <v>17</v>
      </c>
      <c r="K734" s="47" t="s">
        <v>6397</v>
      </c>
      <c r="L734" s="47"/>
      <c r="M734" s="49" t="s">
        <v>4778</v>
      </c>
    </row>
    <row r="735" spans="1:13">
      <c r="A735" s="48">
        <f t="shared" si="11"/>
        <v>734</v>
      </c>
      <c r="B735" s="47" t="s">
        <v>3295</v>
      </c>
      <c r="C735" s="47" t="s">
        <v>6216</v>
      </c>
      <c r="D735" s="47" t="s">
        <v>6226</v>
      </c>
      <c r="E735" s="47" t="s">
        <v>6227</v>
      </c>
      <c r="F735" s="47"/>
      <c r="G735" s="47" t="s">
        <v>15</v>
      </c>
      <c r="H735" s="47" t="str">
        <f>IFERROR(VLOOKUP(Table2[[#This Row], [Ticket]],Okey!A:B,2,0),"")</f>
        <v>ok</v>
      </c>
      <c r="I735" s="47" t="s">
        <v>5290</v>
      </c>
      <c r="J735" s="47" t="s">
        <v>17</v>
      </c>
      <c r="K735" s="47" t="s">
        <v>6397</v>
      </c>
      <c r="L735" s="47"/>
      <c r="M735" s="49" t="s">
        <v>4778</v>
      </c>
    </row>
    <row r="736" spans="1:13">
      <c r="A736" s="48">
        <f t="shared" si="11"/>
        <v>735</v>
      </c>
      <c r="B736" s="47" t="s">
        <v>3295</v>
      </c>
      <c r="C736" s="47" t="s">
        <v>6216</v>
      </c>
      <c r="D736" s="47" t="s">
        <v>6228</v>
      </c>
      <c r="E736" s="47" t="s">
        <v>6227</v>
      </c>
      <c r="F736" s="47"/>
      <c r="G736" s="47" t="s">
        <v>15</v>
      </c>
      <c r="H736" s="47" t="str">
        <f>IFERROR(VLOOKUP(Table2[[#This Row], [Ticket]],Okey!A:B,2,0),"")</f>
        <v>ok</v>
      </c>
      <c r="I736" s="47" t="s">
        <v>5290</v>
      </c>
      <c r="J736" s="47" t="s">
        <v>17</v>
      </c>
      <c r="K736" s="47" t="s">
        <v>6397</v>
      </c>
      <c r="L736" s="47"/>
      <c r="M736" s="49" t="s">
        <v>4778</v>
      </c>
    </row>
    <row r="737" spans="1:13">
      <c r="A737" s="48">
        <f t="shared" si="11"/>
        <v>736</v>
      </c>
      <c r="B737" s="47" t="s">
        <v>3295</v>
      </c>
      <c r="C737" s="47" t="s">
        <v>6216</v>
      </c>
      <c r="D737" s="47" t="s">
        <v>6229</v>
      </c>
      <c r="E737" s="47" t="s">
        <v>6230</v>
      </c>
      <c r="F737" s="47"/>
      <c r="G737" s="47" t="s">
        <v>15</v>
      </c>
      <c r="H737" s="47" t="str">
        <f>IFERROR(VLOOKUP(Table2[[#This Row], [Ticket]],Okey!A:B,2,0),"")</f>
        <v>ok</v>
      </c>
      <c r="I737" s="47" t="s">
        <v>5290</v>
      </c>
      <c r="J737" s="47" t="s">
        <v>17</v>
      </c>
      <c r="K737" s="47" t="s">
        <v>6397</v>
      </c>
      <c r="L737" s="47"/>
      <c r="M737" s="49" t="s">
        <v>4778</v>
      </c>
    </row>
    <row r="738" spans="1:13">
      <c r="A738" s="48">
        <f t="shared" si="11"/>
        <v>737</v>
      </c>
      <c r="B738" s="47" t="s">
        <v>3295</v>
      </c>
      <c r="C738" s="47" t="s">
        <v>6216</v>
      </c>
      <c r="D738" s="47" t="s">
        <v>6231</v>
      </c>
      <c r="E738" s="47" t="s">
        <v>6230</v>
      </c>
      <c r="F738" s="47"/>
      <c r="G738" s="47" t="s">
        <v>15</v>
      </c>
      <c r="H738" s="47" t="str">
        <f>IFERROR(VLOOKUP(Table2[[#This Row], [Ticket]],Okey!A:B,2,0),"")</f>
        <v>ok</v>
      </c>
      <c r="I738" s="47" t="s">
        <v>5290</v>
      </c>
      <c r="J738" s="47" t="s">
        <v>17</v>
      </c>
      <c r="K738" s="47" t="s">
        <v>6397</v>
      </c>
      <c r="L738" s="47"/>
      <c r="M738" s="49" t="s">
        <v>4778</v>
      </c>
    </row>
    <row r="739" spans="1:13">
      <c r="A739" s="48">
        <f t="shared" si="11"/>
        <v>738</v>
      </c>
      <c r="B739" s="47" t="s">
        <v>3295</v>
      </c>
      <c r="C739" s="47" t="s">
        <v>6216</v>
      </c>
      <c r="D739" s="47" t="s">
        <v>6232</v>
      </c>
      <c r="E739" s="47" t="s">
        <v>6233</v>
      </c>
      <c r="F739" s="47"/>
      <c r="G739" s="47" t="s">
        <v>15</v>
      </c>
      <c r="H739" s="47" t="str">
        <f>IFERROR(VLOOKUP(Table2[[#This Row], [Ticket]],Okey!A:B,2,0),"")</f>
        <v>ok</v>
      </c>
      <c r="I739" s="47" t="s">
        <v>5290</v>
      </c>
      <c r="J739" s="47" t="s">
        <v>17</v>
      </c>
      <c r="K739" s="47" t="s">
        <v>6397</v>
      </c>
      <c r="L739" s="47"/>
      <c r="M739" s="49" t="s">
        <v>4778</v>
      </c>
    </row>
    <row r="740" spans="1:13">
      <c r="A740" s="48">
        <f t="shared" si="11"/>
        <v>739</v>
      </c>
      <c r="B740" s="47" t="s">
        <v>3295</v>
      </c>
      <c r="C740" s="47" t="s">
        <v>6216</v>
      </c>
      <c r="D740" s="47" t="s">
        <v>6234</v>
      </c>
      <c r="E740" s="47" t="s">
        <v>6233</v>
      </c>
      <c r="F740" s="47"/>
      <c r="G740" s="47" t="s">
        <v>15</v>
      </c>
      <c r="H740" s="47" t="str">
        <f>IFERROR(VLOOKUP(Table2[[#This Row], [Ticket]],Okey!A:B,2,0),"")</f>
        <v>ok</v>
      </c>
      <c r="I740" s="47" t="s">
        <v>5290</v>
      </c>
      <c r="J740" s="47" t="s">
        <v>17</v>
      </c>
      <c r="K740" s="47" t="s">
        <v>6397</v>
      </c>
      <c r="L740" s="47"/>
      <c r="M740" s="49" t="s">
        <v>4778</v>
      </c>
    </row>
    <row r="741" spans="1:13">
      <c r="A741" s="48">
        <f t="shared" si="11"/>
        <v>740</v>
      </c>
      <c r="B741" s="47" t="s">
        <v>3295</v>
      </c>
      <c r="C741" s="47" t="s">
        <v>6216</v>
      </c>
      <c r="D741" s="47" t="s">
        <v>6235</v>
      </c>
      <c r="E741" s="47" t="s">
        <v>6236</v>
      </c>
      <c r="F741" s="47"/>
      <c r="G741" s="47" t="s">
        <v>15</v>
      </c>
      <c r="H741" s="47" t="str">
        <f>IFERROR(VLOOKUP(Table2[[#This Row], [Ticket]],Okey!A:B,2,0),"")</f>
        <v>ok</v>
      </c>
      <c r="I741" s="47" t="s">
        <v>5290</v>
      </c>
      <c r="J741" s="47" t="s">
        <v>17</v>
      </c>
      <c r="K741" s="47" t="s">
        <v>6397</v>
      </c>
      <c r="L741" s="47"/>
      <c r="M741" s="49" t="s">
        <v>4778</v>
      </c>
    </row>
    <row r="742" spans="1:13">
      <c r="A742" s="48">
        <f t="shared" si="11"/>
        <v>741</v>
      </c>
      <c r="B742" s="47" t="s">
        <v>3295</v>
      </c>
      <c r="C742" s="47" t="s">
        <v>6216</v>
      </c>
      <c r="D742" s="47" t="s">
        <v>6237</v>
      </c>
      <c r="E742" s="47" t="s">
        <v>6236</v>
      </c>
      <c r="F742" s="47"/>
      <c r="G742" s="47" t="s">
        <v>15</v>
      </c>
      <c r="H742" s="47" t="str">
        <f>IFERROR(VLOOKUP(Table2[[#This Row], [Ticket]],Okey!A:B,2,0),"")</f>
        <v>ok</v>
      </c>
      <c r="I742" s="47" t="s">
        <v>5290</v>
      </c>
      <c r="J742" s="47" t="s">
        <v>17</v>
      </c>
      <c r="K742" s="47" t="s">
        <v>6397</v>
      </c>
      <c r="L742" s="47"/>
      <c r="M742" s="49" t="s">
        <v>4778</v>
      </c>
    </row>
    <row r="743" spans="1:13">
      <c r="A743" s="48">
        <f t="shared" si="11"/>
        <v>742</v>
      </c>
      <c r="B743" s="47" t="s">
        <v>3295</v>
      </c>
      <c r="C743" s="47" t="s">
        <v>6216</v>
      </c>
      <c r="D743" s="47" t="s">
        <v>1232</v>
      </c>
      <c r="E743" s="47" t="s">
        <v>6238</v>
      </c>
      <c r="F743" s="47"/>
      <c r="G743" s="47" t="s">
        <v>15</v>
      </c>
      <c r="H743" s="47" t="str">
        <f>IFERROR(VLOOKUP(Table2[[#This Row], [Ticket]],Okey!A:B,2,0),"")</f>
        <v>ok</v>
      </c>
      <c r="I743" s="47" t="s">
        <v>5290</v>
      </c>
      <c r="J743" s="47" t="s">
        <v>17</v>
      </c>
      <c r="K743" s="47" t="s">
        <v>6397</v>
      </c>
      <c r="L743" s="47"/>
      <c r="M743" s="49" t="s">
        <v>4778</v>
      </c>
    </row>
    <row r="744" spans="1:13">
      <c r="A744" s="48">
        <f t="shared" si="11"/>
        <v>743</v>
      </c>
      <c r="B744" s="47" t="s">
        <v>3295</v>
      </c>
      <c r="C744" s="47" t="s">
        <v>6216</v>
      </c>
      <c r="D744" s="47" t="s">
        <v>6239</v>
      </c>
      <c r="E744" s="47" t="s">
        <v>6238</v>
      </c>
      <c r="F744" s="47"/>
      <c r="G744" s="47" t="s">
        <v>15</v>
      </c>
      <c r="H744" s="47" t="str">
        <f>IFERROR(VLOOKUP(Table2[[#This Row], [Ticket]],Okey!A:B,2,0),"")</f>
        <v>ok</v>
      </c>
      <c r="I744" s="47" t="s">
        <v>5290</v>
      </c>
      <c r="J744" s="47" t="s">
        <v>17</v>
      </c>
      <c r="K744" s="47" t="s">
        <v>6397</v>
      </c>
      <c r="L744" s="47"/>
      <c r="M744" s="49" t="s">
        <v>4778</v>
      </c>
    </row>
    <row r="745" spans="1:13">
      <c r="A745" s="48">
        <f t="shared" si="11"/>
        <v>744</v>
      </c>
      <c r="B745" s="47" t="s">
        <v>3295</v>
      </c>
      <c r="C745" s="47" t="s">
        <v>6216</v>
      </c>
      <c r="D745" s="47" t="s">
        <v>1682</v>
      </c>
      <c r="E745" s="47" t="s">
        <v>6240</v>
      </c>
      <c r="F745" s="47"/>
      <c r="G745" s="47" t="s">
        <v>15</v>
      </c>
      <c r="H745" s="47" t="str">
        <f>IFERROR(VLOOKUP(Table2[[#This Row], [Ticket]],Okey!A:B,2,0),"")</f>
        <v>ok</v>
      </c>
      <c r="I745" s="47" t="s">
        <v>5290</v>
      </c>
      <c r="J745" s="47" t="s">
        <v>17</v>
      </c>
      <c r="K745" s="47" t="s">
        <v>6397</v>
      </c>
      <c r="L745" s="47"/>
      <c r="M745" s="49" t="s">
        <v>4778</v>
      </c>
    </row>
    <row r="746" spans="1:13">
      <c r="A746" s="48">
        <f t="shared" si="11"/>
        <v>745</v>
      </c>
      <c r="B746" s="47" t="s">
        <v>3295</v>
      </c>
      <c r="C746" s="47" t="s">
        <v>6216</v>
      </c>
      <c r="D746" s="47" t="s">
        <v>1685</v>
      </c>
      <c r="E746" s="47" t="s">
        <v>6240</v>
      </c>
      <c r="F746" s="47"/>
      <c r="G746" s="47" t="s">
        <v>15</v>
      </c>
      <c r="H746" s="47" t="str">
        <f>IFERROR(VLOOKUP(Table2[[#This Row], [Ticket]],Okey!A:B,2,0),"")</f>
        <v>ok</v>
      </c>
      <c r="I746" s="47" t="s">
        <v>5290</v>
      </c>
      <c r="J746" s="47" t="s">
        <v>17</v>
      </c>
      <c r="K746" s="47" t="s">
        <v>6397</v>
      </c>
      <c r="L746" s="47"/>
      <c r="M746" s="49" t="s">
        <v>4778</v>
      </c>
    </row>
    <row r="747" spans="1:13">
      <c r="A747" s="48">
        <f t="shared" si="11"/>
        <v>746</v>
      </c>
      <c r="B747" s="47" t="s">
        <v>3295</v>
      </c>
      <c r="C747" s="47" t="s">
        <v>6216</v>
      </c>
      <c r="D747" s="47" t="s">
        <v>6241</v>
      </c>
      <c r="E747" s="47" t="s">
        <v>6242</v>
      </c>
      <c r="F747" s="47"/>
      <c r="G747" s="47" t="s">
        <v>15</v>
      </c>
      <c r="H747" s="47" t="str">
        <f>IFERROR(VLOOKUP(Table2[[#This Row], [Ticket]],Okey!A:B,2,0),"")</f>
        <v>ok</v>
      </c>
      <c r="I747" s="47" t="s">
        <v>5290</v>
      </c>
      <c r="J747" s="47" t="s">
        <v>17</v>
      </c>
      <c r="K747" s="47" t="s">
        <v>6397</v>
      </c>
      <c r="L747" s="47"/>
      <c r="M747" s="49" t="s">
        <v>4778</v>
      </c>
    </row>
    <row r="748" spans="1:13">
      <c r="A748" s="48">
        <f t="shared" si="11"/>
        <v>747</v>
      </c>
      <c r="B748" s="47" t="s">
        <v>3295</v>
      </c>
      <c r="C748" s="47" t="s">
        <v>6216</v>
      </c>
      <c r="D748" s="47" t="s">
        <v>1534</v>
      </c>
      <c r="E748" s="47" t="s">
        <v>6243</v>
      </c>
      <c r="F748" s="47"/>
      <c r="G748" s="47" t="s">
        <v>15</v>
      </c>
      <c r="H748" s="47" t="str">
        <f>IFERROR(VLOOKUP(Table2[[#This Row], [Ticket]],Okey!A:B,2,0),"")</f>
        <v>ok</v>
      </c>
      <c r="I748" s="47" t="s">
        <v>5290</v>
      </c>
      <c r="J748" s="47" t="s">
        <v>17</v>
      </c>
      <c r="K748" s="47" t="s">
        <v>6397</v>
      </c>
      <c r="L748" s="47"/>
      <c r="M748" s="49" t="s">
        <v>4778</v>
      </c>
    </row>
    <row r="749" spans="1:13">
      <c r="A749" s="48">
        <f t="shared" si="11"/>
        <v>748</v>
      </c>
      <c r="B749" s="47" t="s">
        <v>3295</v>
      </c>
      <c r="C749" s="47" t="s">
        <v>6216</v>
      </c>
      <c r="D749" s="47" t="s">
        <v>6244</v>
      </c>
      <c r="E749" s="47" t="s">
        <v>6242</v>
      </c>
      <c r="F749" s="47"/>
      <c r="G749" s="47" t="s">
        <v>15</v>
      </c>
      <c r="H749" s="47" t="str">
        <f>IFERROR(VLOOKUP(Table2[[#This Row], [Ticket]],Okey!A:B,2,0),"")</f>
        <v>ok</v>
      </c>
      <c r="I749" s="47" t="s">
        <v>5290</v>
      </c>
      <c r="J749" s="47" t="s">
        <v>17</v>
      </c>
      <c r="K749" s="47" t="s">
        <v>6397</v>
      </c>
      <c r="L749" s="47"/>
      <c r="M749" s="49" t="s">
        <v>4778</v>
      </c>
    </row>
    <row r="750" spans="1:13">
      <c r="A750" s="48">
        <f t="shared" si="11"/>
        <v>749</v>
      </c>
      <c r="B750" s="47" t="s">
        <v>3295</v>
      </c>
      <c r="C750" s="47" t="s">
        <v>6216</v>
      </c>
      <c r="D750" s="47" t="s">
        <v>6245</v>
      </c>
      <c r="E750" s="47" t="s">
        <v>6246</v>
      </c>
      <c r="F750" s="47"/>
      <c r="G750" s="47" t="s">
        <v>15</v>
      </c>
      <c r="H750" s="47" t="str">
        <f>IFERROR(VLOOKUP(Table2[[#This Row], [Ticket]],Okey!A:B,2,0),"")</f>
        <v>ok</v>
      </c>
      <c r="I750" s="47" t="s">
        <v>5290</v>
      </c>
      <c r="J750" s="47" t="s">
        <v>17</v>
      </c>
      <c r="K750" s="47" t="s">
        <v>6397</v>
      </c>
      <c r="L750" s="47"/>
      <c r="M750" s="49" t="s">
        <v>4778</v>
      </c>
    </row>
    <row r="751" spans="1:13">
      <c r="A751" s="48">
        <f t="shared" si="11"/>
        <v>750</v>
      </c>
      <c r="B751" s="47" t="s">
        <v>3295</v>
      </c>
      <c r="C751" s="47" t="s">
        <v>6216</v>
      </c>
      <c r="D751" s="47" t="s">
        <v>6247</v>
      </c>
      <c r="E751" s="47" t="s">
        <v>6246</v>
      </c>
      <c r="F751" s="47"/>
      <c r="G751" s="47" t="s">
        <v>15</v>
      </c>
      <c r="H751" s="47" t="str">
        <f>IFERROR(VLOOKUP(Table2[[#This Row], [Ticket]],Okey!A:B,2,0),"")</f>
        <v>ok</v>
      </c>
      <c r="I751" s="47" t="s">
        <v>5290</v>
      </c>
      <c r="J751" s="47" t="s">
        <v>17</v>
      </c>
      <c r="K751" s="47" t="s">
        <v>6397</v>
      </c>
      <c r="L751" s="47"/>
      <c r="M751" s="49" t="s">
        <v>4778</v>
      </c>
    </row>
    <row r="752" spans="1:13">
      <c r="A752" s="48">
        <f t="shared" si="11"/>
        <v>751</v>
      </c>
      <c r="B752" s="47" t="s">
        <v>3295</v>
      </c>
      <c r="C752" s="47" t="s">
        <v>6216</v>
      </c>
      <c r="D752" s="47" t="s">
        <v>6248</v>
      </c>
      <c r="E752" s="47" t="s">
        <v>6249</v>
      </c>
      <c r="F752" s="47"/>
      <c r="G752" s="47" t="s">
        <v>15</v>
      </c>
      <c r="H752" s="47" t="str">
        <f>IFERROR(VLOOKUP(Table2[[#This Row], [Ticket]],Okey!A:B,2,0),"")</f>
        <v>ok</v>
      </c>
      <c r="I752" s="47" t="s">
        <v>5290</v>
      </c>
      <c r="J752" s="47" t="s">
        <v>17</v>
      </c>
      <c r="K752" s="47" t="s">
        <v>6397</v>
      </c>
      <c r="L752" s="47"/>
      <c r="M752" s="49" t="s">
        <v>4778</v>
      </c>
    </row>
    <row r="753" spans="1:13">
      <c r="A753" s="48">
        <f t="shared" si="11"/>
        <v>752</v>
      </c>
      <c r="B753" s="47" t="s">
        <v>3295</v>
      </c>
      <c r="C753" s="47" t="s">
        <v>6216</v>
      </c>
      <c r="D753" s="47" t="s">
        <v>6250</v>
      </c>
      <c r="E753" s="47" t="s">
        <v>6249</v>
      </c>
      <c r="F753" s="47"/>
      <c r="G753" s="47" t="s">
        <v>15</v>
      </c>
      <c r="H753" s="47" t="str">
        <f>IFERROR(VLOOKUP(Table2[[#This Row], [Ticket]],Okey!A:B,2,0),"")</f>
        <v>ok</v>
      </c>
      <c r="I753" s="47" t="s">
        <v>5290</v>
      </c>
      <c r="J753" s="47" t="s">
        <v>17</v>
      </c>
      <c r="K753" s="47" t="s">
        <v>6397</v>
      </c>
      <c r="L753" s="47"/>
      <c r="M753" s="49" t="s">
        <v>4778</v>
      </c>
    </row>
    <row r="754" spans="1:13">
      <c r="A754" s="48">
        <f t="shared" si="11"/>
        <v>753</v>
      </c>
      <c r="B754" s="47" t="s">
        <v>3295</v>
      </c>
      <c r="C754" s="47" t="s">
        <v>6216</v>
      </c>
      <c r="D754" s="47" t="s">
        <v>6251</v>
      </c>
      <c r="E754" s="47" t="s">
        <v>6252</v>
      </c>
      <c r="F754" s="47"/>
      <c r="G754" s="47" t="s">
        <v>15</v>
      </c>
      <c r="H754" s="47" t="str">
        <f>IFERROR(VLOOKUP(Table2[[#This Row], [Ticket]],Okey!A:B,2,0),"")</f>
        <v>ok</v>
      </c>
      <c r="I754" s="47" t="s">
        <v>5290</v>
      </c>
      <c r="J754" s="47" t="s">
        <v>17</v>
      </c>
      <c r="K754" s="47" t="s">
        <v>6397</v>
      </c>
      <c r="L754" s="47"/>
      <c r="M754" s="49" t="s">
        <v>4778</v>
      </c>
    </row>
    <row r="755" spans="1:13">
      <c r="A755" s="48">
        <f t="shared" si="11"/>
        <v>754</v>
      </c>
      <c r="B755" s="47" t="s">
        <v>3295</v>
      </c>
      <c r="C755" s="47" t="s">
        <v>6216</v>
      </c>
      <c r="D755" s="47" t="s">
        <v>6253</v>
      </c>
      <c r="E755" s="47" t="s">
        <v>6252</v>
      </c>
      <c r="F755" s="47"/>
      <c r="G755" s="47" t="s">
        <v>15</v>
      </c>
      <c r="H755" s="47" t="str">
        <f>IFERROR(VLOOKUP(Table2[[#This Row], [Ticket]],Okey!A:B,2,0),"")</f>
        <v>ok</v>
      </c>
      <c r="I755" s="47" t="s">
        <v>5290</v>
      </c>
      <c r="J755" s="47" t="s">
        <v>17</v>
      </c>
      <c r="K755" s="47" t="s">
        <v>6397</v>
      </c>
      <c r="L755" s="47"/>
      <c r="M755" s="49" t="s">
        <v>4778</v>
      </c>
    </row>
    <row r="756" spans="1:13">
      <c r="A756" s="48">
        <f t="shared" si="11"/>
        <v>755</v>
      </c>
      <c r="B756" s="47" t="s">
        <v>3295</v>
      </c>
      <c r="C756" s="47" t="s">
        <v>6216</v>
      </c>
      <c r="D756" s="47" t="s">
        <v>6254</v>
      </c>
      <c r="E756" s="47" t="s">
        <v>6255</v>
      </c>
      <c r="F756" s="47"/>
      <c r="G756" s="47" t="s">
        <v>15</v>
      </c>
      <c r="H756" s="47" t="str">
        <f>IFERROR(VLOOKUP(Table2[[#This Row], [Ticket]],Okey!A:B,2,0),"")</f>
        <v>ok</v>
      </c>
      <c r="I756" s="47" t="s">
        <v>5290</v>
      </c>
      <c r="J756" s="47" t="s">
        <v>17</v>
      </c>
      <c r="K756" s="47" t="s">
        <v>6397</v>
      </c>
      <c r="L756" s="47"/>
      <c r="M756" s="49" t="s">
        <v>4778</v>
      </c>
    </row>
    <row r="757" spans="1:13">
      <c r="A757" s="48">
        <f t="shared" si="11"/>
        <v>756</v>
      </c>
      <c r="B757" s="47" t="s">
        <v>3295</v>
      </c>
      <c r="C757" s="47" t="s">
        <v>6216</v>
      </c>
      <c r="D757" s="47" t="s">
        <v>6256</v>
      </c>
      <c r="E757" s="47" t="s">
        <v>6255</v>
      </c>
      <c r="F757" s="47"/>
      <c r="G757" s="47" t="s">
        <v>15</v>
      </c>
      <c r="H757" s="47" t="str">
        <f>IFERROR(VLOOKUP(Table2[[#This Row], [Ticket]],Okey!A:B,2,0),"")</f>
        <v>ok</v>
      </c>
      <c r="I757" s="47" t="s">
        <v>5290</v>
      </c>
      <c r="J757" s="47" t="s">
        <v>17</v>
      </c>
      <c r="K757" s="47" t="s">
        <v>6397</v>
      </c>
      <c r="L757" s="47"/>
      <c r="M757" s="49" t="s">
        <v>4778</v>
      </c>
    </row>
    <row r="758" spans="1:13">
      <c r="A758" s="48">
        <f t="shared" si="11"/>
        <v>757</v>
      </c>
      <c r="B758" s="47" t="s">
        <v>3295</v>
      </c>
      <c r="C758" s="47" t="s">
        <v>6216</v>
      </c>
      <c r="D758" s="47" t="s">
        <v>6257</v>
      </c>
      <c r="E758" s="47" t="s">
        <v>6258</v>
      </c>
      <c r="F758" s="47"/>
      <c r="G758" s="47" t="s">
        <v>15</v>
      </c>
      <c r="H758" s="47" t="str">
        <f>IFERROR(VLOOKUP(Table2[[#This Row], [Ticket]],Okey!A:B,2,0),"")</f>
        <v>ok</v>
      </c>
      <c r="I758" s="47" t="s">
        <v>5290</v>
      </c>
      <c r="J758" s="47" t="s">
        <v>17</v>
      </c>
      <c r="K758" s="47" t="s">
        <v>6397</v>
      </c>
      <c r="L758" s="47"/>
      <c r="M758" s="49" t="s">
        <v>4778</v>
      </c>
    </row>
    <row r="759" spans="1:13">
      <c r="A759" s="48">
        <f t="shared" si="11"/>
        <v>758</v>
      </c>
      <c r="B759" s="47" t="s">
        <v>3295</v>
      </c>
      <c r="C759" s="47" t="s">
        <v>6216</v>
      </c>
      <c r="D759" s="47" t="s">
        <v>6259</v>
      </c>
      <c r="E759" s="47" t="s">
        <v>6258</v>
      </c>
      <c r="F759" s="47"/>
      <c r="G759" s="47" t="s">
        <v>15</v>
      </c>
      <c r="H759" s="47" t="str">
        <f>IFERROR(VLOOKUP(Table2[[#This Row], [Ticket]],Okey!A:B,2,0),"")</f>
        <v>ok</v>
      </c>
      <c r="I759" s="47" t="s">
        <v>5290</v>
      </c>
      <c r="J759" s="47" t="s">
        <v>17</v>
      </c>
      <c r="K759" s="47" t="s">
        <v>6397</v>
      </c>
      <c r="L759" s="47"/>
      <c r="M759" s="49" t="s">
        <v>4778</v>
      </c>
    </row>
    <row r="760" spans="1:13">
      <c r="A760" s="48">
        <f t="shared" si="11"/>
        <v>759</v>
      </c>
      <c r="B760" s="47" t="s">
        <v>3295</v>
      </c>
      <c r="C760" s="47" t="s">
        <v>6216</v>
      </c>
      <c r="D760" s="47" t="s">
        <v>6260</v>
      </c>
      <c r="E760" s="47" t="s">
        <v>6261</v>
      </c>
      <c r="F760" s="47"/>
      <c r="G760" s="47" t="s">
        <v>15</v>
      </c>
      <c r="H760" s="47" t="str">
        <f>IFERROR(VLOOKUP(Table2[[#This Row], [Ticket]],Okey!A:B,2,0),"")</f>
        <v>ok</v>
      </c>
      <c r="I760" s="47" t="s">
        <v>5290</v>
      </c>
      <c r="J760" s="47" t="s">
        <v>17</v>
      </c>
      <c r="K760" s="47" t="s">
        <v>6397</v>
      </c>
      <c r="L760" s="47"/>
      <c r="M760" s="49" t="s">
        <v>4778</v>
      </c>
    </row>
    <row r="761" spans="1:13">
      <c r="A761" s="48">
        <f t="shared" si="11"/>
        <v>760</v>
      </c>
      <c r="B761" s="47" t="s">
        <v>3295</v>
      </c>
      <c r="C761" s="47" t="s">
        <v>6216</v>
      </c>
      <c r="D761" s="47" t="s">
        <v>6262</v>
      </c>
      <c r="E761" s="47" t="s">
        <v>6261</v>
      </c>
      <c r="F761" s="47"/>
      <c r="G761" s="47" t="s">
        <v>15</v>
      </c>
      <c r="H761" s="47" t="str">
        <f>IFERROR(VLOOKUP(Table2[[#This Row], [Ticket]],Okey!A:B,2,0),"")</f>
        <v>ok</v>
      </c>
      <c r="I761" s="47" t="s">
        <v>5290</v>
      </c>
      <c r="J761" s="47" t="s">
        <v>17</v>
      </c>
      <c r="K761" s="47" t="s">
        <v>6397</v>
      </c>
      <c r="L761" s="47"/>
      <c r="M761" s="49" t="s">
        <v>4778</v>
      </c>
    </row>
    <row r="762" spans="1:13">
      <c r="A762" s="48">
        <f t="shared" si="11"/>
        <v>761</v>
      </c>
      <c r="B762" s="47" t="s">
        <v>3295</v>
      </c>
      <c r="C762" s="47" t="s">
        <v>6216</v>
      </c>
      <c r="D762" s="47" t="s">
        <v>5289</v>
      </c>
      <c r="E762" s="47" t="s">
        <v>6263</v>
      </c>
      <c r="F762" s="47"/>
      <c r="G762" s="47" t="s">
        <v>15</v>
      </c>
      <c r="H762" s="47" t="str">
        <f>IFERROR(VLOOKUP(Table2[[#This Row], [Ticket]],Okey!A:B,2,0),"")</f>
        <v>ok</v>
      </c>
      <c r="I762" s="47" t="s">
        <v>5290</v>
      </c>
      <c r="J762" s="47" t="s">
        <v>17</v>
      </c>
      <c r="K762" s="47" t="s">
        <v>6397</v>
      </c>
      <c r="L762" s="47"/>
      <c r="M762" s="49" t="s">
        <v>4778</v>
      </c>
    </row>
    <row r="763" spans="1:13">
      <c r="A763" s="48">
        <f t="shared" si="11"/>
        <v>762</v>
      </c>
      <c r="B763" s="47" t="s">
        <v>3295</v>
      </c>
      <c r="C763" s="47" t="s">
        <v>6216</v>
      </c>
      <c r="D763" s="47" t="s">
        <v>5288</v>
      </c>
      <c r="E763" s="47" t="s">
        <v>6263</v>
      </c>
      <c r="F763" s="47"/>
      <c r="G763" s="47" t="s">
        <v>15</v>
      </c>
      <c r="H763" s="47" t="str">
        <f>IFERROR(VLOOKUP(Table2[[#This Row], [Ticket]],Okey!A:B,2,0),"")</f>
        <v>ok</v>
      </c>
      <c r="I763" s="47" t="s">
        <v>5290</v>
      </c>
      <c r="J763" s="47" t="s">
        <v>17</v>
      </c>
      <c r="K763" s="47" t="s">
        <v>6397</v>
      </c>
      <c r="L763" s="47"/>
      <c r="M763" s="49" t="s">
        <v>4778</v>
      </c>
    </row>
    <row r="764" spans="1:13">
      <c r="A764" s="48">
        <f t="shared" si="11"/>
        <v>763</v>
      </c>
      <c r="B764" s="47" t="s">
        <v>3295</v>
      </c>
      <c r="C764" s="47" t="s">
        <v>6216</v>
      </c>
      <c r="D764" s="47" t="s">
        <v>6264</v>
      </c>
      <c r="E764" s="47" t="s">
        <v>6265</v>
      </c>
      <c r="F764" s="47"/>
      <c r="G764" s="47" t="s">
        <v>15</v>
      </c>
      <c r="H764" s="47" t="str">
        <f>IFERROR(VLOOKUP(Table2[[#This Row], [Ticket]],Okey!A:B,2,0),"")</f>
        <v>ok</v>
      </c>
      <c r="I764" s="47" t="s">
        <v>5290</v>
      </c>
      <c r="J764" s="47" t="s">
        <v>17</v>
      </c>
      <c r="K764" s="47" t="s">
        <v>6397</v>
      </c>
      <c r="L764" s="47"/>
      <c r="M764" s="49" t="s">
        <v>4778</v>
      </c>
    </row>
    <row r="765" spans="1:13">
      <c r="A765" s="48">
        <f t="shared" si="11"/>
        <v>764</v>
      </c>
      <c r="B765" s="47" t="s">
        <v>3295</v>
      </c>
      <c r="C765" s="47" t="s">
        <v>6216</v>
      </c>
      <c r="D765" s="47" t="s">
        <v>6266</v>
      </c>
      <c r="E765" s="47" t="s">
        <v>6265</v>
      </c>
      <c r="F765" s="47"/>
      <c r="G765" s="47" t="s">
        <v>15</v>
      </c>
      <c r="H765" s="47" t="str">
        <f>IFERROR(VLOOKUP(Table2[[#This Row], [Ticket]],Okey!A:B,2,0),"")</f>
        <v>ok</v>
      </c>
      <c r="I765" s="47" t="s">
        <v>5290</v>
      </c>
      <c r="J765" s="47" t="s">
        <v>17</v>
      </c>
      <c r="K765" s="47" t="s">
        <v>6397</v>
      </c>
      <c r="L765" s="47"/>
      <c r="M765" s="49" t="s">
        <v>4778</v>
      </c>
    </row>
    <row r="766" spans="1:13">
      <c r="A766" s="48">
        <f t="shared" si="11"/>
        <v>765</v>
      </c>
      <c r="B766" s="47" t="s">
        <v>3295</v>
      </c>
      <c r="C766" s="47" t="s">
        <v>6216</v>
      </c>
      <c r="D766" s="47" t="s">
        <v>6267</v>
      </c>
      <c r="E766" s="47" t="s">
        <v>6265</v>
      </c>
      <c r="F766" s="47"/>
      <c r="G766" s="47" t="s">
        <v>15</v>
      </c>
      <c r="H766" s="47" t="str">
        <f>IFERROR(VLOOKUP(Table2[[#This Row], [Ticket]],Okey!A:B,2,0),"")</f>
        <v>ok</v>
      </c>
      <c r="I766" s="47" t="s">
        <v>5290</v>
      </c>
      <c r="J766" s="47" t="s">
        <v>17</v>
      </c>
      <c r="K766" s="47" t="s">
        <v>6397</v>
      </c>
      <c r="L766" s="47"/>
      <c r="M766" s="49" t="s">
        <v>4778</v>
      </c>
    </row>
    <row r="767" spans="1:13">
      <c r="A767" s="48">
        <f t="shared" si="11"/>
        <v>766</v>
      </c>
      <c r="B767" s="47" t="s">
        <v>3295</v>
      </c>
      <c r="C767" s="47" t="s">
        <v>6216</v>
      </c>
      <c r="D767" s="47" t="s">
        <v>6268</v>
      </c>
      <c r="E767" s="47" t="s">
        <v>6269</v>
      </c>
      <c r="F767" s="47"/>
      <c r="G767" s="47" t="s">
        <v>15</v>
      </c>
      <c r="H767" s="47" t="str">
        <f>IFERROR(VLOOKUP(Table2[[#This Row], [Ticket]],Okey!A:B,2,0),"")</f>
        <v>ok</v>
      </c>
      <c r="I767" s="47" t="s">
        <v>5290</v>
      </c>
      <c r="J767" s="47" t="s">
        <v>17</v>
      </c>
      <c r="K767" s="47" t="s">
        <v>6397</v>
      </c>
      <c r="L767" s="47"/>
      <c r="M767" s="49" t="s">
        <v>4778</v>
      </c>
    </row>
    <row r="768" spans="1:13">
      <c r="A768" s="48">
        <f t="shared" si="11"/>
        <v>767</v>
      </c>
      <c r="B768" s="47" t="s">
        <v>3295</v>
      </c>
      <c r="C768" s="47" t="s">
        <v>6216</v>
      </c>
      <c r="D768" s="47" t="s">
        <v>6270</v>
      </c>
      <c r="E768" s="47" t="s">
        <v>6269</v>
      </c>
      <c r="F768" s="47"/>
      <c r="G768" s="47" t="s">
        <v>15</v>
      </c>
      <c r="H768" s="47" t="str">
        <f>IFERROR(VLOOKUP(Table2[[#This Row], [Ticket]],Okey!A:B,2,0),"")</f>
        <v>ok</v>
      </c>
      <c r="I768" s="47" t="s">
        <v>5290</v>
      </c>
      <c r="J768" s="47" t="s">
        <v>17</v>
      </c>
      <c r="K768" s="47" t="s">
        <v>6397</v>
      </c>
      <c r="L768" s="47"/>
      <c r="M768" s="49" t="s">
        <v>4778</v>
      </c>
    </row>
    <row r="769" spans="1:13">
      <c r="A769" s="48">
        <f t="shared" si="11"/>
        <v>768</v>
      </c>
      <c r="B769" s="47" t="s">
        <v>3295</v>
      </c>
      <c r="C769" s="47" t="s">
        <v>6216</v>
      </c>
      <c r="D769" s="47" t="s">
        <v>6271</v>
      </c>
      <c r="E769" s="47" t="s">
        <v>6272</v>
      </c>
      <c r="F769" s="47"/>
      <c r="G769" s="47" t="s">
        <v>15</v>
      </c>
      <c r="H769" s="47" t="str">
        <f>IFERROR(VLOOKUP(Table2[[#This Row], [Ticket]],Okey!A:B,2,0),"")</f>
        <v>ok</v>
      </c>
      <c r="I769" s="47" t="s">
        <v>5290</v>
      </c>
      <c r="J769" s="47" t="s">
        <v>17</v>
      </c>
      <c r="K769" s="47" t="s">
        <v>6397</v>
      </c>
      <c r="L769" s="47"/>
      <c r="M769" s="49" t="s">
        <v>4778</v>
      </c>
    </row>
    <row r="770" spans="1:13">
      <c r="A770" s="48">
        <f t="shared" si="11"/>
        <v>769</v>
      </c>
      <c r="B770" s="47" t="s">
        <v>3295</v>
      </c>
      <c r="C770" s="47" t="s">
        <v>6216</v>
      </c>
      <c r="D770" s="47" t="s">
        <v>6273</v>
      </c>
      <c r="E770" s="47" t="s">
        <v>6272</v>
      </c>
      <c r="F770" s="47"/>
      <c r="G770" s="47" t="s">
        <v>15</v>
      </c>
      <c r="H770" s="47" t="str">
        <f>IFERROR(VLOOKUP(Table2[[#This Row], [Ticket]],Okey!A:B,2,0),"")</f>
        <v>ok</v>
      </c>
      <c r="I770" s="47" t="s">
        <v>5290</v>
      </c>
      <c r="J770" s="47" t="s">
        <v>17</v>
      </c>
      <c r="K770" s="47" t="s">
        <v>6397</v>
      </c>
      <c r="L770" s="47"/>
      <c r="M770" s="49" t="s">
        <v>4778</v>
      </c>
    </row>
    <row r="771" spans="1:13">
      <c r="A771" s="48">
        <f t="shared" ref="A771:A834" si="12">1+A770</f>
        <v>770</v>
      </c>
      <c r="B771" s="47" t="s">
        <v>3295</v>
      </c>
      <c r="C771" s="47" t="s">
        <v>6216</v>
      </c>
      <c r="D771" s="47" t="s">
        <v>6274</v>
      </c>
      <c r="E771" s="47" t="s">
        <v>6275</v>
      </c>
      <c r="F771" s="47"/>
      <c r="G771" s="47" t="s">
        <v>15</v>
      </c>
      <c r="H771" s="47" t="str">
        <f>IFERROR(VLOOKUP(Table2[[#This Row], [Ticket]],Okey!A:B,2,0),"")</f>
        <v>ok</v>
      </c>
      <c r="I771" s="47" t="s">
        <v>5290</v>
      </c>
      <c r="J771" s="47" t="s">
        <v>17</v>
      </c>
      <c r="K771" s="47" t="s">
        <v>6397</v>
      </c>
      <c r="L771" s="47"/>
      <c r="M771" s="49" t="s">
        <v>4778</v>
      </c>
    </row>
    <row r="772" spans="1:13">
      <c r="A772" s="48">
        <f t="shared" si="12"/>
        <v>771</v>
      </c>
      <c r="B772" s="47" t="s">
        <v>3295</v>
      </c>
      <c r="C772" s="47" t="s">
        <v>6216</v>
      </c>
      <c r="D772" s="47" t="s">
        <v>6276</v>
      </c>
      <c r="E772" s="47" t="s">
        <v>6275</v>
      </c>
      <c r="F772" s="47"/>
      <c r="G772" s="47" t="s">
        <v>15</v>
      </c>
      <c r="H772" s="47" t="str">
        <f>IFERROR(VLOOKUP(Table2[[#This Row], [Ticket]],Okey!A:B,2,0),"")</f>
        <v>ok</v>
      </c>
      <c r="I772" s="47" t="s">
        <v>5290</v>
      </c>
      <c r="J772" s="47" t="s">
        <v>17</v>
      </c>
      <c r="K772" s="47" t="s">
        <v>6397</v>
      </c>
      <c r="L772" s="47"/>
      <c r="M772" s="49" t="s">
        <v>4778</v>
      </c>
    </row>
    <row r="773" spans="1:13">
      <c r="A773" s="48">
        <f t="shared" si="12"/>
        <v>772</v>
      </c>
      <c r="B773" s="47" t="s">
        <v>3295</v>
      </c>
      <c r="C773" s="47" t="s">
        <v>6216</v>
      </c>
      <c r="D773" s="47" t="s">
        <v>6277</v>
      </c>
      <c r="E773" s="47" t="s">
        <v>6278</v>
      </c>
      <c r="F773" s="47"/>
      <c r="G773" s="47" t="s">
        <v>15</v>
      </c>
      <c r="H773" s="47" t="str">
        <f>IFERROR(VLOOKUP(Table2[[#This Row], [Ticket]],Okey!A:B,2,0),"")</f>
        <v>ok</v>
      </c>
      <c r="I773" s="47" t="s">
        <v>5290</v>
      </c>
      <c r="J773" s="47" t="s">
        <v>17</v>
      </c>
      <c r="K773" s="47" t="s">
        <v>6397</v>
      </c>
      <c r="L773" s="47"/>
      <c r="M773" s="49" t="s">
        <v>4778</v>
      </c>
    </row>
    <row r="774" spans="1:13">
      <c r="A774" s="48">
        <f t="shared" si="12"/>
        <v>773</v>
      </c>
      <c r="B774" s="47" t="s">
        <v>3295</v>
      </c>
      <c r="C774" s="47" t="s">
        <v>6216</v>
      </c>
      <c r="D774" s="47" t="s">
        <v>6279</v>
      </c>
      <c r="E774" s="47" t="s">
        <v>6278</v>
      </c>
      <c r="F774" s="47"/>
      <c r="G774" s="47" t="s">
        <v>15</v>
      </c>
      <c r="H774" s="47" t="str">
        <f>IFERROR(VLOOKUP(Table2[[#This Row], [Ticket]],Okey!A:B,2,0),"")</f>
        <v>ok</v>
      </c>
      <c r="I774" s="47" t="s">
        <v>5290</v>
      </c>
      <c r="J774" s="47" t="s">
        <v>17</v>
      </c>
      <c r="K774" s="47" t="s">
        <v>6397</v>
      </c>
      <c r="L774" s="47"/>
      <c r="M774" s="49" t="s">
        <v>4778</v>
      </c>
    </row>
    <row r="775" spans="1:13">
      <c r="A775" s="48">
        <f t="shared" si="12"/>
        <v>774</v>
      </c>
      <c r="B775" s="47" t="s">
        <v>3295</v>
      </c>
      <c r="C775" s="47" t="s">
        <v>6216</v>
      </c>
      <c r="D775" s="47" t="s">
        <v>6280</v>
      </c>
      <c r="E775" s="47" t="s">
        <v>6281</v>
      </c>
      <c r="F775" s="47"/>
      <c r="G775" s="47" t="s">
        <v>15</v>
      </c>
      <c r="H775" s="47" t="str">
        <f>IFERROR(VLOOKUP(Table2[[#This Row], [Ticket]],Okey!A:B,2,0),"")</f>
        <v>ok</v>
      </c>
      <c r="I775" s="47" t="s">
        <v>5290</v>
      </c>
      <c r="J775" s="47" t="s">
        <v>17</v>
      </c>
      <c r="K775" s="47" t="s">
        <v>6397</v>
      </c>
      <c r="L775" s="47"/>
      <c r="M775" s="49" t="s">
        <v>4778</v>
      </c>
    </row>
    <row r="776" spans="1:13">
      <c r="A776" s="48">
        <f t="shared" si="12"/>
        <v>775</v>
      </c>
      <c r="B776" s="47" t="s">
        <v>3295</v>
      </c>
      <c r="C776" s="47" t="s">
        <v>6216</v>
      </c>
      <c r="D776" s="47" t="s">
        <v>6282</v>
      </c>
      <c r="E776" s="47" t="s">
        <v>6281</v>
      </c>
      <c r="F776" s="47"/>
      <c r="G776" s="47" t="s">
        <v>15</v>
      </c>
      <c r="H776" s="47" t="str">
        <f>IFERROR(VLOOKUP(Table2[[#This Row], [Ticket]],Okey!A:B,2,0),"")</f>
        <v>ok</v>
      </c>
      <c r="I776" s="47" t="s">
        <v>5290</v>
      </c>
      <c r="J776" s="47" t="s">
        <v>17</v>
      </c>
      <c r="K776" s="47" t="s">
        <v>6397</v>
      </c>
      <c r="L776" s="47"/>
      <c r="M776" s="49" t="s">
        <v>4778</v>
      </c>
    </row>
    <row r="777" spans="1:13">
      <c r="A777" s="48">
        <f t="shared" si="12"/>
        <v>776</v>
      </c>
      <c r="B777" s="47" t="s">
        <v>3295</v>
      </c>
      <c r="C777" s="47" t="s">
        <v>6216</v>
      </c>
      <c r="D777" s="47" t="s">
        <v>6283</v>
      </c>
      <c r="E777" s="47" t="s">
        <v>6284</v>
      </c>
      <c r="F777" s="47"/>
      <c r="G777" s="47" t="s">
        <v>15</v>
      </c>
      <c r="H777" s="47" t="str">
        <f>IFERROR(VLOOKUP(Table2[[#This Row], [Ticket]],Okey!A:B,2,0),"")</f>
        <v>ok</v>
      </c>
      <c r="I777" s="47" t="s">
        <v>5290</v>
      </c>
      <c r="J777" s="47" t="s">
        <v>17</v>
      </c>
      <c r="K777" s="47" t="s">
        <v>6397</v>
      </c>
      <c r="L777" s="47"/>
      <c r="M777" s="49" t="s">
        <v>4778</v>
      </c>
    </row>
    <row r="778" spans="1:13">
      <c r="A778" s="48">
        <f t="shared" si="12"/>
        <v>777</v>
      </c>
      <c r="B778" s="47" t="s">
        <v>3295</v>
      </c>
      <c r="C778" s="47" t="s">
        <v>6216</v>
      </c>
      <c r="D778" s="47" t="s">
        <v>6285</v>
      </c>
      <c r="E778" s="47" t="s">
        <v>6284</v>
      </c>
      <c r="F778" s="47"/>
      <c r="G778" s="47" t="s">
        <v>15</v>
      </c>
      <c r="H778" s="47" t="str">
        <f>IFERROR(VLOOKUP(Table2[[#This Row], [Ticket]],Okey!A:B,2,0),"")</f>
        <v>ok</v>
      </c>
      <c r="I778" s="47" t="s">
        <v>5290</v>
      </c>
      <c r="J778" s="47" t="s">
        <v>17</v>
      </c>
      <c r="K778" s="47" t="s">
        <v>6397</v>
      </c>
      <c r="L778" s="47"/>
      <c r="M778" s="49" t="s">
        <v>4778</v>
      </c>
    </row>
    <row r="779" spans="1:13">
      <c r="A779" s="48">
        <f t="shared" si="12"/>
        <v>778</v>
      </c>
      <c r="B779" s="47" t="s">
        <v>3295</v>
      </c>
      <c r="C779" s="47" t="s">
        <v>6216</v>
      </c>
      <c r="D779" s="47" t="s">
        <v>6286</v>
      </c>
      <c r="E779" s="47" t="s">
        <v>6287</v>
      </c>
      <c r="F779" s="47"/>
      <c r="G779" s="47" t="s">
        <v>15</v>
      </c>
      <c r="H779" s="47" t="str">
        <f>IFERROR(VLOOKUP(Table2[[#This Row], [Ticket]],Okey!A:B,2,0),"")</f>
        <v>ok</v>
      </c>
      <c r="I779" s="47" t="s">
        <v>5290</v>
      </c>
      <c r="J779" s="47" t="s">
        <v>17</v>
      </c>
      <c r="K779" s="47" t="s">
        <v>6397</v>
      </c>
      <c r="L779" s="47"/>
      <c r="M779" s="49" t="s">
        <v>4778</v>
      </c>
    </row>
    <row r="780" spans="1:13">
      <c r="A780" s="48">
        <f t="shared" si="12"/>
        <v>779</v>
      </c>
      <c r="B780" s="47" t="s">
        <v>3295</v>
      </c>
      <c r="C780" s="47" t="s">
        <v>6216</v>
      </c>
      <c r="D780" s="47" t="s">
        <v>6288</v>
      </c>
      <c r="E780" s="47" t="s">
        <v>6287</v>
      </c>
      <c r="F780" s="47"/>
      <c r="G780" s="47" t="s">
        <v>15</v>
      </c>
      <c r="H780" s="47" t="str">
        <f>IFERROR(VLOOKUP(Table2[[#This Row], [Ticket]],Okey!A:B,2,0),"")</f>
        <v>ok</v>
      </c>
      <c r="I780" s="47" t="s">
        <v>5290</v>
      </c>
      <c r="J780" s="47" t="s">
        <v>17</v>
      </c>
      <c r="K780" s="47" t="s">
        <v>6397</v>
      </c>
      <c r="L780" s="47"/>
      <c r="M780" s="49" t="s">
        <v>4778</v>
      </c>
    </row>
    <row r="781" spans="1:13">
      <c r="A781" s="48">
        <f t="shared" si="12"/>
        <v>780</v>
      </c>
      <c r="B781" s="47" t="s">
        <v>3295</v>
      </c>
      <c r="C781" s="47" t="s">
        <v>6216</v>
      </c>
      <c r="D781" s="47" t="s">
        <v>6289</v>
      </c>
      <c r="E781" s="47" t="s">
        <v>6290</v>
      </c>
      <c r="F781" s="47"/>
      <c r="G781" s="47" t="s">
        <v>15</v>
      </c>
      <c r="H781" s="47" t="str">
        <f>IFERROR(VLOOKUP(Table2[[#This Row], [Ticket]],Okey!A:B,2,0),"")</f>
        <v>ok</v>
      </c>
      <c r="I781" s="47" t="s">
        <v>5290</v>
      </c>
      <c r="J781" s="47" t="s">
        <v>17</v>
      </c>
      <c r="K781" s="47" t="s">
        <v>6397</v>
      </c>
      <c r="L781" s="47"/>
      <c r="M781" s="49" t="s">
        <v>4778</v>
      </c>
    </row>
    <row r="782" spans="1:13">
      <c r="A782" s="48">
        <f t="shared" si="12"/>
        <v>781</v>
      </c>
      <c r="B782" s="47" t="s">
        <v>3295</v>
      </c>
      <c r="C782" s="47" t="s">
        <v>6216</v>
      </c>
      <c r="D782" s="47" t="s">
        <v>6291</v>
      </c>
      <c r="E782" s="47" t="s">
        <v>6290</v>
      </c>
      <c r="F782" s="47"/>
      <c r="G782" s="47" t="s">
        <v>15</v>
      </c>
      <c r="H782" s="47" t="str">
        <f>IFERROR(VLOOKUP(Table2[[#This Row], [Ticket]],Okey!A:B,2,0),"")</f>
        <v>ok</v>
      </c>
      <c r="I782" s="47" t="s">
        <v>5290</v>
      </c>
      <c r="J782" s="47" t="s">
        <v>17</v>
      </c>
      <c r="K782" s="47" t="s">
        <v>6397</v>
      </c>
      <c r="L782" s="47"/>
      <c r="M782" s="49" t="s">
        <v>4778</v>
      </c>
    </row>
    <row r="783" spans="1:13">
      <c r="A783" s="48">
        <f t="shared" si="12"/>
        <v>782</v>
      </c>
      <c r="B783" s="47" t="s">
        <v>3295</v>
      </c>
      <c r="C783" s="47" t="s">
        <v>6216</v>
      </c>
      <c r="D783" s="47" t="s">
        <v>6292</v>
      </c>
      <c r="E783" s="47" t="s">
        <v>6293</v>
      </c>
      <c r="F783" s="47"/>
      <c r="G783" s="47" t="s">
        <v>15</v>
      </c>
      <c r="H783" s="47" t="str">
        <f>IFERROR(VLOOKUP(Table2[[#This Row], [Ticket]],Okey!A:B,2,0),"")</f>
        <v>ok</v>
      </c>
      <c r="I783" s="47" t="s">
        <v>5290</v>
      </c>
      <c r="J783" s="47" t="s">
        <v>17</v>
      </c>
      <c r="K783" s="47" t="s">
        <v>6397</v>
      </c>
      <c r="L783" s="47"/>
      <c r="M783" s="49" t="s">
        <v>4778</v>
      </c>
    </row>
    <row r="784" spans="1:13">
      <c r="A784" s="48">
        <f t="shared" si="12"/>
        <v>783</v>
      </c>
      <c r="B784" s="47" t="s">
        <v>3295</v>
      </c>
      <c r="C784" s="47" t="s">
        <v>6216</v>
      </c>
      <c r="D784" s="47" t="s">
        <v>6294</v>
      </c>
      <c r="E784" s="47" t="s">
        <v>6293</v>
      </c>
      <c r="F784" s="47"/>
      <c r="G784" s="47" t="s">
        <v>15</v>
      </c>
      <c r="H784" s="47" t="str">
        <f>IFERROR(VLOOKUP(Table2[[#This Row], [Ticket]],Okey!A:B,2,0),"")</f>
        <v>ok</v>
      </c>
      <c r="I784" s="47" t="s">
        <v>5290</v>
      </c>
      <c r="J784" s="47" t="s">
        <v>17</v>
      </c>
      <c r="K784" s="47" t="s">
        <v>6397</v>
      </c>
      <c r="L784" s="47"/>
      <c r="M784" s="49" t="s">
        <v>4778</v>
      </c>
    </row>
    <row r="785" spans="1:13">
      <c r="A785" s="48">
        <f t="shared" si="12"/>
        <v>784</v>
      </c>
      <c r="B785" s="47" t="s">
        <v>3295</v>
      </c>
      <c r="C785" s="47" t="s">
        <v>6216</v>
      </c>
      <c r="D785" s="47" t="s">
        <v>6295</v>
      </c>
      <c r="E785" s="47" t="s">
        <v>6296</v>
      </c>
      <c r="F785" s="47"/>
      <c r="G785" s="47" t="s">
        <v>15</v>
      </c>
      <c r="H785" s="47" t="str">
        <f>IFERROR(VLOOKUP(Table2[[#This Row], [Ticket]],Okey!A:B,2,0),"")</f>
        <v>ok</v>
      </c>
      <c r="I785" s="47" t="s">
        <v>5290</v>
      </c>
      <c r="J785" s="47" t="s">
        <v>17</v>
      </c>
      <c r="K785" s="47" t="s">
        <v>6397</v>
      </c>
      <c r="L785" s="47"/>
      <c r="M785" s="49" t="s">
        <v>4778</v>
      </c>
    </row>
    <row r="786" spans="1:13">
      <c r="A786" s="48">
        <f t="shared" si="12"/>
        <v>785</v>
      </c>
      <c r="B786" s="47" t="s">
        <v>3295</v>
      </c>
      <c r="C786" s="47" t="s">
        <v>6216</v>
      </c>
      <c r="D786" s="47" t="s">
        <v>6297</v>
      </c>
      <c r="E786" s="47" t="s">
        <v>6298</v>
      </c>
      <c r="F786" s="47"/>
      <c r="G786" s="47" t="s">
        <v>15</v>
      </c>
      <c r="H786" s="47" t="str">
        <f>IFERROR(VLOOKUP(Table2[[#This Row], [Ticket]],Okey!A:B,2,0),"")</f>
        <v>ok</v>
      </c>
      <c r="I786" s="47" t="s">
        <v>5290</v>
      </c>
      <c r="J786" s="47" t="s">
        <v>17</v>
      </c>
      <c r="K786" s="47" t="s">
        <v>6397</v>
      </c>
      <c r="L786" s="47"/>
      <c r="M786" s="49" t="s">
        <v>4778</v>
      </c>
    </row>
    <row r="787" spans="1:13">
      <c r="A787" s="48">
        <f t="shared" si="12"/>
        <v>786</v>
      </c>
      <c r="B787" s="47" t="s">
        <v>3295</v>
      </c>
      <c r="C787" s="47" t="s">
        <v>6216</v>
      </c>
      <c r="D787" s="47" t="s">
        <v>6299</v>
      </c>
      <c r="E787" s="47" t="s">
        <v>6298</v>
      </c>
      <c r="F787" s="47"/>
      <c r="G787" s="47" t="s">
        <v>15</v>
      </c>
      <c r="H787" s="47" t="str">
        <f>IFERROR(VLOOKUP(Table2[[#This Row], [Ticket]],Okey!A:B,2,0),"")</f>
        <v>ok</v>
      </c>
      <c r="I787" s="47" t="s">
        <v>5290</v>
      </c>
      <c r="J787" s="47" t="s">
        <v>17</v>
      </c>
      <c r="K787" s="47" t="s">
        <v>6397</v>
      </c>
      <c r="L787" s="47"/>
      <c r="M787" s="49" t="s">
        <v>4778</v>
      </c>
    </row>
    <row r="788" spans="1:13">
      <c r="A788" s="48">
        <f t="shared" si="12"/>
        <v>787</v>
      </c>
      <c r="B788" s="47" t="s">
        <v>3295</v>
      </c>
      <c r="C788" s="47" t="s">
        <v>6216</v>
      </c>
      <c r="D788" s="47" t="s">
        <v>6300</v>
      </c>
      <c r="E788" s="47" t="s">
        <v>6301</v>
      </c>
      <c r="F788" s="47"/>
      <c r="G788" s="47" t="s">
        <v>15</v>
      </c>
      <c r="H788" s="47" t="str">
        <f>IFERROR(VLOOKUP(Table2[[#This Row], [Ticket]],Okey!A:B,2,0),"")</f>
        <v>ok</v>
      </c>
      <c r="I788" s="47" t="s">
        <v>5290</v>
      </c>
      <c r="J788" s="47" t="s">
        <v>17</v>
      </c>
      <c r="K788" s="47" t="s">
        <v>6397</v>
      </c>
      <c r="L788" s="47"/>
      <c r="M788" s="49" t="s">
        <v>4778</v>
      </c>
    </row>
    <row r="789" spans="1:13">
      <c r="A789" s="48">
        <f t="shared" si="12"/>
        <v>788</v>
      </c>
      <c r="B789" s="47" t="s">
        <v>3295</v>
      </c>
      <c r="C789" s="47" t="s">
        <v>6216</v>
      </c>
      <c r="D789" s="47" t="s">
        <v>6302</v>
      </c>
      <c r="E789" s="47" t="s">
        <v>6301</v>
      </c>
      <c r="F789" s="47"/>
      <c r="G789" s="47" t="s">
        <v>15</v>
      </c>
      <c r="H789" s="47" t="str">
        <f>IFERROR(VLOOKUP(Table2[[#This Row], [Ticket]],Okey!A:B,2,0),"")</f>
        <v>ok</v>
      </c>
      <c r="I789" s="47" t="s">
        <v>5290</v>
      </c>
      <c r="J789" s="47" t="s">
        <v>17</v>
      </c>
      <c r="K789" s="47" t="s">
        <v>6397</v>
      </c>
      <c r="L789" s="47"/>
      <c r="M789" s="49" t="s">
        <v>4778</v>
      </c>
    </row>
    <row r="790" spans="1:13">
      <c r="A790" s="48">
        <f t="shared" si="12"/>
        <v>789</v>
      </c>
      <c r="B790" s="47" t="s">
        <v>3295</v>
      </c>
      <c r="C790" s="47" t="s">
        <v>6216</v>
      </c>
      <c r="D790" s="47" t="s">
        <v>6303</v>
      </c>
      <c r="E790" s="47" t="s">
        <v>6304</v>
      </c>
      <c r="F790" s="47"/>
      <c r="G790" s="47" t="s">
        <v>15</v>
      </c>
      <c r="H790" s="47" t="str">
        <f>IFERROR(VLOOKUP(Table2[[#This Row], [Ticket]],Okey!A:B,2,0),"")</f>
        <v>ok</v>
      </c>
      <c r="I790" s="47" t="s">
        <v>5290</v>
      </c>
      <c r="J790" s="47" t="s">
        <v>17</v>
      </c>
      <c r="K790" s="47" t="s">
        <v>6397</v>
      </c>
      <c r="L790" s="47"/>
      <c r="M790" s="49" t="s">
        <v>4778</v>
      </c>
    </row>
    <row r="791" spans="1:13">
      <c r="A791" s="48">
        <f t="shared" si="12"/>
        <v>790</v>
      </c>
      <c r="B791" s="47" t="s">
        <v>3295</v>
      </c>
      <c r="C791" s="47" t="s">
        <v>6216</v>
      </c>
      <c r="D791" s="47" t="s">
        <v>6305</v>
      </c>
      <c r="E791" s="47" t="s">
        <v>6304</v>
      </c>
      <c r="F791" s="47"/>
      <c r="G791" s="47" t="s">
        <v>15</v>
      </c>
      <c r="H791" s="47" t="str">
        <f>IFERROR(VLOOKUP(Table2[[#This Row], [Ticket]],Okey!A:B,2,0),"")</f>
        <v>ok</v>
      </c>
      <c r="I791" s="47" t="s">
        <v>5290</v>
      </c>
      <c r="J791" s="47" t="s">
        <v>17</v>
      </c>
      <c r="K791" s="47" t="s">
        <v>6397</v>
      </c>
      <c r="L791" s="47"/>
      <c r="M791" s="49" t="s">
        <v>4778</v>
      </c>
    </row>
    <row r="792" spans="1:13">
      <c r="A792" s="48">
        <f t="shared" si="12"/>
        <v>791</v>
      </c>
      <c r="B792" s="47" t="s">
        <v>3295</v>
      </c>
      <c r="C792" s="47" t="s">
        <v>6216</v>
      </c>
      <c r="D792" s="47" t="s">
        <v>6306</v>
      </c>
      <c r="E792" s="47" t="s">
        <v>6307</v>
      </c>
      <c r="F792" s="47"/>
      <c r="G792" s="47" t="s">
        <v>15</v>
      </c>
      <c r="H792" s="47" t="str">
        <f>IFERROR(VLOOKUP(Table2[[#This Row], [Ticket]],Okey!A:B,2,0),"")</f>
        <v>ok</v>
      </c>
      <c r="I792" s="47" t="s">
        <v>5290</v>
      </c>
      <c r="J792" s="47" t="s">
        <v>17</v>
      </c>
      <c r="K792" s="47" t="s">
        <v>6397</v>
      </c>
      <c r="L792" s="47"/>
      <c r="M792" s="49" t="s">
        <v>4778</v>
      </c>
    </row>
    <row r="793" spans="1:13">
      <c r="A793" s="48">
        <f t="shared" si="12"/>
        <v>792</v>
      </c>
      <c r="B793" s="47" t="s">
        <v>3295</v>
      </c>
      <c r="C793" s="47" t="s">
        <v>6216</v>
      </c>
      <c r="D793" s="47" t="s">
        <v>6308</v>
      </c>
      <c r="E793" s="47" t="s">
        <v>6296</v>
      </c>
      <c r="F793" s="47"/>
      <c r="G793" s="47" t="s">
        <v>15</v>
      </c>
      <c r="H793" s="47" t="str">
        <f>IFERROR(VLOOKUP(Table2[[#This Row], [Ticket]],Okey!A:B,2,0),"")</f>
        <v>ok</v>
      </c>
      <c r="I793" s="47" t="s">
        <v>5290</v>
      </c>
      <c r="J793" s="47" t="s">
        <v>17</v>
      </c>
      <c r="K793" s="47" t="s">
        <v>6397</v>
      </c>
      <c r="L793" s="47"/>
      <c r="M793" s="49" t="s">
        <v>4778</v>
      </c>
    </row>
    <row r="794" spans="1:13">
      <c r="A794" s="48">
        <f t="shared" si="12"/>
        <v>793</v>
      </c>
      <c r="B794" s="47" t="s">
        <v>3295</v>
      </c>
      <c r="C794" s="47" t="s">
        <v>6216</v>
      </c>
      <c r="D794" s="47" t="s">
        <v>5699</v>
      </c>
      <c r="E794" s="47" t="s">
        <v>6309</v>
      </c>
      <c r="F794" s="47"/>
      <c r="G794" s="47" t="s">
        <v>15</v>
      </c>
      <c r="H794" s="47" t="str">
        <f>IFERROR(VLOOKUP(Table2[[#This Row], [Ticket]],Okey!A:B,2,0),"")</f>
        <v>ok</v>
      </c>
      <c r="I794" s="47" t="s">
        <v>5290</v>
      </c>
      <c r="J794" s="47" t="s">
        <v>17</v>
      </c>
      <c r="K794" s="47" t="s">
        <v>6397</v>
      </c>
      <c r="L794" s="47"/>
      <c r="M794" s="49" t="s">
        <v>4778</v>
      </c>
    </row>
    <row r="795" spans="1:13">
      <c r="A795" s="48">
        <f t="shared" si="12"/>
        <v>794</v>
      </c>
      <c r="B795" s="47" t="s">
        <v>3295</v>
      </c>
      <c r="C795" s="47" t="s">
        <v>6216</v>
      </c>
      <c r="D795" s="47" t="s">
        <v>6310</v>
      </c>
      <c r="E795" s="47" t="s">
        <v>6311</v>
      </c>
      <c r="F795" s="47"/>
      <c r="G795" s="47" t="s">
        <v>15</v>
      </c>
      <c r="H795" s="47" t="str">
        <f>IFERROR(VLOOKUP(Table2[[#This Row], [Ticket]],Okey!A:B,2,0),"")</f>
        <v>ok</v>
      </c>
      <c r="I795" s="47" t="s">
        <v>5290</v>
      </c>
      <c r="J795" s="47" t="s">
        <v>17</v>
      </c>
      <c r="K795" s="47" t="s">
        <v>6397</v>
      </c>
      <c r="L795" s="47"/>
      <c r="M795" s="49" t="s">
        <v>4778</v>
      </c>
    </row>
    <row r="796" spans="1:13">
      <c r="A796" s="48">
        <f t="shared" si="12"/>
        <v>795</v>
      </c>
      <c r="B796" s="47" t="s">
        <v>3295</v>
      </c>
      <c r="C796" s="47" t="s">
        <v>6216</v>
      </c>
      <c r="D796" s="47" t="s">
        <v>6312</v>
      </c>
      <c r="E796" s="47" t="s">
        <v>6309</v>
      </c>
      <c r="F796" s="47"/>
      <c r="G796" s="47" t="s">
        <v>15</v>
      </c>
      <c r="H796" s="47" t="str">
        <f>IFERROR(VLOOKUP(Table2[[#This Row], [Ticket]],Okey!A:B,2,0),"")</f>
        <v>ok</v>
      </c>
      <c r="I796" s="47" t="s">
        <v>5290</v>
      </c>
      <c r="J796" s="47" t="s">
        <v>17</v>
      </c>
      <c r="K796" s="47" t="s">
        <v>6397</v>
      </c>
      <c r="L796" s="47"/>
      <c r="M796" s="49" t="s">
        <v>4778</v>
      </c>
    </row>
    <row r="797" spans="1:13">
      <c r="A797" s="48">
        <f t="shared" si="12"/>
        <v>796</v>
      </c>
      <c r="B797" s="47" t="s">
        <v>3295</v>
      </c>
      <c r="C797" s="47" t="s">
        <v>6216</v>
      </c>
      <c r="D797" s="47" t="s">
        <v>6313</v>
      </c>
      <c r="E797" s="47" t="s">
        <v>6314</v>
      </c>
      <c r="F797" s="47"/>
      <c r="G797" s="47" t="s">
        <v>15</v>
      </c>
      <c r="H797" s="47" t="str">
        <f>IFERROR(VLOOKUP(Table2[[#This Row], [Ticket]],Okey!A:B,2,0),"")</f>
        <v>ok</v>
      </c>
      <c r="I797" s="47" t="s">
        <v>5290</v>
      </c>
      <c r="J797" s="47" t="s">
        <v>17</v>
      </c>
      <c r="K797" s="47" t="s">
        <v>6397</v>
      </c>
      <c r="L797" s="47"/>
      <c r="M797" s="49" t="s">
        <v>4778</v>
      </c>
    </row>
    <row r="798" spans="1:13">
      <c r="A798" s="48">
        <f t="shared" si="12"/>
        <v>797</v>
      </c>
      <c r="B798" s="47" t="s">
        <v>3295</v>
      </c>
      <c r="C798" s="47" t="s">
        <v>6216</v>
      </c>
      <c r="D798" s="47" t="s">
        <v>6315</v>
      </c>
      <c r="E798" s="47" t="s">
        <v>6314</v>
      </c>
      <c r="F798" s="47"/>
      <c r="G798" s="47" t="s">
        <v>15</v>
      </c>
      <c r="H798" s="47" t="str">
        <f>IFERROR(VLOOKUP(Table2[[#This Row], [Ticket]],Okey!A:B,2,0),"")</f>
        <v>ok</v>
      </c>
      <c r="I798" s="47" t="s">
        <v>5290</v>
      </c>
      <c r="J798" s="47" t="s">
        <v>17</v>
      </c>
      <c r="K798" s="47" t="s">
        <v>6397</v>
      </c>
      <c r="L798" s="47"/>
      <c r="M798" s="49" t="s">
        <v>4778</v>
      </c>
    </row>
    <row r="799" spans="1:13">
      <c r="A799" s="48">
        <f t="shared" si="12"/>
        <v>798</v>
      </c>
      <c r="B799" s="47" t="s">
        <v>3295</v>
      </c>
      <c r="C799" s="47" t="s">
        <v>6216</v>
      </c>
      <c r="D799" s="47" t="s">
        <v>6316</v>
      </c>
      <c r="E799" s="47" t="s">
        <v>6317</v>
      </c>
      <c r="F799" s="47"/>
      <c r="G799" s="47" t="s">
        <v>15</v>
      </c>
      <c r="H799" s="47" t="str">
        <f>IFERROR(VLOOKUP(Table2[[#This Row], [Ticket]],Okey!A:B,2,0),"")</f>
        <v>ok</v>
      </c>
      <c r="I799" s="47" t="s">
        <v>5290</v>
      </c>
      <c r="J799" s="47" t="s">
        <v>17</v>
      </c>
      <c r="K799" s="47" t="s">
        <v>6397</v>
      </c>
      <c r="L799" s="47"/>
      <c r="M799" s="49" t="s">
        <v>4778</v>
      </c>
    </row>
    <row r="800" spans="1:13">
      <c r="A800" s="48">
        <f t="shared" si="12"/>
        <v>799</v>
      </c>
      <c r="B800" s="47" t="s">
        <v>3295</v>
      </c>
      <c r="C800" s="47" t="s">
        <v>6216</v>
      </c>
      <c r="D800" s="47" t="s">
        <v>6318</v>
      </c>
      <c r="E800" s="47" t="s">
        <v>6317</v>
      </c>
      <c r="F800" s="47"/>
      <c r="G800" s="47" t="s">
        <v>15</v>
      </c>
      <c r="H800" s="47" t="str">
        <f>IFERROR(VLOOKUP(Table2[[#This Row], [Ticket]],Okey!A:B,2,0),"")</f>
        <v>ok</v>
      </c>
      <c r="I800" s="47" t="s">
        <v>5290</v>
      </c>
      <c r="J800" s="47" t="s">
        <v>17</v>
      </c>
      <c r="K800" s="47" t="s">
        <v>6397</v>
      </c>
      <c r="L800" s="47"/>
      <c r="M800" s="49" t="s">
        <v>4778</v>
      </c>
    </row>
    <row r="801" spans="1:13">
      <c r="A801" s="48">
        <f t="shared" si="12"/>
        <v>800</v>
      </c>
      <c r="B801" s="47" t="s">
        <v>3295</v>
      </c>
      <c r="C801" s="47" t="s">
        <v>6216</v>
      </c>
      <c r="D801" s="47" t="s">
        <v>5292</v>
      </c>
      <c r="E801" s="47" t="s">
        <v>6319</v>
      </c>
      <c r="F801" s="47"/>
      <c r="G801" s="47" t="s">
        <v>15</v>
      </c>
      <c r="H801" s="47" t="str">
        <f>IFERROR(VLOOKUP(Table2[[#This Row], [Ticket]],Okey!A:B,2,0),"")</f>
        <v>ok</v>
      </c>
      <c r="I801" s="47" t="s">
        <v>5290</v>
      </c>
      <c r="J801" s="47" t="s">
        <v>17</v>
      </c>
      <c r="K801" s="47" t="s">
        <v>6397</v>
      </c>
      <c r="L801" s="47"/>
      <c r="M801" s="49" t="s">
        <v>4778</v>
      </c>
    </row>
    <row r="802" spans="1:13">
      <c r="A802" s="48">
        <f t="shared" si="12"/>
        <v>801</v>
      </c>
      <c r="B802" s="47" t="s">
        <v>3295</v>
      </c>
      <c r="C802" s="47" t="s">
        <v>6216</v>
      </c>
      <c r="D802" s="47" t="s">
        <v>5291</v>
      </c>
      <c r="E802" s="47" t="s">
        <v>6319</v>
      </c>
      <c r="F802" s="47"/>
      <c r="G802" s="47" t="s">
        <v>15</v>
      </c>
      <c r="H802" s="47" t="str">
        <f>IFERROR(VLOOKUP(Table2[[#This Row], [Ticket]],Okey!A:B,2,0),"")</f>
        <v>ok</v>
      </c>
      <c r="I802" s="47" t="s">
        <v>5290</v>
      </c>
      <c r="J802" s="47" t="s">
        <v>17</v>
      </c>
      <c r="K802" s="47" t="s">
        <v>6397</v>
      </c>
      <c r="L802" s="47"/>
      <c r="M802" s="49" t="s">
        <v>4778</v>
      </c>
    </row>
    <row r="803" spans="1:13">
      <c r="A803" s="48">
        <f t="shared" si="12"/>
        <v>802</v>
      </c>
      <c r="B803" s="47" t="s">
        <v>3295</v>
      </c>
      <c r="C803" s="47" t="s">
        <v>6216</v>
      </c>
      <c r="D803" s="47" t="s">
        <v>5294</v>
      </c>
      <c r="E803" s="47" t="s">
        <v>6320</v>
      </c>
      <c r="F803" s="47"/>
      <c r="G803" s="47" t="s">
        <v>15</v>
      </c>
      <c r="H803" s="47" t="str">
        <f>IFERROR(VLOOKUP(Table2[[#This Row], [Ticket]],Okey!A:B,2,0),"")</f>
        <v>ok</v>
      </c>
      <c r="I803" s="47" t="s">
        <v>5290</v>
      </c>
      <c r="J803" s="47" t="s">
        <v>17</v>
      </c>
      <c r="K803" s="47" t="s">
        <v>6397</v>
      </c>
      <c r="L803" s="47"/>
      <c r="M803" s="49" t="s">
        <v>4778</v>
      </c>
    </row>
    <row r="804" spans="1:13">
      <c r="A804" s="48">
        <f t="shared" si="12"/>
        <v>803</v>
      </c>
      <c r="B804" s="47" t="s">
        <v>3295</v>
      </c>
      <c r="C804" s="47" t="s">
        <v>6216</v>
      </c>
      <c r="D804" s="47" t="s">
        <v>5293</v>
      </c>
      <c r="E804" s="47" t="s">
        <v>6320</v>
      </c>
      <c r="F804" s="47"/>
      <c r="G804" s="47" t="s">
        <v>15</v>
      </c>
      <c r="H804" s="47" t="str">
        <f>IFERROR(VLOOKUP(Table2[[#This Row], [Ticket]],Okey!A:B,2,0),"")</f>
        <v>ok</v>
      </c>
      <c r="I804" s="47" t="s">
        <v>5290</v>
      </c>
      <c r="J804" s="47" t="s">
        <v>17</v>
      </c>
      <c r="K804" s="47" t="s">
        <v>6397</v>
      </c>
      <c r="L804" s="47"/>
      <c r="M804" s="49" t="s">
        <v>4778</v>
      </c>
    </row>
    <row r="805" spans="1:13">
      <c r="A805" s="48">
        <f t="shared" si="12"/>
        <v>804</v>
      </c>
      <c r="B805" s="47" t="s">
        <v>3295</v>
      </c>
      <c r="C805" s="47" t="s">
        <v>6216</v>
      </c>
      <c r="D805" s="47" t="s">
        <v>5697</v>
      </c>
      <c r="E805" s="47" t="s">
        <v>6321</v>
      </c>
      <c r="F805" s="47"/>
      <c r="G805" s="47" t="s">
        <v>15</v>
      </c>
      <c r="H805" s="47" t="str">
        <f>IFERROR(VLOOKUP(Table2[[#This Row], [Ticket]],Okey!A:B,2,0),"")</f>
        <v>ok</v>
      </c>
      <c r="I805" s="47" t="s">
        <v>5290</v>
      </c>
      <c r="J805" s="47" t="s">
        <v>17</v>
      </c>
      <c r="K805" s="47" t="s">
        <v>6397</v>
      </c>
      <c r="L805" s="47"/>
      <c r="M805" s="49" t="s">
        <v>4778</v>
      </c>
    </row>
    <row r="806" spans="1:13">
      <c r="A806" s="48">
        <f t="shared" si="12"/>
        <v>805</v>
      </c>
      <c r="B806" s="47" t="s">
        <v>3295</v>
      </c>
      <c r="C806" s="47" t="s">
        <v>6216</v>
      </c>
      <c r="D806" s="47" t="s">
        <v>5700</v>
      </c>
      <c r="E806" s="47" t="s">
        <v>6321</v>
      </c>
      <c r="F806" s="47"/>
      <c r="G806" s="47" t="s">
        <v>15</v>
      </c>
      <c r="H806" s="47" t="str">
        <f>IFERROR(VLOOKUP(Table2[[#This Row], [Ticket]],Okey!A:B,2,0),"")</f>
        <v>ok</v>
      </c>
      <c r="I806" s="47" t="s">
        <v>5290</v>
      </c>
      <c r="J806" s="47" t="s">
        <v>17</v>
      </c>
      <c r="K806" s="47" t="s">
        <v>6397</v>
      </c>
      <c r="L806" s="47"/>
      <c r="M806" s="49" t="s">
        <v>4778</v>
      </c>
    </row>
    <row r="807" spans="1:13">
      <c r="A807" s="48">
        <f t="shared" si="12"/>
        <v>806</v>
      </c>
      <c r="B807" s="47" t="s">
        <v>3295</v>
      </c>
      <c r="C807" s="47" t="s">
        <v>6216</v>
      </c>
      <c r="D807" s="47" t="s">
        <v>6322</v>
      </c>
      <c r="E807" s="47" t="s">
        <v>6323</v>
      </c>
      <c r="F807" s="47"/>
      <c r="G807" s="47" t="s">
        <v>15</v>
      </c>
      <c r="H807" s="47" t="str">
        <f>IFERROR(VLOOKUP(Table2[[#This Row], [Ticket]],Okey!A:B,2,0),"")</f>
        <v>ok</v>
      </c>
      <c r="I807" s="47" t="s">
        <v>5290</v>
      </c>
      <c r="J807" s="47" t="s">
        <v>17</v>
      </c>
      <c r="K807" s="47" t="s">
        <v>6397</v>
      </c>
      <c r="L807" s="47"/>
      <c r="M807" s="49" t="s">
        <v>4778</v>
      </c>
    </row>
    <row r="808" spans="1:13">
      <c r="A808" s="48">
        <f t="shared" si="12"/>
        <v>807</v>
      </c>
      <c r="B808" s="47" t="s">
        <v>3295</v>
      </c>
      <c r="C808" s="47" t="s">
        <v>6216</v>
      </c>
      <c r="D808" s="47" t="s">
        <v>6324</v>
      </c>
      <c r="E808" s="47" t="s">
        <v>6325</v>
      </c>
      <c r="F808" s="47"/>
      <c r="G808" s="47" t="s">
        <v>15</v>
      </c>
      <c r="H808" s="47" t="str">
        <f>IFERROR(VLOOKUP(Table2[[#This Row], [Ticket]],Okey!A:B,2,0),"")</f>
        <v>ok</v>
      </c>
      <c r="I808" s="47" t="s">
        <v>5290</v>
      </c>
      <c r="J808" s="47" t="s">
        <v>17</v>
      </c>
      <c r="K808" s="47" t="s">
        <v>6397</v>
      </c>
      <c r="L808" s="47"/>
      <c r="M808" s="49" t="s">
        <v>4778</v>
      </c>
    </row>
    <row r="809" spans="1:13">
      <c r="A809" s="48">
        <f t="shared" si="12"/>
        <v>808</v>
      </c>
      <c r="B809" s="47" t="s">
        <v>3295</v>
      </c>
      <c r="C809" s="47" t="s">
        <v>6216</v>
      </c>
      <c r="D809" s="47" t="s">
        <v>3334</v>
      </c>
      <c r="E809" s="47" t="s">
        <v>6326</v>
      </c>
      <c r="F809" s="47"/>
      <c r="G809" s="47" t="s">
        <v>15</v>
      </c>
      <c r="H809" s="47" t="str">
        <f>IFERROR(VLOOKUP(Table2[[#This Row], [Ticket]],Okey!A:B,2,0),"")</f>
        <v>ok</v>
      </c>
      <c r="I809" s="47" t="s">
        <v>5290</v>
      </c>
      <c r="J809" s="47" t="s">
        <v>17</v>
      </c>
      <c r="K809" s="47" t="s">
        <v>6397</v>
      </c>
      <c r="L809" s="47"/>
      <c r="M809" s="49" t="s">
        <v>4778</v>
      </c>
    </row>
    <row r="810" spans="1:13">
      <c r="A810" s="48">
        <f t="shared" si="12"/>
        <v>809</v>
      </c>
      <c r="B810" s="47" t="s">
        <v>3295</v>
      </c>
      <c r="C810" s="47" t="s">
        <v>6216</v>
      </c>
      <c r="D810" s="47" t="s">
        <v>3333</v>
      </c>
      <c r="E810" s="47" t="s">
        <v>6325</v>
      </c>
      <c r="F810" s="47"/>
      <c r="G810" s="47" t="s">
        <v>15</v>
      </c>
      <c r="H810" s="47" t="str">
        <f>IFERROR(VLOOKUP(Table2[[#This Row], [Ticket]],Okey!A:B,2,0),"")</f>
        <v>ok</v>
      </c>
      <c r="I810" s="47" t="s">
        <v>5290</v>
      </c>
      <c r="J810" s="47" t="s">
        <v>17</v>
      </c>
      <c r="K810" s="47" t="s">
        <v>6397</v>
      </c>
      <c r="L810" s="47"/>
      <c r="M810" s="49" t="s">
        <v>4778</v>
      </c>
    </row>
    <row r="811" spans="1:13">
      <c r="A811" s="48">
        <f t="shared" si="12"/>
        <v>810</v>
      </c>
      <c r="B811" s="47" t="s">
        <v>3295</v>
      </c>
      <c r="C811" s="47" t="s">
        <v>6216</v>
      </c>
      <c r="D811" s="47" t="s">
        <v>3715</v>
      </c>
      <c r="E811" s="47" t="s">
        <v>6327</v>
      </c>
      <c r="F811" s="47"/>
      <c r="G811" s="47" t="s">
        <v>15</v>
      </c>
      <c r="H811" s="47" t="str">
        <f>IFERROR(VLOOKUP(Table2[[#This Row], [Ticket]],Okey!A:B,2,0),"")</f>
        <v>ok</v>
      </c>
      <c r="I811" s="47" t="s">
        <v>5290</v>
      </c>
      <c r="J811" s="47" t="s">
        <v>17</v>
      </c>
      <c r="K811" s="47" t="s">
        <v>6397</v>
      </c>
      <c r="L811" s="47"/>
      <c r="M811" s="49" t="s">
        <v>4778</v>
      </c>
    </row>
    <row r="812" spans="1:13">
      <c r="A812" s="48">
        <f t="shared" si="12"/>
        <v>811</v>
      </c>
      <c r="B812" s="47" t="s">
        <v>3295</v>
      </c>
      <c r="C812" s="47" t="s">
        <v>6216</v>
      </c>
      <c r="D812" s="47" t="s">
        <v>3713</v>
      </c>
      <c r="E812" s="47" t="s">
        <v>6323</v>
      </c>
      <c r="F812" s="47"/>
      <c r="G812" s="47" t="s">
        <v>15</v>
      </c>
      <c r="H812" s="47" t="str">
        <f>IFERROR(VLOOKUP(Table2[[#This Row], [Ticket]],Okey!A:B,2,0),"")</f>
        <v>ok</v>
      </c>
      <c r="I812" s="47" t="s">
        <v>5290</v>
      </c>
      <c r="J812" s="47" t="s">
        <v>17</v>
      </c>
      <c r="K812" s="47" t="s">
        <v>6397</v>
      </c>
      <c r="L812" s="47"/>
      <c r="M812" s="49" t="s">
        <v>4778</v>
      </c>
    </row>
    <row r="813" spans="1:13">
      <c r="A813" s="48">
        <f t="shared" si="12"/>
        <v>812</v>
      </c>
      <c r="B813" s="47" t="s">
        <v>3295</v>
      </c>
      <c r="C813" s="47" t="s">
        <v>6216</v>
      </c>
      <c r="D813" s="47" t="s">
        <v>3837</v>
      </c>
      <c r="E813" s="47" t="s">
        <v>6328</v>
      </c>
      <c r="F813" s="47"/>
      <c r="G813" s="47" t="s">
        <v>15</v>
      </c>
      <c r="H813" s="47" t="str">
        <f>IFERROR(VLOOKUP(Table2[[#This Row], [Ticket]],Okey!A:B,2,0),"")</f>
        <v>ok</v>
      </c>
      <c r="I813" s="47" t="s">
        <v>5290</v>
      </c>
      <c r="J813" s="47" t="s">
        <v>17</v>
      </c>
      <c r="K813" s="47" t="s">
        <v>6397</v>
      </c>
      <c r="L813" s="47"/>
      <c r="M813" s="49" t="s">
        <v>4778</v>
      </c>
    </row>
    <row r="814" spans="1:13">
      <c r="A814" s="48">
        <f t="shared" si="12"/>
        <v>813</v>
      </c>
      <c r="B814" s="47" t="s">
        <v>3295</v>
      </c>
      <c r="C814" s="47" t="s">
        <v>6216</v>
      </c>
      <c r="D814" s="47" t="s">
        <v>6329</v>
      </c>
      <c r="E814" s="47" t="s">
        <v>6330</v>
      </c>
      <c r="F814" s="47"/>
      <c r="G814" s="47" t="s">
        <v>15</v>
      </c>
      <c r="H814" s="47" t="str">
        <f>IFERROR(VLOOKUP(Table2[[#This Row], [Ticket]],Okey!A:B,2,0),"")</f>
        <v>ok</v>
      </c>
      <c r="I814" s="47" t="s">
        <v>5290</v>
      </c>
      <c r="J814" s="47" t="s">
        <v>17</v>
      </c>
      <c r="K814" s="47" t="s">
        <v>6397</v>
      </c>
      <c r="L814" s="47"/>
      <c r="M814" s="49" t="s">
        <v>4778</v>
      </c>
    </row>
    <row r="815" spans="1:13">
      <c r="A815" s="48">
        <f t="shared" si="12"/>
        <v>814</v>
      </c>
      <c r="B815" s="47" t="s">
        <v>3295</v>
      </c>
      <c r="C815" s="47" t="s">
        <v>6216</v>
      </c>
      <c r="D815" s="47" t="s">
        <v>5786</v>
      </c>
      <c r="E815" s="47" t="s">
        <v>6330</v>
      </c>
      <c r="F815" s="47"/>
      <c r="G815" s="47" t="s">
        <v>15</v>
      </c>
      <c r="H815" s="47" t="str">
        <f>IFERROR(VLOOKUP(Table2[[#This Row], [Ticket]],Okey!A:B,2,0),"")</f>
        <v>ok</v>
      </c>
      <c r="I815" s="47" t="s">
        <v>5290</v>
      </c>
      <c r="J815" s="47" t="s">
        <v>17</v>
      </c>
      <c r="K815" s="47" t="s">
        <v>6397</v>
      </c>
      <c r="L815" s="47"/>
      <c r="M815" s="49" t="s">
        <v>4778</v>
      </c>
    </row>
    <row r="816" spans="1:13">
      <c r="A816" s="48">
        <f t="shared" si="12"/>
        <v>815</v>
      </c>
      <c r="B816" s="47" t="s">
        <v>3295</v>
      </c>
      <c r="C816" s="47" t="s">
        <v>6216</v>
      </c>
      <c r="D816" s="47" t="s">
        <v>5702</v>
      </c>
      <c r="E816" s="47" t="s">
        <v>6331</v>
      </c>
      <c r="F816" s="47"/>
      <c r="G816" s="47" t="s">
        <v>15</v>
      </c>
      <c r="H816" s="47" t="str">
        <f>IFERROR(VLOOKUP(Table2[[#This Row], [Ticket]],Okey!A:B,2,0),"")</f>
        <v>ok</v>
      </c>
      <c r="I816" s="47" t="s">
        <v>5290</v>
      </c>
      <c r="J816" s="47" t="s">
        <v>17</v>
      </c>
      <c r="K816" s="47" t="s">
        <v>6397</v>
      </c>
      <c r="L816" s="47"/>
      <c r="M816" s="49" t="s">
        <v>4778</v>
      </c>
    </row>
    <row r="817" spans="1:13">
      <c r="A817" s="48">
        <f t="shared" si="12"/>
        <v>816</v>
      </c>
      <c r="B817" s="47" t="s">
        <v>3295</v>
      </c>
      <c r="C817" s="47" t="s">
        <v>6216</v>
      </c>
      <c r="D817" s="47" t="s">
        <v>5701</v>
      </c>
      <c r="E817" s="47" t="s">
        <v>6330</v>
      </c>
      <c r="F817" s="47"/>
      <c r="G817" s="47" t="s">
        <v>15</v>
      </c>
      <c r="H817" s="47" t="str">
        <f>IFERROR(VLOOKUP(Table2[[#This Row], [Ticket]],Okey!A:B,2,0),"")</f>
        <v>ok</v>
      </c>
      <c r="I817" s="47" t="s">
        <v>5290</v>
      </c>
      <c r="J817" s="47" t="s">
        <v>17</v>
      </c>
      <c r="K817" s="47" t="s">
        <v>6397</v>
      </c>
      <c r="L817" s="47"/>
      <c r="M817" s="49" t="s">
        <v>4778</v>
      </c>
    </row>
    <row r="818" spans="1:13">
      <c r="A818" s="48">
        <f t="shared" si="12"/>
        <v>817</v>
      </c>
      <c r="B818" s="47" t="s">
        <v>3295</v>
      </c>
      <c r="C818" s="47" t="s">
        <v>6216</v>
      </c>
      <c r="D818" s="47" t="s">
        <v>5704</v>
      </c>
      <c r="E818" s="47" t="s">
        <v>6332</v>
      </c>
      <c r="F818" s="47"/>
      <c r="G818" s="47" t="s">
        <v>15</v>
      </c>
      <c r="H818" s="47" t="str">
        <f>IFERROR(VLOOKUP(Table2[[#This Row], [Ticket]],Okey!A:B,2,0),"")</f>
        <v>ok</v>
      </c>
      <c r="I818" s="47" t="s">
        <v>5290</v>
      </c>
      <c r="J818" s="47" t="s">
        <v>17</v>
      </c>
      <c r="K818" s="47" t="s">
        <v>6397</v>
      </c>
      <c r="L818" s="47"/>
      <c r="M818" s="49" t="s">
        <v>4778</v>
      </c>
    </row>
    <row r="819" spans="1:13">
      <c r="A819" s="48">
        <f t="shared" si="12"/>
        <v>818</v>
      </c>
      <c r="B819" s="47" t="s">
        <v>3295</v>
      </c>
      <c r="C819" s="47" t="s">
        <v>6216</v>
      </c>
      <c r="D819" s="47" t="s">
        <v>5703</v>
      </c>
      <c r="E819" s="47" t="s">
        <v>6332</v>
      </c>
      <c r="F819" s="47"/>
      <c r="G819" s="47" t="s">
        <v>15</v>
      </c>
      <c r="H819" s="47" t="str">
        <f>IFERROR(VLOOKUP(Table2[[#This Row], [Ticket]],Okey!A:B,2,0),"")</f>
        <v>ok</v>
      </c>
      <c r="I819" s="47" t="s">
        <v>5290</v>
      </c>
      <c r="J819" s="47" t="s">
        <v>17</v>
      </c>
      <c r="K819" s="47" t="s">
        <v>6397</v>
      </c>
      <c r="L819" s="47"/>
      <c r="M819" s="49" t="s">
        <v>4778</v>
      </c>
    </row>
    <row r="820" spans="1:13">
      <c r="A820" s="48">
        <f t="shared" si="12"/>
        <v>819</v>
      </c>
      <c r="B820" s="47" t="s">
        <v>3295</v>
      </c>
      <c r="C820" s="47" t="s">
        <v>6216</v>
      </c>
      <c r="D820" s="47" t="s">
        <v>5706</v>
      </c>
      <c r="E820" s="47" t="s">
        <v>6333</v>
      </c>
      <c r="F820" s="47"/>
      <c r="G820" s="47" t="s">
        <v>15</v>
      </c>
      <c r="H820" s="47" t="str">
        <f>IFERROR(VLOOKUP(Table2[[#This Row], [Ticket]],Okey!A:B,2,0),"")</f>
        <v>ok</v>
      </c>
      <c r="I820" s="47" t="s">
        <v>5290</v>
      </c>
      <c r="J820" s="47" t="s">
        <v>17</v>
      </c>
      <c r="K820" s="47" t="s">
        <v>6397</v>
      </c>
      <c r="L820" s="47"/>
      <c r="M820" s="49" t="s">
        <v>4778</v>
      </c>
    </row>
    <row r="821" spans="1:13">
      <c r="A821" s="48">
        <f t="shared" si="12"/>
        <v>820</v>
      </c>
      <c r="B821" s="47" t="s">
        <v>3295</v>
      </c>
      <c r="C821" s="47" t="s">
        <v>6216</v>
      </c>
      <c r="D821" s="47" t="s">
        <v>5705</v>
      </c>
      <c r="E821" s="47" t="s">
        <v>6333</v>
      </c>
      <c r="F821" s="47"/>
      <c r="G821" s="47" t="s">
        <v>15</v>
      </c>
      <c r="H821" s="47" t="str">
        <f>IFERROR(VLOOKUP(Table2[[#This Row], [Ticket]],Okey!A:B,2,0),"")</f>
        <v>ok</v>
      </c>
      <c r="I821" s="47" t="s">
        <v>5290</v>
      </c>
      <c r="J821" s="47" t="s">
        <v>17</v>
      </c>
      <c r="K821" s="47" t="s">
        <v>6397</v>
      </c>
      <c r="L821" s="47"/>
      <c r="M821" s="49" t="s">
        <v>4778</v>
      </c>
    </row>
    <row r="822" spans="1:13">
      <c r="A822" s="48">
        <f t="shared" si="12"/>
        <v>821</v>
      </c>
      <c r="B822" s="47" t="s">
        <v>3295</v>
      </c>
      <c r="C822" s="47" t="s">
        <v>6216</v>
      </c>
      <c r="D822" s="47" t="s">
        <v>5708</v>
      </c>
      <c r="E822" s="47" t="s">
        <v>6334</v>
      </c>
      <c r="F822" s="47"/>
      <c r="G822" s="47" t="s">
        <v>15</v>
      </c>
      <c r="H822" s="47" t="str">
        <f>IFERROR(VLOOKUP(Table2[[#This Row], [Ticket]],Okey!A:B,2,0),"")</f>
        <v>ok</v>
      </c>
      <c r="I822" s="47" t="s">
        <v>5290</v>
      </c>
      <c r="J822" s="47" t="s">
        <v>17</v>
      </c>
      <c r="K822" s="47" t="s">
        <v>6397</v>
      </c>
      <c r="L822" s="47"/>
      <c r="M822" s="49" t="s">
        <v>4778</v>
      </c>
    </row>
    <row r="823" spans="1:13">
      <c r="A823" s="48">
        <f t="shared" si="12"/>
        <v>822</v>
      </c>
      <c r="B823" s="47" t="s">
        <v>3295</v>
      </c>
      <c r="C823" s="47" t="s">
        <v>6216</v>
      </c>
      <c r="D823" s="47" t="s">
        <v>5707</v>
      </c>
      <c r="E823" s="47" t="s">
        <v>6334</v>
      </c>
      <c r="F823" s="47"/>
      <c r="G823" s="47" t="s">
        <v>15</v>
      </c>
      <c r="H823" s="47" t="str">
        <f>IFERROR(VLOOKUP(Table2[[#This Row], [Ticket]],Okey!A:B,2,0),"")</f>
        <v>ok</v>
      </c>
      <c r="I823" s="47" t="s">
        <v>5290</v>
      </c>
      <c r="J823" s="47" t="s">
        <v>17</v>
      </c>
      <c r="K823" s="47" t="s">
        <v>6397</v>
      </c>
      <c r="L823" s="47"/>
      <c r="M823" s="49" t="s">
        <v>4778</v>
      </c>
    </row>
    <row r="824" spans="1:13">
      <c r="A824" s="48">
        <f t="shared" si="12"/>
        <v>823</v>
      </c>
      <c r="B824" s="47" t="s">
        <v>3295</v>
      </c>
      <c r="C824" s="47" t="s">
        <v>6216</v>
      </c>
      <c r="D824" s="47" t="s">
        <v>5710</v>
      </c>
      <c r="E824" s="47" t="s">
        <v>6335</v>
      </c>
      <c r="F824" s="47"/>
      <c r="G824" s="47" t="s">
        <v>15</v>
      </c>
      <c r="H824" s="47" t="str">
        <f>IFERROR(VLOOKUP(Table2[[#This Row], [Ticket]],Okey!A:B,2,0),"")</f>
        <v>ok</v>
      </c>
      <c r="I824" s="47" t="s">
        <v>5290</v>
      </c>
      <c r="J824" s="47" t="s">
        <v>17</v>
      </c>
      <c r="K824" s="47" t="s">
        <v>6397</v>
      </c>
      <c r="L824" s="47"/>
      <c r="M824" s="49" t="s">
        <v>4778</v>
      </c>
    </row>
    <row r="825" spans="1:13">
      <c r="A825" s="48">
        <f t="shared" si="12"/>
        <v>824</v>
      </c>
      <c r="B825" s="47" t="s">
        <v>3295</v>
      </c>
      <c r="C825" s="47" t="s">
        <v>6216</v>
      </c>
      <c r="D825" s="47" t="s">
        <v>5709</v>
      </c>
      <c r="E825" s="47" t="s">
        <v>6335</v>
      </c>
      <c r="F825" s="47"/>
      <c r="G825" s="47" t="s">
        <v>15</v>
      </c>
      <c r="H825" s="47" t="str">
        <f>IFERROR(VLOOKUP(Table2[[#This Row], [Ticket]],Okey!A:B,2,0),"")</f>
        <v>ok</v>
      </c>
      <c r="I825" s="47" t="s">
        <v>5290</v>
      </c>
      <c r="J825" s="47" t="s">
        <v>17</v>
      </c>
      <c r="K825" s="47" t="s">
        <v>6397</v>
      </c>
      <c r="L825" s="47"/>
      <c r="M825" s="49" t="s">
        <v>4778</v>
      </c>
    </row>
    <row r="826" spans="1:13">
      <c r="A826" s="48">
        <f t="shared" si="12"/>
        <v>825</v>
      </c>
      <c r="B826" s="47" t="s">
        <v>3295</v>
      </c>
      <c r="C826" s="47" t="s">
        <v>6216</v>
      </c>
      <c r="D826" s="47" t="s">
        <v>5714</v>
      </c>
      <c r="E826" s="47" t="s">
        <v>6336</v>
      </c>
      <c r="F826" s="47"/>
      <c r="G826" s="47" t="s">
        <v>15</v>
      </c>
      <c r="H826" s="47" t="str">
        <f>IFERROR(VLOOKUP(Table2[[#This Row], [Ticket]],Okey!A:B,2,0),"")</f>
        <v>ok</v>
      </c>
      <c r="I826" s="47" t="s">
        <v>5290</v>
      </c>
      <c r="J826" s="47" t="s">
        <v>17</v>
      </c>
      <c r="K826" s="47" t="s">
        <v>6397</v>
      </c>
      <c r="L826" s="47"/>
      <c r="M826" s="49" t="s">
        <v>4778</v>
      </c>
    </row>
    <row r="827" spans="1:13">
      <c r="A827" s="48">
        <f t="shared" si="12"/>
        <v>826</v>
      </c>
      <c r="B827" s="47" t="s">
        <v>3295</v>
      </c>
      <c r="C827" s="47" t="s">
        <v>6216</v>
      </c>
      <c r="D827" s="47" t="s">
        <v>5713</v>
      </c>
      <c r="E827" s="47" t="s">
        <v>6336</v>
      </c>
      <c r="F827" s="47"/>
      <c r="G827" s="47" t="s">
        <v>15</v>
      </c>
      <c r="H827" s="47" t="str">
        <f>IFERROR(VLOOKUP(Table2[[#This Row], [Ticket]],Okey!A:B,2,0),"")</f>
        <v>ok</v>
      </c>
      <c r="I827" s="47" t="s">
        <v>5290</v>
      </c>
      <c r="J827" s="47" t="s">
        <v>17</v>
      </c>
      <c r="K827" s="47" t="s">
        <v>6397</v>
      </c>
      <c r="L827" s="47"/>
      <c r="M827" s="49" t="s">
        <v>4778</v>
      </c>
    </row>
    <row r="828" spans="1:13">
      <c r="A828" s="48">
        <f t="shared" si="12"/>
        <v>827</v>
      </c>
      <c r="B828" s="47" t="s">
        <v>3295</v>
      </c>
      <c r="C828" s="47" t="s">
        <v>6216</v>
      </c>
      <c r="D828" s="47" t="s">
        <v>5718</v>
      </c>
      <c r="E828" s="47" t="s">
        <v>6337</v>
      </c>
      <c r="F828" s="47"/>
      <c r="G828" s="47" t="s">
        <v>15</v>
      </c>
      <c r="H828" s="47" t="str">
        <f>IFERROR(VLOOKUP(Table2[[#This Row], [Ticket]],Okey!A:B,2,0),"")</f>
        <v>ok</v>
      </c>
      <c r="I828" s="47" t="s">
        <v>5290</v>
      </c>
      <c r="J828" s="47" t="s">
        <v>17</v>
      </c>
      <c r="K828" s="47" t="s">
        <v>6397</v>
      </c>
      <c r="L828" s="47"/>
      <c r="M828" s="49" t="s">
        <v>4778</v>
      </c>
    </row>
    <row r="829" spans="1:13">
      <c r="A829" s="48">
        <f t="shared" si="12"/>
        <v>828</v>
      </c>
      <c r="B829" s="47" t="s">
        <v>3295</v>
      </c>
      <c r="C829" s="47" t="s">
        <v>6216</v>
      </c>
      <c r="D829" s="47" t="s">
        <v>5717</v>
      </c>
      <c r="E829" s="47" t="s">
        <v>6337</v>
      </c>
      <c r="F829" s="47"/>
      <c r="G829" s="47" t="s">
        <v>15</v>
      </c>
      <c r="H829" s="47" t="str">
        <f>IFERROR(VLOOKUP(Table2[[#This Row], [Ticket]],Okey!A:B,2,0),"")</f>
        <v>ok</v>
      </c>
      <c r="I829" s="47" t="s">
        <v>5290</v>
      </c>
      <c r="J829" s="47" t="s">
        <v>17</v>
      </c>
      <c r="K829" s="47" t="s">
        <v>6397</v>
      </c>
      <c r="L829" s="47"/>
      <c r="M829" s="49" t="s">
        <v>4778</v>
      </c>
    </row>
    <row r="830" spans="1:13">
      <c r="A830" s="48">
        <f t="shared" si="12"/>
        <v>829</v>
      </c>
      <c r="B830" s="47" t="s">
        <v>3295</v>
      </c>
      <c r="C830" s="47" t="s">
        <v>6216</v>
      </c>
      <c r="D830" s="47" t="s">
        <v>5720</v>
      </c>
      <c r="E830" s="47" t="s">
        <v>6338</v>
      </c>
      <c r="F830" s="47"/>
      <c r="G830" s="47" t="s">
        <v>15</v>
      </c>
      <c r="H830" s="47" t="str">
        <f>IFERROR(VLOOKUP(Table2[[#This Row], [Ticket]],Okey!A:B,2,0),"")</f>
        <v>ok</v>
      </c>
      <c r="I830" s="47" t="s">
        <v>5290</v>
      </c>
      <c r="J830" s="47" t="s">
        <v>17</v>
      </c>
      <c r="K830" s="47" t="s">
        <v>6397</v>
      </c>
      <c r="L830" s="47"/>
      <c r="M830" s="49" t="s">
        <v>4778</v>
      </c>
    </row>
    <row r="831" spans="1:13">
      <c r="A831" s="48">
        <f t="shared" si="12"/>
        <v>830</v>
      </c>
      <c r="B831" s="47" t="s">
        <v>3295</v>
      </c>
      <c r="C831" s="47" t="s">
        <v>6216</v>
      </c>
      <c r="D831" s="47" t="s">
        <v>5719</v>
      </c>
      <c r="E831" s="47" t="s">
        <v>6338</v>
      </c>
      <c r="F831" s="47"/>
      <c r="G831" s="47" t="s">
        <v>15</v>
      </c>
      <c r="H831" s="47" t="str">
        <f>IFERROR(VLOOKUP(Table2[[#This Row], [Ticket]],Okey!A:B,2,0),"")</f>
        <v>ok</v>
      </c>
      <c r="I831" s="47" t="s">
        <v>5290</v>
      </c>
      <c r="J831" s="47" t="s">
        <v>17</v>
      </c>
      <c r="K831" s="47" t="s">
        <v>6397</v>
      </c>
      <c r="L831" s="47"/>
      <c r="M831" s="49" t="s">
        <v>4778</v>
      </c>
    </row>
    <row r="832" spans="1:13">
      <c r="A832" s="48">
        <f t="shared" si="12"/>
        <v>831</v>
      </c>
      <c r="B832" s="47" t="s">
        <v>3295</v>
      </c>
      <c r="C832" s="47" t="s">
        <v>6216</v>
      </c>
      <c r="D832" s="47" t="s">
        <v>5510</v>
      </c>
      <c r="E832" s="47" t="s">
        <v>6339</v>
      </c>
      <c r="F832" s="47"/>
      <c r="G832" s="47" t="s">
        <v>15</v>
      </c>
      <c r="H832" s="47" t="str">
        <f>IFERROR(VLOOKUP(Table2[[#This Row], [Ticket]],Okey!A:B,2,0),"")</f>
        <v>ok</v>
      </c>
      <c r="I832" s="47" t="s">
        <v>5290</v>
      </c>
      <c r="J832" s="47" t="s">
        <v>17</v>
      </c>
      <c r="K832" s="47" t="s">
        <v>6397</v>
      </c>
      <c r="L832" s="47"/>
      <c r="M832" s="49" t="s">
        <v>4778</v>
      </c>
    </row>
    <row r="833" spans="1:13">
      <c r="A833" s="48">
        <f t="shared" si="12"/>
        <v>832</v>
      </c>
      <c r="B833" s="47" t="s">
        <v>3295</v>
      </c>
      <c r="C833" s="47" t="s">
        <v>6216</v>
      </c>
      <c r="D833" s="47" t="s">
        <v>6340</v>
      </c>
      <c r="E833" s="47" t="s">
        <v>6341</v>
      </c>
      <c r="F833" s="47"/>
      <c r="G833" s="47" t="s">
        <v>15</v>
      </c>
      <c r="H833" s="47" t="str">
        <f>IFERROR(VLOOKUP(Table2[[#This Row], [Ticket]],Okey!A:B,2,0),"")</f>
        <v>ok</v>
      </c>
      <c r="I833" s="47" t="s">
        <v>5290</v>
      </c>
      <c r="J833" s="47" t="s">
        <v>17</v>
      </c>
      <c r="K833" s="47" t="s">
        <v>6397</v>
      </c>
      <c r="L833" s="47"/>
      <c r="M833" s="49" t="s">
        <v>4778</v>
      </c>
    </row>
    <row r="834" spans="1:13">
      <c r="A834" s="48">
        <f t="shared" si="12"/>
        <v>833</v>
      </c>
      <c r="B834" s="47" t="s">
        <v>3295</v>
      </c>
      <c r="C834" s="47" t="s">
        <v>6216</v>
      </c>
      <c r="D834" s="47" t="s">
        <v>6342</v>
      </c>
      <c r="E834" s="47" t="s">
        <v>6343</v>
      </c>
      <c r="F834" s="47"/>
      <c r="G834" s="47" t="s">
        <v>15</v>
      </c>
      <c r="H834" s="47" t="str">
        <f>IFERROR(VLOOKUP(Table2[[#This Row], [Ticket]],Okey!A:B,2,0),"")</f>
        <v>ok</v>
      </c>
      <c r="I834" s="47" t="s">
        <v>5290</v>
      </c>
      <c r="J834" s="47" t="s">
        <v>17</v>
      </c>
      <c r="K834" s="47" t="s">
        <v>6397</v>
      </c>
      <c r="L834" s="47"/>
      <c r="M834" s="49" t="s">
        <v>4778</v>
      </c>
    </row>
    <row r="835" spans="1:13">
      <c r="A835" s="48">
        <f t="shared" ref="A835:A898" si="13">1+A834</f>
        <v>834</v>
      </c>
      <c r="B835" s="47" t="s">
        <v>3295</v>
      </c>
      <c r="C835" s="47" t="s">
        <v>6216</v>
      </c>
      <c r="D835" s="47" t="s">
        <v>6344</v>
      </c>
      <c r="E835" s="47" t="s">
        <v>6345</v>
      </c>
      <c r="F835" s="47"/>
      <c r="G835" s="47" t="s">
        <v>15</v>
      </c>
      <c r="H835" s="47" t="str">
        <f>IFERROR(VLOOKUP(Table2[[#This Row], [Ticket]],Okey!A:B,2,0),"")</f>
        <v>ok</v>
      </c>
      <c r="I835" s="47" t="s">
        <v>5290</v>
      </c>
      <c r="J835" s="47" t="s">
        <v>17</v>
      </c>
      <c r="K835" s="47" t="s">
        <v>6397</v>
      </c>
      <c r="L835" s="47"/>
      <c r="M835" s="49" t="s">
        <v>4778</v>
      </c>
    </row>
    <row r="836" spans="1:13">
      <c r="A836" s="48">
        <f t="shared" si="13"/>
        <v>835</v>
      </c>
      <c r="B836" s="47" t="s">
        <v>3295</v>
      </c>
      <c r="C836" s="47" t="s">
        <v>6216</v>
      </c>
      <c r="D836" s="47" t="s">
        <v>6346</v>
      </c>
      <c r="E836" s="47" t="s">
        <v>6347</v>
      </c>
      <c r="F836" s="47"/>
      <c r="G836" s="47" t="s">
        <v>15</v>
      </c>
      <c r="H836" s="47" t="str">
        <f>IFERROR(VLOOKUP(Table2[[#This Row], [Ticket]],Okey!A:B,2,0),"")</f>
        <v>ok</v>
      </c>
      <c r="I836" s="47" t="s">
        <v>5290</v>
      </c>
      <c r="J836" s="47" t="s">
        <v>17</v>
      </c>
      <c r="K836" s="47" t="s">
        <v>6397</v>
      </c>
      <c r="L836" s="47"/>
      <c r="M836" s="49" t="s">
        <v>4778</v>
      </c>
    </row>
    <row r="837" spans="1:13">
      <c r="A837" s="48">
        <f t="shared" si="13"/>
        <v>836</v>
      </c>
      <c r="B837" s="47" t="s">
        <v>3295</v>
      </c>
      <c r="C837" s="47" t="s">
        <v>6216</v>
      </c>
      <c r="D837" s="47" t="s">
        <v>6214</v>
      </c>
      <c r="E837" s="47" t="s">
        <v>6211</v>
      </c>
      <c r="F837" s="47"/>
      <c r="G837" s="47" t="s">
        <v>15</v>
      </c>
      <c r="H837" s="47" t="str">
        <f>IFERROR(VLOOKUP(Table2[[#This Row], [Ticket]],Okey!A:B,2,0),"")</f>
        <v>ok</v>
      </c>
      <c r="I837" s="47" t="s">
        <v>5290</v>
      </c>
      <c r="J837" s="47" t="s">
        <v>17</v>
      </c>
      <c r="K837" s="47" t="s">
        <v>6397</v>
      </c>
      <c r="L837" s="47"/>
      <c r="M837" s="49" t="s">
        <v>4778</v>
      </c>
    </row>
    <row r="838" spans="1:13">
      <c r="A838" s="48">
        <f t="shared" si="13"/>
        <v>837</v>
      </c>
      <c r="B838" s="47" t="s">
        <v>3295</v>
      </c>
      <c r="C838" s="47" t="s">
        <v>6216</v>
      </c>
      <c r="D838" s="47" t="s">
        <v>6215</v>
      </c>
      <c r="E838" s="47" t="s">
        <v>6212</v>
      </c>
      <c r="F838" s="47"/>
      <c r="G838" s="47" t="s">
        <v>15</v>
      </c>
      <c r="H838" s="47" t="str">
        <f>IFERROR(VLOOKUP(Table2[[#This Row], [Ticket]],Okey!A:B,2,0),"")</f>
        <v>ok</v>
      </c>
      <c r="I838" s="47" t="s">
        <v>5290</v>
      </c>
      <c r="J838" s="47" t="s">
        <v>17</v>
      </c>
      <c r="K838" s="47" t="s">
        <v>6397</v>
      </c>
      <c r="L838" s="47"/>
      <c r="M838" s="49" t="s">
        <v>4778</v>
      </c>
    </row>
    <row r="839" spans="1:13">
      <c r="A839" s="48">
        <f t="shared" si="13"/>
        <v>838</v>
      </c>
      <c r="B839" s="47" t="s">
        <v>3295</v>
      </c>
      <c r="C839" s="47" t="s">
        <v>6216</v>
      </c>
      <c r="D839" s="47" t="s">
        <v>5272</v>
      </c>
      <c r="E839" s="47" t="s">
        <v>6348</v>
      </c>
      <c r="F839" s="47"/>
      <c r="G839" s="47" t="s">
        <v>15</v>
      </c>
      <c r="H839" s="47" t="str">
        <f>IFERROR(VLOOKUP(Table2[[#This Row], [Ticket]],Okey!A:B,2,0),"")</f>
        <v>ok</v>
      </c>
      <c r="I839" s="47" t="s">
        <v>5290</v>
      </c>
      <c r="J839" s="47" t="s">
        <v>17</v>
      </c>
      <c r="K839" s="47" t="s">
        <v>6397</v>
      </c>
      <c r="L839" s="47"/>
      <c r="M839" s="49" t="s">
        <v>4778</v>
      </c>
    </row>
    <row r="840" spans="1:13">
      <c r="A840" s="48">
        <f t="shared" si="13"/>
        <v>839</v>
      </c>
      <c r="B840" s="47" t="s">
        <v>3295</v>
      </c>
      <c r="C840" s="47" t="s">
        <v>6216</v>
      </c>
      <c r="D840" s="47" t="s">
        <v>1238</v>
      </c>
      <c r="E840" s="47" t="s">
        <v>6210</v>
      </c>
      <c r="F840" s="47" t="s">
        <v>5284</v>
      </c>
      <c r="G840" s="47" t="s">
        <v>16</v>
      </c>
      <c r="H840" s="47" t="str">
        <f>IFERROR(VLOOKUP(Table2[[#This Row], [Ticket]],Okey!A:B,2,0),"")</f>
        <v>ok</v>
      </c>
      <c r="I840" s="47" t="s">
        <v>5290</v>
      </c>
      <c r="J840" s="47" t="s">
        <v>17</v>
      </c>
      <c r="K840" s="47" t="s">
        <v>6456</v>
      </c>
      <c r="L840" s="47"/>
      <c r="M840" s="49" t="s">
        <v>4778</v>
      </c>
    </row>
    <row r="841" spans="1:13">
      <c r="A841" s="48">
        <f t="shared" si="13"/>
        <v>840</v>
      </c>
      <c r="B841" s="47" t="s">
        <v>3295</v>
      </c>
      <c r="C841" s="47" t="s">
        <v>6216</v>
      </c>
      <c r="D841" s="47" t="s">
        <v>6213</v>
      </c>
      <c r="E841" s="47" t="s">
        <v>6349</v>
      </c>
      <c r="F841" s="47" t="s">
        <v>5284</v>
      </c>
      <c r="G841" s="47" t="s">
        <v>16</v>
      </c>
      <c r="H841" s="47" t="str">
        <f>IFERROR(VLOOKUP(Table2[[#This Row], [Ticket]],Okey!A:B,2,0),"")</f>
        <v>ok</v>
      </c>
      <c r="I841" s="47" t="s">
        <v>5290</v>
      </c>
      <c r="J841" s="47" t="s">
        <v>17</v>
      </c>
      <c r="K841" s="47" t="s">
        <v>6456</v>
      </c>
      <c r="L841" s="47"/>
      <c r="M841" s="49" t="s">
        <v>4778</v>
      </c>
    </row>
    <row r="842" spans="1:13">
      <c r="A842" s="48">
        <f t="shared" si="13"/>
        <v>841</v>
      </c>
      <c r="B842" s="47" t="s">
        <v>3295</v>
      </c>
      <c r="C842" s="47" t="s">
        <v>6216</v>
      </c>
      <c r="D842" s="47" t="s">
        <v>3827</v>
      </c>
      <c r="E842" s="47" t="s">
        <v>6328</v>
      </c>
      <c r="F842" s="47" t="s">
        <v>5272</v>
      </c>
      <c r="G842" s="47" t="s">
        <v>16</v>
      </c>
      <c r="H842" s="47" t="str">
        <f>IFERROR(VLOOKUP(Table2[[#This Row], [Ticket]],Okey!A:B,2,0),"")</f>
        <v>ok</v>
      </c>
      <c r="I842" s="47" t="s">
        <v>5290</v>
      </c>
      <c r="J842" s="47" t="s">
        <v>17</v>
      </c>
      <c r="K842" s="47" t="s">
        <v>6456</v>
      </c>
      <c r="L842" s="47"/>
      <c r="M842" s="49" t="s">
        <v>4778</v>
      </c>
    </row>
    <row r="843" spans="1:13">
      <c r="A843" s="48">
        <f t="shared" si="13"/>
        <v>842</v>
      </c>
      <c r="B843" s="47" t="s">
        <v>3295</v>
      </c>
      <c r="C843" s="47" t="s">
        <v>6216</v>
      </c>
      <c r="D843" s="47" t="s">
        <v>3220</v>
      </c>
      <c r="E843" s="47" t="s">
        <v>6218</v>
      </c>
      <c r="F843" s="47" t="s">
        <v>5272</v>
      </c>
      <c r="G843" s="47" t="s">
        <v>16</v>
      </c>
      <c r="H843" s="47" t="str">
        <f>IFERROR(VLOOKUP(Table2[[#This Row], [Ticket]],Okey!A:B,2,0),"")</f>
        <v>ok</v>
      </c>
      <c r="I843" s="47" t="s">
        <v>5290</v>
      </c>
      <c r="J843" s="47" t="s">
        <v>17</v>
      </c>
      <c r="K843" s="47" t="s">
        <v>6456</v>
      </c>
      <c r="L843" s="47"/>
      <c r="M843" s="49" t="s">
        <v>4778</v>
      </c>
    </row>
    <row r="844" spans="1:13">
      <c r="A844" s="48">
        <f t="shared" si="13"/>
        <v>843</v>
      </c>
      <c r="B844" s="47" t="s">
        <v>3295</v>
      </c>
      <c r="C844" s="47" t="s">
        <v>6216</v>
      </c>
      <c r="D844" s="47" t="s">
        <v>5284</v>
      </c>
      <c r="E844" s="47" t="s">
        <v>6350</v>
      </c>
      <c r="F844" s="47" t="s">
        <v>5272</v>
      </c>
      <c r="G844" s="47" t="s">
        <v>16</v>
      </c>
      <c r="H844" s="47" t="str">
        <f>IFERROR(VLOOKUP(Table2[[#This Row], [Ticket]],Okey!A:B,2,0),"")</f>
        <v>ok</v>
      </c>
      <c r="I844" s="47" t="s">
        <v>5290</v>
      </c>
      <c r="J844" s="47" t="s">
        <v>17</v>
      </c>
      <c r="K844" s="47" t="s">
        <v>6456</v>
      </c>
      <c r="L844" s="47"/>
      <c r="M844" s="49" t="s">
        <v>4778</v>
      </c>
    </row>
    <row r="845" spans="1:13">
      <c r="A845" s="48">
        <f t="shared" si="13"/>
        <v>844</v>
      </c>
      <c r="B845" s="47" t="s">
        <v>3295</v>
      </c>
      <c r="C845" s="47" t="s">
        <v>6216</v>
      </c>
      <c r="D845" s="47" t="s">
        <v>5278</v>
      </c>
      <c r="E845" s="47" t="s">
        <v>6351</v>
      </c>
      <c r="F845" s="47" t="s">
        <v>5272</v>
      </c>
      <c r="G845" s="47" t="s">
        <v>16</v>
      </c>
      <c r="H845" s="47" t="str">
        <f>IFERROR(VLOOKUP(Table2[[#This Row], [Ticket]],Okey!A:B,2,0),"")</f>
        <v>ok</v>
      </c>
      <c r="I845" s="47" t="s">
        <v>5290</v>
      </c>
      <c r="J845" s="47" t="s">
        <v>17</v>
      </c>
      <c r="K845" s="47" t="s">
        <v>6456</v>
      </c>
      <c r="L845" s="47"/>
      <c r="M845" s="49" t="s">
        <v>4778</v>
      </c>
    </row>
    <row r="846" spans="1:13">
      <c r="A846" s="48">
        <f t="shared" si="13"/>
        <v>845</v>
      </c>
      <c r="B846" s="47" t="s">
        <v>3295</v>
      </c>
      <c r="C846" s="47" t="s">
        <v>6216</v>
      </c>
      <c r="D846" s="47" t="s">
        <v>3694</v>
      </c>
      <c r="E846" s="47"/>
      <c r="F846" s="47" t="s">
        <v>5272</v>
      </c>
      <c r="G846" s="47" t="s">
        <v>13</v>
      </c>
      <c r="H846" s="47" t="str">
        <f>IFERROR(VLOOKUP(Table2[[#This Row], [Ticket]],Okey!A:B,2,0),"")</f>
        <v>ok</v>
      </c>
      <c r="I846" s="47" t="s">
        <v>5290</v>
      </c>
      <c r="J846" s="47" t="s">
        <v>17</v>
      </c>
      <c r="K846" s="47" t="s">
        <v>6456</v>
      </c>
      <c r="L846" s="47"/>
      <c r="M846" s="49" t="s">
        <v>4778</v>
      </c>
    </row>
    <row r="847" spans="1:13">
      <c r="A847" s="48">
        <f t="shared" si="13"/>
        <v>846</v>
      </c>
      <c r="B847" s="47" t="s">
        <v>3295</v>
      </c>
      <c r="C847" s="47" t="s">
        <v>6216</v>
      </c>
      <c r="D847" s="47" t="s">
        <v>5274</v>
      </c>
      <c r="E847" s="47"/>
      <c r="F847" s="47" t="s">
        <v>275</v>
      </c>
      <c r="G847" s="47" t="s">
        <v>12</v>
      </c>
      <c r="H847" s="47" t="str">
        <f>IFERROR(VLOOKUP(Table2[[#This Row], [Ticket]],Okey!A:B,2,0),"")</f>
        <v>ok</v>
      </c>
      <c r="I847" s="47" t="s">
        <v>5290</v>
      </c>
      <c r="J847" s="47" t="s">
        <v>17</v>
      </c>
      <c r="K847" s="47" t="s">
        <v>6456</v>
      </c>
      <c r="L847" s="47"/>
      <c r="M847" s="49" t="s">
        <v>4778</v>
      </c>
    </row>
    <row r="848" spans="1:13">
      <c r="A848" s="48">
        <f t="shared" si="13"/>
        <v>847</v>
      </c>
      <c r="B848" s="47" t="s">
        <v>3295</v>
      </c>
      <c r="C848" s="47" t="s">
        <v>6216</v>
      </c>
      <c r="D848" s="47" t="s">
        <v>5276</v>
      </c>
      <c r="E848" s="47"/>
      <c r="F848" s="47" t="s">
        <v>275</v>
      </c>
      <c r="G848" s="47" t="s">
        <v>12</v>
      </c>
      <c r="H848" s="47" t="str">
        <f>IFERROR(VLOOKUP(Table2[[#This Row], [Ticket]],Okey!A:B,2,0),"")</f>
        <v>ok</v>
      </c>
      <c r="I848" s="47" t="s">
        <v>5290</v>
      </c>
      <c r="J848" s="47" t="s">
        <v>17</v>
      </c>
      <c r="K848" s="47" t="s">
        <v>6456</v>
      </c>
      <c r="L848" s="47"/>
      <c r="M848" s="49" t="s">
        <v>4778</v>
      </c>
    </row>
    <row r="849" spans="1:13">
      <c r="A849" s="48">
        <f t="shared" si="13"/>
        <v>848</v>
      </c>
      <c r="B849" s="47" t="s">
        <v>3295</v>
      </c>
      <c r="C849" s="47" t="s">
        <v>6352</v>
      </c>
      <c r="D849" s="47" t="s">
        <v>6353</v>
      </c>
      <c r="E849" s="47" t="s">
        <v>6339</v>
      </c>
      <c r="F849" s="47" t="s">
        <v>5510</v>
      </c>
      <c r="G849" s="47" t="s">
        <v>14</v>
      </c>
      <c r="H849" s="47" t="str">
        <f>IFERROR(VLOOKUP(Table2[[#This Row], [Ticket]],Okey!A:B,2,0),"")</f>
        <v>ok</v>
      </c>
      <c r="I849" s="47" t="s">
        <v>5290</v>
      </c>
      <c r="J849" s="47" t="s">
        <v>18</v>
      </c>
      <c r="K849" s="47" t="s">
        <v>6396</v>
      </c>
      <c r="L849" s="47"/>
      <c r="M849" s="49" t="s">
        <v>6354</v>
      </c>
    </row>
    <row r="850" spans="1:13">
      <c r="A850" s="48">
        <f t="shared" si="13"/>
        <v>849</v>
      </c>
      <c r="B850" s="47" t="s">
        <v>3295</v>
      </c>
      <c r="C850" s="47" t="s">
        <v>6406</v>
      </c>
      <c r="D850" s="47" t="s">
        <v>6414</v>
      </c>
      <c r="E850" s="47" t="s">
        <v>6458</v>
      </c>
      <c r="F850" s="47" t="s">
        <v>6295</v>
      </c>
      <c r="G850" s="47" t="s">
        <v>14</v>
      </c>
      <c r="H850" s="47" t="str">
        <f>IFERROR(VLOOKUP(Table2[[#This Row], [Ticket]],Okey!A:B,2,0),"")</f>
        <v>ok</v>
      </c>
      <c r="I850" s="47" t="s">
        <v>5290</v>
      </c>
      <c r="J850" s="47" t="s">
        <v>17</v>
      </c>
      <c r="K850" s="47" t="s">
        <v>6396</v>
      </c>
      <c r="L850" s="47"/>
      <c r="M850" s="49" t="s">
        <v>4778</v>
      </c>
    </row>
    <row r="851" spans="1:13">
      <c r="A851" s="48">
        <f t="shared" si="13"/>
        <v>850</v>
      </c>
      <c r="B851" s="47" t="s">
        <v>3295</v>
      </c>
      <c r="C851" s="47" t="s">
        <v>6406</v>
      </c>
      <c r="D851" s="47" t="s">
        <v>6398</v>
      </c>
      <c r="E851" s="47" t="s">
        <v>6458</v>
      </c>
      <c r="F851" s="47" t="s">
        <v>6414</v>
      </c>
      <c r="G851" s="47" t="s">
        <v>14</v>
      </c>
      <c r="H851" s="47" t="str">
        <f>IFERROR(VLOOKUP(Table2[[#This Row], [Ticket]],Okey!A:B,2,0),"")</f>
        <v>ok</v>
      </c>
      <c r="I851" s="47" t="s">
        <v>5290</v>
      </c>
      <c r="J851" s="47" t="s">
        <v>17</v>
      </c>
      <c r="K851" s="47" t="s">
        <v>6396</v>
      </c>
      <c r="L851" s="47"/>
      <c r="M851" s="49" t="s">
        <v>4778</v>
      </c>
    </row>
    <row r="852" spans="1:13">
      <c r="A852" s="48">
        <f t="shared" si="13"/>
        <v>851</v>
      </c>
      <c r="B852" s="47" t="s">
        <v>3295</v>
      </c>
      <c r="C852" s="47" t="s">
        <v>6406</v>
      </c>
      <c r="D852" s="47" t="s">
        <v>6415</v>
      </c>
      <c r="E852" s="47" t="s">
        <v>6399</v>
      </c>
      <c r="F852" s="47" t="s">
        <v>6422</v>
      </c>
      <c r="G852" s="47" t="s">
        <v>14</v>
      </c>
      <c r="H852" s="47" t="str">
        <f>IFERROR(VLOOKUP(Table2[[#This Row], [Ticket]],Okey!A:B,2,0),"")</f>
        <v>ok</v>
      </c>
      <c r="I852" s="47" t="s">
        <v>5290</v>
      </c>
      <c r="J852" s="47" t="s">
        <v>17</v>
      </c>
      <c r="K852" s="47" t="s">
        <v>6396</v>
      </c>
      <c r="L852" s="47"/>
      <c r="M852" s="49" t="s">
        <v>4778</v>
      </c>
    </row>
    <row r="853" spans="1:13">
      <c r="A853" s="48">
        <f t="shared" si="13"/>
        <v>852</v>
      </c>
      <c r="B853" s="47" t="s">
        <v>3295</v>
      </c>
      <c r="C853" s="47" t="s">
        <v>6406</v>
      </c>
      <c r="D853" s="47" t="s">
        <v>6416</v>
      </c>
      <c r="E853" s="47" t="s">
        <v>6400</v>
      </c>
      <c r="F853" s="47" t="s">
        <v>3679</v>
      </c>
      <c r="G853" s="47" t="s">
        <v>14</v>
      </c>
      <c r="H853" s="47" t="str">
        <f>IFERROR(VLOOKUP(Table2[[#This Row], [Ticket]],Okey!A:B,2,0),"")</f>
        <v>ok</v>
      </c>
      <c r="I853" s="47" t="s">
        <v>5290</v>
      </c>
      <c r="J853" s="47" t="s">
        <v>17</v>
      </c>
      <c r="K853" s="47" t="s">
        <v>6396</v>
      </c>
      <c r="L853" s="47"/>
      <c r="M853" s="49" t="s">
        <v>4778</v>
      </c>
    </row>
    <row r="854" spans="1:13">
      <c r="A854" s="48">
        <f t="shared" si="13"/>
        <v>853</v>
      </c>
      <c r="B854" s="47" t="s">
        <v>3295</v>
      </c>
      <c r="C854" s="47" t="s">
        <v>6406</v>
      </c>
      <c r="D854" s="47" t="s">
        <v>6417</v>
      </c>
      <c r="E854" s="47" t="s">
        <v>6401</v>
      </c>
      <c r="F854" s="47" t="s">
        <v>6416</v>
      </c>
      <c r="G854" s="47" t="s">
        <v>14</v>
      </c>
      <c r="H854" s="47" t="str">
        <f>IFERROR(VLOOKUP(Table2[[#This Row], [Ticket]],Okey!A:B,2,0),"")</f>
        <v>ok</v>
      </c>
      <c r="I854" s="47" t="s">
        <v>5290</v>
      </c>
      <c r="J854" s="47" t="s">
        <v>17</v>
      </c>
      <c r="K854" s="47" t="s">
        <v>6396</v>
      </c>
      <c r="L854" s="47"/>
      <c r="M854" s="49" t="s">
        <v>4778</v>
      </c>
    </row>
    <row r="855" spans="1:13">
      <c r="A855" s="48">
        <f t="shared" si="13"/>
        <v>854</v>
      </c>
      <c r="B855" s="47" t="s">
        <v>3295</v>
      </c>
      <c r="C855" s="47" t="s">
        <v>6406</v>
      </c>
      <c r="D855" s="47" t="s">
        <v>6418</v>
      </c>
      <c r="E855" s="47" t="s">
        <v>6402</v>
      </c>
      <c r="F855" s="47" t="s">
        <v>6416</v>
      </c>
      <c r="G855" s="47" t="s">
        <v>14</v>
      </c>
      <c r="H855" s="47" t="str">
        <f>IFERROR(VLOOKUP(Table2[[#This Row], [Ticket]],Okey!A:B,2,0),"")</f>
        <v>ok</v>
      </c>
      <c r="I855" s="47" t="s">
        <v>5290</v>
      </c>
      <c r="J855" s="47" t="s">
        <v>17</v>
      </c>
      <c r="K855" s="47" t="s">
        <v>6396</v>
      </c>
      <c r="L855" s="47"/>
      <c r="M855" s="49" t="s">
        <v>4778</v>
      </c>
    </row>
    <row r="856" spans="1:13">
      <c r="A856" s="48">
        <f t="shared" si="13"/>
        <v>855</v>
      </c>
      <c r="B856" s="47" t="s">
        <v>3295</v>
      </c>
      <c r="C856" s="47" t="s">
        <v>6406</v>
      </c>
      <c r="D856" s="47" t="s">
        <v>6419</v>
      </c>
      <c r="E856" s="47" t="s">
        <v>6403</v>
      </c>
      <c r="F856" s="47" t="s">
        <v>6417</v>
      </c>
      <c r="G856" s="47" t="s">
        <v>14</v>
      </c>
      <c r="H856" s="47" t="str">
        <f>IFERROR(VLOOKUP(Table2[[#This Row], [Ticket]],Okey!A:B,2,0),"")</f>
        <v>ok</v>
      </c>
      <c r="I856" s="47" t="s">
        <v>5290</v>
      </c>
      <c r="J856" s="47" t="s">
        <v>17</v>
      </c>
      <c r="K856" s="47" t="s">
        <v>6396</v>
      </c>
      <c r="L856" s="47"/>
      <c r="M856" s="49" t="s">
        <v>4778</v>
      </c>
    </row>
    <row r="857" spans="1:13">
      <c r="A857" s="48">
        <f t="shared" si="13"/>
        <v>856</v>
      </c>
      <c r="B857" s="47" t="s">
        <v>3295</v>
      </c>
      <c r="C857" s="47" t="s">
        <v>6406</v>
      </c>
      <c r="D857" s="47" t="s">
        <v>6420</v>
      </c>
      <c r="E857" s="47" t="s">
        <v>6404</v>
      </c>
      <c r="F857" s="47" t="s">
        <v>6418</v>
      </c>
      <c r="G857" s="47" t="s">
        <v>14</v>
      </c>
      <c r="H857" s="47" t="str">
        <f>IFERROR(VLOOKUP(Table2[[#This Row], [Ticket]],Okey!A:B,2,0),"")</f>
        <v>ok</v>
      </c>
      <c r="I857" s="47" t="s">
        <v>5290</v>
      </c>
      <c r="J857" s="47" t="s">
        <v>17</v>
      </c>
      <c r="K857" s="47" t="s">
        <v>6396</v>
      </c>
      <c r="L857" s="47"/>
      <c r="M857" s="49" t="s">
        <v>4778</v>
      </c>
    </row>
    <row r="858" spans="1:13">
      <c r="A858" s="48">
        <f t="shared" si="13"/>
        <v>857</v>
      </c>
      <c r="B858" s="47" t="s">
        <v>3295</v>
      </c>
      <c r="C858" s="47" t="s">
        <v>6406</v>
      </c>
      <c r="D858" s="47" t="s">
        <v>6421</v>
      </c>
      <c r="E858" s="47" t="s">
        <v>6405</v>
      </c>
      <c r="F858" s="47" t="s">
        <v>6418</v>
      </c>
      <c r="G858" s="47" t="s">
        <v>14</v>
      </c>
      <c r="H858" s="47" t="str">
        <f>IFERROR(VLOOKUP(Table2[[#This Row], [Ticket]],Okey!A:B,2,0),"")</f>
        <v>ok</v>
      </c>
      <c r="I858" s="47" t="s">
        <v>5290</v>
      </c>
      <c r="J858" s="47" t="s">
        <v>17</v>
      </c>
      <c r="K858" s="47" t="s">
        <v>6396</v>
      </c>
      <c r="L858" s="47"/>
      <c r="M858" s="49" t="s">
        <v>4778</v>
      </c>
    </row>
    <row r="859" spans="1:13">
      <c r="A859" s="48">
        <f t="shared" si="13"/>
        <v>858</v>
      </c>
      <c r="B859" s="47" t="s">
        <v>3295</v>
      </c>
      <c r="C859" s="47" t="s">
        <v>6406</v>
      </c>
      <c r="D859" s="47" t="s">
        <v>4807</v>
      </c>
      <c r="E859" s="47" t="s">
        <v>6407</v>
      </c>
      <c r="F859" s="47"/>
      <c r="G859" s="47" t="s">
        <v>15</v>
      </c>
      <c r="H859" s="47" t="str">
        <f>IFERROR(VLOOKUP(Table2[[#This Row], [Ticket]],Okey!A:B,2,0),"")</f>
        <v>ok</v>
      </c>
      <c r="I859" s="47" t="s">
        <v>5290</v>
      </c>
      <c r="J859" s="47" t="s">
        <v>17</v>
      </c>
      <c r="K859" s="47" t="s">
        <v>6396</v>
      </c>
      <c r="L859" s="47"/>
      <c r="M859" s="49" t="s">
        <v>4778</v>
      </c>
    </row>
    <row r="860" spans="1:13">
      <c r="A860" s="48">
        <f t="shared" si="13"/>
        <v>859</v>
      </c>
      <c r="B860" s="47" t="s">
        <v>3295</v>
      </c>
      <c r="C860" s="47" t="s">
        <v>6406</v>
      </c>
      <c r="D860" s="47" t="s">
        <v>4809</v>
      </c>
      <c r="E860" s="47" t="s">
        <v>6408</v>
      </c>
      <c r="F860" s="47"/>
      <c r="G860" s="47" t="s">
        <v>15</v>
      </c>
      <c r="H860" s="47" t="str">
        <f>IFERROR(VLOOKUP(Table2[[#This Row], [Ticket]],Okey!A:B,2,0),"")</f>
        <v>ok</v>
      </c>
      <c r="I860" s="47" t="s">
        <v>5290</v>
      </c>
      <c r="J860" s="47" t="s">
        <v>17</v>
      </c>
      <c r="K860" s="47" t="s">
        <v>6396</v>
      </c>
      <c r="L860" s="47"/>
      <c r="M860" s="49" t="s">
        <v>4778</v>
      </c>
    </row>
    <row r="861" spans="1:13">
      <c r="A861" s="48">
        <f t="shared" si="13"/>
        <v>860</v>
      </c>
      <c r="B861" s="47" t="s">
        <v>3295</v>
      </c>
      <c r="C861" s="47" t="s">
        <v>6406</v>
      </c>
      <c r="D861" s="47" t="s">
        <v>4811</v>
      </c>
      <c r="E861" s="47" t="s">
        <v>6409</v>
      </c>
      <c r="F861" s="47"/>
      <c r="G861" s="47" t="s">
        <v>15</v>
      </c>
      <c r="H861" s="47" t="str">
        <f>IFERROR(VLOOKUP(Table2[[#This Row], [Ticket]],Okey!A:B,2,0),"")</f>
        <v>ok</v>
      </c>
      <c r="I861" s="47" t="s">
        <v>5290</v>
      </c>
      <c r="J861" s="47" t="s">
        <v>17</v>
      </c>
      <c r="K861" s="47" t="s">
        <v>6396</v>
      </c>
      <c r="L861" s="47"/>
      <c r="M861" s="49" t="s">
        <v>4778</v>
      </c>
    </row>
    <row r="862" spans="1:13">
      <c r="A862" s="48">
        <f t="shared" si="13"/>
        <v>861</v>
      </c>
      <c r="B862" s="47" t="s">
        <v>3295</v>
      </c>
      <c r="C862" s="47" t="s">
        <v>6406</v>
      </c>
      <c r="D862" s="47" t="s">
        <v>4813</v>
      </c>
      <c r="E862" s="47" t="s">
        <v>6410</v>
      </c>
      <c r="F862" s="47"/>
      <c r="G862" s="47" t="s">
        <v>15</v>
      </c>
      <c r="H862" s="47" t="str">
        <f>IFERROR(VLOOKUP(Table2[[#This Row], [Ticket]],Okey!A:B,2,0),"")</f>
        <v>ok</v>
      </c>
      <c r="I862" s="47" t="s">
        <v>5290</v>
      </c>
      <c r="J862" s="47" t="s">
        <v>17</v>
      </c>
      <c r="K862" s="47" t="s">
        <v>6396</v>
      </c>
      <c r="L862" s="47"/>
      <c r="M862" s="49" t="s">
        <v>4778</v>
      </c>
    </row>
    <row r="863" spans="1:13">
      <c r="A863" s="48">
        <f t="shared" si="13"/>
        <v>862</v>
      </c>
      <c r="B863" s="47" t="s">
        <v>3295</v>
      </c>
      <c r="C863" s="47" t="s">
        <v>6406</v>
      </c>
      <c r="D863" s="47" t="s">
        <v>4816</v>
      </c>
      <c r="E863" s="47" t="s">
        <v>6411</v>
      </c>
      <c r="F863" s="47"/>
      <c r="G863" s="47" t="s">
        <v>15</v>
      </c>
      <c r="H863" s="47" t="str">
        <f>IFERROR(VLOOKUP(Table2[[#This Row], [Ticket]],Okey!A:B,2,0),"")</f>
        <v>ok</v>
      </c>
      <c r="I863" s="47" t="s">
        <v>5290</v>
      </c>
      <c r="J863" s="47" t="s">
        <v>17</v>
      </c>
      <c r="K863" s="47" t="s">
        <v>6396</v>
      </c>
      <c r="L863" s="47"/>
      <c r="M863" s="49" t="s">
        <v>4778</v>
      </c>
    </row>
    <row r="864" spans="1:13">
      <c r="A864" s="48">
        <f t="shared" si="13"/>
        <v>863</v>
      </c>
      <c r="B864" s="47" t="s">
        <v>3295</v>
      </c>
      <c r="C864" s="47" t="s">
        <v>6406</v>
      </c>
      <c r="D864" s="47" t="s">
        <v>4818</v>
      </c>
      <c r="E864" s="47" t="s">
        <v>6412</v>
      </c>
      <c r="F864" s="47"/>
      <c r="G864" s="47" t="s">
        <v>15</v>
      </c>
      <c r="H864" s="47" t="str">
        <f>IFERROR(VLOOKUP(Table2[[#This Row], [Ticket]],Okey!A:B,2,0),"")</f>
        <v>ok</v>
      </c>
      <c r="I864" s="47" t="s">
        <v>5290</v>
      </c>
      <c r="J864" s="47" t="s">
        <v>17</v>
      </c>
      <c r="K864" s="47" t="s">
        <v>6396</v>
      </c>
      <c r="L864" s="47"/>
      <c r="M864" s="49" t="s">
        <v>4778</v>
      </c>
    </row>
    <row r="865" spans="1:13">
      <c r="A865" s="48">
        <f t="shared" si="13"/>
        <v>864</v>
      </c>
      <c r="B865" s="47" t="s">
        <v>3295</v>
      </c>
      <c r="C865" s="47" t="s">
        <v>6406</v>
      </c>
      <c r="D865" s="47" t="s">
        <v>4820</v>
      </c>
      <c r="E865" s="47" t="s">
        <v>6413</v>
      </c>
      <c r="F865" s="47"/>
      <c r="G865" s="47" t="s">
        <v>15</v>
      </c>
      <c r="H865" s="47" t="str">
        <f>IFERROR(VLOOKUP(Table2[[#This Row], [Ticket]],Okey!A:B,2,0),"")</f>
        <v>ok</v>
      </c>
      <c r="I865" s="47" t="s">
        <v>5290</v>
      </c>
      <c r="J865" s="47" t="s">
        <v>17</v>
      </c>
      <c r="K865" s="47" t="s">
        <v>6396</v>
      </c>
      <c r="L865" s="47"/>
      <c r="M865" s="49" t="s">
        <v>4778</v>
      </c>
    </row>
    <row r="866" spans="1:13">
      <c r="A866" s="48">
        <f t="shared" si="13"/>
        <v>865</v>
      </c>
      <c r="B866" s="47" t="s">
        <v>3295</v>
      </c>
      <c r="C866" s="47" t="s">
        <v>6406</v>
      </c>
      <c r="D866" s="47" t="s">
        <v>5600</v>
      </c>
      <c r="E866" s="47"/>
      <c r="F866" s="47" t="s">
        <v>6415</v>
      </c>
      <c r="G866" s="47" t="s">
        <v>13</v>
      </c>
      <c r="H866" s="47" t="str">
        <f>IFERROR(VLOOKUP(Table2[[#This Row], [Ticket]],Okey!A:B,2,0),"")</f>
        <v>ok</v>
      </c>
      <c r="I866" s="47" t="s">
        <v>5290</v>
      </c>
      <c r="J866" s="47" t="s">
        <v>17</v>
      </c>
      <c r="K866" s="47" t="s">
        <v>6456</v>
      </c>
      <c r="L866" s="47"/>
      <c r="M866" s="49" t="s">
        <v>4778</v>
      </c>
    </row>
    <row r="867" spans="1:13">
      <c r="A867" s="48">
        <f t="shared" si="13"/>
        <v>866</v>
      </c>
      <c r="B867" s="47" t="s">
        <v>3295</v>
      </c>
      <c r="C867" s="47" t="s">
        <v>6406</v>
      </c>
      <c r="D867" s="47" t="s">
        <v>6423</v>
      </c>
      <c r="E867" s="47"/>
      <c r="F867" s="47" t="s">
        <v>6415</v>
      </c>
      <c r="G867" s="47" t="s">
        <v>13</v>
      </c>
      <c r="H867" s="47" t="str">
        <f>IFERROR(VLOOKUP(Table2[[#This Row], [Ticket]],Okey!A:B,2,0),"")</f>
        <v>ok</v>
      </c>
      <c r="I867" s="47" t="s">
        <v>5290</v>
      </c>
      <c r="J867" s="47" t="s">
        <v>17</v>
      </c>
      <c r="K867" s="47" t="s">
        <v>6456</v>
      </c>
      <c r="L867" s="47"/>
      <c r="M867" s="49" t="s">
        <v>4778</v>
      </c>
    </row>
    <row r="868" spans="1:13">
      <c r="A868" s="48">
        <f t="shared" si="13"/>
        <v>867</v>
      </c>
      <c r="B868" s="47" t="s">
        <v>3295</v>
      </c>
      <c r="C868" s="47" t="s">
        <v>6444</v>
      </c>
      <c r="D868" s="47" t="s">
        <v>6434</v>
      </c>
      <c r="E868" s="47" t="s">
        <v>6424</v>
      </c>
      <c r="F868" s="47" t="s">
        <v>4857</v>
      </c>
      <c r="G868" s="47" t="s">
        <v>14</v>
      </c>
      <c r="H868" s="47" t="str">
        <f>IFERROR(VLOOKUP(Table2[[#This Row], [Ticket]],Okey!A:B,2,0),"")</f>
        <v>ok</v>
      </c>
      <c r="I868" s="47" t="s">
        <v>5290</v>
      </c>
      <c r="J868" s="47" t="e">
        <f>VLOOKUP(Table2[[#This Row], [Author]],People!A:B,2,0)</f>
        <v>#N/A</v>
      </c>
      <c r="K868" s="47" t="s">
        <v>6396</v>
      </c>
      <c r="L868" s="47"/>
      <c r="M868" s="49" t="s">
        <v>6110</v>
      </c>
    </row>
    <row r="869" spans="1:13">
      <c r="A869" s="48">
        <f t="shared" si="13"/>
        <v>868</v>
      </c>
      <c r="B869" s="47" t="s">
        <v>3295</v>
      </c>
      <c r="C869" s="47" t="s">
        <v>6444</v>
      </c>
      <c r="D869" s="47" t="s">
        <v>6435</v>
      </c>
      <c r="E869" s="47" t="s">
        <v>6425</v>
      </c>
      <c r="F869" s="47" t="s">
        <v>6434</v>
      </c>
      <c r="G869" s="47" t="s">
        <v>14</v>
      </c>
      <c r="H869" s="47" t="str">
        <f>IFERROR(VLOOKUP(Table2[[#This Row], [Ticket]],Okey!A:B,2,0),"")</f>
        <v>ok</v>
      </c>
      <c r="I869" s="47" t="s">
        <v>5290</v>
      </c>
      <c r="J869" s="47" t="e">
        <f>VLOOKUP(Table2[[#This Row], [Author]],People!A:B,2,0)</f>
        <v>#N/A</v>
      </c>
      <c r="K869" s="47" t="s">
        <v>6396</v>
      </c>
      <c r="L869" s="47"/>
      <c r="M869" s="49" t="s">
        <v>6110</v>
      </c>
    </row>
    <row r="870" spans="1:13">
      <c r="A870" s="48">
        <f t="shared" si="13"/>
        <v>869</v>
      </c>
      <c r="B870" s="47" t="s">
        <v>3295</v>
      </c>
      <c r="C870" s="47" t="s">
        <v>6444</v>
      </c>
      <c r="D870" s="47" t="s">
        <v>6436</v>
      </c>
      <c r="E870" s="47" t="s">
        <v>6426</v>
      </c>
      <c r="F870" s="47" t="s">
        <v>6434</v>
      </c>
      <c r="G870" s="47" t="s">
        <v>14</v>
      </c>
      <c r="H870" s="47" t="str">
        <f>IFERROR(VLOOKUP(Table2[[#This Row], [Ticket]],Okey!A:B,2,0),"")</f>
        <v>ok</v>
      </c>
      <c r="I870" s="47" t="s">
        <v>5290</v>
      </c>
      <c r="J870" s="47" t="e">
        <f>VLOOKUP(Table2[[#This Row], [Author]],People!A:B,2,0)</f>
        <v>#N/A</v>
      </c>
      <c r="K870" s="47" t="s">
        <v>6396</v>
      </c>
      <c r="L870" s="47"/>
      <c r="M870" s="49" t="s">
        <v>6110</v>
      </c>
    </row>
    <row r="871" spans="1:13">
      <c r="A871" s="48">
        <f t="shared" si="13"/>
        <v>870</v>
      </c>
      <c r="B871" s="47" t="s">
        <v>3295</v>
      </c>
      <c r="C871" s="47" t="s">
        <v>6444</v>
      </c>
      <c r="D871" s="47" t="s">
        <v>6437</v>
      </c>
      <c r="E871" s="47" t="s">
        <v>6427</v>
      </c>
      <c r="F871" s="47" t="s">
        <v>6434</v>
      </c>
      <c r="G871" s="47" t="s">
        <v>14</v>
      </c>
      <c r="H871" s="47" t="str">
        <f>IFERROR(VLOOKUP(Table2[[#This Row], [Ticket]],Okey!A:B,2,0),"")</f>
        <v>ok</v>
      </c>
      <c r="I871" s="47" t="s">
        <v>5290</v>
      </c>
      <c r="J871" s="47" t="e">
        <f>VLOOKUP(Table2[[#This Row], [Author]],People!A:B,2,0)</f>
        <v>#N/A</v>
      </c>
      <c r="K871" s="47" t="s">
        <v>6396</v>
      </c>
      <c r="L871" s="47"/>
      <c r="M871" s="49" t="s">
        <v>6110</v>
      </c>
    </row>
    <row r="872" spans="1:13">
      <c r="A872" s="48">
        <f t="shared" si="13"/>
        <v>871</v>
      </c>
      <c r="B872" s="47" t="s">
        <v>3295</v>
      </c>
      <c r="C872" s="47" t="s">
        <v>6444</v>
      </c>
      <c r="D872" s="47" t="s">
        <v>6438</v>
      </c>
      <c r="E872" s="47" t="s">
        <v>6428</v>
      </c>
      <c r="F872" s="47" t="s">
        <v>4632</v>
      </c>
      <c r="G872" s="47" t="s">
        <v>14</v>
      </c>
      <c r="H872" s="47" t="str">
        <f>IFERROR(VLOOKUP(Table2[[#This Row], [Ticket]],Okey!A:B,2,0),"")</f>
        <v>ok</v>
      </c>
      <c r="I872" s="47" t="s">
        <v>5290</v>
      </c>
      <c r="J872" s="47" t="e">
        <f>VLOOKUP(Table2[[#This Row], [Author]],People!A:B,2,0)</f>
        <v>#N/A</v>
      </c>
      <c r="K872" s="47" t="s">
        <v>6396</v>
      </c>
      <c r="L872" s="47"/>
      <c r="M872" s="49" t="s">
        <v>6110</v>
      </c>
    </row>
    <row r="873" spans="1:13">
      <c r="A873" s="48">
        <f t="shared" si="13"/>
        <v>872</v>
      </c>
      <c r="B873" s="47" t="s">
        <v>3295</v>
      </c>
      <c r="C873" s="47" t="s">
        <v>6444</v>
      </c>
      <c r="D873" s="47" t="s">
        <v>6439</v>
      </c>
      <c r="E873" s="47" t="s">
        <v>6429</v>
      </c>
      <c r="F873" s="47" t="s">
        <v>4632</v>
      </c>
      <c r="G873" s="47" t="s">
        <v>14</v>
      </c>
      <c r="H873" s="47" t="str">
        <f>IFERROR(VLOOKUP(Table2[[#This Row], [Ticket]],Okey!A:B,2,0),"")</f>
        <v>ok</v>
      </c>
      <c r="I873" s="47" t="s">
        <v>5290</v>
      </c>
      <c r="J873" s="47" t="e">
        <f>VLOOKUP(Table2[[#This Row], [Author]],People!A:B,2,0)</f>
        <v>#N/A</v>
      </c>
      <c r="K873" s="47" t="s">
        <v>6396</v>
      </c>
      <c r="L873" s="47"/>
      <c r="M873" s="49" t="s">
        <v>6110</v>
      </c>
    </row>
    <row r="874" spans="1:13">
      <c r="A874" s="48">
        <f t="shared" si="13"/>
        <v>873</v>
      </c>
      <c r="B874" s="47" t="s">
        <v>3295</v>
      </c>
      <c r="C874" s="47" t="s">
        <v>6444</v>
      </c>
      <c r="D874" s="47" t="s">
        <v>6440</v>
      </c>
      <c r="E874" s="47" t="s">
        <v>6430</v>
      </c>
      <c r="F874" s="47" t="s">
        <v>4632</v>
      </c>
      <c r="G874" s="47" t="s">
        <v>14</v>
      </c>
      <c r="H874" s="47" t="str">
        <f>IFERROR(VLOOKUP(Table2[[#This Row], [Ticket]],Okey!A:B,2,0),"")</f>
        <v>ok</v>
      </c>
      <c r="I874" s="47" t="s">
        <v>5290</v>
      </c>
      <c r="J874" s="47" t="e">
        <f>VLOOKUP(Table2[[#This Row], [Author]],People!A:B,2,0)</f>
        <v>#N/A</v>
      </c>
      <c r="K874" s="47" t="s">
        <v>6396</v>
      </c>
      <c r="L874" s="47"/>
      <c r="M874" s="49" t="s">
        <v>6110</v>
      </c>
    </row>
    <row r="875" spans="1:13">
      <c r="A875" s="48">
        <f t="shared" si="13"/>
        <v>874</v>
      </c>
      <c r="B875" s="47" t="s">
        <v>3295</v>
      </c>
      <c r="C875" s="47" t="s">
        <v>6444</v>
      </c>
      <c r="D875" s="47" t="s">
        <v>6441</v>
      </c>
      <c r="E875" s="47" t="s">
        <v>6431</v>
      </c>
      <c r="F875" s="47" t="s">
        <v>4632</v>
      </c>
      <c r="G875" s="47" t="s">
        <v>14</v>
      </c>
      <c r="H875" s="47" t="str">
        <f>IFERROR(VLOOKUP(Table2[[#This Row], [Ticket]],Okey!A:B,2,0),"")</f>
        <v>ok</v>
      </c>
      <c r="I875" s="47" t="s">
        <v>5290</v>
      </c>
      <c r="J875" s="47" t="e">
        <f>VLOOKUP(Table2[[#This Row], [Author]],People!A:B,2,0)</f>
        <v>#N/A</v>
      </c>
      <c r="K875" s="47" t="s">
        <v>6396</v>
      </c>
      <c r="L875" s="47"/>
      <c r="M875" s="49" t="s">
        <v>6110</v>
      </c>
    </row>
    <row r="876" spans="1:13">
      <c r="A876" s="48">
        <f t="shared" si="13"/>
        <v>875</v>
      </c>
      <c r="B876" s="47" t="s">
        <v>3295</v>
      </c>
      <c r="C876" s="47" t="s">
        <v>6444</v>
      </c>
      <c r="D876" s="47" t="s">
        <v>6442</v>
      </c>
      <c r="E876" s="47" t="s">
        <v>6432</v>
      </c>
      <c r="F876" s="47" t="s">
        <v>6439</v>
      </c>
      <c r="G876" s="47" t="s">
        <v>14</v>
      </c>
      <c r="H876" s="47" t="str">
        <f>IFERROR(VLOOKUP(Table2[[#This Row], [Ticket]],Okey!A:B,2,0),"")</f>
        <v>ok</v>
      </c>
      <c r="I876" s="47" t="s">
        <v>5290</v>
      </c>
      <c r="J876" s="47" t="e">
        <f>VLOOKUP(Table2[[#This Row], [Author]],People!A:B,2,0)</f>
        <v>#N/A</v>
      </c>
      <c r="K876" s="47" t="s">
        <v>6396</v>
      </c>
      <c r="L876" s="47"/>
      <c r="M876" s="49" t="s">
        <v>6110</v>
      </c>
    </row>
    <row r="877" spans="1:13">
      <c r="A877" s="48">
        <f t="shared" si="13"/>
        <v>876</v>
      </c>
      <c r="B877" s="47" t="s">
        <v>3295</v>
      </c>
      <c r="C877" s="47" t="s">
        <v>6444</v>
      </c>
      <c r="D877" s="47" t="s">
        <v>6443</v>
      </c>
      <c r="E877" s="47" t="s">
        <v>6433</v>
      </c>
      <c r="F877" s="47" t="s">
        <v>6439</v>
      </c>
      <c r="G877" s="47" t="s">
        <v>14</v>
      </c>
      <c r="H877" s="47" t="str">
        <f>IFERROR(VLOOKUP(Table2[[#This Row], [Ticket]],Okey!A:B,2,0),"")</f>
        <v>ok</v>
      </c>
      <c r="I877" s="47" t="s">
        <v>5290</v>
      </c>
      <c r="J877" s="47" t="e">
        <f>VLOOKUP(Table2[[#This Row], [Author]],People!A:B,2,0)</f>
        <v>#N/A</v>
      </c>
      <c r="K877" s="47" t="s">
        <v>6396</v>
      </c>
      <c r="L877" s="47"/>
      <c r="M877" s="49" t="s">
        <v>6110</v>
      </c>
    </row>
    <row r="878" spans="1:13">
      <c r="A878" s="48">
        <f t="shared" si="13"/>
        <v>877</v>
      </c>
      <c r="B878" s="47" t="s">
        <v>3295</v>
      </c>
      <c r="C878" s="47" t="s">
        <v>6444</v>
      </c>
      <c r="D878" s="47" t="s">
        <v>2305</v>
      </c>
      <c r="E878" s="47" t="s">
        <v>6445</v>
      </c>
      <c r="F878" s="47"/>
      <c r="G878" s="47" t="s">
        <v>15</v>
      </c>
      <c r="H878" s="47" t="str">
        <f>IFERROR(VLOOKUP(Table2[[#This Row], [Ticket]],Okey!A:B,2,0),"")</f>
        <v>ok</v>
      </c>
      <c r="I878" s="47" t="s">
        <v>5290</v>
      </c>
      <c r="J878" s="47" t="e">
        <f>VLOOKUP(Table2[[#This Row], [Author]],People!A:B,2,0)</f>
        <v>#N/A</v>
      </c>
      <c r="K878" s="47" t="s">
        <v>6455</v>
      </c>
      <c r="L878" s="47"/>
      <c r="M878" s="49" t="s">
        <v>6110</v>
      </c>
    </row>
    <row r="879" spans="1:13">
      <c r="A879" s="48">
        <f t="shared" si="13"/>
        <v>878</v>
      </c>
      <c r="B879" s="47" t="s">
        <v>3295</v>
      </c>
      <c r="C879" s="47" t="s">
        <v>6444</v>
      </c>
      <c r="D879" s="47" t="s">
        <v>2223</v>
      </c>
      <c r="E879" s="47" t="s">
        <v>6446</v>
      </c>
      <c r="F879" s="47"/>
      <c r="G879" s="47" t="s">
        <v>15</v>
      </c>
      <c r="H879" s="47" t="str">
        <f>IFERROR(VLOOKUP(Table2[[#This Row], [Ticket]],Okey!A:B,2,0),"")</f>
        <v>ok</v>
      </c>
      <c r="I879" s="47" t="s">
        <v>5290</v>
      </c>
      <c r="J879" s="47" t="e">
        <f>VLOOKUP(Table2[[#This Row], [Author]],People!A:B,2,0)</f>
        <v>#N/A</v>
      </c>
      <c r="K879" s="47" t="s">
        <v>6455</v>
      </c>
      <c r="L879" s="47"/>
      <c r="M879" s="49" t="s">
        <v>6110</v>
      </c>
    </row>
    <row r="880" spans="1:13">
      <c r="A880" s="48">
        <f t="shared" si="13"/>
        <v>879</v>
      </c>
      <c r="B880" s="47" t="s">
        <v>3295</v>
      </c>
      <c r="C880" s="47" t="s">
        <v>6444</v>
      </c>
      <c r="D880" s="47" t="s">
        <v>6447</v>
      </c>
      <c r="E880" s="47" t="s">
        <v>6448</v>
      </c>
      <c r="F880" s="47"/>
      <c r="G880" s="47" t="s">
        <v>15</v>
      </c>
      <c r="H880" s="47" t="str">
        <f>IFERROR(VLOOKUP(Table2[[#This Row], [Ticket]],Okey!A:B,2,0),"")</f>
        <v>ok</v>
      </c>
      <c r="I880" s="47" t="s">
        <v>5290</v>
      </c>
      <c r="J880" s="47" t="e">
        <f>VLOOKUP(Table2[[#This Row], [Author]],People!A:B,2,0)</f>
        <v>#N/A</v>
      </c>
      <c r="K880" s="47" t="s">
        <v>6455</v>
      </c>
      <c r="L880" s="47"/>
      <c r="M880" s="49" t="s">
        <v>6110</v>
      </c>
    </row>
    <row r="881" spans="1:13">
      <c r="A881" s="48">
        <f t="shared" si="13"/>
        <v>880</v>
      </c>
      <c r="B881" s="47" t="s">
        <v>3295</v>
      </c>
      <c r="C881" s="47" t="s">
        <v>6444</v>
      </c>
      <c r="D881" s="47" t="s">
        <v>5937</v>
      </c>
      <c r="E881" s="47" t="s">
        <v>6449</v>
      </c>
      <c r="F881" s="47"/>
      <c r="G881" s="47" t="s">
        <v>15</v>
      </c>
      <c r="H881" s="47" t="str">
        <f>IFERROR(VLOOKUP(Table2[[#This Row], [Ticket]],Okey!A:B,2,0),"")</f>
        <v>ok</v>
      </c>
      <c r="I881" s="47" t="s">
        <v>5290</v>
      </c>
      <c r="J881" s="47" t="e">
        <f>VLOOKUP(Table2[[#This Row], [Author]],People!A:B,2,0)</f>
        <v>#N/A</v>
      </c>
      <c r="K881" s="47" t="s">
        <v>6455</v>
      </c>
      <c r="L881" s="47"/>
      <c r="M881" s="49" t="s">
        <v>6110</v>
      </c>
    </row>
    <row r="882" spans="1:13">
      <c r="A882" s="48">
        <f t="shared" si="13"/>
        <v>881</v>
      </c>
      <c r="B882" s="47" t="s">
        <v>3295</v>
      </c>
      <c r="C882" s="47" t="s">
        <v>6444</v>
      </c>
      <c r="D882" s="47" t="s">
        <v>2558</v>
      </c>
      <c r="E882" s="47" t="s">
        <v>6450</v>
      </c>
      <c r="F882" s="47"/>
      <c r="G882" s="47" t="s">
        <v>15</v>
      </c>
      <c r="H882" s="47" t="str">
        <f>IFERROR(VLOOKUP(Table2[[#This Row], [Ticket]],Okey!A:B,2,0),"")</f>
        <v>ok</v>
      </c>
      <c r="I882" s="47" t="s">
        <v>5290</v>
      </c>
      <c r="J882" s="47" t="e">
        <f>VLOOKUP(Table2[[#This Row], [Author]],People!A:B,2,0)</f>
        <v>#N/A</v>
      </c>
      <c r="K882" s="47" t="s">
        <v>6455</v>
      </c>
      <c r="L882" s="47"/>
      <c r="M882" s="49" t="s">
        <v>6110</v>
      </c>
    </row>
    <row r="883" spans="1:13">
      <c r="A883" s="48">
        <f t="shared" si="13"/>
        <v>882</v>
      </c>
      <c r="B883" s="47" t="s">
        <v>3295</v>
      </c>
      <c r="C883" s="47" t="s">
        <v>6444</v>
      </c>
      <c r="D883" s="47" t="s">
        <v>2418</v>
      </c>
      <c r="E883" s="47" t="s">
        <v>6451</v>
      </c>
      <c r="F883" s="47"/>
      <c r="G883" s="47" t="s">
        <v>15</v>
      </c>
      <c r="H883" s="47" t="str">
        <f>IFERROR(VLOOKUP(Table2[[#This Row], [Ticket]],Okey!A:B,2,0),"")</f>
        <v>ok</v>
      </c>
      <c r="I883" s="47" t="s">
        <v>5290</v>
      </c>
      <c r="J883" s="47" t="e">
        <f>VLOOKUP(Table2[[#This Row], [Author]],People!A:B,2,0)</f>
        <v>#N/A</v>
      </c>
      <c r="K883" s="47" t="s">
        <v>6455</v>
      </c>
      <c r="L883" s="47"/>
      <c r="M883" s="49" t="s">
        <v>6110</v>
      </c>
    </row>
    <row r="884" spans="1:13">
      <c r="A884" s="48">
        <f t="shared" si="13"/>
        <v>883</v>
      </c>
      <c r="B884" s="47" t="s">
        <v>3295</v>
      </c>
      <c r="C884" s="47" t="s">
        <v>6444</v>
      </c>
      <c r="D884" s="47" t="s">
        <v>2312</v>
      </c>
      <c r="E884" s="47" t="s">
        <v>6452</v>
      </c>
      <c r="F884" s="47"/>
      <c r="G884" s="47" t="s">
        <v>15</v>
      </c>
      <c r="H884" s="47" t="str">
        <f>IFERROR(VLOOKUP(Table2[[#This Row], [Ticket]],Okey!A:B,2,0),"")</f>
        <v>ok</v>
      </c>
      <c r="I884" s="47" t="s">
        <v>5290</v>
      </c>
      <c r="J884" s="47" t="e">
        <f>VLOOKUP(Table2[[#This Row], [Author]],People!A:B,2,0)</f>
        <v>#N/A</v>
      </c>
      <c r="K884" s="47" t="s">
        <v>6455</v>
      </c>
      <c r="L884" s="47"/>
      <c r="M884" s="49" t="s">
        <v>6110</v>
      </c>
    </row>
    <row r="885" spans="1:13">
      <c r="A885" s="48">
        <f t="shared" si="13"/>
        <v>884</v>
      </c>
      <c r="B885" s="47" t="s">
        <v>3295</v>
      </c>
      <c r="C885" s="47" t="s">
        <v>6444</v>
      </c>
      <c r="D885" s="47" t="s">
        <v>4919</v>
      </c>
      <c r="E885" s="47" t="s">
        <v>6453</v>
      </c>
      <c r="F885" s="47"/>
      <c r="G885" s="47" t="s">
        <v>15</v>
      </c>
      <c r="H885" s="47" t="str">
        <f>IFERROR(VLOOKUP(Table2[[#This Row], [Ticket]],Okey!A:B,2,0),"")</f>
        <v>ok</v>
      </c>
      <c r="I885" s="47" t="s">
        <v>5290</v>
      </c>
      <c r="J885" s="47" t="e">
        <f>VLOOKUP(Table2[[#This Row], [Author]],People!A:B,2,0)</f>
        <v>#N/A</v>
      </c>
      <c r="K885" s="47" t="s">
        <v>6455</v>
      </c>
      <c r="L885" s="47"/>
      <c r="M885" s="49" t="s">
        <v>6110</v>
      </c>
    </row>
    <row r="886" spans="1:13">
      <c r="A886" s="48">
        <f t="shared" si="13"/>
        <v>885</v>
      </c>
      <c r="B886" s="47" t="s">
        <v>3295</v>
      </c>
      <c r="C886" s="47" t="s">
        <v>6444</v>
      </c>
      <c r="D886" s="47" t="s">
        <v>4918</v>
      </c>
      <c r="E886" s="47" t="s">
        <v>6454</v>
      </c>
      <c r="F886" s="47"/>
      <c r="G886" s="47" t="s">
        <v>15</v>
      </c>
      <c r="H886" s="47" t="str">
        <f>IFERROR(VLOOKUP(Table2[[#This Row], [Ticket]],Okey!A:B,2,0),"")</f>
        <v>ok</v>
      </c>
      <c r="I886" s="47" t="s">
        <v>5290</v>
      </c>
      <c r="J886" s="47" t="e">
        <f>VLOOKUP(Table2[[#This Row], [Author]],People!A:B,2,0)</f>
        <v>#N/A</v>
      </c>
      <c r="K886" s="47" t="s">
        <v>6455</v>
      </c>
      <c r="L886" s="47"/>
      <c r="M886" s="49" t="s">
        <v>6110</v>
      </c>
    </row>
    <row r="887" spans="1:13">
      <c r="A887" s="48">
        <f t="shared" si="13"/>
        <v>886</v>
      </c>
      <c r="B887" s="47" t="s">
        <v>3295</v>
      </c>
      <c r="C887" s="47" t="s">
        <v>6457</v>
      </c>
      <c r="D887" s="47" t="s">
        <v>6414</v>
      </c>
      <c r="E887" s="47" t="s">
        <v>6458</v>
      </c>
      <c r="F887" s="47"/>
      <c r="G887" s="47" t="s">
        <v>15</v>
      </c>
      <c r="H887" s="47" t="str">
        <f>IFERROR(VLOOKUP(Table2[[#This Row], [Ticket]],Okey!A:B,2,0),"")</f>
        <v>ok</v>
      </c>
      <c r="I887" s="47" t="s">
        <v>5290</v>
      </c>
      <c r="J887" s="47" t="e">
        <f>VLOOKUP(Table2[[#This Row], [Author]],People!A:B,2,0)</f>
        <v>#N/A</v>
      </c>
      <c r="K887" s="47" t="s">
        <v>6397</v>
      </c>
      <c r="L887" s="47"/>
      <c r="M887" s="49" t="s">
        <v>4778</v>
      </c>
    </row>
    <row r="888" spans="1:13">
      <c r="A888" s="48">
        <f t="shared" si="13"/>
        <v>887</v>
      </c>
      <c r="B888" s="47" t="s">
        <v>3295</v>
      </c>
      <c r="C888" s="47" t="s">
        <v>6457</v>
      </c>
      <c r="D888" s="47" t="s">
        <v>6398</v>
      </c>
      <c r="E888" s="47" t="s">
        <v>6458</v>
      </c>
      <c r="F888" s="47"/>
      <c r="G888" s="47" t="s">
        <v>15</v>
      </c>
      <c r="H888" s="47" t="str">
        <f>IFERROR(VLOOKUP(Table2[[#This Row], [Ticket]],Okey!A:B,2,0),"")</f>
        <v>ok</v>
      </c>
      <c r="I888" s="47" t="s">
        <v>5290</v>
      </c>
      <c r="J888" s="47" t="e">
        <f>VLOOKUP(Table2[[#This Row], [Author]],People!A:B,2,0)</f>
        <v>#N/A</v>
      </c>
      <c r="K888" s="47" t="s">
        <v>6397</v>
      </c>
      <c r="L888" s="47"/>
      <c r="M888" s="49" t="s">
        <v>4778</v>
      </c>
    </row>
    <row r="889" spans="1:13">
      <c r="A889" s="48">
        <f t="shared" si="13"/>
        <v>888</v>
      </c>
      <c r="B889" s="47" t="s">
        <v>3295</v>
      </c>
      <c r="C889" s="47" t="s">
        <v>6459</v>
      </c>
      <c r="D889" s="47" t="s">
        <v>6548</v>
      </c>
      <c r="E889" s="47" t="s">
        <v>6460</v>
      </c>
      <c r="F889" s="47" t="s">
        <v>1344</v>
      </c>
      <c r="G889" s="47" t="s">
        <v>14</v>
      </c>
      <c r="H889" s="47" t="str">
        <f>IFERROR(VLOOKUP(Table2[[#This Row], [Ticket]],Okey!A:B,2,0),"")</f>
        <v>ok</v>
      </c>
      <c r="I889" s="47" t="s">
        <v>5290</v>
      </c>
      <c r="J889" s="47" t="e">
        <f>VLOOKUP(Table2[[#This Row], [Author]],People!A:B,2,0)</f>
        <v>#N/A</v>
      </c>
      <c r="K889" s="47" t="s">
        <v>6396</v>
      </c>
      <c r="L889" s="47"/>
      <c r="M889" s="49" t="s">
        <v>4799</v>
      </c>
    </row>
    <row r="890" spans="1:13">
      <c r="A890" s="48">
        <f t="shared" si="13"/>
        <v>889</v>
      </c>
      <c r="B890" s="47" t="s">
        <v>3295</v>
      </c>
      <c r="C890" s="47" t="s">
        <v>6459</v>
      </c>
      <c r="D890" s="47" t="s">
        <v>6549</v>
      </c>
      <c r="E890" s="47" t="s">
        <v>6461</v>
      </c>
      <c r="F890" s="47" t="s">
        <v>1344</v>
      </c>
      <c r="G890" s="47" t="s">
        <v>14</v>
      </c>
      <c r="H890" s="47" t="str">
        <f>IFERROR(VLOOKUP(Table2[[#This Row], [Ticket]],Okey!A:B,2,0),"")</f>
        <v>ok</v>
      </c>
      <c r="I890" s="47" t="s">
        <v>5290</v>
      </c>
      <c r="J890" s="47" t="e">
        <f>VLOOKUP(Table2[[#This Row], [Author]],People!A:B,2,0)</f>
        <v>#N/A</v>
      </c>
      <c r="K890" s="47" t="s">
        <v>6396</v>
      </c>
      <c r="L890" s="47"/>
      <c r="M890" s="49" t="s">
        <v>4799</v>
      </c>
    </row>
    <row r="891" spans="1:13">
      <c r="A891" s="48">
        <f t="shared" si="13"/>
        <v>890</v>
      </c>
      <c r="B891" s="47" t="s">
        <v>3295</v>
      </c>
      <c r="C891" s="47" t="s">
        <v>6459</v>
      </c>
      <c r="D891" s="47" t="s">
        <v>6550</v>
      </c>
      <c r="E891" s="47" t="s">
        <v>6462</v>
      </c>
      <c r="F891" s="47" t="s">
        <v>1340</v>
      </c>
      <c r="G891" s="47" t="s">
        <v>14</v>
      </c>
      <c r="H891" s="47" t="str">
        <f>IFERROR(VLOOKUP(Table2[[#This Row], [Ticket]],Okey!A:B,2,0),"")</f>
        <v>ok</v>
      </c>
      <c r="I891" s="47" t="s">
        <v>5290</v>
      </c>
      <c r="J891" s="47" t="e">
        <f>VLOOKUP(Table2[[#This Row], [Author]],People!A:B,2,0)</f>
        <v>#N/A</v>
      </c>
      <c r="K891" s="47" t="s">
        <v>6396</v>
      </c>
      <c r="L891" s="47"/>
      <c r="M891" s="49" t="s">
        <v>4799</v>
      </c>
    </row>
    <row r="892" spans="1:13">
      <c r="A892" s="48">
        <f t="shared" si="13"/>
        <v>891</v>
      </c>
      <c r="B892" s="47" t="s">
        <v>3295</v>
      </c>
      <c r="C892" s="47" t="s">
        <v>6459</v>
      </c>
      <c r="D892" s="47" t="s">
        <v>6551</v>
      </c>
      <c r="E892" s="47" t="s">
        <v>6463</v>
      </c>
      <c r="F892" s="47" t="s">
        <v>1340</v>
      </c>
      <c r="G892" s="47" t="s">
        <v>14</v>
      </c>
      <c r="H892" s="47" t="str">
        <f>IFERROR(VLOOKUP(Table2[[#This Row], [Ticket]],Okey!A:B,2,0),"")</f>
        <v>ok</v>
      </c>
      <c r="I892" s="47" t="s">
        <v>5290</v>
      </c>
      <c r="J892" s="47" t="e">
        <f>VLOOKUP(Table2[[#This Row], [Author]],People!A:B,2,0)</f>
        <v>#N/A</v>
      </c>
      <c r="K892" s="47" t="s">
        <v>6396</v>
      </c>
      <c r="L892" s="47"/>
      <c r="M892" s="49" t="s">
        <v>4799</v>
      </c>
    </row>
    <row r="893" spans="1:13">
      <c r="A893" s="48">
        <f t="shared" si="13"/>
        <v>892</v>
      </c>
      <c r="B893" s="47" t="s">
        <v>3295</v>
      </c>
      <c r="C893" s="47" t="s">
        <v>6459</v>
      </c>
      <c r="D893" s="47" t="s">
        <v>6552</v>
      </c>
      <c r="E893" s="47" t="s">
        <v>5481</v>
      </c>
      <c r="F893" s="47" t="s">
        <v>1346</v>
      </c>
      <c r="G893" s="47" t="s">
        <v>14</v>
      </c>
      <c r="H893" s="47" t="str">
        <f>IFERROR(VLOOKUP(Table2[[#This Row], [Ticket]],Okey!A:B,2,0),"")</f>
        <v>ok</v>
      </c>
      <c r="I893" s="47" t="s">
        <v>5290</v>
      </c>
      <c r="J893" s="47" t="e">
        <f>VLOOKUP(Table2[[#This Row], [Author]],People!A:B,2,0)</f>
        <v>#N/A</v>
      </c>
      <c r="K893" s="47" t="s">
        <v>6396</v>
      </c>
      <c r="L893" s="47"/>
      <c r="M893" s="49" t="s">
        <v>4799</v>
      </c>
    </row>
    <row r="894" spans="1:13">
      <c r="A894" s="48">
        <f t="shared" si="13"/>
        <v>893</v>
      </c>
      <c r="B894" s="47" t="s">
        <v>3295</v>
      </c>
      <c r="C894" s="47" t="s">
        <v>6459</v>
      </c>
      <c r="D894" s="47" t="s">
        <v>6553</v>
      </c>
      <c r="E894" s="47" t="s">
        <v>6464</v>
      </c>
      <c r="F894" s="47" t="s">
        <v>3956</v>
      </c>
      <c r="G894" s="47" t="s">
        <v>14</v>
      </c>
      <c r="H894" s="47" t="str">
        <f>IFERROR(VLOOKUP(Table2[[#This Row], [Ticket]],Okey!A:B,2,0),"")</f>
        <v>ok</v>
      </c>
      <c r="I894" s="47" t="s">
        <v>5290</v>
      </c>
      <c r="J894" s="47" t="e">
        <f>VLOOKUP(Table2[[#This Row], [Author]],People!A:B,2,0)</f>
        <v>#N/A</v>
      </c>
      <c r="K894" s="47" t="s">
        <v>6396</v>
      </c>
      <c r="L894" s="47"/>
      <c r="M894" s="49" t="s">
        <v>4799</v>
      </c>
    </row>
    <row r="895" spans="1:13">
      <c r="A895" s="48">
        <f t="shared" si="13"/>
        <v>894</v>
      </c>
      <c r="B895" s="47" t="s">
        <v>3295</v>
      </c>
      <c r="C895" s="47" t="s">
        <v>6459</v>
      </c>
      <c r="D895" s="47" t="s">
        <v>6554</v>
      </c>
      <c r="E895" s="47" t="s">
        <v>6465</v>
      </c>
      <c r="F895" s="47" t="s">
        <v>4828</v>
      </c>
      <c r="G895" s="47" t="s">
        <v>14</v>
      </c>
      <c r="H895" s="47" t="str">
        <f>IFERROR(VLOOKUP(Table2[[#This Row], [Ticket]],Okey!A:B,2,0),"")</f>
        <v>ok</v>
      </c>
      <c r="I895" s="47" t="s">
        <v>5290</v>
      </c>
      <c r="J895" s="47" t="e">
        <f>VLOOKUP(Table2[[#This Row], [Author]],People!A:B,2,0)</f>
        <v>#N/A</v>
      </c>
      <c r="K895" s="47" t="s">
        <v>6396</v>
      </c>
      <c r="L895" s="47"/>
      <c r="M895" s="49" t="s">
        <v>4799</v>
      </c>
    </row>
    <row r="896" spans="1:13">
      <c r="A896" s="48">
        <f t="shared" si="13"/>
        <v>895</v>
      </c>
      <c r="B896" s="47" t="s">
        <v>3295</v>
      </c>
      <c r="C896" s="47" t="s">
        <v>6459</v>
      </c>
      <c r="D896" s="47" t="s">
        <v>6555</v>
      </c>
      <c r="E896" s="47" t="s">
        <v>6466</v>
      </c>
      <c r="F896" s="47" t="s">
        <v>4828</v>
      </c>
      <c r="G896" s="47" t="s">
        <v>14</v>
      </c>
      <c r="H896" s="47" t="str">
        <f>IFERROR(VLOOKUP(Table2[[#This Row], [Ticket]],Okey!A:B,2,0),"")</f>
        <v>ok</v>
      </c>
      <c r="I896" s="47" t="s">
        <v>5290</v>
      </c>
      <c r="J896" s="47" t="e">
        <f>VLOOKUP(Table2[[#This Row], [Author]],People!A:B,2,0)</f>
        <v>#N/A</v>
      </c>
      <c r="K896" s="47" t="s">
        <v>6396</v>
      </c>
      <c r="L896" s="47"/>
      <c r="M896" s="49" t="s">
        <v>4799</v>
      </c>
    </row>
    <row r="897" spans="1:13">
      <c r="A897" s="48">
        <f t="shared" si="13"/>
        <v>896</v>
      </c>
      <c r="B897" s="47" t="s">
        <v>3295</v>
      </c>
      <c r="C897" s="47" t="s">
        <v>6459</v>
      </c>
      <c r="D897" s="47" t="s">
        <v>6556</v>
      </c>
      <c r="E897" s="47" t="s">
        <v>6467</v>
      </c>
      <c r="F897" s="47" t="s">
        <v>6555</v>
      </c>
      <c r="G897" s="47" t="s">
        <v>14</v>
      </c>
      <c r="H897" s="47" t="str">
        <f>IFERROR(VLOOKUP(Table2[[#This Row], [Ticket]],Okey!A:B,2,0),"")</f>
        <v>ok</v>
      </c>
      <c r="I897" s="47" t="s">
        <v>5290</v>
      </c>
      <c r="J897" s="47" t="e">
        <f>VLOOKUP(Table2[[#This Row], [Author]],People!A:B,2,0)</f>
        <v>#N/A</v>
      </c>
      <c r="K897" s="47" t="s">
        <v>6396</v>
      </c>
      <c r="L897" s="47"/>
      <c r="M897" s="49" t="s">
        <v>4799</v>
      </c>
    </row>
    <row r="898" spans="1:13">
      <c r="A898" s="48">
        <f t="shared" si="13"/>
        <v>897</v>
      </c>
      <c r="B898" s="47" t="s">
        <v>3295</v>
      </c>
      <c r="C898" s="47" t="s">
        <v>6459</v>
      </c>
      <c r="D898" s="47" t="s">
        <v>6557</v>
      </c>
      <c r="E898" s="47" t="s">
        <v>6468</v>
      </c>
      <c r="F898" s="47" t="s">
        <v>956</v>
      </c>
      <c r="G898" s="47" t="s">
        <v>14</v>
      </c>
      <c r="H898" s="47" t="str">
        <f>IFERROR(VLOOKUP(Table2[[#This Row], [Ticket]],Okey!A:B,2,0),"")</f>
        <v>ok</v>
      </c>
      <c r="I898" s="47" t="s">
        <v>5290</v>
      </c>
      <c r="J898" s="47" t="e">
        <f>VLOOKUP(Table2[[#This Row], [Author]],People!A:B,2,0)</f>
        <v>#N/A</v>
      </c>
      <c r="K898" s="47" t="s">
        <v>6396</v>
      </c>
      <c r="L898" s="47"/>
      <c r="M898" s="49" t="s">
        <v>4799</v>
      </c>
    </row>
    <row r="899" spans="1:13">
      <c r="A899" s="48">
        <f t="shared" ref="A899:A962" si="14">1+A898</f>
        <v>898</v>
      </c>
      <c r="B899" s="47" t="s">
        <v>3295</v>
      </c>
      <c r="C899" s="47" t="s">
        <v>6459</v>
      </c>
      <c r="D899" s="47" t="s">
        <v>6558</v>
      </c>
      <c r="E899" s="47" t="s">
        <v>6469</v>
      </c>
      <c r="F899" s="47" t="s">
        <v>953</v>
      </c>
      <c r="G899" s="47" t="s">
        <v>14</v>
      </c>
      <c r="H899" s="47" t="str">
        <f>IFERROR(VLOOKUP(Table2[[#This Row], [Ticket]],Okey!A:B,2,0),"")</f>
        <v>ok</v>
      </c>
      <c r="I899" s="47" t="s">
        <v>5290</v>
      </c>
      <c r="J899" s="47" t="e">
        <f>VLOOKUP(Table2[[#This Row], [Author]],People!A:B,2,0)</f>
        <v>#N/A</v>
      </c>
      <c r="K899" s="47" t="s">
        <v>6396</v>
      </c>
      <c r="L899" s="47"/>
      <c r="M899" s="49" t="s">
        <v>4799</v>
      </c>
    </row>
    <row r="900" spans="1:13">
      <c r="A900" s="48">
        <f t="shared" si="14"/>
        <v>899</v>
      </c>
      <c r="B900" s="47" t="s">
        <v>3295</v>
      </c>
      <c r="C900" s="47" t="s">
        <v>6459</v>
      </c>
      <c r="D900" s="47" t="s">
        <v>6559</v>
      </c>
      <c r="E900" s="47" t="s">
        <v>6470</v>
      </c>
      <c r="F900" s="47" t="s">
        <v>953</v>
      </c>
      <c r="G900" s="47" t="s">
        <v>14</v>
      </c>
      <c r="H900" s="47" t="str">
        <f>IFERROR(VLOOKUP(Table2[[#This Row], [Ticket]],Okey!A:B,2,0),"")</f>
        <v>ok</v>
      </c>
      <c r="I900" s="47" t="s">
        <v>5290</v>
      </c>
      <c r="J900" s="47" t="e">
        <f>VLOOKUP(Table2[[#This Row], [Author]],People!A:B,2,0)</f>
        <v>#N/A</v>
      </c>
      <c r="K900" s="47" t="s">
        <v>6396</v>
      </c>
      <c r="L900" s="47"/>
      <c r="M900" s="49" t="s">
        <v>4799</v>
      </c>
    </row>
    <row r="901" spans="1:13">
      <c r="A901" s="48">
        <f t="shared" si="14"/>
        <v>900</v>
      </c>
      <c r="B901" s="47" t="s">
        <v>3295</v>
      </c>
      <c r="C901" s="47" t="s">
        <v>6459</v>
      </c>
      <c r="D901" s="47" t="s">
        <v>6560</v>
      </c>
      <c r="E901" s="47" t="s">
        <v>6471</v>
      </c>
      <c r="F901" s="47" t="s">
        <v>948</v>
      </c>
      <c r="G901" s="47" t="s">
        <v>14</v>
      </c>
      <c r="H901" s="47" t="str">
        <f>IFERROR(VLOOKUP(Table2[[#This Row], [Ticket]],Okey!A:B,2,0),"")</f>
        <v>ok</v>
      </c>
      <c r="I901" s="47" t="s">
        <v>5290</v>
      </c>
      <c r="J901" s="47" t="e">
        <f>VLOOKUP(Table2[[#This Row], [Author]],People!A:B,2,0)</f>
        <v>#N/A</v>
      </c>
      <c r="K901" s="47" t="s">
        <v>6396</v>
      </c>
      <c r="L901" s="47"/>
      <c r="M901" s="49" t="s">
        <v>4799</v>
      </c>
    </row>
    <row r="902" spans="1:13">
      <c r="A902" s="48">
        <f t="shared" si="14"/>
        <v>901</v>
      </c>
      <c r="B902" s="47" t="s">
        <v>3295</v>
      </c>
      <c r="C902" s="47" t="s">
        <v>6459</v>
      </c>
      <c r="D902" s="47" t="s">
        <v>6561</v>
      </c>
      <c r="E902" s="47" t="s">
        <v>6472</v>
      </c>
      <c r="F902" s="47" t="s">
        <v>948</v>
      </c>
      <c r="G902" s="47" t="s">
        <v>14</v>
      </c>
      <c r="H902" s="47" t="str">
        <f>IFERROR(VLOOKUP(Table2[[#This Row], [Ticket]],Okey!A:B,2,0),"")</f>
        <v>ok</v>
      </c>
      <c r="I902" s="47" t="s">
        <v>5290</v>
      </c>
      <c r="J902" s="47" t="e">
        <f>VLOOKUP(Table2[[#This Row], [Author]],People!A:B,2,0)</f>
        <v>#N/A</v>
      </c>
      <c r="K902" s="47" t="s">
        <v>6396</v>
      </c>
      <c r="L902" s="47"/>
      <c r="M902" s="49" t="s">
        <v>4799</v>
      </c>
    </row>
    <row r="903" spans="1:13">
      <c r="A903" s="48">
        <f t="shared" si="14"/>
        <v>902</v>
      </c>
      <c r="B903" s="47" t="s">
        <v>3295</v>
      </c>
      <c r="C903" s="47" t="s">
        <v>6459</v>
      </c>
      <c r="D903" s="47" t="s">
        <v>6562</v>
      </c>
      <c r="E903" s="47" t="s">
        <v>6473</v>
      </c>
      <c r="F903" s="47" t="s">
        <v>948</v>
      </c>
      <c r="G903" s="47" t="s">
        <v>14</v>
      </c>
      <c r="H903" s="47" t="str">
        <f>IFERROR(VLOOKUP(Table2[[#This Row], [Ticket]],Okey!A:B,2,0),"")</f>
        <v>ok</v>
      </c>
      <c r="I903" s="47" t="s">
        <v>5290</v>
      </c>
      <c r="J903" s="47" t="e">
        <f>VLOOKUP(Table2[[#This Row], [Author]],People!A:B,2,0)</f>
        <v>#N/A</v>
      </c>
      <c r="K903" s="47" t="s">
        <v>6396</v>
      </c>
      <c r="L903" s="47"/>
      <c r="M903" s="49" t="s">
        <v>4799</v>
      </c>
    </row>
    <row r="904" spans="1:13">
      <c r="A904" s="48">
        <f t="shared" si="14"/>
        <v>903</v>
      </c>
      <c r="B904" s="47" t="s">
        <v>3295</v>
      </c>
      <c r="C904" s="47" t="s">
        <v>6459</v>
      </c>
      <c r="D904" s="47" t="s">
        <v>6563</v>
      </c>
      <c r="E904" s="47" t="s">
        <v>6474</v>
      </c>
      <c r="F904" s="47" t="s">
        <v>948</v>
      </c>
      <c r="G904" s="47" t="s">
        <v>14</v>
      </c>
      <c r="H904" s="47" t="str">
        <f>IFERROR(VLOOKUP(Table2[[#This Row], [Ticket]],Okey!A:B,2,0),"")</f>
        <v>ok</v>
      </c>
      <c r="I904" s="47" t="s">
        <v>5290</v>
      </c>
      <c r="J904" s="47" t="e">
        <f>VLOOKUP(Table2[[#This Row], [Author]],People!A:B,2,0)</f>
        <v>#N/A</v>
      </c>
      <c r="K904" s="47" t="s">
        <v>6396</v>
      </c>
      <c r="L904" s="47"/>
      <c r="M904" s="49" t="s">
        <v>4799</v>
      </c>
    </row>
    <row r="905" spans="1:13">
      <c r="A905" s="48">
        <f t="shared" si="14"/>
        <v>904</v>
      </c>
      <c r="B905" s="47" t="s">
        <v>3295</v>
      </c>
      <c r="C905" s="47" t="s">
        <v>6459</v>
      </c>
      <c r="D905" s="47" t="s">
        <v>6564</v>
      </c>
      <c r="E905" s="47" t="s">
        <v>6475</v>
      </c>
      <c r="F905" s="47" t="s">
        <v>6476</v>
      </c>
      <c r="G905" s="47" t="s">
        <v>14</v>
      </c>
      <c r="H905" s="47" t="str">
        <f>IFERROR(VLOOKUP(Table2[[#This Row], [Ticket]],Okey!A:B,2,0),"")</f>
        <v>ok</v>
      </c>
      <c r="I905" s="47" t="s">
        <v>5290</v>
      </c>
      <c r="J905" s="47" t="e">
        <f>VLOOKUP(Table2[[#This Row], [Author]],People!A:B,2,0)</f>
        <v>#N/A</v>
      </c>
      <c r="K905" s="47" t="s">
        <v>6396</v>
      </c>
      <c r="L905" s="47"/>
      <c r="M905" s="49" t="s">
        <v>4799</v>
      </c>
    </row>
    <row r="906" spans="1:13">
      <c r="A906" s="48">
        <f t="shared" si="14"/>
        <v>905</v>
      </c>
      <c r="B906" s="47" t="s">
        <v>3295</v>
      </c>
      <c r="C906" s="47" t="s">
        <v>6459</v>
      </c>
      <c r="D906" s="47" t="s">
        <v>6565</v>
      </c>
      <c r="E906" s="47" t="s">
        <v>6477</v>
      </c>
      <c r="F906" s="47" t="s">
        <v>6476</v>
      </c>
      <c r="G906" s="47" t="s">
        <v>14</v>
      </c>
      <c r="H906" s="47" t="str">
        <f>IFERROR(VLOOKUP(Table2[[#This Row], [Ticket]],Okey!A:B,2,0),"")</f>
        <v>ok</v>
      </c>
      <c r="I906" s="47" t="s">
        <v>5290</v>
      </c>
      <c r="J906" s="47" t="e">
        <f>VLOOKUP(Table2[[#This Row], [Author]],People!A:B,2,0)</f>
        <v>#N/A</v>
      </c>
      <c r="K906" s="47" t="s">
        <v>6396</v>
      </c>
      <c r="L906" s="47"/>
      <c r="M906" s="49" t="s">
        <v>4799</v>
      </c>
    </row>
    <row r="907" spans="1:13">
      <c r="A907" s="48">
        <f t="shared" si="14"/>
        <v>906</v>
      </c>
      <c r="B907" s="47" t="s">
        <v>3295</v>
      </c>
      <c r="C907" s="47" t="s">
        <v>6459</v>
      </c>
      <c r="D907" s="47" t="s">
        <v>6566</v>
      </c>
      <c r="E907" s="47" t="s">
        <v>6478</v>
      </c>
      <c r="F907" s="47" t="s">
        <v>6476</v>
      </c>
      <c r="G907" s="47" t="s">
        <v>14</v>
      </c>
      <c r="H907" s="47" t="str">
        <f>IFERROR(VLOOKUP(Table2[[#This Row], [Ticket]],Okey!A:B,2,0),"")</f>
        <v>ok</v>
      </c>
      <c r="I907" s="47" t="s">
        <v>5290</v>
      </c>
      <c r="J907" s="47" t="e">
        <f>VLOOKUP(Table2[[#This Row], [Author]],People!A:B,2,0)</f>
        <v>#N/A</v>
      </c>
      <c r="K907" s="47" t="s">
        <v>6396</v>
      </c>
      <c r="L907" s="47"/>
      <c r="M907" s="49" t="s">
        <v>4799</v>
      </c>
    </row>
    <row r="908" spans="1:13">
      <c r="A908" s="48">
        <f t="shared" si="14"/>
        <v>907</v>
      </c>
      <c r="B908" s="47" t="s">
        <v>3295</v>
      </c>
      <c r="C908" s="47" t="s">
        <v>6459</v>
      </c>
      <c r="D908" s="47" t="s">
        <v>4057</v>
      </c>
      <c r="E908" s="47" t="s">
        <v>6479</v>
      </c>
      <c r="F908" s="47"/>
      <c r="G908" s="47" t="s">
        <v>15</v>
      </c>
      <c r="H908" s="47" t="str">
        <f>IFERROR(VLOOKUP(Table2[[#This Row], [Ticket]],Okey!A:B,2,0),"")</f>
        <v>ok</v>
      </c>
      <c r="I908" s="47" t="s">
        <v>5290</v>
      </c>
      <c r="J908" s="47" t="e">
        <f>VLOOKUP(Table2[[#This Row], [Author]],People!A:B,2,0)</f>
        <v>#N/A</v>
      </c>
      <c r="K908" s="47" t="s">
        <v>6397</v>
      </c>
      <c r="L908" s="47"/>
      <c r="M908" s="49" t="s">
        <v>4799</v>
      </c>
    </row>
    <row r="909" spans="1:13">
      <c r="A909" s="48">
        <f t="shared" si="14"/>
        <v>908</v>
      </c>
      <c r="B909" s="47" t="s">
        <v>3295</v>
      </c>
      <c r="C909" s="47" t="s">
        <v>6459</v>
      </c>
      <c r="D909" s="47" t="s">
        <v>3484</v>
      </c>
      <c r="E909" s="47" t="s">
        <v>6480</v>
      </c>
      <c r="F909" s="47"/>
      <c r="G909" s="47" t="s">
        <v>15</v>
      </c>
      <c r="H909" s="47" t="str">
        <f>IFERROR(VLOOKUP(Table2[[#This Row], [Ticket]],Okey!A:B,2,0),"")</f>
        <v>ok</v>
      </c>
      <c r="I909" s="47" t="s">
        <v>5290</v>
      </c>
      <c r="J909" s="47" t="e">
        <f>VLOOKUP(Table2[[#This Row], [Author]],People!A:B,2,0)</f>
        <v>#N/A</v>
      </c>
      <c r="K909" s="47" t="s">
        <v>6397</v>
      </c>
      <c r="L909" s="47"/>
      <c r="M909" s="49" t="s">
        <v>4799</v>
      </c>
    </row>
    <row r="910" spans="1:13">
      <c r="A910" s="48">
        <f t="shared" si="14"/>
        <v>909</v>
      </c>
      <c r="B910" s="47" t="s">
        <v>3295</v>
      </c>
      <c r="C910" s="47" t="s">
        <v>6459</v>
      </c>
      <c r="D910" s="47" t="s">
        <v>3918</v>
      </c>
      <c r="E910" s="47" t="s">
        <v>6481</v>
      </c>
      <c r="F910" s="47"/>
      <c r="G910" s="47" t="s">
        <v>15</v>
      </c>
      <c r="H910" s="47" t="str">
        <f>IFERROR(VLOOKUP(Table2[[#This Row], [Ticket]],Okey!A:B,2,0),"")</f>
        <v>ok</v>
      </c>
      <c r="I910" s="47" t="s">
        <v>5290</v>
      </c>
      <c r="J910" s="47" t="e">
        <f>VLOOKUP(Table2[[#This Row], [Author]],People!A:B,2,0)</f>
        <v>#N/A</v>
      </c>
      <c r="K910" s="47" t="s">
        <v>6397</v>
      </c>
      <c r="L910" s="47"/>
      <c r="M910" s="49" t="s">
        <v>4799</v>
      </c>
    </row>
    <row r="911" spans="1:13">
      <c r="A911" s="48">
        <f t="shared" si="14"/>
        <v>910</v>
      </c>
      <c r="B911" s="47" t="s">
        <v>3295</v>
      </c>
      <c r="C911" s="47" t="s">
        <v>6459</v>
      </c>
      <c r="D911" s="47" t="s">
        <v>3489</v>
      </c>
      <c r="E911" s="47" t="s">
        <v>6482</v>
      </c>
      <c r="F911" s="47"/>
      <c r="G911" s="47" t="s">
        <v>15</v>
      </c>
      <c r="H911" s="47" t="str">
        <f>IFERROR(VLOOKUP(Table2[[#This Row], [Ticket]],Okey!A:B,2,0),"")</f>
        <v>ok</v>
      </c>
      <c r="I911" s="47" t="s">
        <v>5290</v>
      </c>
      <c r="J911" s="47" t="e">
        <f>VLOOKUP(Table2[[#This Row], [Author]],People!A:B,2,0)</f>
        <v>#N/A</v>
      </c>
      <c r="K911" s="47" t="s">
        <v>6397</v>
      </c>
      <c r="L911" s="47"/>
      <c r="M911" s="49" t="s">
        <v>4799</v>
      </c>
    </row>
    <row r="912" spans="1:13">
      <c r="A912" s="48">
        <f t="shared" si="14"/>
        <v>911</v>
      </c>
      <c r="B912" s="47" t="s">
        <v>3295</v>
      </c>
      <c r="C912" s="47" t="s">
        <v>6459</v>
      </c>
      <c r="D912" s="47" t="s">
        <v>3991</v>
      </c>
      <c r="E912" s="47" t="s">
        <v>6483</v>
      </c>
      <c r="F912" s="47"/>
      <c r="G912" s="47" t="s">
        <v>15</v>
      </c>
      <c r="H912" s="47" t="str">
        <f>IFERROR(VLOOKUP(Table2[[#This Row], [Ticket]],Okey!A:B,2,0),"")</f>
        <v>ok</v>
      </c>
      <c r="I912" s="47" t="s">
        <v>5290</v>
      </c>
      <c r="J912" s="47" t="e">
        <f>VLOOKUP(Table2[[#This Row], [Author]],People!A:B,2,0)</f>
        <v>#N/A</v>
      </c>
      <c r="K912" s="47" t="s">
        <v>6397</v>
      </c>
      <c r="L912" s="47"/>
      <c r="M912" s="49" t="s">
        <v>4799</v>
      </c>
    </row>
    <row r="913" spans="1:13">
      <c r="A913" s="48">
        <f t="shared" si="14"/>
        <v>912</v>
      </c>
      <c r="B913" s="47" t="s">
        <v>3295</v>
      </c>
      <c r="C913" s="47" t="s">
        <v>6459</v>
      </c>
      <c r="D913" s="47" t="s">
        <v>3562</v>
      </c>
      <c r="E913" s="47" t="s">
        <v>6484</v>
      </c>
      <c r="F913" s="47"/>
      <c r="G913" s="47" t="s">
        <v>15</v>
      </c>
      <c r="H913" s="47" t="str">
        <f>IFERROR(VLOOKUP(Table2[[#This Row], [Ticket]],Okey!A:B,2,0),"")</f>
        <v>ok</v>
      </c>
      <c r="I913" s="47" t="s">
        <v>5290</v>
      </c>
      <c r="J913" s="47" t="e">
        <f>VLOOKUP(Table2[[#This Row], [Author]],People!A:B,2,0)</f>
        <v>#N/A</v>
      </c>
      <c r="K913" s="47" t="s">
        <v>6397</v>
      </c>
      <c r="L913" s="47"/>
      <c r="M913" s="49" t="s">
        <v>4799</v>
      </c>
    </row>
    <row r="914" spans="1:13">
      <c r="A914" s="48">
        <f t="shared" si="14"/>
        <v>913</v>
      </c>
      <c r="B914" s="47" t="s">
        <v>3295</v>
      </c>
      <c r="C914" s="47" t="s">
        <v>6459</v>
      </c>
      <c r="D914" s="47" t="s">
        <v>953</v>
      </c>
      <c r="E914" s="47" t="s">
        <v>6485</v>
      </c>
      <c r="F914" s="47"/>
      <c r="G914" s="47" t="s">
        <v>15</v>
      </c>
      <c r="H914" s="47" t="str">
        <f>IFERROR(VLOOKUP(Table2[[#This Row], [Ticket]],Okey!A:B,2,0),"")</f>
        <v>ok</v>
      </c>
      <c r="I914" s="47" t="s">
        <v>5290</v>
      </c>
      <c r="J914" s="47" t="e">
        <f>VLOOKUP(Table2[[#This Row], [Author]],People!A:B,2,0)</f>
        <v>#N/A</v>
      </c>
      <c r="K914" s="47" t="s">
        <v>6397</v>
      </c>
      <c r="L914" s="47"/>
      <c r="M914" s="49" t="s">
        <v>4799</v>
      </c>
    </row>
    <row r="915" spans="1:13">
      <c r="A915" s="48">
        <f t="shared" si="14"/>
        <v>914</v>
      </c>
      <c r="B915" s="47" t="s">
        <v>3295</v>
      </c>
      <c r="C915" s="47" t="s">
        <v>6459</v>
      </c>
      <c r="D915" s="47" t="s">
        <v>1385</v>
      </c>
      <c r="E915" s="47" t="s">
        <v>6486</v>
      </c>
      <c r="F915" s="47"/>
      <c r="G915" s="47" t="s">
        <v>15</v>
      </c>
      <c r="H915" s="47" t="str">
        <f>IFERROR(VLOOKUP(Table2[[#This Row], [Ticket]],Okey!A:B,2,0),"")</f>
        <v>ok</v>
      </c>
      <c r="I915" s="47" t="s">
        <v>5290</v>
      </c>
      <c r="J915" s="47" t="e">
        <f>VLOOKUP(Table2[[#This Row], [Author]],People!A:B,2,0)</f>
        <v>#N/A</v>
      </c>
      <c r="K915" s="47" t="s">
        <v>6397</v>
      </c>
      <c r="L915" s="47"/>
      <c r="M915" s="49" t="s">
        <v>4799</v>
      </c>
    </row>
    <row r="916" spans="1:13">
      <c r="A916" s="48">
        <f t="shared" si="14"/>
        <v>915</v>
      </c>
      <c r="B916" s="47" t="s">
        <v>3295</v>
      </c>
      <c r="C916" s="47" t="s">
        <v>6459</v>
      </c>
      <c r="D916" s="47" t="s">
        <v>1732</v>
      </c>
      <c r="E916" s="47" t="s">
        <v>6487</v>
      </c>
      <c r="F916" s="47"/>
      <c r="G916" s="47" t="s">
        <v>15</v>
      </c>
      <c r="H916" s="47" t="str">
        <f>IFERROR(VLOOKUP(Table2[[#This Row], [Ticket]],Okey!A:B,2,0),"")</f>
        <v>ok</v>
      </c>
      <c r="I916" s="47" t="s">
        <v>5290</v>
      </c>
      <c r="J916" s="47" t="e">
        <f>VLOOKUP(Table2[[#This Row], [Author]],People!A:B,2,0)</f>
        <v>#N/A</v>
      </c>
      <c r="K916" s="47" t="s">
        <v>6397</v>
      </c>
      <c r="L916" s="47"/>
      <c r="M916" s="49" t="s">
        <v>4799</v>
      </c>
    </row>
    <row r="917" spans="1:13">
      <c r="A917" s="48">
        <f t="shared" si="14"/>
        <v>916</v>
      </c>
      <c r="B917" s="47" t="s">
        <v>3295</v>
      </c>
      <c r="C917" s="47" t="s">
        <v>6459</v>
      </c>
      <c r="D917" s="47" t="s">
        <v>1730</v>
      </c>
      <c r="E917" s="47" t="s">
        <v>6488</v>
      </c>
      <c r="F917" s="47"/>
      <c r="G917" s="47" t="s">
        <v>15</v>
      </c>
      <c r="H917" s="47" t="str">
        <f>IFERROR(VLOOKUP(Table2[[#This Row], [Ticket]],Okey!A:B,2,0),"")</f>
        <v>ok</v>
      </c>
      <c r="I917" s="47" t="s">
        <v>5290</v>
      </c>
      <c r="J917" s="47" t="e">
        <f>VLOOKUP(Table2[[#This Row], [Author]],People!A:B,2,0)</f>
        <v>#N/A</v>
      </c>
      <c r="K917" s="47" t="s">
        <v>6397</v>
      </c>
      <c r="L917" s="47"/>
      <c r="M917" s="49" t="s">
        <v>4799</v>
      </c>
    </row>
    <row r="918" spans="1:13">
      <c r="A918" s="48">
        <f t="shared" si="14"/>
        <v>917</v>
      </c>
      <c r="B918" s="47" t="s">
        <v>3295</v>
      </c>
      <c r="C918" s="47" t="s">
        <v>6459</v>
      </c>
      <c r="D918" s="47" t="s">
        <v>1391</v>
      </c>
      <c r="E918" s="47" t="s">
        <v>6489</v>
      </c>
      <c r="F918" s="47"/>
      <c r="G918" s="47" t="s">
        <v>15</v>
      </c>
      <c r="H918" s="47" t="str">
        <f>IFERROR(VLOOKUP(Table2[[#This Row], [Ticket]],Okey!A:B,2,0),"")</f>
        <v>ok</v>
      </c>
      <c r="I918" s="47" t="s">
        <v>5290</v>
      </c>
      <c r="J918" s="47" t="e">
        <f>VLOOKUP(Table2[[#This Row], [Author]],People!A:B,2,0)</f>
        <v>#N/A</v>
      </c>
      <c r="K918" s="47" t="s">
        <v>6397</v>
      </c>
      <c r="L918" s="47"/>
      <c r="M918" s="49" t="s">
        <v>4799</v>
      </c>
    </row>
    <row r="919" spans="1:13">
      <c r="A919" s="48">
        <f t="shared" si="14"/>
        <v>918</v>
      </c>
      <c r="B919" s="47" t="s">
        <v>3295</v>
      </c>
      <c r="C919" s="47" t="s">
        <v>6459</v>
      </c>
      <c r="D919" s="47" t="s">
        <v>6490</v>
      </c>
      <c r="E919" s="47" t="s">
        <v>6491</v>
      </c>
      <c r="F919" s="47"/>
      <c r="G919" s="47" t="s">
        <v>15</v>
      </c>
      <c r="H919" s="47" t="str">
        <f>IFERROR(VLOOKUP(Table2[[#This Row], [Ticket]],Okey!A:B,2,0),"")</f>
        <v>ok</v>
      </c>
      <c r="I919" s="47" t="s">
        <v>5290</v>
      </c>
      <c r="J919" s="47" t="e">
        <f>VLOOKUP(Table2[[#This Row], [Author]],People!A:B,2,0)</f>
        <v>#N/A</v>
      </c>
      <c r="K919" s="47" t="s">
        <v>6397</v>
      </c>
      <c r="L919" s="47"/>
      <c r="M919" s="49" t="s">
        <v>4799</v>
      </c>
    </row>
    <row r="920" spans="1:13">
      <c r="A920" s="48">
        <f t="shared" si="14"/>
        <v>919</v>
      </c>
      <c r="B920" s="47" t="s">
        <v>3295</v>
      </c>
      <c r="C920" s="47" t="s">
        <v>6459</v>
      </c>
      <c r="D920" s="47" t="s">
        <v>6492</v>
      </c>
      <c r="E920" s="47" t="s">
        <v>6493</v>
      </c>
      <c r="F920" s="47"/>
      <c r="G920" s="47" t="s">
        <v>15</v>
      </c>
      <c r="H920" s="47" t="str">
        <f>IFERROR(VLOOKUP(Table2[[#This Row], [Ticket]],Okey!A:B,2,0),"")</f>
        <v>ok</v>
      </c>
      <c r="I920" s="47" t="s">
        <v>5290</v>
      </c>
      <c r="J920" s="47" t="e">
        <f>VLOOKUP(Table2[[#This Row], [Author]],People!A:B,2,0)</f>
        <v>#N/A</v>
      </c>
      <c r="K920" s="47" t="s">
        <v>6397</v>
      </c>
      <c r="L920" s="47"/>
      <c r="M920" s="49" t="s">
        <v>4799</v>
      </c>
    </row>
    <row r="921" spans="1:13">
      <c r="A921" s="48">
        <f t="shared" si="14"/>
        <v>920</v>
      </c>
      <c r="B921" s="47" t="s">
        <v>3295</v>
      </c>
      <c r="C921" s="47" t="s">
        <v>6459</v>
      </c>
      <c r="D921" s="47" t="s">
        <v>6494</v>
      </c>
      <c r="E921" s="47" t="s">
        <v>6495</v>
      </c>
      <c r="F921" s="47"/>
      <c r="G921" s="47" t="s">
        <v>15</v>
      </c>
      <c r="H921" s="47" t="str">
        <f>IFERROR(VLOOKUP(Table2[[#This Row], [Ticket]],Okey!A:B,2,0),"")</f>
        <v>ok</v>
      </c>
      <c r="I921" s="47" t="s">
        <v>5290</v>
      </c>
      <c r="J921" s="47" t="e">
        <f>VLOOKUP(Table2[[#This Row], [Author]],People!A:B,2,0)</f>
        <v>#N/A</v>
      </c>
      <c r="K921" s="47" t="s">
        <v>6397</v>
      </c>
      <c r="L921" s="47"/>
      <c r="M921" s="49" t="s">
        <v>4799</v>
      </c>
    </row>
    <row r="922" spans="1:13">
      <c r="A922" s="48">
        <f t="shared" si="14"/>
        <v>921</v>
      </c>
      <c r="B922" s="47" t="s">
        <v>3295</v>
      </c>
      <c r="C922" s="47" t="s">
        <v>6459</v>
      </c>
      <c r="D922" s="47" t="s">
        <v>1393</v>
      </c>
      <c r="E922" s="47" t="s">
        <v>6496</v>
      </c>
      <c r="F922" s="47"/>
      <c r="G922" s="47" t="s">
        <v>15</v>
      </c>
      <c r="H922" s="47" t="str">
        <f>IFERROR(VLOOKUP(Table2[[#This Row], [Ticket]],Okey!A:B,2,0),"")</f>
        <v>ok</v>
      </c>
      <c r="I922" s="47" t="s">
        <v>5290</v>
      </c>
      <c r="J922" s="47" t="e">
        <f>VLOOKUP(Table2[[#This Row], [Author]],People!A:B,2,0)</f>
        <v>#N/A</v>
      </c>
      <c r="K922" s="47" t="s">
        <v>6397</v>
      </c>
      <c r="L922" s="47"/>
      <c r="M922" s="49" t="s">
        <v>4799</v>
      </c>
    </row>
    <row r="923" spans="1:13">
      <c r="A923" s="48">
        <f t="shared" si="14"/>
        <v>922</v>
      </c>
      <c r="B923" s="47" t="s">
        <v>3295</v>
      </c>
      <c r="C923" s="47" t="s">
        <v>6459</v>
      </c>
      <c r="D923" s="47" t="s">
        <v>1389</v>
      </c>
      <c r="E923" s="47" t="s">
        <v>6497</v>
      </c>
      <c r="F923" s="47"/>
      <c r="G923" s="47" t="s">
        <v>15</v>
      </c>
      <c r="H923" s="47" t="str">
        <f>IFERROR(VLOOKUP(Table2[[#This Row], [Ticket]],Okey!A:B,2,0),"")</f>
        <v>ok</v>
      </c>
      <c r="I923" s="47" t="s">
        <v>5290</v>
      </c>
      <c r="J923" s="47" t="e">
        <f>VLOOKUP(Table2[[#This Row], [Author]],People!A:B,2,0)</f>
        <v>#N/A</v>
      </c>
      <c r="K923" s="47" t="s">
        <v>6397</v>
      </c>
      <c r="L923" s="47"/>
      <c r="M923" s="49" t="s">
        <v>4799</v>
      </c>
    </row>
    <row r="924" spans="1:13">
      <c r="A924" s="48">
        <f t="shared" si="14"/>
        <v>923</v>
      </c>
      <c r="B924" s="47" t="s">
        <v>3295</v>
      </c>
      <c r="C924" s="47" t="s">
        <v>6459</v>
      </c>
      <c r="D924" s="47" t="s">
        <v>1387</v>
      </c>
      <c r="E924" s="47" t="s">
        <v>6498</v>
      </c>
      <c r="F924" s="47"/>
      <c r="G924" s="47" t="s">
        <v>15</v>
      </c>
      <c r="H924" s="47" t="str">
        <f>IFERROR(VLOOKUP(Table2[[#This Row], [Ticket]],Okey!A:B,2,0),"")</f>
        <v>ok</v>
      </c>
      <c r="I924" s="47" t="s">
        <v>5290</v>
      </c>
      <c r="J924" s="47" t="e">
        <f>VLOOKUP(Table2[[#This Row], [Author]],People!A:B,2,0)</f>
        <v>#N/A</v>
      </c>
      <c r="K924" s="47" t="s">
        <v>6397</v>
      </c>
      <c r="L924" s="47"/>
      <c r="M924" s="49" t="s">
        <v>4799</v>
      </c>
    </row>
    <row r="925" spans="1:13">
      <c r="A925" s="48">
        <f t="shared" si="14"/>
        <v>924</v>
      </c>
      <c r="B925" s="47" t="s">
        <v>3295</v>
      </c>
      <c r="C925" s="47" t="s">
        <v>6459</v>
      </c>
      <c r="D925" s="47" t="s">
        <v>6499</v>
      </c>
      <c r="E925" s="47" t="s">
        <v>6500</v>
      </c>
      <c r="F925" s="47"/>
      <c r="G925" s="47" t="s">
        <v>15</v>
      </c>
      <c r="H925" s="47" t="str">
        <f>IFERROR(VLOOKUP(Table2[[#This Row], [Ticket]],Okey!A:B,2,0),"")</f>
        <v>ok</v>
      </c>
      <c r="I925" s="47" t="s">
        <v>5290</v>
      </c>
      <c r="J925" s="47" t="e">
        <f>VLOOKUP(Table2[[#This Row], [Author]],People!A:B,2,0)</f>
        <v>#N/A</v>
      </c>
      <c r="K925" s="47" t="s">
        <v>6397</v>
      </c>
      <c r="L925" s="47"/>
      <c r="M925" s="49" t="s">
        <v>4799</v>
      </c>
    </row>
    <row r="926" spans="1:13">
      <c r="A926" s="48">
        <f t="shared" si="14"/>
        <v>925</v>
      </c>
      <c r="B926" s="47" t="s">
        <v>3295</v>
      </c>
      <c r="C926" s="47" t="s">
        <v>6459</v>
      </c>
      <c r="D926" s="47" t="s">
        <v>951</v>
      </c>
      <c r="E926" s="47" t="s">
        <v>6501</v>
      </c>
      <c r="F926" s="47"/>
      <c r="G926" s="47" t="s">
        <v>15</v>
      </c>
      <c r="H926" s="47" t="str">
        <f>IFERROR(VLOOKUP(Table2[[#This Row], [Ticket]],Okey!A:B,2,0),"")</f>
        <v>ok</v>
      </c>
      <c r="I926" s="47" t="s">
        <v>5290</v>
      </c>
      <c r="J926" s="47" t="e">
        <f>VLOOKUP(Table2[[#This Row], [Author]],People!A:B,2,0)</f>
        <v>#N/A</v>
      </c>
      <c r="K926" s="47" t="s">
        <v>6397</v>
      </c>
      <c r="L926" s="47"/>
      <c r="M926" s="49" t="s">
        <v>4799</v>
      </c>
    </row>
    <row r="927" spans="1:13">
      <c r="A927" s="48">
        <f t="shared" si="14"/>
        <v>926</v>
      </c>
      <c r="B927" s="47" t="s">
        <v>3295</v>
      </c>
      <c r="C927" s="47" t="s">
        <v>6459</v>
      </c>
      <c r="D927" s="47" t="s">
        <v>6502</v>
      </c>
      <c r="E927" s="47" t="s">
        <v>6503</v>
      </c>
      <c r="F927" s="47"/>
      <c r="G927" s="47" t="s">
        <v>15</v>
      </c>
      <c r="H927" s="47" t="str">
        <f>IFERROR(VLOOKUP(Table2[[#This Row], [Ticket]],Okey!A:B,2,0),"")</f>
        <v>ok</v>
      </c>
      <c r="I927" s="47" t="s">
        <v>5290</v>
      </c>
      <c r="J927" s="47" t="e">
        <f>VLOOKUP(Table2[[#This Row], [Author]],People!A:B,2,0)</f>
        <v>#N/A</v>
      </c>
      <c r="K927" s="47" t="s">
        <v>6397</v>
      </c>
      <c r="L927" s="47"/>
      <c r="M927" s="49" t="s">
        <v>4799</v>
      </c>
    </row>
    <row r="928" spans="1:13">
      <c r="A928" s="48">
        <f t="shared" si="14"/>
        <v>927</v>
      </c>
      <c r="B928" s="47" t="s">
        <v>3295</v>
      </c>
      <c r="C928" s="47" t="s">
        <v>6459</v>
      </c>
      <c r="D928" s="47" t="s">
        <v>1672</v>
      </c>
      <c r="E928" s="47" t="s">
        <v>6504</v>
      </c>
      <c r="F928" s="47"/>
      <c r="G928" s="47" t="s">
        <v>15</v>
      </c>
      <c r="H928" s="47" t="str">
        <f>IFERROR(VLOOKUP(Table2[[#This Row], [Ticket]],Okey!A:B,2,0),"")</f>
        <v>ok</v>
      </c>
      <c r="I928" s="47" t="s">
        <v>5290</v>
      </c>
      <c r="J928" s="47" t="e">
        <f>VLOOKUP(Table2[[#This Row], [Author]],People!A:B,2,0)</f>
        <v>#N/A</v>
      </c>
      <c r="K928" s="47" t="s">
        <v>6397</v>
      </c>
      <c r="L928" s="47"/>
      <c r="M928" s="49" t="s">
        <v>4799</v>
      </c>
    </row>
    <row r="929" spans="1:13">
      <c r="A929" s="48">
        <f t="shared" si="14"/>
        <v>928</v>
      </c>
      <c r="B929" s="47" t="s">
        <v>3295</v>
      </c>
      <c r="C929" s="47" t="s">
        <v>6459</v>
      </c>
      <c r="D929" s="47" t="s">
        <v>1942</v>
      </c>
      <c r="E929" s="47" t="s">
        <v>6505</v>
      </c>
      <c r="F929" s="47"/>
      <c r="G929" s="47" t="s">
        <v>15</v>
      </c>
      <c r="H929" s="47" t="str">
        <f>IFERROR(VLOOKUP(Table2[[#This Row], [Ticket]],Okey!A:B,2,0),"")</f>
        <v>ok</v>
      </c>
      <c r="I929" s="47" t="s">
        <v>5290</v>
      </c>
      <c r="J929" s="47" t="e">
        <f>VLOOKUP(Table2[[#This Row], [Author]],People!A:B,2,0)</f>
        <v>#N/A</v>
      </c>
      <c r="K929" s="47" t="s">
        <v>6397</v>
      </c>
      <c r="L929" s="47"/>
      <c r="M929" s="49" t="s">
        <v>4799</v>
      </c>
    </row>
    <row r="930" spans="1:13">
      <c r="A930" s="48">
        <f t="shared" si="14"/>
        <v>929</v>
      </c>
      <c r="B930" s="47" t="s">
        <v>3295</v>
      </c>
      <c r="C930" s="47" t="s">
        <v>6459</v>
      </c>
      <c r="D930" s="47" t="s">
        <v>6506</v>
      </c>
      <c r="E930" s="47" t="s">
        <v>6507</v>
      </c>
      <c r="F930" s="47"/>
      <c r="G930" s="47" t="s">
        <v>15</v>
      </c>
      <c r="H930" s="47" t="str">
        <f>IFERROR(VLOOKUP(Table2[[#This Row], [Ticket]],Okey!A:B,2,0),"")</f>
        <v>ok</v>
      </c>
      <c r="I930" s="47" t="s">
        <v>5290</v>
      </c>
      <c r="J930" s="47" t="e">
        <f>VLOOKUP(Table2[[#This Row], [Author]],People!A:B,2,0)</f>
        <v>#N/A</v>
      </c>
      <c r="K930" s="47" t="s">
        <v>6397</v>
      </c>
      <c r="L930" s="47"/>
      <c r="M930" s="49" t="s">
        <v>4799</v>
      </c>
    </row>
    <row r="931" spans="1:13">
      <c r="A931" s="48">
        <f t="shared" si="14"/>
        <v>930</v>
      </c>
      <c r="B931" s="47" t="s">
        <v>3295</v>
      </c>
      <c r="C931" s="47" t="s">
        <v>6459</v>
      </c>
      <c r="D931" s="47" t="s">
        <v>6508</v>
      </c>
      <c r="E931" s="47" t="s">
        <v>6509</v>
      </c>
      <c r="F931" s="47"/>
      <c r="G931" s="47" t="s">
        <v>15</v>
      </c>
      <c r="H931" s="47" t="str">
        <f>IFERROR(VLOOKUP(Table2[[#This Row], [Ticket]],Okey!A:B,2,0),"")</f>
        <v>ok</v>
      </c>
      <c r="I931" s="47" t="s">
        <v>5290</v>
      </c>
      <c r="J931" s="47" t="e">
        <f>VLOOKUP(Table2[[#This Row], [Author]],People!A:B,2,0)</f>
        <v>#N/A</v>
      </c>
      <c r="K931" s="47" t="s">
        <v>6397</v>
      </c>
      <c r="L931" s="47"/>
      <c r="M931" s="49" t="s">
        <v>4799</v>
      </c>
    </row>
    <row r="932" spans="1:13">
      <c r="A932" s="48">
        <f t="shared" si="14"/>
        <v>931</v>
      </c>
      <c r="B932" s="47" t="s">
        <v>3295</v>
      </c>
      <c r="C932" s="47" t="s">
        <v>6459</v>
      </c>
      <c r="D932" s="47" t="s">
        <v>6510</v>
      </c>
      <c r="E932" s="47" t="s">
        <v>6511</v>
      </c>
      <c r="F932" s="47"/>
      <c r="G932" s="47" t="s">
        <v>15</v>
      </c>
      <c r="H932" s="47" t="str">
        <f>IFERROR(VLOOKUP(Table2[[#This Row], [Ticket]],Okey!A:B,2,0),"")</f>
        <v>ok</v>
      </c>
      <c r="I932" s="47" t="s">
        <v>5290</v>
      </c>
      <c r="J932" s="47" t="e">
        <f>VLOOKUP(Table2[[#This Row], [Author]],People!A:B,2,0)</f>
        <v>#N/A</v>
      </c>
      <c r="K932" s="47" t="s">
        <v>6397</v>
      </c>
      <c r="L932" s="47"/>
      <c r="M932" s="49" t="s">
        <v>4799</v>
      </c>
    </row>
    <row r="933" spans="1:13">
      <c r="A933" s="48">
        <f t="shared" si="14"/>
        <v>932</v>
      </c>
      <c r="B933" s="47" t="s">
        <v>3295</v>
      </c>
      <c r="C933" s="47" t="s">
        <v>6459</v>
      </c>
      <c r="D933" s="47" t="s">
        <v>6512</v>
      </c>
      <c r="E933" s="47" t="s">
        <v>6513</v>
      </c>
      <c r="F933" s="47"/>
      <c r="G933" s="47" t="s">
        <v>15</v>
      </c>
      <c r="H933" s="47" t="str">
        <f>IFERROR(VLOOKUP(Table2[[#This Row], [Ticket]],Okey!A:B,2,0),"")</f>
        <v>ok</v>
      </c>
      <c r="I933" s="47" t="s">
        <v>5290</v>
      </c>
      <c r="J933" s="47" t="e">
        <f>VLOOKUP(Table2[[#This Row], [Author]],People!A:B,2,0)</f>
        <v>#N/A</v>
      </c>
      <c r="K933" s="47" t="s">
        <v>6397</v>
      </c>
      <c r="L933" s="47"/>
      <c r="M933" s="49" t="s">
        <v>4799</v>
      </c>
    </row>
    <row r="934" spans="1:13">
      <c r="A934" s="48">
        <f t="shared" si="14"/>
        <v>933</v>
      </c>
      <c r="B934" s="47" t="s">
        <v>3295</v>
      </c>
      <c r="C934" s="47" t="s">
        <v>6459</v>
      </c>
      <c r="D934" s="47" t="s">
        <v>5582</v>
      </c>
      <c r="E934" s="47" t="s">
        <v>6514</v>
      </c>
      <c r="F934" s="47"/>
      <c r="G934" s="47" t="s">
        <v>15</v>
      </c>
      <c r="H934" s="47" t="str">
        <f>IFERROR(VLOOKUP(Table2[[#This Row], [Ticket]],Okey!A:B,2,0),"")</f>
        <v>ok</v>
      </c>
      <c r="I934" s="47" t="s">
        <v>5290</v>
      </c>
      <c r="J934" s="47" t="e">
        <f>VLOOKUP(Table2[[#This Row], [Author]],People!A:B,2,0)</f>
        <v>#N/A</v>
      </c>
      <c r="K934" s="47" t="s">
        <v>6397</v>
      </c>
      <c r="L934" s="47"/>
      <c r="M934" s="49" t="s">
        <v>4799</v>
      </c>
    </row>
    <row r="935" spans="1:13">
      <c r="A935" s="48">
        <f t="shared" si="14"/>
        <v>934</v>
      </c>
      <c r="B935" s="47" t="s">
        <v>3295</v>
      </c>
      <c r="C935" s="47" t="s">
        <v>6459</v>
      </c>
      <c r="D935" s="47" t="s">
        <v>6515</v>
      </c>
      <c r="E935" s="47" t="s">
        <v>6516</v>
      </c>
      <c r="F935" s="47"/>
      <c r="G935" s="47" t="s">
        <v>15</v>
      </c>
      <c r="H935" s="47" t="str">
        <f>IFERROR(VLOOKUP(Table2[[#This Row], [Ticket]],Okey!A:B,2,0),"")</f>
        <v>ok</v>
      </c>
      <c r="I935" s="47" t="s">
        <v>5290</v>
      </c>
      <c r="J935" s="47" t="e">
        <f>VLOOKUP(Table2[[#This Row], [Author]],People!A:B,2,0)</f>
        <v>#N/A</v>
      </c>
      <c r="K935" s="47" t="s">
        <v>6397</v>
      </c>
      <c r="L935" s="47"/>
      <c r="M935" s="49" t="s">
        <v>4799</v>
      </c>
    </row>
    <row r="936" spans="1:13">
      <c r="A936" s="48">
        <f t="shared" si="14"/>
        <v>935</v>
      </c>
      <c r="B936" s="47" t="s">
        <v>3295</v>
      </c>
      <c r="C936" s="47" t="s">
        <v>6459</v>
      </c>
      <c r="D936" s="47" t="s">
        <v>6517</v>
      </c>
      <c r="E936" s="47" t="s">
        <v>6518</v>
      </c>
      <c r="F936" s="47"/>
      <c r="G936" s="47" t="s">
        <v>15</v>
      </c>
      <c r="H936" s="47" t="str">
        <f>IFERROR(VLOOKUP(Table2[[#This Row], [Ticket]],Okey!A:B,2,0),"")</f>
        <v>ok</v>
      </c>
      <c r="I936" s="47" t="s">
        <v>5290</v>
      </c>
      <c r="J936" s="47" t="e">
        <f>VLOOKUP(Table2[[#This Row], [Author]],People!A:B,2,0)</f>
        <v>#N/A</v>
      </c>
      <c r="K936" s="47" t="s">
        <v>6397</v>
      </c>
      <c r="L936" s="47"/>
      <c r="M936" s="49" t="s">
        <v>4799</v>
      </c>
    </row>
    <row r="937" spans="1:13">
      <c r="A937" s="48">
        <f t="shared" si="14"/>
        <v>936</v>
      </c>
      <c r="B937" s="47" t="s">
        <v>3295</v>
      </c>
      <c r="C937" s="47" t="s">
        <v>6459</v>
      </c>
      <c r="D937" s="47" t="s">
        <v>6329</v>
      </c>
      <c r="E937" s="47" t="s">
        <v>6519</v>
      </c>
      <c r="F937" s="47"/>
      <c r="G937" s="47" t="s">
        <v>15</v>
      </c>
      <c r="H937" s="47" t="str">
        <f>IFERROR(VLOOKUP(Table2[[#This Row], [Ticket]],Okey!A:B,2,0),"")</f>
        <v>ok</v>
      </c>
      <c r="I937" s="47" t="s">
        <v>5290</v>
      </c>
      <c r="J937" s="47" t="e">
        <f>VLOOKUP(Table2[[#This Row], [Author]],People!A:B,2,0)</f>
        <v>#N/A</v>
      </c>
      <c r="K937" s="47" t="s">
        <v>6397</v>
      </c>
      <c r="L937" s="47"/>
      <c r="M937" s="49" t="s">
        <v>4799</v>
      </c>
    </row>
    <row r="938" spans="1:13">
      <c r="A938" s="48">
        <f t="shared" si="14"/>
        <v>937</v>
      </c>
      <c r="B938" s="47" t="s">
        <v>3295</v>
      </c>
      <c r="C938" s="47" t="s">
        <v>6459</v>
      </c>
      <c r="D938" s="47" t="s">
        <v>4869</v>
      </c>
      <c r="E938" s="47"/>
      <c r="F938" s="47" t="s">
        <v>6554</v>
      </c>
      <c r="G938" s="47" t="s">
        <v>13</v>
      </c>
      <c r="H938" s="47" t="str">
        <f>IFERROR(VLOOKUP(Table2[[#This Row], [Ticket]],Okey!A:B,2,0),"")</f>
        <v>ok</v>
      </c>
      <c r="I938" s="47" t="s">
        <v>5290</v>
      </c>
      <c r="J938" s="47" t="e">
        <f>VLOOKUP(Table2[[#This Row], [Author]],People!A:B,2,0)</f>
        <v>#N/A</v>
      </c>
      <c r="K938" s="47" t="s">
        <v>6567</v>
      </c>
      <c r="L938" s="47"/>
      <c r="M938" s="49" t="s">
        <v>4799</v>
      </c>
    </row>
    <row r="939" spans="1:13">
      <c r="A939" s="48">
        <f t="shared" si="14"/>
        <v>938</v>
      </c>
      <c r="B939" s="47" t="s">
        <v>3295</v>
      </c>
      <c r="C939" s="47" t="s">
        <v>6459</v>
      </c>
      <c r="D939" s="47" t="s">
        <v>4077</v>
      </c>
      <c r="E939" s="47"/>
      <c r="F939" s="47" t="s">
        <v>3918</v>
      </c>
      <c r="G939" s="47" t="s">
        <v>13</v>
      </c>
      <c r="H939" s="47" t="str">
        <f>IFERROR(VLOOKUP(Table2[[#This Row], [Ticket]],Okey!A:B,2,0),"")</f>
        <v>ok</v>
      </c>
      <c r="I939" s="47" t="s">
        <v>5290</v>
      </c>
      <c r="J939" s="47" t="e">
        <f>VLOOKUP(Table2[[#This Row], [Author]],People!A:B,2,0)</f>
        <v>#N/A</v>
      </c>
      <c r="K939" s="47" t="s">
        <v>6567</v>
      </c>
      <c r="L939" s="47"/>
      <c r="M939" s="49" t="s">
        <v>4799</v>
      </c>
    </row>
    <row r="940" spans="1:13">
      <c r="A940" s="48">
        <f t="shared" si="14"/>
        <v>939</v>
      </c>
      <c r="B940" s="47" t="s">
        <v>3295</v>
      </c>
      <c r="C940" s="47" t="s">
        <v>6459</v>
      </c>
      <c r="D940" s="47" t="s">
        <v>3934</v>
      </c>
      <c r="E940" s="47"/>
      <c r="F940" s="47" t="s">
        <v>6555</v>
      </c>
      <c r="G940" s="47" t="s">
        <v>13</v>
      </c>
      <c r="H940" s="47" t="str">
        <f>IFERROR(VLOOKUP(Table2[[#This Row], [Ticket]],Okey!A:B,2,0),"")</f>
        <v>ok</v>
      </c>
      <c r="I940" s="47" t="s">
        <v>5290</v>
      </c>
      <c r="J940" s="47" t="e">
        <f>VLOOKUP(Table2[[#This Row], [Author]],People!A:B,2,0)</f>
        <v>#N/A</v>
      </c>
      <c r="K940" s="47" t="s">
        <v>6567</v>
      </c>
      <c r="L940" s="47"/>
      <c r="M940" s="49" t="s">
        <v>4799</v>
      </c>
    </row>
    <row r="941" spans="1:13">
      <c r="A941" s="48">
        <f t="shared" si="14"/>
        <v>940</v>
      </c>
      <c r="B941" s="47" t="s">
        <v>3295</v>
      </c>
      <c r="C941" s="47" t="s">
        <v>6459</v>
      </c>
      <c r="D941" s="47" t="s">
        <v>6520</v>
      </c>
      <c r="E941" s="47"/>
      <c r="F941" s="47" t="s">
        <v>3492</v>
      </c>
      <c r="G941" s="47" t="s">
        <v>13</v>
      </c>
      <c r="H941" s="47" t="str">
        <f>IFERROR(VLOOKUP(Table2[[#This Row], [Ticket]],Okey!A:B,2,0),"")</f>
        <v>ok</v>
      </c>
      <c r="I941" s="47" t="s">
        <v>5290</v>
      </c>
      <c r="J941" s="47" t="e">
        <f>VLOOKUP(Table2[[#This Row], [Author]],People!A:B,2,0)</f>
        <v>#N/A</v>
      </c>
      <c r="K941" s="47" t="s">
        <v>6567</v>
      </c>
      <c r="L941" s="47"/>
      <c r="M941" s="49" t="s">
        <v>4799</v>
      </c>
    </row>
    <row r="942" spans="1:13">
      <c r="A942" s="48">
        <f t="shared" si="14"/>
        <v>941</v>
      </c>
      <c r="B942" s="47" t="s">
        <v>3295</v>
      </c>
      <c r="C942" s="47" t="s">
        <v>6459</v>
      </c>
      <c r="D942" s="47" t="s">
        <v>6521</v>
      </c>
      <c r="E942" s="47"/>
      <c r="F942" s="47" t="s">
        <v>4854</v>
      </c>
      <c r="G942" s="47" t="s">
        <v>13</v>
      </c>
      <c r="H942" s="47" t="str">
        <f>IFERROR(VLOOKUP(Table2[[#This Row], [Ticket]],Okey!A:B,2,0),"")</f>
        <v>ok</v>
      </c>
      <c r="I942" s="47" t="s">
        <v>5290</v>
      </c>
      <c r="J942" s="47" t="e">
        <f>VLOOKUP(Table2[[#This Row], [Author]],People!A:B,2,0)</f>
        <v>#N/A</v>
      </c>
      <c r="K942" s="47" t="s">
        <v>6567</v>
      </c>
      <c r="L942" s="47"/>
      <c r="M942" s="49" t="s">
        <v>4799</v>
      </c>
    </row>
    <row r="943" spans="1:13">
      <c r="A943" s="48">
        <f t="shared" si="14"/>
        <v>942</v>
      </c>
      <c r="B943" s="47" t="s">
        <v>3295</v>
      </c>
      <c r="C943" s="47" t="s">
        <v>6459</v>
      </c>
      <c r="D943" s="47" t="s">
        <v>6522</v>
      </c>
      <c r="E943" s="47"/>
      <c r="F943" s="47" t="s">
        <v>4854</v>
      </c>
      <c r="G943" s="47" t="s">
        <v>13</v>
      </c>
      <c r="H943" s="47" t="str">
        <f>IFERROR(VLOOKUP(Table2[[#This Row], [Ticket]],Okey!A:B,2,0),"")</f>
        <v>ok</v>
      </c>
      <c r="I943" s="47" t="s">
        <v>5290</v>
      </c>
      <c r="J943" s="47" t="e">
        <f>VLOOKUP(Table2[[#This Row], [Author]],People!A:B,2,0)</f>
        <v>#N/A</v>
      </c>
      <c r="K943" s="47" t="s">
        <v>6567</v>
      </c>
      <c r="L943" s="47"/>
      <c r="M943" s="49" t="s">
        <v>4799</v>
      </c>
    </row>
    <row r="944" spans="1:13">
      <c r="A944" s="48">
        <f t="shared" si="14"/>
        <v>943</v>
      </c>
      <c r="B944" s="47" t="s">
        <v>3295</v>
      </c>
      <c r="C944" s="47" t="s">
        <v>6459</v>
      </c>
      <c r="D944" s="47" t="s">
        <v>6523</v>
      </c>
      <c r="E944" s="47"/>
      <c r="F944" s="47" t="s">
        <v>4854</v>
      </c>
      <c r="G944" s="47" t="s">
        <v>13</v>
      </c>
      <c r="H944" s="47" t="str">
        <f>IFERROR(VLOOKUP(Table2[[#This Row], [Ticket]],Okey!A:B,2,0),"")</f>
        <v>ok</v>
      </c>
      <c r="I944" s="47" t="s">
        <v>5290</v>
      </c>
      <c r="J944" s="47" t="e">
        <f>VLOOKUP(Table2[[#This Row], [Author]],People!A:B,2,0)</f>
        <v>#N/A</v>
      </c>
      <c r="K944" s="47" t="s">
        <v>6567</v>
      </c>
      <c r="L944" s="47"/>
      <c r="M944" s="49" t="s">
        <v>4799</v>
      </c>
    </row>
    <row r="945" spans="1:13">
      <c r="A945" s="48">
        <f t="shared" si="14"/>
        <v>944</v>
      </c>
      <c r="B945" s="47" t="s">
        <v>3295</v>
      </c>
      <c r="C945" s="47" t="s">
        <v>6459</v>
      </c>
      <c r="D945" s="47" t="s">
        <v>3570</v>
      </c>
      <c r="E945" s="47"/>
      <c r="F945" s="47" t="s">
        <v>6553</v>
      </c>
      <c r="G945" s="47" t="s">
        <v>13</v>
      </c>
      <c r="H945" s="47" t="str">
        <f>IFERROR(VLOOKUP(Table2[[#This Row], [Ticket]],Okey!A:B,2,0),"")</f>
        <v>ok</v>
      </c>
      <c r="I945" s="47" t="s">
        <v>5290</v>
      </c>
      <c r="J945" s="47" t="e">
        <f>VLOOKUP(Table2[[#This Row], [Author]],People!A:B,2,0)</f>
        <v>#N/A</v>
      </c>
      <c r="K945" s="47" t="s">
        <v>6567</v>
      </c>
      <c r="L945" s="47"/>
      <c r="M945" s="49" t="s">
        <v>4799</v>
      </c>
    </row>
    <row r="946" spans="1:13">
      <c r="A946" s="48">
        <f t="shared" si="14"/>
        <v>945</v>
      </c>
      <c r="B946" s="47" t="s">
        <v>3295</v>
      </c>
      <c r="C946" s="47" t="s">
        <v>6459</v>
      </c>
      <c r="D946" s="47" t="s">
        <v>6524</v>
      </c>
      <c r="E946" s="47"/>
      <c r="F946" s="47" t="s">
        <v>6553</v>
      </c>
      <c r="G946" s="47" t="s">
        <v>13</v>
      </c>
      <c r="H946" s="47" t="str">
        <f>IFERROR(VLOOKUP(Table2[[#This Row], [Ticket]],Okey!A:B,2,0),"")</f>
        <v>ok</v>
      </c>
      <c r="I946" s="47" t="s">
        <v>5290</v>
      </c>
      <c r="J946" s="47" t="e">
        <f>VLOOKUP(Table2[[#This Row], [Author]],People!A:B,2,0)</f>
        <v>#N/A</v>
      </c>
      <c r="K946" s="47" t="s">
        <v>6567</v>
      </c>
      <c r="L946" s="47"/>
      <c r="M946" s="49" t="s">
        <v>4799</v>
      </c>
    </row>
    <row r="947" spans="1:13">
      <c r="A947" s="48">
        <f t="shared" si="14"/>
        <v>946</v>
      </c>
      <c r="B947" s="47" t="s">
        <v>3295</v>
      </c>
      <c r="C947" s="47" t="s">
        <v>6459</v>
      </c>
      <c r="D947" s="47" t="s">
        <v>6525</v>
      </c>
      <c r="E947" s="47"/>
      <c r="F947" s="47" t="s">
        <v>6531</v>
      </c>
      <c r="G947" s="47" t="s">
        <v>13</v>
      </c>
      <c r="H947" s="47" t="str">
        <f>IFERROR(VLOOKUP(Table2[[#This Row], [Ticket]],Okey!A:B,2,0),"")</f>
        <v>ok</v>
      </c>
      <c r="I947" s="47" t="s">
        <v>5290</v>
      </c>
      <c r="J947" s="47" t="e">
        <f>VLOOKUP(Table2[[#This Row], [Author]],People!A:B,2,0)</f>
        <v>#N/A</v>
      </c>
      <c r="K947" s="47" t="s">
        <v>6567</v>
      </c>
      <c r="L947" s="47"/>
      <c r="M947" s="49" t="s">
        <v>4799</v>
      </c>
    </row>
    <row r="948" spans="1:13">
      <c r="A948" s="48">
        <f t="shared" si="14"/>
        <v>947</v>
      </c>
      <c r="B948" s="47" t="s">
        <v>3295</v>
      </c>
      <c r="C948" s="47" t="s">
        <v>6459</v>
      </c>
      <c r="D948" s="47" t="s">
        <v>3340</v>
      </c>
      <c r="E948" s="47"/>
      <c r="F948" s="47" t="s">
        <v>6329</v>
      </c>
      <c r="G948" s="47" t="s">
        <v>13</v>
      </c>
      <c r="H948" s="47" t="str">
        <f>IFERROR(VLOOKUP(Table2[[#This Row], [Ticket]],Okey!A:B,2,0),"")</f>
        <v>ok</v>
      </c>
      <c r="I948" s="47" t="s">
        <v>5290</v>
      </c>
      <c r="J948" s="47" t="e">
        <f>VLOOKUP(Table2[[#This Row], [Author]],People!A:B,2,0)</f>
        <v>#N/A</v>
      </c>
      <c r="K948" s="47" t="s">
        <v>6567</v>
      </c>
      <c r="L948" s="47"/>
      <c r="M948" s="49" t="s">
        <v>4799</v>
      </c>
    </row>
    <row r="949" spans="1:13">
      <c r="A949" s="48">
        <f t="shared" si="14"/>
        <v>948</v>
      </c>
      <c r="B949" s="47" t="s">
        <v>3295</v>
      </c>
      <c r="C949" s="47" t="s">
        <v>6459</v>
      </c>
      <c r="D949" s="47" t="s">
        <v>6526</v>
      </c>
      <c r="E949" s="47"/>
      <c r="F949" s="47" t="s">
        <v>6329</v>
      </c>
      <c r="G949" s="47" t="s">
        <v>13</v>
      </c>
      <c r="H949" s="47" t="str">
        <f>IFERROR(VLOOKUP(Table2[[#This Row], [Ticket]],Okey!A:B,2,0),"")</f>
        <v>ok</v>
      </c>
      <c r="I949" s="47" t="s">
        <v>5290</v>
      </c>
      <c r="J949" s="47" t="e">
        <f>VLOOKUP(Table2[[#This Row], [Author]],People!A:B,2,0)</f>
        <v>#N/A</v>
      </c>
      <c r="K949" s="47" t="s">
        <v>6567</v>
      </c>
      <c r="L949" s="47"/>
      <c r="M949" s="49" t="s">
        <v>4799</v>
      </c>
    </row>
    <row r="950" spans="1:13">
      <c r="A950" s="48">
        <f t="shared" si="14"/>
        <v>949</v>
      </c>
      <c r="B950" s="47" t="s">
        <v>3295</v>
      </c>
      <c r="C950" s="47" t="s">
        <v>6459</v>
      </c>
      <c r="D950" s="47" t="s">
        <v>6527</v>
      </c>
      <c r="E950" s="47"/>
      <c r="F950" s="47" t="s">
        <v>6564</v>
      </c>
      <c r="G950" s="47" t="s">
        <v>13</v>
      </c>
      <c r="H950" s="47" t="str">
        <f>IFERROR(VLOOKUP(Table2[[#This Row], [Ticket]],Okey!A:B,2,0),"")</f>
        <v>ok</v>
      </c>
      <c r="I950" s="47" t="s">
        <v>5290</v>
      </c>
      <c r="J950" s="47" t="e">
        <f>VLOOKUP(Table2[[#This Row], [Author]],People!A:B,2,0)</f>
        <v>#N/A</v>
      </c>
      <c r="K950" s="47" t="s">
        <v>6567</v>
      </c>
      <c r="L950" s="47"/>
      <c r="M950" s="49" t="s">
        <v>4799</v>
      </c>
    </row>
    <row r="951" spans="1:13">
      <c r="A951" s="48">
        <f t="shared" si="14"/>
        <v>950</v>
      </c>
      <c r="B951" s="47" t="s">
        <v>3295</v>
      </c>
      <c r="C951" s="47" t="s">
        <v>6459</v>
      </c>
      <c r="D951" s="47" t="s">
        <v>6528</v>
      </c>
      <c r="E951" s="47"/>
      <c r="F951" s="47" t="s">
        <v>6565</v>
      </c>
      <c r="G951" s="47" t="s">
        <v>13</v>
      </c>
      <c r="H951" s="47" t="str">
        <f>IFERROR(VLOOKUP(Table2[[#This Row], [Ticket]],Okey!A:B,2,0),"")</f>
        <v>ok</v>
      </c>
      <c r="I951" s="47" t="s">
        <v>5290</v>
      </c>
      <c r="J951" s="47" t="e">
        <f>VLOOKUP(Table2[[#This Row], [Author]],People!A:B,2,0)</f>
        <v>#N/A</v>
      </c>
      <c r="K951" s="47" t="s">
        <v>6567</v>
      </c>
      <c r="L951" s="47"/>
      <c r="M951" s="49" t="s">
        <v>4799</v>
      </c>
    </row>
    <row r="952" spans="1:13">
      <c r="A952" s="48">
        <f t="shared" si="14"/>
        <v>951</v>
      </c>
      <c r="B952" s="47" t="s">
        <v>3295</v>
      </c>
      <c r="C952" s="47" t="s">
        <v>6459</v>
      </c>
      <c r="D952" s="47" t="s">
        <v>6529</v>
      </c>
      <c r="E952" s="47"/>
      <c r="F952" s="47" t="s">
        <v>6566</v>
      </c>
      <c r="G952" s="47" t="s">
        <v>13</v>
      </c>
      <c r="H952" s="47" t="str">
        <f>IFERROR(VLOOKUP(Table2[[#This Row], [Ticket]],Okey!A:B,2,0),"")</f>
        <v>ok</v>
      </c>
      <c r="I952" s="47" t="s">
        <v>5290</v>
      </c>
      <c r="J952" s="47" t="e">
        <f>VLOOKUP(Table2[[#This Row], [Author]],People!A:B,2,0)</f>
        <v>#N/A</v>
      </c>
      <c r="K952" s="47" t="s">
        <v>6567</v>
      </c>
      <c r="L952" s="47"/>
      <c r="M952" s="49" t="s">
        <v>4799</v>
      </c>
    </row>
    <row r="953" spans="1:13">
      <c r="A953" s="48">
        <f t="shared" si="14"/>
        <v>952</v>
      </c>
      <c r="B953" s="47" t="s">
        <v>3295</v>
      </c>
      <c r="C953" s="47" t="s">
        <v>6459</v>
      </c>
      <c r="D953" s="47" t="s">
        <v>6530</v>
      </c>
      <c r="E953" s="47"/>
      <c r="F953" s="47" t="s">
        <v>6532</v>
      </c>
      <c r="G953" s="47" t="s">
        <v>13</v>
      </c>
      <c r="H953" s="47" t="str">
        <f>IFERROR(VLOOKUP(Table2[[#This Row], [Ticket]],Okey!A:B,2,0),"")</f>
        <v>ok</v>
      </c>
      <c r="I953" s="47" t="s">
        <v>5290</v>
      </c>
      <c r="J953" s="47" t="e">
        <f>VLOOKUP(Table2[[#This Row], [Author]],People!A:B,2,0)</f>
        <v>#N/A</v>
      </c>
      <c r="K953" s="47" t="s">
        <v>6567</v>
      </c>
      <c r="L953" s="47"/>
      <c r="M953" s="49" t="s">
        <v>4799</v>
      </c>
    </row>
    <row r="954" spans="1:13">
      <c r="A954" s="48">
        <f t="shared" si="14"/>
        <v>953</v>
      </c>
      <c r="B954" s="47" t="s">
        <v>3295</v>
      </c>
      <c r="C954" s="47" t="s">
        <v>6459</v>
      </c>
      <c r="D954" s="47" t="s">
        <v>3558</v>
      </c>
      <c r="E954" s="47"/>
      <c r="F954" s="47" t="s">
        <v>5595</v>
      </c>
      <c r="G954" s="47" t="s">
        <v>12</v>
      </c>
      <c r="H954" s="47" t="str">
        <f>IFERROR(VLOOKUP(Table2[[#This Row], [Ticket]],Okey!A:B,2,0),"")</f>
        <v>ok</v>
      </c>
      <c r="I954" s="47" t="s">
        <v>5290</v>
      </c>
      <c r="J954" s="47" t="e">
        <f>VLOOKUP(Table2[[#This Row], [Author]],People!A:B,2,0)</f>
        <v>#N/A</v>
      </c>
      <c r="K954" s="47" t="s">
        <v>6567</v>
      </c>
      <c r="L954" s="47"/>
      <c r="M954" s="49" t="s">
        <v>4799</v>
      </c>
    </row>
    <row r="955" spans="1:13">
      <c r="A955" s="48">
        <f t="shared" si="14"/>
        <v>954</v>
      </c>
      <c r="B955" s="47" t="s">
        <v>3295</v>
      </c>
      <c r="C955" s="47" t="s">
        <v>6459</v>
      </c>
      <c r="D955" s="47" t="s">
        <v>4158</v>
      </c>
      <c r="E955" s="47"/>
      <c r="F955" s="47" t="s">
        <v>5595</v>
      </c>
      <c r="G955" s="47" t="s">
        <v>12</v>
      </c>
      <c r="H955" s="47" t="str">
        <f>IFERROR(VLOOKUP(Table2[[#This Row], [Ticket]],Okey!A:B,2,0),"")</f>
        <v>ok</v>
      </c>
      <c r="I955" s="47" t="s">
        <v>5290</v>
      </c>
      <c r="J955" s="47" t="e">
        <f>VLOOKUP(Table2[[#This Row], [Author]],People!A:B,2,0)</f>
        <v>#N/A</v>
      </c>
      <c r="K955" s="47" t="s">
        <v>6567</v>
      </c>
      <c r="L955" s="47"/>
      <c r="M955" s="49" t="s">
        <v>4799</v>
      </c>
    </row>
    <row r="956" spans="1:13">
      <c r="A956" s="48">
        <f t="shared" si="14"/>
        <v>955</v>
      </c>
      <c r="B956" s="47" t="s">
        <v>3295</v>
      </c>
      <c r="C956" s="47" t="s">
        <v>6459</v>
      </c>
      <c r="D956" s="47" t="s">
        <v>4172</v>
      </c>
      <c r="E956" s="47"/>
      <c r="F956" s="47" t="s">
        <v>5595</v>
      </c>
      <c r="G956" s="47" t="s">
        <v>12</v>
      </c>
      <c r="H956" s="47" t="str">
        <f>IFERROR(VLOOKUP(Table2[[#This Row], [Ticket]],Okey!A:B,2,0),"")</f>
        <v>ok</v>
      </c>
      <c r="I956" s="47" t="s">
        <v>5290</v>
      </c>
      <c r="J956" s="47" t="e">
        <f>VLOOKUP(Table2[[#This Row], [Author]],People!A:B,2,0)</f>
        <v>#N/A</v>
      </c>
      <c r="K956" s="47" t="s">
        <v>6567</v>
      </c>
      <c r="L956" s="47"/>
      <c r="M956" s="49" t="s">
        <v>4799</v>
      </c>
    </row>
    <row r="957" spans="1:13">
      <c r="A957" s="48">
        <f t="shared" si="14"/>
        <v>956</v>
      </c>
      <c r="B957" s="47" t="s">
        <v>3295</v>
      </c>
      <c r="C957" s="47" t="s">
        <v>6459</v>
      </c>
      <c r="D957" s="47" t="s">
        <v>4170</v>
      </c>
      <c r="E957" s="47"/>
      <c r="F957" s="47" t="s">
        <v>5595</v>
      </c>
      <c r="G957" s="47" t="s">
        <v>12</v>
      </c>
      <c r="H957" s="47" t="str">
        <f>IFERROR(VLOOKUP(Table2[[#This Row], [Ticket]],Okey!A:B,2,0),"")</f>
        <v>ok</v>
      </c>
      <c r="I957" s="47" t="s">
        <v>5290</v>
      </c>
      <c r="J957" s="47" t="e">
        <f>VLOOKUP(Table2[[#This Row], [Author]],People!A:B,2,0)</f>
        <v>#N/A</v>
      </c>
      <c r="K957" s="47" t="s">
        <v>6567</v>
      </c>
      <c r="L957" s="47"/>
      <c r="M957" s="49" t="s">
        <v>4799</v>
      </c>
    </row>
    <row r="958" spans="1:13">
      <c r="A958" s="48">
        <f t="shared" si="14"/>
        <v>957</v>
      </c>
      <c r="B958" s="47" t="s">
        <v>3295</v>
      </c>
      <c r="C958" s="47" t="s">
        <v>6459</v>
      </c>
      <c r="D958" s="47" t="s">
        <v>4168</v>
      </c>
      <c r="E958" s="47"/>
      <c r="F958" s="47" t="s">
        <v>5595</v>
      </c>
      <c r="G958" s="47" t="s">
        <v>12</v>
      </c>
      <c r="H958" s="47" t="str">
        <f>IFERROR(VLOOKUP(Table2[[#This Row], [Ticket]],Okey!A:B,2,0),"")</f>
        <v>ok</v>
      </c>
      <c r="I958" s="47" t="s">
        <v>5290</v>
      </c>
      <c r="J958" s="47" t="e">
        <f>VLOOKUP(Table2[[#This Row], [Author]],People!A:B,2,0)</f>
        <v>#N/A</v>
      </c>
      <c r="K958" s="47" t="s">
        <v>6567</v>
      </c>
      <c r="L958" s="47"/>
      <c r="M958" s="49" t="s">
        <v>4799</v>
      </c>
    </row>
    <row r="959" spans="1:13">
      <c r="A959" s="48">
        <f t="shared" si="14"/>
        <v>958</v>
      </c>
      <c r="B959" s="47" t="s">
        <v>3295</v>
      </c>
      <c r="C959" s="47" t="s">
        <v>6459</v>
      </c>
      <c r="D959" s="47" t="s">
        <v>4166</v>
      </c>
      <c r="E959" s="47"/>
      <c r="F959" s="47" t="s">
        <v>5595</v>
      </c>
      <c r="G959" s="47" t="s">
        <v>12</v>
      </c>
      <c r="H959" s="47" t="str">
        <f>IFERROR(VLOOKUP(Table2[[#This Row], [Ticket]],Okey!A:B,2,0),"")</f>
        <v>ok</v>
      </c>
      <c r="I959" s="47" t="s">
        <v>5290</v>
      </c>
      <c r="J959" s="47" t="e">
        <f>VLOOKUP(Table2[[#This Row], [Author]],People!A:B,2,0)</f>
        <v>#N/A</v>
      </c>
      <c r="K959" s="47" t="s">
        <v>6567</v>
      </c>
      <c r="L959" s="47"/>
      <c r="M959" s="49" t="s">
        <v>4799</v>
      </c>
    </row>
    <row r="960" spans="1:13">
      <c r="A960" s="48">
        <f t="shared" si="14"/>
        <v>959</v>
      </c>
      <c r="B960" s="47" t="s">
        <v>3295</v>
      </c>
      <c r="C960" s="47" t="s">
        <v>6459</v>
      </c>
      <c r="D960" s="47" t="s">
        <v>4164</v>
      </c>
      <c r="E960" s="47"/>
      <c r="F960" s="47" t="s">
        <v>5595</v>
      </c>
      <c r="G960" s="47" t="s">
        <v>12</v>
      </c>
      <c r="H960" s="47" t="str">
        <f>IFERROR(VLOOKUP(Table2[[#This Row], [Ticket]],Okey!A:B,2,0),"")</f>
        <v>ok</v>
      </c>
      <c r="I960" s="47" t="s">
        <v>5290</v>
      </c>
      <c r="J960" s="47" t="e">
        <f>VLOOKUP(Table2[[#This Row], [Author]],People!A:B,2,0)</f>
        <v>#N/A</v>
      </c>
      <c r="K960" s="47" t="s">
        <v>6567</v>
      </c>
      <c r="L960" s="47"/>
      <c r="M960" s="49" t="s">
        <v>4799</v>
      </c>
    </row>
    <row r="961" spans="1:13">
      <c r="A961" s="48">
        <f t="shared" si="14"/>
        <v>960</v>
      </c>
      <c r="B961" s="47" t="s">
        <v>3295</v>
      </c>
      <c r="C961" s="47" t="s">
        <v>6459</v>
      </c>
      <c r="D961" s="47" t="s">
        <v>4162</v>
      </c>
      <c r="E961" s="47"/>
      <c r="F961" s="47" t="s">
        <v>5595</v>
      </c>
      <c r="G961" s="47" t="s">
        <v>12</v>
      </c>
      <c r="H961" s="47" t="str">
        <f>IFERROR(VLOOKUP(Table2[[#This Row], [Ticket]],Okey!A:B,2,0),"")</f>
        <v>ok</v>
      </c>
      <c r="I961" s="47" t="s">
        <v>5290</v>
      </c>
      <c r="J961" s="47" t="e">
        <f>VLOOKUP(Table2[[#This Row], [Author]],People!A:B,2,0)</f>
        <v>#N/A</v>
      </c>
      <c r="K961" s="47" t="s">
        <v>6567</v>
      </c>
      <c r="L961" s="47"/>
      <c r="M961" s="49" t="s">
        <v>4799</v>
      </c>
    </row>
    <row r="962" spans="1:13">
      <c r="A962" s="48">
        <f t="shared" si="14"/>
        <v>961</v>
      </c>
      <c r="B962" s="47" t="s">
        <v>3295</v>
      </c>
      <c r="C962" s="47" t="s">
        <v>6459</v>
      </c>
      <c r="D962" s="47" t="s">
        <v>4160</v>
      </c>
      <c r="E962" s="47"/>
      <c r="F962" s="47" t="s">
        <v>5595</v>
      </c>
      <c r="G962" s="47" t="s">
        <v>12</v>
      </c>
      <c r="H962" s="47" t="str">
        <f>IFERROR(VLOOKUP(Table2[[#This Row], [Ticket]],Okey!A:B,2,0),"")</f>
        <v>ok</v>
      </c>
      <c r="I962" s="47" t="s">
        <v>5290</v>
      </c>
      <c r="J962" s="47" t="e">
        <f>VLOOKUP(Table2[[#This Row], [Author]],People!A:B,2,0)</f>
        <v>#N/A</v>
      </c>
      <c r="K962" s="47" t="s">
        <v>6567</v>
      </c>
      <c r="L962" s="47"/>
      <c r="M962" s="49" t="s">
        <v>4799</v>
      </c>
    </row>
    <row r="963" spans="1:13">
      <c r="A963" s="48">
        <f t="shared" ref="A963:A1026" si="15">1+A962</f>
        <v>962</v>
      </c>
      <c r="B963" s="47" t="s">
        <v>3295</v>
      </c>
      <c r="C963" s="47" t="s">
        <v>6459</v>
      </c>
      <c r="D963" s="47" t="s">
        <v>6533</v>
      </c>
      <c r="E963" s="47"/>
      <c r="F963" s="47" t="s">
        <v>6029</v>
      </c>
      <c r="G963" s="47" t="s">
        <v>12</v>
      </c>
      <c r="H963" s="47" t="str">
        <f>IFERROR(VLOOKUP(Table2[[#This Row], [Ticket]],Okey!A:B,2,0),"")</f>
        <v>ok</v>
      </c>
      <c r="I963" s="47" t="s">
        <v>5290</v>
      </c>
      <c r="J963" s="47" t="e">
        <f>VLOOKUP(Table2[[#This Row], [Author]],People!A:B,2,0)</f>
        <v>#N/A</v>
      </c>
      <c r="K963" s="47" t="s">
        <v>6567</v>
      </c>
      <c r="L963" s="47"/>
      <c r="M963" s="49" t="s">
        <v>4799</v>
      </c>
    </row>
    <row r="964" spans="1:13">
      <c r="A964" s="48">
        <f t="shared" si="15"/>
        <v>963</v>
      </c>
      <c r="B964" s="47" t="s">
        <v>3295</v>
      </c>
      <c r="C964" s="47" t="s">
        <v>6459</v>
      </c>
      <c r="D964" s="47" t="s">
        <v>6534</v>
      </c>
      <c r="E964" s="47"/>
      <c r="F964" s="47" t="s">
        <v>6029</v>
      </c>
      <c r="G964" s="47" t="s">
        <v>12</v>
      </c>
      <c r="H964" s="47" t="str">
        <f>IFERROR(VLOOKUP(Table2[[#This Row], [Ticket]],Okey!A:B,2,0),"")</f>
        <v>ok</v>
      </c>
      <c r="I964" s="47" t="s">
        <v>5290</v>
      </c>
      <c r="J964" s="47" t="e">
        <f>VLOOKUP(Table2[[#This Row], [Author]],People!A:B,2,0)</f>
        <v>#N/A</v>
      </c>
      <c r="K964" s="47" t="s">
        <v>6567</v>
      </c>
      <c r="L964" s="47"/>
      <c r="M964" s="49" t="s">
        <v>4799</v>
      </c>
    </row>
    <row r="965" spans="1:13">
      <c r="A965" s="48">
        <f t="shared" si="15"/>
        <v>964</v>
      </c>
      <c r="B965" s="47" t="s">
        <v>3295</v>
      </c>
      <c r="C965" s="47" t="s">
        <v>6459</v>
      </c>
      <c r="D965" s="47" t="s">
        <v>6535</v>
      </c>
      <c r="E965" s="47"/>
      <c r="F965" s="47" t="s">
        <v>6029</v>
      </c>
      <c r="G965" s="47" t="s">
        <v>12</v>
      </c>
      <c r="H965" s="47" t="str">
        <f>IFERROR(VLOOKUP(Table2[[#This Row], [Ticket]],Okey!A:B,2,0),"")</f>
        <v>ok</v>
      </c>
      <c r="I965" s="47" t="s">
        <v>5290</v>
      </c>
      <c r="J965" s="47" t="e">
        <f>VLOOKUP(Table2[[#This Row], [Author]],People!A:B,2,0)</f>
        <v>#N/A</v>
      </c>
      <c r="K965" s="47" t="s">
        <v>6567</v>
      </c>
      <c r="L965" s="47"/>
      <c r="M965" s="49" t="s">
        <v>4799</v>
      </c>
    </row>
    <row r="966" spans="1:13">
      <c r="A966" s="48">
        <f t="shared" si="15"/>
        <v>965</v>
      </c>
      <c r="B966" s="47" t="s">
        <v>3295</v>
      </c>
      <c r="C966" s="47" t="s">
        <v>6459</v>
      </c>
      <c r="D966" s="47" t="s">
        <v>6536</v>
      </c>
      <c r="E966" s="47"/>
      <c r="F966" s="47" t="s">
        <v>6029</v>
      </c>
      <c r="G966" s="47" t="s">
        <v>12</v>
      </c>
      <c r="H966" s="47" t="str">
        <f>IFERROR(VLOOKUP(Table2[[#This Row], [Ticket]],Okey!A:B,2,0),"")</f>
        <v>ok</v>
      </c>
      <c r="I966" s="47" t="s">
        <v>5290</v>
      </c>
      <c r="J966" s="47" t="e">
        <f>VLOOKUP(Table2[[#This Row], [Author]],People!A:B,2,0)</f>
        <v>#N/A</v>
      </c>
      <c r="K966" s="47" t="s">
        <v>6567</v>
      </c>
      <c r="L966" s="47"/>
      <c r="M966" s="49" t="s">
        <v>4799</v>
      </c>
    </row>
    <row r="967" spans="1:13">
      <c r="A967" s="48">
        <f t="shared" si="15"/>
        <v>966</v>
      </c>
      <c r="B967" s="47" t="s">
        <v>3295</v>
      </c>
      <c r="C967" s="47" t="s">
        <v>6459</v>
      </c>
      <c r="D967" s="47" t="s">
        <v>6537</v>
      </c>
      <c r="E967" s="47"/>
      <c r="F967" s="47" t="s">
        <v>6029</v>
      </c>
      <c r="G967" s="47" t="s">
        <v>12</v>
      </c>
      <c r="H967" s="47" t="str">
        <f>IFERROR(VLOOKUP(Table2[[#This Row], [Ticket]],Okey!A:B,2,0),"")</f>
        <v>ok</v>
      </c>
      <c r="I967" s="47" t="s">
        <v>5290</v>
      </c>
      <c r="J967" s="47" t="e">
        <f>VLOOKUP(Table2[[#This Row], [Author]],People!A:B,2,0)</f>
        <v>#N/A</v>
      </c>
      <c r="K967" s="47" t="s">
        <v>6567</v>
      </c>
      <c r="L967" s="47"/>
      <c r="M967" s="49" t="s">
        <v>4799</v>
      </c>
    </row>
    <row r="968" spans="1:13">
      <c r="A968" s="48">
        <f t="shared" si="15"/>
        <v>967</v>
      </c>
      <c r="B968" s="47" t="s">
        <v>3295</v>
      </c>
      <c r="C968" s="47" t="s">
        <v>6459</v>
      </c>
      <c r="D968" s="47" t="s">
        <v>6538</v>
      </c>
      <c r="E968" s="47"/>
      <c r="F968" s="47" t="s">
        <v>6029</v>
      </c>
      <c r="G968" s="47" t="s">
        <v>12</v>
      </c>
      <c r="H968" s="47" t="str">
        <f>IFERROR(VLOOKUP(Table2[[#This Row], [Ticket]],Okey!A:B,2,0),"")</f>
        <v>ok</v>
      </c>
      <c r="I968" s="47" t="s">
        <v>5290</v>
      </c>
      <c r="J968" s="47" t="e">
        <f>VLOOKUP(Table2[[#This Row], [Author]],People!A:B,2,0)</f>
        <v>#N/A</v>
      </c>
      <c r="K968" s="47" t="s">
        <v>6567</v>
      </c>
      <c r="L968" s="47"/>
      <c r="M968" s="49" t="s">
        <v>4799</v>
      </c>
    </row>
    <row r="969" spans="1:13">
      <c r="A969" s="48">
        <f t="shared" si="15"/>
        <v>968</v>
      </c>
      <c r="B969" s="47" t="s">
        <v>3295</v>
      </c>
      <c r="C969" s="47" t="s">
        <v>6459</v>
      </c>
      <c r="D969" s="47" t="s">
        <v>6539</v>
      </c>
      <c r="E969" s="47"/>
      <c r="F969" s="47" t="s">
        <v>6029</v>
      </c>
      <c r="G969" s="47" t="s">
        <v>12</v>
      </c>
      <c r="H969" s="47" t="str">
        <f>IFERROR(VLOOKUP(Table2[[#This Row], [Ticket]],Okey!A:B,2,0),"")</f>
        <v>ok</v>
      </c>
      <c r="I969" s="47" t="s">
        <v>5290</v>
      </c>
      <c r="J969" s="47" t="e">
        <f>VLOOKUP(Table2[[#This Row], [Author]],People!A:B,2,0)</f>
        <v>#N/A</v>
      </c>
      <c r="K969" s="47" t="s">
        <v>6567</v>
      </c>
      <c r="L969" s="47"/>
      <c r="M969" s="49" t="s">
        <v>4799</v>
      </c>
    </row>
    <row r="970" spans="1:13">
      <c r="A970" s="48">
        <f t="shared" si="15"/>
        <v>969</v>
      </c>
      <c r="B970" s="47" t="s">
        <v>3295</v>
      </c>
      <c r="C970" s="47" t="s">
        <v>6459</v>
      </c>
      <c r="D970" s="47" t="s">
        <v>6540</v>
      </c>
      <c r="E970" s="47"/>
      <c r="F970" s="47" t="s">
        <v>6029</v>
      </c>
      <c r="G970" s="47" t="s">
        <v>12</v>
      </c>
      <c r="H970" s="47" t="str">
        <f>IFERROR(VLOOKUP(Table2[[#This Row], [Ticket]],Okey!A:B,2,0),"")</f>
        <v>ok</v>
      </c>
      <c r="I970" s="47" t="s">
        <v>5290</v>
      </c>
      <c r="J970" s="47" t="e">
        <f>VLOOKUP(Table2[[#This Row], [Author]],People!A:B,2,0)</f>
        <v>#N/A</v>
      </c>
      <c r="K970" s="47" t="s">
        <v>6567</v>
      </c>
      <c r="L970" s="47"/>
      <c r="M970" s="49" t="s">
        <v>4799</v>
      </c>
    </row>
    <row r="971" spans="1:13">
      <c r="A971" s="48">
        <f t="shared" si="15"/>
        <v>970</v>
      </c>
      <c r="B971" s="47" t="s">
        <v>3295</v>
      </c>
      <c r="C971" s="47" t="s">
        <v>6459</v>
      </c>
      <c r="D971" s="47" t="s">
        <v>6541</v>
      </c>
      <c r="E971" s="47"/>
      <c r="F971" s="47" t="s">
        <v>6029</v>
      </c>
      <c r="G971" s="47" t="s">
        <v>12</v>
      </c>
      <c r="H971" s="47" t="str">
        <f>IFERROR(VLOOKUP(Table2[[#This Row], [Ticket]],Okey!A:B,2,0),"")</f>
        <v>ok</v>
      </c>
      <c r="I971" s="47" t="s">
        <v>5290</v>
      </c>
      <c r="J971" s="47" t="e">
        <f>VLOOKUP(Table2[[#This Row], [Author]],People!A:B,2,0)</f>
        <v>#N/A</v>
      </c>
      <c r="K971" s="47" t="s">
        <v>6567</v>
      </c>
      <c r="L971" s="47"/>
      <c r="M971" s="49" t="s">
        <v>4799</v>
      </c>
    </row>
    <row r="972" spans="1:13">
      <c r="A972" s="48">
        <f t="shared" si="15"/>
        <v>971</v>
      </c>
      <c r="B972" s="47" t="s">
        <v>3295</v>
      </c>
      <c r="C972" s="47" t="s">
        <v>6459</v>
      </c>
      <c r="D972" s="47" t="s">
        <v>6542</v>
      </c>
      <c r="E972" s="47"/>
      <c r="F972" s="47" t="s">
        <v>6029</v>
      </c>
      <c r="G972" s="47" t="s">
        <v>12</v>
      </c>
      <c r="H972" s="47" t="str">
        <f>IFERROR(VLOOKUP(Table2[[#This Row], [Ticket]],Okey!A:B,2,0),"")</f>
        <v>ok</v>
      </c>
      <c r="I972" s="47" t="s">
        <v>5290</v>
      </c>
      <c r="J972" s="47" t="e">
        <f>VLOOKUP(Table2[[#This Row], [Author]],People!A:B,2,0)</f>
        <v>#N/A</v>
      </c>
      <c r="K972" s="47" t="s">
        <v>6567</v>
      </c>
      <c r="L972" s="47"/>
      <c r="M972" s="49" t="s">
        <v>4799</v>
      </c>
    </row>
    <row r="973" spans="1:13">
      <c r="A973" s="48">
        <f t="shared" si="15"/>
        <v>972</v>
      </c>
      <c r="B973" s="47" t="s">
        <v>3295</v>
      </c>
      <c r="C973" s="47" t="s">
        <v>6459</v>
      </c>
      <c r="D973" s="47" t="s">
        <v>6543</v>
      </c>
      <c r="E973" s="47"/>
      <c r="F973" s="47" t="s">
        <v>6029</v>
      </c>
      <c r="G973" s="47" t="s">
        <v>12</v>
      </c>
      <c r="H973" s="47" t="str">
        <f>IFERROR(VLOOKUP(Table2[[#This Row], [Ticket]],Okey!A:B,2,0),"")</f>
        <v>ok</v>
      </c>
      <c r="I973" s="47" t="s">
        <v>5290</v>
      </c>
      <c r="J973" s="47" t="e">
        <f>VLOOKUP(Table2[[#This Row], [Author]],People!A:B,2,0)</f>
        <v>#N/A</v>
      </c>
      <c r="K973" s="47" t="s">
        <v>6567</v>
      </c>
      <c r="L973" s="47"/>
      <c r="M973" s="49" t="s">
        <v>4799</v>
      </c>
    </row>
    <row r="974" spans="1:13">
      <c r="A974" s="48">
        <f t="shared" si="15"/>
        <v>973</v>
      </c>
      <c r="B974" s="47" t="s">
        <v>3295</v>
      </c>
      <c r="C974" s="47" t="s">
        <v>6459</v>
      </c>
      <c r="D974" s="47" t="s">
        <v>6544</v>
      </c>
      <c r="E974" s="47"/>
      <c r="F974" s="47" t="s">
        <v>6029</v>
      </c>
      <c r="G974" s="47" t="s">
        <v>12</v>
      </c>
      <c r="H974" s="47" t="str">
        <f>IFERROR(VLOOKUP(Table2[[#This Row], [Ticket]],Okey!A:B,2,0),"")</f>
        <v>ok</v>
      </c>
      <c r="I974" s="47" t="s">
        <v>5290</v>
      </c>
      <c r="J974" s="47" t="e">
        <f>VLOOKUP(Table2[[#This Row], [Author]],People!A:B,2,0)</f>
        <v>#N/A</v>
      </c>
      <c r="K974" s="47" t="s">
        <v>6567</v>
      </c>
      <c r="L974" s="47"/>
      <c r="M974" s="49" t="s">
        <v>4799</v>
      </c>
    </row>
    <row r="975" spans="1:13">
      <c r="A975" s="48">
        <f t="shared" si="15"/>
        <v>974</v>
      </c>
      <c r="B975" s="47" t="s">
        <v>3295</v>
      </c>
      <c r="C975" s="47" t="s">
        <v>6459</v>
      </c>
      <c r="D975" s="47" t="s">
        <v>6545</v>
      </c>
      <c r="E975" s="47"/>
      <c r="F975" s="47" t="s">
        <v>6029</v>
      </c>
      <c r="G975" s="47" t="s">
        <v>12</v>
      </c>
      <c r="H975" s="47" t="str">
        <f>IFERROR(VLOOKUP(Table2[[#This Row], [Ticket]],Okey!A:B,2,0),"")</f>
        <v>ok</v>
      </c>
      <c r="I975" s="47" t="s">
        <v>5290</v>
      </c>
      <c r="J975" s="47" t="e">
        <f>VLOOKUP(Table2[[#This Row], [Author]],People!A:B,2,0)</f>
        <v>#N/A</v>
      </c>
      <c r="K975" s="47" t="s">
        <v>6567</v>
      </c>
      <c r="L975" s="47"/>
      <c r="M975" s="49" t="s">
        <v>4799</v>
      </c>
    </row>
    <row r="976" spans="1:13">
      <c r="A976" s="48">
        <f t="shared" si="15"/>
        <v>975</v>
      </c>
      <c r="B976" s="47" t="s">
        <v>3295</v>
      </c>
      <c r="C976" s="47" t="s">
        <v>6459</v>
      </c>
      <c r="D976" s="47" t="s">
        <v>6546</v>
      </c>
      <c r="E976" s="47"/>
      <c r="F976" s="47" t="s">
        <v>6029</v>
      </c>
      <c r="G976" s="47" t="s">
        <v>12</v>
      </c>
      <c r="H976" s="47" t="str">
        <f>IFERROR(VLOOKUP(Table2[[#This Row], [Ticket]],Okey!A:B,2,0),"")</f>
        <v>ok</v>
      </c>
      <c r="I976" s="47" t="s">
        <v>5290</v>
      </c>
      <c r="J976" s="47" t="e">
        <f>VLOOKUP(Table2[[#This Row], [Author]],People!A:B,2,0)</f>
        <v>#N/A</v>
      </c>
      <c r="K976" s="47" t="s">
        <v>6567</v>
      </c>
      <c r="L976" s="47"/>
      <c r="M976" s="49" t="s">
        <v>4799</v>
      </c>
    </row>
    <row r="977" spans="1:13">
      <c r="A977" s="48">
        <f t="shared" si="15"/>
        <v>976</v>
      </c>
      <c r="B977" s="47" t="s">
        <v>3295</v>
      </c>
      <c r="C977" s="47" t="s">
        <v>6459</v>
      </c>
      <c r="D977" s="47" t="s">
        <v>6547</v>
      </c>
      <c r="E977" s="47"/>
      <c r="F977" s="47" t="s">
        <v>6029</v>
      </c>
      <c r="G977" s="47" t="s">
        <v>12</v>
      </c>
      <c r="H977" s="47" t="str">
        <f>IFERROR(VLOOKUP(Table2[[#This Row], [Ticket]],Okey!A:B,2,0),"")</f>
        <v>ok</v>
      </c>
      <c r="I977" s="47" t="s">
        <v>5290</v>
      </c>
      <c r="J977" s="47" t="e">
        <f>VLOOKUP(Table2[[#This Row], [Author]],People!A:B,2,0)</f>
        <v>#N/A</v>
      </c>
      <c r="K977" s="47" t="s">
        <v>6567</v>
      </c>
      <c r="L977" s="47"/>
      <c r="M977" s="49" t="s">
        <v>4799</v>
      </c>
    </row>
    <row r="978" spans="1:13">
      <c r="A978" s="48">
        <f t="shared" si="15"/>
        <v>977</v>
      </c>
      <c r="B978" s="47" t="s">
        <v>3295</v>
      </c>
      <c r="C978" s="47" t="s">
        <v>6579</v>
      </c>
      <c r="D978" s="47" t="s">
        <v>6594</v>
      </c>
      <c r="E978" s="47" t="s">
        <v>6569</v>
      </c>
      <c r="F978" s="47" t="s">
        <v>3679</v>
      </c>
      <c r="G978" s="47" t="s">
        <v>14</v>
      </c>
      <c r="H978" s="47" t="str">
        <f>IFERROR(VLOOKUP(Table2[[#This Row], [Ticket]],Okey!A:B,2,0),"")</f>
        <v>ok</v>
      </c>
      <c r="I978" s="47" t="s">
        <v>5290</v>
      </c>
      <c r="J978" s="47" t="e">
        <f>VLOOKUP(Table2[[#This Row], [Author]],People!A:B,2,0)</f>
        <v>#N/A</v>
      </c>
      <c r="K978" s="47" t="s">
        <v>6618</v>
      </c>
      <c r="L978" s="47"/>
      <c r="M978" s="49" t="s">
        <v>4778</v>
      </c>
    </row>
    <row r="979" spans="1:13">
      <c r="A979" s="48">
        <f t="shared" si="15"/>
        <v>978</v>
      </c>
      <c r="B979" s="47" t="s">
        <v>3295</v>
      </c>
      <c r="C979" s="47" t="s">
        <v>6579</v>
      </c>
      <c r="D979" s="47" t="s">
        <v>6595</v>
      </c>
      <c r="E979" s="47" t="s">
        <v>6570</v>
      </c>
      <c r="F979" s="47" t="s">
        <v>6594</v>
      </c>
      <c r="G979" s="47" t="s">
        <v>14</v>
      </c>
      <c r="H979" s="47" t="str">
        <f>IFERROR(VLOOKUP(Table2[[#This Row], [Ticket]],Okey!A:B,2,0),"")</f>
        <v>ok</v>
      </c>
      <c r="I979" s="47" t="s">
        <v>5290</v>
      </c>
      <c r="J979" s="47" t="e">
        <f>VLOOKUP(Table2[[#This Row], [Author]],People!A:B,2,0)</f>
        <v>#N/A</v>
      </c>
      <c r="K979" s="47" t="s">
        <v>6618</v>
      </c>
      <c r="L979" s="47"/>
      <c r="M979" s="49" t="s">
        <v>4778</v>
      </c>
    </row>
    <row r="980" spans="1:13">
      <c r="A980" s="48">
        <f t="shared" si="15"/>
        <v>979</v>
      </c>
      <c r="B980" s="47" t="s">
        <v>3295</v>
      </c>
      <c r="C980" s="47" t="s">
        <v>6579</v>
      </c>
      <c r="D980" s="47" t="s">
        <v>6596</v>
      </c>
      <c r="E980" s="47" t="s">
        <v>6571</v>
      </c>
      <c r="F980" s="47" t="s">
        <v>6594</v>
      </c>
      <c r="G980" s="47" t="s">
        <v>14</v>
      </c>
      <c r="H980" s="47" t="str">
        <f>IFERROR(VLOOKUP(Table2[[#This Row], [Ticket]],Okey!A:B,2,0),"")</f>
        <v>ok</v>
      </c>
      <c r="I980" s="47" t="s">
        <v>5290</v>
      </c>
      <c r="J980" s="47" t="e">
        <f>VLOOKUP(Table2[[#This Row], [Author]],People!A:B,2,0)</f>
        <v>#N/A</v>
      </c>
      <c r="K980" s="47" t="s">
        <v>6618</v>
      </c>
      <c r="L980" s="47"/>
      <c r="M980" s="49" t="s">
        <v>4778</v>
      </c>
    </row>
    <row r="981" spans="1:13">
      <c r="A981" s="48">
        <f t="shared" si="15"/>
        <v>980</v>
      </c>
      <c r="B981" s="47" t="s">
        <v>3295</v>
      </c>
      <c r="C981" s="47" t="s">
        <v>6579</v>
      </c>
      <c r="D981" s="47" t="s">
        <v>6597</v>
      </c>
      <c r="E981" s="47" t="s">
        <v>6572</v>
      </c>
      <c r="F981" s="47" t="s">
        <v>6595</v>
      </c>
      <c r="G981" s="47" t="s">
        <v>14</v>
      </c>
      <c r="H981" s="47" t="str">
        <f>IFERROR(VLOOKUP(Table2[[#This Row], [Ticket]],Okey!A:B,2,0),"")</f>
        <v>ok</v>
      </c>
      <c r="I981" s="47" t="s">
        <v>5290</v>
      </c>
      <c r="J981" s="47" t="e">
        <f>VLOOKUP(Table2[[#This Row], [Author]],People!A:B,2,0)</f>
        <v>#N/A</v>
      </c>
      <c r="K981" s="47" t="s">
        <v>6618</v>
      </c>
      <c r="L981" s="47"/>
      <c r="M981" s="49" t="s">
        <v>4778</v>
      </c>
    </row>
    <row r="982" spans="1:13">
      <c r="A982" s="48">
        <f t="shared" si="15"/>
        <v>981</v>
      </c>
      <c r="B982" s="47" t="s">
        <v>3295</v>
      </c>
      <c r="C982" s="47" t="s">
        <v>6579</v>
      </c>
      <c r="D982" s="47" t="s">
        <v>6598</v>
      </c>
      <c r="E982" s="47" t="s">
        <v>6573</v>
      </c>
      <c r="F982" s="47" t="s">
        <v>6595</v>
      </c>
      <c r="G982" s="47" t="s">
        <v>14</v>
      </c>
      <c r="H982" s="47" t="str">
        <f>IFERROR(VLOOKUP(Table2[[#This Row], [Ticket]],Okey!A:B,2,0),"")</f>
        <v>ok</v>
      </c>
      <c r="I982" s="47" t="s">
        <v>5290</v>
      </c>
      <c r="J982" s="47" t="e">
        <f>VLOOKUP(Table2[[#This Row], [Author]],People!A:B,2,0)</f>
        <v>#N/A</v>
      </c>
      <c r="K982" s="47" t="s">
        <v>6618</v>
      </c>
      <c r="L982" s="47"/>
      <c r="M982" s="49" t="s">
        <v>4778</v>
      </c>
    </row>
    <row r="983" spans="1:13">
      <c r="A983" s="48">
        <f t="shared" si="15"/>
        <v>982</v>
      </c>
      <c r="B983" s="47" t="s">
        <v>3295</v>
      </c>
      <c r="C983" s="47" t="s">
        <v>6579</v>
      </c>
      <c r="D983" s="47" t="s">
        <v>6599</v>
      </c>
      <c r="E983" s="47" t="s">
        <v>6574</v>
      </c>
      <c r="F983" s="47" t="s">
        <v>6595</v>
      </c>
      <c r="G983" s="47" t="s">
        <v>14</v>
      </c>
      <c r="H983" s="47" t="str">
        <f>IFERROR(VLOOKUP(Table2[[#This Row], [Ticket]],Okey!A:B,2,0),"")</f>
        <v>ok</v>
      </c>
      <c r="I983" s="47" t="s">
        <v>5290</v>
      </c>
      <c r="J983" s="47" t="e">
        <f>VLOOKUP(Table2[[#This Row], [Author]],People!A:B,2,0)</f>
        <v>#N/A</v>
      </c>
      <c r="K983" s="47" t="s">
        <v>6618</v>
      </c>
      <c r="L983" s="47"/>
      <c r="M983" s="49" t="s">
        <v>4778</v>
      </c>
    </row>
    <row r="984" spans="1:13">
      <c r="A984" s="48">
        <f t="shared" si="15"/>
        <v>983</v>
      </c>
      <c r="B984" s="47" t="s">
        <v>3295</v>
      </c>
      <c r="C984" s="47" t="s">
        <v>6579</v>
      </c>
      <c r="D984" s="47" t="s">
        <v>6600</v>
      </c>
      <c r="E984" s="47" t="s">
        <v>6575</v>
      </c>
      <c r="F984" s="47" t="s">
        <v>6595</v>
      </c>
      <c r="G984" s="47" t="s">
        <v>14</v>
      </c>
      <c r="H984" s="47" t="str">
        <f>IFERROR(VLOOKUP(Table2[[#This Row], [Ticket]],Okey!A:B,2,0),"")</f>
        <v>ok</v>
      </c>
      <c r="I984" s="47" t="s">
        <v>5290</v>
      </c>
      <c r="J984" s="47" t="e">
        <f>VLOOKUP(Table2[[#This Row], [Author]],People!A:B,2,0)</f>
        <v>#N/A</v>
      </c>
      <c r="K984" s="47" t="s">
        <v>6618</v>
      </c>
      <c r="L984" s="47"/>
      <c r="M984" s="49" t="s">
        <v>4778</v>
      </c>
    </row>
    <row r="985" spans="1:13">
      <c r="A985" s="48">
        <f t="shared" si="15"/>
        <v>984</v>
      </c>
      <c r="B985" s="47" t="s">
        <v>3295</v>
      </c>
      <c r="C985" s="47" t="s">
        <v>6579</v>
      </c>
      <c r="D985" s="47" t="s">
        <v>6601</v>
      </c>
      <c r="E985" s="47" t="s">
        <v>6576</v>
      </c>
      <c r="F985" s="47" t="s">
        <v>6595</v>
      </c>
      <c r="G985" s="47" t="s">
        <v>14</v>
      </c>
      <c r="H985" s="47" t="str">
        <f>IFERROR(VLOOKUP(Table2[[#This Row], [Ticket]],Okey!A:B,2,0),"")</f>
        <v>ok</v>
      </c>
      <c r="I985" s="47" t="s">
        <v>5290</v>
      </c>
      <c r="J985" s="47" t="e">
        <f>VLOOKUP(Table2[[#This Row], [Author]],People!A:B,2,0)</f>
        <v>#N/A</v>
      </c>
      <c r="K985" s="47" t="s">
        <v>6618</v>
      </c>
      <c r="L985" s="47"/>
      <c r="M985" s="49" t="s">
        <v>4778</v>
      </c>
    </row>
    <row r="986" spans="1:13">
      <c r="A986" s="48">
        <f t="shared" si="15"/>
        <v>985</v>
      </c>
      <c r="B986" s="47" t="s">
        <v>3295</v>
      </c>
      <c r="C986" s="47" t="s">
        <v>6579</v>
      </c>
      <c r="D986" s="47" t="s">
        <v>6602</v>
      </c>
      <c r="E986" s="47" t="s">
        <v>6577</v>
      </c>
      <c r="F986" s="47" t="s">
        <v>6596</v>
      </c>
      <c r="G986" s="47" t="s">
        <v>14</v>
      </c>
      <c r="H986" s="47" t="str">
        <f>IFERROR(VLOOKUP(Table2[[#This Row], [Ticket]],Okey!A:B,2,0),"")</f>
        <v>ok</v>
      </c>
      <c r="I986" s="47" t="s">
        <v>5290</v>
      </c>
      <c r="J986" s="47" t="e">
        <f>VLOOKUP(Table2[[#This Row], [Author]],People!A:B,2,0)</f>
        <v>#N/A</v>
      </c>
      <c r="K986" s="47" t="s">
        <v>6618</v>
      </c>
      <c r="L986" s="47"/>
      <c r="M986" s="49" t="s">
        <v>4778</v>
      </c>
    </row>
    <row r="987" spans="1:13">
      <c r="A987" s="48">
        <f t="shared" si="15"/>
        <v>986</v>
      </c>
      <c r="B987" s="47" t="s">
        <v>3295</v>
      </c>
      <c r="C987" s="47" t="s">
        <v>6579</v>
      </c>
      <c r="D987" s="47" t="s">
        <v>6603</v>
      </c>
      <c r="E987" s="47" t="s">
        <v>6578</v>
      </c>
      <c r="F987" s="47" t="s">
        <v>6596</v>
      </c>
      <c r="G987" s="47" t="s">
        <v>14</v>
      </c>
      <c r="H987" s="47" t="str">
        <f>IFERROR(VLOOKUP(Table2[[#This Row], [Ticket]],Okey!A:B,2,0),"")</f>
        <v>ok</v>
      </c>
      <c r="I987" s="47" t="s">
        <v>5290</v>
      </c>
      <c r="J987" s="47" t="e">
        <f>VLOOKUP(Table2[[#This Row], [Author]],People!A:B,2,0)</f>
        <v>#N/A</v>
      </c>
      <c r="K987" s="47" t="s">
        <v>6618</v>
      </c>
      <c r="L987" s="47"/>
      <c r="M987" s="49" t="s">
        <v>4778</v>
      </c>
    </row>
    <row r="988" spans="1:13">
      <c r="A988" s="48">
        <f t="shared" si="15"/>
        <v>987</v>
      </c>
      <c r="B988" s="47" t="s">
        <v>3295</v>
      </c>
      <c r="C988" s="47" t="s">
        <v>6580</v>
      </c>
      <c r="D988" s="47" t="s">
        <v>6604</v>
      </c>
      <c r="E988" s="47" t="s">
        <v>6581</v>
      </c>
      <c r="F988" s="47" t="s">
        <v>5702</v>
      </c>
      <c r="G988" s="47" t="s">
        <v>14</v>
      </c>
      <c r="H988" s="47" t="str">
        <f>IFERROR(VLOOKUP(Table2[[#This Row], [Ticket]],Okey!A:B,2,0),"")</f>
        <v>ok</v>
      </c>
      <c r="I988" s="47" t="s">
        <v>5290</v>
      </c>
      <c r="J988" s="47" t="e">
        <f>VLOOKUP(Table2[[#This Row], [Author]],People!A:B,2,0)</f>
        <v>#N/A</v>
      </c>
      <c r="K988" s="47" t="s">
        <v>6618</v>
      </c>
      <c r="L988" s="47"/>
      <c r="M988" s="49" t="s">
        <v>6354</v>
      </c>
    </row>
    <row r="989" spans="1:13">
      <c r="A989" s="48">
        <f t="shared" si="15"/>
        <v>988</v>
      </c>
      <c r="B989" s="47" t="s">
        <v>3295</v>
      </c>
      <c r="C989" s="47" t="s">
        <v>6580</v>
      </c>
      <c r="D989" s="47" t="s">
        <v>6582</v>
      </c>
      <c r="E989" s="47" t="s">
        <v>6581</v>
      </c>
      <c r="F989" s="47" t="s">
        <v>6604</v>
      </c>
      <c r="G989" s="47" t="s">
        <v>14</v>
      </c>
      <c r="H989" s="47" t="str">
        <f>IFERROR(VLOOKUP(Table2[[#This Row], [Ticket]],Okey!A:B,2,0),"")</f>
        <v>ok</v>
      </c>
      <c r="I989" s="47" t="s">
        <v>5290</v>
      </c>
      <c r="J989" s="47" t="e">
        <f>VLOOKUP(Table2[[#This Row], [Author]],People!A:B,2,0)</f>
        <v>#N/A</v>
      </c>
      <c r="K989" s="47" t="s">
        <v>6618</v>
      </c>
      <c r="L989" s="47"/>
      <c r="M989" s="49" t="s">
        <v>6354</v>
      </c>
    </row>
    <row r="990" spans="1:13">
      <c r="A990" s="48">
        <f t="shared" si="15"/>
        <v>989</v>
      </c>
      <c r="B990" s="47" t="s">
        <v>3295</v>
      </c>
      <c r="C990" s="47" t="s">
        <v>6580</v>
      </c>
      <c r="D990" s="47" t="s">
        <v>6605</v>
      </c>
      <c r="E990" s="47" t="s">
        <v>6583</v>
      </c>
      <c r="F990" s="47" t="s">
        <v>6384</v>
      </c>
      <c r="G990" s="47" t="s">
        <v>14</v>
      </c>
      <c r="H990" s="47" t="str">
        <f>IFERROR(VLOOKUP(Table2[[#This Row], [Ticket]],Okey!A:B,2,0),"")</f>
        <v>ok</v>
      </c>
      <c r="I990" s="47" t="s">
        <v>5290</v>
      </c>
      <c r="J990" s="47" t="e">
        <f>VLOOKUP(Table2[[#This Row], [Author]],People!A:B,2,0)</f>
        <v>#N/A</v>
      </c>
      <c r="K990" s="47" t="s">
        <v>6618</v>
      </c>
      <c r="L990" s="47"/>
      <c r="M990" s="49" t="s">
        <v>6354</v>
      </c>
    </row>
    <row r="991" spans="1:13">
      <c r="A991" s="48">
        <f t="shared" si="15"/>
        <v>990</v>
      </c>
      <c r="B991" s="47" t="s">
        <v>3295</v>
      </c>
      <c r="C991" s="47" t="s">
        <v>6580</v>
      </c>
      <c r="D991" s="47" t="s">
        <v>6584</v>
      </c>
      <c r="E991" s="47" t="s">
        <v>6583</v>
      </c>
      <c r="F991" s="47" t="s">
        <v>6605</v>
      </c>
      <c r="G991" s="47" t="s">
        <v>14</v>
      </c>
      <c r="H991" s="47" t="str">
        <f>IFERROR(VLOOKUP(Table2[[#This Row], [Ticket]],Okey!A:B,2,0),"")</f>
        <v>ok</v>
      </c>
      <c r="I991" s="47" t="s">
        <v>5290</v>
      </c>
      <c r="J991" s="47" t="e">
        <f>VLOOKUP(Table2[[#This Row], [Author]],People!A:B,2,0)</f>
        <v>#N/A</v>
      </c>
      <c r="K991" s="47" t="s">
        <v>6618</v>
      </c>
      <c r="L991" s="47"/>
      <c r="M991" s="49" t="s">
        <v>6354</v>
      </c>
    </row>
    <row r="992" spans="1:13">
      <c r="A992" s="48">
        <f t="shared" si="15"/>
        <v>991</v>
      </c>
      <c r="B992" s="47" t="s">
        <v>3295</v>
      </c>
      <c r="C992" s="47" t="s">
        <v>6580</v>
      </c>
      <c r="D992" s="47" t="s">
        <v>6606</v>
      </c>
      <c r="E992" s="47" t="s">
        <v>6585</v>
      </c>
      <c r="F992" s="47" t="s">
        <v>6384</v>
      </c>
      <c r="G992" s="47" t="s">
        <v>14</v>
      </c>
      <c r="H992" s="47" t="str">
        <f>IFERROR(VLOOKUP(Table2[[#This Row], [Ticket]],Okey!A:B,2,0),"")</f>
        <v>ok</v>
      </c>
      <c r="I992" s="47" t="s">
        <v>5290</v>
      </c>
      <c r="J992" s="47" t="e">
        <f>VLOOKUP(Table2[[#This Row], [Author]],People!A:B,2,0)</f>
        <v>#N/A</v>
      </c>
      <c r="K992" s="47" t="s">
        <v>6618</v>
      </c>
      <c r="L992" s="47"/>
      <c r="M992" s="49" t="s">
        <v>6354</v>
      </c>
    </row>
    <row r="993" spans="1:13">
      <c r="A993" s="48">
        <f t="shared" si="15"/>
        <v>992</v>
      </c>
      <c r="B993" s="47" t="s">
        <v>3295</v>
      </c>
      <c r="C993" s="47" t="s">
        <v>6580</v>
      </c>
      <c r="D993" s="47" t="s">
        <v>6586</v>
      </c>
      <c r="E993" s="47" t="s">
        <v>6585</v>
      </c>
      <c r="F993" s="47" t="s">
        <v>6606</v>
      </c>
      <c r="G993" s="47" t="s">
        <v>14</v>
      </c>
      <c r="H993" s="47" t="str">
        <f>IFERROR(VLOOKUP(Table2[[#This Row], [Ticket]],Okey!A:B,2,0),"")</f>
        <v>ok</v>
      </c>
      <c r="I993" s="47" t="s">
        <v>5290</v>
      </c>
      <c r="J993" s="47" t="e">
        <f>VLOOKUP(Table2[[#This Row], [Author]],People!A:B,2,0)</f>
        <v>#N/A</v>
      </c>
      <c r="K993" s="47" t="s">
        <v>6618</v>
      </c>
      <c r="L993" s="47"/>
      <c r="M993" s="49" t="s">
        <v>6354</v>
      </c>
    </row>
    <row r="994" spans="1:13">
      <c r="A994" s="48">
        <f t="shared" si="15"/>
        <v>993</v>
      </c>
      <c r="B994" s="47" t="s">
        <v>3295</v>
      </c>
      <c r="C994" s="47" t="s">
        <v>6580</v>
      </c>
      <c r="D994" s="47" t="s">
        <v>6607</v>
      </c>
      <c r="E994" s="47" t="s">
        <v>6587</v>
      </c>
      <c r="F994" s="47" t="s">
        <v>6384</v>
      </c>
      <c r="G994" s="47" t="s">
        <v>14</v>
      </c>
      <c r="H994" s="47" t="str">
        <f>IFERROR(VLOOKUP(Table2[[#This Row], [Ticket]],Okey!A:B,2,0),"")</f>
        <v>ok</v>
      </c>
      <c r="I994" s="47" t="s">
        <v>5290</v>
      </c>
      <c r="J994" s="47" t="e">
        <f>VLOOKUP(Table2[[#This Row], [Author]],People!A:B,2,0)</f>
        <v>#N/A</v>
      </c>
      <c r="K994" s="47" t="s">
        <v>6618</v>
      </c>
      <c r="L994" s="47"/>
      <c r="M994" s="49" t="s">
        <v>6354</v>
      </c>
    </row>
    <row r="995" spans="1:13">
      <c r="A995" s="48">
        <f t="shared" si="15"/>
        <v>994</v>
      </c>
      <c r="B995" s="47" t="s">
        <v>3295</v>
      </c>
      <c r="C995" s="47" t="s">
        <v>6580</v>
      </c>
      <c r="D995" s="47" t="s">
        <v>6588</v>
      </c>
      <c r="E995" s="47" t="s">
        <v>6587</v>
      </c>
      <c r="F995" s="47" t="s">
        <v>6607</v>
      </c>
      <c r="G995" s="47" t="s">
        <v>14</v>
      </c>
      <c r="H995" s="47" t="str">
        <f>IFERROR(VLOOKUP(Table2[[#This Row], [Ticket]],Okey!A:B,2,0),"")</f>
        <v>ok</v>
      </c>
      <c r="I995" s="47" t="s">
        <v>5290</v>
      </c>
      <c r="J995" s="47" t="e">
        <f>VLOOKUP(Table2[[#This Row], [Author]],People!A:B,2,0)</f>
        <v>#N/A</v>
      </c>
      <c r="K995" s="47" t="s">
        <v>6618</v>
      </c>
      <c r="L995" s="47"/>
      <c r="M995" s="49" t="s">
        <v>6354</v>
      </c>
    </row>
    <row r="996" spans="1:13">
      <c r="A996" s="48">
        <f t="shared" si="15"/>
        <v>995</v>
      </c>
      <c r="B996" s="47" t="s">
        <v>3295</v>
      </c>
      <c r="C996" s="47" t="s">
        <v>6580</v>
      </c>
      <c r="D996" s="47" t="s">
        <v>6608</v>
      </c>
      <c r="E996" s="47" t="s">
        <v>6589</v>
      </c>
      <c r="F996" s="47" t="s">
        <v>6360</v>
      </c>
      <c r="G996" s="47" t="s">
        <v>14</v>
      </c>
      <c r="H996" s="47" t="str">
        <f>IFERROR(VLOOKUP(Table2[[#This Row], [Ticket]],Okey!A:B,2,0),"")</f>
        <v>ok</v>
      </c>
      <c r="I996" s="47" t="s">
        <v>5290</v>
      </c>
      <c r="J996" s="47" t="e">
        <f>VLOOKUP(Table2[[#This Row], [Author]],People!A:B,2,0)</f>
        <v>#N/A</v>
      </c>
      <c r="K996" s="47" t="s">
        <v>6618</v>
      </c>
      <c r="L996" s="47"/>
      <c r="M996" s="49" t="s">
        <v>6354</v>
      </c>
    </row>
    <row r="997" spans="1:13">
      <c r="A997" s="48">
        <f t="shared" si="15"/>
        <v>996</v>
      </c>
      <c r="B997" s="47" t="s">
        <v>3295</v>
      </c>
      <c r="C997" s="47" t="s">
        <v>6580</v>
      </c>
      <c r="D997" s="47" t="s">
        <v>6590</v>
      </c>
      <c r="E997" s="47" t="s">
        <v>6589</v>
      </c>
      <c r="F997" s="47" t="s">
        <v>6608</v>
      </c>
      <c r="G997" s="47" t="s">
        <v>14</v>
      </c>
      <c r="H997" s="47" t="str">
        <f>IFERROR(VLOOKUP(Table2[[#This Row], [Ticket]],Okey!A:B,2,0),"")</f>
        <v>ok</v>
      </c>
      <c r="I997" s="47" t="s">
        <v>5290</v>
      </c>
      <c r="J997" s="47" t="e">
        <f>VLOOKUP(Table2[[#This Row], [Author]],People!A:B,2,0)</f>
        <v>#N/A</v>
      </c>
      <c r="K997" s="47" t="s">
        <v>6618</v>
      </c>
      <c r="L997" s="47"/>
      <c r="M997" s="49" t="s">
        <v>6354</v>
      </c>
    </row>
    <row r="998" spans="1:13">
      <c r="A998" s="48">
        <f t="shared" si="15"/>
        <v>997</v>
      </c>
      <c r="B998" s="47" t="s">
        <v>3295</v>
      </c>
      <c r="C998" s="47" t="s">
        <v>6591</v>
      </c>
      <c r="D998" s="47" t="s">
        <v>6609</v>
      </c>
      <c r="E998" s="47" t="s">
        <v>6592</v>
      </c>
      <c r="F998" s="47" t="s">
        <v>6568</v>
      </c>
      <c r="G998" s="47" t="s">
        <v>14</v>
      </c>
      <c r="H998" s="47" t="str">
        <f>IFERROR(VLOOKUP(Table2[[#This Row], [Ticket]],Okey!A:B,2,0),"")</f>
        <v>ok</v>
      </c>
      <c r="I998" s="47" t="s">
        <v>5290</v>
      </c>
      <c r="J998" s="47" t="e">
        <f>VLOOKUP(Table2[[#This Row], [Author]],People!A:B,2,0)</f>
        <v>#N/A</v>
      </c>
      <c r="K998" s="47" t="s">
        <v>6618</v>
      </c>
      <c r="L998" s="47"/>
      <c r="M998" s="49" t="s">
        <v>6593</v>
      </c>
    </row>
    <row r="999" spans="1:13">
      <c r="A999" s="48">
        <f t="shared" si="15"/>
        <v>998</v>
      </c>
      <c r="B999" s="47" t="s">
        <v>3295</v>
      </c>
      <c r="C999" s="47" t="s">
        <v>6610</v>
      </c>
      <c r="D999" s="47" t="s">
        <v>1009</v>
      </c>
      <c r="E999" s="47" t="s">
        <v>6611</v>
      </c>
      <c r="F999" s="47"/>
      <c r="G999" s="47" t="s">
        <v>15</v>
      </c>
      <c r="H999" s="47" t="str">
        <f>IFERROR(VLOOKUP(Table2[[#This Row], [Ticket]],Okey!A:B,2,0),"")</f>
        <v>ok</v>
      </c>
      <c r="I999" s="47" t="s">
        <v>5290</v>
      </c>
      <c r="J999" s="47" t="e">
        <f>VLOOKUP(Table2[[#This Row], [Author]],People!A:B,2,0)</f>
        <v>#N/A</v>
      </c>
      <c r="K999" s="47" t="s">
        <v>6397</v>
      </c>
      <c r="L999" s="47"/>
      <c r="M999" s="49" t="s">
        <v>1613</v>
      </c>
    </row>
    <row r="1000" spans="1:13">
      <c r="A1000" s="48">
        <f t="shared" si="15"/>
        <v>999</v>
      </c>
      <c r="B1000" s="47" t="s">
        <v>3295</v>
      </c>
      <c r="C1000" s="47" t="s">
        <v>6610</v>
      </c>
      <c r="D1000" s="47" t="s">
        <v>1071</v>
      </c>
      <c r="E1000" s="47" t="s">
        <v>6612</v>
      </c>
      <c r="F1000" s="47"/>
      <c r="G1000" s="47" t="s">
        <v>15</v>
      </c>
      <c r="H1000" s="47" t="str">
        <f>IFERROR(VLOOKUP(Table2[[#This Row], [Ticket]],Okey!A:B,2,0),"")</f>
        <v>ok</v>
      </c>
      <c r="I1000" s="47" t="s">
        <v>5290</v>
      </c>
      <c r="J1000" s="47" t="e">
        <f>VLOOKUP(Table2[[#This Row], [Author]],People!A:B,2,0)</f>
        <v>#N/A</v>
      </c>
      <c r="K1000" s="47" t="s">
        <v>6397</v>
      </c>
      <c r="L1000" s="47"/>
      <c r="M1000" s="49" t="s">
        <v>1613</v>
      </c>
    </row>
    <row r="1001" spans="1:13">
      <c r="A1001" s="48">
        <f t="shared" si="15"/>
        <v>1000</v>
      </c>
      <c r="B1001" s="47" t="s">
        <v>3295</v>
      </c>
      <c r="C1001" s="47" t="s">
        <v>6610</v>
      </c>
      <c r="D1001" s="47" t="s">
        <v>1156</v>
      </c>
      <c r="E1001" s="47" t="s">
        <v>6613</v>
      </c>
      <c r="F1001" s="47"/>
      <c r="G1001" s="47" t="s">
        <v>15</v>
      </c>
      <c r="H1001" s="47" t="str">
        <f>IFERROR(VLOOKUP(Table2[[#This Row], [Ticket]],Okey!A:B,2,0),"")</f>
        <v>ok</v>
      </c>
      <c r="I1001" s="47" t="s">
        <v>5290</v>
      </c>
      <c r="J1001" s="47" t="e">
        <f>VLOOKUP(Table2[[#This Row], [Author]],People!A:B,2,0)</f>
        <v>#N/A</v>
      </c>
      <c r="K1001" s="47" t="s">
        <v>6397</v>
      </c>
      <c r="L1001" s="47"/>
      <c r="M1001" s="49" t="s">
        <v>1613</v>
      </c>
    </row>
    <row r="1002" spans="1:13">
      <c r="A1002" s="48">
        <f t="shared" si="15"/>
        <v>1001</v>
      </c>
      <c r="B1002" s="47" t="s">
        <v>3295</v>
      </c>
      <c r="C1002" s="47" t="s">
        <v>6610</v>
      </c>
      <c r="D1002" s="47" t="s">
        <v>1155</v>
      </c>
      <c r="E1002" s="47" t="s">
        <v>6614</v>
      </c>
      <c r="F1002" s="47"/>
      <c r="G1002" s="47" t="s">
        <v>15</v>
      </c>
      <c r="H1002" s="47" t="str">
        <f>IFERROR(VLOOKUP(Table2[[#This Row], [Ticket]],Okey!A:B,2,0),"")</f>
        <v>ok</v>
      </c>
      <c r="I1002" s="47" t="s">
        <v>5290</v>
      </c>
      <c r="J1002" s="47" t="e">
        <f>VLOOKUP(Table2[[#This Row], [Author]],People!A:B,2,0)</f>
        <v>#N/A</v>
      </c>
      <c r="K1002" s="47" t="s">
        <v>6397</v>
      </c>
      <c r="L1002" s="47"/>
      <c r="M1002" s="49" t="s">
        <v>1613</v>
      </c>
    </row>
    <row r="1003" spans="1:13">
      <c r="A1003" s="48">
        <f t="shared" si="15"/>
        <v>1002</v>
      </c>
      <c r="B1003" s="47" t="s">
        <v>3295</v>
      </c>
      <c r="C1003" s="47" t="s">
        <v>6615</v>
      </c>
      <c r="D1003" s="47" t="s">
        <v>4228</v>
      </c>
      <c r="E1003" s="47"/>
      <c r="F1003" s="47" t="s">
        <v>2435</v>
      </c>
      <c r="G1003" s="47" t="s">
        <v>13</v>
      </c>
      <c r="H1003" s="47" t="str">
        <f>IFERROR(VLOOKUP(Table2[[#This Row], [Ticket]],Okey!A:B,2,0),"")</f>
        <v>ok</v>
      </c>
      <c r="I1003" s="47" t="s">
        <v>5290</v>
      </c>
      <c r="J1003" s="47" t="e">
        <f>VLOOKUP(Table2[[#This Row], [Author]],People!A:B,2,0)</f>
        <v>#N/A</v>
      </c>
      <c r="K1003" s="47" t="s">
        <v>6618</v>
      </c>
      <c r="L1003" s="47"/>
      <c r="M1003" s="49" t="s">
        <v>6617</v>
      </c>
    </row>
    <row r="1004" spans="1:13">
      <c r="A1004" s="48">
        <f t="shared" si="15"/>
        <v>1003</v>
      </c>
      <c r="B1004" s="47" t="s">
        <v>3295</v>
      </c>
      <c r="C1004" s="47" t="s">
        <v>6616</v>
      </c>
      <c r="D1004" s="47" t="s">
        <v>1824</v>
      </c>
      <c r="E1004" s="47"/>
      <c r="F1004" s="47" t="s">
        <v>6550</v>
      </c>
      <c r="G1004" s="47" t="s">
        <v>13</v>
      </c>
      <c r="H1004" s="47" t="str">
        <f>IFERROR(VLOOKUP(Table2[[#This Row], [Ticket]],Okey!A:B,2,0),"")</f>
        <v>ok</v>
      </c>
      <c r="I1004" s="47" t="s">
        <v>5290</v>
      </c>
      <c r="J1004" s="47" t="e">
        <f>VLOOKUP(Table2[[#This Row], [Author]],People!A:B,2,0)</f>
        <v>#N/A</v>
      </c>
      <c r="K1004" s="47" t="s">
        <v>6618</v>
      </c>
      <c r="L1004" s="47"/>
      <c r="M1004" s="49" t="s">
        <v>4799</v>
      </c>
    </row>
    <row r="1005" spans="1:13">
      <c r="A1005" s="48">
        <f t="shared" si="15"/>
        <v>1004</v>
      </c>
      <c r="B1005" s="47" t="s">
        <v>3295</v>
      </c>
      <c r="C1005" s="47" t="s">
        <v>6616</v>
      </c>
      <c r="D1005" s="47" t="s">
        <v>1778</v>
      </c>
      <c r="E1005" s="47"/>
      <c r="F1005" s="47" t="s">
        <v>6550</v>
      </c>
      <c r="G1005" s="47" t="s">
        <v>13</v>
      </c>
      <c r="H1005" s="47" t="str">
        <f>IFERROR(VLOOKUP(Table2[[#This Row], [Ticket]],Okey!A:B,2,0),"")</f>
        <v>ok</v>
      </c>
      <c r="I1005" s="47" t="s">
        <v>5290</v>
      </c>
      <c r="J1005" s="47" t="e">
        <f>VLOOKUP(Table2[[#This Row], [Author]],People!A:B,2,0)</f>
        <v>#N/A</v>
      </c>
      <c r="K1005" s="47" t="s">
        <v>6618</v>
      </c>
      <c r="L1005" s="47"/>
      <c r="M1005" s="49" t="s">
        <v>4799</v>
      </c>
    </row>
    <row r="1006" spans="1:13">
      <c r="A1006" s="48">
        <f t="shared" si="15"/>
        <v>1005</v>
      </c>
      <c r="B1006" s="47" t="s">
        <v>3295</v>
      </c>
      <c r="C1006" s="47" t="s">
        <v>6621</v>
      </c>
      <c r="D1006" s="47" t="s">
        <v>6619</v>
      </c>
      <c r="E1006" s="47" t="s">
        <v>6347</v>
      </c>
      <c r="F1006" s="47" t="s">
        <v>6342</v>
      </c>
      <c r="G1006" s="47" t="s">
        <v>14</v>
      </c>
      <c r="H1006" s="47" t="str">
        <f>IFERROR(VLOOKUP(Table2[[#This Row], [Ticket]],Okey!A:B,2,0),"")</f>
        <v>ok</v>
      </c>
      <c r="I1006" s="47" t="s">
        <v>5290</v>
      </c>
      <c r="J1006" s="47" t="e">
        <f>VLOOKUP(Table2[[#This Row], [Author]],People!A:B,2,0)</f>
        <v>#N/A</v>
      </c>
      <c r="K1006" s="47"/>
      <c r="L1006" s="47"/>
      <c r="M1006" s="49" t="s">
        <v>1230</v>
      </c>
    </row>
    <row r="1007" spans="1:13">
      <c r="A1007" s="48">
        <f t="shared" si="15"/>
        <v>1006</v>
      </c>
      <c r="B1007" s="47" t="s">
        <v>3295</v>
      </c>
      <c r="C1007" s="47" t="s">
        <v>6621</v>
      </c>
      <c r="D1007" s="47" t="s">
        <v>6620</v>
      </c>
      <c r="E1007" s="47" t="s">
        <v>6622</v>
      </c>
      <c r="F1007" s="47" t="s">
        <v>6346</v>
      </c>
      <c r="G1007" s="47" t="s">
        <v>14</v>
      </c>
      <c r="H1007" s="47" t="str">
        <f>IFERROR(VLOOKUP(Table2[[#This Row], [Ticket]],Okey!A:B,2,0),"")</f>
        <v>ok</v>
      </c>
      <c r="I1007" s="47" t="s">
        <v>5290</v>
      </c>
      <c r="J1007" s="47" t="e">
        <f>VLOOKUP(Table2[[#This Row], [Author]],People!A:B,2,0)</f>
        <v>#N/A</v>
      </c>
      <c r="K1007" s="47"/>
      <c r="L1007" s="47"/>
      <c r="M1007" s="49" t="s">
        <v>1230</v>
      </c>
    </row>
    <row r="1008" spans="1:13">
      <c r="A1008" s="48">
        <f t="shared" si="15"/>
        <v>1007</v>
      </c>
      <c r="B1008" s="47" t="s">
        <v>3295</v>
      </c>
      <c r="C1008" s="47" t="s">
        <v>6627</v>
      </c>
      <c r="D1008" s="47" t="s">
        <v>6623</v>
      </c>
      <c r="E1008" s="47"/>
      <c r="F1008" s="47" t="s">
        <v>6286</v>
      </c>
      <c r="G1008" s="47" t="s">
        <v>13</v>
      </c>
      <c r="H1008" s="47" t="str">
        <f>IFERROR(VLOOKUP(Table2[[#This Row], [Ticket]],Okey!A:B,2,0),"")</f>
        <v>ok</v>
      </c>
      <c r="I1008" s="47" t="s">
        <v>5290</v>
      </c>
      <c r="J1008" s="47" t="e">
        <f>VLOOKUP(Table2[[#This Row], [Author]],People!A:B,2,0)</f>
        <v>#N/A</v>
      </c>
      <c r="K1008" s="47"/>
      <c r="L1008" s="47"/>
      <c r="M1008" s="49" t="s">
        <v>6354</v>
      </c>
    </row>
    <row r="1009" spans="1:13">
      <c r="A1009" s="48">
        <f t="shared" si="15"/>
        <v>1008</v>
      </c>
      <c r="B1009" s="47" t="s">
        <v>3295</v>
      </c>
      <c r="C1009" s="47" t="s">
        <v>6627</v>
      </c>
      <c r="D1009" s="47" t="s">
        <v>6624</v>
      </c>
      <c r="E1009" s="47"/>
      <c r="F1009" s="47" t="s">
        <v>6286</v>
      </c>
      <c r="G1009" s="47" t="s">
        <v>13</v>
      </c>
      <c r="H1009" s="47" t="str">
        <f>IFERROR(VLOOKUP(Table2[[#This Row], [Ticket]],Okey!A:B,2,0),"")</f>
        <v>ok</v>
      </c>
      <c r="I1009" s="47" t="s">
        <v>5290</v>
      </c>
      <c r="J1009" s="47" t="e">
        <f>VLOOKUP(Table2[[#This Row], [Author]],People!A:B,2,0)</f>
        <v>#N/A</v>
      </c>
      <c r="K1009" s="47"/>
      <c r="L1009" s="47"/>
      <c r="M1009" s="49" t="s">
        <v>6354</v>
      </c>
    </row>
    <row r="1010" spans="1:13">
      <c r="A1010" s="48">
        <f t="shared" si="15"/>
        <v>1009</v>
      </c>
      <c r="B1010" s="47" t="s">
        <v>3295</v>
      </c>
      <c r="C1010" s="47" t="s">
        <v>6627</v>
      </c>
      <c r="D1010" s="47" t="s">
        <v>3844</v>
      </c>
      <c r="E1010" s="47"/>
      <c r="F1010" s="47" t="s">
        <v>6364</v>
      </c>
      <c r="G1010" s="47" t="s">
        <v>13</v>
      </c>
      <c r="H1010" s="47" t="str">
        <f>IFERROR(VLOOKUP(Table2[[#This Row], [Ticket]],Okey!A:B,2,0),"")</f>
        <v>ok</v>
      </c>
      <c r="I1010" s="47" t="s">
        <v>5290</v>
      </c>
      <c r="J1010" s="47" t="e">
        <f>VLOOKUP(Table2[[#This Row], [Author]],People!A:B,2,0)</f>
        <v>#N/A</v>
      </c>
      <c r="K1010" s="47"/>
      <c r="L1010" s="47"/>
      <c r="M1010" s="49" t="s">
        <v>6354</v>
      </c>
    </row>
    <row r="1011" spans="1:13">
      <c r="A1011" s="48">
        <f t="shared" si="15"/>
        <v>1010</v>
      </c>
      <c r="B1011" s="47" t="s">
        <v>3295</v>
      </c>
      <c r="C1011" s="47" t="s">
        <v>6627</v>
      </c>
      <c r="D1011" s="47" t="s">
        <v>6625</v>
      </c>
      <c r="E1011" s="47"/>
      <c r="F1011" s="47" t="s">
        <v>6316</v>
      </c>
      <c r="G1011" s="47" t="s">
        <v>13</v>
      </c>
      <c r="H1011" s="47" t="str">
        <f>IFERROR(VLOOKUP(Table2[[#This Row], [Ticket]],Okey!A:B,2,0),"")</f>
        <v>ok</v>
      </c>
      <c r="I1011" s="47" t="s">
        <v>5290</v>
      </c>
      <c r="J1011" s="47" t="e">
        <f>VLOOKUP(Table2[[#This Row], [Author]],People!A:B,2,0)</f>
        <v>#N/A</v>
      </c>
      <c r="K1011" s="47"/>
      <c r="L1011" s="47"/>
      <c r="M1011" s="49" t="s">
        <v>6354</v>
      </c>
    </row>
    <row r="1012" spans="1:13">
      <c r="A1012" s="48">
        <f t="shared" si="15"/>
        <v>1011</v>
      </c>
      <c r="B1012" s="47" t="s">
        <v>3295</v>
      </c>
      <c r="C1012" s="47" t="s">
        <v>6627</v>
      </c>
      <c r="D1012" s="47" t="s">
        <v>6626</v>
      </c>
      <c r="E1012" s="47"/>
      <c r="F1012" s="47" t="s">
        <v>6316</v>
      </c>
      <c r="G1012" s="47" t="s">
        <v>13</v>
      </c>
      <c r="H1012" s="47" t="str">
        <f>IFERROR(VLOOKUP(Table2[[#This Row], [Ticket]],Okey!A:B,2,0),"")</f>
        <v>ok</v>
      </c>
      <c r="I1012" s="47" t="s">
        <v>5290</v>
      </c>
      <c r="J1012" s="47" t="e">
        <f>VLOOKUP(Table2[[#This Row], [Author]],People!A:B,2,0)</f>
        <v>#N/A</v>
      </c>
      <c r="K1012" s="47"/>
      <c r="L1012" s="47"/>
      <c r="M1012" s="49" t="s">
        <v>6354</v>
      </c>
    </row>
    <row r="1013" spans="1:13">
      <c r="A1013" s="48">
        <f t="shared" si="15"/>
        <v>1012</v>
      </c>
      <c r="B1013" s="47" t="s">
        <v>3295</v>
      </c>
      <c r="C1013" s="47" t="s">
        <v>6630</v>
      </c>
      <c r="D1013" s="47" t="s">
        <v>6636</v>
      </c>
      <c r="E1013" s="47" t="s">
        <v>6628</v>
      </c>
      <c r="F1013" s="47" t="s">
        <v>6629</v>
      </c>
      <c r="G1013" s="47" t="s">
        <v>14</v>
      </c>
      <c r="H1013" s="47" t="str">
        <f>IFERROR(VLOOKUP(Table2[[#This Row], [Ticket]],Okey!A:B,2,0),"")</f>
        <v>ok</v>
      </c>
      <c r="I1013" s="47" t="s">
        <v>5290</v>
      </c>
      <c r="J1013" s="47" t="e">
        <f>VLOOKUP(Table2[[#This Row], [Author]],People!A:B,2,0)</f>
        <v>#N/A</v>
      </c>
      <c r="K1013" s="47"/>
      <c r="L1013" s="47"/>
      <c r="M1013" s="49" t="s">
        <v>4786</v>
      </c>
    </row>
    <row r="1014" spans="1:13">
      <c r="A1014" s="48">
        <f t="shared" si="15"/>
        <v>1013</v>
      </c>
      <c r="B1014" s="47" t="s">
        <v>3295</v>
      </c>
      <c r="C1014" s="47" t="s">
        <v>6631</v>
      </c>
      <c r="D1014" s="47" t="s">
        <v>6632</v>
      </c>
      <c r="E1014" s="47" t="s">
        <v>6583</v>
      </c>
      <c r="F1014" s="47" t="s">
        <v>6384</v>
      </c>
      <c r="G1014" s="47" t="s">
        <v>14</v>
      </c>
      <c r="H1014" s="47" t="str">
        <f>IFERROR(VLOOKUP(Table2[[#This Row], [Ticket]],Okey!A:B,2,0),"")</f>
        <v>ok</v>
      </c>
      <c r="I1014" s="47" t="s">
        <v>5290</v>
      </c>
      <c r="J1014" s="47" t="e">
        <f>VLOOKUP(Table2[[#This Row], [Author]],People!A:B,2,0)</f>
        <v>#N/A</v>
      </c>
      <c r="K1014" s="47"/>
      <c r="L1014" s="47"/>
      <c r="M1014" s="49" t="s">
        <v>6354</v>
      </c>
    </row>
    <row r="1015" spans="1:13">
      <c r="A1015" s="48">
        <f t="shared" si="15"/>
        <v>1014</v>
      </c>
      <c r="B1015" s="47" t="s">
        <v>3295</v>
      </c>
      <c r="C1015" s="47" t="s">
        <v>6631</v>
      </c>
      <c r="D1015" s="47" t="s">
        <v>6633</v>
      </c>
      <c r="E1015" s="47" t="s">
        <v>6585</v>
      </c>
      <c r="F1015" s="47" t="s">
        <v>6384</v>
      </c>
      <c r="G1015" s="47" t="s">
        <v>14</v>
      </c>
      <c r="H1015" s="47" t="str">
        <f>IFERROR(VLOOKUP(Table2[[#This Row], [Ticket]],Okey!A:B,2,0),"")</f>
        <v>ok</v>
      </c>
      <c r="I1015" s="47" t="s">
        <v>5290</v>
      </c>
      <c r="J1015" s="47" t="e">
        <f>VLOOKUP(Table2[[#This Row], [Author]],People!A:B,2,0)</f>
        <v>#N/A</v>
      </c>
      <c r="K1015" s="47"/>
      <c r="L1015" s="47"/>
      <c r="M1015" s="49" t="s">
        <v>6354</v>
      </c>
    </row>
    <row r="1016" spans="1:13">
      <c r="A1016" s="48">
        <f t="shared" si="15"/>
        <v>1015</v>
      </c>
      <c r="B1016" s="47" t="s">
        <v>3295</v>
      </c>
      <c r="C1016" s="47" t="s">
        <v>6631</v>
      </c>
      <c r="D1016" s="47" t="s">
        <v>6634</v>
      </c>
      <c r="E1016" s="47" t="s">
        <v>6587</v>
      </c>
      <c r="F1016" s="47" t="s">
        <v>6384</v>
      </c>
      <c r="G1016" s="47" t="s">
        <v>14</v>
      </c>
      <c r="H1016" s="47" t="str">
        <f>IFERROR(VLOOKUP(Table2[[#This Row], [Ticket]],Okey!A:B,2,0),"")</f>
        <v>ok</v>
      </c>
      <c r="I1016" s="47" t="s">
        <v>5290</v>
      </c>
      <c r="J1016" s="47" t="e">
        <f>VLOOKUP(Table2[[#This Row], [Author]],People!A:B,2,0)</f>
        <v>#N/A</v>
      </c>
      <c r="K1016" s="47"/>
      <c r="L1016" s="47"/>
      <c r="M1016" s="49" t="s">
        <v>6354</v>
      </c>
    </row>
    <row r="1017" spans="1:13">
      <c r="A1017" s="48">
        <f t="shared" si="15"/>
        <v>1016</v>
      </c>
      <c r="B1017" s="47" t="s">
        <v>3295</v>
      </c>
      <c r="C1017" s="47" t="s">
        <v>6631</v>
      </c>
      <c r="D1017" s="47" t="s">
        <v>6635</v>
      </c>
      <c r="E1017" s="47" t="s">
        <v>6589</v>
      </c>
      <c r="F1017" s="47" t="s">
        <v>6360</v>
      </c>
      <c r="G1017" s="47" t="s">
        <v>14</v>
      </c>
      <c r="H1017" s="47" t="str">
        <f>IFERROR(VLOOKUP(Table2[[#This Row], [Ticket]],Okey!A:B,2,0),"")</f>
        <v>ok</v>
      </c>
      <c r="I1017" s="47" t="s">
        <v>5290</v>
      </c>
      <c r="J1017" s="47" t="e">
        <f>VLOOKUP(Table2[[#This Row], [Author]],People!A:B,2,0)</f>
        <v>#N/A</v>
      </c>
      <c r="K1017" s="47"/>
      <c r="L1017" s="47"/>
      <c r="M1017" s="49" t="s">
        <v>6354</v>
      </c>
    </row>
    <row r="1018" spans="1:13">
      <c r="A1018" s="48">
        <f t="shared" si="15"/>
        <v>1017</v>
      </c>
      <c r="B1018" s="47" t="s">
        <v>3295</v>
      </c>
      <c r="C1018" s="47" t="s">
        <v>6631</v>
      </c>
      <c r="D1018" s="47" t="s">
        <v>6584</v>
      </c>
      <c r="E1018" s="47"/>
      <c r="F1018" s="47" t="s">
        <v>6632</v>
      </c>
      <c r="G1018" s="47" t="s">
        <v>13</v>
      </c>
      <c r="H1018" s="47" t="str">
        <f>IFERROR(VLOOKUP(Table2[[#This Row], [Ticket]],Okey!A:B,2,0),"")</f>
        <v>ok</v>
      </c>
      <c r="I1018" s="47" t="s">
        <v>5290</v>
      </c>
      <c r="J1018" s="47" t="e">
        <f>VLOOKUP(Table2[[#This Row], [Author]],People!A:B,2,0)</f>
        <v>#N/A</v>
      </c>
      <c r="K1018" s="47"/>
      <c r="L1018" s="47"/>
      <c r="M1018" s="49" t="s">
        <v>6354</v>
      </c>
    </row>
    <row r="1019" spans="1:13">
      <c r="A1019" s="48">
        <f t="shared" si="15"/>
        <v>1018</v>
      </c>
      <c r="B1019" s="47" t="s">
        <v>3295</v>
      </c>
      <c r="C1019" s="47" t="s">
        <v>6631</v>
      </c>
      <c r="D1019" s="47" t="s">
        <v>6586</v>
      </c>
      <c r="E1019" s="47"/>
      <c r="F1019" s="47" t="s">
        <v>6633</v>
      </c>
      <c r="G1019" s="47" t="s">
        <v>13</v>
      </c>
      <c r="H1019" s="47" t="str">
        <f>IFERROR(VLOOKUP(Table2[[#This Row], [Ticket]],Okey!A:B,2,0),"")</f>
        <v>ok</v>
      </c>
      <c r="I1019" s="47" t="s">
        <v>5290</v>
      </c>
      <c r="J1019" s="47" t="e">
        <f>VLOOKUP(Table2[[#This Row], [Author]],People!A:B,2,0)</f>
        <v>#N/A</v>
      </c>
      <c r="K1019" s="47"/>
      <c r="L1019" s="47"/>
      <c r="M1019" s="49" t="s">
        <v>6354</v>
      </c>
    </row>
    <row r="1020" spans="1:13">
      <c r="A1020" s="48">
        <f t="shared" si="15"/>
        <v>1019</v>
      </c>
      <c r="B1020" s="47" t="s">
        <v>3295</v>
      </c>
      <c r="C1020" s="47" t="s">
        <v>6631</v>
      </c>
      <c r="D1020" s="47" t="s">
        <v>6588</v>
      </c>
      <c r="E1020" s="47"/>
      <c r="F1020" s="47" t="s">
        <v>6634</v>
      </c>
      <c r="G1020" s="47" t="s">
        <v>13</v>
      </c>
      <c r="H1020" s="47" t="str">
        <f>IFERROR(VLOOKUP(Table2[[#This Row], [Ticket]],Okey!A:B,2,0),"")</f>
        <v>ok</v>
      </c>
      <c r="I1020" s="47" t="s">
        <v>5290</v>
      </c>
      <c r="J1020" s="47" t="e">
        <f>VLOOKUP(Table2[[#This Row], [Author]],People!A:B,2,0)</f>
        <v>#N/A</v>
      </c>
      <c r="K1020" s="47"/>
      <c r="L1020" s="47"/>
      <c r="M1020" s="49" t="s">
        <v>6354</v>
      </c>
    </row>
    <row r="1021" spans="1:13">
      <c r="A1021" s="48">
        <f t="shared" si="15"/>
        <v>1020</v>
      </c>
      <c r="B1021" s="47" t="s">
        <v>3295</v>
      </c>
      <c r="C1021" s="47" t="s">
        <v>6631</v>
      </c>
      <c r="D1021" s="47" t="s">
        <v>6590</v>
      </c>
      <c r="E1021" s="47"/>
      <c r="F1021" s="47" t="s">
        <v>6635</v>
      </c>
      <c r="G1021" s="47" t="s">
        <v>13</v>
      </c>
      <c r="H1021" s="47" t="str">
        <f>IFERROR(VLOOKUP(Table2[[#This Row], [Ticket]],Okey!A:B,2,0),"")</f>
        <v>ok</v>
      </c>
      <c r="I1021" s="47" t="s">
        <v>5290</v>
      </c>
      <c r="J1021" s="47" t="e">
        <f>VLOOKUP(Table2[[#This Row], [Author]],People!A:B,2,0)</f>
        <v>#N/A</v>
      </c>
      <c r="K1021" s="47"/>
      <c r="L1021" s="47"/>
      <c r="M1021" s="49" t="s">
        <v>6354</v>
      </c>
    </row>
    <row r="1022" spans="1:13">
      <c r="A1022" s="48">
        <f t="shared" si="15"/>
        <v>1021</v>
      </c>
      <c r="B1022" s="47" t="s">
        <v>3295</v>
      </c>
      <c r="C1022" s="47" t="s">
        <v>6631</v>
      </c>
      <c r="D1022" s="47" t="s">
        <v>6605</v>
      </c>
      <c r="E1022" s="47"/>
      <c r="F1022" s="47"/>
      <c r="G1022" s="47" t="s">
        <v>12</v>
      </c>
      <c r="H1022" s="47" t="str">
        <f>IFERROR(VLOOKUP(Table2[[#This Row], [Ticket]],Okey!A:B,2,0),"")</f>
        <v>ok</v>
      </c>
      <c r="I1022" s="47" t="s">
        <v>5290</v>
      </c>
      <c r="J1022" s="47" t="e">
        <f>VLOOKUP(Table2[[#This Row], [Author]],People!A:B,2,0)</f>
        <v>#N/A</v>
      </c>
      <c r="K1022" s="47"/>
      <c r="L1022" s="47"/>
      <c r="M1022" s="49" t="s">
        <v>6354</v>
      </c>
    </row>
    <row r="1023" spans="1:13">
      <c r="A1023" s="48">
        <f t="shared" si="15"/>
        <v>1022</v>
      </c>
      <c r="B1023" s="47" t="s">
        <v>3295</v>
      </c>
      <c r="C1023" s="47" t="s">
        <v>6631</v>
      </c>
      <c r="D1023" s="47" t="s">
        <v>6606</v>
      </c>
      <c r="E1023" s="47"/>
      <c r="F1023" s="47"/>
      <c r="G1023" s="47" t="s">
        <v>12</v>
      </c>
      <c r="H1023" s="47" t="str">
        <f>IFERROR(VLOOKUP(Table2[[#This Row], [Ticket]],Okey!A:B,2,0),"")</f>
        <v>ok</v>
      </c>
      <c r="I1023" s="47" t="s">
        <v>5290</v>
      </c>
      <c r="J1023" s="47" t="e">
        <f>VLOOKUP(Table2[[#This Row], [Author]],People!A:B,2,0)</f>
        <v>#N/A</v>
      </c>
      <c r="K1023" s="47"/>
      <c r="L1023" s="47"/>
      <c r="M1023" s="49" t="s">
        <v>6354</v>
      </c>
    </row>
    <row r="1024" spans="1:13">
      <c r="A1024" s="48">
        <f t="shared" si="15"/>
        <v>1023</v>
      </c>
      <c r="B1024" s="47" t="s">
        <v>3295</v>
      </c>
      <c r="C1024" s="47" t="s">
        <v>6631</v>
      </c>
      <c r="D1024" s="47" t="s">
        <v>6607</v>
      </c>
      <c r="E1024" s="47"/>
      <c r="F1024" s="47"/>
      <c r="G1024" s="47" t="s">
        <v>12</v>
      </c>
      <c r="H1024" s="47" t="str">
        <f>IFERROR(VLOOKUP(Table2[[#This Row], [Ticket]],Okey!A:B,2,0),"")</f>
        <v>ok</v>
      </c>
      <c r="I1024" s="47" t="s">
        <v>5290</v>
      </c>
      <c r="J1024" s="47" t="e">
        <f>VLOOKUP(Table2[[#This Row], [Author]],People!A:B,2,0)</f>
        <v>#N/A</v>
      </c>
      <c r="K1024" s="47"/>
      <c r="L1024" s="47"/>
      <c r="M1024" s="49" t="s">
        <v>6354</v>
      </c>
    </row>
    <row r="1025" spans="1:13">
      <c r="A1025" s="48">
        <f t="shared" si="15"/>
        <v>1024</v>
      </c>
      <c r="B1025" s="47" t="s">
        <v>3295</v>
      </c>
      <c r="C1025" s="47" t="s">
        <v>6631</v>
      </c>
      <c r="D1025" s="47" t="s">
        <v>6608</v>
      </c>
      <c r="E1025" s="47"/>
      <c r="F1025" s="47"/>
      <c r="G1025" s="47" t="s">
        <v>12</v>
      </c>
      <c r="H1025" s="47" t="str">
        <f>IFERROR(VLOOKUP(Table2[[#This Row], [Ticket]],Okey!A:B,2,0),"")</f>
        <v>ok</v>
      </c>
      <c r="I1025" s="47" t="s">
        <v>5290</v>
      </c>
      <c r="J1025" s="47" t="e">
        <f>VLOOKUP(Table2[[#This Row], [Author]],People!A:B,2,0)</f>
        <v>#N/A</v>
      </c>
      <c r="K1025" s="47"/>
      <c r="L1025" s="47"/>
      <c r="M1025" s="49" t="s">
        <v>6354</v>
      </c>
    </row>
    <row r="1026" spans="1:13">
      <c r="A1026" s="48">
        <f t="shared" si="15"/>
        <v>1025</v>
      </c>
      <c r="B1026" s="47" t="s">
        <v>3295</v>
      </c>
      <c r="C1026" s="47" t="s">
        <v>6637</v>
      </c>
      <c r="D1026" s="59" t="s">
        <v>1155</v>
      </c>
      <c r="E1026" s="47"/>
      <c r="F1026" s="60" t="s">
        <v>1009</v>
      </c>
      <c r="G1026" s="47" t="s">
        <v>13</v>
      </c>
      <c r="H1026" s="47" t="str">
        <f>IFERROR(VLOOKUP(Table2[[#This Row], [Ticket]],Okey!A:B,2,0),"")</f>
        <v>ok</v>
      </c>
      <c r="I1026" s="47" t="s">
        <v>5290</v>
      </c>
      <c r="J1026" s="47" t="e">
        <f>VLOOKUP(Table2[[#This Row], [Author]],People!A:B,2,0)</f>
        <v>#N/A</v>
      </c>
      <c r="K1026" s="47"/>
      <c r="L1026" s="47"/>
      <c r="M1026" s="49" t="s">
        <v>1613</v>
      </c>
    </row>
    <row r="1027" spans="1:13">
      <c r="A1027" s="48">
        <f t="shared" ref="A1027:A1090" si="16">1+A1026</f>
        <v>1026</v>
      </c>
      <c r="B1027" s="47" t="s">
        <v>3295</v>
      </c>
      <c r="C1027" s="47" t="s">
        <v>6638</v>
      </c>
      <c r="D1027" s="47" t="s">
        <v>6645</v>
      </c>
      <c r="E1027" s="47" t="s">
        <v>6639</v>
      </c>
      <c r="F1027" s="47" t="s">
        <v>5278</v>
      </c>
      <c r="G1027" s="47" t="s">
        <v>14</v>
      </c>
      <c r="H1027" s="47" t="str">
        <f>IFERROR(VLOOKUP(Table2[[#This Row], [Ticket]],Okey!A:B,2,0),"")</f>
        <v>ok</v>
      </c>
      <c r="I1027" s="47" t="s">
        <v>5290</v>
      </c>
      <c r="J1027" s="47" t="e">
        <f>VLOOKUP(Table2[[#This Row], [Author]],People!A:B,2,0)</f>
        <v>#N/A</v>
      </c>
      <c r="K1027" s="47"/>
      <c r="L1027" s="47"/>
      <c r="M1027" s="49" t="s">
        <v>6354</v>
      </c>
    </row>
    <row r="1028" spans="1:13">
      <c r="A1028" s="48">
        <f t="shared" si="16"/>
        <v>1027</v>
      </c>
      <c r="B1028" s="47" t="s">
        <v>3295</v>
      </c>
      <c r="C1028" s="47" t="s">
        <v>6638</v>
      </c>
      <c r="D1028" s="47" t="s">
        <v>6642</v>
      </c>
      <c r="E1028" s="47" t="s">
        <v>6639</v>
      </c>
      <c r="F1028" s="47" t="s">
        <v>6645</v>
      </c>
      <c r="G1028" s="47" t="s">
        <v>14</v>
      </c>
      <c r="H1028" s="47" t="str">
        <f>IFERROR(VLOOKUP(Table2[[#This Row], [Ticket]],Okey!A:B,2,0),"")</f>
        <v>ok</v>
      </c>
      <c r="I1028" s="47" t="s">
        <v>5290</v>
      </c>
      <c r="J1028" s="47" t="e">
        <f>VLOOKUP(Table2[[#This Row], [Author]],People!A:B,2,0)</f>
        <v>#N/A</v>
      </c>
      <c r="K1028" s="47"/>
      <c r="L1028" s="47"/>
      <c r="M1028" s="49" t="s">
        <v>6354</v>
      </c>
    </row>
    <row r="1029" spans="1:13">
      <c r="A1029" s="48">
        <f t="shared" si="16"/>
        <v>1028</v>
      </c>
      <c r="B1029" s="47" t="s">
        <v>3295</v>
      </c>
      <c r="C1029" s="47" t="s">
        <v>6638</v>
      </c>
      <c r="D1029" s="47" t="s">
        <v>6646</v>
      </c>
      <c r="E1029" s="47" t="s">
        <v>6640</v>
      </c>
      <c r="F1029" s="47" t="s">
        <v>5278</v>
      </c>
      <c r="G1029" s="47" t="s">
        <v>14</v>
      </c>
      <c r="H1029" s="47" t="str">
        <f>IFERROR(VLOOKUP(Table2[[#This Row], [Ticket]],Okey!A:B,2,0),"")</f>
        <v>ok</v>
      </c>
      <c r="I1029" s="47" t="s">
        <v>5290</v>
      </c>
      <c r="J1029" s="47" t="e">
        <f>VLOOKUP(Table2[[#This Row], [Author]],People!A:B,2,0)</f>
        <v>#N/A</v>
      </c>
      <c r="K1029" s="47"/>
      <c r="L1029" s="47"/>
      <c r="M1029" s="49" t="s">
        <v>6354</v>
      </c>
    </row>
    <row r="1030" spans="1:13">
      <c r="A1030" s="48">
        <f t="shared" si="16"/>
        <v>1029</v>
      </c>
      <c r="B1030" s="47" t="s">
        <v>3295</v>
      </c>
      <c r="C1030" s="47" t="s">
        <v>6638</v>
      </c>
      <c r="D1030" s="47" t="s">
        <v>6643</v>
      </c>
      <c r="E1030" s="47" t="s">
        <v>6640</v>
      </c>
      <c r="F1030" s="47" t="s">
        <v>6646</v>
      </c>
      <c r="G1030" s="47" t="s">
        <v>14</v>
      </c>
      <c r="H1030" s="47" t="str">
        <f>IFERROR(VLOOKUP(Table2[[#This Row], [Ticket]],Okey!A:B,2,0),"")</f>
        <v>ok</v>
      </c>
      <c r="I1030" s="47" t="s">
        <v>5290</v>
      </c>
      <c r="J1030" s="47" t="e">
        <f>VLOOKUP(Table2[[#This Row], [Author]],People!A:B,2,0)</f>
        <v>#N/A</v>
      </c>
      <c r="K1030" s="47"/>
      <c r="L1030" s="47"/>
      <c r="M1030" s="49" t="s">
        <v>6354</v>
      </c>
    </row>
    <row r="1031" spans="1:13">
      <c r="A1031" s="48">
        <f t="shared" si="16"/>
        <v>1030</v>
      </c>
      <c r="B1031" s="47" t="s">
        <v>3295</v>
      </c>
      <c r="C1031" s="47" t="s">
        <v>6638</v>
      </c>
      <c r="D1031" s="47" t="s">
        <v>6644</v>
      </c>
      <c r="E1031" s="47" t="s">
        <v>6641</v>
      </c>
      <c r="F1031" s="47" t="s">
        <v>5278</v>
      </c>
      <c r="G1031" s="47" t="s">
        <v>14</v>
      </c>
      <c r="H1031" s="47" t="str">
        <f>IFERROR(VLOOKUP(Table2[[#This Row], [Ticket]],Okey!A:B,2,0),"")</f>
        <v>ok</v>
      </c>
      <c r="I1031" s="47" t="s">
        <v>5290</v>
      </c>
      <c r="J1031" s="47" t="e">
        <f>VLOOKUP(Table2[[#This Row], [Author]],People!A:B,2,0)</f>
        <v>#N/A</v>
      </c>
      <c r="K1031" s="47"/>
      <c r="L1031" s="47"/>
      <c r="M1031" s="49" t="s">
        <v>6354</v>
      </c>
    </row>
    <row r="1032" spans="1:13">
      <c r="A1032" s="48">
        <f t="shared" si="16"/>
        <v>1031</v>
      </c>
      <c r="B1032" s="47" t="s">
        <v>3295</v>
      </c>
      <c r="C1032" s="47" t="s">
        <v>6638</v>
      </c>
      <c r="D1032" s="61" t="s">
        <v>5278</v>
      </c>
      <c r="E1032" s="47" t="s">
        <v>6641</v>
      </c>
      <c r="F1032" s="47"/>
      <c r="G1032" s="47" t="s">
        <v>15</v>
      </c>
      <c r="H1032" s="47" t="str">
        <f>IFERROR(VLOOKUP(Table2[[#This Row], [Ticket]],Okey!A:B,2,0),"")</f>
        <v>ok</v>
      </c>
      <c r="I1032" s="47" t="s">
        <v>5290</v>
      </c>
      <c r="J1032" s="47" t="e">
        <f>VLOOKUP(Table2[[#This Row], [Author]],People!A:B,2,0)</f>
        <v>#N/A</v>
      </c>
      <c r="K1032" s="47"/>
      <c r="L1032" s="47"/>
      <c r="M1032" s="49" t="s">
        <v>6354</v>
      </c>
    </row>
    <row r="1033" spans="1:13">
      <c r="A1033" s="48">
        <f t="shared" si="16"/>
        <v>1032</v>
      </c>
      <c r="B1033" s="47" t="s">
        <v>3295</v>
      </c>
      <c r="C1033" s="47" t="s">
        <v>6638</v>
      </c>
      <c r="D1033" s="47" t="s">
        <v>6604</v>
      </c>
      <c r="E1033" s="47"/>
      <c r="F1033" s="47" t="s">
        <v>5786</v>
      </c>
      <c r="G1033" s="47" t="s">
        <v>13</v>
      </c>
      <c r="H1033" s="47" t="str">
        <f>IFERROR(VLOOKUP(Table2[[#This Row], [Ticket]],Okey!A:B,2,0),"")</f>
        <v>ok</v>
      </c>
      <c r="I1033" s="47" t="s">
        <v>5290</v>
      </c>
      <c r="J1033" s="47" t="e">
        <f>VLOOKUP(Table2[[#This Row], [Author]],People!A:B,2,0)</f>
        <v>#N/A</v>
      </c>
      <c r="K1033" s="47"/>
      <c r="L1033" s="47"/>
      <c r="M1033" s="49" t="s">
        <v>6354</v>
      </c>
    </row>
    <row r="1034" spans="1:13">
      <c r="A1034" s="48">
        <f t="shared" si="16"/>
        <v>1033</v>
      </c>
      <c r="B1034" s="47" t="s">
        <v>3295</v>
      </c>
      <c r="C1034" s="47" t="s">
        <v>6648</v>
      </c>
      <c r="D1034" s="62" t="s">
        <v>3661</v>
      </c>
      <c r="E1034" s="63" t="s">
        <v>6647</v>
      </c>
      <c r="F1034" s="47"/>
      <c r="G1034" s="47" t="s">
        <v>15</v>
      </c>
      <c r="H1034" s="47" t="str">
        <f>IFERROR(VLOOKUP(Table2[[#This Row], [Ticket]],Okey!A:B,2,0),"")</f>
        <v>ok</v>
      </c>
      <c r="I1034" s="47" t="s">
        <v>5290</v>
      </c>
      <c r="J1034" s="47" t="e">
        <f>VLOOKUP(Table2[[#This Row], [Author]],People!A:B,2,0)</f>
        <v>#N/A</v>
      </c>
      <c r="K1034" s="47"/>
      <c r="L1034" s="47"/>
      <c r="M1034" s="49" t="s">
        <v>4778</v>
      </c>
    </row>
    <row r="1035" spans="1:13">
      <c r="A1035" s="48">
        <f t="shared" si="16"/>
        <v>1034</v>
      </c>
      <c r="B1035" s="47" t="s">
        <v>3295</v>
      </c>
      <c r="C1035" s="47" t="s">
        <v>6653</v>
      </c>
      <c r="D1035" s="59" t="s">
        <v>6654</v>
      </c>
      <c r="E1035" s="47" t="s">
        <v>6649</v>
      </c>
      <c r="F1035" s="47" t="s">
        <v>6652</v>
      </c>
      <c r="G1035" s="47" t="s">
        <v>14</v>
      </c>
      <c r="H1035" s="47" t="str">
        <f>IFERROR(VLOOKUP(Table2[[#This Row], [Ticket]],Okey!A:B,2,0),"")</f>
        <v>ok</v>
      </c>
      <c r="I1035" s="47" t="s">
        <v>5290</v>
      </c>
      <c r="J1035" s="47" t="e">
        <f>VLOOKUP(Table2[[#This Row], [Author]],People!A:B,2,0)</f>
        <v>#N/A</v>
      </c>
      <c r="K1035" s="47"/>
      <c r="L1035" s="47"/>
      <c r="M1035" s="49" t="s">
        <v>1613</v>
      </c>
    </row>
    <row r="1036" spans="1:13">
      <c r="A1036" s="48">
        <f t="shared" si="16"/>
        <v>1035</v>
      </c>
      <c r="B1036" s="47" t="s">
        <v>3295</v>
      </c>
      <c r="C1036" s="47" t="s">
        <v>6653</v>
      </c>
      <c r="D1036" s="59" t="s">
        <v>6655</v>
      </c>
      <c r="E1036" s="47" t="s">
        <v>6650</v>
      </c>
      <c r="F1036" s="47" t="s">
        <v>6652</v>
      </c>
      <c r="G1036" s="47" t="s">
        <v>14</v>
      </c>
      <c r="H1036" s="47" t="str">
        <f>IFERROR(VLOOKUP(Table2[[#This Row], [Ticket]],Okey!A:B,2,0),"")</f>
        <v>ok</v>
      </c>
      <c r="I1036" s="47" t="s">
        <v>5290</v>
      </c>
      <c r="J1036" s="47" t="e">
        <f>VLOOKUP(Table2[[#This Row], [Author]],People!A:B,2,0)</f>
        <v>#N/A</v>
      </c>
      <c r="K1036" s="47"/>
      <c r="L1036" s="47"/>
      <c r="M1036" s="49" t="s">
        <v>1613</v>
      </c>
    </row>
    <row r="1037" spans="1:13">
      <c r="A1037" s="48">
        <f t="shared" si="16"/>
        <v>1036</v>
      </c>
      <c r="B1037" s="47" t="s">
        <v>3295</v>
      </c>
      <c r="C1037" s="47" t="s">
        <v>6653</v>
      </c>
      <c r="D1037" s="59" t="s">
        <v>6656</v>
      </c>
      <c r="E1037" s="47" t="s">
        <v>6651</v>
      </c>
      <c r="F1037" s="47" t="s">
        <v>6652</v>
      </c>
      <c r="G1037" s="47" t="s">
        <v>14</v>
      </c>
      <c r="H1037" s="47" t="str">
        <f>IFERROR(VLOOKUP(Table2[[#This Row], [Ticket]],Okey!A:B,2,0),"")</f>
        <v>ok</v>
      </c>
      <c r="I1037" s="47" t="s">
        <v>5290</v>
      </c>
      <c r="J1037" s="47" t="e">
        <f>VLOOKUP(Table2[[#This Row], [Author]],People!A:B,2,0)</f>
        <v>#N/A</v>
      </c>
      <c r="K1037" s="47"/>
      <c r="L1037" s="47"/>
      <c r="M1037" s="49" t="s">
        <v>1613</v>
      </c>
    </row>
    <row r="1038" spans="1:13">
      <c r="A1038" s="48">
        <f t="shared" si="16"/>
        <v>1037</v>
      </c>
      <c r="B1038" s="47" t="s">
        <v>3295</v>
      </c>
      <c r="C1038" s="47" t="s">
        <v>6657</v>
      </c>
      <c r="D1038" s="47" t="s">
        <v>6682</v>
      </c>
      <c r="E1038" s="47" t="s">
        <v>6658</v>
      </c>
      <c r="F1038" s="47" t="s">
        <v>6112</v>
      </c>
      <c r="G1038" s="47" t="s">
        <v>14</v>
      </c>
      <c r="H1038" s="47" t="str">
        <f>IFERROR(VLOOKUP(Table2[[#This Row], [Ticket]],Okey!A:B,2,0),"")</f>
        <v>ok</v>
      </c>
      <c r="I1038" s="47" t="s">
        <v>5290</v>
      </c>
      <c r="J1038" s="47" t="e">
        <f>VLOOKUP(Table2[[#This Row], [Author]],People!A:B,2,0)</f>
        <v>#N/A</v>
      </c>
      <c r="K1038" s="47"/>
      <c r="L1038" s="47"/>
      <c r="M1038" s="49" t="s">
        <v>1613</v>
      </c>
    </row>
    <row r="1039" spans="1:13">
      <c r="A1039" s="48">
        <f t="shared" si="16"/>
        <v>1038</v>
      </c>
      <c r="B1039" s="47" t="s">
        <v>3295</v>
      </c>
      <c r="C1039" s="47" t="s">
        <v>6657</v>
      </c>
      <c r="D1039" s="47" t="s">
        <v>6690</v>
      </c>
      <c r="E1039" s="47" t="s">
        <v>6659</v>
      </c>
      <c r="F1039" s="47" t="s">
        <v>6682</v>
      </c>
      <c r="G1039" s="47" t="s">
        <v>14</v>
      </c>
      <c r="H1039" s="47" t="str">
        <f>IFERROR(VLOOKUP(Table2[[#This Row], [Ticket]],Okey!A:B,2,0),"")</f>
        <v>ok</v>
      </c>
      <c r="I1039" s="47" t="s">
        <v>5290</v>
      </c>
      <c r="J1039" s="47" t="e">
        <f>VLOOKUP(Table2[[#This Row], [Author]],People!A:B,2,0)</f>
        <v>#N/A</v>
      </c>
      <c r="K1039" s="47"/>
      <c r="L1039" s="47"/>
      <c r="M1039" s="49" t="s">
        <v>1613</v>
      </c>
    </row>
    <row r="1040" spans="1:13">
      <c r="A1040" s="48">
        <f t="shared" si="16"/>
        <v>1039</v>
      </c>
      <c r="B1040" s="47" t="s">
        <v>3295</v>
      </c>
      <c r="C1040" s="47" t="s">
        <v>6657</v>
      </c>
      <c r="D1040" s="47" t="s">
        <v>6683</v>
      </c>
      <c r="E1040" s="47" t="s">
        <v>6660</v>
      </c>
      <c r="F1040" s="47" t="s">
        <v>6112</v>
      </c>
      <c r="G1040" s="47" t="s">
        <v>14</v>
      </c>
      <c r="H1040" s="47" t="str">
        <f>IFERROR(VLOOKUP(Table2[[#This Row], [Ticket]],Okey!A:B,2,0),"")</f>
        <v>ok</v>
      </c>
      <c r="I1040" s="47" t="s">
        <v>5290</v>
      </c>
      <c r="J1040" s="47" t="e">
        <f>VLOOKUP(Table2[[#This Row], [Author]],People!A:B,2,0)</f>
        <v>#N/A</v>
      </c>
      <c r="K1040" s="47"/>
      <c r="L1040" s="47"/>
      <c r="M1040" s="49" t="s">
        <v>1613</v>
      </c>
    </row>
    <row r="1041" spans="1:13">
      <c r="A1041" s="48">
        <f t="shared" si="16"/>
        <v>1040</v>
      </c>
      <c r="B1041" s="47" t="s">
        <v>3295</v>
      </c>
      <c r="C1041" s="47" t="s">
        <v>6657</v>
      </c>
      <c r="D1041" s="47" t="s">
        <v>6691</v>
      </c>
      <c r="E1041" s="47" t="s">
        <v>6661</v>
      </c>
      <c r="F1041" s="47" t="s">
        <v>6683</v>
      </c>
      <c r="G1041" s="47" t="s">
        <v>14</v>
      </c>
      <c r="H1041" s="47" t="str">
        <f>IFERROR(VLOOKUP(Table2[[#This Row], [Ticket]],Okey!A:B,2,0),"")</f>
        <v>ok</v>
      </c>
      <c r="I1041" s="47" t="s">
        <v>5290</v>
      </c>
      <c r="J1041" s="47" t="e">
        <f>VLOOKUP(Table2[[#This Row], [Author]],People!A:B,2,0)</f>
        <v>#N/A</v>
      </c>
      <c r="K1041" s="47"/>
      <c r="L1041" s="47"/>
      <c r="M1041" s="49" t="s">
        <v>1613</v>
      </c>
    </row>
    <row r="1042" spans="1:13">
      <c r="A1042" s="48">
        <f t="shared" si="16"/>
        <v>1041</v>
      </c>
      <c r="B1042" s="47" t="s">
        <v>3295</v>
      </c>
      <c r="C1042" s="47" t="s">
        <v>6657</v>
      </c>
      <c r="D1042" s="47" t="s">
        <v>6684</v>
      </c>
      <c r="E1042" s="47" t="s">
        <v>6662</v>
      </c>
      <c r="F1042" s="47" t="s">
        <v>6683</v>
      </c>
      <c r="G1042" s="47" t="s">
        <v>14</v>
      </c>
      <c r="H1042" s="47" t="str">
        <f>IFERROR(VLOOKUP(Table2[[#This Row], [Ticket]],Okey!A:B,2,0),"")</f>
        <v>ok</v>
      </c>
      <c r="I1042" s="47" t="s">
        <v>5290</v>
      </c>
      <c r="J1042" s="47" t="e">
        <f>VLOOKUP(Table2[[#This Row], [Author]],People!A:B,2,0)</f>
        <v>#N/A</v>
      </c>
      <c r="K1042" s="47"/>
      <c r="L1042" s="47"/>
      <c r="M1042" s="49" t="s">
        <v>1613</v>
      </c>
    </row>
    <row r="1043" spans="1:13">
      <c r="A1043" s="48">
        <f t="shared" si="16"/>
        <v>1042</v>
      </c>
      <c r="B1043" s="47" t="s">
        <v>3295</v>
      </c>
      <c r="C1043" s="47" t="s">
        <v>6657</v>
      </c>
      <c r="D1043" s="47" t="s">
        <v>6692</v>
      </c>
      <c r="E1043" s="47" t="s">
        <v>6663</v>
      </c>
      <c r="F1043" s="47" t="s">
        <v>6684</v>
      </c>
      <c r="G1043" s="47" t="s">
        <v>14</v>
      </c>
      <c r="H1043" s="47" t="str">
        <f>IFERROR(VLOOKUP(Table2[[#This Row], [Ticket]],Okey!A:B,2,0),"")</f>
        <v>ok</v>
      </c>
      <c r="I1043" s="47" t="s">
        <v>5290</v>
      </c>
      <c r="J1043" s="47" t="e">
        <f>VLOOKUP(Table2[[#This Row], [Author]],People!A:B,2,0)</f>
        <v>#N/A</v>
      </c>
      <c r="K1043" s="47"/>
      <c r="L1043" s="47"/>
      <c r="M1043" s="49" t="s">
        <v>1613</v>
      </c>
    </row>
    <row r="1044" spans="1:13">
      <c r="A1044" s="48">
        <f t="shared" si="16"/>
        <v>1043</v>
      </c>
      <c r="B1044" s="47" t="s">
        <v>3295</v>
      </c>
      <c r="C1044" s="47" t="s">
        <v>6657</v>
      </c>
      <c r="D1044" s="47" t="s">
        <v>6693</v>
      </c>
      <c r="E1044" s="47" t="s">
        <v>6664</v>
      </c>
      <c r="F1044" s="47" t="s">
        <v>6684</v>
      </c>
      <c r="G1044" s="47" t="s">
        <v>14</v>
      </c>
      <c r="H1044" s="47" t="str">
        <f>IFERROR(VLOOKUP(Table2[[#This Row], [Ticket]],Okey!A:B,2,0),"")</f>
        <v>ok</v>
      </c>
      <c r="I1044" s="47" t="s">
        <v>5290</v>
      </c>
      <c r="J1044" s="47" t="e">
        <f>VLOOKUP(Table2[[#This Row], [Author]],People!A:B,2,0)</f>
        <v>#N/A</v>
      </c>
      <c r="K1044" s="47"/>
      <c r="L1044" s="47"/>
      <c r="M1044" s="49" t="s">
        <v>1613</v>
      </c>
    </row>
    <row r="1045" spans="1:13">
      <c r="A1045" s="48">
        <f t="shared" si="16"/>
        <v>1044</v>
      </c>
      <c r="B1045" s="47" t="s">
        <v>3295</v>
      </c>
      <c r="C1045" s="47" t="s">
        <v>6657</v>
      </c>
      <c r="D1045" s="47" t="s">
        <v>6685</v>
      </c>
      <c r="E1045" s="47" t="s">
        <v>6665</v>
      </c>
      <c r="F1045" s="47" t="s">
        <v>6684</v>
      </c>
      <c r="G1045" s="47" t="s">
        <v>14</v>
      </c>
      <c r="H1045" s="47" t="str">
        <f>IFERROR(VLOOKUP(Table2[[#This Row], [Ticket]],Okey!A:B,2,0),"")</f>
        <v>ok</v>
      </c>
      <c r="I1045" s="47" t="s">
        <v>5290</v>
      </c>
      <c r="J1045" s="47" t="e">
        <f>VLOOKUP(Table2[[#This Row], [Author]],People!A:B,2,0)</f>
        <v>#N/A</v>
      </c>
      <c r="K1045" s="47"/>
      <c r="L1045" s="47"/>
      <c r="M1045" s="49" t="s">
        <v>1613</v>
      </c>
    </row>
    <row r="1046" spans="1:13">
      <c r="A1046" s="48">
        <f t="shared" si="16"/>
        <v>1045</v>
      </c>
      <c r="B1046" s="47" t="s">
        <v>3295</v>
      </c>
      <c r="C1046" s="47" t="s">
        <v>6657</v>
      </c>
      <c r="D1046" s="47" t="s">
        <v>6694</v>
      </c>
      <c r="E1046" s="47" t="s">
        <v>6666</v>
      </c>
      <c r="F1046" s="47" t="s">
        <v>6685</v>
      </c>
      <c r="G1046" s="47" t="s">
        <v>14</v>
      </c>
      <c r="H1046" s="47" t="str">
        <f>IFERROR(VLOOKUP(Table2[[#This Row], [Ticket]],Okey!A:B,2,0),"")</f>
        <v>ok</v>
      </c>
      <c r="I1046" s="47" t="s">
        <v>5290</v>
      </c>
      <c r="J1046" s="47" t="e">
        <f>VLOOKUP(Table2[[#This Row], [Author]],People!A:B,2,0)</f>
        <v>#N/A</v>
      </c>
      <c r="K1046" s="47"/>
      <c r="L1046" s="47"/>
      <c r="M1046" s="49" t="s">
        <v>1613</v>
      </c>
    </row>
    <row r="1047" spans="1:13">
      <c r="A1047" s="48">
        <f t="shared" si="16"/>
        <v>1046</v>
      </c>
      <c r="B1047" s="47" t="s">
        <v>3295</v>
      </c>
      <c r="C1047" s="47" t="s">
        <v>6657</v>
      </c>
      <c r="D1047" s="47" t="s">
        <v>6695</v>
      </c>
      <c r="E1047" s="47" t="s">
        <v>6667</v>
      </c>
      <c r="F1047" s="47" t="s">
        <v>6685</v>
      </c>
      <c r="G1047" s="47" t="s">
        <v>14</v>
      </c>
      <c r="H1047" s="47" t="str">
        <f>IFERROR(VLOOKUP(Table2[[#This Row], [Ticket]],Okey!A:B,2,0),"")</f>
        <v>ok</v>
      </c>
      <c r="I1047" s="47" t="s">
        <v>5290</v>
      </c>
      <c r="J1047" s="47" t="e">
        <f>VLOOKUP(Table2[[#This Row], [Author]],People!A:B,2,0)</f>
        <v>#N/A</v>
      </c>
      <c r="K1047" s="47"/>
      <c r="L1047" s="47"/>
      <c r="M1047" s="49" t="s">
        <v>1613</v>
      </c>
    </row>
    <row r="1048" spans="1:13">
      <c r="A1048" s="48">
        <f t="shared" si="16"/>
        <v>1047</v>
      </c>
      <c r="B1048" s="47" t="s">
        <v>3295</v>
      </c>
      <c r="C1048" s="47" t="s">
        <v>6657</v>
      </c>
      <c r="D1048" s="47" t="s">
        <v>6686</v>
      </c>
      <c r="E1048" s="47" t="s">
        <v>6668</v>
      </c>
      <c r="F1048" s="47" t="s">
        <v>6684</v>
      </c>
      <c r="G1048" s="47" t="s">
        <v>14</v>
      </c>
      <c r="H1048" s="47" t="str">
        <f>IFERROR(VLOOKUP(Table2[[#This Row], [Ticket]],Okey!A:B,2,0),"")</f>
        <v>ok</v>
      </c>
      <c r="I1048" s="47" t="s">
        <v>5290</v>
      </c>
      <c r="J1048" s="47" t="e">
        <f>VLOOKUP(Table2[[#This Row], [Author]],People!A:B,2,0)</f>
        <v>#N/A</v>
      </c>
      <c r="K1048" s="47"/>
      <c r="L1048" s="47"/>
      <c r="M1048" s="49" t="s">
        <v>1613</v>
      </c>
    </row>
    <row r="1049" spans="1:13">
      <c r="A1049" s="48">
        <f t="shared" si="16"/>
        <v>1048</v>
      </c>
      <c r="B1049" s="47" t="s">
        <v>3295</v>
      </c>
      <c r="C1049" s="47" t="s">
        <v>6657</v>
      </c>
      <c r="D1049" s="47" t="s">
        <v>6696</v>
      </c>
      <c r="E1049" s="47" t="s">
        <v>6669</v>
      </c>
      <c r="F1049" s="47" t="s">
        <v>6686</v>
      </c>
      <c r="G1049" s="47" t="s">
        <v>14</v>
      </c>
      <c r="H1049" s="47" t="str">
        <f>IFERROR(VLOOKUP(Table2[[#This Row], [Ticket]],Okey!A:B,2,0),"")</f>
        <v>ok</v>
      </c>
      <c r="I1049" s="47" t="s">
        <v>5290</v>
      </c>
      <c r="J1049" s="47" t="e">
        <f>VLOOKUP(Table2[[#This Row], [Author]],People!A:B,2,0)</f>
        <v>#N/A</v>
      </c>
      <c r="K1049" s="47"/>
      <c r="L1049" s="47"/>
      <c r="M1049" s="49" t="s">
        <v>1613</v>
      </c>
    </row>
    <row r="1050" spans="1:13">
      <c r="A1050" s="48">
        <f t="shared" si="16"/>
        <v>1049</v>
      </c>
      <c r="B1050" s="47" t="s">
        <v>3295</v>
      </c>
      <c r="C1050" s="47" t="s">
        <v>6657</v>
      </c>
      <c r="D1050" s="47" t="s">
        <v>6697</v>
      </c>
      <c r="E1050" s="47" t="s">
        <v>6670</v>
      </c>
      <c r="F1050" s="47" t="s">
        <v>6686</v>
      </c>
      <c r="G1050" s="47" t="s">
        <v>14</v>
      </c>
      <c r="H1050" s="47" t="str">
        <f>IFERROR(VLOOKUP(Table2[[#This Row], [Ticket]],Okey!A:B,2,0),"")</f>
        <v>ok</v>
      </c>
      <c r="I1050" s="47" t="s">
        <v>5290</v>
      </c>
      <c r="J1050" s="47" t="e">
        <f>VLOOKUP(Table2[[#This Row], [Author]],People!A:B,2,0)</f>
        <v>#N/A</v>
      </c>
      <c r="K1050" s="47"/>
      <c r="L1050" s="47"/>
      <c r="M1050" s="49" t="s">
        <v>1613</v>
      </c>
    </row>
    <row r="1051" spans="1:13">
      <c r="A1051" s="48">
        <f t="shared" si="16"/>
        <v>1050</v>
      </c>
      <c r="B1051" s="47" t="s">
        <v>3295</v>
      </c>
      <c r="C1051" s="47" t="s">
        <v>6657</v>
      </c>
      <c r="D1051" s="47" t="s">
        <v>6698</v>
      </c>
      <c r="E1051" s="47" t="s">
        <v>6671</v>
      </c>
      <c r="F1051" s="47" t="s">
        <v>6686</v>
      </c>
      <c r="G1051" s="47" t="s">
        <v>14</v>
      </c>
      <c r="H1051" s="47" t="str">
        <f>IFERROR(VLOOKUP(Table2[[#This Row], [Ticket]],Okey!A:B,2,0),"")</f>
        <v>ok</v>
      </c>
      <c r="I1051" s="47" t="s">
        <v>5290</v>
      </c>
      <c r="J1051" s="47" t="e">
        <f>VLOOKUP(Table2[[#This Row], [Author]],People!A:B,2,0)</f>
        <v>#N/A</v>
      </c>
      <c r="K1051" s="47"/>
      <c r="L1051" s="47"/>
      <c r="M1051" s="49" t="s">
        <v>1613</v>
      </c>
    </row>
    <row r="1052" spans="1:13">
      <c r="A1052" s="48">
        <f t="shared" si="16"/>
        <v>1051</v>
      </c>
      <c r="B1052" s="47" t="s">
        <v>3295</v>
      </c>
      <c r="C1052" s="47" t="s">
        <v>6657</v>
      </c>
      <c r="D1052" s="47" t="s">
        <v>6699</v>
      </c>
      <c r="E1052" s="47" t="s">
        <v>6672</v>
      </c>
      <c r="F1052" s="47" t="s">
        <v>6686</v>
      </c>
      <c r="G1052" s="47" t="s">
        <v>14</v>
      </c>
      <c r="H1052" s="47" t="str">
        <f>IFERROR(VLOOKUP(Table2[[#This Row], [Ticket]],Okey!A:B,2,0),"")</f>
        <v>ok</v>
      </c>
      <c r="I1052" s="47" t="s">
        <v>5290</v>
      </c>
      <c r="J1052" s="47" t="e">
        <f>VLOOKUP(Table2[[#This Row], [Author]],People!A:B,2,0)</f>
        <v>#N/A</v>
      </c>
      <c r="K1052" s="47"/>
      <c r="L1052" s="47"/>
      <c r="M1052" s="49" t="s">
        <v>1613</v>
      </c>
    </row>
    <row r="1053" spans="1:13">
      <c r="A1053" s="48">
        <f t="shared" si="16"/>
        <v>1052</v>
      </c>
      <c r="B1053" s="47" t="s">
        <v>3295</v>
      </c>
      <c r="C1053" s="47" t="s">
        <v>6657</v>
      </c>
      <c r="D1053" s="47" t="s">
        <v>6700</v>
      </c>
      <c r="E1053" s="47" t="s">
        <v>6673</v>
      </c>
      <c r="F1053" s="47" t="s">
        <v>6686</v>
      </c>
      <c r="G1053" s="47" t="s">
        <v>14</v>
      </c>
      <c r="H1053" s="47" t="str">
        <f>IFERROR(VLOOKUP(Table2[[#This Row], [Ticket]],Okey!A:B,2,0),"")</f>
        <v>ok</v>
      </c>
      <c r="I1053" s="47" t="s">
        <v>5290</v>
      </c>
      <c r="J1053" s="47" t="e">
        <f>VLOOKUP(Table2[[#This Row], [Author]],People!A:B,2,0)</f>
        <v>#N/A</v>
      </c>
      <c r="K1053" s="47"/>
      <c r="L1053" s="47"/>
      <c r="M1053" s="49" t="s">
        <v>1613</v>
      </c>
    </row>
    <row r="1054" spans="1:13">
      <c r="A1054" s="48">
        <f t="shared" si="16"/>
        <v>1053</v>
      </c>
      <c r="B1054" s="47" t="s">
        <v>3295</v>
      </c>
      <c r="C1054" s="47" t="s">
        <v>6657</v>
      </c>
      <c r="D1054" s="47" t="s">
        <v>6687</v>
      </c>
      <c r="E1054" s="47" t="s">
        <v>6674</v>
      </c>
      <c r="F1054" s="47" t="s">
        <v>6683</v>
      </c>
      <c r="G1054" s="47" t="s">
        <v>14</v>
      </c>
      <c r="H1054" s="47" t="str">
        <f>IFERROR(VLOOKUP(Table2[[#This Row], [Ticket]],Okey!A:B,2,0),"")</f>
        <v>ok</v>
      </c>
      <c r="I1054" s="47" t="s">
        <v>5290</v>
      </c>
      <c r="J1054" s="47" t="e">
        <f>VLOOKUP(Table2[[#This Row], [Author]],People!A:B,2,0)</f>
        <v>#N/A</v>
      </c>
      <c r="K1054" s="47"/>
      <c r="L1054" s="47"/>
      <c r="M1054" s="49" t="s">
        <v>1613</v>
      </c>
    </row>
    <row r="1055" spans="1:13">
      <c r="A1055" s="48">
        <f t="shared" si="16"/>
        <v>1054</v>
      </c>
      <c r="B1055" s="47" t="s">
        <v>3295</v>
      </c>
      <c r="C1055" s="47" t="s">
        <v>6657</v>
      </c>
      <c r="D1055" s="47" t="s">
        <v>6701</v>
      </c>
      <c r="E1055" s="47" t="s">
        <v>6675</v>
      </c>
      <c r="F1055" s="47" t="s">
        <v>6687</v>
      </c>
      <c r="G1055" s="47" t="s">
        <v>14</v>
      </c>
      <c r="H1055" s="47" t="str">
        <f>IFERROR(VLOOKUP(Table2[[#This Row], [Ticket]],Okey!A:B,2,0),"")</f>
        <v>ok</v>
      </c>
      <c r="I1055" s="47" t="s">
        <v>5290</v>
      </c>
      <c r="J1055" s="47" t="e">
        <f>VLOOKUP(Table2[[#This Row], [Author]],People!A:B,2,0)</f>
        <v>#N/A</v>
      </c>
      <c r="K1055" s="47"/>
      <c r="L1055" s="47"/>
      <c r="M1055" s="49" t="s">
        <v>1613</v>
      </c>
    </row>
    <row r="1056" spans="1:13">
      <c r="A1056" s="48">
        <f t="shared" si="16"/>
        <v>1055</v>
      </c>
      <c r="B1056" s="47" t="s">
        <v>3295</v>
      </c>
      <c r="C1056" s="47" t="s">
        <v>6657</v>
      </c>
      <c r="D1056" s="47" t="s">
        <v>6688</v>
      </c>
      <c r="E1056" s="47" t="s">
        <v>6676</v>
      </c>
      <c r="F1056" s="47" t="s">
        <v>6687</v>
      </c>
      <c r="G1056" s="47" t="s">
        <v>14</v>
      </c>
      <c r="H1056" s="47" t="str">
        <f>IFERROR(VLOOKUP(Table2[[#This Row], [Ticket]],Okey!A:B,2,0),"")</f>
        <v>ok</v>
      </c>
      <c r="I1056" s="47" t="s">
        <v>5290</v>
      </c>
      <c r="J1056" s="47" t="e">
        <f>VLOOKUP(Table2[[#This Row], [Author]],People!A:B,2,0)</f>
        <v>#N/A</v>
      </c>
      <c r="K1056" s="47"/>
      <c r="L1056" s="47"/>
      <c r="M1056" s="49" t="s">
        <v>1613</v>
      </c>
    </row>
    <row r="1057" spans="1:13">
      <c r="A1057" s="48">
        <f t="shared" si="16"/>
        <v>1056</v>
      </c>
      <c r="B1057" s="47" t="s">
        <v>3295</v>
      </c>
      <c r="C1057" s="47" t="s">
        <v>6657</v>
      </c>
      <c r="D1057" s="47" t="s">
        <v>6702</v>
      </c>
      <c r="E1057" s="47" t="s">
        <v>6677</v>
      </c>
      <c r="F1057" s="47" t="s">
        <v>6688</v>
      </c>
      <c r="G1057" s="47" t="s">
        <v>14</v>
      </c>
      <c r="H1057" s="47" t="str">
        <f>IFERROR(VLOOKUP(Table2[[#This Row], [Ticket]],Okey!A:B,2,0),"")</f>
        <v>ok</v>
      </c>
      <c r="I1057" s="47" t="s">
        <v>5290</v>
      </c>
      <c r="J1057" s="47" t="e">
        <f>VLOOKUP(Table2[[#This Row], [Author]],People!A:B,2,0)</f>
        <v>#N/A</v>
      </c>
      <c r="K1057" s="47"/>
      <c r="L1057" s="47"/>
      <c r="M1057" s="49" t="s">
        <v>1613</v>
      </c>
    </row>
    <row r="1058" spans="1:13">
      <c r="A1058" s="48">
        <f t="shared" si="16"/>
        <v>1057</v>
      </c>
      <c r="B1058" s="47" t="s">
        <v>3295</v>
      </c>
      <c r="C1058" s="47" t="s">
        <v>6657</v>
      </c>
      <c r="D1058" s="47" t="s">
        <v>6703</v>
      </c>
      <c r="E1058" s="47" t="s">
        <v>6678</v>
      </c>
      <c r="F1058" s="47" t="s">
        <v>6688</v>
      </c>
      <c r="G1058" s="47" t="s">
        <v>14</v>
      </c>
      <c r="H1058" s="47" t="str">
        <f>IFERROR(VLOOKUP(Table2[[#This Row], [Ticket]],Okey!A:B,2,0),"")</f>
        <v>ok</v>
      </c>
      <c r="I1058" s="47" t="s">
        <v>5290</v>
      </c>
      <c r="J1058" s="47" t="e">
        <f>VLOOKUP(Table2[[#This Row], [Author]],People!A:B,2,0)</f>
        <v>#N/A</v>
      </c>
      <c r="K1058" s="47"/>
      <c r="L1058" s="47"/>
      <c r="M1058" s="49" t="s">
        <v>1613</v>
      </c>
    </row>
    <row r="1059" spans="1:13">
      <c r="A1059" s="48">
        <f t="shared" si="16"/>
        <v>1058</v>
      </c>
      <c r="B1059" s="47" t="s">
        <v>3295</v>
      </c>
      <c r="C1059" s="47" t="s">
        <v>6657</v>
      </c>
      <c r="D1059" s="47" t="s">
        <v>6689</v>
      </c>
      <c r="E1059" s="47" t="s">
        <v>6679</v>
      </c>
      <c r="F1059" s="47" t="s">
        <v>6687</v>
      </c>
      <c r="G1059" s="47" t="s">
        <v>14</v>
      </c>
      <c r="H1059" s="47" t="str">
        <f>IFERROR(VLOOKUP(Table2[[#This Row], [Ticket]],Okey!A:B,2,0),"")</f>
        <v>ok</v>
      </c>
      <c r="I1059" s="47" t="s">
        <v>5290</v>
      </c>
      <c r="J1059" s="47" t="e">
        <f>VLOOKUP(Table2[[#This Row], [Author]],People!A:B,2,0)</f>
        <v>#N/A</v>
      </c>
      <c r="K1059" s="47"/>
      <c r="L1059" s="47"/>
      <c r="M1059" s="49" t="s">
        <v>1613</v>
      </c>
    </row>
    <row r="1060" spans="1:13">
      <c r="A1060" s="48">
        <f t="shared" si="16"/>
        <v>1059</v>
      </c>
      <c r="B1060" s="47" t="s">
        <v>3295</v>
      </c>
      <c r="C1060" s="47" t="s">
        <v>6657</v>
      </c>
      <c r="D1060" s="47" t="s">
        <v>6704</v>
      </c>
      <c r="E1060" s="47" t="s">
        <v>6680</v>
      </c>
      <c r="F1060" s="47" t="s">
        <v>6689</v>
      </c>
      <c r="G1060" s="47" t="s">
        <v>14</v>
      </c>
      <c r="H1060" s="47" t="str">
        <f>IFERROR(VLOOKUP(Table2[[#This Row], [Ticket]],Okey!A:B,2,0),"")</f>
        <v>ok</v>
      </c>
      <c r="I1060" s="47" t="s">
        <v>5290</v>
      </c>
      <c r="J1060" s="47" t="e">
        <f>VLOOKUP(Table2[[#This Row], [Author]],People!A:B,2,0)</f>
        <v>#N/A</v>
      </c>
      <c r="K1060" s="47"/>
      <c r="L1060" s="47"/>
      <c r="M1060" s="49" t="s">
        <v>1613</v>
      </c>
    </row>
    <row r="1061" spans="1:13">
      <c r="A1061" s="48">
        <f t="shared" si="16"/>
        <v>1060</v>
      </c>
      <c r="B1061" s="47" t="s">
        <v>3295</v>
      </c>
      <c r="C1061" s="47" t="s">
        <v>6657</v>
      </c>
      <c r="D1061" s="47" t="s">
        <v>6705</v>
      </c>
      <c r="E1061" s="47" t="s">
        <v>6681</v>
      </c>
      <c r="F1061" s="47" t="s">
        <v>6689</v>
      </c>
      <c r="G1061" s="47" t="s">
        <v>14</v>
      </c>
      <c r="H1061" s="47" t="str">
        <f>IFERROR(VLOOKUP(Table2[[#This Row], [Ticket]],Okey!A:B,2,0),"")</f>
        <v>ok</v>
      </c>
      <c r="I1061" s="47" t="s">
        <v>5290</v>
      </c>
      <c r="J1061" s="47" t="e">
        <f>VLOOKUP(Table2[[#This Row], [Author]],People!A:B,2,0)</f>
        <v>#N/A</v>
      </c>
      <c r="K1061" s="47"/>
      <c r="L1061" s="47"/>
      <c r="M1061" s="49" t="s">
        <v>1613</v>
      </c>
    </row>
    <row r="1062" spans="1:13">
      <c r="A1062" s="48">
        <f t="shared" si="16"/>
        <v>1061</v>
      </c>
      <c r="B1062" s="47" t="s">
        <v>3295</v>
      </c>
      <c r="C1062" s="47" t="s">
        <v>6708</v>
      </c>
      <c r="D1062" s="47" t="s">
        <v>6709</v>
      </c>
      <c r="E1062" s="47" t="s">
        <v>6712</v>
      </c>
      <c r="F1062" s="47" t="s">
        <v>6706</v>
      </c>
      <c r="G1062" s="47" t="s">
        <v>16</v>
      </c>
      <c r="H1062" s="47" t="str">
        <f>IFERROR(VLOOKUP(Table2[[#This Row], [Ticket]],Okey!A:B,2,0),"")</f>
        <v>ok</v>
      </c>
      <c r="I1062" s="47" t="s">
        <v>5290</v>
      </c>
      <c r="J1062" s="47" t="e">
        <f>VLOOKUP(Table2[[#This Row], [Author]],People!A:B,2,0)</f>
        <v>#N/A</v>
      </c>
      <c r="K1062" s="47"/>
      <c r="L1062" s="47"/>
      <c r="M1062" s="49" t="s">
        <v>4782</v>
      </c>
    </row>
    <row r="1063" spans="1:13">
      <c r="A1063" s="48">
        <f t="shared" si="16"/>
        <v>1062</v>
      </c>
      <c r="B1063" s="47" t="s">
        <v>3295</v>
      </c>
      <c r="C1063" s="47" t="s">
        <v>6708</v>
      </c>
      <c r="D1063" s="47" t="s">
        <v>6710</v>
      </c>
      <c r="E1063" s="47" t="s">
        <v>6713</v>
      </c>
      <c r="F1063" s="47" t="s">
        <v>6706</v>
      </c>
      <c r="G1063" s="47" t="s">
        <v>16</v>
      </c>
      <c r="H1063" s="47" t="str">
        <f>IFERROR(VLOOKUP(Table2[[#This Row], [Ticket]],Okey!A:B,2,0),"")</f>
        <v>ok</v>
      </c>
      <c r="I1063" s="47" t="s">
        <v>5290</v>
      </c>
      <c r="J1063" s="47" t="e">
        <f>VLOOKUP(Table2[[#This Row], [Author]],People!A:B,2,0)</f>
        <v>#N/A</v>
      </c>
      <c r="K1063" s="47"/>
      <c r="L1063" s="47"/>
      <c r="M1063" s="49" t="s">
        <v>4782</v>
      </c>
    </row>
    <row r="1064" spans="1:13">
      <c r="A1064" s="48">
        <f t="shared" si="16"/>
        <v>1063</v>
      </c>
      <c r="B1064" s="47" t="s">
        <v>3295</v>
      </c>
      <c r="C1064" s="47" t="s">
        <v>6708</v>
      </c>
      <c r="D1064" s="47" t="s">
        <v>6711</v>
      </c>
      <c r="E1064" s="47" t="s">
        <v>6714</v>
      </c>
      <c r="F1064" s="47" t="s">
        <v>6707</v>
      </c>
      <c r="G1064" s="47" t="s">
        <v>16</v>
      </c>
      <c r="H1064" s="47" t="str">
        <f>IFERROR(VLOOKUP(Table2[[#This Row], [Ticket]],Okey!A:B,2,0),"")</f>
        <v>ok</v>
      </c>
      <c r="I1064" s="47" t="s">
        <v>5290</v>
      </c>
      <c r="J1064" s="47" t="e">
        <f>VLOOKUP(Table2[[#This Row], [Author]],People!A:B,2,0)</f>
        <v>#N/A</v>
      </c>
      <c r="K1064" s="47"/>
      <c r="L1064" s="47"/>
      <c r="M1064" s="49" t="s">
        <v>4782</v>
      </c>
    </row>
    <row r="1065" spans="1:13">
      <c r="A1065" s="48">
        <f t="shared" si="16"/>
        <v>1064</v>
      </c>
      <c r="B1065" s="47" t="s">
        <v>3295</v>
      </c>
      <c r="C1065" s="47" t="s">
        <v>6715</v>
      </c>
      <c r="D1065" s="47" t="s">
        <v>6684</v>
      </c>
      <c r="E1065" s="47"/>
      <c r="F1065" s="47" t="s">
        <v>6682</v>
      </c>
      <c r="G1065" s="47" t="s">
        <v>13</v>
      </c>
      <c r="H1065" s="47" t="str">
        <f>IFERROR(VLOOKUP(Table2[[#This Row], [Ticket]],Okey!A:B,2,0),"")</f>
        <v>ok</v>
      </c>
      <c r="I1065" s="47" t="s">
        <v>5290</v>
      </c>
      <c r="J1065" s="47" t="e">
        <f>VLOOKUP(Table2[[#This Row], [Author]],People!A:B,2,0)</f>
        <v>#N/A</v>
      </c>
      <c r="K1065" s="47"/>
      <c r="L1065" s="47"/>
      <c r="M1065" s="49" t="s">
        <v>1613</v>
      </c>
    </row>
    <row r="1066" spans="1:13">
      <c r="A1066" s="48">
        <f t="shared" si="16"/>
        <v>1065</v>
      </c>
      <c r="B1066" s="47" t="s">
        <v>3295</v>
      </c>
      <c r="C1066" s="47" t="s">
        <v>6723</v>
      </c>
      <c r="D1066" s="47" t="s">
        <v>6724</v>
      </c>
      <c r="E1066" s="47" t="s">
        <v>6716</v>
      </c>
      <c r="F1066" s="47" t="s">
        <v>5278</v>
      </c>
      <c r="G1066" s="47" t="s">
        <v>14</v>
      </c>
      <c r="H1066" s="47" t="str">
        <f>IFERROR(VLOOKUP(Table2[[#This Row], [Ticket]],Okey!A:B,2,0),"")</f>
        <v>ok</v>
      </c>
      <c r="I1066" s="47" t="s">
        <v>5290</v>
      </c>
      <c r="J1066" s="47" t="e">
        <f>VLOOKUP(Table2[[#This Row],[Author]],People!A:B,2,0)</f>
        <v>#N/A</v>
      </c>
      <c r="K1066" s="47"/>
      <c r="L1066" s="47"/>
      <c r="M1066" s="49" t="s">
        <v>6354</v>
      </c>
    </row>
    <row r="1067" spans="1:13">
      <c r="A1067" s="48">
        <f t="shared" si="16"/>
        <v>1066</v>
      </c>
      <c r="B1067" s="47" t="s">
        <v>3295</v>
      </c>
      <c r="C1067" s="47" t="s">
        <v>6723</v>
      </c>
      <c r="D1067" s="47" t="s">
        <v>6719</v>
      </c>
      <c r="E1067" s="47" t="s">
        <v>6716</v>
      </c>
      <c r="F1067" s="47" t="s">
        <v>6724</v>
      </c>
      <c r="G1067" s="47" t="s">
        <v>14</v>
      </c>
      <c r="H1067" s="47" t="str">
        <f>IFERROR(VLOOKUP(Table2[[#This Row], [Ticket]],Okey!A:B,2,0),"")</f>
        <v>ok</v>
      </c>
      <c r="I1067" s="47" t="s">
        <v>5290</v>
      </c>
      <c r="J1067" s="47" t="e">
        <f>VLOOKUP(Table2[[#This Row], [Author]],People!A:B,2,0)</f>
        <v>#N/A</v>
      </c>
      <c r="K1067" s="47"/>
      <c r="L1067" s="47"/>
      <c r="M1067" s="49" t="s">
        <v>6354</v>
      </c>
    </row>
    <row r="1068" spans="1:13">
      <c r="A1068" s="48">
        <f t="shared" si="16"/>
        <v>1067</v>
      </c>
      <c r="B1068" s="47" t="s">
        <v>3295</v>
      </c>
      <c r="C1068" s="47" t="s">
        <v>6723</v>
      </c>
      <c r="D1068" s="47" t="s">
        <v>6725</v>
      </c>
      <c r="E1068" s="47" t="s">
        <v>6717</v>
      </c>
      <c r="F1068" s="47" t="s">
        <v>5278</v>
      </c>
      <c r="G1068" s="47" t="s">
        <v>14</v>
      </c>
      <c r="H1068" s="47" t="str">
        <f>IFERROR(VLOOKUP(Table2[[#This Row], [Ticket]],Okey!A:B,2,0),"")</f>
        <v>ok</v>
      </c>
      <c r="I1068" s="47" t="s">
        <v>5290</v>
      </c>
      <c r="J1068" s="47" t="e">
        <f>VLOOKUP(Table2[[#This Row], [Author]],People!A:B,2,0)</f>
        <v>#N/A</v>
      </c>
      <c r="K1068" s="47"/>
      <c r="L1068" s="47"/>
      <c r="M1068" s="49" t="s">
        <v>6354</v>
      </c>
    </row>
    <row r="1069" spans="1:13">
      <c r="A1069" s="48">
        <f t="shared" si="16"/>
        <v>1068</v>
      </c>
      <c r="B1069" s="47" t="s">
        <v>3295</v>
      </c>
      <c r="C1069" s="47" t="s">
        <v>6723</v>
      </c>
      <c r="D1069" s="47" t="s">
        <v>6720</v>
      </c>
      <c r="E1069" s="47" t="s">
        <v>6717</v>
      </c>
      <c r="F1069" s="47" t="s">
        <v>6725</v>
      </c>
      <c r="G1069" s="47" t="s">
        <v>14</v>
      </c>
      <c r="H1069" s="47" t="str">
        <f>IFERROR(VLOOKUP(Table2[[#This Row], [Ticket]],Okey!A:B,2,0),"")</f>
        <v>ok</v>
      </c>
      <c r="I1069" s="47" t="s">
        <v>5290</v>
      </c>
      <c r="J1069" s="47" t="e">
        <f>VLOOKUP(Table2[[#This Row], [Author]],People!A:B,2,0)</f>
        <v>#N/A</v>
      </c>
      <c r="K1069" s="47"/>
      <c r="L1069" s="47"/>
      <c r="M1069" s="49" t="s">
        <v>6354</v>
      </c>
    </row>
    <row r="1070" spans="1:13">
      <c r="A1070" s="48">
        <f t="shared" si="16"/>
        <v>1069</v>
      </c>
      <c r="B1070" s="47" t="s">
        <v>3295</v>
      </c>
      <c r="C1070" s="47" t="s">
        <v>6723</v>
      </c>
      <c r="D1070" s="47" t="s">
        <v>6726</v>
      </c>
      <c r="E1070" s="47" t="s">
        <v>6718</v>
      </c>
      <c r="F1070" s="47" t="s">
        <v>5278</v>
      </c>
      <c r="G1070" s="47" t="s">
        <v>14</v>
      </c>
      <c r="H1070" s="47" t="str">
        <f>IFERROR(VLOOKUP(Table2[[#This Row], [Ticket]],Okey!A:B,2,0),"")</f>
        <v>ok</v>
      </c>
      <c r="I1070" s="47" t="s">
        <v>5290</v>
      </c>
      <c r="J1070" s="47" t="e">
        <f>VLOOKUP(Table2[[#This Row], [Author]],People!A:B,2,0)</f>
        <v>#N/A</v>
      </c>
      <c r="K1070" s="47"/>
      <c r="L1070" s="47"/>
      <c r="M1070" s="49" t="s">
        <v>6354</v>
      </c>
    </row>
    <row r="1071" spans="1:13">
      <c r="A1071" s="48">
        <f t="shared" si="16"/>
        <v>1070</v>
      </c>
      <c r="B1071" s="47" t="s">
        <v>3295</v>
      </c>
      <c r="C1071" s="47" t="s">
        <v>6723</v>
      </c>
      <c r="D1071" s="47" t="s">
        <v>6721</v>
      </c>
      <c r="E1071" s="47" t="s">
        <v>6718</v>
      </c>
      <c r="F1071" s="47" t="s">
        <v>6726</v>
      </c>
      <c r="G1071" s="47" t="s">
        <v>14</v>
      </c>
      <c r="H1071" s="47" t="str">
        <f>IFERROR(VLOOKUP(Table2[[#This Row], [Ticket]],Okey!A:B,2,0),"")</f>
        <v>ok</v>
      </c>
      <c r="I1071" s="47" t="s">
        <v>5290</v>
      </c>
      <c r="J1071" s="47" t="e">
        <f>VLOOKUP(Table2[[#This Row], [Author]],People!A:B,2,0)</f>
        <v>#N/A</v>
      </c>
      <c r="K1071" s="47"/>
      <c r="L1071" s="47"/>
      <c r="M1071" s="49" t="s">
        <v>6354</v>
      </c>
    </row>
    <row r="1072" spans="1:13">
      <c r="A1072" s="48">
        <f t="shared" si="16"/>
        <v>1071</v>
      </c>
      <c r="B1072" s="47" t="s">
        <v>3295</v>
      </c>
      <c r="C1072" s="47" t="s">
        <v>6723</v>
      </c>
      <c r="D1072" s="47" t="s">
        <v>6646</v>
      </c>
      <c r="E1072" s="47" t="s">
        <v>6722</v>
      </c>
      <c r="F1072" s="47"/>
      <c r="G1072" s="47" t="s">
        <v>15</v>
      </c>
      <c r="H1072" s="47" t="str">
        <f>IFERROR(VLOOKUP(Table2[[#This Row], [Ticket]],Okey!A:B,2,0),"")</f>
        <v>ok</v>
      </c>
      <c r="I1072" s="47" t="s">
        <v>5290</v>
      </c>
      <c r="J1072" s="47" t="e">
        <f>VLOOKUP(Table2[[#This Row], [Author]],People!A:B,2,0)</f>
        <v>#N/A</v>
      </c>
      <c r="K1072" s="47"/>
      <c r="L1072" s="47"/>
      <c r="M1072" s="49" t="s">
        <v>6354</v>
      </c>
    </row>
    <row r="1073" spans="1:13">
      <c r="A1073" s="48">
        <f t="shared" si="16"/>
        <v>1072</v>
      </c>
      <c r="B1073" s="47" t="s">
        <v>3295</v>
      </c>
      <c r="C1073" s="47" t="s">
        <v>6723</v>
      </c>
      <c r="D1073" s="47" t="s">
        <v>6643</v>
      </c>
      <c r="E1073" s="47" t="s">
        <v>6722</v>
      </c>
      <c r="F1073" s="47"/>
      <c r="G1073" s="47" t="s">
        <v>15</v>
      </c>
      <c r="H1073" s="47" t="str">
        <f>IFERROR(VLOOKUP(Table2[[#This Row], [Ticket]],Okey!A:B,2,0),"")</f>
        <v>ok</v>
      </c>
      <c r="I1073" s="47" t="s">
        <v>5290</v>
      </c>
      <c r="J1073" s="47" t="e">
        <f>VLOOKUP(Table2[[#This Row], [Author]],People!A:B,2,0)</f>
        <v>#N/A</v>
      </c>
      <c r="K1073" s="47"/>
      <c r="L1073" s="47"/>
      <c r="M1073" s="49" t="s">
        <v>6354</v>
      </c>
    </row>
    <row r="1074" spans="1:13">
      <c r="A1074" s="48">
        <f t="shared" si="16"/>
        <v>1073</v>
      </c>
      <c r="B1074" s="47" t="s">
        <v>3295</v>
      </c>
      <c r="C1074" s="47" t="s">
        <v>6728</v>
      </c>
      <c r="D1074" s="47" t="s">
        <v>6731</v>
      </c>
      <c r="E1074" s="47" t="s">
        <v>6727</v>
      </c>
      <c r="F1074" s="47" t="s">
        <v>6730</v>
      </c>
      <c r="G1074" s="47" t="s">
        <v>14</v>
      </c>
      <c r="H1074" s="47" t="str">
        <f>IFERROR(VLOOKUP(Table2[[#This Row], [Ticket]],Okey!A:B,2,0),"")</f>
        <v>ok</v>
      </c>
      <c r="I1074" s="47" t="s">
        <v>5290</v>
      </c>
      <c r="J1074" s="47" t="e">
        <f>VLOOKUP(Table2[[#This Row], [Author]],People!A:B,2,0)</f>
        <v>#N/A</v>
      </c>
      <c r="K1074" s="47"/>
      <c r="L1074" s="47"/>
      <c r="M1074" s="49" t="s">
        <v>6729</v>
      </c>
    </row>
    <row r="1075" spans="1:13">
      <c r="A1075" s="48">
        <f t="shared" si="16"/>
        <v>1074</v>
      </c>
      <c r="B1075" s="47" t="s">
        <v>4</v>
      </c>
      <c r="C1075" s="47" t="s">
        <v>6732</v>
      </c>
      <c r="D1075" s="47" t="s">
        <v>6736</v>
      </c>
      <c r="E1075" s="47" t="s">
        <v>6733</v>
      </c>
      <c r="F1075" s="47" t="s">
        <v>990</v>
      </c>
      <c r="G1075" s="47" t="s">
        <v>14</v>
      </c>
      <c r="H1075" s="47" t="str">
        <f>IFERROR(VLOOKUP(Table2[[#This Row], [Ticket]],Okey!A:B,2,0),"")</f>
        <v>ok</v>
      </c>
      <c r="I1075" s="47" t="s">
        <v>5290</v>
      </c>
      <c r="J1075" s="47" t="e">
        <f>VLOOKUP(Table2[[#This Row],[Author]],People!A:B,2,0)</f>
        <v>#N/A</v>
      </c>
      <c r="K1075" s="47"/>
      <c r="L1075" s="47"/>
      <c r="M1075" s="49" t="s">
        <v>6354</v>
      </c>
    </row>
    <row r="1076" spans="1:13">
      <c r="A1076" s="48">
        <f t="shared" si="16"/>
        <v>1075</v>
      </c>
      <c r="B1076" s="47" t="s">
        <v>4</v>
      </c>
      <c r="C1076" s="47" t="s">
        <v>6732</v>
      </c>
      <c r="D1076" s="47" t="s">
        <v>6734</v>
      </c>
      <c r="E1076" s="47" t="s">
        <v>6735</v>
      </c>
      <c r="F1076" s="47" t="s">
        <v>6736</v>
      </c>
      <c r="G1076" s="47" t="s">
        <v>14</v>
      </c>
      <c r="H1076" s="47" t="str">
        <f>IFERROR(VLOOKUP(Table2[[#This Row], [Ticket]],Okey!A:B,2,0),"")</f>
        <v>ok</v>
      </c>
      <c r="I1076" s="47" t="s">
        <v>5290</v>
      </c>
      <c r="J1076" s="47" t="e">
        <f>VLOOKUP(Table2[[#This Row], [Author]],People!A:B,2,0)</f>
        <v>#N/A</v>
      </c>
      <c r="K1076" s="47"/>
      <c r="L1076" s="47"/>
      <c r="M1076" s="49" t="s">
        <v>6354</v>
      </c>
    </row>
    <row r="1077" spans="1:13">
      <c r="A1077" s="48">
        <f t="shared" si="16"/>
        <v>1076</v>
      </c>
      <c r="B1077" s="47" t="s">
        <v>4</v>
      </c>
      <c r="C1077" s="47" t="s">
        <v>7157</v>
      </c>
      <c r="D1077" s="47" t="s">
        <v>7160</v>
      </c>
      <c r="E1077" s="47" t="s">
        <v>6737</v>
      </c>
      <c r="F1077" s="47" t="s">
        <v>6682</v>
      </c>
      <c r="G1077" s="47" t="s">
        <v>14</v>
      </c>
      <c r="H1077" s="47" t="s">
        <v>86</v>
      </c>
      <c r="I1077" s="47" t="s">
        <v>5290</v>
      </c>
      <c r="J1077" s="47" t="e">
        <f>VLOOKUP(Table2[[#This Row], [Author]],People!A:B,2,0)</f>
        <v>#N/A</v>
      </c>
      <c r="K1077" s="47"/>
      <c r="L1077" s="47"/>
      <c r="M1077" s="49" t="s">
        <v>1613</v>
      </c>
    </row>
    <row r="1078" spans="1:13">
      <c r="A1078" s="48">
        <f t="shared" si="16"/>
        <v>1077</v>
      </c>
      <c r="B1078" s="47" t="s">
        <v>4</v>
      </c>
      <c r="C1078" s="47" t="s">
        <v>7157</v>
      </c>
      <c r="D1078" s="47" t="s">
        <v>7161</v>
      </c>
      <c r="E1078" s="47" t="s">
        <v>6738</v>
      </c>
      <c r="F1078" s="47" t="s">
        <v>7160</v>
      </c>
      <c r="G1078" s="47" t="s">
        <v>14</v>
      </c>
      <c r="H1078" s="47" t="s">
        <v>86</v>
      </c>
      <c r="I1078" s="47" t="s">
        <v>5290</v>
      </c>
      <c r="J1078" s="47" t="e">
        <f>VLOOKUP(Table2[[#This Row], [Author]],People!A:B,2,0)</f>
        <v>#N/A</v>
      </c>
      <c r="K1078" s="47"/>
      <c r="L1078" s="47"/>
      <c r="M1078" s="49" t="s">
        <v>1613</v>
      </c>
    </row>
    <row r="1079" spans="1:13">
      <c r="A1079" s="48">
        <f t="shared" si="16"/>
        <v>1078</v>
      </c>
      <c r="B1079" s="47" t="s">
        <v>4</v>
      </c>
      <c r="C1079" s="47" t="s">
        <v>7157</v>
      </c>
      <c r="D1079" s="47" t="s">
        <v>7162</v>
      </c>
      <c r="E1079" s="47" t="s">
        <v>6739</v>
      </c>
      <c r="F1079" s="47" t="s">
        <v>7160</v>
      </c>
      <c r="G1079" s="47" t="s">
        <v>14</v>
      </c>
      <c r="H1079" s="47" t="s">
        <v>86</v>
      </c>
      <c r="I1079" s="47" t="s">
        <v>5290</v>
      </c>
      <c r="J1079" s="47" t="e">
        <f>VLOOKUP(Table2[[#This Row], [Author]],People!A:B,2,0)</f>
        <v>#N/A</v>
      </c>
      <c r="K1079" s="47"/>
      <c r="L1079" s="47"/>
      <c r="M1079" s="49" t="s">
        <v>1613</v>
      </c>
    </row>
    <row r="1080" spans="1:13">
      <c r="A1080" s="48">
        <f t="shared" si="16"/>
        <v>1079</v>
      </c>
      <c r="B1080" s="47" t="s">
        <v>4</v>
      </c>
      <c r="C1080" s="47" t="s">
        <v>7157</v>
      </c>
      <c r="D1080" s="47" t="s">
        <v>7163</v>
      </c>
      <c r="E1080" s="47" t="s">
        <v>6740</v>
      </c>
      <c r="F1080" s="47" t="s">
        <v>7160</v>
      </c>
      <c r="G1080" s="47" t="s">
        <v>14</v>
      </c>
      <c r="H1080" s="47" t="s">
        <v>86</v>
      </c>
      <c r="I1080" s="47" t="s">
        <v>5290</v>
      </c>
      <c r="J1080" s="47" t="e">
        <f>VLOOKUP(Table2[[#This Row], [Author]],People!A:B,2,0)</f>
        <v>#N/A</v>
      </c>
      <c r="K1080" s="47"/>
      <c r="L1080" s="47"/>
      <c r="M1080" s="49" t="s">
        <v>1613</v>
      </c>
    </row>
    <row r="1081" spans="1:13">
      <c r="A1081" s="48">
        <f t="shared" si="16"/>
        <v>1080</v>
      </c>
      <c r="B1081" s="47" t="s">
        <v>4</v>
      </c>
      <c r="C1081" s="47" t="s">
        <v>7157</v>
      </c>
      <c r="D1081" s="47" t="s">
        <v>7164</v>
      </c>
      <c r="E1081" s="47" t="s">
        <v>6741</v>
      </c>
      <c r="F1081" s="47" t="s">
        <v>7163</v>
      </c>
      <c r="G1081" s="47" t="s">
        <v>14</v>
      </c>
      <c r="H1081" s="47" t="s">
        <v>86</v>
      </c>
      <c r="I1081" s="47" t="s">
        <v>5290</v>
      </c>
      <c r="J1081" s="47" t="e">
        <f>VLOOKUP(Table2[[#This Row], [Author]],People!A:B,2,0)</f>
        <v>#N/A</v>
      </c>
      <c r="K1081" s="47"/>
      <c r="L1081" s="47"/>
      <c r="M1081" s="49" t="s">
        <v>1613</v>
      </c>
    </row>
    <row r="1082" spans="1:13">
      <c r="A1082" s="48">
        <f t="shared" si="16"/>
        <v>1081</v>
      </c>
      <c r="B1082" s="47" t="s">
        <v>4</v>
      </c>
      <c r="C1082" s="47" t="s">
        <v>7157</v>
      </c>
      <c r="D1082" s="47" t="s">
        <v>7165</v>
      </c>
      <c r="E1082" s="47" t="s">
        <v>6742</v>
      </c>
      <c r="F1082" s="47" t="s">
        <v>7163</v>
      </c>
      <c r="G1082" s="47" t="s">
        <v>14</v>
      </c>
      <c r="H1082" s="47" t="s">
        <v>86</v>
      </c>
      <c r="I1082" s="47" t="s">
        <v>5290</v>
      </c>
      <c r="J1082" s="47" t="e">
        <f>VLOOKUP(Table2[[#This Row], [Author]],People!A:B,2,0)</f>
        <v>#N/A</v>
      </c>
      <c r="K1082" s="47"/>
      <c r="L1082" s="47"/>
      <c r="M1082" s="49" t="s">
        <v>1613</v>
      </c>
    </row>
    <row r="1083" spans="1:13">
      <c r="A1083" s="48">
        <f t="shared" si="16"/>
        <v>1082</v>
      </c>
      <c r="B1083" s="47" t="s">
        <v>4</v>
      </c>
      <c r="C1083" s="47" t="s">
        <v>7157</v>
      </c>
      <c r="D1083" s="47" t="s">
        <v>7166</v>
      </c>
      <c r="E1083" s="47" t="s">
        <v>6743</v>
      </c>
      <c r="F1083" s="47" t="s">
        <v>7160</v>
      </c>
      <c r="G1083" s="47" t="s">
        <v>14</v>
      </c>
      <c r="H1083" s="47" t="s">
        <v>86</v>
      </c>
      <c r="I1083" s="47" t="s">
        <v>5290</v>
      </c>
      <c r="J1083" s="47" t="e">
        <f>VLOOKUP(Table2[[#This Row], [Author]],People!A:B,2,0)</f>
        <v>#N/A</v>
      </c>
      <c r="K1083" s="47"/>
      <c r="L1083" s="47"/>
      <c r="M1083" s="49" t="s">
        <v>1613</v>
      </c>
    </row>
    <row r="1084" spans="1:13">
      <c r="A1084" s="48">
        <f t="shared" si="16"/>
        <v>1083</v>
      </c>
      <c r="B1084" s="47" t="s">
        <v>4</v>
      </c>
      <c r="C1084" s="47" t="s">
        <v>7157</v>
      </c>
      <c r="D1084" s="47" t="s">
        <v>7167</v>
      </c>
      <c r="E1084" s="47" t="s">
        <v>6744</v>
      </c>
      <c r="F1084" s="47" t="s">
        <v>7166</v>
      </c>
      <c r="G1084" s="47" t="s">
        <v>14</v>
      </c>
      <c r="H1084" s="47" t="s">
        <v>86</v>
      </c>
      <c r="I1084" s="47" t="s">
        <v>5290</v>
      </c>
      <c r="J1084" s="47" t="e">
        <f>VLOOKUP(Table2[[#This Row], [Author]],People!A:B,2,0)</f>
        <v>#N/A</v>
      </c>
      <c r="K1084" s="47"/>
      <c r="L1084" s="47"/>
      <c r="M1084" s="49" t="s">
        <v>1613</v>
      </c>
    </row>
    <row r="1085" spans="1:13">
      <c r="A1085" s="48">
        <f t="shared" si="16"/>
        <v>1084</v>
      </c>
      <c r="B1085" s="47" t="s">
        <v>4</v>
      </c>
      <c r="C1085" s="47" t="s">
        <v>7157</v>
      </c>
      <c r="D1085" s="47" t="s">
        <v>7168</v>
      </c>
      <c r="E1085" s="47" t="s">
        <v>6745</v>
      </c>
      <c r="F1085" s="47" t="s">
        <v>7166</v>
      </c>
      <c r="G1085" s="47" t="s">
        <v>14</v>
      </c>
      <c r="H1085" s="47" t="s">
        <v>86</v>
      </c>
      <c r="I1085" s="47" t="s">
        <v>5290</v>
      </c>
      <c r="J1085" s="47" t="e">
        <f>VLOOKUP(Table2[[#This Row], [Author]],People!A:B,2,0)</f>
        <v>#N/A</v>
      </c>
      <c r="K1085" s="47"/>
      <c r="L1085" s="47"/>
      <c r="M1085" s="49" t="s">
        <v>1613</v>
      </c>
    </row>
    <row r="1086" spans="1:13">
      <c r="A1086" s="48">
        <f t="shared" si="16"/>
        <v>1085</v>
      </c>
      <c r="B1086" s="47" t="s">
        <v>4</v>
      </c>
      <c r="C1086" s="47" t="s">
        <v>7157</v>
      </c>
      <c r="D1086" s="47" t="s">
        <v>7169</v>
      </c>
      <c r="E1086" s="47" t="s">
        <v>6746</v>
      </c>
      <c r="F1086" s="47" t="s">
        <v>7166</v>
      </c>
      <c r="G1086" s="47" t="s">
        <v>14</v>
      </c>
      <c r="H1086" s="47" t="s">
        <v>86</v>
      </c>
      <c r="I1086" s="47" t="s">
        <v>5290</v>
      </c>
      <c r="J1086" s="47" t="e">
        <f>VLOOKUP(Table2[[#This Row], [Author]],People!A:B,2,0)</f>
        <v>#N/A</v>
      </c>
      <c r="K1086" s="47"/>
      <c r="L1086" s="47"/>
      <c r="M1086" s="49" t="s">
        <v>1613</v>
      </c>
    </row>
    <row r="1087" spans="1:13">
      <c r="A1087" s="48">
        <f t="shared" si="16"/>
        <v>1086</v>
      </c>
      <c r="B1087" s="47" t="s">
        <v>4</v>
      </c>
      <c r="C1087" s="47" t="s">
        <v>7157</v>
      </c>
      <c r="D1087" s="47" t="s">
        <v>7170</v>
      </c>
      <c r="E1087" s="47" t="s">
        <v>6747</v>
      </c>
      <c r="F1087" s="47" t="s">
        <v>7166</v>
      </c>
      <c r="G1087" s="47" t="s">
        <v>14</v>
      </c>
      <c r="H1087" s="47" t="s">
        <v>86</v>
      </c>
      <c r="I1087" s="47" t="s">
        <v>5290</v>
      </c>
      <c r="J1087" s="47" t="e">
        <f>VLOOKUP(Table2[[#This Row], [Author]],People!A:B,2,0)</f>
        <v>#N/A</v>
      </c>
      <c r="K1087" s="47"/>
      <c r="L1087" s="47"/>
      <c r="M1087" s="49" t="s">
        <v>1613</v>
      </c>
    </row>
    <row r="1088" spans="1:13">
      <c r="A1088" s="48">
        <f t="shared" si="16"/>
        <v>1087</v>
      </c>
      <c r="B1088" s="47" t="s">
        <v>4</v>
      </c>
      <c r="C1088" s="47" t="s">
        <v>7157</v>
      </c>
      <c r="D1088" s="47" t="s">
        <v>7171</v>
      </c>
      <c r="E1088" s="47" t="s">
        <v>6748</v>
      </c>
      <c r="F1088" s="47" t="s">
        <v>7166</v>
      </c>
      <c r="G1088" s="47" t="s">
        <v>14</v>
      </c>
      <c r="H1088" s="47" t="s">
        <v>86</v>
      </c>
      <c r="I1088" s="47" t="s">
        <v>5290</v>
      </c>
      <c r="J1088" s="47" t="e">
        <f>VLOOKUP(Table2[[#This Row], [Author]],People!A:B,2,0)</f>
        <v>#N/A</v>
      </c>
      <c r="K1088" s="47"/>
      <c r="L1088" s="47"/>
      <c r="M1088" s="49" t="s">
        <v>1613</v>
      </c>
    </row>
    <row r="1089" spans="1:13">
      <c r="A1089" s="48">
        <f t="shared" si="16"/>
        <v>1088</v>
      </c>
      <c r="B1089" s="47" t="s">
        <v>4</v>
      </c>
      <c r="C1089" s="47" t="s">
        <v>7157</v>
      </c>
      <c r="D1089" s="47" t="s">
        <v>7172</v>
      </c>
      <c r="E1089" s="47" t="s">
        <v>6749</v>
      </c>
      <c r="F1089" s="47" t="s">
        <v>6683</v>
      </c>
      <c r="G1089" s="47" t="s">
        <v>14</v>
      </c>
      <c r="H1089" s="47" t="s">
        <v>86</v>
      </c>
      <c r="I1089" s="47" t="s">
        <v>5290</v>
      </c>
      <c r="J1089" s="47" t="e">
        <f>VLOOKUP(Table2[[#This Row], [Author]],People!A:B,2,0)</f>
        <v>#N/A</v>
      </c>
      <c r="K1089" s="47"/>
      <c r="L1089" s="47"/>
      <c r="M1089" s="49" t="s">
        <v>1613</v>
      </c>
    </row>
    <row r="1090" spans="1:13">
      <c r="A1090" s="48">
        <f t="shared" si="16"/>
        <v>1089</v>
      </c>
      <c r="B1090" s="47" t="s">
        <v>4</v>
      </c>
      <c r="C1090" s="47" t="s">
        <v>7157</v>
      </c>
      <c r="D1090" s="47" t="s">
        <v>7173</v>
      </c>
      <c r="E1090" s="47" t="s">
        <v>6750</v>
      </c>
      <c r="F1090" s="47" t="s">
        <v>7172</v>
      </c>
      <c r="G1090" s="47" t="s">
        <v>14</v>
      </c>
      <c r="H1090" s="47" t="s">
        <v>86</v>
      </c>
      <c r="I1090" s="47" t="s">
        <v>5290</v>
      </c>
      <c r="J1090" s="47" t="e">
        <f>VLOOKUP(Table2[[#This Row], [Author]],People!A:B,2,0)</f>
        <v>#N/A</v>
      </c>
      <c r="K1090" s="47"/>
      <c r="L1090" s="47"/>
      <c r="M1090" s="49" t="s">
        <v>1613</v>
      </c>
    </row>
    <row r="1091" spans="1:13">
      <c r="A1091" s="48">
        <f t="shared" ref="A1091:A1154" si="17">1+A1090</f>
        <v>1090</v>
      </c>
      <c r="B1091" s="47" t="s">
        <v>4</v>
      </c>
      <c r="C1091" s="47" t="s">
        <v>7157</v>
      </c>
      <c r="D1091" s="47" t="s">
        <v>7174</v>
      </c>
      <c r="E1091" s="47" t="s">
        <v>6751</v>
      </c>
      <c r="F1091" s="47" t="s">
        <v>7172</v>
      </c>
      <c r="G1091" s="47" t="s">
        <v>14</v>
      </c>
      <c r="H1091" s="47" t="s">
        <v>86</v>
      </c>
      <c r="I1091" s="47" t="s">
        <v>5290</v>
      </c>
      <c r="J1091" s="47" t="e">
        <f>VLOOKUP(Table2[[#This Row], [Author]],People!A:B,2,0)</f>
        <v>#N/A</v>
      </c>
      <c r="K1091" s="47"/>
      <c r="L1091" s="47"/>
      <c r="M1091" s="49" t="s">
        <v>1613</v>
      </c>
    </row>
    <row r="1092" spans="1:13">
      <c r="A1092" s="48">
        <f t="shared" si="17"/>
        <v>1091</v>
      </c>
      <c r="B1092" s="47" t="s">
        <v>4</v>
      </c>
      <c r="C1092" s="47" t="s">
        <v>7157</v>
      </c>
      <c r="D1092" s="47" t="s">
        <v>7175</v>
      </c>
      <c r="E1092" s="47" t="s">
        <v>6752</v>
      </c>
      <c r="F1092" s="47" t="s">
        <v>7174</v>
      </c>
      <c r="G1092" s="47" t="s">
        <v>14</v>
      </c>
      <c r="H1092" s="47" t="s">
        <v>86</v>
      </c>
      <c r="I1092" s="47" t="s">
        <v>5290</v>
      </c>
      <c r="J1092" s="47" t="e">
        <f>VLOOKUP(Table2[[#This Row], [Author]],People!A:B,2,0)</f>
        <v>#N/A</v>
      </c>
      <c r="K1092" s="47"/>
      <c r="L1092" s="47"/>
      <c r="M1092" s="49" t="s">
        <v>1613</v>
      </c>
    </row>
    <row r="1093" spans="1:13">
      <c r="A1093" s="48">
        <f t="shared" si="17"/>
        <v>1092</v>
      </c>
      <c r="B1093" s="47" t="s">
        <v>4</v>
      </c>
      <c r="C1093" s="47" t="s">
        <v>7157</v>
      </c>
      <c r="D1093" s="47" t="s">
        <v>7176</v>
      </c>
      <c r="E1093" s="47" t="s">
        <v>6753</v>
      </c>
      <c r="F1093" s="47" t="s">
        <v>7174</v>
      </c>
      <c r="G1093" s="47" t="s">
        <v>14</v>
      </c>
      <c r="H1093" s="47" t="s">
        <v>86</v>
      </c>
      <c r="I1093" s="47" t="s">
        <v>5290</v>
      </c>
      <c r="J1093" s="47" t="e">
        <f>VLOOKUP(Table2[[#This Row], [Author]],People!A:B,2,0)</f>
        <v>#N/A</v>
      </c>
      <c r="K1093" s="47"/>
      <c r="L1093" s="47"/>
      <c r="M1093" s="49" t="s">
        <v>1613</v>
      </c>
    </row>
    <row r="1094" spans="1:13">
      <c r="A1094" s="48">
        <f t="shared" si="17"/>
        <v>1093</v>
      </c>
      <c r="B1094" s="47" t="s">
        <v>4</v>
      </c>
      <c r="C1094" s="47" t="s">
        <v>7157</v>
      </c>
      <c r="D1094" s="47" t="s">
        <v>7177</v>
      </c>
      <c r="E1094" s="47" t="s">
        <v>6754</v>
      </c>
      <c r="F1094" s="47" t="s">
        <v>7172</v>
      </c>
      <c r="G1094" s="47" t="s">
        <v>14</v>
      </c>
      <c r="H1094" s="47" t="s">
        <v>86</v>
      </c>
      <c r="I1094" s="47" t="s">
        <v>5290</v>
      </c>
      <c r="J1094" s="47" t="e">
        <f>VLOOKUP(Table2[[#This Row], [Author]],People!A:B,2,0)</f>
        <v>#N/A</v>
      </c>
      <c r="K1094" s="47"/>
      <c r="L1094" s="47"/>
      <c r="M1094" s="49" t="s">
        <v>1613</v>
      </c>
    </row>
    <row r="1095" spans="1:13">
      <c r="A1095" s="48">
        <f t="shared" si="17"/>
        <v>1094</v>
      </c>
      <c r="B1095" s="47" t="s">
        <v>4</v>
      </c>
      <c r="C1095" s="47" t="s">
        <v>7157</v>
      </c>
      <c r="D1095" s="47" t="s">
        <v>7178</v>
      </c>
      <c r="E1095" s="47" t="s">
        <v>6755</v>
      </c>
      <c r="F1095" s="47" t="s">
        <v>7177</v>
      </c>
      <c r="G1095" s="47" t="s">
        <v>14</v>
      </c>
      <c r="H1095" s="47" t="s">
        <v>86</v>
      </c>
      <c r="I1095" s="47" t="s">
        <v>5290</v>
      </c>
      <c r="J1095" s="47" t="e">
        <f>VLOOKUP(Table2[[#This Row], [Author]],People!A:B,2,0)</f>
        <v>#N/A</v>
      </c>
      <c r="K1095" s="47"/>
      <c r="L1095" s="47"/>
      <c r="M1095" s="49" t="s">
        <v>1613</v>
      </c>
    </row>
    <row r="1096" spans="1:13">
      <c r="A1096" s="48">
        <f t="shared" si="17"/>
        <v>1095</v>
      </c>
      <c r="B1096" s="47" t="s">
        <v>4</v>
      </c>
      <c r="C1096" s="47" t="s">
        <v>7157</v>
      </c>
      <c r="D1096" s="47" t="s">
        <v>7179</v>
      </c>
      <c r="E1096" s="47" t="s">
        <v>6756</v>
      </c>
      <c r="F1096" s="47" t="s">
        <v>7177</v>
      </c>
      <c r="G1096" s="47" t="s">
        <v>14</v>
      </c>
      <c r="H1096" s="47" t="s">
        <v>86</v>
      </c>
      <c r="I1096" s="47" t="s">
        <v>5290</v>
      </c>
      <c r="J1096" s="47" t="e">
        <f>VLOOKUP(Table2[[#This Row], [Author]],People!A:B,2,0)</f>
        <v>#N/A</v>
      </c>
      <c r="K1096" s="47"/>
      <c r="L1096" s="47"/>
      <c r="M1096" s="49" t="s">
        <v>1613</v>
      </c>
    </row>
    <row r="1097" spans="1:13">
      <c r="A1097" s="48">
        <f t="shared" si="17"/>
        <v>1096</v>
      </c>
      <c r="B1097" s="47" t="s">
        <v>4</v>
      </c>
      <c r="C1097" s="47" t="s">
        <v>7157</v>
      </c>
      <c r="D1097" s="47" t="s">
        <v>7180</v>
      </c>
      <c r="E1097" s="47" t="s">
        <v>6757</v>
      </c>
      <c r="F1097" s="47" t="s">
        <v>6682</v>
      </c>
      <c r="G1097" s="47" t="s">
        <v>14</v>
      </c>
      <c r="H1097" s="47" t="s">
        <v>86</v>
      </c>
      <c r="I1097" s="47" t="s">
        <v>5290</v>
      </c>
      <c r="J1097" s="47" t="e">
        <f>VLOOKUP(Table2[[#This Row], [Author]],People!A:B,2,0)</f>
        <v>#N/A</v>
      </c>
      <c r="K1097" s="47"/>
      <c r="L1097" s="47"/>
      <c r="M1097" s="49" t="s">
        <v>1613</v>
      </c>
    </row>
    <row r="1098" spans="1:13">
      <c r="A1098" s="48">
        <f t="shared" si="17"/>
        <v>1097</v>
      </c>
      <c r="B1098" s="47" t="s">
        <v>4</v>
      </c>
      <c r="C1098" s="47" t="s">
        <v>7157</v>
      </c>
      <c r="D1098" s="47" t="s">
        <v>7181</v>
      </c>
      <c r="E1098" s="47" t="s">
        <v>6758</v>
      </c>
      <c r="F1098" s="47" t="s">
        <v>7180</v>
      </c>
      <c r="G1098" s="47" t="s">
        <v>14</v>
      </c>
      <c r="H1098" s="47" t="s">
        <v>86</v>
      </c>
      <c r="I1098" s="47" t="s">
        <v>5290</v>
      </c>
      <c r="J1098" s="47" t="e">
        <f>VLOOKUP(Table2[[#This Row], [Author]],People!A:B,2,0)</f>
        <v>#N/A</v>
      </c>
      <c r="K1098" s="47"/>
      <c r="L1098" s="47"/>
      <c r="M1098" s="49" t="s">
        <v>1613</v>
      </c>
    </row>
    <row r="1099" spans="1:13">
      <c r="A1099" s="48">
        <f t="shared" si="17"/>
        <v>1098</v>
      </c>
      <c r="B1099" s="47" t="s">
        <v>4</v>
      </c>
      <c r="C1099" s="47" t="s">
        <v>7157</v>
      </c>
      <c r="D1099" s="47" t="s">
        <v>7182</v>
      </c>
      <c r="E1099" s="47" t="s">
        <v>6759</v>
      </c>
      <c r="F1099" s="47" t="s">
        <v>7180</v>
      </c>
      <c r="G1099" s="47" t="s">
        <v>14</v>
      </c>
      <c r="H1099" s="47" t="s">
        <v>86</v>
      </c>
      <c r="I1099" s="47" t="s">
        <v>5290</v>
      </c>
      <c r="J1099" s="47" t="e">
        <f>VLOOKUP(Table2[[#This Row], [Author]],People!A:B,2,0)</f>
        <v>#N/A</v>
      </c>
      <c r="K1099" s="47"/>
      <c r="L1099" s="47"/>
      <c r="M1099" s="49" t="s">
        <v>1613</v>
      </c>
    </row>
    <row r="1100" spans="1:13">
      <c r="A1100" s="48">
        <f t="shared" si="17"/>
        <v>1099</v>
      </c>
      <c r="B1100" s="47" t="s">
        <v>4</v>
      </c>
      <c r="C1100" s="47" t="s">
        <v>7157</v>
      </c>
      <c r="D1100" s="47" t="s">
        <v>7183</v>
      </c>
      <c r="E1100" s="47" t="s">
        <v>6760</v>
      </c>
      <c r="F1100" s="47" t="s">
        <v>7180</v>
      </c>
      <c r="G1100" s="47" t="s">
        <v>14</v>
      </c>
      <c r="H1100" s="47" t="s">
        <v>86</v>
      </c>
      <c r="I1100" s="47" t="s">
        <v>5290</v>
      </c>
      <c r="J1100" s="47" t="e">
        <f>VLOOKUP(Table2[[#This Row], [Author]],People!A:B,2,0)</f>
        <v>#N/A</v>
      </c>
      <c r="K1100" s="47"/>
      <c r="L1100" s="47"/>
      <c r="M1100" s="49" t="s">
        <v>1613</v>
      </c>
    </row>
    <row r="1101" spans="1:13">
      <c r="A1101" s="48">
        <f t="shared" si="17"/>
        <v>1100</v>
      </c>
      <c r="B1101" s="47" t="s">
        <v>4</v>
      </c>
      <c r="C1101" s="47" t="s">
        <v>7157</v>
      </c>
      <c r="D1101" s="47" t="s">
        <v>7184</v>
      </c>
      <c r="E1101" s="47" t="s">
        <v>6761</v>
      </c>
      <c r="F1101" s="47" t="s">
        <v>7183</v>
      </c>
      <c r="G1101" s="47" t="s">
        <v>14</v>
      </c>
      <c r="H1101" s="47" t="s">
        <v>86</v>
      </c>
      <c r="I1101" s="47" t="s">
        <v>5290</v>
      </c>
      <c r="J1101" s="47" t="e">
        <f>VLOOKUP(Table2[[#This Row], [Author]],People!A:B,2,0)</f>
        <v>#N/A</v>
      </c>
      <c r="K1101" s="47"/>
      <c r="L1101" s="47"/>
      <c r="M1101" s="49" t="s">
        <v>1613</v>
      </c>
    </row>
    <row r="1102" spans="1:13">
      <c r="A1102" s="48">
        <f t="shared" si="17"/>
        <v>1101</v>
      </c>
      <c r="B1102" s="47" t="s">
        <v>4</v>
      </c>
      <c r="C1102" s="47" t="s">
        <v>7157</v>
      </c>
      <c r="D1102" s="47" t="s">
        <v>7185</v>
      </c>
      <c r="E1102" s="47" t="s">
        <v>6762</v>
      </c>
      <c r="F1102" s="47" t="s">
        <v>7183</v>
      </c>
      <c r="G1102" s="47" t="s">
        <v>14</v>
      </c>
      <c r="H1102" s="47" t="s">
        <v>86</v>
      </c>
      <c r="I1102" s="47" t="s">
        <v>5290</v>
      </c>
      <c r="J1102" s="47" t="e">
        <f>VLOOKUP(Table2[[#This Row], [Author]],People!A:B,2,0)</f>
        <v>#N/A</v>
      </c>
      <c r="K1102" s="47"/>
      <c r="L1102" s="47"/>
      <c r="M1102" s="49" t="s">
        <v>1613</v>
      </c>
    </row>
    <row r="1103" spans="1:13">
      <c r="A1103" s="48">
        <f t="shared" si="17"/>
        <v>1102</v>
      </c>
      <c r="B1103" s="47" t="s">
        <v>4</v>
      </c>
      <c r="C1103" s="47" t="s">
        <v>7157</v>
      </c>
      <c r="D1103" s="47" t="s">
        <v>7186</v>
      </c>
      <c r="E1103" s="47" t="s">
        <v>6763</v>
      </c>
      <c r="F1103" s="47" t="s">
        <v>7180</v>
      </c>
      <c r="G1103" s="47" t="s">
        <v>14</v>
      </c>
      <c r="H1103" s="47" t="s">
        <v>86</v>
      </c>
      <c r="I1103" s="47" t="s">
        <v>5290</v>
      </c>
      <c r="J1103" s="47" t="e">
        <f>VLOOKUP(Table2[[#This Row], [Author]],People!A:B,2,0)</f>
        <v>#N/A</v>
      </c>
      <c r="K1103" s="47"/>
      <c r="L1103" s="47"/>
      <c r="M1103" s="49" t="s">
        <v>1613</v>
      </c>
    </row>
    <row r="1104" spans="1:13">
      <c r="A1104" s="48">
        <f t="shared" si="17"/>
        <v>1103</v>
      </c>
      <c r="B1104" s="47" t="s">
        <v>4</v>
      </c>
      <c r="C1104" s="47" t="s">
        <v>7157</v>
      </c>
      <c r="D1104" s="47" t="s">
        <v>7187</v>
      </c>
      <c r="E1104" s="47" t="s">
        <v>6764</v>
      </c>
      <c r="F1104" s="47" t="s">
        <v>7186</v>
      </c>
      <c r="G1104" s="47" t="s">
        <v>14</v>
      </c>
      <c r="H1104" s="47" t="s">
        <v>86</v>
      </c>
      <c r="I1104" s="47" t="s">
        <v>5290</v>
      </c>
      <c r="J1104" s="47" t="e">
        <f>VLOOKUP(Table2[[#This Row], [Author]],People!A:B,2,0)</f>
        <v>#N/A</v>
      </c>
      <c r="K1104" s="47"/>
      <c r="L1104" s="47"/>
      <c r="M1104" s="49" t="s">
        <v>1613</v>
      </c>
    </row>
    <row r="1105" spans="1:13">
      <c r="A1105" s="48">
        <f t="shared" si="17"/>
        <v>1104</v>
      </c>
      <c r="B1105" s="47" t="s">
        <v>4</v>
      </c>
      <c r="C1105" s="47" t="s">
        <v>7157</v>
      </c>
      <c r="D1105" s="47" t="s">
        <v>7188</v>
      </c>
      <c r="E1105" s="47" t="s">
        <v>6765</v>
      </c>
      <c r="F1105" s="47" t="s">
        <v>7186</v>
      </c>
      <c r="G1105" s="47" t="s">
        <v>14</v>
      </c>
      <c r="H1105" s="47" t="s">
        <v>86</v>
      </c>
      <c r="I1105" s="47" t="s">
        <v>5290</v>
      </c>
      <c r="J1105" s="47" t="e">
        <f>VLOOKUP(Table2[[#This Row], [Author]],People!A:B,2,0)</f>
        <v>#N/A</v>
      </c>
      <c r="K1105" s="47"/>
      <c r="L1105" s="47"/>
      <c r="M1105" s="49" t="s">
        <v>1613</v>
      </c>
    </row>
    <row r="1106" spans="1:13">
      <c r="A1106" s="48">
        <f t="shared" si="17"/>
        <v>1105</v>
      </c>
      <c r="B1106" s="47" t="s">
        <v>4</v>
      </c>
      <c r="C1106" s="47" t="s">
        <v>7157</v>
      </c>
      <c r="D1106" s="47" t="s">
        <v>7189</v>
      </c>
      <c r="E1106" s="47" t="s">
        <v>6766</v>
      </c>
      <c r="F1106" s="47" t="s">
        <v>7186</v>
      </c>
      <c r="G1106" s="47" t="s">
        <v>14</v>
      </c>
      <c r="H1106" s="47" t="s">
        <v>86</v>
      </c>
      <c r="I1106" s="47" t="s">
        <v>5290</v>
      </c>
      <c r="J1106" s="47" t="e">
        <f>VLOOKUP(Table2[[#This Row], [Author]],People!A:B,2,0)</f>
        <v>#N/A</v>
      </c>
      <c r="K1106" s="47"/>
      <c r="L1106" s="47"/>
      <c r="M1106" s="49" t="s">
        <v>1613</v>
      </c>
    </row>
    <row r="1107" spans="1:13">
      <c r="A1107" s="48">
        <f t="shared" si="17"/>
        <v>1106</v>
      </c>
      <c r="B1107" s="47" t="s">
        <v>4</v>
      </c>
      <c r="C1107" s="47" t="s">
        <v>7157</v>
      </c>
      <c r="D1107" s="47" t="s">
        <v>7190</v>
      </c>
      <c r="E1107" s="47" t="s">
        <v>6767</v>
      </c>
      <c r="F1107" s="47" t="s">
        <v>7186</v>
      </c>
      <c r="G1107" s="47" t="s">
        <v>14</v>
      </c>
      <c r="H1107" s="47" t="s">
        <v>86</v>
      </c>
      <c r="I1107" s="47" t="s">
        <v>5290</v>
      </c>
      <c r="J1107" s="47" t="e">
        <f>VLOOKUP(Table2[[#This Row], [Author]],People!A:B,2,0)</f>
        <v>#N/A</v>
      </c>
      <c r="K1107" s="47"/>
      <c r="L1107" s="47"/>
      <c r="M1107" s="49" t="s">
        <v>1613</v>
      </c>
    </row>
    <row r="1108" spans="1:13">
      <c r="A1108" s="48">
        <f t="shared" si="17"/>
        <v>1107</v>
      </c>
      <c r="B1108" s="47" t="s">
        <v>4</v>
      </c>
      <c r="C1108" s="47" t="s">
        <v>7157</v>
      </c>
      <c r="D1108" s="47" t="s">
        <v>7191</v>
      </c>
      <c r="E1108" s="47" t="s">
        <v>6768</v>
      </c>
      <c r="F1108" s="47" t="s">
        <v>7186</v>
      </c>
      <c r="G1108" s="47" t="s">
        <v>14</v>
      </c>
      <c r="H1108" s="47" t="s">
        <v>86</v>
      </c>
      <c r="I1108" s="47" t="s">
        <v>5290</v>
      </c>
      <c r="J1108" s="47" t="e">
        <f>VLOOKUP(Table2[[#This Row], [Author]],People!A:B,2,0)</f>
        <v>#N/A</v>
      </c>
      <c r="K1108" s="47"/>
      <c r="L1108" s="47"/>
      <c r="M1108" s="49" t="s">
        <v>1613</v>
      </c>
    </row>
    <row r="1109" spans="1:13">
      <c r="A1109" s="48">
        <f t="shared" si="17"/>
        <v>1108</v>
      </c>
      <c r="B1109" s="47" t="s">
        <v>4</v>
      </c>
      <c r="C1109" s="47" t="s">
        <v>7157</v>
      </c>
      <c r="D1109" s="47" t="s">
        <v>7192</v>
      </c>
      <c r="E1109" s="47" t="s">
        <v>6769</v>
      </c>
      <c r="F1109" s="47" t="s">
        <v>6683</v>
      </c>
      <c r="G1109" s="47" t="s">
        <v>14</v>
      </c>
      <c r="H1109" s="47" t="s">
        <v>86</v>
      </c>
      <c r="I1109" s="47" t="s">
        <v>5290</v>
      </c>
      <c r="J1109" s="47" t="e">
        <f>VLOOKUP(Table2[[#This Row], [Author]],People!A:B,2,0)</f>
        <v>#N/A</v>
      </c>
      <c r="K1109" s="47"/>
      <c r="L1109" s="47"/>
      <c r="M1109" s="49" t="s">
        <v>1613</v>
      </c>
    </row>
    <row r="1110" spans="1:13">
      <c r="A1110" s="48">
        <f t="shared" si="17"/>
        <v>1109</v>
      </c>
      <c r="B1110" s="47" t="s">
        <v>4</v>
      </c>
      <c r="C1110" s="47" t="s">
        <v>7157</v>
      </c>
      <c r="D1110" s="47" t="s">
        <v>7193</v>
      </c>
      <c r="E1110" s="47" t="s">
        <v>6770</v>
      </c>
      <c r="F1110" s="47" t="s">
        <v>7192</v>
      </c>
      <c r="G1110" s="47" t="s">
        <v>14</v>
      </c>
      <c r="H1110" s="47" t="s">
        <v>86</v>
      </c>
      <c r="I1110" s="47" t="s">
        <v>5290</v>
      </c>
      <c r="J1110" s="47" t="e">
        <f>VLOOKUP(Table2[[#This Row], [Author]],People!A:B,2,0)</f>
        <v>#N/A</v>
      </c>
      <c r="K1110" s="47"/>
      <c r="L1110" s="47"/>
      <c r="M1110" s="49" t="s">
        <v>1613</v>
      </c>
    </row>
    <row r="1111" spans="1:13">
      <c r="A1111" s="48">
        <f t="shared" si="17"/>
        <v>1110</v>
      </c>
      <c r="B1111" s="47" t="s">
        <v>4</v>
      </c>
      <c r="C1111" s="47" t="s">
        <v>7157</v>
      </c>
      <c r="D1111" s="47" t="s">
        <v>7194</v>
      </c>
      <c r="E1111" s="47" t="s">
        <v>6771</v>
      </c>
      <c r="F1111" s="47" t="s">
        <v>7192</v>
      </c>
      <c r="G1111" s="47" t="s">
        <v>14</v>
      </c>
      <c r="H1111" s="47" t="s">
        <v>86</v>
      </c>
      <c r="I1111" s="47" t="s">
        <v>5290</v>
      </c>
      <c r="J1111" s="47" t="e">
        <f>VLOOKUP(Table2[[#This Row], [Author]],People!A:B,2,0)</f>
        <v>#N/A</v>
      </c>
      <c r="K1111" s="47"/>
      <c r="L1111" s="47"/>
      <c r="M1111" s="49" t="s">
        <v>1613</v>
      </c>
    </row>
    <row r="1112" spans="1:13">
      <c r="A1112" s="48">
        <f t="shared" si="17"/>
        <v>1111</v>
      </c>
      <c r="B1112" s="47" t="s">
        <v>4</v>
      </c>
      <c r="C1112" s="47" t="s">
        <v>7157</v>
      </c>
      <c r="D1112" s="47" t="s">
        <v>7195</v>
      </c>
      <c r="E1112" s="47" t="s">
        <v>6772</v>
      </c>
      <c r="F1112" s="47" t="s">
        <v>7194</v>
      </c>
      <c r="G1112" s="47" t="s">
        <v>14</v>
      </c>
      <c r="H1112" s="47" t="s">
        <v>86</v>
      </c>
      <c r="I1112" s="47" t="s">
        <v>5290</v>
      </c>
      <c r="J1112" s="47" t="e">
        <f>VLOOKUP(Table2[[#This Row], [Author]],People!A:B,2,0)</f>
        <v>#N/A</v>
      </c>
      <c r="K1112" s="47"/>
      <c r="L1112" s="47"/>
      <c r="M1112" s="49" t="s">
        <v>1613</v>
      </c>
    </row>
    <row r="1113" spans="1:13">
      <c r="A1113" s="48">
        <f t="shared" si="17"/>
        <v>1112</v>
      </c>
      <c r="B1113" s="47" t="s">
        <v>4</v>
      </c>
      <c r="C1113" s="47" t="s">
        <v>7157</v>
      </c>
      <c r="D1113" s="47" t="s">
        <v>7196</v>
      </c>
      <c r="E1113" s="47" t="s">
        <v>6773</v>
      </c>
      <c r="F1113" s="47" t="s">
        <v>7194</v>
      </c>
      <c r="G1113" s="47" t="s">
        <v>14</v>
      </c>
      <c r="H1113" s="47" t="s">
        <v>86</v>
      </c>
      <c r="I1113" s="47" t="s">
        <v>5290</v>
      </c>
      <c r="J1113" s="47" t="e">
        <f>VLOOKUP(Table2[[#This Row], [Author]],People!A:B,2,0)</f>
        <v>#N/A</v>
      </c>
      <c r="K1113" s="47"/>
      <c r="L1113" s="47"/>
      <c r="M1113" s="49" t="s">
        <v>1613</v>
      </c>
    </row>
    <row r="1114" spans="1:13">
      <c r="A1114" s="48">
        <f t="shared" si="17"/>
        <v>1113</v>
      </c>
      <c r="B1114" s="47" t="s">
        <v>4</v>
      </c>
      <c r="C1114" s="47" t="s">
        <v>7157</v>
      </c>
      <c r="D1114" s="47" t="s">
        <v>7197</v>
      </c>
      <c r="E1114" s="47" t="s">
        <v>6774</v>
      </c>
      <c r="F1114" s="47" t="s">
        <v>7192</v>
      </c>
      <c r="G1114" s="47" t="s">
        <v>14</v>
      </c>
      <c r="H1114" s="47" t="s">
        <v>86</v>
      </c>
      <c r="I1114" s="47" t="s">
        <v>5290</v>
      </c>
      <c r="J1114" s="47" t="e">
        <f>VLOOKUP(Table2[[#This Row], [Author]],People!A:B,2,0)</f>
        <v>#N/A</v>
      </c>
      <c r="K1114" s="47"/>
      <c r="L1114" s="47"/>
      <c r="M1114" s="49" t="s">
        <v>1613</v>
      </c>
    </row>
    <row r="1115" spans="1:13">
      <c r="A1115" s="48">
        <f t="shared" si="17"/>
        <v>1114</v>
      </c>
      <c r="B1115" s="47" t="s">
        <v>4</v>
      </c>
      <c r="C1115" s="47" t="s">
        <v>7157</v>
      </c>
      <c r="D1115" s="47" t="s">
        <v>7198</v>
      </c>
      <c r="E1115" s="47" t="s">
        <v>6775</v>
      </c>
      <c r="F1115" s="47" t="s">
        <v>7197</v>
      </c>
      <c r="G1115" s="47" t="s">
        <v>14</v>
      </c>
      <c r="H1115" s="47" t="s">
        <v>86</v>
      </c>
      <c r="I1115" s="47" t="s">
        <v>5290</v>
      </c>
      <c r="J1115" s="47" t="e">
        <f>VLOOKUP(Table2[[#This Row], [Author]],People!A:B,2,0)</f>
        <v>#N/A</v>
      </c>
      <c r="K1115" s="47"/>
      <c r="L1115" s="47"/>
      <c r="M1115" s="49" t="s">
        <v>1613</v>
      </c>
    </row>
    <row r="1116" spans="1:13">
      <c r="A1116" s="48">
        <f t="shared" si="17"/>
        <v>1115</v>
      </c>
      <c r="B1116" s="47" t="s">
        <v>4</v>
      </c>
      <c r="C1116" s="47" t="s">
        <v>7157</v>
      </c>
      <c r="D1116" s="47" t="s">
        <v>7199</v>
      </c>
      <c r="E1116" s="47" t="s">
        <v>6776</v>
      </c>
      <c r="F1116" s="47" t="s">
        <v>7197</v>
      </c>
      <c r="G1116" s="47" t="s">
        <v>14</v>
      </c>
      <c r="H1116" s="47" t="s">
        <v>86</v>
      </c>
      <c r="I1116" s="47" t="s">
        <v>5290</v>
      </c>
      <c r="J1116" s="47" t="e">
        <f>VLOOKUP(Table2[[#This Row], [Author]],People!A:B,2,0)</f>
        <v>#N/A</v>
      </c>
      <c r="K1116" s="47"/>
      <c r="L1116" s="47"/>
      <c r="M1116" s="49" t="s">
        <v>1613</v>
      </c>
    </row>
    <row r="1117" spans="1:13">
      <c r="A1117" s="48">
        <f t="shared" si="17"/>
        <v>1116</v>
      </c>
      <c r="B1117" s="47" t="s">
        <v>4</v>
      </c>
      <c r="C1117" s="47" t="s">
        <v>7157</v>
      </c>
      <c r="D1117" s="47" t="s">
        <v>7200</v>
      </c>
      <c r="E1117" s="47" t="s">
        <v>6777</v>
      </c>
      <c r="F1117" s="47" t="s">
        <v>6682</v>
      </c>
      <c r="G1117" s="47" t="s">
        <v>14</v>
      </c>
      <c r="H1117" s="47" t="s">
        <v>86</v>
      </c>
      <c r="I1117" s="47" t="s">
        <v>5290</v>
      </c>
      <c r="J1117" s="47" t="e">
        <f>VLOOKUP(Table2[[#This Row], [Author]],People!A:B,2,0)</f>
        <v>#N/A</v>
      </c>
      <c r="K1117" s="47"/>
      <c r="L1117" s="47"/>
      <c r="M1117" s="49" t="s">
        <v>1613</v>
      </c>
    </row>
    <row r="1118" spans="1:13">
      <c r="A1118" s="48">
        <f t="shared" si="17"/>
        <v>1117</v>
      </c>
      <c r="B1118" s="47" t="s">
        <v>4</v>
      </c>
      <c r="C1118" s="47" t="s">
        <v>7157</v>
      </c>
      <c r="D1118" s="47" t="s">
        <v>7201</v>
      </c>
      <c r="E1118" s="47" t="s">
        <v>6778</v>
      </c>
      <c r="F1118" s="47" t="s">
        <v>7200</v>
      </c>
      <c r="G1118" s="47" t="s">
        <v>14</v>
      </c>
      <c r="H1118" s="47" t="s">
        <v>86</v>
      </c>
      <c r="I1118" s="47" t="s">
        <v>5290</v>
      </c>
      <c r="J1118" s="47" t="e">
        <f>VLOOKUP(Table2[[#This Row], [Author]],People!A:B,2,0)</f>
        <v>#N/A</v>
      </c>
      <c r="K1118" s="47"/>
      <c r="L1118" s="47"/>
      <c r="M1118" s="49" t="s">
        <v>1613</v>
      </c>
    </row>
    <row r="1119" spans="1:13">
      <c r="A1119" s="48">
        <f t="shared" si="17"/>
        <v>1118</v>
      </c>
      <c r="B1119" s="47" t="s">
        <v>4</v>
      </c>
      <c r="C1119" s="47" t="s">
        <v>7157</v>
      </c>
      <c r="D1119" s="47" t="s">
        <v>7202</v>
      </c>
      <c r="E1119" s="47" t="s">
        <v>6779</v>
      </c>
      <c r="F1119" s="47" t="s">
        <v>7200</v>
      </c>
      <c r="G1119" s="47" t="s">
        <v>14</v>
      </c>
      <c r="H1119" s="47" t="s">
        <v>86</v>
      </c>
      <c r="I1119" s="47" t="s">
        <v>5290</v>
      </c>
      <c r="J1119" s="47" t="e">
        <f>VLOOKUP(Table2[[#This Row], [Author]],People!A:B,2,0)</f>
        <v>#N/A</v>
      </c>
      <c r="K1119" s="47"/>
      <c r="L1119" s="47"/>
      <c r="M1119" s="49" t="s">
        <v>1613</v>
      </c>
    </row>
    <row r="1120" spans="1:13">
      <c r="A1120" s="48">
        <f t="shared" si="17"/>
        <v>1119</v>
      </c>
      <c r="B1120" s="47" t="s">
        <v>4</v>
      </c>
      <c r="C1120" s="47" t="s">
        <v>7157</v>
      </c>
      <c r="D1120" s="47" t="s">
        <v>7203</v>
      </c>
      <c r="E1120" s="47" t="s">
        <v>6780</v>
      </c>
      <c r="F1120" s="47" t="s">
        <v>7200</v>
      </c>
      <c r="G1120" s="47" t="s">
        <v>14</v>
      </c>
      <c r="H1120" s="47" t="s">
        <v>86</v>
      </c>
      <c r="I1120" s="47" t="s">
        <v>5290</v>
      </c>
      <c r="J1120" s="47" t="e">
        <f>VLOOKUP(Table2[[#This Row], [Author]],People!A:B,2,0)</f>
        <v>#N/A</v>
      </c>
      <c r="K1120" s="47"/>
      <c r="L1120" s="47"/>
      <c r="M1120" s="49" t="s">
        <v>1613</v>
      </c>
    </row>
    <row r="1121" spans="1:13">
      <c r="A1121" s="48">
        <f t="shared" si="17"/>
        <v>1120</v>
      </c>
      <c r="B1121" s="47" t="s">
        <v>4</v>
      </c>
      <c r="C1121" s="47" t="s">
        <v>7157</v>
      </c>
      <c r="D1121" s="47" t="s">
        <v>7204</v>
      </c>
      <c r="E1121" s="47" t="s">
        <v>6781</v>
      </c>
      <c r="F1121" s="47" t="s">
        <v>7203</v>
      </c>
      <c r="G1121" s="47" t="s">
        <v>14</v>
      </c>
      <c r="H1121" s="47" t="s">
        <v>86</v>
      </c>
      <c r="I1121" s="47" t="s">
        <v>5290</v>
      </c>
      <c r="J1121" s="47" t="e">
        <f>VLOOKUP(Table2[[#This Row], [Author]],People!A:B,2,0)</f>
        <v>#N/A</v>
      </c>
      <c r="K1121" s="47"/>
      <c r="L1121" s="47"/>
      <c r="M1121" s="49" t="s">
        <v>1613</v>
      </c>
    </row>
    <row r="1122" spans="1:13">
      <c r="A1122" s="48">
        <f t="shared" si="17"/>
        <v>1121</v>
      </c>
      <c r="B1122" s="47" t="s">
        <v>4</v>
      </c>
      <c r="C1122" s="47" t="s">
        <v>7157</v>
      </c>
      <c r="D1122" s="47" t="s">
        <v>7205</v>
      </c>
      <c r="E1122" s="47" t="s">
        <v>6782</v>
      </c>
      <c r="F1122" s="47" t="s">
        <v>7203</v>
      </c>
      <c r="G1122" s="47" t="s">
        <v>14</v>
      </c>
      <c r="H1122" s="47" t="s">
        <v>86</v>
      </c>
      <c r="I1122" s="47" t="s">
        <v>5290</v>
      </c>
      <c r="J1122" s="47" t="e">
        <f>VLOOKUP(Table2[[#This Row], [Author]],People!A:B,2,0)</f>
        <v>#N/A</v>
      </c>
      <c r="K1122" s="47"/>
      <c r="L1122" s="47"/>
      <c r="M1122" s="49" t="s">
        <v>1613</v>
      </c>
    </row>
    <row r="1123" spans="1:13">
      <c r="A1123" s="48">
        <f t="shared" si="17"/>
        <v>1122</v>
      </c>
      <c r="B1123" s="47" t="s">
        <v>4</v>
      </c>
      <c r="C1123" s="47" t="s">
        <v>7157</v>
      </c>
      <c r="D1123" s="47" t="s">
        <v>7206</v>
      </c>
      <c r="E1123" s="47" t="s">
        <v>6783</v>
      </c>
      <c r="F1123" s="47" t="s">
        <v>7200</v>
      </c>
      <c r="G1123" s="47" t="s">
        <v>14</v>
      </c>
      <c r="H1123" s="47" t="s">
        <v>86</v>
      </c>
      <c r="I1123" s="47" t="s">
        <v>5290</v>
      </c>
      <c r="J1123" s="47" t="e">
        <f>VLOOKUP(Table2[[#This Row], [Author]],People!A:B,2,0)</f>
        <v>#N/A</v>
      </c>
      <c r="K1123" s="47"/>
      <c r="L1123" s="47"/>
      <c r="M1123" s="49" t="s">
        <v>1613</v>
      </c>
    </row>
    <row r="1124" spans="1:13">
      <c r="A1124" s="48">
        <f t="shared" si="17"/>
        <v>1123</v>
      </c>
      <c r="B1124" s="47" t="s">
        <v>4</v>
      </c>
      <c r="C1124" s="47" t="s">
        <v>7157</v>
      </c>
      <c r="D1124" s="47" t="s">
        <v>7207</v>
      </c>
      <c r="E1124" s="47" t="s">
        <v>6784</v>
      </c>
      <c r="F1124" s="47" t="s">
        <v>7206</v>
      </c>
      <c r="G1124" s="47" t="s">
        <v>14</v>
      </c>
      <c r="H1124" s="47" t="s">
        <v>86</v>
      </c>
      <c r="I1124" s="47" t="s">
        <v>5290</v>
      </c>
      <c r="J1124" s="47" t="e">
        <f>VLOOKUP(Table2[[#This Row], [Author]],People!A:B,2,0)</f>
        <v>#N/A</v>
      </c>
      <c r="K1124" s="47"/>
      <c r="L1124" s="47"/>
      <c r="M1124" s="49" t="s">
        <v>1613</v>
      </c>
    </row>
    <row r="1125" spans="1:13">
      <c r="A1125" s="48">
        <f t="shared" si="17"/>
        <v>1124</v>
      </c>
      <c r="B1125" s="47" t="s">
        <v>4</v>
      </c>
      <c r="C1125" s="47" t="s">
        <v>7157</v>
      </c>
      <c r="D1125" s="47" t="s">
        <v>7208</v>
      </c>
      <c r="E1125" s="47" t="s">
        <v>6785</v>
      </c>
      <c r="F1125" s="47" t="s">
        <v>7206</v>
      </c>
      <c r="G1125" s="47" t="s">
        <v>14</v>
      </c>
      <c r="H1125" s="47" t="s">
        <v>86</v>
      </c>
      <c r="I1125" s="47" t="s">
        <v>5290</v>
      </c>
      <c r="J1125" s="47" t="e">
        <f>VLOOKUP(Table2[[#This Row], [Author]],People!A:B,2,0)</f>
        <v>#N/A</v>
      </c>
      <c r="K1125" s="47"/>
      <c r="L1125" s="47"/>
      <c r="M1125" s="49" t="s">
        <v>1613</v>
      </c>
    </row>
    <row r="1126" spans="1:13">
      <c r="A1126" s="48">
        <f t="shared" si="17"/>
        <v>1125</v>
      </c>
      <c r="B1126" s="47" t="s">
        <v>4</v>
      </c>
      <c r="C1126" s="47" t="s">
        <v>7157</v>
      </c>
      <c r="D1126" s="47" t="s">
        <v>7209</v>
      </c>
      <c r="E1126" s="47" t="s">
        <v>6786</v>
      </c>
      <c r="F1126" s="47" t="s">
        <v>7206</v>
      </c>
      <c r="G1126" s="47" t="s">
        <v>14</v>
      </c>
      <c r="H1126" s="47" t="s">
        <v>86</v>
      </c>
      <c r="I1126" s="47" t="s">
        <v>5290</v>
      </c>
      <c r="J1126" s="47" t="e">
        <f>VLOOKUP(Table2[[#This Row], [Author]],People!A:B,2,0)</f>
        <v>#N/A</v>
      </c>
      <c r="K1126" s="47"/>
      <c r="L1126" s="47"/>
      <c r="M1126" s="49" t="s">
        <v>1613</v>
      </c>
    </row>
    <row r="1127" spans="1:13">
      <c r="A1127" s="48">
        <f t="shared" si="17"/>
        <v>1126</v>
      </c>
      <c r="B1127" s="47" t="s">
        <v>4</v>
      </c>
      <c r="C1127" s="47" t="s">
        <v>7157</v>
      </c>
      <c r="D1127" s="47" t="s">
        <v>7210</v>
      </c>
      <c r="E1127" s="47" t="s">
        <v>6787</v>
      </c>
      <c r="F1127" s="47" t="s">
        <v>7206</v>
      </c>
      <c r="G1127" s="47" t="s">
        <v>14</v>
      </c>
      <c r="H1127" s="47" t="s">
        <v>86</v>
      </c>
      <c r="I1127" s="47" t="s">
        <v>5290</v>
      </c>
      <c r="J1127" s="47" t="e">
        <f>VLOOKUP(Table2[[#This Row], [Author]],People!A:B,2,0)</f>
        <v>#N/A</v>
      </c>
      <c r="K1127" s="47"/>
      <c r="L1127" s="47"/>
      <c r="M1127" s="49" t="s">
        <v>1613</v>
      </c>
    </row>
    <row r="1128" spans="1:13">
      <c r="A1128" s="48">
        <f t="shared" si="17"/>
        <v>1127</v>
      </c>
      <c r="B1128" s="47" t="s">
        <v>4</v>
      </c>
      <c r="C1128" s="47" t="s">
        <v>7157</v>
      </c>
      <c r="D1128" s="47" t="s">
        <v>7211</v>
      </c>
      <c r="E1128" s="47" t="s">
        <v>6788</v>
      </c>
      <c r="F1128" s="47" t="s">
        <v>7206</v>
      </c>
      <c r="G1128" s="47" t="s">
        <v>14</v>
      </c>
      <c r="H1128" s="47" t="s">
        <v>86</v>
      </c>
      <c r="I1128" s="47" t="s">
        <v>5290</v>
      </c>
      <c r="J1128" s="47" t="e">
        <f>VLOOKUP(Table2[[#This Row], [Author]],People!A:B,2,0)</f>
        <v>#N/A</v>
      </c>
      <c r="K1128" s="47"/>
      <c r="L1128" s="47"/>
      <c r="M1128" s="49" t="s">
        <v>1613</v>
      </c>
    </row>
    <row r="1129" spans="1:13">
      <c r="A1129" s="48">
        <f t="shared" si="17"/>
        <v>1128</v>
      </c>
      <c r="B1129" s="47" t="s">
        <v>4</v>
      </c>
      <c r="C1129" s="47" t="s">
        <v>7157</v>
      </c>
      <c r="D1129" s="47" t="s">
        <v>7212</v>
      </c>
      <c r="E1129" s="47" t="s">
        <v>6789</v>
      </c>
      <c r="F1129" s="47" t="s">
        <v>6683</v>
      </c>
      <c r="G1129" s="47" t="s">
        <v>14</v>
      </c>
      <c r="H1129" s="47" t="s">
        <v>86</v>
      </c>
      <c r="I1129" s="47" t="s">
        <v>5290</v>
      </c>
      <c r="J1129" s="47" t="e">
        <f>VLOOKUP(Table2[[#This Row], [Author]],People!A:B,2,0)</f>
        <v>#N/A</v>
      </c>
      <c r="K1129" s="47"/>
      <c r="L1129" s="47"/>
      <c r="M1129" s="49" t="s">
        <v>1613</v>
      </c>
    </row>
    <row r="1130" spans="1:13">
      <c r="A1130" s="48">
        <f t="shared" si="17"/>
        <v>1129</v>
      </c>
      <c r="B1130" s="47" t="s">
        <v>4</v>
      </c>
      <c r="C1130" s="47" t="s">
        <v>7157</v>
      </c>
      <c r="D1130" s="47" t="s">
        <v>7213</v>
      </c>
      <c r="E1130" s="47" t="s">
        <v>6790</v>
      </c>
      <c r="F1130" s="47" t="s">
        <v>7212</v>
      </c>
      <c r="G1130" s="47" t="s">
        <v>14</v>
      </c>
      <c r="H1130" s="47" t="s">
        <v>86</v>
      </c>
      <c r="I1130" s="47" t="s">
        <v>5290</v>
      </c>
      <c r="J1130" s="47" t="e">
        <f>VLOOKUP(Table2[[#This Row], [Author]],People!A:B,2,0)</f>
        <v>#N/A</v>
      </c>
      <c r="K1130" s="47"/>
      <c r="L1130" s="47"/>
      <c r="M1130" s="49" t="s">
        <v>1613</v>
      </c>
    </row>
    <row r="1131" spans="1:13">
      <c r="A1131" s="48">
        <f t="shared" si="17"/>
        <v>1130</v>
      </c>
      <c r="B1131" s="47" t="s">
        <v>4</v>
      </c>
      <c r="C1131" s="47" t="s">
        <v>7157</v>
      </c>
      <c r="D1131" s="47" t="s">
        <v>7214</v>
      </c>
      <c r="E1131" s="47" t="s">
        <v>6791</v>
      </c>
      <c r="F1131" s="47" t="s">
        <v>7212</v>
      </c>
      <c r="G1131" s="47" t="s">
        <v>14</v>
      </c>
      <c r="H1131" s="47" t="s">
        <v>86</v>
      </c>
      <c r="I1131" s="47" t="s">
        <v>5290</v>
      </c>
      <c r="J1131" s="47" t="e">
        <f>VLOOKUP(Table2[[#This Row], [Author]],People!A:B,2,0)</f>
        <v>#N/A</v>
      </c>
      <c r="K1131" s="47"/>
      <c r="L1131" s="47"/>
      <c r="M1131" s="49" t="s">
        <v>1613</v>
      </c>
    </row>
    <row r="1132" spans="1:13">
      <c r="A1132" s="48">
        <f t="shared" si="17"/>
        <v>1131</v>
      </c>
      <c r="B1132" s="47" t="s">
        <v>4</v>
      </c>
      <c r="C1132" s="47" t="s">
        <v>7157</v>
      </c>
      <c r="D1132" s="47" t="s">
        <v>7215</v>
      </c>
      <c r="E1132" s="47" t="s">
        <v>6792</v>
      </c>
      <c r="F1132" s="47" t="s">
        <v>7214</v>
      </c>
      <c r="G1132" s="47" t="s">
        <v>14</v>
      </c>
      <c r="H1132" s="47" t="s">
        <v>86</v>
      </c>
      <c r="I1132" s="47" t="s">
        <v>5290</v>
      </c>
      <c r="J1132" s="47" t="e">
        <f>VLOOKUP(Table2[[#This Row], [Author]],People!A:B,2,0)</f>
        <v>#N/A</v>
      </c>
      <c r="K1132" s="47"/>
      <c r="L1132" s="47"/>
      <c r="M1132" s="49" t="s">
        <v>1613</v>
      </c>
    </row>
    <row r="1133" spans="1:13">
      <c r="A1133" s="48">
        <f t="shared" si="17"/>
        <v>1132</v>
      </c>
      <c r="B1133" s="47" t="s">
        <v>4</v>
      </c>
      <c r="C1133" s="47" t="s">
        <v>7157</v>
      </c>
      <c r="D1133" s="47" t="s">
        <v>7216</v>
      </c>
      <c r="E1133" s="47" t="s">
        <v>6793</v>
      </c>
      <c r="F1133" s="47" t="s">
        <v>7214</v>
      </c>
      <c r="G1133" s="47" t="s">
        <v>14</v>
      </c>
      <c r="H1133" s="47" t="s">
        <v>86</v>
      </c>
      <c r="I1133" s="47" t="s">
        <v>5290</v>
      </c>
      <c r="J1133" s="47" t="e">
        <f>VLOOKUP(Table2[[#This Row], [Author]],People!A:B,2,0)</f>
        <v>#N/A</v>
      </c>
      <c r="K1133" s="47"/>
      <c r="L1133" s="47"/>
      <c r="M1133" s="49" t="s">
        <v>1613</v>
      </c>
    </row>
    <row r="1134" spans="1:13">
      <c r="A1134" s="48">
        <f t="shared" si="17"/>
        <v>1133</v>
      </c>
      <c r="B1134" s="47" t="s">
        <v>4</v>
      </c>
      <c r="C1134" s="47" t="s">
        <v>7157</v>
      </c>
      <c r="D1134" s="47" t="s">
        <v>7217</v>
      </c>
      <c r="E1134" s="47" t="s">
        <v>6794</v>
      </c>
      <c r="F1134" s="47" t="s">
        <v>7212</v>
      </c>
      <c r="G1134" s="47" t="s">
        <v>14</v>
      </c>
      <c r="H1134" s="47" t="s">
        <v>86</v>
      </c>
      <c r="I1134" s="47" t="s">
        <v>5290</v>
      </c>
      <c r="J1134" s="47" t="e">
        <f>VLOOKUP(Table2[[#This Row], [Author]],People!A:B,2,0)</f>
        <v>#N/A</v>
      </c>
      <c r="K1134" s="47"/>
      <c r="L1134" s="47"/>
      <c r="M1134" s="49" t="s">
        <v>1613</v>
      </c>
    </row>
    <row r="1135" spans="1:13">
      <c r="A1135" s="48">
        <f t="shared" si="17"/>
        <v>1134</v>
      </c>
      <c r="B1135" s="47" t="s">
        <v>4</v>
      </c>
      <c r="C1135" s="47" t="s">
        <v>7157</v>
      </c>
      <c r="D1135" s="47" t="s">
        <v>7218</v>
      </c>
      <c r="E1135" s="47" t="s">
        <v>6795</v>
      </c>
      <c r="F1135" s="47" t="s">
        <v>7217</v>
      </c>
      <c r="G1135" s="47" t="s">
        <v>14</v>
      </c>
      <c r="H1135" s="47" t="s">
        <v>86</v>
      </c>
      <c r="I1135" s="47" t="s">
        <v>5290</v>
      </c>
      <c r="J1135" s="47" t="e">
        <f>VLOOKUP(Table2[[#This Row], [Author]],People!A:B,2,0)</f>
        <v>#N/A</v>
      </c>
      <c r="K1135" s="47"/>
      <c r="L1135" s="47"/>
      <c r="M1135" s="49" t="s">
        <v>1613</v>
      </c>
    </row>
    <row r="1136" spans="1:13">
      <c r="A1136" s="48">
        <f t="shared" si="17"/>
        <v>1135</v>
      </c>
      <c r="B1136" s="47" t="s">
        <v>4</v>
      </c>
      <c r="C1136" s="47" t="s">
        <v>7157</v>
      </c>
      <c r="D1136" s="47" t="s">
        <v>7219</v>
      </c>
      <c r="E1136" s="47" t="s">
        <v>6796</v>
      </c>
      <c r="F1136" s="47" t="s">
        <v>7217</v>
      </c>
      <c r="G1136" s="47" t="s">
        <v>14</v>
      </c>
      <c r="H1136" s="47" t="s">
        <v>86</v>
      </c>
      <c r="I1136" s="47" t="s">
        <v>5290</v>
      </c>
      <c r="J1136" s="47" t="e">
        <f>VLOOKUP(Table2[[#This Row], [Author]],People!A:B,2,0)</f>
        <v>#N/A</v>
      </c>
      <c r="K1136" s="47"/>
      <c r="L1136" s="47"/>
      <c r="M1136" s="49" t="s">
        <v>1613</v>
      </c>
    </row>
    <row r="1137" spans="1:13">
      <c r="A1137" s="48">
        <f t="shared" si="17"/>
        <v>1136</v>
      </c>
      <c r="B1137" s="47" t="s">
        <v>4</v>
      </c>
      <c r="C1137" s="47" t="s">
        <v>7157</v>
      </c>
      <c r="D1137" s="47" t="s">
        <v>7220</v>
      </c>
      <c r="E1137" s="47" t="s">
        <v>6797</v>
      </c>
      <c r="F1137" s="47" t="s">
        <v>6682</v>
      </c>
      <c r="G1137" s="47" t="s">
        <v>14</v>
      </c>
      <c r="H1137" s="47" t="s">
        <v>86</v>
      </c>
      <c r="I1137" s="47" t="s">
        <v>5290</v>
      </c>
      <c r="J1137" s="47" t="e">
        <f>VLOOKUP(Table2[[#This Row], [Author]],People!A:B,2,0)</f>
        <v>#N/A</v>
      </c>
      <c r="K1137" s="47"/>
      <c r="L1137" s="47"/>
      <c r="M1137" s="49" t="s">
        <v>1613</v>
      </c>
    </row>
    <row r="1138" spans="1:13">
      <c r="A1138" s="48">
        <f t="shared" si="17"/>
        <v>1137</v>
      </c>
      <c r="B1138" s="47" t="s">
        <v>4</v>
      </c>
      <c r="C1138" s="47" t="s">
        <v>7157</v>
      </c>
      <c r="D1138" s="47" t="s">
        <v>7221</v>
      </c>
      <c r="E1138" s="47" t="s">
        <v>6798</v>
      </c>
      <c r="F1138" s="47" t="s">
        <v>7220</v>
      </c>
      <c r="G1138" s="47" t="s">
        <v>14</v>
      </c>
      <c r="H1138" s="47" t="s">
        <v>86</v>
      </c>
      <c r="I1138" s="47" t="s">
        <v>5290</v>
      </c>
      <c r="J1138" s="47" t="e">
        <f>VLOOKUP(Table2[[#This Row], [Author]],People!A:B,2,0)</f>
        <v>#N/A</v>
      </c>
      <c r="K1138" s="47"/>
      <c r="L1138" s="47"/>
      <c r="M1138" s="49" t="s">
        <v>1613</v>
      </c>
    </row>
    <row r="1139" spans="1:13">
      <c r="A1139" s="48">
        <f t="shared" si="17"/>
        <v>1138</v>
      </c>
      <c r="B1139" s="47" t="s">
        <v>4</v>
      </c>
      <c r="C1139" s="47" t="s">
        <v>7157</v>
      </c>
      <c r="D1139" s="47" t="s">
        <v>7222</v>
      </c>
      <c r="E1139" s="47" t="s">
        <v>6799</v>
      </c>
      <c r="F1139" s="47" t="s">
        <v>7220</v>
      </c>
      <c r="G1139" s="47" t="s">
        <v>14</v>
      </c>
      <c r="H1139" s="47" t="s">
        <v>86</v>
      </c>
      <c r="I1139" s="47" t="s">
        <v>5290</v>
      </c>
      <c r="J1139" s="47" t="e">
        <f>VLOOKUP(Table2[[#This Row], [Author]],People!A:B,2,0)</f>
        <v>#N/A</v>
      </c>
      <c r="K1139" s="47"/>
      <c r="L1139" s="47"/>
      <c r="M1139" s="49" t="s">
        <v>1613</v>
      </c>
    </row>
    <row r="1140" spans="1:13">
      <c r="A1140" s="48">
        <f t="shared" si="17"/>
        <v>1139</v>
      </c>
      <c r="B1140" s="47" t="s">
        <v>4</v>
      </c>
      <c r="C1140" s="47" t="s">
        <v>7157</v>
      </c>
      <c r="D1140" s="47" t="s">
        <v>7223</v>
      </c>
      <c r="E1140" s="47" t="s">
        <v>6800</v>
      </c>
      <c r="F1140" s="47" t="s">
        <v>7220</v>
      </c>
      <c r="G1140" s="47" t="s">
        <v>14</v>
      </c>
      <c r="H1140" s="47" t="s">
        <v>86</v>
      </c>
      <c r="I1140" s="47" t="s">
        <v>5290</v>
      </c>
      <c r="J1140" s="47" t="e">
        <f>VLOOKUP(Table2[[#This Row], [Author]],People!A:B,2,0)</f>
        <v>#N/A</v>
      </c>
      <c r="K1140" s="47"/>
      <c r="L1140" s="47"/>
      <c r="M1140" s="49" t="s">
        <v>1613</v>
      </c>
    </row>
    <row r="1141" spans="1:13">
      <c r="A1141" s="48">
        <f t="shared" si="17"/>
        <v>1140</v>
      </c>
      <c r="B1141" s="47" t="s">
        <v>4</v>
      </c>
      <c r="C1141" s="47" t="s">
        <v>7157</v>
      </c>
      <c r="D1141" s="47" t="s">
        <v>7224</v>
      </c>
      <c r="E1141" s="47" t="s">
        <v>6801</v>
      </c>
      <c r="F1141" s="47" t="s">
        <v>7223</v>
      </c>
      <c r="G1141" s="47" t="s">
        <v>14</v>
      </c>
      <c r="H1141" s="47" t="s">
        <v>86</v>
      </c>
      <c r="I1141" s="47" t="s">
        <v>5290</v>
      </c>
      <c r="J1141" s="47" t="e">
        <f>VLOOKUP(Table2[[#This Row], [Author]],People!A:B,2,0)</f>
        <v>#N/A</v>
      </c>
      <c r="K1141" s="47"/>
      <c r="L1141" s="47"/>
      <c r="M1141" s="49" t="s">
        <v>1613</v>
      </c>
    </row>
    <row r="1142" spans="1:13">
      <c r="A1142" s="48">
        <f t="shared" si="17"/>
        <v>1141</v>
      </c>
      <c r="B1142" s="47" t="s">
        <v>4</v>
      </c>
      <c r="C1142" s="47" t="s">
        <v>7157</v>
      </c>
      <c r="D1142" s="47" t="s">
        <v>7225</v>
      </c>
      <c r="E1142" s="47" t="s">
        <v>6802</v>
      </c>
      <c r="F1142" s="47" t="s">
        <v>7223</v>
      </c>
      <c r="G1142" s="47" t="s">
        <v>14</v>
      </c>
      <c r="H1142" s="47" t="s">
        <v>86</v>
      </c>
      <c r="I1142" s="47" t="s">
        <v>5290</v>
      </c>
      <c r="J1142" s="47" t="e">
        <f>VLOOKUP(Table2[[#This Row], [Author]],People!A:B,2,0)</f>
        <v>#N/A</v>
      </c>
      <c r="K1142" s="47"/>
      <c r="L1142" s="47"/>
      <c r="M1142" s="49" t="s">
        <v>1613</v>
      </c>
    </row>
    <row r="1143" spans="1:13">
      <c r="A1143" s="48">
        <f t="shared" si="17"/>
        <v>1142</v>
      </c>
      <c r="B1143" s="47" t="s">
        <v>4</v>
      </c>
      <c r="C1143" s="47" t="s">
        <v>7157</v>
      </c>
      <c r="D1143" s="47" t="s">
        <v>7226</v>
      </c>
      <c r="E1143" s="47" t="s">
        <v>6803</v>
      </c>
      <c r="F1143" s="47" t="s">
        <v>7220</v>
      </c>
      <c r="G1143" s="47" t="s">
        <v>14</v>
      </c>
      <c r="H1143" s="47" t="s">
        <v>86</v>
      </c>
      <c r="I1143" s="47" t="s">
        <v>5290</v>
      </c>
      <c r="J1143" s="47" t="e">
        <f>VLOOKUP(Table2[[#This Row], [Author]],People!A:B,2,0)</f>
        <v>#N/A</v>
      </c>
      <c r="K1143" s="47"/>
      <c r="L1143" s="47"/>
      <c r="M1143" s="49" t="s">
        <v>1613</v>
      </c>
    </row>
    <row r="1144" spans="1:13">
      <c r="A1144" s="48">
        <f t="shared" si="17"/>
        <v>1143</v>
      </c>
      <c r="B1144" s="47" t="s">
        <v>4</v>
      </c>
      <c r="C1144" s="47" t="s">
        <v>7157</v>
      </c>
      <c r="D1144" s="47" t="s">
        <v>7227</v>
      </c>
      <c r="E1144" s="47" t="s">
        <v>6804</v>
      </c>
      <c r="F1144" s="47" t="s">
        <v>7226</v>
      </c>
      <c r="G1144" s="47" t="s">
        <v>14</v>
      </c>
      <c r="H1144" s="47" t="s">
        <v>86</v>
      </c>
      <c r="I1144" s="47" t="s">
        <v>5290</v>
      </c>
      <c r="J1144" s="47" t="e">
        <f>VLOOKUP(Table2[[#This Row], [Author]],People!A:B,2,0)</f>
        <v>#N/A</v>
      </c>
      <c r="K1144" s="47"/>
      <c r="L1144" s="47"/>
      <c r="M1144" s="49" t="s">
        <v>1613</v>
      </c>
    </row>
    <row r="1145" spans="1:13">
      <c r="A1145" s="48">
        <f t="shared" si="17"/>
        <v>1144</v>
      </c>
      <c r="B1145" s="47" t="s">
        <v>4</v>
      </c>
      <c r="C1145" s="47" t="s">
        <v>7157</v>
      </c>
      <c r="D1145" s="47" t="s">
        <v>7228</v>
      </c>
      <c r="E1145" s="47" t="s">
        <v>6805</v>
      </c>
      <c r="F1145" s="47" t="s">
        <v>7226</v>
      </c>
      <c r="G1145" s="47" t="s">
        <v>14</v>
      </c>
      <c r="H1145" s="47" t="s">
        <v>86</v>
      </c>
      <c r="I1145" s="47" t="s">
        <v>5290</v>
      </c>
      <c r="J1145" s="47" t="e">
        <f>VLOOKUP(Table2[[#This Row], [Author]],People!A:B,2,0)</f>
        <v>#N/A</v>
      </c>
      <c r="K1145" s="47"/>
      <c r="L1145" s="47"/>
      <c r="M1145" s="49" t="s">
        <v>1613</v>
      </c>
    </row>
    <row r="1146" spans="1:13">
      <c r="A1146" s="48">
        <f t="shared" si="17"/>
        <v>1145</v>
      </c>
      <c r="B1146" s="47" t="s">
        <v>4</v>
      </c>
      <c r="C1146" s="47" t="s">
        <v>7157</v>
      </c>
      <c r="D1146" s="47" t="s">
        <v>7229</v>
      </c>
      <c r="E1146" s="47" t="s">
        <v>6806</v>
      </c>
      <c r="F1146" s="47" t="s">
        <v>7226</v>
      </c>
      <c r="G1146" s="47" t="s">
        <v>14</v>
      </c>
      <c r="H1146" s="47" t="s">
        <v>86</v>
      </c>
      <c r="I1146" s="47" t="s">
        <v>5290</v>
      </c>
      <c r="J1146" s="47" t="e">
        <f>VLOOKUP(Table2[[#This Row], [Author]],People!A:B,2,0)</f>
        <v>#N/A</v>
      </c>
      <c r="K1146" s="47"/>
      <c r="L1146" s="47"/>
      <c r="M1146" s="49" t="s">
        <v>1613</v>
      </c>
    </row>
    <row r="1147" spans="1:13">
      <c r="A1147" s="48">
        <f t="shared" si="17"/>
        <v>1146</v>
      </c>
      <c r="B1147" s="47" t="s">
        <v>4</v>
      </c>
      <c r="C1147" s="47" t="s">
        <v>7157</v>
      </c>
      <c r="D1147" s="47" t="s">
        <v>7230</v>
      </c>
      <c r="E1147" s="47" t="s">
        <v>6807</v>
      </c>
      <c r="F1147" s="47" t="s">
        <v>7226</v>
      </c>
      <c r="G1147" s="47" t="s">
        <v>14</v>
      </c>
      <c r="H1147" s="47" t="s">
        <v>86</v>
      </c>
      <c r="I1147" s="47" t="s">
        <v>5290</v>
      </c>
      <c r="J1147" s="47" t="e">
        <f>VLOOKUP(Table2[[#This Row], [Author]],People!A:B,2,0)</f>
        <v>#N/A</v>
      </c>
      <c r="K1147" s="47"/>
      <c r="L1147" s="47"/>
      <c r="M1147" s="49" t="s">
        <v>1613</v>
      </c>
    </row>
    <row r="1148" spans="1:13">
      <c r="A1148" s="48">
        <f t="shared" si="17"/>
        <v>1147</v>
      </c>
      <c r="B1148" s="47" t="s">
        <v>4</v>
      </c>
      <c r="C1148" s="47" t="s">
        <v>7157</v>
      </c>
      <c r="D1148" s="47" t="s">
        <v>7231</v>
      </c>
      <c r="E1148" s="47" t="s">
        <v>6808</v>
      </c>
      <c r="F1148" s="47" t="s">
        <v>7226</v>
      </c>
      <c r="G1148" s="47" t="s">
        <v>14</v>
      </c>
      <c r="H1148" s="47" t="s">
        <v>86</v>
      </c>
      <c r="I1148" s="47" t="s">
        <v>5290</v>
      </c>
      <c r="J1148" s="47" t="e">
        <f>VLOOKUP(Table2[[#This Row], [Author]],People!A:B,2,0)</f>
        <v>#N/A</v>
      </c>
      <c r="K1148" s="47"/>
      <c r="L1148" s="47"/>
      <c r="M1148" s="49" t="s">
        <v>1613</v>
      </c>
    </row>
    <row r="1149" spans="1:13">
      <c r="A1149" s="48">
        <f t="shared" si="17"/>
        <v>1148</v>
      </c>
      <c r="B1149" s="47" t="s">
        <v>4</v>
      </c>
      <c r="C1149" s="47" t="s">
        <v>7157</v>
      </c>
      <c r="D1149" s="47" t="s">
        <v>7232</v>
      </c>
      <c r="E1149" s="47" t="s">
        <v>6809</v>
      </c>
      <c r="F1149" s="47" t="s">
        <v>6683</v>
      </c>
      <c r="G1149" s="47" t="s">
        <v>14</v>
      </c>
      <c r="H1149" s="47" t="s">
        <v>86</v>
      </c>
      <c r="I1149" s="47" t="s">
        <v>5290</v>
      </c>
      <c r="J1149" s="47" t="e">
        <f>VLOOKUP(Table2[[#This Row], [Author]],People!A:B,2,0)</f>
        <v>#N/A</v>
      </c>
      <c r="K1149" s="47"/>
      <c r="L1149" s="47"/>
      <c r="M1149" s="49" t="s">
        <v>1613</v>
      </c>
    </row>
    <row r="1150" spans="1:13">
      <c r="A1150" s="48">
        <f t="shared" si="17"/>
        <v>1149</v>
      </c>
      <c r="B1150" s="47" t="s">
        <v>4</v>
      </c>
      <c r="C1150" s="47" t="s">
        <v>7157</v>
      </c>
      <c r="D1150" s="47" t="s">
        <v>7233</v>
      </c>
      <c r="E1150" s="47" t="s">
        <v>6810</v>
      </c>
      <c r="F1150" s="47" t="s">
        <v>7232</v>
      </c>
      <c r="G1150" s="47" t="s">
        <v>14</v>
      </c>
      <c r="H1150" s="47" t="s">
        <v>86</v>
      </c>
      <c r="I1150" s="47" t="s">
        <v>5290</v>
      </c>
      <c r="J1150" s="47" t="e">
        <f>VLOOKUP(Table2[[#This Row], [Author]],People!A:B,2,0)</f>
        <v>#N/A</v>
      </c>
      <c r="K1150" s="47"/>
      <c r="L1150" s="47"/>
      <c r="M1150" s="49" t="s">
        <v>1613</v>
      </c>
    </row>
    <row r="1151" spans="1:13">
      <c r="A1151" s="48">
        <f t="shared" si="17"/>
        <v>1150</v>
      </c>
      <c r="B1151" s="47" t="s">
        <v>4</v>
      </c>
      <c r="C1151" s="47" t="s">
        <v>7157</v>
      </c>
      <c r="D1151" s="47" t="s">
        <v>7234</v>
      </c>
      <c r="E1151" s="47" t="s">
        <v>6811</v>
      </c>
      <c r="F1151" s="47" t="s">
        <v>7232</v>
      </c>
      <c r="G1151" s="47" t="s">
        <v>14</v>
      </c>
      <c r="H1151" s="47" t="s">
        <v>86</v>
      </c>
      <c r="I1151" s="47" t="s">
        <v>5290</v>
      </c>
      <c r="J1151" s="47" t="e">
        <f>VLOOKUP(Table2[[#This Row], [Author]],People!A:B,2,0)</f>
        <v>#N/A</v>
      </c>
      <c r="K1151" s="47"/>
      <c r="L1151" s="47"/>
      <c r="M1151" s="49" t="s">
        <v>1613</v>
      </c>
    </row>
    <row r="1152" spans="1:13">
      <c r="A1152" s="48">
        <f t="shared" si="17"/>
        <v>1151</v>
      </c>
      <c r="B1152" s="47" t="s">
        <v>4</v>
      </c>
      <c r="C1152" s="47" t="s">
        <v>7157</v>
      </c>
      <c r="D1152" s="47" t="s">
        <v>7235</v>
      </c>
      <c r="E1152" s="47" t="s">
        <v>6812</v>
      </c>
      <c r="F1152" s="47" t="s">
        <v>7234</v>
      </c>
      <c r="G1152" s="47" t="s">
        <v>14</v>
      </c>
      <c r="H1152" s="47" t="s">
        <v>86</v>
      </c>
      <c r="I1152" s="47" t="s">
        <v>5290</v>
      </c>
      <c r="J1152" s="47" t="e">
        <f>VLOOKUP(Table2[[#This Row], [Author]],People!A:B,2,0)</f>
        <v>#N/A</v>
      </c>
      <c r="K1152" s="47"/>
      <c r="L1152" s="47"/>
      <c r="M1152" s="49" t="s">
        <v>1613</v>
      </c>
    </row>
    <row r="1153" spans="1:13">
      <c r="A1153" s="48">
        <f t="shared" si="17"/>
        <v>1152</v>
      </c>
      <c r="B1153" s="47" t="s">
        <v>4</v>
      </c>
      <c r="C1153" s="47" t="s">
        <v>7157</v>
      </c>
      <c r="D1153" s="47" t="s">
        <v>7236</v>
      </c>
      <c r="E1153" s="47" t="s">
        <v>6813</v>
      </c>
      <c r="F1153" s="47" t="s">
        <v>7234</v>
      </c>
      <c r="G1153" s="47" t="s">
        <v>14</v>
      </c>
      <c r="H1153" s="47" t="s">
        <v>86</v>
      </c>
      <c r="I1153" s="47" t="s">
        <v>5290</v>
      </c>
      <c r="J1153" s="47" t="e">
        <f>VLOOKUP(Table2[[#This Row], [Author]],People!A:B,2,0)</f>
        <v>#N/A</v>
      </c>
      <c r="K1153" s="47"/>
      <c r="L1153" s="47"/>
      <c r="M1153" s="49" t="s">
        <v>1613</v>
      </c>
    </row>
    <row r="1154" spans="1:13">
      <c r="A1154" s="48">
        <f t="shared" si="17"/>
        <v>1153</v>
      </c>
      <c r="B1154" s="47" t="s">
        <v>4</v>
      </c>
      <c r="C1154" s="47" t="s">
        <v>7157</v>
      </c>
      <c r="D1154" s="47" t="s">
        <v>7237</v>
      </c>
      <c r="E1154" s="47" t="s">
        <v>6814</v>
      </c>
      <c r="F1154" s="47" t="s">
        <v>7232</v>
      </c>
      <c r="G1154" s="47" t="s">
        <v>14</v>
      </c>
      <c r="H1154" s="47" t="s">
        <v>86</v>
      </c>
      <c r="I1154" s="47" t="s">
        <v>5290</v>
      </c>
      <c r="J1154" s="47" t="e">
        <f>VLOOKUP(Table2[[#This Row], [Author]],People!A:B,2,0)</f>
        <v>#N/A</v>
      </c>
      <c r="K1154" s="47"/>
      <c r="L1154" s="47"/>
      <c r="M1154" s="49" t="s">
        <v>1613</v>
      </c>
    </row>
    <row r="1155" spans="1:13">
      <c r="A1155" s="48">
        <f t="shared" ref="A1155:A1218" si="18">1+A1154</f>
        <v>1154</v>
      </c>
      <c r="B1155" s="47" t="s">
        <v>4</v>
      </c>
      <c r="C1155" s="47" t="s">
        <v>7157</v>
      </c>
      <c r="D1155" s="47" t="s">
        <v>7238</v>
      </c>
      <c r="E1155" s="47" t="s">
        <v>6815</v>
      </c>
      <c r="F1155" s="47" t="s">
        <v>7237</v>
      </c>
      <c r="G1155" s="47" t="s">
        <v>14</v>
      </c>
      <c r="H1155" s="47" t="s">
        <v>86</v>
      </c>
      <c r="I1155" s="47" t="s">
        <v>5290</v>
      </c>
      <c r="J1155" s="47" t="e">
        <f>VLOOKUP(Table2[[#This Row], [Author]],People!A:B,2,0)</f>
        <v>#N/A</v>
      </c>
      <c r="K1155" s="47"/>
      <c r="L1155" s="47"/>
      <c r="M1155" s="49" t="s">
        <v>1613</v>
      </c>
    </row>
    <row r="1156" spans="1:13">
      <c r="A1156" s="48">
        <f t="shared" si="18"/>
        <v>1155</v>
      </c>
      <c r="B1156" s="47" t="s">
        <v>4</v>
      </c>
      <c r="C1156" s="47" t="s">
        <v>7157</v>
      </c>
      <c r="D1156" s="47" t="s">
        <v>7239</v>
      </c>
      <c r="E1156" s="47" t="s">
        <v>6816</v>
      </c>
      <c r="F1156" s="47" t="s">
        <v>7237</v>
      </c>
      <c r="G1156" s="47" t="s">
        <v>14</v>
      </c>
      <c r="H1156" s="47" t="s">
        <v>86</v>
      </c>
      <c r="I1156" s="47" t="s">
        <v>5290</v>
      </c>
      <c r="J1156" s="47" t="e">
        <f>VLOOKUP(Table2[[#This Row], [Author]],People!A:B,2,0)</f>
        <v>#N/A</v>
      </c>
      <c r="K1156" s="47"/>
      <c r="L1156" s="47"/>
      <c r="M1156" s="49" t="s">
        <v>1613</v>
      </c>
    </row>
    <row r="1157" spans="1:13">
      <c r="A1157" s="48">
        <f t="shared" si="18"/>
        <v>1156</v>
      </c>
      <c r="B1157" s="47" t="s">
        <v>4</v>
      </c>
      <c r="C1157" s="47" t="s">
        <v>7157</v>
      </c>
      <c r="D1157" s="47" t="s">
        <v>7240</v>
      </c>
      <c r="E1157" s="47" t="s">
        <v>6817</v>
      </c>
      <c r="F1157" s="47" t="s">
        <v>6682</v>
      </c>
      <c r="G1157" s="47" t="s">
        <v>14</v>
      </c>
      <c r="H1157" s="47" t="s">
        <v>86</v>
      </c>
      <c r="I1157" s="47" t="s">
        <v>5290</v>
      </c>
      <c r="J1157" s="47" t="e">
        <f>VLOOKUP(Table2[[#This Row], [Author]],People!A:B,2,0)</f>
        <v>#N/A</v>
      </c>
      <c r="K1157" s="47"/>
      <c r="L1157" s="47"/>
      <c r="M1157" s="49" t="s">
        <v>1613</v>
      </c>
    </row>
    <row r="1158" spans="1:13">
      <c r="A1158" s="48">
        <f t="shared" si="18"/>
        <v>1157</v>
      </c>
      <c r="B1158" s="47" t="s">
        <v>4</v>
      </c>
      <c r="C1158" s="47" t="s">
        <v>7157</v>
      </c>
      <c r="D1158" s="47" t="s">
        <v>7241</v>
      </c>
      <c r="E1158" s="47" t="s">
        <v>6818</v>
      </c>
      <c r="F1158" s="47" t="s">
        <v>7240</v>
      </c>
      <c r="G1158" s="47" t="s">
        <v>14</v>
      </c>
      <c r="H1158" s="47" t="s">
        <v>86</v>
      </c>
      <c r="I1158" s="47" t="s">
        <v>5290</v>
      </c>
      <c r="J1158" s="47" t="e">
        <f>VLOOKUP(Table2[[#This Row], [Author]],People!A:B,2,0)</f>
        <v>#N/A</v>
      </c>
      <c r="K1158" s="47"/>
      <c r="L1158" s="47"/>
      <c r="M1158" s="49" t="s">
        <v>1613</v>
      </c>
    </row>
    <row r="1159" spans="1:13">
      <c r="A1159" s="48">
        <f t="shared" si="18"/>
        <v>1158</v>
      </c>
      <c r="B1159" s="47" t="s">
        <v>4</v>
      </c>
      <c r="C1159" s="47" t="s">
        <v>7157</v>
      </c>
      <c r="D1159" s="47" t="s">
        <v>7242</v>
      </c>
      <c r="E1159" s="47" t="s">
        <v>6819</v>
      </c>
      <c r="F1159" s="47" t="s">
        <v>7240</v>
      </c>
      <c r="G1159" s="47" t="s">
        <v>14</v>
      </c>
      <c r="H1159" s="47" t="s">
        <v>86</v>
      </c>
      <c r="I1159" s="47" t="s">
        <v>5290</v>
      </c>
      <c r="J1159" s="47" t="e">
        <f>VLOOKUP(Table2[[#This Row], [Author]],People!A:B,2,0)</f>
        <v>#N/A</v>
      </c>
      <c r="K1159" s="47"/>
      <c r="L1159" s="47"/>
      <c r="M1159" s="49" t="s">
        <v>1613</v>
      </c>
    </row>
    <row r="1160" spans="1:13">
      <c r="A1160" s="48">
        <f t="shared" si="18"/>
        <v>1159</v>
      </c>
      <c r="B1160" s="47" t="s">
        <v>4</v>
      </c>
      <c r="C1160" s="47" t="s">
        <v>7157</v>
      </c>
      <c r="D1160" s="47" t="s">
        <v>7243</v>
      </c>
      <c r="E1160" s="47" t="s">
        <v>6820</v>
      </c>
      <c r="F1160" s="47" t="s">
        <v>7240</v>
      </c>
      <c r="G1160" s="47" t="s">
        <v>14</v>
      </c>
      <c r="H1160" s="47" t="s">
        <v>86</v>
      </c>
      <c r="I1160" s="47" t="s">
        <v>5290</v>
      </c>
      <c r="J1160" s="47" t="e">
        <f>VLOOKUP(Table2[[#This Row], [Author]],People!A:B,2,0)</f>
        <v>#N/A</v>
      </c>
      <c r="K1160" s="47"/>
      <c r="L1160" s="47"/>
      <c r="M1160" s="49" t="s">
        <v>1613</v>
      </c>
    </row>
    <row r="1161" spans="1:13">
      <c r="A1161" s="48">
        <f t="shared" si="18"/>
        <v>1160</v>
      </c>
      <c r="B1161" s="47" t="s">
        <v>4</v>
      </c>
      <c r="C1161" s="47" t="s">
        <v>7157</v>
      </c>
      <c r="D1161" s="47" t="s">
        <v>7244</v>
      </c>
      <c r="E1161" s="47" t="s">
        <v>6821</v>
      </c>
      <c r="F1161" s="47" t="s">
        <v>7243</v>
      </c>
      <c r="G1161" s="47" t="s">
        <v>14</v>
      </c>
      <c r="H1161" s="47" t="s">
        <v>86</v>
      </c>
      <c r="I1161" s="47" t="s">
        <v>5290</v>
      </c>
      <c r="J1161" s="47" t="e">
        <f>VLOOKUP(Table2[[#This Row], [Author]],People!A:B,2,0)</f>
        <v>#N/A</v>
      </c>
      <c r="K1161" s="47"/>
      <c r="L1161" s="47"/>
      <c r="M1161" s="49" t="s">
        <v>1613</v>
      </c>
    </row>
    <row r="1162" spans="1:13">
      <c r="A1162" s="48">
        <f t="shared" si="18"/>
        <v>1161</v>
      </c>
      <c r="B1162" s="47" t="s">
        <v>4</v>
      </c>
      <c r="C1162" s="47" t="s">
        <v>7157</v>
      </c>
      <c r="D1162" s="47" t="s">
        <v>7245</v>
      </c>
      <c r="E1162" s="47" t="s">
        <v>6822</v>
      </c>
      <c r="F1162" s="47" t="s">
        <v>7243</v>
      </c>
      <c r="G1162" s="47" t="s">
        <v>14</v>
      </c>
      <c r="H1162" s="47" t="s">
        <v>86</v>
      </c>
      <c r="I1162" s="47" t="s">
        <v>5290</v>
      </c>
      <c r="J1162" s="47" t="e">
        <f>VLOOKUP(Table2[[#This Row], [Author]],People!A:B,2,0)</f>
        <v>#N/A</v>
      </c>
      <c r="K1162" s="47"/>
      <c r="L1162" s="47"/>
      <c r="M1162" s="49" t="s">
        <v>1613</v>
      </c>
    </row>
    <row r="1163" spans="1:13">
      <c r="A1163" s="48">
        <f t="shared" si="18"/>
        <v>1162</v>
      </c>
      <c r="B1163" s="47" t="s">
        <v>4</v>
      </c>
      <c r="C1163" s="47" t="s">
        <v>7157</v>
      </c>
      <c r="D1163" s="47" t="s">
        <v>7246</v>
      </c>
      <c r="E1163" s="47" t="s">
        <v>6823</v>
      </c>
      <c r="F1163" s="47" t="s">
        <v>7240</v>
      </c>
      <c r="G1163" s="47" t="s">
        <v>14</v>
      </c>
      <c r="H1163" s="47" t="s">
        <v>86</v>
      </c>
      <c r="I1163" s="47" t="s">
        <v>5290</v>
      </c>
      <c r="J1163" s="47" t="e">
        <f>VLOOKUP(Table2[[#This Row], [Author]],People!A:B,2,0)</f>
        <v>#N/A</v>
      </c>
      <c r="K1163" s="47"/>
      <c r="L1163" s="47"/>
      <c r="M1163" s="49" t="s">
        <v>1613</v>
      </c>
    </row>
    <row r="1164" spans="1:13">
      <c r="A1164" s="48">
        <f t="shared" si="18"/>
        <v>1163</v>
      </c>
      <c r="B1164" s="47" t="s">
        <v>4</v>
      </c>
      <c r="C1164" s="47" t="s">
        <v>7157</v>
      </c>
      <c r="D1164" s="47" t="s">
        <v>7247</v>
      </c>
      <c r="E1164" s="47" t="s">
        <v>6824</v>
      </c>
      <c r="F1164" s="47" t="s">
        <v>7246</v>
      </c>
      <c r="G1164" s="47" t="s">
        <v>14</v>
      </c>
      <c r="H1164" s="47" t="s">
        <v>86</v>
      </c>
      <c r="I1164" s="47" t="s">
        <v>5290</v>
      </c>
      <c r="J1164" s="47" t="e">
        <f>VLOOKUP(Table2[[#This Row], [Author]],People!A:B,2,0)</f>
        <v>#N/A</v>
      </c>
      <c r="K1164" s="47"/>
      <c r="L1164" s="47"/>
      <c r="M1164" s="49" t="s">
        <v>1613</v>
      </c>
    </row>
    <row r="1165" spans="1:13">
      <c r="A1165" s="48">
        <f t="shared" si="18"/>
        <v>1164</v>
      </c>
      <c r="B1165" s="47" t="s">
        <v>4</v>
      </c>
      <c r="C1165" s="47" t="s">
        <v>7157</v>
      </c>
      <c r="D1165" s="47" t="s">
        <v>7248</v>
      </c>
      <c r="E1165" s="47" t="s">
        <v>6825</v>
      </c>
      <c r="F1165" s="47" t="s">
        <v>7246</v>
      </c>
      <c r="G1165" s="47" t="s">
        <v>14</v>
      </c>
      <c r="H1165" s="47" t="s">
        <v>86</v>
      </c>
      <c r="I1165" s="47" t="s">
        <v>5290</v>
      </c>
      <c r="J1165" s="47" t="e">
        <f>VLOOKUP(Table2[[#This Row], [Author]],People!A:B,2,0)</f>
        <v>#N/A</v>
      </c>
      <c r="K1165" s="47"/>
      <c r="L1165" s="47"/>
      <c r="M1165" s="49" t="s">
        <v>1613</v>
      </c>
    </row>
    <row r="1166" spans="1:13">
      <c r="A1166" s="48">
        <f t="shared" si="18"/>
        <v>1165</v>
      </c>
      <c r="B1166" s="47" t="s">
        <v>4</v>
      </c>
      <c r="C1166" s="47" t="s">
        <v>7157</v>
      </c>
      <c r="D1166" s="47" t="s">
        <v>7249</v>
      </c>
      <c r="E1166" s="47" t="s">
        <v>6826</v>
      </c>
      <c r="F1166" s="47" t="s">
        <v>7246</v>
      </c>
      <c r="G1166" s="47" t="s">
        <v>14</v>
      </c>
      <c r="H1166" s="47" t="s">
        <v>86</v>
      </c>
      <c r="I1166" s="47" t="s">
        <v>5290</v>
      </c>
      <c r="J1166" s="47" t="e">
        <f>VLOOKUP(Table2[[#This Row], [Author]],People!A:B,2,0)</f>
        <v>#N/A</v>
      </c>
      <c r="K1166" s="47"/>
      <c r="L1166" s="47"/>
      <c r="M1166" s="49" t="s">
        <v>1613</v>
      </c>
    </row>
    <row r="1167" spans="1:13">
      <c r="A1167" s="48">
        <f t="shared" si="18"/>
        <v>1166</v>
      </c>
      <c r="B1167" s="47" t="s">
        <v>4</v>
      </c>
      <c r="C1167" s="47" t="s">
        <v>7157</v>
      </c>
      <c r="D1167" s="47" t="s">
        <v>7250</v>
      </c>
      <c r="E1167" s="47" t="s">
        <v>6827</v>
      </c>
      <c r="F1167" s="47" t="s">
        <v>7246</v>
      </c>
      <c r="G1167" s="47" t="s">
        <v>14</v>
      </c>
      <c r="H1167" s="47" t="s">
        <v>86</v>
      </c>
      <c r="I1167" s="47" t="s">
        <v>5290</v>
      </c>
      <c r="J1167" s="47" t="e">
        <f>VLOOKUP(Table2[[#This Row], [Author]],People!A:B,2,0)</f>
        <v>#N/A</v>
      </c>
      <c r="K1167" s="47"/>
      <c r="L1167" s="47"/>
      <c r="M1167" s="49" t="s">
        <v>1613</v>
      </c>
    </row>
    <row r="1168" spans="1:13">
      <c r="A1168" s="48">
        <f t="shared" si="18"/>
        <v>1167</v>
      </c>
      <c r="B1168" s="47" t="s">
        <v>4</v>
      </c>
      <c r="C1168" s="47" t="s">
        <v>7157</v>
      </c>
      <c r="D1168" s="47" t="s">
        <v>7251</v>
      </c>
      <c r="E1168" s="47" t="s">
        <v>6828</v>
      </c>
      <c r="F1168" s="47" t="s">
        <v>7246</v>
      </c>
      <c r="G1168" s="47" t="s">
        <v>14</v>
      </c>
      <c r="H1168" s="47" t="s">
        <v>86</v>
      </c>
      <c r="I1168" s="47" t="s">
        <v>5290</v>
      </c>
      <c r="J1168" s="47" t="e">
        <f>VLOOKUP(Table2[[#This Row], [Author]],People!A:B,2,0)</f>
        <v>#N/A</v>
      </c>
      <c r="K1168" s="47"/>
      <c r="L1168" s="47"/>
      <c r="M1168" s="49" t="s">
        <v>1613</v>
      </c>
    </row>
    <row r="1169" spans="1:13">
      <c r="A1169" s="48">
        <f t="shared" si="18"/>
        <v>1168</v>
      </c>
      <c r="B1169" s="47" t="s">
        <v>4</v>
      </c>
      <c r="C1169" s="47" t="s">
        <v>7157</v>
      </c>
      <c r="D1169" s="47" t="s">
        <v>7252</v>
      </c>
      <c r="E1169" s="47" t="s">
        <v>6829</v>
      </c>
      <c r="F1169" s="47" t="s">
        <v>6683</v>
      </c>
      <c r="G1169" s="47" t="s">
        <v>14</v>
      </c>
      <c r="H1169" s="47" t="s">
        <v>86</v>
      </c>
      <c r="I1169" s="47" t="s">
        <v>5290</v>
      </c>
      <c r="J1169" s="47" t="e">
        <f>VLOOKUP(Table2[[#This Row], [Author]],People!A:B,2,0)</f>
        <v>#N/A</v>
      </c>
      <c r="K1169" s="47"/>
      <c r="L1169" s="47"/>
      <c r="M1169" s="49" t="s">
        <v>1613</v>
      </c>
    </row>
    <row r="1170" spans="1:13">
      <c r="A1170" s="48">
        <f t="shared" si="18"/>
        <v>1169</v>
      </c>
      <c r="B1170" s="47" t="s">
        <v>4</v>
      </c>
      <c r="C1170" s="47" t="s">
        <v>7157</v>
      </c>
      <c r="D1170" s="47" t="s">
        <v>7253</v>
      </c>
      <c r="E1170" s="47" t="s">
        <v>6830</v>
      </c>
      <c r="F1170" s="47" t="s">
        <v>7252</v>
      </c>
      <c r="G1170" s="47" t="s">
        <v>14</v>
      </c>
      <c r="H1170" s="47" t="s">
        <v>86</v>
      </c>
      <c r="I1170" s="47" t="s">
        <v>5290</v>
      </c>
      <c r="J1170" s="47" t="e">
        <f>VLOOKUP(Table2[[#This Row], [Author]],People!A:B,2,0)</f>
        <v>#N/A</v>
      </c>
      <c r="K1170" s="47"/>
      <c r="L1170" s="47"/>
      <c r="M1170" s="49" t="s">
        <v>1613</v>
      </c>
    </row>
    <row r="1171" spans="1:13">
      <c r="A1171" s="48">
        <f t="shared" si="18"/>
        <v>1170</v>
      </c>
      <c r="B1171" s="47" t="s">
        <v>4</v>
      </c>
      <c r="C1171" s="47" t="s">
        <v>7157</v>
      </c>
      <c r="D1171" s="47" t="s">
        <v>7254</v>
      </c>
      <c r="E1171" s="47" t="s">
        <v>6831</v>
      </c>
      <c r="F1171" s="47" t="s">
        <v>7252</v>
      </c>
      <c r="G1171" s="47" t="s">
        <v>14</v>
      </c>
      <c r="H1171" s="47" t="s">
        <v>86</v>
      </c>
      <c r="I1171" s="47" t="s">
        <v>5290</v>
      </c>
      <c r="J1171" s="47" t="e">
        <f>VLOOKUP(Table2[[#This Row], [Author]],People!A:B,2,0)</f>
        <v>#N/A</v>
      </c>
      <c r="K1171" s="47"/>
      <c r="L1171" s="47"/>
      <c r="M1171" s="49" t="s">
        <v>1613</v>
      </c>
    </row>
    <row r="1172" spans="1:13">
      <c r="A1172" s="48">
        <f t="shared" si="18"/>
        <v>1171</v>
      </c>
      <c r="B1172" s="47" t="s">
        <v>4</v>
      </c>
      <c r="C1172" s="47" t="s">
        <v>7157</v>
      </c>
      <c r="D1172" s="47" t="s">
        <v>7255</v>
      </c>
      <c r="E1172" s="47" t="s">
        <v>6832</v>
      </c>
      <c r="F1172" s="47" t="s">
        <v>7254</v>
      </c>
      <c r="G1172" s="47" t="s">
        <v>14</v>
      </c>
      <c r="H1172" s="47" t="s">
        <v>86</v>
      </c>
      <c r="I1172" s="47" t="s">
        <v>5290</v>
      </c>
      <c r="J1172" s="47" t="e">
        <f>VLOOKUP(Table2[[#This Row], [Author]],People!A:B,2,0)</f>
        <v>#N/A</v>
      </c>
      <c r="K1172" s="47"/>
      <c r="L1172" s="47"/>
      <c r="M1172" s="49" t="s">
        <v>1613</v>
      </c>
    </row>
    <row r="1173" spans="1:13">
      <c r="A1173" s="48">
        <f t="shared" si="18"/>
        <v>1172</v>
      </c>
      <c r="B1173" s="47" t="s">
        <v>4</v>
      </c>
      <c r="C1173" s="47" t="s">
        <v>7157</v>
      </c>
      <c r="D1173" s="47" t="s">
        <v>7256</v>
      </c>
      <c r="E1173" s="47" t="s">
        <v>6833</v>
      </c>
      <c r="F1173" s="47" t="s">
        <v>7254</v>
      </c>
      <c r="G1173" s="47" t="s">
        <v>14</v>
      </c>
      <c r="H1173" s="47" t="s">
        <v>86</v>
      </c>
      <c r="I1173" s="47" t="s">
        <v>5290</v>
      </c>
      <c r="J1173" s="47" t="e">
        <f>VLOOKUP(Table2[[#This Row], [Author]],People!A:B,2,0)</f>
        <v>#N/A</v>
      </c>
      <c r="K1173" s="47"/>
      <c r="L1173" s="47"/>
      <c r="M1173" s="49" t="s">
        <v>1613</v>
      </c>
    </row>
    <row r="1174" spans="1:13">
      <c r="A1174" s="48">
        <f t="shared" si="18"/>
        <v>1173</v>
      </c>
      <c r="B1174" s="47" t="s">
        <v>4</v>
      </c>
      <c r="C1174" s="47" t="s">
        <v>7157</v>
      </c>
      <c r="D1174" s="47" t="s">
        <v>7257</v>
      </c>
      <c r="E1174" s="47" t="s">
        <v>6834</v>
      </c>
      <c r="F1174" s="47" t="s">
        <v>7252</v>
      </c>
      <c r="G1174" s="47" t="s">
        <v>14</v>
      </c>
      <c r="H1174" s="47" t="s">
        <v>86</v>
      </c>
      <c r="I1174" s="47" t="s">
        <v>5290</v>
      </c>
      <c r="J1174" s="47" t="e">
        <f>VLOOKUP(Table2[[#This Row], [Author]],People!A:B,2,0)</f>
        <v>#N/A</v>
      </c>
      <c r="K1174" s="47"/>
      <c r="L1174" s="47"/>
      <c r="M1174" s="49" t="s">
        <v>1613</v>
      </c>
    </row>
    <row r="1175" spans="1:13">
      <c r="A1175" s="48">
        <f t="shared" si="18"/>
        <v>1174</v>
      </c>
      <c r="B1175" s="47" t="s">
        <v>4</v>
      </c>
      <c r="C1175" s="47" t="s">
        <v>7157</v>
      </c>
      <c r="D1175" s="47" t="s">
        <v>7258</v>
      </c>
      <c r="E1175" s="47" t="s">
        <v>6835</v>
      </c>
      <c r="F1175" s="47" t="s">
        <v>7257</v>
      </c>
      <c r="G1175" s="47" t="s">
        <v>14</v>
      </c>
      <c r="H1175" s="47" t="s">
        <v>86</v>
      </c>
      <c r="I1175" s="47" t="s">
        <v>5290</v>
      </c>
      <c r="J1175" s="47" t="e">
        <f>VLOOKUP(Table2[[#This Row], [Author]],People!A:B,2,0)</f>
        <v>#N/A</v>
      </c>
      <c r="K1175" s="47"/>
      <c r="L1175" s="47"/>
      <c r="M1175" s="49" t="s">
        <v>1613</v>
      </c>
    </row>
    <row r="1176" spans="1:13">
      <c r="A1176" s="48">
        <f t="shared" si="18"/>
        <v>1175</v>
      </c>
      <c r="B1176" s="47" t="s">
        <v>4</v>
      </c>
      <c r="C1176" s="47" t="s">
        <v>7157</v>
      </c>
      <c r="D1176" s="47" t="s">
        <v>7259</v>
      </c>
      <c r="E1176" s="47" t="s">
        <v>6836</v>
      </c>
      <c r="F1176" s="47" t="s">
        <v>7257</v>
      </c>
      <c r="G1176" s="47" t="s">
        <v>14</v>
      </c>
      <c r="H1176" s="47" t="s">
        <v>86</v>
      </c>
      <c r="I1176" s="47" t="s">
        <v>5290</v>
      </c>
      <c r="J1176" s="47" t="e">
        <f>VLOOKUP(Table2[[#This Row], [Author]],People!A:B,2,0)</f>
        <v>#N/A</v>
      </c>
      <c r="K1176" s="47"/>
      <c r="L1176" s="47"/>
      <c r="M1176" s="49" t="s">
        <v>1613</v>
      </c>
    </row>
    <row r="1177" spans="1:13">
      <c r="A1177" s="48">
        <f t="shared" si="18"/>
        <v>1176</v>
      </c>
      <c r="B1177" s="47" t="s">
        <v>4</v>
      </c>
      <c r="C1177" s="47" t="s">
        <v>7157</v>
      </c>
      <c r="D1177" s="47" t="s">
        <v>7260</v>
      </c>
      <c r="E1177" s="47" t="s">
        <v>6837</v>
      </c>
      <c r="F1177" s="47" t="s">
        <v>6682</v>
      </c>
      <c r="G1177" s="47" t="s">
        <v>14</v>
      </c>
      <c r="H1177" s="47" t="s">
        <v>86</v>
      </c>
      <c r="I1177" s="47" t="s">
        <v>5290</v>
      </c>
      <c r="J1177" s="47" t="e">
        <f>VLOOKUP(Table2[[#This Row], [Author]],People!A:B,2,0)</f>
        <v>#N/A</v>
      </c>
      <c r="K1177" s="47"/>
      <c r="L1177" s="47"/>
      <c r="M1177" s="49" t="s">
        <v>1613</v>
      </c>
    </row>
    <row r="1178" spans="1:13">
      <c r="A1178" s="48">
        <f t="shared" si="18"/>
        <v>1177</v>
      </c>
      <c r="B1178" s="47" t="s">
        <v>4</v>
      </c>
      <c r="C1178" s="47" t="s">
        <v>7157</v>
      </c>
      <c r="D1178" s="47" t="s">
        <v>7261</v>
      </c>
      <c r="E1178" s="47" t="s">
        <v>6838</v>
      </c>
      <c r="F1178" s="47" t="s">
        <v>7260</v>
      </c>
      <c r="G1178" s="47" t="s">
        <v>14</v>
      </c>
      <c r="H1178" s="47" t="s">
        <v>86</v>
      </c>
      <c r="I1178" s="47" t="s">
        <v>5290</v>
      </c>
      <c r="J1178" s="47" t="e">
        <f>VLOOKUP(Table2[[#This Row], [Author]],People!A:B,2,0)</f>
        <v>#N/A</v>
      </c>
      <c r="K1178" s="47"/>
      <c r="L1178" s="47"/>
      <c r="M1178" s="49" t="s">
        <v>1613</v>
      </c>
    </row>
    <row r="1179" spans="1:13">
      <c r="A1179" s="48">
        <f t="shared" si="18"/>
        <v>1178</v>
      </c>
      <c r="B1179" s="47" t="s">
        <v>4</v>
      </c>
      <c r="C1179" s="47" t="s">
        <v>7157</v>
      </c>
      <c r="D1179" s="47" t="s">
        <v>7262</v>
      </c>
      <c r="E1179" s="47" t="s">
        <v>6839</v>
      </c>
      <c r="F1179" s="47" t="s">
        <v>7260</v>
      </c>
      <c r="G1179" s="47" t="s">
        <v>14</v>
      </c>
      <c r="H1179" s="47" t="s">
        <v>86</v>
      </c>
      <c r="I1179" s="47" t="s">
        <v>5290</v>
      </c>
      <c r="J1179" s="47" t="e">
        <f>VLOOKUP(Table2[[#This Row], [Author]],People!A:B,2,0)</f>
        <v>#N/A</v>
      </c>
      <c r="K1179" s="47"/>
      <c r="L1179" s="47"/>
      <c r="M1179" s="49" t="s">
        <v>1613</v>
      </c>
    </row>
    <row r="1180" spans="1:13">
      <c r="A1180" s="48">
        <f t="shared" si="18"/>
        <v>1179</v>
      </c>
      <c r="B1180" s="47" t="s">
        <v>4</v>
      </c>
      <c r="C1180" s="47" t="s">
        <v>7157</v>
      </c>
      <c r="D1180" s="47" t="s">
        <v>7263</v>
      </c>
      <c r="E1180" s="47" t="s">
        <v>6840</v>
      </c>
      <c r="F1180" s="47" t="s">
        <v>7260</v>
      </c>
      <c r="G1180" s="47" t="s">
        <v>14</v>
      </c>
      <c r="H1180" s="47" t="s">
        <v>86</v>
      </c>
      <c r="I1180" s="47" t="s">
        <v>5290</v>
      </c>
      <c r="J1180" s="47" t="e">
        <f>VLOOKUP(Table2[[#This Row], [Author]],People!A:B,2,0)</f>
        <v>#N/A</v>
      </c>
      <c r="K1180" s="47"/>
      <c r="L1180" s="47"/>
      <c r="M1180" s="49" t="s">
        <v>1613</v>
      </c>
    </row>
    <row r="1181" spans="1:13">
      <c r="A1181" s="48">
        <f t="shared" si="18"/>
        <v>1180</v>
      </c>
      <c r="B1181" s="47" t="s">
        <v>4</v>
      </c>
      <c r="C1181" s="47" t="s">
        <v>7157</v>
      </c>
      <c r="D1181" s="47" t="s">
        <v>7264</v>
      </c>
      <c r="E1181" s="47" t="s">
        <v>6841</v>
      </c>
      <c r="F1181" s="47" t="s">
        <v>7263</v>
      </c>
      <c r="G1181" s="47" t="s">
        <v>14</v>
      </c>
      <c r="H1181" s="47" t="s">
        <v>86</v>
      </c>
      <c r="I1181" s="47" t="s">
        <v>5290</v>
      </c>
      <c r="J1181" s="47" t="e">
        <f>VLOOKUP(Table2[[#This Row], [Author]],People!A:B,2,0)</f>
        <v>#N/A</v>
      </c>
      <c r="K1181" s="47"/>
      <c r="L1181" s="47"/>
      <c r="M1181" s="49" t="s">
        <v>1613</v>
      </c>
    </row>
    <row r="1182" spans="1:13">
      <c r="A1182" s="48">
        <f t="shared" si="18"/>
        <v>1181</v>
      </c>
      <c r="B1182" s="47" t="s">
        <v>4</v>
      </c>
      <c r="C1182" s="47" t="s">
        <v>7157</v>
      </c>
      <c r="D1182" s="47" t="s">
        <v>7265</v>
      </c>
      <c r="E1182" s="47" t="s">
        <v>6842</v>
      </c>
      <c r="F1182" s="47" t="s">
        <v>7263</v>
      </c>
      <c r="G1182" s="47" t="s">
        <v>14</v>
      </c>
      <c r="H1182" s="47" t="s">
        <v>86</v>
      </c>
      <c r="I1182" s="47" t="s">
        <v>5290</v>
      </c>
      <c r="J1182" s="47" t="e">
        <f>VLOOKUP(Table2[[#This Row], [Author]],People!A:B,2,0)</f>
        <v>#N/A</v>
      </c>
      <c r="K1182" s="47"/>
      <c r="L1182" s="47"/>
      <c r="M1182" s="49" t="s">
        <v>1613</v>
      </c>
    </row>
    <row r="1183" spans="1:13">
      <c r="A1183" s="48">
        <f t="shared" si="18"/>
        <v>1182</v>
      </c>
      <c r="B1183" s="47" t="s">
        <v>4</v>
      </c>
      <c r="C1183" s="47" t="s">
        <v>7157</v>
      </c>
      <c r="D1183" s="47" t="s">
        <v>7266</v>
      </c>
      <c r="E1183" s="47" t="s">
        <v>6843</v>
      </c>
      <c r="F1183" s="47" t="s">
        <v>7260</v>
      </c>
      <c r="G1183" s="47" t="s">
        <v>14</v>
      </c>
      <c r="H1183" s="47" t="s">
        <v>86</v>
      </c>
      <c r="I1183" s="47" t="s">
        <v>5290</v>
      </c>
      <c r="J1183" s="47" t="e">
        <f>VLOOKUP(Table2[[#This Row], [Author]],People!A:B,2,0)</f>
        <v>#N/A</v>
      </c>
      <c r="K1183" s="47"/>
      <c r="L1183" s="47"/>
      <c r="M1183" s="49" t="s">
        <v>1613</v>
      </c>
    </row>
    <row r="1184" spans="1:13">
      <c r="A1184" s="48">
        <f t="shared" si="18"/>
        <v>1183</v>
      </c>
      <c r="B1184" s="47" t="s">
        <v>4</v>
      </c>
      <c r="C1184" s="47" t="s">
        <v>7157</v>
      </c>
      <c r="D1184" s="47" t="s">
        <v>7267</v>
      </c>
      <c r="E1184" s="47" t="s">
        <v>6844</v>
      </c>
      <c r="F1184" s="47" t="s">
        <v>7266</v>
      </c>
      <c r="G1184" s="47" t="s">
        <v>14</v>
      </c>
      <c r="H1184" s="47" t="s">
        <v>86</v>
      </c>
      <c r="I1184" s="47" t="s">
        <v>5290</v>
      </c>
      <c r="J1184" s="47" t="e">
        <f>VLOOKUP(Table2[[#This Row], [Author]],People!A:B,2,0)</f>
        <v>#N/A</v>
      </c>
      <c r="K1184" s="47"/>
      <c r="L1184" s="47"/>
      <c r="M1184" s="49" t="s">
        <v>1613</v>
      </c>
    </row>
    <row r="1185" spans="1:13">
      <c r="A1185" s="48">
        <f t="shared" si="18"/>
        <v>1184</v>
      </c>
      <c r="B1185" s="47" t="s">
        <v>4</v>
      </c>
      <c r="C1185" s="47" t="s">
        <v>7157</v>
      </c>
      <c r="D1185" s="47" t="s">
        <v>7268</v>
      </c>
      <c r="E1185" s="47" t="s">
        <v>6845</v>
      </c>
      <c r="F1185" s="47" t="s">
        <v>7266</v>
      </c>
      <c r="G1185" s="47" t="s">
        <v>14</v>
      </c>
      <c r="H1185" s="47" t="s">
        <v>86</v>
      </c>
      <c r="I1185" s="47" t="s">
        <v>5290</v>
      </c>
      <c r="J1185" s="47" t="e">
        <f>VLOOKUP(Table2[[#This Row], [Author]],People!A:B,2,0)</f>
        <v>#N/A</v>
      </c>
      <c r="K1185" s="47"/>
      <c r="L1185" s="47"/>
      <c r="M1185" s="49" t="s">
        <v>1613</v>
      </c>
    </row>
    <row r="1186" spans="1:13">
      <c r="A1186" s="48">
        <f t="shared" si="18"/>
        <v>1185</v>
      </c>
      <c r="B1186" s="47" t="s">
        <v>4</v>
      </c>
      <c r="C1186" s="47" t="s">
        <v>7157</v>
      </c>
      <c r="D1186" s="47" t="s">
        <v>7269</v>
      </c>
      <c r="E1186" s="47" t="s">
        <v>6846</v>
      </c>
      <c r="F1186" s="47" t="s">
        <v>7266</v>
      </c>
      <c r="G1186" s="47" t="s">
        <v>14</v>
      </c>
      <c r="H1186" s="47" t="s">
        <v>86</v>
      </c>
      <c r="I1186" s="47" t="s">
        <v>5290</v>
      </c>
      <c r="J1186" s="47" t="e">
        <f>VLOOKUP(Table2[[#This Row], [Author]],People!A:B,2,0)</f>
        <v>#N/A</v>
      </c>
      <c r="K1186" s="47"/>
      <c r="L1186" s="47"/>
      <c r="M1186" s="49" t="s">
        <v>1613</v>
      </c>
    </row>
    <row r="1187" spans="1:13">
      <c r="A1187" s="48">
        <f t="shared" si="18"/>
        <v>1186</v>
      </c>
      <c r="B1187" s="47" t="s">
        <v>4</v>
      </c>
      <c r="C1187" s="47" t="s">
        <v>7157</v>
      </c>
      <c r="D1187" s="47" t="s">
        <v>7270</v>
      </c>
      <c r="E1187" s="47" t="s">
        <v>6847</v>
      </c>
      <c r="F1187" s="47" t="s">
        <v>7266</v>
      </c>
      <c r="G1187" s="47" t="s">
        <v>14</v>
      </c>
      <c r="H1187" s="47" t="s">
        <v>86</v>
      </c>
      <c r="I1187" s="47" t="s">
        <v>5290</v>
      </c>
      <c r="J1187" s="47" t="e">
        <f>VLOOKUP(Table2[[#This Row], [Author]],People!A:B,2,0)</f>
        <v>#N/A</v>
      </c>
      <c r="K1187" s="47"/>
      <c r="L1187" s="47"/>
      <c r="M1187" s="49" t="s">
        <v>1613</v>
      </c>
    </row>
    <row r="1188" spans="1:13">
      <c r="A1188" s="48">
        <f t="shared" si="18"/>
        <v>1187</v>
      </c>
      <c r="B1188" s="47" t="s">
        <v>4</v>
      </c>
      <c r="C1188" s="47" t="s">
        <v>7157</v>
      </c>
      <c r="D1188" s="47" t="s">
        <v>7271</v>
      </c>
      <c r="E1188" s="47" t="s">
        <v>6848</v>
      </c>
      <c r="F1188" s="47" t="s">
        <v>7266</v>
      </c>
      <c r="G1188" s="47" t="s">
        <v>14</v>
      </c>
      <c r="H1188" s="47" t="s">
        <v>86</v>
      </c>
      <c r="I1188" s="47" t="s">
        <v>5290</v>
      </c>
      <c r="J1188" s="47" t="e">
        <f>VLOOKUP(Table2[[#This Row], [Author]],People!A:B,2,0)</f>
        <v>#N/A</v>
      </c>
      <c r="K1188" s="47"/>
      <c r="L1188" s="47"/>
      <c r="M1188" s="49" t="s">
        <v>1613</v>
      </c>
    </row>
    <row r="1189" spans="1:13">
      <c r="A1189" s="48">
        <f t="shared" si="18"/>
        <v>1188</v>
      </c>
      <c r="B1189" s="47" t="s">
        <v>4</v>
      </c>
      <c r="C1189" s="47" t="s">
        <v>7157</v>
      </c>
      <c r="D1189" s="47" t="s">
        <v>7272</v>
      </c>
      <c r="E1189" s="47" t="s">
        <v>6849</v>
      </c>
      <c r="F1189" s="47" t="s">
        <v>6683</v>
      </c>
      <c r="G1189" s="47" t="s">
        <v>14</v>
      </c>
      <c r="H1189" s="47" t="s">
        <v>86</v>
      </c>
      <c r="I1189" s="47" t="s">
        <v>5290</v>
      </c>
      <c r="J1189" s="47" t="e">
        <f>VLOOKUP(Table2[[#This Row], [Author]],People!A:B,2,0)</f>
        <v>#N/A</v>
      </c>
      <c r="K1189" s="47"/>
      <c r="L1189" s="47"/>
      <c r="M1189" s="49" t="s">
        <v>1613</v>
      </c>
    </row>
    <row r="1190" spans="1:13">
      <c r="A1190" s="48">
        <f t="shared" si="18"/>
        <v>1189</v>
      </c>
      <c r="B1190" s="47" t="s">
        <v>4</v>
      </c>
      <c r="C1190" s="47" t="s">
        <v>7157</v>
      </c>
      <c r="D1190" s="47" t="s">
        <v>7273</v>
      </c>
      <c r="E1190" s="47" t="s">
        <v>6850</v>
      </c>
      <c r="F1190" s="47" t="s">
        <v>7272</v>
      </c>
      <c r="G1190" s="47" t="s">
        <v>14</v>
      </c>
      <c r="H1190" s="47" t="s">
        <v>86</v>
      </c>
      <c r="I1190" s="47" t="s">
        <v>5290</v>
      </c>
      <c r="J1190" s="47" t="e">
        <f>VLOOKUP(Table2[[#This Row], [Author]],People!A:B,2,0)</f>
        <v>#N/A</v>
      </c>
      <c r="K1190" s="47"/>
      <c r="L1190" s="47"/>
      <c r="M1190" s="49" t="s">
        <v>1613</v>
      </c>
    </row>
    <row r="1191" spans="1:13">
      <c r="A1191" s="48">
        <f t="shared" si="18"/>
        <v>1190</v>
      </c>
      <c r="B1191" s="47" t="s">
        <v>4</v>
      </c>
      <c r="C1191" s="47" t="s">
        <v>7157</v>
      </c>
      <c r="D1191" s="47" t="s">
        <v>7274</v>
      </c>
      <c r="E1191" s="47" t="s">
        <v>6851</v>
      </c>
      <c r="F1191" s="47" t="s">
        <v>7272</v>
      </c>
      <c r="G1191" s="47" t="s">
        <v>14</v>
      </c>
      <c r="H1191" s="47" t="s">
        <v>86</v>
      </c>
      <c r="I1191" s="47" t="s">
        <v>5290</v>
      </c>
      <c r="J1191" s="47" t="e">
        <f>VLOOKUP(Table2[[#This Row], [Author]],People!A:B,2,0)</f>
        <v>#N/A</v>
      </c>
      <c r="K1191" s="47"/>
      <c r="L1191" s="47"/>
      <c r="M1191" s="49" t="s">
        <v>1613</v>
      </c>
    </row>
    <row r="1192" spans="1:13">
      <c r="A1192" s="48">
        <f t="shared" si="18"/>
        <v>1191</v>
      </c>
      <c r="B1192" s="47" t="s">
        <v>4</v>
      </c>
      <c r="C1192" s="47" t="s">
        <v>7157</v>
      </c>
      <c r="D1192" s="47" t="s">
        <v>7275</v>
      </c>
      <c r="E1192" s="47" t="s">
        <v>6852</v>
      </c>
      <c r="F1192" s="47" t="s">
        <v>7274</v>
      </c>
      <c r="G1192" s="47" t="s">
        <v>14</v>
      </c>
      <c r="H1192" s="47" t="s">
        <v>86</v>
      </c>
      <c r="I1192" s="47" t="s">
        <v>5290</v>
      </c>
      <c r="J1192" s="47" t="e">
        <f>VLOOKUP(Table2[[#This Row], [Author]],People!A:B,2,0)</f>
        <v>#N/A</v>
      </c>
      <c r="K1192" s="47"/>
      <c r="L1192" s="47"/>
      <c r="M1192" s="49" t="s">
        <v>1613</v>
      </c>
    </row>
    <row r="1193" spans="1:13">
      <c r="A1193" s="48">
        <f t="shared" si="18"/>
        <v>1192</v>
      </c>
      <c r="B1193" s="47" t="s">
        <v>4</v>
      </c>
      <c r="C1193" s="47" t="s">
        <v>7157</v>
      </c>
      <c r="D1193" s="47" t="s">
        <v>7276</v>
      </c>
      <c r="E1193" s="47" t="s">
        <v>6853</v>
      </c>
      <c r="F1193" s="47" t="s">
        <v>7274</v>
      </c>
      <c r="G1193" s="47" t="s">
        <v>14</v>
      </c>
      <c r="H1193" s="47" t="s">
        <v>86</v>
      </c>
      <c r="I1193" s="47" t="s">
        <v>5290</v>
      </c>
      <c r="J1193" s="47" t="e">
        <f>VLOOKUP(Table2[[#This Row], [Author]],People!A:B,2,0)</f>
        <v>#N/A</v>
      </c>
      <c r="K1193" s="47"/>
      <c r="L1193" s="47"/>
      <c r="M1193" s="49" t="s">
        <v>1613</v>
      </c>
    </row>
    <row r="1194" spans="1:13">
      <c r="A1194" s="48">
        <f t="shared" si="18"/>
        <v>1193</v>
      </c>
      <c r="B1194" s="47" t="s">
        <v>4</v>
      </c>
      <c r="C1194" s="47" t="s">
        <v>7157</v>
      </c>
      <c r="D1194" s="47" t="s">
        <v>7277</v>
      </c>
      <c r="E1194" s="47" t="s">
        <v>6854</v>
      </c>
      <c r="F1194" s="47" t="s">
        <v>7272</v>
      </c>
      <c r="G1194" s="47" t="s">
        <v>14</v>
      </c>
      <c r="H1194" s="47" t="s">
        <v>86</v>
      </c>
      <c r="I1194" s="47" t="s">
        <v>5290</v>
      </c>
      <c r="J1194" s="47" t="e">
        <f>VLOOKUP(Table2[[#This Row], [Author]],People!A:B,2,0)</f>
        <v>#N/A</v>
      </c>
      <c r="K1194" s="47"/>
      <c r="L1194" s="47"/>
      <c r="M1194" s="49" t="s">
        <v>1613</v>
      </c>
    </row>
    <row r="1195" spans="1:13">
      <c r="A1195" s="48">
        <f t="shared" si="18"/>
        <v>1194</v>
      </c>
      <c r="B1195" s="47" t="s">
        <v>4</v>
      </c>
      <c r="C1195" s="47" t="s">
        <v>7157</v>
      </c>
      <c r="D1195" s="47" t="s">
        <v>7278</v>
      </c>
      <c r="E1195" s="47" t="s">
        <v>6855</v>
      </c>
      <c r="F1195" s="47" t="s">
        <v>7277</v>
      </c>
      <c r="G1195" s="47" t="s">
        <v>14</v>
      </c>
      <c r="H1195" s="47" t="s">
        <v>86</v>
      </c>
      <c r="I1195" s="47" t="s">
        <v>5290</v>
      </c>
      <c r="J1195" s="47" t="e">
        <f>VLOOKUP(Table2[[#This Row], [Author]],People!A:B,2,0)</f>
        <v>#N/A</v>
      </c>
      <c r="K1195" s="47"/>
      <c r="L1195" s="47"/>
      <c r="M1195" s="49" t="s">
        <v>1613</v>
      </c>
    </row>
    <row r="1196" spans="1:13">
      <c r="A1196" s="48">
        <f t="shared" si="18"/>
        <v>1195</v>
      </c>
      <c r="B1196" s="47" t="s">
        <v>4</v>
      </c>
      <c r="C1196" s="47" t="s">
        <v>7157</v>
      </c>
      <c r="D1196" s="47" t="s">
        <v>7279</v>
      </c>
      <c r="E1196" s="47" t="s">
        <v>6856</v>
      </c>
      <c r="F1196" s="47" t="s">
        <v>7277</v>
      </c>
      <c r="G1196" s="47" t="s">
        <v>14</v>
      </c>
      <c r="H1196" s="47" t="s">
        <v>86</v>
      </c>
      <c r="I1196" s="47" t="s">
        <v>5290</v>
      </c>
      <c r="J1196" s="47" t="e">
        <f>VLOOKUP(Table2[[#This Row], [Author]],People!A:B,2,0)</f>
        <v>#N/A</v>
      </c>
      <c r="K1196" s="47"/>
      <c r="L1196" s="47"/>
      <c r="M1196" s="49" t="s">
        <v>1613</v>
      </c>
    </row>
    <row r="1197" spans="1:13">
      <c r="A1197" s="48">
        <f t="shared" si="18"/>
        <v>1196</v>
      </c>
      <c r="B1197" s="47" t="s">
        <v>4</v>
      </c>
      <c r="C1197" s="47" t="s">
        <v>7157</v>
      </c>
      <c r="D1197" s="47" t="s">
        <v>7280</v>
      </c>
      <c r="E1197" s="47" t="s">
        <v>6857</v>
      </c>
      <c r="F1197" s="47" t="s">
        <v>6682</v>
      </c>
      <c r="G1197" s="47" t="s">
        <v>14</v>
      </c>
      <c r="H1197" s="47" t="s">
        <v>86</v>
      </c>
      <c r="I1197" s="47" t="s">
        <v>5290</v>
      </c>
      <c r="J1197" s="47" t="e">
        <f>VLOOKUP(Table2[[#This Row], [Author]],People!A:B,2,0)</f>
        <v>#N/A</v>
      </c>
      <c r="K1197" s="47"/>
      <c r="L1197" s="47"/>
      <c r="M1197" s="49" t="s">
        <v>1613</v>
      </c>
    </row>
    <row r="1198" spans="1:13">
      <c r="A1198" s="48">
        <f t="shared" si="18"/>
        <v>1197</v>
      </c>
      <c r="B1198" s="47" t="s">
        <v>4</v>
      </c>
      <c r="C1198" s="47" t="s">
        <v>7157</v>
      </c>
      <c r="D1198" s="47" t="s">
        <v>7281</v>
      </c>
      <c r="E1198" s="47" t="s">
        <v>6858</v>
      </c>
      <c r="F1198" s="47" t="s">
        <v>7280</v>
      </c>
      <c r="G1198" s="47" t="s">
        <v>14</v>
      </c>
      <c r="H1198" s="47" t="s">
        <v>86</v>
      </c>
      <c r="I1198" s="47" t="s">
        <v>5290</v>
      </c>
      <c r="J1198" s="47" t="e">
        <f>VLOOKUP(Table2[[#This Row], [Author]],People!A:B,2,0)</f>
        <v>#N/A</v>
      </c>
      <c r="K1198" s="47"/>
      <c r="L1198" s="47"/>
      <c r="M1198" s="49" t="s">
        <v>1613</v>
      </c>
    </row>
    <row r="1199" spans="1:13">
      <c r="A1199" s="48">
        <f t="shared" si="18"/>
        <v>1198</v>
      </c>
      <c r="B1199" s="47" t="s">
        <v>4</v>
      </c>
      <c r="C1199" s="47" t="s">
        <v>7157</v>
      </c>
      <c r="D1199" s="47" t="s">
        <v>7282</v>
      </c>
      <c r="E1199" s="47" t="s">
        <v>6859</v>
      </c>
      <c r="F1199" s="47" t="s">
        <v>7280</v>
      </c>
      <c r="G1199" s="47" t="s">
        <v>14</v>
      </c>
      <c r="H1199" s="47" t="s">
        <v>86</v>
      </c>
      <c r="I1199" s="47" t="s">
        <v>5290</v>
      </c>
      <c r="J1199" s="47" t="e">
        <f>VLOOKUP(Table2[[#This Row], [Author]],People!A:B,2,0)</f>
        <v>#N/A</v>
      </c>
      <c r="K1199" s="47"/>
      <c r="L1199" s="47"/>
      <c r="M1199" s="49" t="s">
        <v>1613</v>
      </c>
    </row>
    <row r="1200" spans="1:13">
      <c r="A1200" s="48">
        <f t="shared" si="18"/>
        <v>1199</v>
      </c>
      <c r="B1200" s="47" t="s">
        <v>4</v>
      </c>
      <c r="C1200" s="47" t="s">
        <v>7157</v>
      </c>
      <c r="D1200" s="47" t="s">
        <v>7283</v>
      </c>
      <c r="E1200" s="47" t="s">
        <v>6860</v>
      </c>
      <c r="F1200" s="47" t="s">
        <v>7280</v>
      </c>
      <c r="G1200" s="47" t="s">
        <v>14</v>
      </c>
      <c r="H1200" s="47" t="s">
        <v>86</v>
      </c>
      <c r="I1200" s="47" t="s">
        <v>5290</v>
      </c>
      <c r="J1200" s="47" t="e">
        <f>VLOOKUP(Table2[[#This Row], [Author]],People!A:B,2,0)</f>
        <v>#N/A</v>
      </c>
      <c r="K1200" s="47"/>
      <c r="L1200" s="47"/>
      <c r="M1200" s="49" t="s">
        <v>1613</v>
      </c>
    </row>
    <row r="1201" spans="1:13">
      <c r="A1201" s="48">
        <f t="shared" si="18"/>
        <v>1200</v>
      </c>
      <c r="B1201" s="47" t="s">
        <v>4</v>
      </c>
      <c r="C1201" s="47" t="s">
        <v>7157</v>
      </c>
      <c r="D1201" s="47" t="s">
        <v>7284</v>
      </c>
      <c r="E1201" s="47" t="s">
        <v>6861</v>
      </c>
      <c r="F1201" s="47" t="s">
        <v>7283</v>
      </c>
      <c r="G1201" s="47" t="s">
        <v>14</v>
      </c>
      <c r="H1201" s="47" t="s">
        <v>86</v>
      </c>
      <c r="I1201" s="47" t="s">
        <v>5290</v>
      </c>
      <c r="J1201" s="47" t="e">
        <f>VLOOKUP(Table2[[#This Row], [Author]],People!A:B,2,0)</f>
        <v>#N/A</v>
      </c>
      <c r="K1201" s="47"/>
      <c r="L1201" s="47"/>
      <c r="M1201" s="49" t="s">
        <v>1613</v>
      </c>
    </row>
    <row r="1202" spans="1:13">
      <c r="A1202" s="48">
        <f t="shared" si="18"/>
        <v>1201</v>
      </c>
      <c r="B1202" s="47" t="s">
        <v>4</v>
      </c>
      <c r="C1202" s="47" t="s">
        <v>7157</v>
      </c>
      <c r="D1202" s="47" t="s">
        <v>7285</v>
      </c>
      <c r="E1202" s="47" t="s">
        <v>6862</v>
      </c>
      <c r="F1202" s="47" t="s">
        <v>7283</v>
      </c>
      <c r="G1202" s="47" t="s">
        <v>14</v>
      </c>
      <c r="H1202" s="47" t="s">
        <v>86</v>
      </c>
      <c r="I1202" s="47" t="s">
        <v>5290</v>
      </c>
      <c r="J1202" s="47" t="e">
        <f>VLOOKUP(Table2[[#This Row], [Author]],People!A:B,2,0)</f>
        <v>#N/A</v>
      </c>
      <c r="K1202" s="47"/>
      <c r="L1202" s="47"/>
      <c r="M1202" s="49" t="s">
        <v>1613</v>
      </c>
    </row>
    <row r="1203" spans="1:13">
      <c r="A1203" s="48">
        <f t="shared" si="18"/>
        <v>1202</v>
      </c>
      <c r="B1203" s="47" t="s">
        <v>4</v>
      </c>
      <c r="C1203" s="47" t="s">
        <v>7157</v>
      </c>
      <c r="D1203" s="47" t="s">
        <v>7286</v>
      </c>
      <c r="E1203" s="47" t="s">
        <v>6863</v>
      </c>
      <c r="F1203" s="47" t="s">
        <v>7280</v>
      </c>
      <c r="G1203" s="47" t="s">
        <v>14</v>
      </c>
      <c r="H1203" s="47" t="s">
        <v>86</v>
      </c>
      <c r="I1203" s="47" t="s">
        <v>5290</v>
      </c>
      <c r="J1203" s="47" t="e">
        <f>VLOOKUP(Table2[[#This Row], [Author]],People!A:B,2,0)</f>
        <v>#N/A</v>
      </c>
      <c r="K1203" s="47"/>
      <c r="L1203" s="47"/>
      <c r="M1203" s="49" t="s">
        <v>1613</v>
      </c>
    </row>
    <row r="1204" spans="1:13">
      <c r="A1204" s="48">
        <f t="shared" si="18"/>
        <v>1203</v>
      </c>
      <c r="B1204" s="47" t="s">
        <v>4</v>
      </c>
      <c r="C1204" s="47" t="s">
        <v>7157</v>
      </c>
      <c r="D1204" s="47" t="s">
        <v>7287</v>
      </c>
      <c r="E1204" s="47" t="s">
        <v>6864</v>
      </c>
      <c r="F1204" s="47" t="s">
        <v>7286</v>
      </c>
      <c r="G1204" s="47" t="s">
        <v>14</v>
      </c>
      <c r="H1204" s="47" t="s">
        <v>86</v>
      </c>
      <c r="I1204" s="47" t="s">
        <v>5290</v>
      </c>
      <c r="J1204" s="47" t="e">
        <f>VLOOKUP(Table2[[#This Row], [Author]],People!A:B,2,0)</f>
        <v>#N/A</v>
      </c>
      <c r="K1204" s="47"/>
      <c r="L1204" s="47"/>
      <c r="M1204" s="49" t="s">
        <v>1613</v>
      </c>
    </row>
    <row r="1205" spans="1:13">
      <c r="A1205" s="48">
        <f t="shared" si="18"/>
        <v>1204</v>
      </c>
      <c r="B1205" s="47" t="s">
        <v>4</v>
      </c>
      <c r="C1205" s="47" t="s">
        <v>7157</v>
      </c>
      <c r="D1205" s="47" t="s">
        <v>7288</v>
      </c>
      <c r="E1205" s="47" t="s">
        <v>6865</v>
      </c>
      <c r="F1205" s="47" t="s">
        <v>7286</v>
      </c>
      <c r="G1205" s="47" t="s">
        <v>14</v>
      </c>
      <c r="H1205" s="47" t="s">
        <v>86</v>
      </c>
      <c r="I1205" s="47" t="s">
        <v>5290</v>
      </c>
      <c r="J1205" s="47" t="e">
        <f>VLOOKUP(Table2[[#This Row], [Author]],People!A:B,2,0)</f>
        <v>#N/A</v>
      </c>
      <c r="K1205" s="47"/>
      <c r="L1205" s="47"/>
      <c r="M1205" s="49" t="s">
        <v>1613</v>
      </c>
    </row>
    <row r="1206" spans="1:13">
      <c r="A1206" s="48">
        <f t="shared" si="18"/>
        <v>1205</v>
      </c>
      <c r="B1206" s="47" t="s">
        <v>4</v>
      </c>
      <c r="C1206" s="47" t="s">
        <v>7157</v>
      </c>
      <c r="D1206" s="47" t="s">
        <v>7289</v>
      </c>
      <c r="E1206" s="47" t="s">
        <v>6866</v>
      </c>
      <c r="F1206" s="47" t="s">
        <v>7286</v>
      </c>
      <c r="G1206" s="47" t="s">
        <v>14</v>
      </c>
      <c r="H1206" s="47" t="s">
        <v>86</v>
      </c>
      <c r="I1206" s="47" t="s">
        <v>5290</v>
      </c>
      <c r="J1206" s="47" t="e">
        <f>VLOOKUP(Table2[[#This Row], [Author]],People!A:B,2,0)</f>
        <v>#N/A</v>
      </c>
      <c r="K1206" s="47"/>
      <c r="L1206" s="47"/>
      <c r="M1206" s="49" t="s">
        <v>1613</v>
      </c>
    </row>
    <row r="1207" spans="1:13">
      <c r="A1207" s="48">
        <f t="shared" si="18"/>
        <v>1206</v>
      </c>
      <c r="B1207" s="47" t="s">
        <v>4</v>
      </c>
      <c r="C1207" s="47" t="s">
        <v>7157</v>
      </c>
      <c r="D1207" s="47" t="s">
        <v>7290</v>
      </c>
      <c r="E1207" s="47" t="s">
        <v>6867</v>
      </c>
      <c r="F1207" s="47" t="s">
        <v>7286</v>
      </c>
      <c r="G1207" s="47" t="s">
        <v>14</v>
      </c>
      <c r="H1207" s="47" t="s">
        <v>86</v>
      </c>
      <c r="I1207" s="47" t="s">
        <v>5290</v>
      </c>
      <c r="J1207" s="47" t="e">
        <f>VLOOKUP(Table2[[#This Row], [Author]],People!A:B,2,0)</f>
        <v>#N/A</v>
      </c>
      <c r="K1207" s="47"/>
      <c r="L1207" s="47"/>
      <c r="M1207" s="49" t="s">
        <v>1613</v>
      </c>
    </row>
    <row r="1208" spans="1:13">
      <c r="A1208" s="48">
        <f t="shared" si="18"/>
        <v>1207</v>
      </c>
      <c r="B1208" s="47" t="s">
        <v>4</v>
      </c>
      <c r="C1208" s="47" t="s">
        <v>7157</v>
      </c>
      <c r="D1208" s="47" t="s">
        <v>7291</v>
      </c>
      <c r="E1208" s="47" t="s">
        <v>6868</v>
      </c>
      <c r="F1208" s="47" t="s">
        <v>7286</v>
      </c>
      <c r="G1208" s="47" t="s">
        <v>14</v>
      </c>
      <c r="H1208" s="47" t="s">
        <v>86</v>
      </c>
      <c r="I1208" s="47" t="s">
        <v>5290</v>
      </c>
      <c r="J1208" s="47" t="e">
        <f>VLOOKUP(Table2[[#This Row], [Author]],People!A:B,2,0)</f>
        <v>#N/A</v>
      </c>
      <c r="K1208" s="47"/>
      <c r="L1208" s="47"/>
      <c r="M1208" s="49" t="s">
        <v>1613</v>
      </c>
    </row>
    <row r="1209" spans="1:13">
      <c r="A1209" s="48">
        <f t="shared" si="18"/>
        <v>1208</v>
      </c>
      <c r="B1209" s="47" t="s">
        <v>4</v>
      </c>
      <c r="C1209" s="47" t="s">
        <v>7157</v>
      </c>
      <c r="D1209" s="47" t="s">
        <v>7292</v>
      </c>
      <c r="E1209" s="47" t="s">
        <v>6869</v>
      </c>
      <c r="F1209" s="47" t="s">
        <v>6683</v>
      </c>
      <c r="G1209" s="47" t="s">
        <v>14</v>
      </c>
      <c r="H1209" s="47" t="s">
        <v>86</v>
      </c>
      <c r="I1209" s="47" t="s">
        <v>5290</v>
      </c>
      <c r="J1209" s="47" t="e">
        <f>VLOOKUP(Table2[[#This Row], [Author]],People!A:B,2,0)</f>
        <v>#N/A</v>
      </c>
      <c r="K1209" s="47"/>
      <c r="L1209" s="47"/>
      <c r="M1209" s="49" t="s">
        <v>1613</v>
      </c>
    </row>
    <row r="1210" spans="1:13">
      <c r="A1210" s="48">
        <f t="shared" si="18"/>
        <v>1209</v>
      </c>
      <c r="B1210" s="47" t="s">
        <v>4</v>
      </c>
      <c r="C1210" s="47" t="s">
        <v>7157</v>
      </c>
      <c r="D1210" s="47" t="s">
        <v>7293</v>
      </c>
      <c r="E1210" s="47" t="s">
        <v>6870</v>
      </c>
      <c r="F1210" s="47" t="s">
        <v>7292</v>
      </c>
      <c r="G1210" s="47" t="s">
        <v>14</v>
      </c>
      <c r="H1210" s="47" t="s">
        <v>86</v>
      </c>
      <c r="I1210" s="47" t="s">
        <v>5290</v>
      </c>
      <c r="J1210" s="47" t="e">
        <f>VLOOKUP(Table2[[#This Row], [Author]],People!A:B,2,0)</f>
        <v>#N/A</v>
      </c>
      <c r="K1210" s="47"/>
      <c r="L1210" s="47"/>
      <c r="M1210" s="49" t="s">
        <v>1613</v>
      </c>
    </row>
    <row r="1211" spans="1:13">
      <c r="A1211" s="48">
        <f t="shared" si="18"/>
        <v>1210</v>
      </c>
      <c r="B1211" s="47" t="s">
        <v>4</v>
      </c>
      <c r="C1211" s="47" t="s">
        <v>7157</v>
      </c>
      <c r="D1211" s="47" t="s">
        <v>7294</v>
      </c>
      <c r="E1211" s="47" t="s">
        <v>6871</v>
      </c>
      <c r="F1211" s="47" t="s">
        <v>7292</v>
      </c>
      <c r="G1211" s="47" t="s">
        <v>14</v>
      </c>
      <c r="H1211" s="47" t="s">
        <v>86</v>
      </c>
      <c r="I1211" s="47" t="s">
        <v>5290</v>
      </c>
      <c r="J1211" s="47" t="e">
        <f>VLOOKUP(Table2[[#This Row], [Author]],People!A:B,2,0)</f>
        <v>#N/A</v>
      </c>
      <c r="K1211" s="47"/>
      <c r="L1211" s="47"/>
      <c r="M1211" s="49" t="s">
        <v>1613</v>
      </c>
    </row>
    <row r="1212" spans="1:13">
      <c r="A1212" s="48">
        <f t="shared" si="18"/>
        <v>1211</v>
      </c>
      <c r="B1212" s="47" t="s">
        <v>4</v>
      </c>
      <c r="C1212" s="47" t="s">
        <v>7157</v>
      </c>
      <c r="D1212" s="47" t="s">
        <v>7295</v>
      </c>
      <c r="E1212" s="47" t="s">
        <v>6872</v>
      </c>
      <c r="F1212" s="47" t="s">
        <v>7294</v>
      </c>
      <c r="G1212" s="47" t="s">
        <v>14</v>
      </c>
      <c r="H1212" s="47" t="s">
        <v>86</v>
      </c>
      <c r="I1212" s="47" t="s">
        <v>5290</v>
      </c>
      <c r="J1212" s="47" t="e">
        <f>VLOOKUP(Table2[[#This Row], [Author]],People!A:B,2,0)</f>
        <v>#N/A</v>
      </c>
      <c r="K1212" s="47"/>
      <c r="L1212" s="47"/>
      <c r="M1212" s="49" t="s">
        <v>1613</v>
      </c>
    </row>
    <row r="1213" spans="1:13">
      <c r="A1213" s="48">
        <f t="shared" si="18"/>
        <v>1212</v>
      </c>
      <c r="B1213" s="47" t="s">
        <v>4</v>
      </c>
      <c r="C1213" s="47" t="s">
        <v>7157</v>
      </c>
      <c r="D1213" s="47" t="s">
        <v>7296</v>
      </c>
      <c r="E1213" s="47" t="s">
        <v>6873</v>
      </c>
      <c r="F1213" s="47" t="s">
        <v>7294</v>
      </c>
      <c r="G1213" s="47" t="s">
        <v>14</v>
      </c>
      <c r="H1213" s="47" t="s">
        <v>86</v>
      </c>
      <c r="I1213" s="47" t="s">
        <v>5290</v>
      </c>
      <c r="J1213" s="47" t="e">
        <f>VLOOKUP(Table2[[#This Row], [Author]],People!A:B,2,0)</f>
        <v>#N/A</v>
      </c>
      <c r="K1213" s="47"/>
      <c r="L1213" s="47"/>
      <c r="M1213" s="49" t="s">
        <v>1613</v>
      </c>
    </row>
    <row r="1214" spans="1:13">
      <c r="A1214" s="48">
        <f t="shared" si="18"/>
        <v>1213</v>
      </c>
      <c r="B1214" s="47" t="s">
        <v>4</v>
      </c>
      <c r="C1214" s="47" t="s">
        <v>7157</v>
      </c>
      <c r="D1214" s="47" t="s">
        <v>7297</v>
      </c>
      <c r="E1214" s="47" t="s">
        <v>6874</v>
      </c>
      <c r="F1214" s="47" t="s">
        <v>7292</v>
      </c>
      <c r="G1214" s="47" t="s">
        <v>14</v>
      </c>
      <c r="H1214" s="47" t="s">
        <v>86</v>
      </c>
      <c r="I1214" s="47" t="s">
        <v>5290</v>
      </c>
      <c r="J1214" s="47" t="e">
        <f>VLOOKUP(Table2[[#This Row], [Author]],People!A:B,2,0)</f>
        <v>#N/A</v>
      </c>
      <c r="K1214" s="47"/>
      <c r="L1214" s="47"/>
      <c r="M1214" s="49" t="s">
        <v>1613</v>
      </c>
    </row>
    <row r="1215" spans="1:13">
      <c r="A1215" s="48">
        <f t="shared" si="18"/>
        <v>1214</v>
      </c>
      <c r="B1215" s="47" t="s">
        <v>4</v>
      </c>
      <c r="C1215" s="47" t="s">
        <v>7157</v>
      </c>
      <c r="D1215" s="47" t="s">
        <v>7298</v>
      </c>
      <c r="E1215" s="47" t="s">
        <v>6875</v>
      </c>
      <c r="F1215" s="47" t="s">
        <v>7297</v>
      </c>
      <c r="G1215" s="47" t="s">
        <v>14</v>
      </c>
      <c r="H1215" s="47" t="s">
        <v>86</v>
      </c>
      <c r="I1215" s="47" t="s">
        <v>5290</v>
      </c>
      <c r="J1215" s="47" t="e">
        <f>VLOOKUP(Table2[[#This Row], [Author]],People!A:B,2,0)</f>
        <v>#N/A</v>
      </c>
      <c r="K1215" s="47"/>
      <c r="L1215" s="47"/>
      <c r="M1215" s="49" t="s">
        <v>1613</v>
      </c>
    </row>
    <row r="1216" spans="1:13">
      <c r="A1216" s="48">
        <f t="shared" si="18"/>
        <v>1215</v>
      </c>
      <c r="B1216" s="47" t="s">
        <v>4</v>
      </c>
      <c r="C1216" s="47" t="s">
        <v>7157</v>
      </c>
      <c r="D1216" s="47" t="s">
        <v>7299</v>
      </c>
      <c r="E1216" s="47" t="s">
        <v>6876</v>
      </c>
      <c r="F1216" s="47" t="s">
        <v>7297</v>
      </c>
      <c r="G1216" s="47" t="s">
        <v>14</v>
      </c>
      <c r="H1216" s="47" t="s">
        <v>86</v>
      </c>
      <c r="I1216" s="47" t="s">
        <v>5290</v>
      </c>
      <c r="J1216" s="47" t="e">
        <f>VLOOKUP(Table2[[#This Row], [Author]],People!A:B,2,0)</f>
        <v>#N/A</v>
      </c>
      <c r="K1216" s="47"/>
      <c r="L1216" s="47"/>
      <c r="M1216" s="49" t="s">
        <v>1613</v>
      </c>
    </row>
    <row r="1217" spans="1:13">
      <c r="A1217" s="48">
        <f t="shared" si="18"/>
        <v>1216</v>
      </c>
      <c r="B1217" s="47" t="s">
        <v>4</v>
      </c>
      <c r="C1217" s="47" t="s">
        <v>7157</v>
      </c>
      <c r="D1217" s="47" t="s">
        <v>7300</v>
      </c>
      <c r="E1217" s="47" t="s">
        <v>6877</v>
      </c>
      <c r="F1217" s="47" t="s">
        <v>6682</v>
      </c>
      <c r="G1217" s="47" t="s">
        <v>14</v>
      </c>
      <c r="H1217" s="47" t="s">
        <v>86</v>
      </c>
      <c r="I1217" s="47" t="s">
        <v>5290</v>
      </c>
      <c r="J1217" s="47" t="e">
        <f>VLOOKUP(Table2[[#This Row], [Author]],People!A:B,2,0)</f>
        <v>#N/A</v>
      </c>
      <c r="K1217" s="47"/>
      <c r="L1217" s="47"/>
      <c r="M1217" s="49" t="s">
        <v>1613</v>
      </c>
    </row>
    <row r="1218" spans="1:13">
      <c r="A1218" s="48">
        <f t="shared" si="18"/>
        <v>1217</v>
      </c>
      <c r="B1218" s="47" t="s">
        <v>4</v>
      </c>
      <c r="C1218" s="47" t="s">
        <v>7157</v>
      </c>
      <c r="D1218" s="47" t="s">
        <v>7301</v>
      </c>
      <c r="E1218" s="47" t="s">
        <v>6878</v>
      </c>
      <c r="F1218" s="47" t="s">
        <v>7300</v>
      </c>
      <c r="G1218" s="47" t="s">
        <v>14</v>
      </c>
      <c r="H1218" s="47" t="s">
        <v>86</v>
      </c>
      <c r="I1218" s="47" t="s">
        <v>5290</v>
      </c>
      <c r="J1218" s="47" t="e">
        <f>VLOOKUP(Table2[[#This Row], [Author]],People!A:B,2,0)</f>
        <v>#N/A</v>
      </c>
      <c r="K1218" s="47"/>
      <c r="L1218" s="47"/>
      <c r="M1218" s="49" t="s">
        <v>1613</v>
      </c>
    </row>
    <row r="1219" spans="1:13">
      <c r="A1219" s="48">
        <f t="shared" ref="A1219:A1282" si="19">1+A1218</f>
        <v>1218</v>
      </c>
      <c r="B1219" s="47" t="s">
        <v>4</v>
      </c>
      <c r="C1219" s="47" t="s">
        <v>7157</v>
      </c>
      <c r="D1219" s="47" t="s">
        <v>7302</v>
      </c>
      <c r="E1219" s="47" t="s">
        <v>6879</v>
      </c>
      <c r="F1219" s="47" t="s">
        <v>7300</v>
      </c>
      <c r="G1219" s="47" t="s">
        <v>14</v>
      </c>
      <c r="H1219" s="47" t="s">
        <v>86</v>
      </c>
      <c r="I1219" s="47" t="s">
        <v>5290</v>
      </c>
      <c r="J1219" s="47" t="e">
        <f>VLOOKUP(Table2[[#This Row], [Author]],People!A:B,2,0)</f>
        <v>#N/A</v>
      </c>
      <c r="K1219" s="47"/>
      <c r="L1219" s="47"/>
      <c r="M1219" s="49" t="s">
        <v>1613</v>
      </c>
    </row>
    <row r="1220" spans="1:13">
      <c r="A1220" s="48">
        <f t="shared" si="19"/>
        <v>1219</v>
      </c>
      <c r="B1220" s="47" t="s">
        <v>4</v>
      </c>
      <c r="C1220" s="47" t="s">
        <v>7157</v>
      </c>
      <c r="D1220" s="47" t="s">
        <v>7303</v>
      </c>
      <c r="E1220" s="47" t="s">
        <v>6880</v>
      </c>
      <c r="F1220" s="47" t="s">
        <v>7300</v>
      </c>
      <c r="G1220" s="47" t="s">
        <v>14</v>
      </c>
      <c r="H1220" s="47" t="s">
        <v>86</v>
      </c>
      <c r="I1220" s="47" t="s">
        <v>5290</v>
      </c>
      <c r="J1220" s="47" t="e">
        <f>VLOOKUP(Table2[[#This Row], [Author]],People!A:B,2,0)</f>
        <v>#N/A</v>
      </c>
      <c r="K1220" s="47"/>
      <c r="L1220" s="47"/>
      <c r="M1220" s="49" t="s">
        <v>1613</v>
      </c>
    </row>
    <row r="1221" spans="1:13">
      <c r="A1221" s="48">
        <f t="shared" si="19"/>
        <v>1220</v>
      </c>
      <c r="B1221" s="47" t="s">
        <v>4</v>
      </c>
      <c r="C1221" s="47" t="s">
        <v>7157</v>
      </c>
      <c r="D1221" s="47" t="s">
        <v>7304</v>
      </c>
      <c r="E1221" s="47" t="s">
        <v>6881</v>
      </c>
      <c r="F1221" s="47" t="s">
        <v>7303</v>
      </c>
      <c r="G1221" s="47" t="s">
        <v>14</v>
      </c>
      <c r="H1221" s="47" t="s">
        <v>86</v>
      </c>
      <c r="I1221" s="47" t="s">
        <v>5290</v>
      </c>
      <c r="J1221" s="47" t="e">
        <f>VLOOKUP(Table2[[#This Row], [Author]],People!A:B,2,0)</f>
        <v>#N/A</v>
      </c>
      <c r="K1221" s="47"/>
      <c r="L1221" s="47"/>
      <c r="M1221" s="49" t="s">
        <v>1613</v>
      </c>
    </row>
    <row r="1222" spans="1:13">
      <c r="A1222" s="48">
        <f t="shared" si="19"/>
        <v>1221</v>
      </c>
      <c r="B1222" s="47" t="s">
        <v>4</v>
      </c>
      <c r="C1222" s="47" t="s">
        <v>7157</v>
      </c>
      <c r="D1222" s="47" t="s">
        <v>7305</v>
      </c>
      <c r="E1222" s="47" t="s">
        <v>6882</v>
      </c>
      <c r="F1222" s="47" t="s">
        <v>7303</v>
      </c>
      <c r="G1222" s="47" t="s">
        <v>14</v>
      </c>
      <c r="H1222" s="47" t="s">
        <v>86</v>
      </c>
      <c r="I1222" s="47" t="s">
        <v>5290</v>
      </c>
      <c r="J1222" s="47" t="e">
        <f>VLOOKUP(Table2[[#This Row], [Author]],People!A:B,2,0)</f>
        <v>#N/A</v>
      </c>
      <c r="K1222" s="47"/>
      <c r="L1222" s="47"/>
      <c r="M1222" s="49" t="s">
        <v>1613</v>
      </c>
    </row>
    <row r="1223" spans="1:13">
      <c r="A1223" s="48">
        <f t="shared" si="19"/>
        <v>1222</v>
      </c>
      <c r="B1223" s="47" t="s">
        <v>4</v>
      </c>
      <c r="C1223" s="47" t="s">
        <v>7157</v>
      </c>
      <c r="D1223" s="47" t="s">
        <v>7306</v>
      </c>
      <c r="E1223" s="47" t="s">
        <v>6883</v>
      </c>
      <c r="F1223" s="47" t="s">
        <v>7300</v>
      </c>
      <c r="G1223" s="47" t="s">
        <v>14</v>
      </c>
      <c r="H1223" s="47" t="s">
        <v>86</v>
      </c>
      <c r="I1223" s="47" t="s">
        <v>5290</v>
      </c>
      <c r="J1223" s="47" t="e">
        <f>VLOOKUP(Table2[[#This Row], [Author]],People!A:B,2,0)</f>
        <v>#N/A</v>
      </c>
      <c r="K1223" s="47"/>
      <c r="L1223" s="47"/>
      <c r="M1223" s="49" t="s">
        <v>1613</v>
      </c>
    </row>
    <row r="1224" spans="1:13">
      <c r="A1224" s="48">
        <f t="shared" si="19"/>
        <v>1223</v>
      </c>
      <c r="B1224" s="47" t="s">
        <v>4</v>
      </c>
      <c r="C1224" s="47" t="s">
        <v>7157</v>
      </c>
      <c r="D1224" s="47" t="s">
        <v>7307</v>
      </c>
      <c r="E1224" s="47" t="s">
        <v>6884</v>
      </c>
      <c r="F1224" s="47" t="s">
        <v>7306</v>
      </c>
      <c r="G1224" s="47" t="s">
        <v>14</v>
      </c>
      <c r="H1224" s="47" t="s">
        <v>86</v>
      </c>
      <c r="I1224" s="47" t="s">
        <v>5290</v>
      </c>
      <c r="J1224" s="47" t="e">
        <f>VLOOKUP(Table2[[#This Row], [Author]],People!A:B,2,0)</f>
        <v>#N/A</v>
      </c>
      <c r="K1224" s="47"/>
      <c r="L1224" s="47"/>
      <c r="M1224" s="49" t="s">
        <v>1613</v>
      </c>
    </row>
    <row r="1225" spans="1:13">
      <c r="A1225" s="48">
        <f t="shared" si="19"/>
        <v>1224</v>
      </c>
      <c r="B1225" s="47" t="s">
        <v>4</v>
      </c>
      <c r="C1225" s="47" t="s">
        <v>7157</v>
      </c>
      <c r="D1225" s="47" t="s">
        <v>7308</v>
      </c>
      <c r="E1225" s="47" t="s">
        <v>6885</v>
      </c>
      <c r="F1225" s="47" t="s">
        <v>7306</v>
      </c>
      <c r="G1225" s="47" t="s">
        <v>14</v>
      </c>
      <c r="H1225" s="47" t="s">
        <v>86</v>
      </c>
      <c r="I1225" s="47" t="s">
        <v>5290</v>
      </c>
      <c r="J1225" s="47" t="e">
        <f>VLOOKUP(Table2[[#This Row], [Author]],People!A:B,2,0)</f>
        <v>#N/A</v>
      </c>
      <c r="K1225" s="47"/>
      <c r="L1225" s="47"/>
      <c r="M1225" s="49" t="s">
        <v>1613</v>
      </c>
    </row>
    <row r="1226" spans="1:13">
      <c r="A1226" s="48">
        <f t="shared" si="19"/>
        <v>1225</v>
      </c>
      <c r="B1226" s="47" t="s">
        <v>4</v>
      </c>
      <c r="C1226" s="47" t="s">
        <v>7157</v>
      </c>
      <c r="D1226" s="47" t="s">
        <v>7309</v>
      </c>
      <c r="E1226" s="47" t="s">
        <v>6886</v>
      </c>
      <c r="F1226" s="47" t="s">
        <v>7306</v>
      </c>
      <c r="G1226" s="47" t="s">
        <v>14</v>
      </c>
      <c r="H1226" s="47" t="s">
        <v>86</v>
      </c>
      <c r="I1226" s="47" t="s">
        <v>5290</v>
      </c>
      <c r="J1226" s="47" t="e">
        <f>VLOOKUP(Table2[[#This Row], [Author]],People!A:B,2,0)</f>
        <v>#N/A</v>
      </c>
      <c r="K1226" s="47"/>
      <c r="L1226" s="47"/>
      <c r="M1226" s="49" t="s">
        <v>1613</v>
      </c>
    </row>
    <row r="1227" spans="1:13">
      <c r="A1227" s="48">
        <f t="shared" si="19"/>
        <v>1226</v>
      </c>
      <c r="B1227" s="47" t="s">
        <v>4</v>
      </c>
      <c r="C1227" s="47" t="s">
        <v>7157</v>
      </c>
      <c r="D1227" s="47" t="s">
        <v>7310</v>
      </c>
      <c r="E1227" s="47" t="s">
        <v>6887</v>
      </c>
      <c r="F1227" s="47" t="s">
        <v>7306</v>
      </c>
      <c r="G1227" s="47" t="s">
        <v>14</v>
      </c>
      <c r="H1227" s="47" t="s">
        <v>86</v>
      </c>
      <c r="I1227" s="47" t="s">
        <v>5290</v>
      </c>
      <c r="J1227" s="47" t="e">
        <f>VLOOKUP(Table2[[#This Row], [Author]],People!A:B,2,0)</f>
        <v>#N/A</v>
      </c>
      <c r="K1227" s="47"/>
      <c r="L1227" s="47"/>
      <c r="M1227" s="49" t="s">
        <v>1613</v>
      </c>
    </row>
    <row r="1228" spans="1:13">
      <c r="A1228" s="48">
        <f t="shared" si="19"/>
        <v>1227</v>
      </c>
      <c r="B1228" s="47" t="s">
        <v>4</v>
      </c>
      <c r="C1228" s="47" t="s">
        <v>7157</v>
      </c>
      <c r="D1228" s="47" t="s">
        <v>7311</v>
      </c>
      <c r="E1228" s="47" t="s">
        <v>6888</v>
      </c>
      <c r="F1228" s="47" t="s">
        <v>7306</v>
      </c>
      <c r="G1228" s="47" t="s">
        <v>14</v>
      </c>
      <c r="H1228" s="47" t="s">
        <v>86</v>
      </c>
      <c r="I1228" s="47" t="s">
        <v>5290</v>
      </c>
      <c r="J1228" s="47" t="e">
        <f>VLOOKUP(Table2[[#This Row], [Author]],People!A:B,2,0)</f>
        <v>#N/A</v>
      </c>
      <c r="K1228" s="47"/>
      <c r="L1228" s="47"/>
      <c r="M1228" s="49" t="s">
        <v>1613</v>
      </c>
    </row>
    <row r="1229" spans="1:13">
      <c r="A1229" s="48">
        <f t="shared" si="19"/>
        <v>1228</v>
      </c>
      <c r="B1229" s="47" t="s">
        <v>4</v>
      </c>
      <c r="C1229" s="47" t="s">
        <v>7157</v>
      </c>
      <c r="D1229" s="47" t="s">
        <v>7312</v>
      </c>
      <c r="E1229" s="47" t="s">
        <v>6889</v>
      </c>
      <c r="F1229" s="47" t="s">
        <v>6683</v>
      </c>
      <c r="G1229" s="47" t="s">
        <v>14</v>
      </c>
      <c r="H1229" s="47" t="s">
        <v>86</v>
      </c>
      <c r="I1229" s="47" t="s">
        <v>5290</v>
      </c>
      <c r="J1229" s="47" t="e">
        <f>VLOOKUP(Table2[[#This Row], [Author]],People!A:B,2,0)</f>
        <v>#N/A</v>
      </c>
      <c r="K1229" s="47"/>
      <c r="L1229" s="47"/>
      <c r="M1229" s="49" t="s">
        <v>1613</v>
      </c>
    </row>
    <row r="1230" spans="1:13">
      <c r="A1230" s="48">
        <f t="shared" si="19"/>
        <v>1229</v>
      </c>
      <c r="B1230" s="47" t="s">
        <v>4</v>
      </c>
      <c r="C1230" s="47" t="s">
        <v>7157</v>
      </c>
      <c r="D1230" s="47" t="s">
        <v>7313</v>
      </c>
      <c r="E1230" s="47" t="s">
        <v>6890</v>
      </c>
      <c r="F1230" s="47" t="s">
        <v>7312</v>
      </c>
      <c r="G1230" s="47" t="s">
        <v>14</v>
      </c>
      <c r="H1230" s="47" t="s">
        <v>86</v>
      </c>
      <c r="I1230" s="47" t="s">
        <v>5290</v>
      </c>
      <c r="J1230" s="47" t="e">
        <f>VLOOKUP(Table2[[#This Row], [Author]],People!A:B,2,0)</f>
        <v>#N/A</v>
      </c>
      <c r="K1230" s="47"/>
      <c r="L1230" s="47"/>
      <c r="M1230" s="49" t="s">
        <v>1613</v>
      </c>
    </row>
    <row r="1231" spans="1:13">
      <c r="A1231" s="48">
        <f t="shared" si="19"/>
        <v>1230</v>
      </c>
      <c r="B1231" s="47" t="s">
        <v>4</v>
      </c>
      <c r="C1231" s="47" t="s">
        <v>7157</v>
      </c>
      <c r="D1231" s="47" t="s">
        <v>7314</v>
      </c>
      <c r="E1231" s="47" t="s">
        <v>6891</v>
      </c>
      <c r="F1231" s="47" t="s">
        <v>7312</v>
      </c>
      <c r="G1231" s="47" t="s">
        <v>14</v>
      </c>
      <c r="H1231" s="47" t="s">
        <v>86</v>
      </c>
      <c r="I1231" s="47" t="s">
        <v>5290</v>
      </c>
      <c r="J1231" s="47" t="e">
        <f>VLOOKUP(Table2[[#This Row], [Author]],People!A:B,2,0)</f>
        <v>#N/A</v>
      </c>
      <c r="K1231" s="47"/>
      <c r="L1231" s="47"/>
      <c r="M1231" s="49" t="s">
        <v>1613</v>
      </c>
    </row>
    <row r="1232" spans="1:13">
      <c r="A1232" s="48">
        <f t="shared" si="19"/>
        <v>1231</v>
      </c>
      <c r="B1232" s="47" t="s">
        <v>4</v>
      </c>
      <c r="C1232" s="47" t="s">
        <v>7157</v>
      </c>
      <c r="D1232" s="47" t="s">
        <v>7315</v>
      </c>
      <c r="E1232" s="47" t="s">
        <v>6892</v>
      </c>
      <c r="F1232" s="47" t="s">
        <v>7314</v>
      </c>
      <c r="G1232" s="47" t="s">
        <v>14</v>
      </c>
      <c r="H1232" s="47" t="s">
        <v>86</v>
      </c>
      <c r="I1232" s="47" t="s">
        <v>5290</v>
      </c>
      <c r="J1232" s="47" t="e">
        <f>VLOOKUP(Table2[[#This Row], [Author]],People!A:B,2,0)</f>
        <v>#N/A</v>
      </c>
      <c r="K1232" s="47"/>
      <c r="L1232" s="47"/>
      <c r="M1232" s="49" t="s">
        <v>1613</v>
      </c>
    </row>
    <row r="1233" spans="1:13">
      <c r="A1233" s="48">
        <f t="shared" si="19"/>
        <v>1232</v>
      </c>
      <c r="B1233" s="47" t="s">
        <v>4</v>
      </c>
      <c r="C1233" s="47" t="s">
        <v>7157</v>
      </c>
      <c r="D1233" s="47" t="s">
        <v>7316</v>
      </c>
      <c r="E1233" s="47" t="s">
        <v>6893</v>
      </c>
      <c r="F1233" s="47" t="s">
        <v>7314</v>
      </c>
      <c r="G1233" s="47" t="s">
        <v>14</v>
      </c>
      <c r="H1233" s="47" t="s">
        <v>86</v>
      </c>
      <c r="I1233" s="47" t="s">
        <v>5290</v>
      </c>
      <c r="J1233" s="47" t="e">
        <f>VLOOKUP(Table2[[#This Row], [Author]],People!A:B,2,0)</f>
        <v>#N/A</v>
      </c>
      <c r="K1233" s="47"/>
      <c r="L1233" s="47"/>
      <c r="M1233" s="49" t="s">
        <v>1613</v>
      </c>
    </row>
    <row r="1234" spans="1:13">
      <c r="A1234" s="48">
        <f t="shared" si="19"/>
        <v>1233</v>
      </c>
      <c r="B1234" s="47" t="s">
        <v>4</v>
      </c>
      <c r="C1234" s="47" t="s">
        <v>7157</v>
      </c>
      <c r="D1234" s="47" t="s">
        <v>7317</v>
      </c>
      <c r="E1234" s="47" t="s">
        <v>6894</v>
      </c>
      <c r="F1234" s="47" t="s">
        <v>7312</v>
      </c>
      <c r="G1234" s="47" t="s">
        <v>14</v>
      </c>
      <c r="H1234" s="47" t="s">
        <v>86</v>
      </c>
      <c r="I1234" s="47" t="s">
        <v>5290</v>
      </c>
      <c r="J1234" s="47" t="e">
        <f>VLOOKUP(Table2[[#This Row], [Author]],People!A:B,2,0)</f>
        <v>#N/A</v>
      </c>
      <c r="K1234" s="47"/>
      <c r="L1234" s="47"/>
      <c r="M1234" s="49" t="s">
        <v>1613</v>
      </c>
    </row>
    <row r="1235" spans="1:13">
      <c r="A1235" s="48">
        <f t="shared" si="19"/>
        <v>1234</v>
      </c>
      <c r="B1235" s="47" t="s">
        <v>4</v>
      </c>
      <c r="C1235" s="47" t="s">
        <v>7157</v>
      </c>
      <c r="D1235" s="47" t="s">
        <v>7318</v>
      </c>
      <c r="E1235" s="47" t="s">
        <v>6895</v>
      </c>
      <c r="F1235" s="47" t="s">
        <v>7317</v>
      </c>
      <c r="G1235" s="47" t="s">
        <v>14</v>
      </c>
      <c r="H1235" s="47" t="s">
        <v>86</v>
      </c>
      <c r="I1235" s="47" t="s">
        <v>5290</v>
      </c>
      <c r="J1235" s="47" t="e">
        <f>VLOOKUP(Table2[[#This Row], [Author]],People!A:B,2,0)</f>
        <v>#N/A</v>
      </c>
      <c r="K1235" s="47"/>
      <c r="L1235" s="47"/>
      <c r="M1235" s="49" t="s">
        <v>1613</v>
      </c>
    </row>
    <row r="1236" spans="1:13">
      <c r="A1236" s="48">
        <f t="shared" si="19"/>
        <v>1235</v>
      </c>
      <c r="B1236" s="47" t="s">
        <v>4</v>
      </c>
      <c r="C1236" s="47" t="s">
        <v>7157</v>
      </c>
      <c r="D1236" s="47" t="s">
        <v>7319</v>
      </c>
      <c r="E1236" s="47" t="s">
        <v>6896</v>
      </c>
      <c r="F1236" s="47" t="s">
        <v>7317</v>
      </c>
      <c r="G1236" s="47" t="s">
        <v>14</v>
      </c>
      <c r="H1236" s="47" t="s">
        <v>86</v>
      </c>
      <c r="I1236" s="47" t="s">
        <v>5290</v>
      </c>
      <c r="J1236" s="47" t="e">
        <f>VLOOKUP(Table2[[#This Row], [Author]],People!A:B,2,0)</f>
        <v>#N/A</v>
      </c>
      <c r="K1236" s="47"/>
      <c r="L1236" s="47"/>
      <c r="M1236" s="49" t="s">
        <v>1613</v>
      </c>
    </row>
    <row r="1237" spans="1:13">
      <c r="A1237" s="48">
        <f t="shared" si="19"/>
        <v>1236</v>
      </c>
      <c r="B1237" s="47" t="s">
        <v>4</v>
      </c>
      <c r="C1237" s="47" t="s">
        <v>7157</v>
      </c>
      <c r="D1237" s="47" t="s">
        <v>7320</v>
      </c>
      <c r="E1237" s="47" t="s">
        <v>6897</v>
      </c>
      <c r="F1237" s="47" t="s">
        <v>6682</v>
      </c>
      <c r="G1237" s="47" t="s">
        <v>14</v>
      </c>
      <c r="H1237" s="47" t="s">
        <v>86</v>
      </c>
      <c r="I1237" s="47" t="s">
        <v>5290</v>
      </c>
      <c r="J1237" s="47" t="e">
        <f>VLOOKUP(Table2[[#This Row], [Author]],People!A:B,2,0)</f>
        <v>#N/A</v>
      </c>
      <c r="K1237" s="47"/>
      <c r="L1237" s="47"/>
      <c r="M1237" s="49" t="s">
        <v>1613</v>
      </c>
    </row>
    <row r="1238" spans="1:13">
      <c r="A1238" s="48">
        <f t="shared" si="19"/>
        <v>1237</v>
      </c>
      <c r="B1238" s="47" t="s">
        <v>4</v>
      </c>
      <c r="C1238" s="47" t="s">
        <v>7157</v>
      </c>
      <c r="D1238" s="47" t="s">
        <v>7321</v>
      </c>
      <c r="E1238" s="47" t="s">
        <v>6898</v>
      </c>
      <c r="F1238" s="47" t="s">
        <v>7320</v>
      </c>
      <c r="G1238" s="47" t="s">
        <v>14</v>
      </c>
      <c r="H1238" s="47" t="s">
        <v>86</v>
      </c>
      <c r="I1238" s="47" t="s">
        <v>5290</v>
      </c>
      <c r="J1238" s="47" t="e">
        <f>VLOOKUP(Table2[[#This Row], [Author]],People!A:B,2,0)</f>
        <v>#N/A</v>
      </c>
      <c r="K1238" s="47"/>
      <c r="L1238" s="47"/>
      <c r="M1238" s="49" t="s">
        <v>1613</v>
      </c>
    </row>
    <row r="1239" spans="1:13">
      <c r="A1239" s="48">
        <f t="shared" si="19"/>
        <v>1238</v>
      </c>
      <c r="B1239" s="47" t="s">
        <v>4</v>
      </c>
      <c r="C1239" s="47" t="s">
        <v>7157</v>
      </c>
      <c r="D1239" s="47" t="s">
        <v>7322</v>
      </c>
      <c r="E1239" s="47" t="s">
        <v>6899</v>
      </c>
      <c r="F1239" s="47" t="s">
        <v>7320</v>
      </c>
      <c r="G1239" s="47" t="s">
        <v>14</v>
      </c>
      <c r="H1239" s="47" t="s">
        <v>86</v>
      </c>
      <c r="I1239" s="47" t="s">
        <v>5290</v>
      </c>
      <c r="J1239" s="47" t="e">
        <f>VLOOKUP(Table2[[#This Row], [Author]],People!A:B,2,0)</f>
        <v>#N/A</v>
      </c>
      <c r="K1239" s="47"/>
      <c r="L1239" s="47"/>
      <c r="M1239" s="49" t="s">
        <v>1613</v>
      </c>
    </row>
    <row r="1240" spans="1:13">
      <c r="A1240" s="48">
        <f t="shared" si="19"/>
        <v>1239</v>
      </c>
      <c r="B1240" s="47" t="s">
        <v>4</v>
      </c>
      <c r="C1240" s="47" t="s">
        <v>7157</v>
      </c>
      <c r="D1240" s="47" t="s">
        <v>7323</v>
      </c>
      <c r="E1240" s="47" t="s">
        <v>6900</v>
      </c>
      <c r="F1240" s="47" t="s">
        <v>7320</v>
      </c>
      <c r="G1240" s="47" t="s">
        <v>14</v>
      </c>
      <c r="H1240" s="47" t="s">
        <v>86</v>
      </c>
      <c r="I1240" s="47" t="s">
        <v>5290</v>
      </c>
      <c r="J1240" s="47" t="e">
        <f>VLOOKUP(Table2[[#This Row], [Author]],People!A:B,2,0)</f>
        <v>#N/A</v>
      </c>
      <c r="K1240" s="47"/>
      <c r="L1240" s="47"/>
      <c r="M1240" s="49" t="s">
        <v>1613</v>
      </c>
    </row>
    <row r="1241" spans="1:13">
      <c r="A1241" s="48">
        <f t="shared" si="19"/>
        <v>1240</v>
      </c>
      <c r="B1241" s="47" t="s">
        <v>4</v>
      </c>
      <c r="C1241" s="47" t="s">
        <v>7157</v>
      </c>
      <c r="D1241" s="47" t="s">
        <v>7324</v>
      </c>
      <c r="E1241" s="47" t="s">
        <v>6901</v>
      </c>
      <c r="F1241" s="47" t="s">
        <v>7323</v>
      </c>
      <c r="G1241" s="47" t="s">
        <v>14</v>
      </c>
      <c r="H1241" s="47" t="s">
        <v>86</v>
      </c>
      <c r="I1241" s="47" t="s">
        <v>5290</v>
      </c>
      <c r="J1241" s="47" t="e">
        <f>VLOOKUP(Table2[[#This Row], [Author]],People!A:B,2,0)</f>
        <v>#N/A</v>
      </c>
      <c r="K1241" s="47"/>
      <c r="L1241" s="47"/>
      <c r="M1241" s="49" t="s">
        <v>1613</v>
      </c>
    </row>
    <row r="1242" spans="1:13">
      <c r="A1242" s="48">
        <f t="shared" si="19"/>
        <v>1241</v>
      </c>
      <c r="B1242" s="47" t="s">
        <v>4</v>
      </c>
      <c r="C1242" s="47" t="s">
        <v>7157</v>
      </c>
      <c r="D1242" s="47" t="s">
        <v>7325</v>
      </c>
      <c r="E1242" s="47" t="s">
        <v>6902</v>
      </c>
      <c r="F1242" s="47" t="s">
        <v>7323</v>
      </c>
      <c r="G1242" s="47" t="s">
        <v>14</v>
      </c>
      <c r="H1242" s="47" t="s">
        <v>86</v>
      </c>
      <c r="I1242" s="47" t="s">
        <v>5290</v>
      </c>
      <c r="J1242" s="47" t="e">
        <f>VLOOKUP(Table2[[#This Row], [Author]],People!A:B,2,0)</f>
        <v>#N/A</v>
      </c>
      <c r="K1242" s="47"/>
      <c r="L1242" s="47"/>
      <c r="M1242" s="49" t="s">
        <v>1613</v>
      </c>
    </row>
    <row r="1243" spans="1:13">
      <c r="A1243" s="48">
        <f t="shared" si="19"/>
        <v>1242</v>
      </c>
      <c r="B1243" s="47" t="s">
        <v>4</v>
      </c>
      <c r="C1243" s="47" t="s">
        <v>7157</v>
      </c>
      <c r="D1243" s="47" t="s">
        <v>7326</v>
      </c>
      <c r="E1243" s="47" t="s">
        <v>6903</v>
      </c>
      <c r="F1243" s="47" t="s">
        <v>7320</v>
      </c>
      <c r="G1243" s="47" t="s">
        <v>14</v>
      </c>
      <c r="H1243" s="47" t="s">
        <v>86</v>
      </c>
      <c r="I1243" s="47" t="s">
        <v>5290</v>
      </c>
      <c r="J1243" s="47" t="e">
        <f>VLOOKUP(Table2[[#This Row], [Author]],People!A:B,2,0)</f>
        <v>#N/A</v>
      </c>
      <c r="K1243" s="47"/>
      <c r="L1243" s="47"/>
      <c r="M1243" s="49" t="s">
        <v>1613</v>
      </c>
    </row>
    <row r="1244" spans="1:13">
      <c r="A1244" s="48">
        <f t="shared" si="19"/>
        <v>1243</v>
      </c>
      <c r="B1244" s="47" t="s">
        <v>4</v>
      </c>
      <c r="C1244" s="47" t="s">
        <v>7157</v>
      </c>
      <c r="D1244" s="47" t="s">
        <v>7327</v>
      </c>
      <c r="E1244" s="47" t="s">
        <v>6904</v>
      </c>
      <c r="F1244" s="47" t="s">
        <v>7326</v>
      </c>
      <c r="G1244" s="47" t="s">
        <v>14</v>
      </c>
      <c r="H1244" s="47" t="s">
        <v>86</v>
      </c>
      <c r="I1244" s="47" t="s">
        <v>5290</v>
      </c>
      <c r="J1244" s="47" t="e">
        <f>VLOOKUP(Table2[[#This Row], [Author]],People!A:B,2,0)</f>
        <v>#N/A</v>
      </c>
      <c r="K1244" s="47"/>
      <c r="L1244" s="47"/>
      <c r="M1244" s="49" t="s">
        <v>1613</v>
      </c>
    </row>
    <row r="1245" spans="1:13">
      <c r="A1245" s="48">
        <f t="shared" si="19"/>
        <v>1244</v>
      </c>
      <c r="B1245" s="47" t="s">
        <v>4</v>
      </c>
      <c r="C1245" s="47" t="s">
        <v>7157</v>
      </c>
      <c r="D1245" s="47" t="s">
        <v>7328</v>
      </c>
      <c r="E1245" s="47" t="s">
        <v>6905</v>
      </c>
      <c r="F1245" s="47" t="s">
        <v>7326</v>
      </c>
      <c r="G1245" s="47" t="s">
        <v>14</v>
      </c>
      <c r="H1245" s="47" t="s">
        <v>86</v>
      </c>
      <c r="I1245" s="47" t="s">
        <v>5290</v>
      </c>
      <c r="J1245" s="47" t="e">
        <f>VLOOKUP(Table2[[#This Row], [Author]],People!A:B,2,0)</f>
        <v>#N/A</v>
      </c>
      <c r="K1245" s="47"/>
      <c r="L1245" s="47"/>
      <c r="M1245" s="49" t="s">
        <v>1613</v>
      </c>
    </row>
    <row r="1246" spans="1:13">
      <c r="A1246" s="48">
        <f t="shared" si="19"/>
        <v>1245</v>
      </c>
      <c r="B1246" s="47" t="s">
        <v>4</v>
      </c>
      <c r="C1246" s="47" t="s">
        <v>7157</v>
      </c>
      <c r="D1246" s="47" t="s">
        <v>7329</v>
      </c>
      <c r="E1246" s="47" t="s">
        <v>6906</v>
      </c>
      <c r="F1246" s="47" t="s">
        <v>7326</v>
      </c>
      <c r="G1246" s="47" t="s">
        <v>14</v>
      </c>
      <c r="H1246" s="47" t="s">
        <v>86</v>
      </c>
      <c r="I1246" s="47" t="s">
        <v>5290</v>
      </c>
      <c r="J1246" s="47" t="e">
        <f>VLOOKUP(Table2[[#This Row], [Author]],People!A:B,2,0)</f>
        <v>#N/A</v>
      </c>
      <c r="K1246" s="47"/>
      <c r="L1246" s="47"/>
      <c r="M1246" s="49" t="s">
        <v>1613</v>
      </c>
    </row>
    <row r="1247" spans="1:13">
      <c r="A1247" s="48">
        <f t="shared" si="19"/>
        <v>1246</v>
      </c>
      <c r="B1247" s="47" t="s">
        <v>4</v>
      </c>
      <c r="C1247" s="47" t="s">
        <v>7157</v>
      </c>
      <c r="D1247" s="47" t="s">
        <v>7330</v>
      </c>
      <c r="E1247" s="47" t="s">
        <v>6907</v>
      </c>
      <c r="F1247" s="47" t="s">
        <v>7326</v>
      </c>
      <c r="G1247" s="47" t="s">
        <v>14</v>
      </c>
      <c r="H1247" s="47" t="s">
        <v>86</v>
      </c>
      <c r="I1247" s="47" t="s">
        <v>5290</v>
      </c>
      <c r="J1247" s="47" t="e">
        <f>VLOOKUP(Table2[[#This Row], [Author]],People!A:B,2,0)</f>
        <v>#N/A</v>
      </c>
      <c r="K1247" s="47"/>
      <c r="L1247" s="47"/>
      <c r="M1247" s="49" t="s">
        <v>1613</v>
      </c>
    </row>
    <row r="1248" spans="1:13">
      <c r="A1248" s="48">
        <f t="shared" si="19"/>
        <v>1247</v>
      </c>
      <c r="B1248" s="47" t="s">
        <v>4</v>
      </c>
      <c r="C1248" s="47" t="s">
        <v>7157</v>
      </c>
      <c r="D1248" s="47" t="s">
        <v>7331</v>
      </c>
      <c r="E1248" s="47" t="s">
        <v>6908</v>
      </c>
      <c r="F1248" s="47" t="s">
        <v>7326</v>
      </c>
      <c r="G1248" s="47" t="s">
        <v>14</v>
      </c>
      <c r="H1248" s="47" t="s">
        <v>86</v>
      </c>
      <c r="I1248" s="47" t="s">
        <v>5290</v>
      </c>
      <c r="J1248" s="47" t="e">
        <f>VLOOKUP(Table2[[#This Row], [Author]],People!A:B,2,0)</f>
        <v>#N/A</v>
      </c>
      <c r="K1248" s="47"/>
      <c r="L1248" s="47"/>
      <c r="M1248" s="49" t="s">
        <v>1613</v>
      </c>
    </row>
    <row r="1249" spans="1:13">
      <c r="A1249" s="48">
        <f t="shared" si="19"/>
        <v>1248</v>
      </c>
      <c r="B1249" s="47" t="s">
        <v>4</v>
      </c>
      <c r="C1249" s="47" t="s">
        <v>7157</v>
      </c>
      <c r="D1249" s="47" t="s">
        <v>7332</v>
      </c>
      <c r="E1249" s="47" t="s">
        <v>6909</v>
      </c>
      <c r="F1249" s="47" t="s">
        <v>6683</v>
      </c>
      <c r="G1249" s="47" t="s">
        <v>14</v>
      </c>
      <c r="H1249" s="47" t="s">
        <v>86</v>
      </c>
      <c r="I1249" s="47" t="s">
        <v>5290</v>
      </c>
      <c r="J1249" s="47" t="e">
        <f>VLOOKUP(Table2[[#This Row], [Author]],People!A:B,2,0)</f>
        <v>#N/A</v>
      </c>
      <c r="K1249" s="47"/>
      <c r="L1249" s="47"/>
      <c r="M1249" s="49" t="s">
        <v>1613</v>
      </c>
    </row>
    <row r="1250" spans="1:13">
      <c r="A1250" s="48">
        <f t="shared" si="19"/>
        <v>1249</v>
      </c>
      <c r="B1250" s="47" t="s">
        <v>4</v>
      </c>
      <c r="C1250" s="47" t="s">
        <v>7157</v>
      </c>
      <c r="D1250" s="47" t="s">
        <v>7333</v>
      </c>
      <c r="E1250" s="47" t="s">
        <v>6910</v>
      </c>
      <c r="F1250" s="47" t="s">
        <v>7332</v>
      </c>
      <c r="G1250" s="47" t="s">
        <v>14</v>
      </c>
      <c r="H1250" s="47" t="s">
        <v>86</v>
      </c>
      <c r="I1250" s="47" t="s">
        <v>5290</v>
      </c>
      <c r="J1250" s="47" t="e">
        <f>VLOOKUP(Table2[[#This Row], [Author]],People!A:B,2,0)</f>
        <v>#N/A</v>
      </c>
      <c r="K1250" s="47"/>
      <c r="L1250" s="47"/>
      <c r="M1250" s="49" t="s">
        <v>1613</v>
      </c>
    </row>
    <row r="1251" spans="1:13">
      <c r="A1251" s="48">
        <f t="shared" si="19"/>
        <v>1250</v>
      </c>
      <c r="B1251" s="47" t="s">
        <v>4</v>
      </c>
      <c r="C1251" s="47" t="s">
        <v>7157</v>
      </c>
      <c r="D1251" s="47" t="s">
        <v>7334</v>
      </c>
      <c r="E1251" s="47" t="s">
        <v>6911</v>
      </c>
      <c r="F1251" s="47" t="s">
        <v>7332</v>
      </c>
      <c r="G1251" s="47" t="s">
        <v>14</v>
      </c>
      <c r="H1251" s="47" t="s">
        <v>86</v>
      </c>
      <c r="I1251" s="47" t="s">
        <v>5290</v>
      </c>
      <c r="J1251" s="47" t="e">
        <f>VLOOKUP(Table2[[#This Row], [Author]],People!A:B,2,0)</f>
        <v>#N/A</v>
      </c>
      <c r="K1251" s="47"/>
      <c r="L1251" s="47"/>
      <c r="M1251" s="49" t="s">
        <v>1613</v>
      </c>
    </row>
    <row r="1252" spans="1:13">
      <c r="A1252" s="48">
        <f t="shared" si="19"/>
        <v>1251</v>
      </c>
      <c r="B1252" s="47" t="s">
        <v>4</v>
      </c>
      <c r="C1252" s="47" t="s">
        <v>7157</v>
      </c>
      <c r="D1252" s="47" t="s">
        <v>7335</v>
      </c>
      <c r="E1252" s="47" t="s">
        <v>6912</v>
      </c>
      <c r="F1252" s="47" t="s">
        <v>7334</v>
      </c>
      <c r="G1252" s="47" t="s">
        <v>14</v>
      </c>
      <c r="H1252" s="47" t="s">
        <v>86</v>
      </c>
      <c r="I1252" s="47" t="s">
        <v>5290</v>
      </c>
      <c r="J1252" s="47" t="e">
        <f>VLOOKUP(Table2[[#This Row], [Author]],People!A:B,2,0)</f>
        <v>#N/A</v>
      </c>
      <c r="K1252" s="47"/>
      <c r="L1252" s="47"/>
      <c r="M1252" s="49" t="s">
        <v>1613</v>
      </c>
    </row>
    <row r="1253" spans="1:13">
      <c r="A1253" s="48">
        <f t="shared" si="19"/>
        <v>1252</v>
      </c>
      <c r="B1253" s="47" t="s">
        <v>4</v>
      </c>
      <c r="C1253" s="47" t="s">
        <v>7157</v>
      </c>
      <c r="D1253" s="47" t="s">
        <v>7336</v>
      </c>
      <c r="E1253" s="47" t="s">
        <v>6913</v>
      </c>
      <c r="F1253" s="47" t="s">
        <v>7334</v>
      </c>
      <c r="G1253" s="47" t="s">
        <v>14</v>
      </c>
      <c r="H1253" s="47" t="s">
        <v>86</v>
      </c>
      <c r="I1253" s="47" t="s">
        <v>5290</v>
      </c>
      <c r="J1253" s="47" t="e">
        <f>VLOOKUP(Table2[[#This Row], [Author]],People!A:B,2,0)</f>
        <v>#N/A</v>
      </c>
      <c r="K1253" s="47"/>
      <c r="L1253" s="47"/>
      <c r="M1253" s="49" t="s">
        <v>1613</v>
      </c>
    </row>
    <row r="1254" spans="1:13">
      <c r="A1254" s="48">
        <f t="shared" si="19"/>
        <v>1253</v>
      </c>
      <c r="B1254" s="47" t="s">
        <v>4</v>
      </c>
      <c r="C1254" s="47" t="s">
        <v>7157</v>
      </c>
      <c r="D1254" s="47" t="s">
        <v>7337</v>
      </c>
      <c r="E1254" s="47" t="s">
        <v>6914</v>
      </c>
      <c r="F1254" s="47" t="s">
        <v>7332</v>
      </c>
      <c r="G1254" s="47" t="s">
        <v>14</v>
      </c>
      <c r="H1254" s="47" t="s">
        <v>86</v>
      </c>
      <c r="I1254" s="47" t="s">
        <v>5290</v>
      </c>
      <c r="J1254" s="47" t="e">
        <f>VLOOKUP(Table2[[#This Row], [Author]],People!A:B,2,0)</f>
        <v>#N/A</v>
      </c>
      <c r="K1254" s="47"/>
      <c r="L1254" s="47"/>
      <c r="M1254" s="49" t="s">
        <v>1613</v>
      </c>
    </row>
    <row r="1255" spans="1:13">
      <c r="A1255" s="48">
        <f t="shared" si="19"/>
        <v>1254</v>
      </c>
      <c r="B1255" s="47" t="s">
        <v>4</v>
      </c>
      <c r="C1255" s="47" t="s">
        <v>7157</v>
      </c>
      <c r="D1255" s="47" t="s">
        <v>7338</v>
      </c>
      <c r="E1255" s="47" t="s">
        <v>6915</v>
      </c>
      <c r="F1255" s="47" t="s">
        <v>7337</v>
      </c>
      <c r="G1255" s="47" t="s">
        <v>14</v>
      </c>
      <c r="H1255" s="47" t="s">
        <v>86</v>
      </c>
      <c r="I1255" s="47" t="s">
        <v>5290</v>
      </c>
      <c r="J1255" s="47" t="e">
        <f>VLOOKUP(Table2[[#This Row], [Author]],People!A:B,2,0)</f>
        <v>#N/A</v>
      </c>
      <c r="K1255" s="47"/>
      <c r="L1255" s="47"/>
      <c r="M1255" s="49" t="s">
        <v>1613</v>
      </c>
    </row>
    <row r="1256" spans="1:13">
      <c r="A1256" s="48">
        <f t="shared" si="19"/>
        <v>1255</v>
      </c>
      <c r="B1256" s="47" t="s">
        <v>4</v>
      </c>
      <c r="C1256" s="47" t="s">
        <v>7157</v>
      </c>
      <c r="D1256" s="47" t="s">
        <v>7339</v>
      </c>
      <c r="E1256" s="47" t="s">
        <v>6916</v>
      </c>
      <c r="F1256" s="47" t="s">
        <v>7337</v>
      </c>
      <c r="G1256" s="47" t="s">
        <v>14</v>
      </c>
      <c r="H1256" s="47" t="s">
        <v>86</v>
      </c>
      <c r="I1256" s="47" t="s">
        <v>5290</v>
      </c>
      <c r="J1256" s="47" t="e">
        <f>VLOOKUP(Table2[[#This Row], [Author]],People!A:B,2,0)</f>
        <v>#N/A</v>
      </c>
      <c r="K1256" s="47"/>
      <c r="L1256" s="47"/>
      <c r="M1256" s="49" t="s">
        <v>1613</v>
      </c>
    </row>
    <row r="1257" spans="1:13">
      <c r="A1257" s="48">
        <f t="shared" si="19"/>
        <v>1256</v>
      </c>
      <c r="B1257" s="47" t="s">
        <v>4</v>
      </c>
      <c r="C1257" s="47" t="s">
        <v>7157</v>
      </c>
      <c r="D1257" s="47" t="s">
        <v>7340</v>
      </c>
      <c r="E1257" s="47" t="s">
        <v>6917</v>
      </c>
      <c r="F1257" s="47" t="s">
        <v>6682</v>
      </c>
      <c r="G1257" s="47" t="s">
        <v>14</v>
      </c>
      <c r="H1257" s="47" t="s">
        <v>86</v>
      </c>
      <c r="I1257" s="47" t="s">
        <v>5290</v>
      </c>
      <c r="J1257" s="47" t="e">
        <f>VLOOKUP(Table2[[#This Row], [Author]],People!A:B,2,0)</f>
        <v>#N/A</v>
      </c>
      <c r="K1257" s="47"/>
      <c r="L1257" s="47"/>
      <c r="M1257" s="49" t="s">
        <v>1613</v>
      </c>
    </row>
    <row r="1258" spans="1:13">
      <c r="A1258" s="48">
        <f t="shared" si="19"/>
        <v>1257</v>
      </c>
      <c r="B1258" s="47" t="s">
        <v>4</v>
      </c>
      <c r="C1258" s="47" t="s">
        <v>7157</v>
      </c>
      <c r="D1258" s="47" t="s">
        <v>7341</v>
      </c>
      <c r="E1258" s="47" t="s">
        <v>6918</v>
      </c>
      <c r="F1258" s="47" t="s">
        <v>7340</v>
      </c>
      <c r="G1258" s="47" t="s">
        <v>14</v>
      </c>
      <c r="H1258" s="47" t="s">
        <v>86</v>
      </c>
      <c r="I1258" s="47" t="s">
        <v>5290</v>
      </c>
      <c r="J1258" s="47" t="e">
        <f>VLOOKUP(Table2[[#This Row], [Author]],People!A:B,2,0)</f>
        <v>#N/A</v>
      </c>
      <c r="K1258" s="47"/>
      <c r="L1258" s="47"/>
      <c r="M1258" s="49" t="s">
        <v>1613</v>
      </c>
    </row>
    <row r="1259" spans="1:13">
      <c r="A1259" s="48">
        <f t="shared" si="19"/>
        <v>1258</v>
      </c>
      <c r="B1259" s="47" t="s">
        <v>4</v>
      </c>
      <c r="C1259" s="47" t="s">
        <v>7157</v>
      </c>
      <c r="D1259" s="47" t="s">
        <v>7342</v>
      </c>
      <c r="E1259" s="47" t="s">
        <v>6919</v>
      </c>
      <c r="F1259" s="47" t="s">
        <v>7340</v>
      </c>
      <c r="G1259" s="47" t="s">
        <v>14</v>
      </c>
      <c r="H1259" s="47" t="s">
        <v>86</v>
      </c>
      <c r="I1259" s="47" t="s">
        <v>5290</v>
      </c>
      <c r="J1259" s="47" t="e">
        <f>VLOOKUP(Table2[[#This Row], [Author]],People!A:B,2,0)</f>
        <v>#N/A</v>
      </c>
      <c r="K1259" s="47"/>
      <c r="L1259" s="47"/>
      <c r="M1259" s="49" t="s">
        <v>1613</v>
      </c>
    </row>
    <row r="1260" spans="1:13">
      <c r="A1260" s="48">
        <f t="shared" si="19"/>
        <v>1259</v>
      </c>
      <c r="B1260" s="47" t="s">
        <v>4</v>
      </c>
      <c r="C1260" s="47" t="s">
        <v>7157</v>
      </c>
      <c r="D1260" s="47" t="s">
        <v>7343</v>
      </c>
      <c r="E1260" s="47" t="s">
        <v>6920</v>
      </c>
      <c r="F1260" s="47" t="s">
        <v>7340</v>
      </c>
      <c r="G1260" s="47" t="s">
        <v>14</v>
      </c>
      <c r="H1260" s="47" t="s">
        <v>86</v>
      </c>
      <c r="I1260" s="47" t="s">
        <v>5290</v>
      </c>
      <c r="J1260" s="47" t="e">
        <f>VLOOKUP(Table2[[#This Row], [Author]],People!A:B,2,0)</f>
        <v>#N/A</v>
      </c>
      <c r="K1260" s="47"/>
      <c r="L1260" s="47"/>
      <c r="M1260" s="49" t="s">
        <v>1613</v>
      </c>
    </row>
    <row r="1261" spans="1:13">
      <c r="A1261" s="48">
        <f t="shared" si="19"/>
        <v>1260</v>
      </c>
      <c r="B1261" s="47" t="s">
        <v>4</v>
      </c>
      <c r="C1261" s="47" t="s">
        <v>7157</v>
      </c>
      <c r="D1261" s="47" t="s">
        <v>7344</v>
      </c>
      <c r="E1261" s="47" t="s">
        <v>6921</v>
      </c>
      <c r="F1261" s="47" t="s">
        <v>7343</v>
      </c>
      <c r="G1261" s="47" t="s">
        <v>14</v>
      </c>
      <c r="H1261" s="47" t="s">
        <v>86</v>
      </c>
      <c r="I1261" s="47" t="s">
        <v>5290</v>
      </c>
      <c r="J1261" s="47" t="e">
        <f>VLOOKUP(Table2[[#This Row], [Author]],People!A:B,2,0)</f>
        <v>#N/A</v>
      </c>
      <c r="K1261" s="47"/>
      <c r="L1261" s="47"/>
      <c r="M1261" s="49" t="s">
        <v>1613</v>
      </c>
    </row>
    <row r="1262" spans="1:13">
      <c r="A1262" s="48">
        <f t="shared" si="19"/>
        <v>1261</v>
      </c>
      <c r="B1262" s="47" t="s">
        <v>4</v>
      </c>
      <c r="C1262" s="47" t="s">
        <v>7157</v>
      </c>
      <c r="D1262" s="47" t="s">
        <v>7345</v>
      </c>
      <c r="E1262" s="47" t="s">
        <v>6922</v>
      </c>
      <c r="F1262" s="47" t="s">
        <v>7343</v>
      </c>
      <c r="G1262" s="47" t="s">
        <v>14</v>
      </c>
      <c r="H1262" s="47" t="s">
        <v>86</v>
      </c>
      <c r="I1262" s="47" t="s">
        <v>5290</v>
      </c>
      <c r="J1262" s="47" t="e">
        <f>VLOOKUP(Table2[[#This Row], [Author]],People!A:B,2,0)</f>
        <v>#N/A</v>
      </c>
      <c r="K1262" s="47"/>
      <c r="L1262" s="47"/>
      <c r="M1262" s="49" t="s">
        <v>1613</v>
      </c>
    </row>
    <row r="1263" spans="1:13">
      <c r="A1263" s="48">
        <f t="shared" si="19"/>
        <v>1262</v>
      </c>
      <c r="B1263" s="47" t="s">
        <v>4</v>
      </c>
      <c r="C1263" s="47" t="s">
        <v>7157</v>
      </c>
      <c r="D1263" s="47" t="s">
        <v>7346</v>
      </c>
      <c r="E1263" s="47" t="s">
        <v>6923</v>
      </c>
      <c r="F1263" s="47" t="s">
        <v>7340</v>
      </c>
      <c r="G1263" s="47" t="s">
        <v>14</v>
      </c>
      <c r="H1263" s="47" t="s">
        <v>86</v>
      </c>
      <c r="I1263" s="47" t="s">
        <v>5290</v>
      </c>
      <c r="J1263" s="47" t="e">
        <f>VLOOKUP(Table2[[#This Row], [Author]],People!A:B,2,0)</f>
        <v>#N/A</v>
      </c>
      <c r="K1263" s="47"/>
      <c r="L1263" s="47"/>
      <c r="M1263" s="49" t="s">
        <v>1613</v>
      </c>
    </row>
    <row r="1264" spans="1:13">
      <c r="A1264" s="48">
        <f t="shared" si="19"/>
        <v>1263</v>
      </c>
      <c r="B1264" s="47" t="s">
        <v>4</v>
      </c>
      <c r="C1264" s="47" t="s">
        <v>7157</v>
      </c>
      <c r="D1264" s="47" t="s">
        <v>7347</v>
      </c>
      <c r="E1264" s="47" t="s">
        <v>6924</v>
      </c>
      <c r="F1264" s="47" t="s">
        <v>7346</v>
      </c>
      <c r="G1264" s="47" t="s">
        <v>14</v>
      </c>
      <c r="H1264" s="47" t="s">
        <v>86</v>
      </c>
      <c r="I1264" s="47" t="s">
        <v>5290</v>
      </c>
      <c r="J1264" s="47" t="e">
        <f>VLOOKUP(Table2[[#This Row], [Author]],People!A:B,2,0)</f>
        <v>#N/A</v>
      </c>
      <c r="K1264" s="47"/>
      <c r="L1264" s="47"/>
      <c r="M1264" s="49" t="s">
        <v>1613</v>
      </c>
    </row>
    <row r="1265" spans="1:13">
      <c r="A1265" s="48">
        <f t="shared" si="19"/>
        <v>1264</v>
      </c>
      <c r="B1265" s="47" t="s">
        <v>4</v>
      </c>
      <c r="C1265" s="47" t="s">
        <v>7157</v>
      </c>
      <c r="D1265" s="47" t="s">
        <v>7348</v>
      </c>
      <c r="E1265" s="47" t="s">
        <v>6925</v>
      </c>
      <c r="F1265" s="47" t="s">
        <v>7346</v>
      </c>
      <c r="G1265" s="47" t="s">
        <v>14</v>
      </c>
      <c r="H1265" s="47" t="s">
        <v>86</v>
      </c>
      <c r="I1265" s="47" t="s">
        <v>5290</v>
      </c>
      <c r="J1265" s="47" t="e">
        <f>VLOOKUP(Table2[[#This Row], [Author]],People!A:B,2,0)</f>
        <v>#N/A</v>
      </c>
      <c r="K1265" s="47"/>
      <c r="L1265" s="47"/>
      <c r="M1265" s="49" t="s">
        <v>1613</v>
      </c>
    </row>
    <row r="1266" spans="1:13">
      <c r="A1266" s="48">
        <f t="shared" si="19"/>
        <v>1265</v>
      </c>
      <c r="B1266" s="47" t="s">
        <v>4</v>
      </c>
      <c r="C1266" s="47" t="s">
        <v>7157</v>
      </c>
      <c r="D1266" s="47" t="s">
        <v>7349</v>
      </c>
      <c r="E1266" s="47" t="s">
        <v>6926</v>
      </c>
      <c r="F1266" s="47" t="s">
        <v>7346</v>
      </c>
      <c r="G1266" s="47" t="s">
        <v>14</v>
      </c>
      <c r="H1266" s="47" t="s">
        <v>86</v>
      </c>
      <c r="I1266" s="47" t="s">
        <v>5290</v>
      </c>
      <c r="J1266" s="47" t="e">
        <f>VLOOKUP(Table2[[#This Row], [Author]],People!A:B,2,0)</f>
        <v>#N/A</v>
      </c>
      <c r="K1266" s="47"/>
      <c r="L1266" s="47"/>
      <c r="M1266" s="49" t="s">
        <v>1613</v>
      </c>
    </row>
    <row r="1267" spans="1:13">
      <c r="A1267" s="48">
        <f t="shared" si="19"/>
        <v>1266</v>
      </c>
      <c r="B1267" s="47" t="s">
        <v>4</v>
      </c>
      <c r="C1267" s="47" t="s">
        <v>7157</v>
      </c>
      <c r="D1267" s="47" t="s">
        <v>7350</v>
      </c>
      <c r="E1267" s="47" t="s">
        <v>6927</v>
      </c>
      <c r="F1267" s="47" t="s">
        <v>7346</v>
      </c>
      <c r="G1267" s="47" t="s">
        <v>14</v>
      </c>
      <c r="H1267" s="47" t="s">
        <v>86</v>
      </c>
      <c r="I1267" s="47" t="s">
        <v>5290</v>
      </c>
      <c r="J1267" s="47" t="e">
        <f>VLOOKUP(Table2[[#This Row], [Author]],People!A:B,2,0)</f>
        <v>#N/A</v>
      </c>
      <c r="K1267" s="47"/>
      <c r="L1267" s="47"/>
      <c r="M1267" s="49" t="s">
        <v>1613</v>
      </c>
    </row>
    <row r="1268" spans="1:13">
      <c r="A1268" s="48">
        <f t="shared" si="19"/>
        <v>1267</v>
      </c>
      <c r="B1268" s="47" t="s">
        <v>4</v>
      </c>
      <c r="C1268" s="47" t="s">
        <v>7157</v>
      </c>
      <c r="D1268" s="47" t="s">
        <v>7351</v>
      </c>
      <c r="E1268" s="47" t="s">
        <v>6928</v>
      </c>
      <c r="F1268" s="47" t="s">
        <v>7346</v>
      </c>
      <c r="G1268" s="47" t="s">
        <v>14</v>
      </c>
      <c r="H1268" s="47" t="s">
        <v>86</v>
      </c>
      <c r="I1268" s="47" t="s">
        <v>5290</v>
      </c>
      <c r="J1268" s="47" t="e">
        <f>VLOOKUP(Table2[[#This Row], [Author]],People!A:B,2,0)</f>
        <v>#N/A</v>
      </c>
      <c r="K1268" s="47"/>
      <c r="L1268" s="47"/>
      <c r="M1268" s="49" t="s">
        <v>1613</v>
      </c>
    </row>
    <row r="1269" spans="1:13">
      <c r="A1269" s="48">
        <f t="shared" si="19"/>
        <v>1268</v>
      </c>
      <c r="B1269" s="47" t="s">
        <v>4</v>
      </c>
      <c r="C1269" s="47" t="s">
        <v>7157</v>
      </c>
      <c r="D1269" s="47" t="s">
        <v>7352</v>
      </c>
      <c r="E1269" s="47" t="s">
        <v>6929</v>
      </c>
      <c r="F1269" s="47" t="s">
        <v>6683</v>
      </c>
      <c r="G1269" s="47" t="s">
        <v>14</v>
      </c>
      <c r="H1269" s="47" t="s">
        <v>86</v>
      </c>
      <c r="I1269" s="47" t="s">
        <v>5290</v>
      </c>
      <c r="J1269" s="47" t="e">
        <f>VLOOKUP(Table2[[#This Row], [Author]],People!A:B,2,0)</f>
        <v>#N/A</v>
      </c>
      <c r="K1269" s="47"/>
      <c r="L1269" s="47"/>
      <c r="M1269" s="49" t="s">
        <v>1613</v>
      </c>
    </row>
    <row r="1270" spans="1:13">
      <c r="A1270" s="48">
        <f t="shared" si="19"/>
        <v>1269</v>
      </c>
      <c r="B1270" s="47" t="s">
        <v>4</v>
      </c>
      <c r="C1270" s="47" t="s">
        <v>7157</v>
      </c>
      <c r="D1270" s="47" t="s">
        <v>7353</v>
      </c>
      <c r="E1270" s="47" t="s">
        <v>6930</v>
      </c>
      <c r="F1270" s="47" t="s">
        <v>7352</v>
      </c>
      <c r="G1270" s="47" t="s">
        <v>14</v>
      </c>
      <c r="H1270" s="47" t="s">
        <v>86</v>
      </c>
      <c r="I1270" s="47" t="s">
        <v>5290</v>
      </c>
      <c r="J1270" s="47" t="e">
        <f>VLOOKUP(Table2[[#This Row], [Author]],People!A:B,2,0)</f>
        <v>#N/A</v>
      </c>
      <c r="K1270" s="47"/>
      <c r="L1270" s="47"/>
      <c r="M1270" s="49" t="s">
        <v>1613</v>
      </c>
    </row>
    <row r="1271" spans="1:13">
      <c r="A1271" s="48">
        <f t="shared" si="19"/>
        <v>1270</v>
      </c>
      <c r="B1271" s="47" t="s">
        <v>4</v>
      </c>
      <c r="C1271" s="47" t="s">
        <v>7157</v>
      </c>
      <c r="D1271" s="47" t="s">
        <v>7354</v>
      </c>
      <c r="E1271" s="47" t="s">
        <v>6931</v>
      </c>
      <c r="F1271" s="47" t="s">
        <v>7352</v>
      </c>
      <c r="G1271" s="47" t="s">
        <v>14</v>
      </c>
      <c r="H1271" s="47" t="s">
        <v>86</v>
      </c>
      <c r="I1271" s="47" t="s">
        <v>5290</v>
      </c>
      <c r="J1271" s="47" t="e">
        <f>VLOOKUP(Table2[[#This Row], [Author]],People!A:B,2,0)</f>
        <v>#N/A</v>
      </c>
      <c r="K1271" s="47"/>
      <c r="L1271" s="47"/>
      <c r="M1271" s="49" t="s">
        <v>1613</v>
      </c>
    </row>
    <row r="1272" spans="1:13">
      <c r="A1272" s="48">
        <f t="shared" si="19"/>
        <v>1271</v>
      </c>
      <c r="B1272" s="47" t="s">
        <v>4</v>
      </c>
      <c r="C1272" s="47" t="s">
        <v>7157</v>
      </c>
      <c r="D1272" s="47" t="s">
        <v>7355</v>
      </c>
      <c r="E1272" s="47" t="s">
        <v>6932</v>
      </c>
      <c r="F1272" s="47" t="s">
        <v>7354</v>
      </c>
      <c r="G1272" s="47" t="s">
        <v>14</v>
      </c>
      <c r="H1272" s="47" t="s">
        <v>86</v>
      </c>
      <c r="I1272" s="47" t="s">
        <v>5290</v>
      </c>
      <c r="J1272" s="47" t="e">
        <f>VLOOKUP(Table2[[#This Row], [Author]],People!A:B,2,0)</f>
        <v>#N/A</v>
      </c>
      <c r="K1272" s="47"/>
      <c r="L1272" s="47"/>
      <c r="M1272" s="49" t="s">
        <v>1613</v>
      </c>
    </row>
    <row r="1273" spans="1:13">
      <c r="A1273" s="48">
        <f t="shared" si="19"/>
        <v>1272</v>
      </c>
      <c r="B1273" s="47" t="s">
        <v>4</v>
      </c>
      <c r="C1273" s="47" t="s">
        <v>7157</v>
      </c>
      <c r="D1273" s="47" t="s">
        <v>7356</v>
      </c>
      <c r="E1273" s="47" t="s">
        <v>6933</v>
      </c>
      <c r="F1273" s="47" t="s">
        <v>7354</v>
      </c>
      <c r="G1273" s="47" t="s">
        <v>14</v>
      </c>
      <c r="H1273" s="47" t="s">
        <v>86</v>
      </c>
      <c r="I1273" s="47" t="s">
        <v>5290</v>
      </c>
      <c r="J1273" s="47" t="e">
        <f>VLOOKUP(Table2[[#This Row], [Author]],People!A:B,2,0)</f>
        <v>#N/A</v>
      </c>
      <c r="K1273" s="47"/>
      <c r="L1273" s="47"/>
      <c r="M1273" s="49" t="s">
        <v>1613</v>
      </c>
    </row>
    <row r="1274" spans="1:13">
      <c r="A1274" s="48">
        <f t="shared" si="19"/>
        <v>1273</v>
      </c>
      <c r="B1274" s="47" t="s">
        <v>4</v>
      </c>
      <c r="C1274" s="47" t="s">
        <v>7157</v>
      </c>
      <c r="D1274" s="47" t="s">
        <v>7357</v>
      </c>
      <c r="E1274" s="47" t="s">
        <v>6934</v>
      </c>
      <c r="F1274" s="47" t="s">
        <v>7352</v>
      </c>
      <c r="G1274" s="47" t="s">
        <v>14</v>
      </c>
      <c r="H1274" s="47" t="s">
        <v>86</v>
      </c>
      <c r="I1274" s="47" t="s">
        <v>5290</v>
      </c>
      <c r="J1274" s="47" t="e">
        <f>VLOOKUP(Table2[[#This Row], [Author]],People!A:B,2,0)</f>
        <v>#N/A</v>
      </c>
      <c r="K1274" s="47"/>
      <c r="L1274" s="47"/>
      <c r="M1274" s="49" t="s">
        <v>1613</v>
      </c>
    </row>
    <row r="1275" spans="1:13">
      <c r="A1275" s="48">
        <f t="shared" si="19"/>
        <v>1274</v>
      </c>
      <c r="B1275" s="47" t="s">
        <v>4</v>
      </c>
      <c r="C1275" s="47" t="s">
        <v>7157</v>
      </c>
      <c r="D1275" s="47" t="s">
        <v>7358</v>
      </c>
      <c r="E1275" s="47" t="s">
        <v>6935</v>
      </c>
      <c r="F1275" s="47" t="s">
        <v>7357</v>
      </c>
      <c r="G1275" s="47" t="s">
        <v>14</v>
      </c>
      <c r="H1275" s="47" t="s">
        <v>86</v>
      </c>
      <c r="I1275" s="47" t="s">
        <v>5290</v>
      </c>
      <c r="J1275" s="47" t="e">
        <f>VLOOKUP(Table2[[#This Row], [Author]],People!A:B,2,0)</f>
        <v>#N/A</v>
      </c>
      <c r="K1275" s="47"/>
      <c r="L1275" s="47"/>
      <c r="M1275" s="49" t="s">
        <v>1613</v>
      </c>
    </row>
    <row r="1276" spans="1:13">
      <c r="A1276" s="48">
        <f t="shared" si="19"/>
        <v>1275</v>
      </c>
      <c r="B1276" s="47" t="s">
        <v>4</v>
      </c>
      <c r="C1276" s="47" t="s">
        <v>7157</v>
      </c>
      <c r="D1276" s="47" t="s">
        <v>7359</v>
      </c>
      <c r="E1276" s="47" t="s">
        <v>6936</v>
      </c>
      <c r="F1276" s="47" t="s">
        <v>7357</v>
      </c>
      <c r="G1276" s="47" t="s">
        <v>14</v>
      </c>
      <c r="H1276" s="47" t="s">
        <v>86</v>
      </c>
      <c r="I1276" s="47" t="s">
        <v>5290</v>
      </c>
      <c r="J1276" s="47" t="e">
        <f>VLOOKUP(Table2[[#This Row], [Author]],People!A:B,2,0)</f>
        <v>#N/A</v>
      </c>
      <c r="K1276" s="47"/>
      <c r="L1276" s="47"/>
      <c r="M1276" s="49" t="s">
        <v>1613</v>
      </c>
    </row>
    <row r="1277" spans="1:13">
      <c r="A1277" s="48">
        <f t="shared" si="19"/>
        <v>1276</v>
      </c>
      <c r="B1277" s="47" t="s">
        <v>4</v>
      </c>
      <c r="C1277" s="47" t="s">
        <v>7157</v>
      </c>
      <c r="D1277" s="47" t="s">
        <v>7360</v>
      </c>
      <c r="E1277" s="47" t="s">
        <v>6937</v>
      </c>
      <c r="F1277" s="47" t="s">
        <v>6682</v>
      </c>
      <c r="G1277" s="47" t="s">
        <v>14</v>
      </c>
      <c r="H1277" s="47" t="s">
        <v>86</v>
      </c>
      <c r="I1277" s="47" t="s">
        <v>5290</v>
      </c>
      <c r="J1277" s="47" t="e">
        <f>VLOOKUP(Table2[[#This Row], [Author]],People!A:B,2,0)</f>
        <v>#N/A</v>
      </c>
      <c r="K1277" s="47"/>
      <c r="L1277" s="47"/>
      <c r="M1277" s="49" t="s">
        <v>1613</v>
      </c>
    </row>
    <row r="1278" spans="1:13">
      <c r="A1278" s="48">
        <f t="shared" si="19"/>
        <v>1277</v>
      </c>
      <c r="B1278" s="47" t="s">
        <v>4</v>
      </c>
      <c r="C1278" s="47" t="s">
        <v>7157</v>
      </c>
      <c r="D1278" s="47" t="s">
        <v>7361</v>
      </c>
      <c r="E1278" s="47" t="s">
        <v>6938</v>
      </c>
      <c r="F1278" s="47" t="s">
        <v>7360</v>
      </c>
      <c r="G1278" s="47" t="s">
        <v>14</v>
      </c>
      <c r="H1278" s="47" t="s">
        <v>86</v>
      </c>
      <c r="I1278" s="47" t="s">
        <v>5290</v>
      </c>
      <c r="J1278" s="47" t="e">
        <f>VLOOKUP(Table2[[#This Row], [Author]],People!A:B,2,0)</f>
        <v>#N/A</v>
      </c>
      <c r="K1278" s="47"/>
      <c r="L1278" s="47"/>
      <c r="M1278" s="49" t="s">
        <v>1613</v>
      </c>
    </row>
    <row r="1279" spans="1:13">
      <c r="A1279" s="48">
        <f t="shared" si="19"/>
        <v>1278</v>
      </c>
      <c r="B1279" s="47" t="s">
        <v>4</v>
      </c>
      <c r="C1279" s="47" t="s">
        <v>7157</v>
      </c>
      <c r="D1279" s="47" t="s">
        <v>7362</v>
      </c>
      <c r="E1279" s="47" t="s">
        <v>6939</v>
      </c>
      <c r="F1279" s="47" t="s">
        <v>7360</v>
      </c>
      <c r="G1279" s="47" t="s">
        <v>14</v>
      </c>
      <c r="H1279" s="47" t="s">
        <v>86</v>
      </c>
      <c r="I1279" s="47" t="s">
        <v>5290</v>
      </c>
      <c r="J1279" s="47" t="e">
        <f>VLOOKUP(Table2[[#This Row], [Author]],People!A:B,2,0)</f>
        <v>#N/A</v>
      </c>
      <c r="K1279" s="47"/>
      <c r="L1279" s="47"/>
      <c r="M1279" s="49" t="s">
        <v>1613</v>
      </c>
    </row>
    <row r="1280" spans="1:13">
      <c r="A1280" s="48">
        <f t="shared" si="19"/>
        <v>1279</v>
      </c>
      <c r="B1280" s="47" t="s">
        <v>4</v>
      </c>
      <c r="C1280" s="47" t="s">
        <v>7157</v>
      </c>
      <c r="D1280" s="47" t="s">
        <v>7363</v>
      </c>
      <c r="E1280" s="47" t="s">
        <v>6940</v>
      </c>
      <c r="F1280" s="47" t="s">
        <v>7360</v>
      </c>
      <c r="G1280" s="47" t="s">
        <v>14</v>
      </c>
      <c r="H1280" s="47" t="s">
        <v>86</v>
      </c>
      <c r="I1280" s="47" t="s">
        <v>5290</v>
      </c>
      <c r="J1280" s="47" t="e">
        <f>VLOOKUP(Table2[[#This Row], [Author]],People!A:B,2,0)</f>
        <v>#N/A</v>
      </c>
      <c r="K1280" s="47"/>
      <c r="L1280" s="47"/>
      <c r="M1280" s="49" t="s">
        <v>1613</v>
      </c>
    </row>
    <row r="1281" spans="1:13">
      <c r="A1281" s="48">
        <f t="shared" si="19"/>
        <v>1280</v>
      </c>
      <c r="B1281" s="47" t="s">
        <v>4</v>
      </c>
      <c r="C1281" s="47" t="s">
        <v>7157</v>
      </c>
      <c r="D1281" s="47" t="s">
        <v>7364</v>
      </c>
      <c r="E1281" s="47" t="s">
        <v>6941</v>
      </c>
      <c r="F1281" s="47" t="s">
        <v>7363</v>
      </c>
      <c r="G1281" s="47" t="s">
        <v>14</v>
      </c>
      <c r="H1281" s="47" t="s">
        <v>86</v>
      </c>
      <c r="I1281" s="47" t="s">
        <v>5290</v>
      </c>
      <c r="J1281" s="47" t="e">
        <f>VLOOKUP(Table2[[#This Row], [Author]],People!A:B,2,0)</f>
        <v>#N/A</v>
      </c>
      <c r="K1281" s="47"/>
      <c r="L1281" s="47"/>
      <c r="M1281" s="49" t="s">
        <v>1613</v>
      </c>
    </row>
    <row r="1282" spans="1:13">
      <c r="A1282" s="48">
        <f t="shared" si="19"/>
        <v>1281</v>
      </c>
      <c r="B1282" s="47" t="s">
        <v>4</v>
      </c>
      <c r="C1282" s="47" t="s">
        <v>7157</v>
      </c>
      <c r="D1282" s="47" t="s">
        <v>7365</v>
      </c>
      <c r="E1282" s="47" t="s">
        <v>6942</v>
      </c>
      <c r="F1282" s="47" t="s">
        <v>7363</v>
      </c>
      <c r="G1282" s="47" t="s">
        <v>14</v>
      </c>
      <c r="H1282" s="47" t="s">
        <v>86</v>
      </c>
      <c r="I1282" s="47" t="s">
        <v>5290</v>
      </c>
      <c r="J1282" s="47" t="e">
        <f>VLOOKUP(Table2[[#This Row], [Author]],People!A:B,2,0)</f>
        <v>#N/A</v>
      </c>
      <c r="K1282" s="47"/>
      <c r="L1282" s="47"/>
      <c r="M1282" s="49" t="s">
        <v>1613</v>
      </c>
    </row>
    <row r="1283" spans="1:13">
      <c r="A1283" s="48">
        <f t="shared" ref="A1283:A1346" si="20">1+A1282</f>
        <v>1282</v>
      </c>
      <c r="B1283" s="47" t="s">
        <v>4</v>
      </c>
      <c r="C1283" s="47" t="s">
        <v>7157</v>
      </c>
      <c r="D1283" s="47" t="s">
        <v>7366</v>
      </c>
      <c r="E1283" s="47" t="s">
        <v>6943</v>
      </c>
      <c r="F1283" s="47" t="s">
        <v>7360</v>
      </c>
      <c r="G1283" s="47" t="s">
        <v>14</v>
      </c>
      <c r="H1283" s="47" t="s">
        <v>86</v>
      </c>
      <c r="I1283" s="47" t="s">
        <v>5290</v>
      </c>
      <c r="J1283" s="47" t="e">
        <f>VLOOKUP(Table2[[#This Row], [Author]],People!A:B,2,0)</f>
        <v>#N/A</v>
      </c>
      <c r="K1283" s="47"/>
      <c r="L1283" s="47"/>
      <c r="M1283" s="49" t="s">
        <v>1613</v>
      </c>
    </row>
    <row r="1284" spans="1:13">
      <c r="A1284" s="48">
        <f t="shared" si="20"/>
        <v>1283</v>
      </c>
      <c r="B1284" s="47" t="s">
        <v>4</v>
      </c>
      <c r="C1284" s="47" t="s">
        <v>7157</v>
      </c>
      <c r="D1284" s="47" t="s">
        <v>7367</v>
      </c>
      <c r="E1284" s="47" t="s">
        <v>6944</v>
      </c>
      <c r="F1284" s="47" t="s">
        <v>7366</v>
      </c>
      <c r="G1284" s="47" t="s">
        <v>14</v>
      </c>
      <c r="H1284" s="47" t="s">
        <v>86</v>
      </c>
      <c r="I1284" s="47" t="s">
        <v>5290</v>
      </c>
      <c r="J1284" s="47" t="e">
        <f>VLOOKUP(Table2[[#This Row], [Author]],People!A:B,2,0)</f>
        <v>#N/A</v>
      </c>
      <c r="K1284" s="47"/>
      <c r="L1284" s="47"/>
      <c r="M1284" s="49" t="s">
        <v>1613</v>
      </c>
    </row>
    <row r="1285" spans="1:13">
      <c r="A1285" s="48">
        <f t="shared" si="20"/>
        <v>1284</v>
      </c>
      <c r="B1285" s="47" t="s">
        <v>4</v>
      </c>
      <c r="C1285" s="47" t="s">
        <v>7157</v>
      </c>
      <c r="D1285" s="47" t="s">
        <v>7368</v>
      </c>
      <c r="E1285" s="47" t="s">
        <v>6945</v>
      </c>
      <c r="F1285" s="47" t="s">
        <v>7366</v>
      </c>
      <c r="G1285" s="47" t="s">
        <v>14</v>
      </c>
      <c r="H1285" s="47" t="s">
        <v>86</v>
      </c>
      <c r="I1285" s="47" t="s">
        <v>5290</v>
      </c>
      <c r="J1285" s="47" t="e">
        <f>VLOOKUP(Table2[[#This Row], [Author]],People!A:B,2,0)</f>
        <v>#N/A</v>
      </c>
      <c r="K1285" s="47"/>
      <c r="L1285" s="47"/>
      <c r="M1285" s="49" t="s">
        <v>1613</v>
      </c>
    </row>
    <row r="1286" spans="1:13">
      <c r="A1286" s="48">
        <f t="shared" si="20"/>
        <v>1285</v>
      </c>
      <c r="B1286" s="47" t="s">
        <v>4</v>
      </c>
      <c r="C1286" s="47" t="s">
        <v>7157</v>
      </c>
      <c r="D1286" s="47" t="s">
        <v>7369</v>
      </c>
      <c r="E1286" s="47" t="s">
        <v>6946</v>
      </c>
      <c r="F1286" s="47" t="s">
        <v>7366</v>
      </c>
      <c r="G1286" s="47" t="s">
        <v>14</v>
      </c>
      <c r="H1286" s="47" t="s">
        <v>86</v>
      </c>
      <c r="I1286" s="47" t="s">
        <v>5290</v>
      </c>
      <c r="J1286" s="47" t="e">
        <f>VLOOKUP(Table2[[#This Row], [Author]],People!A:B,2,0)</f>
        <v>#N/A</v>
      </c>
      <c r="K1286" s="47"/>
      <c r="L1286" s="47"/>
      <c r="M1286" s="49" t="s">
        <v>1613</v>
      </c>
    </row>
    <row r="1287" spans="1:13">
      <c r="A1287" s="48">
        <f t="shared" si="20"/>
        <v>1286</v>
      </c>
      <c r="B1287" s="47" t="s">
        <v>4</v>
      </c>
      <c r="C1287" s="47" t="s">
        <v>7157</v>
      </c>
      <c r="D1287" s="47" t="s">
        <v>7370</v>
      </c>
      <c r="E1287" s="47" t="s">
        <v>6947</v>
      </c>
      <c r="F1287" s="47" t="s">
        <v>7366</v>
      </c>
      <c r="G1287" s="47" t="s">
        <v>14</v>
      </c>
      <c r="H1287" s="47" t="s">
        <v>86</v>
      </c>
      <c r="I1287" s="47" t="s">
        <v>5290</v>
      </c>
      <c r="J1287" s="47" t="e">
        <f>VLOOKUP(Table2[[#This Row], [Author]],People!A:B,2,0)</f>
        <v>#N/A</v>
      </c>
      <c r="K1287" s="47"/>
      <c r="L1287" s="47"/>
      <c r="M1287" s="49" t="s">
        <v>1613</v>
      </c>
    </row>
    <row r="1288" spans="1:13">
      <c r="A1288" s="48">
        <f t="shared" si="20"/>
        <v>1287</v>
      </c>
      <c r="B1288" s="47" t="s">
        <v>4</v>
      </c>
      <c r="C1288" s="47" t="s">
        <v>7157</v>
      </c>
      <c r="D1288" s="47" t="s">
        <v>7371</v>
      </c>
      <c r="E1288" s="47" t="s">
        <v>6948</v>
      </c>
      <c r="F1288" s="47" t="s">
        <v>7366</v>
      </c>
      <c r="G1288" s="47" t="s">
        <v>14</v>
      </c>
      <c r="H1288" s="47" t="s">
        <v>86</v>
      </c>
      <c r="I1288" s="47" t="s">
        <v>5290</v>
      </c>
      <c r="J1288" s="47" t="e">
        <f>VLOOKUP(Table2[[#This Row], [Author]],People!A:B,2,0)</f>
        <v>#N/A</v>
      </c>
      <c r="K1288" s="47"/>
      <c r="L1288" s="47"/>
      <c r="M1288" s="49" t="s">
        <v>1613</v>
      </c>
    </row>
    <row r="1289" spans="1:13">
      <c r="A1289" s="48">
        <f t="shared" si="20"/>
        <v>1288</v>
      </c>
      <c r="B1289" s="47" t="s">
        <v>4</v>
      </c>
      <c r="C1289" s="47" t="s">
        <v>7157</v>
      </c>
      <c r="D1289" s="47" t="s">
        <v>7372</v>
      </c>
      <c r="E1289" s="47" t="s">
        <v>6949</v>
      </c>
      <c r="F1289" s="47" t="s">
        <v>6683</v>
      </c>
      <c r="G1289" s="47" t="s">
        <v>14</v>
      </c>
      <c r="H1289" s="47" t="s">
        <v>86</v>
      </c>
      <c r="I1289" s="47" t="s">
        <v>5290</v>
      </c>
      <c r="J1289" s="47" t="e">
        <f>VLOOKUP(Table2[[#This Row], [Author]],People!A:B,2,0)</f>
        <v>#N/A</v>
      </c>
      <c r="K1289" s="47"/>
      <c r="L1289" s="47"/>
      <c r="M1289" s="49" t="s">
        <v>1613</v>
      </c>
    </row>
    <row r="1290" spans="1:13">
      <c r="A1290" s="48">
        <f t="shared" si="20"/>
        <v>1289</v>
      </c>
      <c r="B1290" s="47" t="s">
        <v>4</v>
      </c>
      <c r="C1290" s="47" t="s">
        <v>7157</v>
      </c>
      <c r="D1290" s="47" t="s">
        <v>7373</v>
      </c>
      <c r="E1290" s="47" t="s">
        <v>6950</v>
      </c>
      <c r="F1290" s="47" t="s">
        <v>7372</v>
      </c>
      <c r="G1290" s="47" t="s">
        <v>14</v>
      </c>
      <c r="H1290" s="47" t="s">
        <v>86</v>
      </c>
      <c r="I1290" s="47" t="s">
        <v>5290</v>
      </c>
      <c r="J1290" s="47" t="e">
        <f>VLOOKUP(Table2[[#This Row], [Author]],People!A:B,2,0)</f>
        <v>#N/A</v>
      </c>
      <c r="K1290" s="47"/>
      <c r="L1290" s="47"/>
      <c r="M1290" s="49" t="s">
        <v>1613</v>
      </c>
    </row>
    <row r="1291" spans="1:13">
      <c r="A1291" s="48">
        <f t="shared" si="20"/>
        <v>1290</v>
      </c>
      <c r="B1291" s="47" t="s">
        <v>4</v>
      </c>
      <c r="C1291" s="47" t="s">
        <v>7157</v>
      </c>
      <c r="D1291" s="47" t="s">
        <v>7374</v>
      </c>
      <c r="E1291" s="47" t="s">
        <v>6951</v>
      </c>
      <c r="F1291" s="47" t="s">
        <v>7372</v>
      </c>
      <c r="G1291" s="47" t="s">
        <v>14</v>
      </c>
      <c r="H1291" s="47" t="s">
        <v>86</v>
      </c>
      <c r="I1291" s="47" t="s">
        <v>5290</v>
      </c>
      <c r="J1291" s="47" t="e">
        <f>VLOOKUP(Table2[[#This Row], [Author]],People!A:B,2,0)</f>
        <v>#N/A</v>
      </c>
      <c r="K1291" s="47"/>
      <c r="L1291" s="47"/>
      <c r="M1291" s="49" t="s">
        <v>1613</v>
      </c>
    </row>
    <row r="1292" spans="1:13">
      <c r="A1292" s="48">
        <f t="shared" si="20"/>
        <v>1291</v>
      </c>
      <c r="B1292" s="47" t="s">
        <v>4</v>
      </c>
      <c r="C1292" s="47" t="s">
        <v>7157</v>
      </c>
      <c r="D1292" s="47" t="s">
        <v>7375</v>
      </c>
      <c r="E1292" s="47" t="s">
        <v>6952</v>
      </c>
      <c r="F1292" s="47" t="s">
        <v>7374</v>
      </c>
      <c r="G1292" s="47" t="s">
        <v>14</v>
      </c>
      <c r="H1292" s="47" t="s">
        <v>86</v>
      </c>
      <c r="I1292" s="47" t="s">
        <v>5290</v>
      </c>
      <c r="J1292" s="47" t="e">
        <f>VLOOKUP(Table2[[#This Row], [Author]],People!A:B,2,0)</f>
        <v>#N/A</v>
      </c>
      <c r="K1292" s="47"/>
      <c r="L1292" s="47"/>
      <c r="M1292" s="49" t="s">
        <v>1613</v>
      </c>
    </row>
    <row r="1293" spans="1:13">
      <c r="A1293" s="48">
        <f t="shared" si="20"/>
        <v>1292</v>
      </c>
      <c r="B1293" s="47" t="s">
        <v>4</v>
      </c>
      <c r="C1293" s="47" t="s">
        <v>7157</v>
      </c>
      <c r="D1293" s="47" t="s">
        <v>7376</v>
      </c>
      <c r="E1293" s="47" t="s">
        <v>6953</v>
      </c>
      <c r="F1293" s="47" t="s">
        <v>7374</v>
      </c>
      <c r="G1293" s="47" t="s">
        <v>14</v>
      </c>
      <c r="H1293" s="47" t="s">
        <v>86</v>
      </c>
      <c r="I1293" s="47" t="s">
        <v>5290</v>
      </c>
      <c r="J1293" s="47" t="e">
        <f>VLOOKUP(Table2[[#This Row], [Author]],People!A:B,2,0)</f>
        <v>#N/A</v>
      </c>
      <c r="K1293" s="47"/>
      <c r="L1293" s="47"/>
      <c r="M1293" s="49" t="s">
        <v>1613</v>
      </c>
    </row>
    <row r="1294" spans="1:13">
      <c r="A1294" s="48">
        <f t="shared" si="20"/>
        <v>1293</v>
      </c>
      <c r="B1294" s="47" t="s">
        <v>4</v>
      </c>
      <c r="C1294" s="47" t="s">
        <v>7157</v>
      </c>
      <c r="D1294" s="47" t="s">
        <v>7377</v>
      </c>
      <c r="E1294" s="47" t="s">
        <v>6954</v>
      </c>
      <c r="F1294" s="47" t="s">
        <v>7372</v>
      </c>
      <c r="G1294" s="47" t="s">
        <v>14</v>
      </c>
      <c r="H1294" s="47" t="s">
        <v>86</v>
      </c>
      <c r="I1294" s="47" t="s">
        <v>5290</v>
      </c>
      <c r="J1294" s="47" t="e">
        <f>VLOOKUP(Table2[[#This Row], [Author]],People!A:B,2,0)</f>
        <v>#N/A</v>
      </c>
      <c r="K1294" s="47"/>
      <c r="L1294" s="47"/>
      <c r="M1294" s="49" t="s">
        <v>1613</v>
      </c>
    </row>
    <row r="1295" spans="1:13">
      <c r="A1295" s="48">
        <f t="shared" si="20"/>
        <v>1294</v>
      </c>
      <c r="B1295" s="47" t="s">
        <v>4</v>
      </c>
      <c r="C1295" s="47" t="s">
        <v>7157</v>
      </c>
      <c r="D1295" s="47" t="s">
        <v>7378</v>
      </c>
      <c r="E1295" s="47" t="s">
        <v>6955</v>
      </c>
      <c r="F1295" s="47" t="s">
        <v>7377</v>
      </c>
      <c r="G1295" s="47" t="s">
        <v>14</v>
      </c>
      <c r="H1295" s="47" t="s">
        <v>86</v>
      </c>
      <c r="I1295" s="47" t="s">
        <v>5290</v>
      </c>
      <c r="J1295" s="47" t="e">
        <f>VLOOKUP(Table2[[#This Row], [Author]],People!A:B,2,0)</f>
        <v>#N/A</v>
      </c>
      <c r="K1295" s="47"/>
      <c r="L1295" s="47"/>
      <c r="M1295" s="49" t="s">
        <v>1613</v>
      </c>
    </row>
    <row r="1296" spans="1:13">
      <c r="A1296" s="48">
        <f t="shared" si="20"/>
        <v>1295</v>
      </c>
      <c r="B1296" s="47" t="s">
        <v>4</v>
      </c>
      <c r="C1296" s="47" t="s">
        <v>7157</v>
      </c>
      <c r="D1296" s="47" t="s">
        <v>7379</v>
      </c>
      <c r="E1296" s="47" t="s">
        <v>6956</v>
      </c>
      <c r="F1296" s="47" t="s">
        <v>7377</v>
      </c>
      <c r="G1296" s="47" t="s">
        <v>14</v>
      </c>
      <c r="H1296" s="47" t="s">
        <v>86</v>
      </c>
      <c r="I1296" s="47" t="s">
        <v>5290</v>
      </c>
      <c r="J1296" s="47" t="e">
        <f>VLOOKUP(Table2[[#This Row], [Author]],People!A:B,2,0)</f>
        <v>#N/A</v>
      </c>
      <c r="K1296" s="47"/>
      <c r="L1296" s="47"/>
      <c r="M1296" s="49" t="s">
        <v>1613</v>
      </c>
    </row>
    <row r="1297" spans="1:13">
      <c r="A1297" s="48">
        <f t="shared" si="20"/>
        <v>1296</v>
      </c>
      <c r="B1297" s="47" t="s">
        <v>4</v>
      </c>
      <c r="C1297" s="47" t="s">
        <v>7157</v>
      </c>
      <c r="D1297" s="47" t="s">
        <v>7380</v>
      </c>
      <c r="E1297" s="47" t="s">
        <v>6957</v>
      </c>
      <c r="F1297" s="47" t="s">
        <v>6682</v>
      </c>
      <c r="G1297" s="47" t="s">
        <v>14</v>
      </c>
      <c r="H1297" s="47" t="s">
        <v>86</v>
      </c>
      <c r="I1297" s="47" t="s">
        <v>5290</v>
      </c>
      <c r="J1297" s="47" t="e">
        <f>VLOOKUP(Table2[[#This Row], [Author]],People!A:B,2,0)</f>
        <v>#N/A</v>
      </c>
      <c r="K1297" s="47"/>
      <c r="L1297" s="47"/>
      <c r="M1297" s="49" t="s">
        <v>1613</v>
      </c>
    </row>
    <row r="1298" spans="1:13">
      <c r="A1298" s="48">
        <f t="shared" si="20"/>
        <v>1297</v>
      </c>
      <c r="B1298" s="47" t="s">
        <v>4</v>
      </c>
      <c r="C1298" s="47" t="s">
        <v>7157</v>
      </c>
      <c r="D1298" s="47" t="s">
        <v>7381</v>
      </c>
      <c r="E1298" s="47" t="s">
        <v>6958</v>
      </c>
      <c r="F1298" s="47" t="s">
        <v>7380</v>
      </c>
      <c r="G1298" s="47" t="s">
        <v>14</v>
      </c>
      <c r="H1298" s="47" t="s">
        <v>86</v>
      </c>
      <c r="I1298" s="47" t="s">
        <v>5290</v>
      </c>
      <c r="J1298" s="47" t="e">
        <f>VLOOKUP(Table2[[#This Row], [Author]],People!A:B,2,0)</f>
        <v>#N/A</v>
      </c>
      <c r="K1298" s="47"/>
      <c r="L1298" s="47"/>
      <c r="M1298" s="49" t="s">
        <v>1613</v>
      </c>
    </row>
    <row r="1299" spans="1:13">
      <c r="A1299" s="48">
        <f t="shared" si="20"/>
        <v>1298</v>
      </c>
      <c r="B1299" s="47" t="s">
        <v>4</v>
      </c>
      <c r="C1299" s="47" t="s">
        <v>7157</v>
      </c>
      <c r="D1299" s="47" t="s">
        <v>7382</v>
      </c>
      <c r="E1299" s="47" t="s">
        <v>6959</v>
      </c>
      <c r="F1299" s="47" t="s">
        <v>7380</v>
      </c>
      <c r="G1299" s="47" t="s">
        <v>14</v>
      </c>
      <c r="H1299" s="47" t="s">
        <v>86</v>
      </c>
      <c r="I1299" s="47" t="s">
        <v>5290</v>
      </c>
      <c r="J1299" s="47" t="e">
        <f>VLOOKUP(Table2[[#This Row], [Author]],People!A:B,2,0)</f>
        <v>#N/A</v>
      </c>
      <c r="K1299" s="47"/>
      <c r="L1299" s="47"/>
      <c r="M1299" s="49" t="s">
        <v>1613</v>
      </c>
    </row>
    <row r="1300" spans="1:13">
      <c r="A1300" s="48">
        <f t="shared" si="20"/>
        <v>1299</v>
      </c>
      <c r="B1300" s="47" t="s">
        <v>4</v>
      </c>
      <c r="C1300" s="47" t="s">
        <v>7157</v>
      </c>
      <c r="D1300" s="47" t="s">
        <v>7383</v>
      </c>
      <c r="E1300" s="47" t="s">
        <v>6960</v>
      </c>
      <c r="F1300" s="47" t="s">
        <v>7380</v>
      </c>
      <c r="G1300" s="47" t="s">
        <v>14</v>
      </c>
      <c r="H1300" s="47" t="s">
        <v>86</v>
      </c>
      <c r="I1300" s="47" t="s">
        <v>5290</v>
      </c>
      <c r="J1300" s="47" t="e">
        <f>VLOOKUP(Table2[[#This Row], [Author]],People!A:B,2,0)</f>
        <v>#N/A</v>
      </c>
      <c r="K1300" s="47"/>
      <c r="L1300" s="47"/>
      <c r="M1300" s="49" t="s">
        <v>1613</v>
      </c>
    </row>
    <row r="1301" spans="1:13">
      <c r="A1301" s="48">
        <f t="shared" si="20"/>
        <v>1300</v>
      </c>
      <c r="B1301" s="47" t="s">
        <v>4</v>
      </c>
      <c r="C1301" s="47" t="s">
        <v>7157</v>
      </c>
      <c r="D1301" s="47" t="s">
        <v>7384</v>
      </c>
      <c r="E1301" s="47" t="s">
        <v>6961</v>
      </c>
      <c r="F1301" s="47" t="s">
        <v>7383</v>
      </c>
      <c r="G1301" s="47" t="s">
        <v>14</v>
      </c>
      <c r="H1301" s="47" t="s">
        <v>86</v>
      </c>
      <c r="I1301" s="47" t="s">
        <v>5290</v>
      </c>
      <c r="J1301" s="47" t="e">
        <f>VLOOKUP(Table2[[#This Row], [Author]],People!A:B,2,0)</f>
        <v>#N/A</v>
      </c>
      <c r="K1301" s="47"/>
      <c r="L1301" s="47"/>
      <c r="M1301" s="49" t="s">
        <v>1613</v>
      </c>
    </row>
    <row r="1302" spans="1:13">
      <c r="A1302" s="48">
        <f t="shared" si="20"/>
        <v>1301</v>
      </c>
      <c r="B1302" s="47" t="s">
        <v>4</v>
      </c>
      <c r="C1302" s="47" t="s">
        <v>7157</v>
      </c>
      <c r="D1302" s="47" t="s">
        <v>7385</v>
      </c>
      <c r="E1302" s="47" t="s">
        <v>6962</v>
      </c>
      <c r="F1302" s="47" t="s">
        <v>7383</v>
      </c>
      <c r="G1302" s="47" t="s">
        <v>14</v>
      </c>
      <c r="H1302" s="47" t="s">
        <v>86</v>
      </c>
      <c r="I1302" s="47" t="s">
        <v>5290</v>
      </c>
      <c r="J1302" s="47" t="e">
        <f>VLOOKUP(Table2[[#This Row], [Author]],People!A:B,2,0)</f>
        <v>#N/A</v>
      </c>
      <c r="K1302" s="47"/>
      <c r="L1302" s="47"/>
      <c r="M1302" s="49" t="s">
        <v>1613</v>
      </c>
    </row>
    <row r="1303" spans="1:13">
      <c r="A1303" s="48">
        <f t="shared" si="20"/>
        <v>1302</v>
      </c>
      <c r="B1303" s="47" t="s">
        <v>4</v>
      </c>
      <c r="C1303" s="47" t="s">
        <v>7157</v>
      </c>
      <c r="D1303" s="47" t="s">
        <v>7386</v>
      </c>
      <c r="E1303" s="47" t="s">
        <v>6963</v>
      </c>
      <c r="F1303" s="47" t="s">
        <v>7380</v>
      </c>
      <c r="G1303" s="47" t="s">
        <v>14</v>
      </c>
      <c r="H1303" s="47" t="s">
        <v>86</v>
      </c>
      <c r="I1303" s="47" t="s">
        <v>5290</v>
      </c>
      <c r="J1303" s="47" t="e">
        <f>VLOOKUP(Table2[[#This Row], [Author]],People!A:B,2,0)</f>
        <v>#N/A</v>
      </c>
      <c r="K1303" s="47"/>
      <c r="L1303" s="47"/>
      <c r="M1303" s="49" t="s">
        <v>1613</v>
      </c>
    </row>
    <row r="1304" spans="1:13">
      <c r="A1304" s="48">
        <f t="shared" si="20"/>
        <v>1303</v>
      </c>
      <c r="B1304" s="47" t="s">
        <v>4</v>
      </c>
      <c r="C1304" s="47" t="s">
        <v>7157</v>
      </c>
      <c r="D1304" s="47" t="s">
        <v>7387</v>
      </c>
      <c r="E1304" s="47" t="s">
        <v>6964</v>
      </c>
      <c r="F1304" s="47" t="s">
        <v>7386</v>
      </c>
      <c r="G1304" s="47" t="s">
        <v>14</v>
      </c>
      <c r="H1304" s="47" t="s">
        <v>86</v>
      </c>
      <c r="I1304" s="47" t="s">
        <v>5290</v>
      </c>
      <c r="J1304" s="47" t="e">
        <f>VLOOKUP(Table2[[#This Row], [Author]],People!A:B,2,0)</f>
        <v>#N/A</v>
      </c>
      <c r="K1304" s="47"/>
      <c r="L1304" s="47"/>
      <c r="M1304" s="49" t="s">
        <v>1613</v>
      </c>
    </row>
    <row r="1305" spans="1:13">
      <c r="A1305" s="48">
        <f t="shared" si="20"/>
        <v>1304</v>
      </c>
      <c r="B1305" s="47" t="s">
        <v>4</v>
      </c>
      <c r="C1305" s="47" t="s">
        <v>7157</v>
      </c>
      <c r="D1305" s="47" t="s">
        <v>7388</v>
      </c>
      <c r="E1305" s="47" t="s">
        <v>6965</v>
      </c>
      <c r="F1305" s="47" t="s">
        <v>7386</v>
      </c>
      <c r="G1305" s="47" t="s">
        <v>14</v>
      </c>
      <c r="H1305" s="47" t="s">
        <v>86</v>
      </c>
      <c r="I1305" s="47" t="s">
        <v>5290</v>
      </c>
      <c r="J1305" s="47" t="e">
        <f>VLOOKUP(Table2[[#This Row], [Author]],People!A:B,2,0)</f>
        <v>#N/A</v>
      </c>
      <c r="K1305" s="47"/>
      <c r="L1305" s="47"/>
      <c r="M1305" s="49" t="s">
        <v>1613</v>
      </c>
    </row>
    <row r="1306" spans="1:13">
      <c r="A1306" s="48">
        <f t="shared" si="20"/>
        <v>1305</v>
      </c>
      <c r="B1306" s="47" t="s">
        <v>4</v>
      </c>
      <c r="C1306" s="47" t="s">
        <v>7157</v>
      </c>
      <c r="D1306" s="47" t="s">
        <v>7389</v>
      </c>
      <c r="E1306" s="47" t="s">
        <v>6966</v>
      </c>
      <c r="F1306" s="47" t="s">
        <v>7386</v>
      </c>
      <c r="G1306" s="47" t="s">
        <v>14</v>
      </c>
      <c r="H1306" s="47" t="s">
        <v>86</v>
      </c>
      <c r="I1306" s="47" t="s">
        <v>5290</v>
      </c>
      <c r="J1306" s="47" t="e">
        <f>VLOOKUP(Table2[[#This Row], [Author]],People!A:B,2,0)</f>
        <v>#N/A</v>
      </c>
      <c r="K1306" s="47"/>
      <c r="L1306" s="47"/>
      <c r="M1306" s="49" t="s">
        <v>1613</v>
      </c>
    </row>
    <row r="1307" spans="1:13">
      <c r="A1307" s="48">
        <f t="shared" si="20"/>
        <v>1306</v>
      </c>
      <c r="B1307" s="47" t="s">
        <v>4</v>
      </c>
      <c r="C1307" s="47" t="s">
        <v>7157</v>
      </c>
      <c r="D1307" s="47" t="s">
        <v>7390</v>
      </c>
      <c r="E1307" s="47" t="s">
        <v>6967</v>
      </c>
      <c r="F1307" s="47" t="s">
        <v>7386</v>
      </c>
      <c r="G1307" s="47" t="s">
        <v>14</v>
      </c>
      <c r="H1307" s="47" t="s">
        <v>86</v>
      </c>
      <c r="I1307" s="47" t="s">
        <v>5290</v>
      </c>
      <c r="J1307" s="47" t="e">
        <f>VLOOKUP(Table2[[#This Row], [Author]],People!A:B,2,0)</f>
        <v>#N/A</v>
      </c>
      <c r="K1307" s="47"/>
      <c r="L1307" s="47"/>
      <c r="M1307" s="49" t="s">
        <v>1613</v>
      </c>
    </row>
    <row r="1308" spans="1:13">
      <c r="A1308" s="48">
        <f t="shared" si="20"/>
        <v>1307</v>
      </c>
      <c r="B1308" s="47" t="s">
        <v>4</v>
      </c>
      <c r="C1308" s="47" t="s">
        <v>7157</v>
      </c>
      <c r="D1308" s="47" t="s">
        <v>7391</v>
      </c>
      <c r="E1308" s="47" t="s">
        <v>6968</v>
      </c>
      <c r="F1308" s="47" t="s">
        <v>7386</v>
      </c>
      <c r="G1308" s="47" t="s">
        <v>14</v>
      </c>
      <c r="H1308" s="47" t="s">
        <v>86</v>
      </c>
      <c r="I1308" s="47" t="s">
        <v>5290</v>
      </c>
      <c r="J1308" s="47" t="e">
        <f>VLOOKUP(Table2[[#This Row], [Author]],People!A:B,2,0)</f>
        <v>#N/A</v>
      </c>
      <c r="K1308" s="47"/>
      <c r="L1308" s="47"/>
      <c r="M1308" s="49" t="s">
        <v>1613</v>
      </c>
    </row>
    <row r="1309" spans="1:13">
      <c r="A1309" s="48">
        <f t="shared" si="20"/>
        <v>1308</v>
      </c>
      <c r="B1309" s="47" t="s">
        <v>4</v>
      </c>
      <c r="C1309" s="47" t="s">
        <v>7157</v>
      </c>
      <c r="D1309" s="47" t="s">
        <v>7392</v>
      </c>
      <c r="E1309" s="47" t="s">
        <v>6969</v>
      </c>
      <c r="F1309" s="47" t="s">
        <v>6683</v>
      </c>
      <c r="G1309" s="47" t="s">
        <v>14</v>
      </c>
      <c r="H1309" s="47" t="s">
        <v>86</v>
      </c>
      <c r="I1309" s="47" t="s">
        <v>5290</v>
      </c>
      <c r="J1309" s="47" t="e">
        <f>VLOOKUP(Table2[[#This Row], [Author]],People!A:B,2,0)</f>
        <v>#N/A</v>
      </c>
      <c r="K1309" s="47"/>
      <c r="L1309" s="47"/>
      <c r="M1309" s="49" t="s">
        <v>1613</v>
      </c>
    </row>
    <row r="1310" spans="1:13">
      <c r="A1310" s="48">
        <f t="shared" si="20"/>
        <v>1309</v>
      </c>
      <c r="B1310" s="47" t="s">
        <v>4</v>
      </c>
      <c r="C1310" s="47" t="s">
        <v>7157</v>
      </c>
      <c r="D1310" s="47" t="s">
        <v>7393</v>
      </c>
      <c r="E1310" s="47" t="s">
        <v>6970</v>
      </c>
      <c r="F1310" s="47" t="s">
        <v>7392</v>
      </c>
      <c r="G1310" s="47" t="s">
        <v>14</v>
      </c>
      <c r="H1310" s="47" t="s">
        <v>86</v>
      </c>
      <c r="I1310" s="47" t="s">
        <v>5290</v>
      </c>
      <c r="J1310" s="47" t="e">
        <f>VLOOKUP(Table2[[#This Row], [Author]],People!A:B,2,0)</f>
        <v>#N/A</v>
      </c>
      <c r="K1310" s="47"/>
      <c r="L1310" s="47"/>
      <c r="M1310" s="49" t="s">
        <v>1613</v>
      </c>
    </row>
    <row r="1311" spans="1:13">
      <c r="A1311" s="48">
        <f t="shared" si="20"/>
        <v>1310</v>
      </c>
      <c r="B1311" s="47" t="s">
        <v>4</v>
      </c>
      <c r="C1311" s="47" t="s">
        <v>7157</v>
      </c>
      <c r="D1311" s="47" t="s">
        <v>7394</v>
      </c>
      <c r="E1311" s="47" t="s">
        <v>6971</v>
      </c>
      <c r="F1311" s="47" t="s">
        <v>7392</v>
      </c>
      <c r="G1311" s="47" t="s">
        <v>14</v>
      </c>
      <c r="H1311" s="47" t="s">
        <v>86</v>
      </c>
      <c r="I1311" s="47" t="s">
        <v>5290</v>
      </c>
      <c r="J1311" s="47" t="e">
        <f>VLOOKUP(Table2[[#This Row], [Author]],People!A:B,2,0)</f>
        <v>#N/A</v>
      </c>
      <c r="K1311" s="47"/>
      <c r="L1311" s="47"/>
      <c r="M1311" s="49" t="s">
        <v>1613</v>
      </c>
    </row>
    <row r="1312" spans="1:13">
      <c r="A1312" s="48">
        <f t="shared" si="20"/>
        <v>1311</v>
      </c>
      <c r="B1312" s="47" t="s">
        <v>4</v>
      </c>
      <c r="C1312" s="47" t="s">
        <v>7157</v>
      </c>
      <c r="D1312" s="47" t="s">
        <v>7395</v>
      </c>
      <c r="E1312" s="47" t="s">
        <v>6972</v>
      </c>
      <c r="F1312" s="47" t="s">
        <v>7394</v>
      </c>
      <c r="G1312" s="47" t="s">
        <v>14</v>
      </c>
      <c r="H1312" s="47" t="s">
        <v>86</v>
      </c>
      <c r="I1312" s="47" t="s">
        <v>5290</v>
      </c>
      <c r="J1312" s="47" t="e">
        <f>VLOOKUP(Table2[[#This Row], [Author]],People!A:B,2,0)</f>
        <v>#N/A</v>
      </c>
      <c r="K1312" s="47"/>
      <c r="L1312" s="47"/>
      <c r="M1312" s="49" t="s">
        <v>1613</v>
      </c>
    </row>
    <row r="1313" spans="1:13">
      <c r="A1313" s="48">
        <f t="shared" si="20"/>
        <v>1312</v>
      </c>
      <c r="B1313" s="47" t="s">
        <v>4</v>
      </c>
      <c r="C1313" s="47" t="s">
        <v>7157</v>
      </c>
      <c r="D1313" s="47" t="s">
        <v>7396</v>
      </c>
      <c r="E1313" s="47" t="s">
        <v>6973</v>
      </c>
      <c r="F1313" s="47" t="s">
        <v>7394</v>
      </c>
      <c r="G1313" s="47" t="s">
        <v>14</v>
      </c>
      <c r="H1313" s="47" t="s">
        <v>86</v>
      </c>
      <c r="I1313" s="47" t="s">
        <v>5290</v>
      </c>
      <c r="J1313" s="47" t="e">
        <f>VLOOKUP(Table2[[#This Row], [Author]],People!A:B,2,0)</f>
        <v>#N/A</v>
      </c>
      <c r="K1313" s="47"/>
      <c r="L1313" s="47"/>
      <c r="M1313" s="49" t="s">
        <v>1613</v>
      </c>
    </row>
    <row r="1314" spans="1:13">
      <c r="A1314" s="48">
        <f t="shared" si="20"/>
        <v>1313</v>
      </c>
      <c r="B1314" s="47" t="s">
        <v>4</v>
      </c>
      <c r="C1314" s="47" t="s">
        <v>7157</v>
      </c>
      <c r="D1314" s="47" t="s">
        <v>7397</v>
      </c>
      <c r="E1314" s="47" t="s">
        <v>6974</v>
      </c>
      <c r="F1314" s="47" t="s">
        <v>7392</v>
      </c>
      <c r="G1314" s="47" t="s">
        <v>14</v>
      </c>
      <c r="H1314" s="47" t="s">
        <v>86</v>
      </c>
      <c r="I1314" s="47" t="s">
        <v>5290</v>
      </c>
      <c r="J1314" s="47" t="e">
        <f>VLOOKUP(Table2[[#This Row], [Author]],People!A:B,2,0)</f>
        <v>#N/A</v>
      </c>
      <c r="K1314" s="47"/>
      <c r="L1314" s="47"/>
      <c r="M1314" s="49" t="s">
        <v>1613</v>
      </c>
    </row>
    <row r="1315" spans="1:13">
      <c r="A1315" s="48">
        <f t="shared" si="20"/>
        <v>1314</v>
      </c>
      <c r="B1315" s="47" t="s">
        <v>4</v>
      </c>
      <c r="C1315" s="47" t="s">
        <v>7157</v>
      </c>
      <c r="D1315" s="47" t="s">
        <v>7398</v>
      </c>
      <c r="E1315" s="47" t="s">
        <v>6975</v>
      </c>
      <c r="F1315" s="47" t="s">
        <v>7397</v>
      </c>
      <c r="G1315" s="47" t="s">
        <v>14</v>
      </c>
      <c r="H1315" s="47" t="s">
        <v>86</v>
      </c>
      <c r="I1315" s="47" t="s">
        <v>5290</v>
      </c>
      <c r="J1315" s="47" t="e">
        <f>VLOOKUP(Table2[[#This Row], [Author]],People!A:B,2,0)</f>
        <v>#N/A</v>
      </c>
      <c r="K1315" s="47"/>
      <c r="L1315" s="47"/>
      <c r="M1315" s="49" t="s">
        <v>1613</v>
      </c>
    </row>
    <row r="1316" spans="1:13">
      <c r="A1316" s="48">
        <f t="shared" si="20"/>
        <v>1315</v>
      </c>
      <c r="B1316" s="47" t="s">
        <v>4</v>
      </c>
      <c r="C1316" s="47" t="s">
        <v>7157</v>
      </c>
      <c r="D1316" s="47" t="s">
        <v>7399</v>
      </c>
      <c r="E1316" s="47" t="s">
        <v>6976</v>
      </c>
      <c r="F1316" s="47" t="s">
        <v>7397</v>
      </c>
      <c r="G1316" s="47" t="s">
        <v>14</v>
      </c>
      <c r="H1316" s="47" t="s">
        <v>86</v>
      </c>
      <c r="I1316" s="47" t="s">
        <v>5290</v>
      </c>
      <c r="J1316" s="47" t="e">
        <f>VLOOKUP(Table2[[#This Row], [Author]],People!A:B,2,0)</f>
        <v>#N/A</v>
      </c>
      <c r="K1316" s="47"/>
      <c r="L1316" s="47"/>
      <c r="M1316" s="49" t="s">
        <v>1613</v>
      </c>
    </row>
    <row r="1317" spans="1:13">
      <c r="A1317" s="48">
        <f t="shared" si="20"/>
        <v>1316</v>
      </c>
      <c r="B1317" s="47" t="s">
        <v>4</v>
      </c>
      <c r="C1317" s="47" t="s">
        <v>7157</v>
      </c>
      <c r="D1317" s="47" t="s">
        <v>7400</v>
      </c>
      <c r="E1317" s="47" t="s">
        <v>6977</v>
      </c>
      <c r="F1317" s="47" t="s">
        <v>6682</v>
      </c>
      <c r="G1317" s="47" t="s">
        <v>14</v>
      </c>
      <c r="H1317" s="47" t="s">
        <v>86</v>
      </c>
      <c r="I1317" s="47" t="s">
        <v>5290</v>
      </c>
      <c r="J1317" s="47" t="e">
        <f>VLOOKUP(Table2[[#This Row], [Author]],People!A:B,2,0)</f>
        <v>#N/A</v>
      </c>
      <c r="K1317" s="47"/>
      <c r="L1317" s="47"/>
      <c r="M1317" s="49" t="s">
        <v>1613</v>
      </c>
    </row>
    <row r="1318" spans="1:13">
      <c r="A1318" s="48">
        <f t="shared" si="20"/>
        <v>1317</v>
      </c>
      <c r="B1318" s="47" t="s">
        <v>4</v>
      </c>
      <c r="C1318" s="47" t="s">
        <v>7157</v>
      </c>
      <c r="D1318" s="47" t="s">
        <v>7401</v>
      </c>
      <c r="E1318" s="47" t="s">
        <v>6978</v>
      </c>
      <c r="F1318" s="47" t="s">
        <v>7400</v>
      </c>
      <c r="G1318" s="47" t="s">
        <v>14</v>
      </c>
      <c r="H1318" s="47" t="s">
        <v>86</v>
      </c>
      <c r="I1318" s="47" t="s">
        <v>5290</v>
      </c>
      <c r="J1318" s="47" t="e">
        <f>VLOOKUP(Table2[[#This Row], [Author]],People!A:B,2,0)</f>
        <v>#N/A</v>
      </c>
      <c r="K1318" s="47"/>
      <c r="L1318" s="47"/>
      <c r="M1318" s="49" t="s">
        <v>1613</v>
      </c>
    </row>
    <row r="1319" spans="1:13">
      <c r="A1319" s="48">
        <f t="shared" si="20"/>
        <v>1318</v>
      </c>
      <c r="B1319" s="47" t="s">
        <v>4</v>
      </c>
      <c r="C1319" s="47" t="s">
        <v>7157</v>
      </c>
      <c r="D1319" s="47" t="s">
        <v>7402</v>
      </c>
      <c r="E1319" s="47" t="s">
        <v>6979</v>
      </c>
      <c r="F1319" s="47" t="s">
        <v>7400</v>
      </c>
      <c r="G1319" s="47" t="s">
        <v>14</v>
      </c>
      <c r="H1319" s="47" t="s">
        <v>86</v>
      </c>
      <c r="I1319" s="47" t="s">
        <v>5290</v>
      </c>
      <c r="J1319" s="47" t="e">
        <f>VLOOKUP(Table2[[#This Row], [Author]],People!A:B,2,0)</f>
        <v>#N/A</v>
      </c>
      <c r="K1319" s="47"/>
      <c r="L1319" s="47"/>
      <c r="M1319" s="49" t="s">
        <v>1613</v>
      </c>
    </row>
    <row r="1320" spans="1:13">
      <c r="A1320" s="48">
        <f t="shared" si="20"/>
        <v>1319</v>
      </c>
      <c r="B1320" s="47" t="s">
        <v>4</v>
      </c>
      <c r="C1320" s="47" t="s">
        <v>7157</v>
      </c>
      <c r="D1320" s="47" t="s">
        <v>7403</v>
      </c>
      <c r="E1320" s="47" t="s">
        <v>6980</v>
      </c>
      <c r="F1320" s="47" t="s">
        <v>7400</v>
      </c>
      <c r="G1320" s="47" t="s">
        <v>14</v>
      </c>
      <c r="H1320" s="47" t="s">
        <v>86</v>
      </c>
      <c r="I1320" s="47" t="s">
        <v>5290</v>
      </c>
      <c r="J1320" s="47" t="e">
        <f>VLOOKUP(Table2[[#This Row], [Author]],People!A:B,2,0)</f>
        <v>#N/A</v>
      </c>
      <c r="K1320" s="47"/>
      <c r="L1320" s="47"/>
      <c r="M1320" s="49" t="s">
        <v>1613</v>
      </c>
    </row>
    <row r="1321" spans="1:13">
      <c r="A1321" s="48">
        <f t="shared" si="20"/>
        <v>1320</v>
      </c>
      <c r="B1321" s="47" t="s">
        <v>4</v>
      </c>
      <c r="C1321" s="47" t="s">
        <v>7157</v>
      </c>
      <c r="D1321" s="47" t="s">
        <v>7404</v>
      </c>
      <c r="E1321" s="47" t="s">
        <v>6981</v>
      </c>
      <c r="F1321" s="47" t="s">
        <v>7403</v>
      </c>
      <c r="G1321" s="47" t="s">
        <v>14</v>
      </c>
      <c r="H1321" s="47" t="s">
        <v>86</v>
      </c>
      <c r="I1321" s="47" t="s">
        <v>5290</v>
      </c>
      <c r="J1321" s="47" t="e">
        <f>VLOOKUP(Table2[[#This Row], [Author]],People!A:B,2,0)</f>
        <v>#N/A</v>
      </c>
      <c r="K1321" s="47"/>
      <c r="L1321" s="47"/>
      <c r="M1321" s="49" t="s">
        <v>1613</v>
      </c>
    </row>
    <row r="1322" spans="1:13">
      <c r="A1322" s="48">
        <f t="shared" si="20"/>
        <v>1321</v>
      </c>
      <c r="B1322" s="47" t="s">
        <v>4</v>
      </c>
      <c r="C1322" s="47" t="s">
        <v>7157</v>
      </c>
      <c r="D1322" s="47" t="s">
        <v>7405</v>
      </c>
      <c r="E1322" s="47" t="s">
        <v>6982</v>
      </c>
      <c r="F1322" s="47" t="s">
        <v>7403</v>
      </c>
      <c r="G1322" s="47" t="s">
        <v>14</v>
      </c>
      <c r="H1322" s="47" t="s">
        <v>86</v>
      </c>
      <c r="I1322" s="47" t="s">
        <v>5290</v>
      </c>
      <c r="J1322" s="47" t="e">
        <f>VLOOKUP(Table2[[#This Row], [Author]],People!A:B,2,0)</f>
        <v>#N/A</v>
      </c>
      <c r="K1322" s="47"/>
      <c r="L1322" s="47"/>
      <c r="M1322" s="49" t="s">
        <v>1613</v>
      </c>
    </row>
    <row r="1323" spans="1:13">
      <c r="A1323" s="48">
        <f t="shared" si="20"/>
        <v>1322</v>
      </c>
      <c r="B1323" s="47" t="s">
        <v>4</v>
      </c>
      <c r="C1323" s="47" t="s">
        <v>7157</v>
      </c>
      <c r="D1323" s="47" t="s">
        <v>7406</v>
      </c>
      <c r="E1323" s="47" t="s">
        <v>6983</v>
      </c>
      <c r="F1323" s="47" t="s">
        <v>7400</v>
      </c>
      <c r="G1323" s="47" t="s">
        <v>14</v>
      </c>
      <c r="H1323" s="47" t="s">
        <v>86</v>
      </c>
      <c r="I1323" s="47" t="s">
        <v>5290</v>
      </c>
      <c r="J1323" s="47" t="e">
        <f>VLOOKUP(Table2[[#This Row], [Author]],People!A:B,2,0)</f>
        <v>#N/A</v>
      </c>
      <c r="K1323" s="47"/>
      <c r="L1323" s="47"/>
      <c r="M1323" s="49" t="s">
        <v>1613</v>
      </c>
    </row>
    <row r="1324" spans="1:13">
      <c r="A1324" s="48">
        <f t="shared" si="20"/>
        <v>1323</v>
      </c>
      <c r="B1324" s="47" t="s">
        <v>4</v>
      </c>
      <c r="C1324" s="47" t="s">
        <v>7157</v>
      </c>
      <c r="D1324" s="47" t="s">
        <v>7407</v>
      </c>
      <c r="E1324" s="47" t="s">
        <v>6984</v>
      </c>
      <c r="F1324" s="47" t="s">
        <v>7406</v>
      </c>
      <c r="G1324" s="47" t="s">
        <v>14</v>
      </c>
      <c r="H1324" s="47" t="s">
        <v>86</v>
      </c>
      <c r="I1324" s="47" t="s">
        <v>5290</v>
      </c>
      <c r="J1324" s="47" t="e">
        <f>VLOOKUP(Table2[[#This Row], [Author]],People!A:B,2,0)</f>
        <v>#N/A</v>
      </c>
      <c r="K1324" s="47"/>
      <c r="L1324" s="47"/>
      <c r="M1324" s="49" t="s">
        <v>1613</v>
      </c>
    </row>
    <row r="1325" spans="1:13">
      <c r="A1325" s="48">
        <f t="shared" si="20"/>
        <v>1324</v>
      </c>
      <c r="B1325" s="47" t="s">
        <v>4</v>
      </c>
      <c r="C1325" s="47" t="s">
        <v>7157</v>
      </c>
      <c r="D1325" s="47" t="s">
        <v>7408</v>
      </c>
      <c r="E1325" s="47" t="s">
        <v>6985</v>
      </c>
      <c r="F1325" s="47" t="s">
        <v>7406</v>
      </c>
      <c r="G1325" s="47" t="s">
        <v>14</v>
      </c>
      <c r="H1325" s="47" t="s">
        <v>86</v>
      </c>
      <c r="I1325" s="47" t="s">
        <v>5290</v>
      </c>
      <c r="J1325" s="47" t="e">
        <f>VLOOKUP(Table2[[#This Row], [Author]],People!A:B,2,0)</f>
        <v>#N/A</v>
      </c>
      <c r="K1325" s="47"/>
      <c r="L1325" s="47"/>
      <c r="M1325" s="49" t="s">
        <v>1613</v>
      </c>
    </row>
    <row r="1326" spans="1:13">
      <c r="A1326" s="48">
        <f t="shared" si="20"/>
        <v>1325</v>
      </c>
      <c r="B1326" s="47" t="s">
        <v>4</v>
      </c>
      <c r="C1326" s="47" t="s">
        <v>7157</v>
      </c>
      <c r="D1326" s="47" t="s">
        <v>7409</v>
      </c>
      <c r="E1326" s="47" t="s">
        <v>6986</v>
      </c>
      <c r="F1326" s="47" t="s">
        <v>7406</v>
      </c>
      <c r="G1326" s="47" t="s">
        <v>14</v>
      </c>
      <c r="H1326" s="47" t="s">
        <v>86</v>
      </c>
      <c r="I1326" s="47" t="s">
        <v>5290</v>
      </c>
      <c r="J1326" s="47" t="e">
        <f>VLOOKUP(Table2[[#This Row], [Author]],People!A:B,2,0)</f>
        <v>#N/A</v>
      </c>
      <c r="K1326" s="47"/>
      <c r="L1326" s="47"/>
      <c r="M1326" s="49" t="s">
        <v>1613</v>
      </c>
    </row>
    <row r="1327" spans="1:13">
      <c r="A1327" s="48">
        <f t="shared" si="20"/>
        <v>1326</v>
      </c>
      <c r="B1327" s="47" t="s">
        <v>4</v>
      </c>
      <c r="C1327" s="47" t="s">
        <v>7157</v>
      </c>
      <c r="D1327" s="47" t="s">
        <v>7410</v>
      </c>
      <c r="E1327" s="47" t="s">
        <v>6987</v>
      </c>
      <c r="F1327" s="47" t="s">
        <v>7406</v>
      </c>
      <c r="G1327" s="47" t="s">
        <v>14</v>
      </c>
      <c r="H1327" s="47" t="s">
        <v>86</v>
      </c>
      <c r="I1327" s="47" t="s">
        <v>5290</v>
      </c>
      <c r="J1327" s="47" t="e">
        <f>VLOOKUP(Table2[[#This Row], [Author]],People!A:B,2,0)</f>
        <v>#N/A</v>
      </c>
      <c r="K1327" s="47"/>
      <c r="L1327" s="47"/>
      <c r="M1327" s="49" t="s">
        <v>1613</v>
      </c>
    </row>
    <row r="1328" spans="1:13">
      <c r="A1328" s="48">
        <f t="shared" si="20"/>
        <v>1327</v>
      </c>
      <c r="B1328" s="47" t="s">
        <v>4</v>
      </c>
      <c r="C1328" s="47" t="s">
        <v>7157</v>
      </c>
      <c r="D1328" s="47" t="s">
        <v>7411</v>
      </c>
      <c r="E1328" s="47" t="s">
        <v>6988</v>
      </c>
      <c r="F1328" s="47" t="s">
        <v>7406</v>
      </c>
      <c r="G1328" s="47" t="s">
        <v>14</v>
      </c>
      <c r="H1328" s="47" t="s">
        <v>86</v>
      </c>
      <c r="I1328" s="47" t="s">
        <v>5290</v>
      </c>
      <c r="J1328" s="47" t="e">
        <f>VLOOKUP(Table2[[#This Row], [Author]],People!A:B,2,0)</f>
        <v>#N/A</v>
      </c>
      <c r="K1328" s="47"/>
      <c r="L1328" s="47"/>
      <c r="M1328" s="49" t="s">
        <v>1613</v>
      </c>
    </row>
    <row r="1329" spans="1:13">
      <c r="A1329" s="48">
        <f t="shared" si="20"/>
        <v>1328</v>
      </c>
      <c r="B1329" s="47" t="s">
        <v>4</v>
      </c>
      <c r="C1329" s="47" t="s">
        <v>7157</v>
      </c>
      <c r="D1329" s="47" t="s">
        <v>7412</v>
      </c>
      <c r="E1329" s="47" t="s">
        <v>6989</v>
      </c>
      <c r="F1329" s="47" t="s">
        <v>6683</v>
      </c>
      <c r="G1329" s="47" t="s">
        <v>14</v>
      </c>
      <c r="H1329" s="47" t="s">
        <v>86</v>
      </c>
      <c r="I1329" s="47" t="s">
        <v>5290</v>
      </c>
      <c r="J1329" s="47" t="e">
        <f>VLOOKUP(Table2[[#This Row], [Author]],People!A:B,2,0)</f>
        <v>#N/A</v>
      </c>
      <c r="K1329" s="47"/>
      <c r="L1329" s="47"/>
      <c r="M1329" s="49" t="s">
        <v>1613</v>
      </c>
    </row>
    <row r="1330" spans="1:13">
      <c r="A1330" s="48">
        <f t="shared" si="20"/>
        <v>1329</v>
      </c>
      <c r="B1330" s="47" t="s">
        <v>4</v>
      </c>
      <c r="C1330" s="47" t="s">
        <v>7157</v>
      </c>
      <c r="D1330" s="47" t="s">
        <v>7413</v>
      </c>
      <c r="E1330" s="47" t="s">
        <v>6990</v>
      </c>
      <c r="F1330" s="47" t="s">
        <v>7412</v>
      </c>
      <c r="G1330" s="47" t="s">
        <v>14</v>
      </c>
      <c r="H1330" s="47" t="s">
        <v>86</v>
      </c>
      <c r="I1330" s="47" t="s">
        <v>5290</v>
      </c>
      <c r="J1330" s="47" t="e">
        <f>VLOOKUP(Table2[[#This Row], [Author]],People!A:B,2,0)</f>
        <v>#N/A</v>
      </c>
      <c r="K1330" s="47"/>
      <c r="L1330" s="47"/>
      <c r="M1330" s="49" t="s">
        <v>1613</v>
      </c>
    </row>
    <row r="1331" spans="1:13">
      <c r="A1331" s="48">
        <f t="shared" si="20"/>
        <v>1330</v>
      </c>
      <c r="B1331" s="47" t="s">
        <v>4</v>
      </c>
      <c r="C1331" s="47" t="s">
        <v>7157</v>
      </c>
      <c r="D1331" s="47" t="s">
        <v>7414</v>
      </c>
      <c r="E1331" s="47" t="s">
        <v>6991</v>
      </c>
      <c r="F1331" s="47" t="s">
        <v>7412</v>
      </c>
      <c r="G1331" s="47" t="s">
        <v>14</v>
      </c>
      <c r="H1331" s="47" t="s">
        <v>86</v>
      </c>
      <c r="I1331" s="47" t="s">
        <v>5290</v>
      </c>
      <c r="J1331" s="47" t="e">
        <f>VLOOKUP(Table2[[#This Row], [Author]],People!A:B,2,0)</f>
        <v>#N/A</v>
      </c>
      <c r="K1331" s="47"/>
      <c r="L1331" s="47"/>
      <c r="M1331" s="49" t="s">
        <v>1613</v>
      </c>
    </row>
    <row r="1332" spans="1:13">
      <c r="A1332" s="48">
        <f t="shared" si="20"/>
        <v>1331</v>
      </c>
      <c r="B1332" s="47" t="s">
        <v>4</v>
      </c>
      <c r="C1332" s="47" t="s">
        <v>7157</v>
      </c>
      <c r="D1332" s="47" t="s">
        <v>7415</v>
      </c>
      <c r="E1332" s="47" t="s">
        <v>6992</v>
      </c>
      <c r="F1332" s="47" t="s">
        <v>7414</v>
      </c>
      <c r="G1332" s="47" t="s">
        <v>14</v>
      </c>
      <c r="H1332" s="47" t="s">
        <v>86</v>
      </c>
      <c r="I1332" s="47" t="s">
        <v>5290</v>
      </c>
      <c r="J1332" s="47" t="e">
        <f>VLOOKUP(Table2[[#This Row], [Author]],People!A:B,2,0)</f>
        <v>#N/A</v>
      </c>
      <c r="K1332" s="47"/>
      <c r="L1332" s="47"/>
      <c r="M1332" s="49" t="s">
        <v>1613</v>
      </c>
    </row>
    <row r="1333" spans="1:13">
      <c r="A1333" s="48">
        <f t="shared" si="20"/>
        <v>1332</v>
      </c>
      <c r="B1333" s="47" t="s">
        <v>4</v>
      </c>
      <c r="C1333" s="47" t="s">
        <v>7157</v>
      </c>
      <c r="D1333" s="47" t="s">
        <v>7416</v>
      </c>
      <c r="E1333" s="47" t="s">
        <v>6993</v>
      </c>
      <c r="F1333" s="47" t="s">
        <v>7414</v>
      </c>
      <c r="G1333" s="47" t="s">
        <v>14</v>
      </c>
      <c r="H1333" s="47" t="s">
        <v>86</v>
      </c>
      <c r="I1333" s="47" t="s">
        <v>5290</v>
      </c>
      <c r="J1333" s="47" t="e">
        <f>VLOOKUP(Table2[[#This Row], [Author]],People!A:B,2,0)</f>
        <v>#N/A</v>
      </c>
      <c r="K1333" s="47"/>
      <c r="L1333" s="47"/>
      <c r="M1333" s="49" t="s">
        <v>1613</v>
      </c>
    </row>
    <row r="1334" spans="1:13">
      <c r="A1334" s="48">
        <f t="shared" si="20"/>
        <v>1333</v>
      </c>
      <c r="B1334" s="47" t="s">
        <v>4</v>
      </c>
      <c r="C1334" s="47" t="s">
        <v>7157</v>
      </c>
      <c r="D1334" s="47" t="s">
        <v>7417</v>
      </c>
      <c r="E1334" s="47" t="s">
        <v>6994</v>
      </c>
      <c r="F1334" s="47" t="s">
        <v>7412</v>
      </c>
      <c r="G1334" s="47" t="s">
        <v>14</v>
      </c>
      <c r="H1334" s="47" t="s">
        <v>86</v>
      </c>
      <c r="I1334" s="47" t="s">
        <v>5290</v>
      </c>
      <c r="J1334" s="47" t="e">
        <f>VLOOKUP(Table2[[#This Row], [Author]],People!A:B,2,0)</f>
        <v>#N/A</v>
      </c>
      <c r="K1334" s="47"/>
      <c r="L1334" s="47"/>
      <c r="M1334" s="49" t="s">
        <v>1613</v>
      </c>
    </row>
    <row r="1335" spans="1:13">
      <c r="A1335" s="48">
        <f t="shared" si="20"/>
        <v>1334</v>
      </c>
      <c r="B1335" s="47" t="s">
        <v>4</v>
      </c>
      <c r="C1335" s="47" t="s">
        <v>7157</v>
      </c>
      <c r="D1335" s="47" t="s">
        <v>7418</v>
      </c>
      <c r="E1335" s="47" t="s">
        <v>6995</v>
      </c>
      <c r="F1335" s="47" t="s">
        <v>7417</v>
      </c>
      <c r="G1335" s="47" t="s">
        <v>14</v>
      </c>
      <c r="H1335" s="47" t="s">
        <v>86</v>
      </c>
      <c r="I1335" s="47" t="s">
        <v>5290</v>
      </c>
      <c r="J1335" s="47" t="e">
        <f>VLOOKUP(Table2[[#This Row], [Author]],People!A:B,2,0)</f>
        <v>#N/A</v>
      </c>
      <c r="K1335" s="47"/>
      <c r="L1335" s="47"/>
      <c r="M1335" s="49" t="s">
        <v>1613</v>
      </c>
    </row>
    <row r="1336" spans="1:13">
      <c r="A1336" s="48">
        <f t="shared" si="20"/>
        <v>1335</v>
      </c>
      <c r="B1336" s="47" t="s">
        <v>4</v>
      </c>
      <c r="C1336" s="47" t="s">
        <v>7157</v>
      </c>
      <c r="D1336" s="47" t="s">
        <v>7419</v>
      </c>
      <c r="E1336" s="47" t="s">
        <v>6996</v>
      </c>
      <c r="F1336" s="47" t="s">
        <v>7417</v>
      </c>
      <c r="G1336" s="47" t="s">
        <v>14</v>
      </c>
      <c r="H1336" s="47" t="s">
        <v>86</v>
      </c>
      <c r="I1336" s="47" t="s">
        <v>5290</v>
      </c>
      <c r="J1336" s="47" t="e">
        <f>VLOOKUP(Table2[[#This Row], [Author]],People!A:B,2,0)</f>
        <v>#N/A</v>
      </c>
      <c r="K1336" s="47"/>
      <c r="L1336" s="47"/>
      <c r="M1336" s="49" t="s">
        <v>1613</v>
      </c>
    </row>
    <row r="1337" spans="1:13">
      <c r="A1337" s="48">
        <f t="shared" si="20"/>
        <v>1336</v>
      </c>
      <c r="B1337" s="47" t="s">
        <v>4</v>
      </c>
      <c r="C1337" s="47" t="s">
        <v>7157</v>
      </c>
      <c r="D1337" s="47" t="s">
        <v>7420</v>
      </c>
      <c r="E1337" s="47" t="s">
        <v>6997</v>
      </c>
      <c r="F1337" s="47" t="s">
        <v>6682</v>
      </c>
      <c r="G1337" s="47" t="s">
        <v>14</v>
      </c>
      <c r="H1337" s="47" t="s">
        <v>86</v>
      </c>
      <c r="I1337" s="47" t="s">
        <v>5290</v>
      </c>
      <c r="J1337" s="47" t="e">
        <f>VLOOKUP(Table2[[#This Row], [Author]],People!A:B,2,0)</f>
        <v>#N/A</v>
      </c>
      <c r="K1337" s="47"/>
      <c r="L1337" s="47"/>
      <c r="M1337" s="49" t="s">
        <v>1613</v>
      </c>
    </row>
    <row r="1338" spans="1:13">
      <c r="A1338" s="48">
        <f t="shared" si="20"/>
        <v>1337</v>
      </c>
      <c r="B1338" s="47" t="s">
        <v>4</v>
      </c>
      <c r="C1338" s="47" t="s">
        <v>7157</v>
      </c>
      <c r="D1338" s="47" t="s">
        <v>7421</v>
      </c>
      <c r="E1338" s="47" t="s">
        <v>6998</v>
      </c>
      <c r="F1338" s="47" t="s">
        <v>7420</v>
      </c>
      <c r="G1338" s="47" t="s">
        <v>14</v>
      </c>
      <c r="H1338" s="47" t="s">
        <v>86</v>
      </c>
      <c r="I1338" s="47" t="s">
        <v>5290</v>
      </c>
      <c r="J1338" s="47" t="e">
        <f>VLOOKUP(Table2[[#This Row], [Author]],People!A:B,2,0)</f>
        <v>#N/A</v>
      </c>
      <c r="K1338" s="47"/>
      <c r="L1338" s="47"/>
      <c r="M1338" s="49" t="s">
        <v>1613</v>
      </c>
    </row>
    <row r="1339" spans="1:13">
      <c r="A1339" s="48">
        <f t="shared" si="20"/>
        <v>1338</v>
      </c>
      <c r="B1339" s="47" t="s">
        <v>4</v>
      </c>
      <c r="C1339" s="47" t="s">
        <v>7157</v>
      </c>
      <c r="D1339" s="47" t="s">
        <v>7422</v>
      </c>
      <c r="E1339" s="47" t="s">
        <v>6999</v>
      </c>
      <c r="F1339" s="47" t="s">
        <v>7420</v>
      </c>
      <c r="G1339" s="47" t="s">
        <v>14</v>
      </c>
      <c r="H1339" s="47" t="s">
        <v>86</v>
      </c>
      <c r="I1339" s="47" t="s">
        <v>5290</v>
      </c>
      <c r="J1339" s="47" t="e">
        <f>VLOOKUP(Table2[[#This Row], [Author]],People!A:B,2,0)</f>
        <v>#N/A</v>
      </c>
      <c r="K1339" s="47"/>
      <c r="L1339" s="47"/>
      <c r="M1339" s="49" t="s">
        <v>1613</v>
      </c>
    </row>
    <row r="1340" spans="1:13">
      <c r="A1340" s="48">
        <f t="shared" si="20"/>
        <v>1339</v>
      </c>
      <c r="B1340" s="47" t="s">
        <v>4</v>
      </c>
      <c r="C1340" s="47" t="s">
        <v>7157</v>
      </c>
      <c r="D1340" s="47" t="s">
        <v>7423</v>
      </c>
      <c r="E1340" s="47" t="s">
        <v>7000</v>
      </c>
      <c r="F1340" s="47" t="s">
        <v>7420</v>
      </c>
      <c r="G1340" s="47" t="s">
        <v>14</v>
      </c>
      <c r="H1340" s="47" t="s">
        <v>86</v>
      </c>
      <c r="I1340" s="47" t="s">
        <v>5290</v>
      </c>
      <c r="J1340" s="47" t="e">
        <f>VLOOKUP(Table2[[#This Row], [Author]],People!A:B,2,0)</f>
        <v>#N/A</v>
      </c>
      <c r="K1340" s="47"/>
      <c r="L1340" s="47"/>
      <c r="M1340" s="49" t="s">
        <v>1613</v>
      </c>
    </row>
    <row r="1341" spans="1:13">
      <c r="A1341" s="48">
        <f t="shared" si="20"/>
        <v>1340</v>
      </c>
      <c r="B1341" s="47" t="s">
        <v>4</v>
      </c>
      <c r="C1341" s="47" t="s">
        <v>7157</v>
      </c>
      <c r="D1341" s="47" t="s">
        <v>7424</v>
      </c>
      <c r="E1341" s="47" t="s">
        <v>7001</v>
      </c>
      <c r="F1341" s="47" t="s">
        <v>7423</v>
      </c>
      <c r="G1341" s="47" t="s">
        <v>14</v>
      </c>
      <c r="H1341" s="47" t="s">
        <v>86</v>
      </c>
      <c r="I1341" s="47" t="s">
        <v>5290</v>
      </c>
      <c r="J1341" s="47" t="e">
        <f>VLOOKUP(Table2[[#This Row], [Author]],People!A:B,2,0)</f>
        <v>#N/A</v>
      </c>
      <c r="K1341" s="47"/>
      <c r="L1341" s="47"/>
      <c r="M1341" s="49" t="s">
        <v>1613</v>
      </c>
    </row>
    <row r="1342" spans="1:13">
      <c r="A1342" s="48">
        <f t="shared" si="20"/>
        <v>1341</v>
      </c>
      <c r="B1342" s="47" t="s">
        <v>4</v>
      </c>
      <c r="C1342" s="47" t="s">
        <v>7157</v>
      </c>
      <c r="D1342" s="47" t="s">
        <v>7425</v>
      </c>
      <c r="E1342" s="47" t="s">
        <v>7002</v>
      </c>
      <c r="F1342" s="47" t="s">
        <v>7423</v>
      </c>
      <c r="G1342" s="47" t="s">
        <v>14</v>
      </c>
      <c r="H1342" s="47" t="s">
        <v>86</v>
      </c>
      <c r="I1342" s="47" t="s">
        <v>5290</v>
      </c>
      <c r="J1342" s="47" t="e">
        <f>VLOOKUP(Table2[[#This Row], [Author]],People!A:B,2,0)</f>
        <v>#N/A</v>
      </c>
      <c r="K1342" s="47"/>
      <c r="L1342" s="47"/>
      <c r="M1342" s="49" t="s">
        <v>1613</v>
      </c>
    </row>
    <row r="1343" spans="1:13">
      <c r="A1343" s="48">
        <f t="shared" si="20"/>
        <v>1342</v>
      </c>
      <c r="B1343" s="47" t="s">
        <v>4</v>
      </c>
      <c r="C1343" s="47" t="s">
        <v>7157</v>
      </c>
      <c r="D1343" s="47" t="s">
        <v>7426</v>
      </c>
      <c r="E1343" s="47" t="s">
        <v>7003</v>
      </c>
      <c r="F1343" s="47" t="s">
        <v>7420</v>
      </c>
      <c r="G1343" s="47" t="s">
        <v>14</v>
      </c>
      <c r="H1343" s="47" t="s">
        <v>86</v>
      </c>
      <c r="I1343" s="47" t="s">
        <v>5290</v>
      </c>
      <c r="J1343" s="47" t="e">
        <f>VLOOKUP(Table2[[#This Row], [Author]],People!A:B,2,0)</f>
        <v>#N/A</v>
      </c>
      <c r="K1343" s="47"/>
      <c r="L1343" s="47"/>
      <c r="M1343" s="49" t="s">
        <v>1613</v>
      </c>
    </row>
    <row r="1344" spans="1:13">
      <c r="A1344" s="48">
        <f t="shared" si="20"/>
        <v>1343</v>
      </c>
      <c r="B1344" s="47" t="s">
        <v>4</v>
      </c>
      <c r="C1344" s="47" t="s">
        <v>7157</v>
      </c>
      <c r="D1344" s="47" t="s">
        <v>7427</v>
      </c>
      <c r="E1344" s="47" t="s">
        <v>7004</v>
      </c>
      <c r="F1344" s="47" t="s">
        <v>7426</v>
      </c>
      <c r="G1344" s="47" t="s">
        <v>14</v>
      </c>
      <c r="H1344" s="47" t="s">
        <v>86</v>
      </c>
      <c r="I1344" s="47" t="s">
        <v>5290</v>
      </c>
      <c r="J1344" s="47" t="e">
        <f>VLOOKUP(Table2[[#This Row], [Author]],People!A:B,2,0)</f>
        <v>#N/A</v>
      </c>
      <c r="K1344" s="47"/>
      <c r="L1344" s="47"/>
      <c r="M1344" s="49" t="s">
        <v>1613</v>
      </c>
    </row>
    <row r="1345" spans="1:13">
      <c r="A1345" s="48">
        <f t="shared" si="20"/>
        <v>1344</v>
      </c>
      <c r="B1345" s="47" t="s">
        <v>4</v>
      </c>
      <c r="C1345" s="47" t="s">
        <v>7157</v>
      </c>
      <c r="D1345" s="47" t="s">
        <v>7428</v>
      </c>
      <c r="E1345" s="47" t="s">
        <v>7005</v>
      </c>
      <c r="F1345" s="47" t="s">
        <v>7426</v>
      </c>
      <c r="G1345" s="47" t="s">
        <v>14</v>
      </c>
      <c r="H1345" s="47" t="s">
        <v>86</v>
      </c>
      <c r="I1345" s="47" t="s">
        <v>5290</v>
      </c>
      <c r="J1345" s="47" t="e">
        <f>VLOOKUP(Table2[[#This Row], [Author]],People!A:B,2,0)</f>
        <v>#N/A</v>
      </c>
      <c r="K1345" s="47"/>
      <c r="L1345" s="47"/>
      <c r="M1345" s="49" t="s">
        <v>1613</v>
      </c>
    </row>
    <row r="1346" spans="1:13">
      <c r="A1346" s="48">
        <f t="shared" si="20"/>
        <v>1345</v>
      </c>
      <c r="B1346" s="47" t="s">
        <v>4</v>
      </c>
      <c r="C1346" s="47" t="s">
        <v>7157</v>
      </c>
      <c r="D1346" s="47" t="s">
        <v>7429</v>
      </c>
      <c r="E1346" s="47" t="s">
        <v>7006</v>
      </c>
      <c r="F1346" s="47" t="s">
        <v>7426</v>
      </c>
      <c r="G1346" s="47" t="s">
        <v>14</v>
      </c>
      <c r="H1346" s="47" t="s">
        <v>86</v>
      </c>
      <c r="I1346" s="47" t="s">
        <v>5290</v>
      </c>
      <c r="J1346" s="47" t="e">
        <f>VLOOKUP(Table2[[#This Row], [Author]],People!A:B,2,0)</f>
        <v>#N/A</v>
      </c>
      <c r="K1346" s="47"/>
      <c r="L1346" s="47"/>
      <c r="M1346" s="49" t="s">
        <v>1613</v>
      </c>
    </row>
    <row r="1347" spans="1:13">
      <c r="A1347" s="48">
        <f t="shared" ref="A1347:A1410" si="21">1+A1346</f>
        <v>1346</v>
      </c>
      <c r="B1347" s="47" t="s">
        <v>4</v>
      </c>
      <c r="C1347" s="47" t="s">
        <v>7157</v>
      </c>
      <c r="D1347" s="47" t="s">
        <v>7430</v>
      </c>
      <c r="E1347" s="47" t="s">
        <v>7007</v>
      </c>
      <c r="F1347" s="47" t="s">
        <v>7426</v>
      </c>
      <c r="G1347" s="47" t="s">
        <v>14</v>
      </c>
      <c r="H1347" s="47" t="s">
        <v>86</v>
      </c>
      <c r="I1347" s="47" t="s">
        <v>5290</v>
      </c>
      <c r="J1347" s="47" t="e">
        <f>VLOOKUP(Table2[[#This Row], [Author]],People!A:B,2,0)</f>
        <v>#N/A</v>
      </c>
      <c r="K1347" s="47"/>
      <c r="L1347" s="47"/>
      <c r="M1347" s="49" t="s">
        <v>1613</v>
      </c>
    </row>
    <row r="1348" spans="1:13">
      <c r="A1348" s="48">
        <f t="shared" si="21"/>
        <v>1347</v>
      </c>
      <c r="B1348" s="47" t="s">
        <v>4</v>
      </c>
      <c r="C1348" s="47" t="s">
        <v>7157</v>
      </c>
      <c r="D1348" s="47" t="s">
        <v>7431</v>
      </c>
      <c r="E1348" s="47" t="s">
        <v>7008</v>
      </c>
      <c r="F1348" s="47" t="s">
        <v>7426</v>
      </c>
      <c r="G1348" s="47" t="s">
        <v>14</v>
      </c>
      <c r="H1348" s="47" t="s">
        <v>86</v>
      </c>
      <c r="I1348" s="47" t="s">
        <v>5290</v>
      </c>
      <c r="J1348" s="47" t="e">
        <f>VLOOKUP(Table2[[#This Row], [Author]],People!A:B,2,0)</f>
        <v>#N/A</v>
      </c>
      <c r="K1348" s="47"/>
      <c r="L1348" s="47"/>
      <c r="M1348" s="49" t="s">
        <v>1613</v>
      </c>
    </row>
    <row r="1349" spans="1:13">
      <c r="A1349" s="48">
        <f t="shared" si="21"/>
        <v>1348</v>
      </c>
      <c r="B1349" s="47" t="s">
        <v>4</v>
      </c>
      <c r="C1349" s="47" t="s">
        <v>7157</v>
      </c>
      <c r="D1349" s="47" t="s">
        <v>7432</v>
      </c>
      <c r="E1349" s="47" t="s">
        <v>7009</v>
      </c>
      <c r="F1349" s="47" t="s">
        <v>6683</v>
      </c>
      <c r="G1349" s="47" t="s">
        <v>14</v>
      </c>
      <c r="H1349" s="47" t="s">
        <v>86</v>
      </c>
      <c r="I1349" s="47" t="s">
        <v>5290</v>
      </c>
      <c r="J1349" s="47" t="e">
        <f>VLOOKUP(Table2[[#This Row], [Author]],People!A:B,2,0)</f>
        <v>#N/A</v>
      </c>
      <c r="K1349" s="47"/>
      <c r="L1349" s="47"/>
      <c r="M1349" s="49" t="s">
        <v>1613</v>
      </c>
    </row>
    <row r="1350" spans="1:13">
      <c r="A1350" s="48">
        <f t="shared" si="21"/>
        <v>1349</v>
      </c>
      <c r="B1350" s="47" t="s">
        <v>4</v>
      </c>
      <c r="C1350" s="47" t="s">
        <v>7157</v>
      </c>
      <c r="D1350" s="47" t="s">
        <v>7433</v>
      </c>
      <c r="E1350" s="47" t="s">
        <v>7010</v>
      </c>
      <c r="F1350" s="47" t="s">
        <v>7432</v>
      </c>
      <c r="G1350" s="47" t="s">
        <v>14</v>
      </c>
      <c r="H1350" s="47" t="s">
        <v>86</v>
      </c>
      <c r="I1350" s="47" t="s">
        <v>5290</v>
      </c>
      <c r="J1350" s="47" t="e">
        <f>VLOOKUP(Table2[[#This Row], [Author]],People!A:B,2,0)</f>
        <v>#N/A</v>
      </c>
      <c r="K1350" s="47"/>
      <c r="L1350" s="47"/>
      <c r="M1350" s="49" t="s">
        <v>1613</v>
      </c>
    </row>
    <row r="1351" spans="1:13">
      <c r="A1351" s="48">
        <f t="shared" si="21"/>
        <v>1350</v>
      </c>
      <c r="B1351" s="47" t="s">
        <v>4</v>
      </c>
      <c r="C1351" s="47" t="s">
        <v>7157</v>
      </c>
      <c r="D1351" s="47" t="s">
        <v>7434</v>
      </c>
      <c r="E1351" s="47" t="s">
        <v>7011</v>
      </c>
      <c r="F1351" s="47" t="s">
        <v>7432</v>
      </c>
      <c r="G1351" s="47" t="s">
        <v>14</v>
      </c>
      <c r="H1351" s="47" t="s">
        <v>86</v>
      </c>
      <c r="I1351" s="47" t="s">
        <v>5290</v>
      </c>
      <c r="J1351" s="47" t="e">
        <f>VLOOKUP(Table2[[#This Row], [Author]],People!A:B,2,0)</f>
        <v>#N/A</v>
      </c>
      <c r="K1351" s="47"/>
      <c r="L1351" s="47"/>
      <c r="M1351" s="49" t="s">
        <v>1613</v>
      </c>
    </row>
    <row r="1352" spans="1:13">
      <c r="A1352" s="48">
        <f t="shared" si="21"/>
        <v>1351</v>
      </c>
      <c r="B1352" s="47" t="s">
        <v>4</v>
      </c>
      <c r="C1352" s="47" t="s">
        <v>7157</v>
      </c>
      <c r="D1352" s="47" t="s">
        <v>7435</v>
      </c>
      <c r="E1352" s="47" t="s">
        <v>7012</v>
      </c>
      <c r="F1352" s="47" t="s">
        <v>7434</v>
      </c>
      <c r="G1352" s="47" t="s">
        <v>14</v>
      </c>
      <c r="H1352" s="47" t="s">
        <v>86</v>
      </c>
      <c r="I1352" s="47" t="s">
        <v>5290</v>
      </c>
      <c r="J1352" s="47" t="e">
        <f>VLOOKUP(Table2[[#This Row], [Author]],People!A:B,2,0)</f>
        <v>#N/A</v>
      </c>
      <c r="K1352" s="47"/>
      <c r="L1352" s="47"/>
      <c r="M1352" s="49" t="s">
        <v>1613</v>
      </c>
    </row>
    <row r="1353" spans="1:13">
      <c r="A1353" s="48">
        <f t="shared" si="21"/>
        <v>1352</v>
      </c>
      <c r="B1353" s="47" t="s">
        <v>4</v>
      </c>
      <c r="C1353" s="47" t="s">
        <v>7157</v>
      </c>
      <c r="D1353" s="47" t="s">
        <v>7436</v>
      </c>
      <c r="E1353" s="47" t="s">
        <v>7013</v>
      </c>
      <c r="F1353" s="47" t="s">
        <v>7434</v>
      </c>
      <c r="G1353" s="47" t="s">
        <v>14</v>
      </c>
      <c r="H1353" s="47" t="s">
        <v>86</v>
      </c>
      <c r="I1353" s="47" t="s">
        <v>5290</v>
      </c>
      <c r="J1353" s="47" t="e">
        <f>VLOOKUP(Table2[[#This Row], [Author]],People!A:B,2,0)</f>
        <v>#N/A</v>
      </c>
      <c r="K1353" s="47"/>
      <c r="L1353" s="47"/>
      <c r="M1353" s="49" t="s">
        <v>1613</v>
      </c>
    </row>
    <row r="1354" spans="1:13">
      <c r="A1354" s="48">
        <f t="shared" si="21"/>
        <v>1353</v>
      </c>
      <c r="B1354" s="47" t="s">
        <v>4</v>
      </c>
      <c r="C1354" s="47" t="s">
        <v>7157</v>
      </c>
      <c r="D1354" s="47" t="s">
        <v>7437</v>
      </c>
      <c r="E1354" s="47" t="s">
        <v>7014</v>
      </c>
      <c r="F1354" s="47" t="s">
        <v>7432</v>
      </c>
      <c r="G1354" s="47" t="s">
        <v>14</v>
      </c>
      <c r="H1354" s="47" t="s">
        <v>86</v>
      </c>
      <c r="I1354" s="47" t="s">
        <v>5290</v>
      </c>
      <c r="J1354" s="47" t="e">
        <f>VLOOKUP(Table2[[#This Row], [Author]],People!A:B,2,0)</f>
        <v>#N/A</v>
      </c>
      <c r="K1354" s="47"/>
      <c r="L1354" s="47"/>
      <c r="M1354" s="49" t="s">
        <v>1613</v>
      </c>
    </row>
    <row r="1355" spans="1:13">
      <c r="A1355" s="48">
        <f t="shared" si="21"/>
        <v>1354</v>
      </c>
      <c r="B1355" s="47" t="s">
        <v>4</v>
      </c>
      <c r="C1355" s="47" t="s">
        <v>7157</v>
      </c>
      <c r="D1355" s="47" t="s">
        <v>7438</v>
      </c>
      <c r="E1355" s="47" t="s">
        <v>7015</v>
      </c>
      <c r="F1355" s="47" t="s">
        <v>7437</v>
      </c>
      <c r="G1355" s="47" t="s">
        <v>14</v>
      </c>
      <c r="H1355" s="47" t="s">
        <v>86</v>
      </c>
      <c r="I1355" s="47" t="s">
        <v>5290</v>
      </c>
      <c r="J1355" s="47" t="e">
        <f>VLOOKUP(Table2[[#This Row], [Author]],People!A:B,2,0)</f>
        <v>#N/A</v>
      </c>
      <c r="K1355" s="47"/>
      <c r="L1355" s="47"/>
      <c r="M1355" s="49" t="s">
        <v>1613</v>
      </c>
    </row>
    <row r="1356" spans="1:13">
      <c r="A1356" s="48">
        <f t="shared" si="21"/>
        <v>1355</v>
      </c>
      <c r="B1356" s="47" t="s">
        <v>4</v>
      </c>
      <c r="C1356" s="47" t="s">
        <v>7157</v>
      </c>
      <c r="D1356" s="47" t="s">
        <v>7439</v>
      </c>
      <c r="E1356" s="47" t="s">
        <v>7016</v>
      </c>
      <c r="F1356" s="47" t="s">
        <v>7437</v>
      </c>
      <c r="G1356" s="47" t="s">
        <v>14</v>
      </c>
      <c r="H1356" s="47" t="s">
        <v>86</v>
      </c>
      <c r="I1356" s="47" t="s">
        <v>5290</v>
      </c>
      <c r="J1356" s="47" t="e">
        <f>VLOOKUP(Table2[[#This Row], [Author]],People!A:B,2,0)</f>
        <v>#N/A</v>
      </c>
      <c r="K1356" s="47"/>
      <c r="L1356" s="47"/>
      <c r="M1356" s="49" t="s">
        <v>1613</v>
      </c>
    </row>
    <row r="1357" spans="1:13">
      <c r="A1357" s="48">
        <f t="shared" si="21"/>
        <v>1356</v>
      </c>
      <c r="B1357" s="47" t="s">
        <v>4</v>
      </c>
      <c r="C1357" s="47" t="s">
        <v>7157</v>
      </c>
      <c r="D1357" s="47" t="s">
        <v>7440</v>
      </c>
      <c r="E1357" s="47" t="s">
        <v>7017</v>
      </c>
      <c r="F1357" s="47" t="s">
        <v>6682</v>
      </c>
      <c r="G1357" s="47" t="s">
        <v>14</v>
      </c>
      <c r="H1357" s="47" t="s">
        <v>86</v>
      </c>
      <c r="I1357" s="47" t="s">
        <v>5290</v>
      </c>
      <c r="J1357" s="47" t="e">
        <f>VLOOKUP(Table2[[#This Row], [Author]],People!A:B,2,0)</f>
        <v>#N/A</v>
      </c>
      <c r="K1357" s="47"/>
      <c r="L1357" s="47"/>
      <c r="M1357" s="49" t="s">
        <v>1613</v>
      </c>
    </row>
    <row r="1358" spans="1:13">
      <c r="A1358" s="48">
        <f t="shared" si="21"/>
        <v>1357</v>
      </c>
      <c r="B1358" s="47" t="s">
        <v>4</v>
      </c>
      <c r="C1358" s="47" t="s">
        <v>7157</v>
      </c>
      <c r="D1358" s="47" t="s">
        <v>7441</v>
      </c>
      <c r="E1358" s="47" t="s">
        <v>7018</v>
      </c>
      <c r="F1358" s="47" t="s">
        <v>7440</v>
      </c>
      <c r="G1358" s="47" t="s">
        <v>14</v>
      </c>
      <c r="H1358" s="47" t="s">
        <v>86</v>
      </c>
      <c r="I1358" s="47" t="s">
        <v>5290</v>
      </c>
      <c r="J1358" s="47" t="e">
        <f>VLOOKUP(Table2[[#This Row], [Author]],People!A:B,2,0)</f>
        <v>#N/A</v>
      </c>
      <c r="K1358" s="47"/>
      <c r="L1358" s="47"/>
      <c r="M1358" s="49" t="s">
        <v>1613</v>
      </c>
    </row>
    <row r="1359" spans="1:13">
      <c r="A1359" s="48">
        <f t="shared" si="21"/>
        <v>1358</v>
      </c>
      <c r="B1359" s="47" t="s">
        <v>4</v>
      </c>
      <c r="C1359" s="47" t="s">
        <v>7157</v>
      </c>
      <c r="D1359" s="47" t="s">
        <v>7442</v>
      </c>
      <c r="E1359" s="47" t="s">
        <v>7019</v>
      </c>
      <c r="F1359" s="47" t="s">
        <v>7440</v>
      </c>
      <c r="G1359" s="47" t="s">
        <v>14</v>
      </c>
      <c r="H1359" s="47" t="s">
        <v>86</v>
      </c>
      <c r="I1359" s="47" t="s">
        <v>5290</v>
      </c>
      <c r="J1359" s="47" t="e">
        <f>VLOOKUP(Table2[[#This Row], [Author]],People!A:B,2,0)</f>
        <v>#N/A</v>
      </c>
      <c r="K1359" s="47"/>
      <c r="L1359" s="47"/>
      <c r="M1359" s="49" t="s">
        <v>1613</v>
      </c>
    </row>
    <row r="1360" spans="1:13">
      <c r="A1360" s="48">
        <f t="shared" si="21"/>
        <v>1359</v>
      </c>
      <c r="B1360" s="47" t="s">
        <v>4</v>
      </c>
      <c r="C1360" s="47" t="s">
        <v>7157</v>
      </c>
      <c r="D1360" s="47" t="s">
        <v>7443</v>
      </c>
      <c r="E1360" s="47" t="s">
        <v>7020</v>
      </c>
      <c r="F1360" s="47" t="s">
        <v>7440</v>
      </c>
      <c r="G1360" s="47" t="s">
        <v>14</v>
      </c>
      <c r="H1360" s="47" t="s">
        <v>86</v>
      </c>
      <c r="I1360" s="47" t="s">
        <v>5290</v>
      </c>
      <c r="J1360" s="47" t="e">
        <f>VLOOKUP(Table2[[#This Row], [Author]],People!A:B,2,0)</f>
        <v>#N/A</v>
      </c>
      <c r="K1360" s="47"/>
      <c r="L1360" s="47"/>
      <c r="M1360" s="49" t="s">
        <v>1613</v>
      </c>
    </row>
    <row r="1361" spans="1:13">
      <c r="A1361" s="48">
        <f t="shared" si="21"/>
        <v>1360</v>
      </c>
      <c r="B1361" s="47" t="s">
        <v>4</v>
      </c>
      <c r="C1361" s="47" t="s">
        <v>7157</v>
      </c>
      <c r="D1361" s="47" t="s">
        <v>7444</v>
      </c>
      <c r="E1361" s="47" t="s">
        <v>7021</v>
      </c>
      <c r="F1361" s="47" t="s">
        <v>7443</v>
      </c>
      <c r="G1361" s="47" t="s">
        <v>14</v>
      </c>
      <c r="H1361" s="47" t="s">
        <v>86</v>
      </c>
      <c r="I1361" s="47" t="s">
        <v>5290</v>
      </c>
      <c r="J1361" s="47" t="e">
        <f>VLOOKUP(Table2[[#This Row], [Author]],People!A:B,2,0)</f>
        <v>#N/A</v>
      </c>
      <c r="K1361" s="47"/>
      <c r="L1361" s="47"/>
      <c r="M1361" s="49" t="s">
        <v>1613</v>
      </c>
    </row>
    <row r="1362" spans="1:13">
      <c r="A1362" s="48">
        <f t="shared" si="21"/>
        <v>1361</v>
      </c>
      <c r="B1362" s="47" t="s">
        <v>4</v>
      </c>
      <c r="C1362" s="47" t="s">
        <v>7157</v>
      </c>
      <c r="D1362" s="47" t="s">
        <v>7445</v>
      </c>
      <c r="E1362" s="47" t="s">
        <v>7022</v>
      </c>
      <c r="F1362" s="47" t="s">
        <v>7443</v>
      </c>
      <c r="G1362" s="47" t="s">
        <v>14</v>
      </c>
      <c r="H1362" s="47" t="s">
        <v>86</v>
      </c>
      <c r="I1362" s="47" t="s">
        <v>5290</v>
      </c>
      <c r="J1362" s="47" t="e">
        <f>VLOOKUP(Table2[[#This Row], [Author]],People!A:B,2,0)</f>
        <v>#N/A</v>
      </c>
      <c r="K1362" s="47"/>
      <c r="L1362" s="47"/>
      <c r="M1362" s="49" t="s">
        <v>1613</v>
      </c>
    </row>
    <row r="1363" spans="1:13">
      <c r="A1363" s="48">
        <f t="shared" si="21"/>
        <v>1362</v>
      </c>
      <c r="B1363" s="47" t="s">
        <v>4</v>
      </c>
      <c r="C1363" s="47" t="s">
        <v>7157</v>
      </c>
      <c r="D1363" s="47" t="s">
        <v>7446</v>
      </c>
      <c r="E1363" s="47" t="s">
        <v>7023</v>
      </c>
      <c r="F1363" s="47" t="s">
        <v>7440</v>
      </c>
      <c r="G1363" s="47" t="s">
        <v>14</v>
      </c>
      <c r="H1363" s="47" t="s">
        <v>86</v>
      </c>
      <c r="I1363" s="47" t="s">
        <v>5290</v>
      </c>
      <c r="J1363" s="47" t="e">
        <f>VLOOKUP(Table2[[#This Row], [Author]],People!A:B,2,0)</f>
        <v>#N/A</v>
      </c>
      <c r="K1363" s="47"/>
      <c r="L1363" s="47"/>
      <c r="M1363" s="49" t="s">
        <v>1613</v>
      </c>
    </row>
    <row r="1364" spans="1:13">
      <c r="A1364" s="48">
        <f t="shared" si="21"/>
        <v>1363</v>
      </c>
      <c r="B1364" s="47" t="s">
        <v>4</v>
      </c>
      <c r="C1364" s="47" t="s">
        <v>7157</v>
      </c>
      <c r="D1364" s="47" t="s">
        <v>7447</v>
      </c>
      <c r="E1364" s="47" t="s">
        <v>7024</v>
      </c>
      <c r="F1364" s="47" t="s">
        <v>7446</v>
      </c>
      <c r="G1364" s="47" t="s">
        <v>14</v>
      </c>
      <c r="H1364" s="47" t="s">
        <v>86</v>
      </c>
      <c r="I1364" s="47" t="s">
        <v>5290</v>
      </c>
      <c r="J1364" s="47" t="e">
        <f>VLOOKUP(Table2[[#This Row], [Author]],People!A:B,2,0)</f>
        <v>#N/A</v>
      </c>
      <c r="K1364" s="47"/>
      <c r="L1364" s="47"/>
      <c r="M1364" s="49" t="s">
        <v>1613</v>
      </c>
    </row>
    <row r="1365" spans="1:13">
      <c r="A1365" s="48">
        <f t="shared" si="21"/>
        <v>1364</v>
      </c>
      <c r="B1365" s="47" t="s">
        <v>4</v>
      </c>
      <c r="C1365" s="47" t="s">
        <v>7157</v>
      </c>
      <c r="D1365" s="47" t="s">
        <v>7448</v>
      </c>
      <c r="E1365" s="47" t="s">
        <v>7025</v>
      </c>
      <c r="F1365" s="47" t="s">
        <v>7446</v>
      </c>
      <c r="G1365" s="47" t="s">
        <v>14</v>
      </c>
      <c r="H1365" s="47" t="s">
        <v>86</v>
      </c>
      <c r="I1365" s="47" t="s">
        <v>5290</v>
      </c>
      <c r="J1365" s="47" t="e">
        <f>VLOOKUP(Table2[[#This Row], [Author]],People!A:B,2,0)</f>
        <v>#N/A</v>
      </c>
      <c r="K1365" s="47"/>
      <c r="L1365" s="47"/>
      <c r="M1365" s="49" t="s">
        <v>1613</v>
      </c>
    </row>
    <row r="1366" spans="1:13">
      <c r="A1366" s="48">
        <f t="shared" si="21"/>
        <v>1365</v>
      </c>
      <c r="B1366" s="47" t="s">
        <v>4</v>
      </c>
      <c r="C1366" s="47" t="s">
        <v>7157</v>
      </c>
      <c r="D1366" s="47" t="s">
        <v>7449</v>
      </c>
      <c r="E1366" s="47" t="s">
        <v>7026</v>
      </c>
      <c r="F1366" s="47" t="s">
        <v>7446</v>
      </c>
      <c r="G1366" s="47" t="s">
        <v>14</v>
      </c>
      <c r="H1366" s="47" t="s">
        <v>86</v>
      </c>
      <c r="I1366" s="47" t="s">
        <v>5290</v>
      </c>
      <c r="J1366" s="47" t="e">
        <f>VLOOKUP(Table2[[#This Row], [Author]],People!A:B,2,0)</f>
        <v>#N/A</v>
      </c>
      <c r="K1366" s="47"/>
      <c r="L1366" s="47"/>
      <c r="M1366" s="49" t="s">
        <v>1613</v>
      </c>
    </row>
    <row r="1367" spans="1:13">
      <c r="A1367" s="48">
        <f t="shared" si="21"/>
        <v>1366</v>
      </c>
      <c r="B1367" s="47" t="s">
        <v>4</v>
      </c>
      <c r="C1367" s="47" t="s">
        <v>7157</v>
      </c>
      <c r="D1367" s="47" t="s">
        <v>7450</v>
      </c>
      <c r="E1367" s="47" t="s">
        <v>7027</v>
      </c>
      <c r="F1367" s="47" t="s">
        <v>7446</v>
      </c>
      <c r="G1367" s="47" t="s">
        <v>14</v>
      </c>
      <c r="H1367" s="47" t="s">
        <v>86</v>
      </c>
      <c r="I1367" s="47" t="s">
        <v>5290</v>
      </c>
      <c r="J1367" s="47" t="e">
        <f>VLOOKUP(Table2[[#This Row], [Author]],People!A:B,2,0)</f>
        <v>#N/A</v>
      </c>
      <c r="K1367" s="47"/>
      <c r="L1367" s="47"/>
      <c r="M1367" s="49" t="s">
        <v>1613</v>
      </c>
    </row>
    <row r="1368" spans="1:13">
      <c r="A1368" s="48">
        <f t="shared" si="21"/>
        <v>1367</v>
      </c>
      <c r="B1368" s="47" t="s">
        <v>4</v>
      </c>
      <c r="C1368" s="47" t="s">
        <v>7157</v>
      </c>
      <c r="D1368" s="47" t="s">
        <v>7451</v>
      </c>
      <c r="E1368" s="47" t="s">
        <v>7028</v>
      </c>
      <c r="F1368" s="47" t="s">
        <v>7446</v>
      </c>
      <c r="G1368" s="47" t="s">
        <v>14</v>
      </c>
      <c r="H1368" s="47" t="s">
        <v>86</v>
      </c>
      <c r="I1368" s="47" t="s">
        <v>5290</v>
      </c>
      <c r="J1368" s="47" t="e">
        <f>VLOOKUP(Table2[[#This Row], [Author]],People!A:B,2,0)</f>
        <v>#N/A</v>
      </c>
      <c r="K1368" s="47"/>
      <c r="L1368" s="47"/>
      <c r="M1368" s="49" t="s">
        <v>1613</v>
      </c>
    </row>
    <row r="1369" spans="1:13">
      <c r="A1369" s="48">
        <f t="shared" si="21"/>
        <v>1368</v>
      </c>
      <c r="B1369" s="47" t="s">
        <v>4</v>
      </c>
      <c r="C1369" s="47" t="s">
        <v>7157</v>
      </c>
      <c r="D1369" s="47" t="s">
        <v>7452</v>
      </c>
      <c r="E1369" s="47" t="s">
        <v>7029</v>
      </c>
      <c r="F1369" s="47" t="s">
        <v>6683</v>
      </c>
      <c r="G1369" s="47" t="s">
        <v>14</v>
      </c>
      <c r="H1369" s="47" t="s">
        <v>86</v>
      </c>
      <c r="I1369" s="47" t="s">
        <v>5290</v>
      </c>
      <c r="J1369" s="47" t="e">
        <f>VLOOKUP(Table2[[#This Row], [Author]],People!A:B,2,0)</f>
        <v>#N/A</v>
      </c>
      <c r="K1369" s="47"/>
      <c r="L1369" s="47"/>
      <c r="M1369" s="49" t="s">
        <v>1613</v>
      </c>
    </row>
    <row r="1370" spans="1:13">
      <c r="A1370" s="48">
        <f t="shared" si="21"/>
        <v>1369</v>
      </c>
      <c r="B1370" s="47" t="s">
        <v>4</v>
      </c>
      <c r="C1370" s="47" t="s">
        <v>7157</v>
      </c>
      <c r="D1370" s="47" t="s">
        <v>7453</v>
      </c>
      <c r="E1370" s="47" t="s">
        <v>7030</v>
      </c>
      <c r="F1370" s="47" t="s">
        <v>7452</v>
      </c>
      <c r="G1370" s="47" t="s">
        <v>14</v>
      </c>
      <c r="H1370" s="47" t="s">
        <v>86</v>
      </c>
      <c r="I1370" s="47" t="s">
        <v>5290</v>
      </c>
      <c r="J1370" s="47" t="e">
        <f>VLOOKUP(Table2[[#This Row], [Author]],People!A:B,2,0)</f>
        <v>#N/A</v>
      </c>
      <c r="K1370" s="47"/>
      <c r="L1370" s="47"/>
      <c r="M1370" s="49" t="s">
        <v>1613</v>
      </c>
    </row>
    <row r="1371" spans="1:13">
      <c r="A1371" s="48">
        <f t="shared" si="21"/>
        <v>1370</v>
      </c>
      <c r="B1371" s="47" t="s">
        <v>4</v>
      </c>
      <c r="C1371" s="47" t="s">
        <v>7157</v>
      </c>
      <c r="D1371" s="47" t="s">
        <v>7454</v>
      </c>
      <c r="E1371" s="47" t="s">
        <v>7031</v>
      </c>
      <c r="F1371" s="47" t="s">
        <v>7452</v>
      </c>
      <c r="G1371" s="47" t="s">
        <v>14</v>
      </c>
      <c r="H1371" s="47" t="s">
        <v>86</v>
      </c>
      <c r="I1371" s="47" t="s">
        <v>5290</v>
      </c>
      <c r="J1371" s="47" t="e">
        <f>VLOOKUP(Table2[[#This Row], [Author]],People!A:B,2,0)</f>
        <v>#N/A</v>
      </c>
      <c r="K1371" s="47"/>
      <c r="L1371" s="47"/>
      <c r="M1371" s="49" t="s">
        <v>1613</v>
      </c>
    </row>
    <row r="1372" spans="1:13">
      <c r="A1372" s="48">
        <f t="shared" si="21"/>
        <v>1371</v>
      </c>
      <c r="B1372" s="47" t="s">
        <v>4</v>
      </c>
      <c r="C1372" s="47" t="s">
        <v>7157</v>
      </c>
      <c r="D1372" s="47" t="s">
        <v>7455</v>
      </c>
      <c r="E1372" s="47" t="s">
        <v>7032</v>
      </c>
      <c r="F1372" s="47" t="s">
        <v>7454</v>
      </c>
      <c r="G1372" s="47" t="s">
        <v>14</v>
      </c>
      <c r="H1372" s="47" t="s">
        <v>86</v>
      </c>
      <c r="I1372" s="47" t="s">
        <v>5290</v>
      </c>
      <c r="J1372" s="47" t="e">
        <f>VLOOKUP(Table2[[#This Row], [Author]],People!A:B,2,0)</f>
        <v>#N/A</v>
      </c>
      <c r="K1372" s="47"/>
      <c r="L1372" s="47"/>
      <c r="M1372" s="49" t="s">
        <v>1613</v>
      </c>
    </row>
    <row r="1373" spans="1:13">
      <c r="A1373" s="48">
        <f t="shared" si="21"/>
        <v>1372</v>
      </c>
      <c r="B1373" s="47" t="s">
        <v>4</v>
      </c>
      <c r="C1373" s="47" t="s">
        <v>7157</v>
      </c>
      <c r="D1373" s="47" t="s">
        <v>7456</v>
      </c>
      <c r="E1373" s="47" t="s">
        <v>7033</v>
      </c>
      <c r="F1373" s="47" t="s">
        <v>7454</v>
      </c>
      <c r="G1373" s="47" t="s">
        <v>14</v>
      </c>
      <c r="H1373" s="47" t="s">
        <v>86</v>
      </c>
      <c r="I1373" s="47" t="s">
        <v>5290</v>
      </c>
      <c r="J1373" s="47" t="e">
        <f>VLOOKUP(Table2[[#This Row], [Author]],People!A:B,2,0)</f>
        <v>#N/A</v>
      </c>
      <c r="K1373" s="47"/>
      <c r="L1373" s="47"/>
      <c r="M1373" s="49" t="s">
        <v>1613</v>
      </c>
    </row>
    <row r="1374" spans="1:13">
      <c r="A1374" s="48">
        <f t="shared" si="21"/>
        <v>1373</v>
      </c>
      <c r="B1374" s="47" t="s">
        <v>4</v>
      </c>
      <c r="C1374" s="47" t="s">
        <v>7157</v>
      </c>
      <c r="D1374" s="47" t="s">
        <v>7457</v>
      </c>
      <c r="E1374" s="47" t="s">
        <v>7034</v>
      </c>
      <c r="F1374" s="47" t="s">
        <v>7452</v>
      </c>
      <c r="G1374" s="47" t="s">
        <v>14</v>
      </c>
      <c r="H1374" s="47" t="s">
        <v>86</v>
      </c>
      <c r="I1374" s="47" t="s">
        <v>5290</v>
      </c>
      <c r="J1374" s="47" t="e">
        <f>VLOOKUP(Table2[[#This Row], [Author]],People!A:B,2,0)</f>
        <v>#N/A</v>
      </c>
      <c r="K1374" s="47"/>
      <c r="L1374" s="47"/>
      <c r="M1374" s="49" t="s">
        <v>1613</v>
      </c>
    </row>
    <row r="1375" spans="1:13">
      <c r="A1375" s="48">
        <f t="shared" si="21"/>
        <v>1374</v>
      </c>
      <c r="B1375" s="47" t="s">
        <v>4</v>
      </c>
      <c r="C1375" s="47" t="s">
        <v>7157</v>
      </c>
      <c r="D1375" s="47" t="s">
        <v>7458</v>
      </c>
      <c r="E1375" s="47" t="s">
        <v>7035</v>
      </c>
      <c r="F1375" s="47" t="s">
        <v>7457</v>
      </c>
      <c r="G1375" s="47" t="s">
        <v>14</v>
      </c>
      <c r="H1375" s="47" t="s">
        <v>86</v>
      </c>
      <c r="I1375" s="47" t="s">
        <v>5290</v>
      </c>
      <c r="J1375" s="47" t="e">
        <f>VLOOKUP(Table2[[#This Row], [Author]],People!A:B,2,0)</f>
        <v>#N/A</v>
      </c>
      <c r="K1375" s="47"/>
      <c r="L1375" s="47"/>
      <c r="M1375" s="49" t="s">
        <v>1613</v>
      </c>
    </row>
    <row r="1376" spans="1:13">
      <c r="A1376" s="48">
        <f t="shared" si="21"/>
        <v>1375</v>
      </c>
      <c r="B1376" s="47" t="s">
        <v>4</v>
      </c>
      <c r="C1376" s="47" t="s">
        <v>7157</v>
      </c>
      <c r="D1376" s="47" t="s">
        <v>7459</v>
      </c>
      <c r="E1376" s="47" t="s">
        <v>7036</v>
      </c>
      <c r="F1376" s="47" t="s">
        <v>7457</v>
      </c>
      <c r="G1376" s="47" t="s">
        <v>14</v>
      </c>
      <c r="H1376" s="47" t="s">
        <v>86</v>
      </c>
      <c r="I1376" s="47" t="s">
        <v>5290</v>
      </c>
      <c r="J1376" s="47" t="e">
        <f>VLOOKUP(Table2[[#This Row], [Author]],People!A:B,2,0)</f>
        <v>#N/A</v>
      </c>
      <c r="K1376" s="47"/>
      <c r="L1376" s="47"/>
      <c r="M1376" s="49" t="s">
        <v>1613</v>
      </c>
    </row>
    <row r="1377" spans="1:13">
      <c r="A1377" s="48">
        <f t="shared" si="21"/>
        <v>1376</v>
      </c>
      <c r="B1377" s="47" t="s">
        <v>4</v>
      </c>
      <c r="C1377" s="47" t="s">
        <v>7157</v>
      </c>
      <c r="D1377" s="47" t="s">
        <v>7460</v>
      </c>
      <c r="E1377" s="47" t="s">
        <v>7037</v>
      </c>
      <c r="F1377" s="47" t="s">
        <v>6682</v>
      </c>
      <c r="G1377" s="47" t="s">
        <v>14</v>
      </c>
      <c r="H1377" s="47" t="s">
        <v>86</v>
      </c>
      <c r="I1377" s="47" t="s">
        <v>5290</v>
      </c>
      <c r="J1377" s="47" t="e">
        <f>VLOOKUP(Table2[[#This Row], [Author]],People!A:B,2,0)</f>
        <v>#N/A</v>
      </c>
      <c r="K1377" s="47"/>
      <c r="L1377" s="47"/>
      <c r="M1377" s="49" t="s">
        <v>1613</v>
      </c>
    </row>
    <row r="1378" spans="1:13">
      <c r="A1378" s="48">
        <f t="shared" si="21"/>
        <v>1377</v>
      </c>
      <c r="B1378" s="47" t="s">
        <v>4</v>
      </c>
      <c r="C1378" s="47" t="s">
        <v>7157</v>
      </c>
      <c r="D1378" s="47" t="s">
        <v>7461</v>
      </c>
      <c r="E1378" s="47" t="s">
        <v>7038</v>
      </c>
      <c r="F1378" s="47" t="s">
        <v>7460</v>
      </c>
      <c r="G1378" s="47" t="s">
        <v>14</v>
      </c>
      <c r="H1378" s="47" t="s">
        <v>86</v>
      </c>
      <c r="I1378" s="47" t="s">
        <v>5290</v>
      </c>
      <c r="J1378" s="47" t="e">
        <f>VLOOKUP(Table2[[#This Row], [Author]],People!A:B,2,0)</f>
        <v>#N/A</v>
      </c>
      <c r="K1378" s="47"/>
      <c r="L1378" s="47"/>
      <c r="M1378" s="49" t="s">
        <v>1613</v>
      </c>
    </row>
    <row r="1379" spans="1:13">
      <c r="A1379" s="48">
        <f t="shared" si="21"/>
        <v>1378</v>
      </c>
      <c r="B1379" s="47" t="s">
        <v>4</v>
      </c>
      <c r="C1379" s="47" t="s">
        <v>7157</v>
      </c>
      <c r="D1379" s="47" t="s">
        <v>7462</v>
      </c>
      <c r="E1379" s="47" t="s">
        <v>7039</v>
      </c>
      <c r="F1379" s="47" t="s">
        <v>7460</v>
      </c>
      <c r="G1379" s="47" t="s">
        <v>14</v>
      </c>
      <c r="H1379" s="47" t="s">
        <v>86</v>
      </c>
      <c r="I1379" s="47" t="s">
        <v>5290</v>
      </c>
      <c r="J1379" s="47" t="e">
        <f>VLOOKUP(Table2[[#This Row], [Author]],People!A:B,2,0)</f>
        <v>#N/A</v>
      </c>
      <c r="K1379" s="47"/>
      <c r="L1379" s="47"/>
      <c r="M1379" s="49" t="s">
        <v>1613</v>
      </c>
    </row>
    <row r="1380" spans="1:13">
      <c r="A1380" s="48">
        <f t="shared" si="21"/>
        <v>1379</v>
      </c>
      <c r="B1380" s="47" t="s">
        <v>4</v>
      </c>
      <c r="C1380" s="47" t="s">
        <v>7157</v>
      </c>
      <c r="D1380" s="47" t="s">
        <v>7463</v>
      </c>
      <c r="E1380" s="47" t="s">
        <v>7040</v>
      </c>
      <c r="F1380" s="47" t="s">
        <v>7460</v>
      </c>
      <c r="G1380" s="47" t="s">
        <v>14</v>
      </c>
      <c r="H1380" s="47" t="s">
        <v>86</v>
      </c>
      <c r="I1380" s="47" t="s">
        <v>5290</v>
      </c>
      <c r="J1380" s="47" t="e">
        <f>VLOOKUP(Table2[[#This Row], [Author]],People!A:B,2,0)</f>
        <v>#N/A</v>
      </c>
      <c r="K1380" s="47"/>
      <c r="L1380" s="47"/>
      <c r="M1380" s="49" t="s">
        <v>1613</v>
      </c>
    </row>
    <row r="1381" spans="1:13">
      <c r="A1381" s="48">
        <f t="shared" si="21"/>
        <v>1380</v>
      </c>
      <c r="B1381" s="47" t="s">
        <v>4</v>
      </c>
      <c r="C1381" s="47" t="s">
        <v>7157</v>
      </c>
      <c r="D1381" s="47" t="s">
        <v>7464</v>
      </c>
      <c r="E1381" s="47" t="s">
        <v>7041</v>
      </c>
      <c r="F1381" s="47" t="s">
        <v>7463</v>
      </c>
      <c r="G1381" s="47" t="s">
        <v>14</v>
      </c>
      <c r="H1381" s="47" t="s">
        <v>86</v>
      </c>
      <c r="I1381" s="47" t="s">
        <v>5290</v>
      </c>
      <c r="J1381" s="47" t="e">
        <f>VLOOKUP(Table2[[#This Row], [Author]],People!A:B,2,0)</f>
        <v>#N/A</v>
      </c>
      <c r="K1381" s="47"/>
      <c r="L1381" s="47"/>
      <c r="M1381" s="49" t="s">
        <v>1613</v>
      </c>
    </row>
    <row r="1382" spans="1:13">
      <c r="A1382" s="48">
        <f t="shared" si="21"/>
        <v>1381</v>
      </c>
      <c r="B1382" s="47" t="s">
        <v>4</v>
      </c>
      <c r="C1382" s="47" t="s">
        <v>7157</v>
      </c>
      <c r="D1382" s="47" t="s">
        <v>7465</v>
      </c>
      <c r="E1382" s="47" t="s">
        <v>7042</v>
      </c>
      <c r="F1382" s="47" t="s">
        <v>7463</v>
      </c>
      <c r="G1382" s="47" t="s">
        <v>14</v>
      </c>
      <c r="H1382" s="47" t="s">
        <v>86</v>
      </c>
      <c r="I1382" s="47" t="s">
        <v>5290</v>
      </c>
      <c r="J1382" s="47" t="e">
        <f>VLOOKUP(Table2[[#This Row], [Author]],People!A:B,2,0)</f>
        <v>#N/A</v>
      </c>
      <c r="K1382" s="47"/>
      <c r="L1382" s="47"/>
      <c r="M1382" s="49" t="s">
        <v>1613</v>
      </c>
    </row>
    <row r="1383" spans="1:13">
      <c r="A1383" s="48">
        <f t="shared" si="21"/>
        <v>1382</v>
      </c>
      <c r="B1383" s="47" t="s">
        <v>4</v>
      </c>
      <c r="C1383" s="47" t="s">
        <v>7157</v>
      </c>
      <c r="D1383" s="47" t="s">
        <v>7466</v>
      </c>
      <c r="E1383" s="47" t="s">
        <v>7043</v>
      </c>
      <c r="F1383" s="47" t="s">
        <v>7460</v>
      </c>
      <c r="G1383" s="47" t="s">
        <v>14</v>
      </c>
      <c r="H1383" s="47" t="s">
        <v>86</v>
      </c>
      <c r="I1383" s="47" t="s">
        <v>5290</v>
      </c>
      <c r="J1383" s="47" t="e">
        <f>VLOOKUP(Table2[[#This Row], [Author]],People!A:B,2,0)</f>
        <v>#N/A</v>
      </c>
      <c r="K1383" s="47"/>
      <c r="L1383" s="47"/>
      <c r="M1383" s="49" t="s">
        <v>1613</v>
      </c>
    </row>
    <row r="1384" spans="1:13">
      <c r="A1384" s="48">
        <f t="shared" si="21"/>
        <v>1383</v>
      </c>
      <c r="B1384" s="47" t="s">
        <v>4</v>
      </c>
      <c r="C1384" s="47" t="s">
        <v>7157</v>
      </c>
      <c r="D1384" s="47" t="s">
        <v>7467</v>
      </c>
      <c r="E1384" s="47" t="s">
        <v>7044</v>
      </c>
      <c r="F1384" s="47" t="s">
        <v>7466</v>
      </c>
      <c r="G1384" s="47" t="s">
        <v>14</v>
      </c>
      <c r="H1384" s="47" t="s">
        <v>86</v>
      </c>
      <c r="I1384" s="47" t="s">
        <v>5290</v>
      </c>
      <c r="J1384" s="47" t="e">
        <f>VLOOKUP(Table2[[#This Row], [Author]],People!A:B,2,0)</f>
        <v>#N/A</v>
      </c>
      <c r="K1384" s="47"/>
      <c r="L1384" s="47"/>
      <c r="M1384" s="49" t="s">
        <v>1613</v>
      </c>
    </row>
    <row r="1385" spans="1:13">
      <c r="A1385" s="48">
        <f t="shared" si="21"/>
        <v>1384</v>
      </c>
      <c r="B1385" s="47" t="s">
        <v>4</v>
      </c>
      <c r="C1385" s="47" t="s">
        <v>7157</v>
      </c>
      <c r="D1385" s="47" t="s">
        <v>7468</v>
      </c>
      <c r="E1385" s="47" t="s">
        <v>7045</v>
      </c>
      <c r="F1385" s="47" t="s">
        <v>7466</v>
      </c>
      <c r="G1385" s="47" t="s">
        <v>14</v>
      </c>
      <c r="H1385" s="47" t="s">
        <v>86</v>
      </c>
      <c r="I1385" s="47" t="s">
        <v>5290</v>
      </c>
      <c r="J1385" s="47" t="e">
        <f>VLOOKUP(Table2[[#This Row], [Author]],People!A:B,2,0)</f>
        <v>#N/A</v>
      </c>
      <c r="K1385" s="47"/>
      <c r="L1385" s="47"/>
      <c r="M1385" s="49" t="s">
        <v>1613</v>
      </c>
    </row>
    <row r="1386" spans="1:13">
      <c r="A1386" s="48">
        <f t="shared" si="21"/>
        <v>1385</v>
      </c>
      <c r="B1386" s="47" t="s">
        <v>4</v>
      </c>
      <c r="C1386" s="47" t="s">
        <v>7157</v>
      </c>
      <c r="D1386" s="47" t="s">
        <v>7469</v>
      </c>
      <c r="E1386" s="47" t="s">
        <v>7046</v>
      </c>
      <c r="F1386" s="47" t="s">
        <v>7466</v>
      </c>
      <c r="G1386" s="47" t="s">
        <v>14</v>
      </c>
      <c r="H1386" s="47" t="s">
        <v>86</v>
      </c>
      <c r="I1386" s="47" t="s">
        <v>5290</v>
      </c>
      <c r="J1386" s="47" t="e">
        <f>VLOOKUP(Table2[[#This Row], [Author]],People!A:B,2,0)</f>
        <v>#N/A</v>
      </c>
      <c r="K1386" s="47"/>
      <c r="L1386" s="47"/>
      <c r="M1386" s="49" t="s">
        <v>1613</v>
      </c>
    </row>
    <row r="1387" spans="1:13">
      <c r="A1387" s="48">
        <f t="shared" si="21"/>
        <v>1386</v>
      </c>
      <c r="B1387" s="47" t="s">
        <v>4</v>
      </c>
      <c r="C1387" s="47" t="s">
        <v>7157</v>
      </c>
      <c r="D1387" s="47" t="s">
        <v>7470</v>
      </c>
      <c r="E1387" s="47" t="s">
        <v>7047</v>
      </c>
      <c r="F1387" s="47" t="s">
        <v>7466</v>
      </c>
      <c r="G1387" s="47" t="s">
        <v>14</v>
      </c>
      <c r="H1387" s="47" t="s">
        <v>86</v>
      </c>
      <c r="I1387" s="47" t="s">
        <v>5290</v>
      </c>
      <c r="J1387" s="47" t="e">
        <f>VLOOKUP(Table2[[#This Row], [Author]],People!A:B,2,0)</f>
        <v>#N/A</v>
      </c>
      <c r="K1387" s="47"/>
      <c r="L1387" s="47"/>
      <c r="M1387" s="49" t="s">
        <v>1613</v>
      </c>
    </row>
    <row r="1388" spans="1:13">
      <c r="A1388" s="48">
        <f t="shared" si="21"/>
        <v>1387</v>
      </c>
      <c r="B1388" s="47" t="s">
        <v>4</v>
      </c>
      <c r="C1388" s="47" t="s">
        <v>7157</v>
      </c>
      <c r="D1388" s="47" t="s">
        <v>7471</v>
      </c>
      <c r="E1388" s="47" t="s">
        <v>7048</v>
      </c>
      <c r="F1388" s="47" t="s">
        <v>7466</v>
      </c>
      <c r="G1388" s="47" t="s">
        <v>14</v>
      </c>
      <c r="H1388" s="47" t="s">
        <v>86</v>
      </c>
      <c r="I1388" s="47" t="s">
        <v>5290</v>
      </c>
      <c r="J1388" s="47" t="e">
        <f>VLOOKUP(Table2[[#This Row], [Author]],People!A:B,2,0)</f>
        <v>#N/A</v>
      </c>
      <c r="K1388" s="47"/>
      <c r="L1388" s="47"/>
      <c r="M1388" s="49" t="s">
        <v>1613</v>
      </c>
    </row>
    <row r="1389" spans="1:13">
      <c r="A1389" s="48">
        <f t="shared" si="21"/>
        <v>1388</v>
      </c>
      <c r="B1389" s="47" t="s">
        <v>4</v>
      </c>
      <c r="C1389" s="47" t="s">
        <v>7157</v>
      </c>
      <c r="D1389" s="47" t="s">
        <v>7472</v>
      </c>
      <c r="E1389" s="47" t="s">
        <v>7049</v>
      </c>
      <c r="F1389" s="47" t="s">
        <v>6683</v>
      </c>
      <c r="G1389" s="47" t="s">
        <v>14</v>
      </c>
      <c r="H1389" s="47" t="s">
        <v>86</v>
      </c>
      <c r="I1389" s="47" t="s">
        <v>5290</v>
      </c>
      <c r="J1389" s="47" t="e">
        <f>VLOOKUP(Table2[[#This Row], [Author]],People!A:B,2,0)</f>
        <v>#N/A</v>
      </c>
      <c r="K1389" s="47"/>
      <c r="L1389" s="47"/>
      <c r="M1389" s="49" t="s">
        <v>1613</v>
      </c>
    </row>
    <row r="1390" spans="1:13">
      <c r="A1390" s="48">
        <f t="shared" si="21"/>
        <v>1389</v>
      </c>
      <c r="B1390" s="47" t="s">
        <v>4</v>
      </c>
      <c r="C1390" s="47" t="s">
        <v>7157</v>
      </c>
      <c r="D1390" s="47" t="s">
        <v>7473</v>
      </c>
      <c r="E1390" s="47" t="s">
        <v>7050</v>
      </c>
      <c r="F1390" s="47" t="s">
        <v>7472</v>
      </c>
      <c r="G1390" s="47" t="s">
        <v>14</v>
      </c>
      <c r="H1390" s="47" t="s">
        <v>86</v>
      </c>
      <c r="I1390" s="47" t="s">
        <v>5290</v>
      </c>
      <c r="J1390" s="47" t="e">
        <f>VLOOKUP(Table2[[#This Row], [Author]],People!A:B,2,0)</f>
        <v>#N/A</v>
      </c>
      <c r="K1390" s="47"/>
      <c r="L1390" s="47"/>
      <c r="M1390" s="49" t="s">
        <v>1613</v>
      </c>
    </row>
    <row r="1391" spans="1:13">
      <c r="A1391" s="48">
        <f t="shared" si="21"/>
        <v>1390</v>
      </c>
      <c r="B1391" s="47" t="s">
        <v>4</v>
      </c>
      <c r="C1391" s="47" t="s">
        <v>7157</v>
      </c>
      <c r="D1391" s="47" t="s">
        <v>7474</v>
      </c>
      <c r="E1391" s="47" t="s">
        <v>7051</v>
      </c>
      <c r="F1391" s="47" t="s">
        <v>7472</v>
      </c>
      <c r="G1391" s="47" t="s">
        <v>14</v>
      </c>
      <c r="H1391" s="47" t="s">
        <v>86</v>
      </c>
      <c r="I1391" s="47" t="s">
        <v>5290</v>
      </c>
      <c r="J1391" s="47" t="e">
        <f>VLOOKUP(Table2[[#This Row], [Author]],People!A:B,2,0)</f>
        <v>#N/A</v>
      </c>
      <c r="K1391" s="47"/>
      <c r="L1391" s="47"/>
      <c r="M1391" s="49" t="s">
        <v>1613</v>
      </c>
    </row>
    <row r="1392" spans="1:13">
      <c r="A1392" s="48">
        <f t="shared" si="21"/>
        <v>1391</v>
      </c>
      <c r="B1392" s="47" t="s">
        <v>4</v>
      </c>
      <c r="C1392" s="47" t="s">
        <v>7157</v>
      </c>
      <c r="D1392" s="47" t="s">
        <v>7475</v>
      </c>
      <c r="E1392" s="47" t="s">
        <v>7052</v>
      </c>
      <c r="F1392" s="47" t="s">
        <v>7474</v>
      </c>
      <c r="G1392" s="47" t="s">
        <v>14</v>
      </c>
      <c r="H1392" s="47" t="s">
        <v>86</v>
      </c>
      <c r="I1392" s="47" t="s">
        <v>5290</v>
      </c>
      <c r="J1392" s="47" t="e">
        <f>VLOOKUP(Table2[[#This Row], [Author]],People!A:B,2,0)</f>
        <v>#N/A</v>
      </c>
      <c r="K1392" s="47"/>
      <c r="L1392" s="47"/>
      <c r="M1392" s="49" t="s">
        <v>1613</v>
      </c>
    </row>
    <row r="1393" spans="1:13">
      <c r="A1393" s="48">
        <f t="shared" si="21"/>
        <v>1392</v>
      </c>
      <c r="B1393" s="47" t="s">
        <v>4</v>
      </c>
      <c r="C1393" s="47" t="s">
        <v>7157</v>
      </c>
      <c r="D1393" s="47" t="s">
        <v>7476</v>
      </c>
      <c r="E1393" s="47" t="s">
        <v>7053</v>
      </c>
      <c r="F1393" s="47" t="s">
        <v>7474</v>
      </c>
      <c r="G1393" s="47" t="s">
        <v>14</v>
      </c>
      <c r="H1393" s="47" t="s">
        <v>86</v>
      </c>
      <c r="I1393" s="47" t="s">
        <v>5290</v>
      </c>
      <c r="J1393" s="47" t="e">
        <f>VLOOKUP(Table2[[#This Row], [Author]],People!A:B,2,0)</f>
        <v>#N/A</v>
      </c>
      <c r="K1393" s="47"/>
      <c r="L1393" s="47"/>
      <c r="M1393" s="49" t="s">
        <v>1613</v>
      </c>
    </row>
    <row r="1394" spans="1:13">
      <c r="A1394" s="48">
        <f t="shared" si="21"/>
        <v>1393</v>
      </c>
      <c r="B1394" s="47" t="s">
        <v>4</v>
      </c>
      <c r="C1394" s="47" t="s">
        <v>7157</v>
      </c>
      <c r="D1394" s="47" t="s">
        <v>7477</v>
      </c>
      <c r="E1394" s="47" t="s">
        <v>7054</v>
      </c>
      <c r="F1394" s="47" t="s">
        <v>7472</v>
      </c>
      <c r="G1394" s="47" t="s">
        <v>14</v>
      </c>
      <c r="H1394" s="47" t="s">
        <v>86</v>
      </c>
      <c r="I1394" s="47" t="s">
        <v>5290</v>
      </c>
      <c r="J1394" s="47" t="e">
        <f>VLOOKUP(Table2[[#This Row], [Author]],People!A:B,2,0)</f>
        <v>#N/A</v>
      </c>
      <c r="K1394" s="47"/>
      <c r="L1394" s="47"/>
      <c r="M1394" s="49" t="s">
        <v>1613</v>
      </c>
    </row>
    <row r="1395" spans="1:13">
      <c r="A1395" s="48">
        <f t="shared" si="21"/>
        <v>1394</v>
      </c>
      <c r="B1395" s="47" t="s">
        <v>4</v>
      </c>
      <c r="C1395" s="47" t="s">
        <v>7157</v>
      </c>
      <c r="D1395" s="47" t="s">
        <v>7478</v>
      </c>
      <c r="E1395" s="47" t="s">
        <v>7055</v>
      </c>
      <c r="F1395" s="47" t="s">
        <v>7477</v>
      </c>
      <c r="G1395" s="47" t="s">
        <v>14</v>
      </c>
      <c r="H1395" s="47" t="s">
        <v>86</v>
      </c>
      <c r="I1395" s="47" t="s">
        <v>5290</v>
      </c>
      <c r="J1395" s="47" t="e">
        <f>VLOOKUP(Table2[[#This Row], [Author]],People!A:B,2,0)</f>
        <v>#N/A</v>
      </c>
      <c r="K1395" s="47"/>
      <c r="L1395" s="47"/>
      <c r="M1395" s="49" t="s">
        <v>1613</v>
      </c>
    </row>
    <row r="1396" spans="1:13">
      <c r="A1396" s="48">
        <f t="shared" si="21"/>
        <v>1395</v>
      </c>
      <c r="B1396" s="47" t="s">
        <v>4</v>
      </c>
      <c r="C1396" s="47" t="s">
        <v>7157</v>
      </c>
      <c r="D1396" s="47" t="s">
        <v>7479</v>
      </c>
      <c r="E1396" s="47" t="s">
        <v>7056</v>
      </c>
      <c r="F1396" s="47" t="s">
        <v>7477</v>
      </c>
      <c r="G1396" s="47" t="s">
        <v>14</v>
      </c>
      <c r="H1396" s="47" t="s">
        <v>86</v>
      </c>
      <c r="I1396" s="47" t="s">
        <v>5290</v>
      </c>
      <c r="J1396" s="47" t="e">
        <f>VLOOKUP(Table2[[#This Row], [Author]],People!A:B,2,0)</f>
        <v>#N/A</v>
      </c>
      <c r="K1396" s="47"/>
      <c r="L1396" s="47"/>
      <c r="M1396" s="49" t="s">
        <v>1613</v>
      </c>
    </row>
    <row r="1397" spans="1:13">
      <c r="A1397" s="48">
        <f t="shared" si="21"/>
        <v>1396</v>
      </c>
      <c r="B1397" s="47" t="s">
        <v>4</v>
      </c>
      <c r="C1397" s="47" t="s">
        <v>7157</v>
      </c>
      <c r="D1397" s="47" t="s">
        <v>7480</v>
      </c>
      <c r="E1397" s="47" t="s">
        <v>7057</v>
      </c>
      <c r="F1397" s="47" t="s">
        <v>6682</v>
      </c>
      <c r="G1397" s="47" t="s">
        <v>14</v>
      </c>
      <c r="H1397" s="47" t="s">
        <v>86</v>
      </c>
      <c r="I1397" s="47" t="s">
        <v>5290</v>
      </c>
      <c r="J1397" s="47" t="e">
        <f>VLOOKUP(Table2[[#This Row], [Author]],People!A:B,2,0)</f>
        <v>#N/A</v>
      </c>
      <c r="K1397" s="47"/>
      <c r="L1397" s="47"/>
      <c r="M1397" s="49" t="s">
        <v>1613</v>
      </c>
    </row>
    <row r="1398" spans="1:13">
      <c r="A1398" s="48">
        <f t="shared" si="21"/>
        <v>1397</v>
      </c>
      <c r="B1398" s="47" t="s">
        <v>4</v>
      </c>
      <c r="C1398" s="47" t="s">
        <v>7157</v>
      </c>
      <c r="D1398" s="47" t="s">
        <v>7481</v>
      </c>
      <c r="E1398" s="47" t="s">
        <v>7058</v>
      </c>
      <c r="F1398" s="47" t="s">
        <v>7480</v>
      </c>
      <c r="G1398" s="47" t="s">
        <v>14</v>
      </c>
      <c r="H1398" s="47" t="s">
        <v>86</v>
      </c>
      <c r="I1398" s="47" t="s">
        <v>5290</v>
      </c>
      <c r="J1398" s="47" t="e">
        <f>VLOOKUP(Table2[[#This Row], [Author]],People!A:B,2,0)</f>
        <v>#N/A</v>
      </c>
      <c r="K1398" s="47"/>
      <c r="L1398" s="47"/>
      <c r="M1398" s="49" t="s">
        <v>1613</v>
      </c>
    </row>
    <row r="1399" spans="1:13">
      <c r="A1399" s="48">
        <f t="shared" si="21"/>
        <v>1398</v>
      </c>
      <c r="B1399" s="47" t="s">
        <v>4</v>
      </c>
      <c r="C1399" s="47" t="s">
        <v>7157</v>
      </c>
      <c r="D1399" s="47" t="s">
        <v>7482</v>
      </c>
      <c r="E1399" s="47" t="s">
        <v>7059</v>
      </c>
      <c r="F1399" s="47" t="s">
        <v>7480</v>
      </c>
      <c r="G1399" s="47" t="s">
        <v>14</v>
      </c>
      <c r="H1399" s="47" t="s">
        <v>86</v>
      </c>
      <c r="I1399" s="47" t="s">
        <v>5290</v>
      </c>
      <c r="J1399" s="47" t="e">
        <f>VLOOKUP(Table2[[#This Row], [Author]],People!A:B,2,0)</f>
        <v>#N/A</v>
      </c>
      <c r="K1399" s="47"/>
      <c r="L1399" s="47"/>
      <c r="M1399" s="49" t="s">
        <v>1613</v>
      </c>
    </row>
    <row r="1400" spans="1:13">
      <c r="A1400" s="48">
        <f t="shared" si="21"/>
        <v>1399</v>
      </c>
      <c r="B1400" s="47" t="s">
        <v>4</v>
      </c>
      <c r="C1400" s="47" t="s">
        <v>7157</v>
      </c>
      <c r="D1400" s="47" t="s">
        <v>7483</v>
      </c>
      <c r="E1400" s="47" t="s">
        <v>7060</v>
      </c>
      <c r="F1400" s="47" t="s">
        <v>7480</v>
      </c>
      <c r="G1400" s="47" t="s">
        <v>14</v>
      </c>
      <c r="H1400" s="47" t="s">
        <v>86</v>
      </c>
      <c r="I1400" s="47" t="s">
        <v>5290</v>
      </c>
      <c r="J1400" s="47" t="e">
        <f>VLOOKUP(Table2[[#This Row], [Author]],People!A:B,2,0)</f>
        <v>#N/A</v>
      </c>
      <c r="K1400" s="47"/>
      <c r="L1400" s="47"/>
      <c r="M1400" s="49" t="s">
        <v>1613</v>
      </c>
    </row>
    <row r="1401" spans="1:13">
      <c r="A1401" s="48">
        <f t="shared" si="21"/>
        <v>1400</v>
      </c>
      <c r="B1401" s="47" t="s">
        <v>4</v>
      </c>
      <c r="C1401" s="47" t="s">
        <v>7157</v>
      </c>
      <c r="D1401" s="47" t="s">
        <v>7484</v>
      </c>
      <c r="E1401" s="47" t="s">
        <v>7061</v>
      </c>
      <c r="F1401" s="47" t="s">
        <v>7483</v>
      </c>
      <c r="G1401" s="47" t="s">
        <v>14</v>
      </c>
      <c r="H1401" s="47" t="s">
        <v>86</v>
      </c>
      <c r="I1401" s="47" t="s">
        <v>5290</v>
      </c>
      <c r="J1401" s="47" t="e">
        <f>VLOOKUP(Table2[[#This Row], [Author]],People!A:B,2,0)</f>
        <v>#N/A</v>
      </c>
      <c r="K1401" s="47"/>
      <c r="L1401" s="47"/>
      <c r="M1401" s="49" t="s">
        <v>1613</v>
      </c>
    </row>
    <row r="1402" spans="1:13">
      <c r="A1402" s="48">
        <f t="shared" si="21"/>
        <v>1401</v>
      </c>
      <c r="B1402" s="47" t="s">
        <v>4</v>
      </c>
      <c r="C1402" s="47" t="s">
        <v>7157</v>
      </c>
      <c r="D1402" s="47" t="s">
        <v>7485</v>
      </c>
      <c r="E1402" s="47" t="s">
        <v>7062</v>
      </c>
      <c r="F1402" s="47" t="s">
        <v>7483</v>
      </c>
      <c r="G1402" s="47" t="s">
        <v>14</v>
      </c>
      <c r="H1402" s="47" t="s">
        <v>86</v>
      </c>
      <c r="I1402" s="47" t="s">
        <v>5290</v>
      </c>
      <c r="J1402" s="47" t="e">
        <f>VLOOKUP(Table2[[#This Row], [Author]],People!A:B,2,0)</f>
        <v>#N/A</v>
      </c>
      <c r="K1402" s="47"/>
      <c r="L1402" s="47"/>
      <c r="M1402" s="49" t="s">
        <v>1613</v>
      </c>
    </row>
    <row r="1403" spans="1:13">
      <c r="A1403" s="48">
        <f t="shared" si="21"/>
        <v>1402</v>
      </c>
      <c r="B1403" s="47" t="s">
        <v>4</v>
      </c>
      <c r="C1403" s="47" t="s">
        <v>7157</v>
      </c>
      <c r="D1403" s="47" t="s">
        <v>7486</v>
      </c>
      <c r="E1403" s="47" t="s">
        <v>7063</v>
      </c>
      <c r="F1403" s="47" t="s">
        <v>7480</v>
      </c>
      <c r="G1403" s="47" t="s">
        <v>14</v>
      </c>
      <c r="H1403" s="47" t="s">
        <v>86</v>
      </c>
      <c r="I1403" s="47" t="s">
        <v>5290</v>
      </c>
      <c r="J1403" s="47" t="e">
        <f>VLOOKUP(Table2[[#This Row], [Author]],People!A:B,2,0)</f>
        <v>#N/A</v>
      </c>
      <c r="K1403" s="47"/>
      <c r="L1403" s="47"/>
      <c r="M1403" s="49" t="s">
        <v>1613</v>
      </c>
    </row>
    <row r="1404" spans="1:13">
      <c r="A1404" s="48">
        <f t="shared" si="21"/>
        <v>1403</v>
      </c>
      <c r="B1404" s="47" t="s">
        <v>4</v>
      </c>
      <c r="C1404" s="47" t="s">
        <v>7157</v>
      </c>
      <c r="D1404" s="47" t="s">
        <v>7487</v>
      </c>
      <c r="E1404" s="47" t="s">
        <v>7064</v>
      </c>
      <c r="F1404" s="47" t="s">
        <v>7486</v>
      </c>
      <c r="G1404" s="47" t="s">
        <v>14</v>
      </c>
      <c r="H1404" s="47" t="s">
        <v>86</v>
      </c>
      <c r="I1404" s="47" t="s">
        <v>5290</v>
      </c>
      <c r="J1404" s="47" t="e">
        <f>VLOOKUP(Table2[[#This Row], [Author]],People!A:B,2,0)</f>
        <v>#N/A</v>
      </c>
      <c r="K1404" s="47"/>
      <c r="L1404" s="47"/>
      <c r="M1404" s="49" t="s">
        <v>1613</v>
      </c>
    </row>
    <row r="1405" spans="1:13">
      <c r="A1405" s="48">
        <f t="shared" si="21"/>
        <v>1404</v>
      </c>
      <c r="B1405" s="47" t="s">
        <v>4</v>
      </c>
      <c r="C1405" s="47" t="s">
        <v>7157</v>
      </c>
      <c r="D1405" s="47" t="s">
        <v>7488</v>
      </c>
      <c r="E1405" s="47" t="s">
        <v>7065</v>
      </c>
      <c r="F1405" s="47" t="s">
        <v>7486</v>
      </c>
      <c r="G1405" s="47" t="s">
        <v>14</v>
      </c>
      <c r="H1405" s="47" t="s">
        <v>86</v>
      </c>
      <c r="I1405" s="47" t="s">
        <v>5290</v>
      </c>
      <c r="J1405" s="47" t="e">
        <f>VLOOKUP(Table2[[#This Row], [Author]],People!A:B,2,0)</f>
        <v>#N/A</v>
      </c>
      <c r="K1405" s="47"/>
      <c r="L1405" s="47"/>
      <c r="M1405" s="49" t="s">
        <v>1613</v>
      </c>
    </row>
    <row r="1406" spans="1:13">
      <c r="A1406" s="48">
        <f t="shared" si="21"/>
        <v>1405</v>
      </c>
      <c r="B1406" s="47" t="s">
        <v>4</v>
      </c>
      <c r="C1406" s="47" t="s">
        <v>7157</v>
      </c>
      <c r="D1406" s="47" t="s">
        <v>7489</v>
      </c>
      <c r="E1406" s="47" t="s">
        <v>7066</v>
      </c>
      <c r="F1406" s="47" t="s">
        <v>7486</v>
      </c>
      <c r="G1406" s="47" t="s">
        <v>14</v>
      </c>
      <c r="H1406" s="47" t="s">
        <v>86</v>
      </c>
      <c r="I1406" s="47" t="s">
        <v>5290</v>
      </c>
      <c r="J1406" s="47" t="e">
        <f>VLOOKUP(Table2[[#This Row], [Author]],People!A:B,2,0)</f>
        <v>#N/A</v>
      </c>
      <c r="K1406" s="47"/>
      <c r="L1406" s="47"/>
      <c r="M1406" s="49" t="s">
        <v>1613</v>
      </c>
    </row>
    <row r="1407" spans="1:13">
      <c r="A1407" s="48">
        <f t="shared" si="21"/>
        <v>1406</v>
      </c>
      <c r="B1407" s="47" t="s">
        <v>4</v>
      </c>
      <c r="C1407" s="47" t="s">
        <v>7157</v>
      </c>
      <c r="D1407" s="47" t="s">
        <v>7490</v>
      </c>
      <c r="E1407" s="47" t="s">
        <v>7067</v>
      </c>
      <c r="F1407" s="47" t="s">
        <v>7486</v>
      </c>
      <c r="G1407" s="47" t="s">
        <v>14</v>
      </c>
      <c r="H1407" s="47" t="s">
        <v>86</v>
      </c>
      <c r="I1407" s="47" t="s">
        <v>5290</v>
      </c>
      <c r="J1407" s="47" t="e">
        <f>VLOOKUP(Table2[[#This Row], [Author]],People!A:B,2,0)</f>
        <v>#N/A</v>
      </c>
      <c r="K1407" s="47"/>
      <c r="L1407" s="47"/>
      <c r="M1407" s="49" t="s">
        <v>1613</v>
      </c>
    </row>
    <row r="1408" spans="1:13">
      <c r="A1408" s="48">
        <f t="shared" si="21"/>
        <v>1407</v>
      </c>
      <c r="B1408" s="47" t="s">
        <v>4</v>
      </c>
      <c r="C1408" s="47" t="s">
        <v>7157</v>
      </c>
      <c r="D1408" s="47" t="s">
        <v>7491</v>
      </c>
      <c r="E1408" s="47" t="s">
        <v>7068</v>
      </c>
      <c r="F1408" s="47" t="s">
        <v>7486</v>
      </c>
      <c r="G1408" s="47" t="s">
        <v>14</v>
      </c>
      <c r="H1408" s="47" t="s">
        <v>86</v>
      </c>
      <c r="I1408" s="47" t="s">
        <v>5290</v>
      </c>
      <c r="J1408" s="47" t="e">
        <f>VLOOKUP(Table2[[#This Row], [Author]],People!A:B,2,0)</f>
        <v>#N/A</v>
      </c>
      <c r="K1408" s="47"/>
      <c r="L1408" s="47"/>
      <c r="M1408" s="49" t="s">
        <v>1613</v>
      </c>
    </row>
    <row r="1409" spans="1:13">
      <c r="A1409" s="48">
        <f t="shared" si="21"/>
        <v>1408</v>
      </c>
      <c r="B1409" s="47" t="s">
        <v>4</v>
      </c>
      <c r="C1409" s="47" t="s">
        <v>7157</v>
      </c>
      <c r="D1409" s="47" t="s">
        <v>7492</v>
      </c>
      <c r="E1409" s="47" t="s">
        <v>7069</v>
      </c>
      <c r="F1409" s="47" t="s">
        <v>6683</v>
      </c>
      <c r="G1409" s="47" t="s">
        <v>14</v>
      </c>
      <c r="H1409" s="47" t="s">
        <v>86</v>
      </c>
      <c r="I1409" s="47" t="s">
        <v>5290</v>
      </c>
      <c r="J1409" s="47" t="e">
        <f>VLOOKUP(Table2[[#This Row], [Author]],People!A:B,2,0)</f>
        <v>#N/A</v>
      </c>
      <c r="K1409" s="47"/>
      <c r="L1409" s="47"/>
      <c r="M1409" s="49" t="s">
        <v>1613</v>
      </c>
    </row>
    <row r="1410" spans="1:13">
      <c r="A1410" s="48">
        <f t="shared" si="21"/>
        <v>1409</v>
      </c>
      <c r="B1410" s="47" t="s">
        <v>4</v>
      </c>
      <c r="C1410" s="47" t="s">
        <v>7157</v>
      </c>
      <c r="D1410" s="47" t="s">
        <v>7493</v>
      </c>
      <c r="E1410" s="47" t="s">
        <v>7070</v>
      </c>
      <c r="F1410" s="47" t="s">
        <v>7492</v>
      </c>
      <c r="G1410" s="47" t="s">
        <v>14</v>
      </c>
      <c r="H1410" s="47" t="s">
        <v>86</v>
      </c>
      <c r="I1410" s="47" t="s">
        <v>5290</v>
      </c>
      <c r="J1410" s="47" t="e">
        <f>VLOOKUP(Table2[[#This Row], [Author]],People!A:B,2,0)</f>
        <v>#N/A</v>
      </c>
      <c r="K1410" s="47"/>
      <c r="L1410" s="47"/>
      <c r="M1410" s="49" t="s">
        <v>1613</v>
      </c>
    </row>
    <row r="1411" spans="1:13">
      <c r="A1411" s="48">
        <f t="shared" ref="A1411:A1474" si="22">1+A1410</f>
        <v>1410</v>
      </c>
      <c r="B1411" s="47" t="s">
        <v>4</v>
      </c>
      <c r="C1411" s="47" t="s">
        <v>7157</v>
      </c>
      <c r="D1411" s="47" t="s">
        <v>7494</v>
      </c>
      <c r="E1411" s="47" t="s">
        <v>7071</v>
      </c>
      <c r="F1411" s="47" t="s">
        <v>7492</v>
      </c>
      <c r="G1411" s="47" t="s">
        <v>14</v>
      </c>
      <c r="H1411" s="47" t="s">
        <v>86</v>
      </c>
      <c r="I1411" s="47" t="s">
        <v>5290</v>
      </c>
      <c r="J1411" s="47" t="e">
        <f>VLOOKUP(Table2[[#This Row], [Author]],People!A:B,2,0)</f>
        <v>#N/A</v>
      </c>
      <c r="K1411" s="47"/>
      <c r="L1411" s="47"/>
      <c r="M1411" s="49" t="s">
        <v>1613</v>
      </c>
    </row>
    <row r="1412" spans="1:13">
      <c r="A1412" s="48">
        <f t="shared" si="22"/>
        <v>1411</v>
      </c>
      <c r="B1412" s="47" t="s">
        <v>4</v>
      </c>
      <c r="C1412" s="47" t="s">
        <v>7157</v>
      </c>
      <c r="D1412" s="47" t="s">
        <v>7495</v>
      </c>
      <c r="E1412" s="47" t="s">
        <v>7072</v>
      </c>
      <c r="F1412" s="47" t="s">
        <v>7494</v>
      </c>
      <c r="G1412" s="47" t="s">
        <v>14</v>
      </c>
      <c r="H1412" s="47" t="s">
        <v>86</v>
      </c>
      <c r="I1412" s="47" t="s">
        <v>5290</v>
      </c>
      <c r="J1412" s="47" t="e">
        <f>VLOOKUP(Table2[[#This Row], [Author]],People!A:B,2,0)</f>
        <v>#N/A</v>
      </c>
      <c r="K1412" s="47"/>
      <c r="L1412" s="47"/>
      <c r="M1412" s="49" t="s">
        <v>1613</v>
      </c>
    </row>
    <row r="1413" spans="1:13">
      <c r="A1413" s="48">
        <f t="shared" si="22"/>
        <v>1412</v>
      </c>
      <c r="B1413" s="47" t="s">
        <v>4</v>
      </c>
      <c r="C1413" s="47" t="s">
        <v>7157</v>
      </c>
      <c r="D1413" s="47" t="s">
        <v>7496</v>
      </c>
      <c r="E1413" s="47" t="s">
        <v>7073</v>
      </c>
      <c r="F1413" s="47" t="s">
        <v>7494</v>
      </c>
      <c r="G1413" s="47" t="s">
        <v>14</v>
      </c>
      <c r="H1413" s="47" t="s">
        <v>86</v>
      </c>
      <c r="I1413" s="47" t="s">
        <v>5290</v>
      </c>
      <c r="J1413" s="47" t="e">
        <f>VLOOKUP(Table2[[#This Row], [Author]],People!A:B,2,0)</f>
        <v>#N/A</v>
      </c>
      <c r="K1413" s="47"/>
      <c r="L1413" s="47"/>
      <c r="M1413" s="49" t="s">
        <v>1613</v>
      </c>
    </row>
    <row r="1414" spans="1:13">
      <c r="A1414" s="48">
        <f t="shared" si="22"/>
        <v>1413</v>
      </c>
      <c r="B1414" s="47" t="s">
        <v>4</v>
      </c>
      <c r="C1414" s="47" t="s">
        <v>7157</v>
      </c>
      <c r="D1414" s="47" t="s">
        <v>7497</v>
      </c>
      <c r="E1414" s="47" t="s">
        <v>7074</v>
      </c>
      <c r="F1414" s="47" t="s">
        <v>7492</v>
      </c>
      <c r="G1414" s="47" t="s">
        <v>14</v>
      </c>
      <c r="H1414" s="47" t="s">
        <v>86</v>
      </c>
      <c r="I1414" s="47" t="s">
        <v>5290</v>
      </c>
      <c r="J1414" s="47" t="e">
        <f>VLOOKUP(Table2[[#This Row], [Author]],People!A:B,2,0)</f>
        <v>#N/A</v>
      </c>
      <c r="K1414" s="47"/>
      <c r="L1414" s="47"/>
      <c r="M1414" s="49" t="s">
        <v>1613</v>
      </c>
    </row>
    <row r="1415" spans="1:13">
      <c r="A1415" s="48">
        <f t="shared" si="22"/>
        <v>1414</v>
      </c>
      <c r="B1415" s="47" t="s">
        <v>4</v>
      </c>
      <c r="C1415" s="47" t="s">
        <v>7157</v>
      </c>
      <c r="D1415" s="47" t="s">
        <v>7498</v>
      </c>
      <c r="E1415" s="47" t="s">
        <v>7075</v>
      </c>
      <c r="F1415" s="47" t="s">
        <v>7497</v>
      </c>
      <c r="G1415" s="47" t="s">
        <v>14</v>
      </c>
      <c r="H1415" s="47" t="s">
        <v>86</v>
      </c>
      <c r="I1415" s="47" t="s">
        <v>5290</v>
      </c>
      <c r="J1415" s="47" t="str">
        <f>VLOOKUP(Table2[[#This Row], [Author]],People!A:B,2,0)</f>
        <v>MGF</v>
      </c>
      <c r="K1415" s="47"/>
      <c r="L1415" s="47"/>
      <c r="M1415" s="49" t="s">
        <v>1613</v>
      </c>
    </row>
    <row r="1416" spans="1:13">
      <c r="A1416" s="48">
        <f t="shared" si="22"/>
        <v>1415</v>
      </c>
      <c r="B1416" s="47" t="s">
        <v>4</v>
      </c>
      <c r="C1416" s="47" t="s">
        <v>7157</v>
      </c>
      <c r="D1416" s="47" t="s">
        <v>7499</v>
      </c>
      <c r="E1416" s="47" t="s">
        <v>7076</v>
      </c>
      <c r="F1416" s="47" t="s">
        <v>7497</v>
      </c>
      <c r="G1416" s="47" t="s">
        <v>14</v>
      </c>
      <c r="H1416" s="47" t="s">
        <v>86</v>
      </c>
      <c r="I1416" s="47" t="s">
        <v>5290</v>
      </c>
      <c r="J1416" s="47" t="str">
        <f>VLOOKUP(Table2[[#This Row], [Author]],People!A:B,2,0)</f>
        <v>HC</v>
      </c>
      <c r="K1416" s="47"/>
      <c r="L1416" s="47"/>
      <c r="M1416" s="49" t="s">
        <v>1613</v>
      </c>
    </row>
    <row r="1417" spans="1:13">
      <c r="A1417" s="48">
        <f t="shared" si="22"/>
        <v>1416</v>
      </c>
      <c r="B1417" s="47" t="s">
        <v>4</v>
      </c>
      <c r="C1417" s="47" t="s">
        <v>7157</v>
      </c>
      <c r="D1417" s="47" t="s">
        <v>7500</v>
      </c>
      <c r="E1417" s="47" t="s">
        <v>7077</v>
      </c>
      <c r="F1417" s="47" t="s">
        <v>6682</v>
      </c>
      <c r="G1417" s="47" t="s">
        <v>14</v>
      </c>
      <c r="H1417" s="47" t="s">
        <v>86</v>
      </c>
      <c r="I1417" s="47" t="s">
        <v>5290</v>
      </c>
      <c r="J1417" s="47" t="e">
        <f>VLOOKUP(Table2[[#This Row], [Author]],People!A:B,2,0)</f>
        <v>#N/A</v>
      </c>
      <c r="K1417" s="47"/>
      <c r="L1417" s="47"/>
      <c r="M1417" s="49" t="s">
        <v>1613</v>
      </c>
    </row>
    <row r="1418" spans="1:13">
      <c r="A1418" s="48">
        <f t="shared" si="22"/>
        <v>1417</v>
      </c>
      <c r="B1418" s="47" t="s">
        <v>4</v>
      </c>
      <c r="C1418" s="47" t="s">
        <v>7157</v>
      </c>
      <c r="D1418" s="47" t="s">
        <v>7501</v>
      </c>
      <c r="E1418" s="47" t="s">
        <v>7078</v>
      </c>
      <c r="F1418" s="47" t="s">
        <v>7500</v>
      </c>
      <c r="G1418" s="47" t="s">
        <v>14</v>
      </c>
      <c r="H1418" s="47" t="s">
        <v>86</v>
      </c>
      <c r="I1418" s="47" t="s">
        <v>5290</v>
      </c>
      <c r="J1418" s="47" t="e">
        <f>VLOOKUP(Table2[[#This Row], [Author]],People!A:B,2,0)</f>
        <v>#N/A</v>
      </c>
      <c r="K1418" s="47"/>
      <c r="L1418" s="47"/>
      <c r="M1418" s="49" t="s">
        <v>1613</v>
      </c>
    </row>
    <row r="1419" spans="1:13">
      <c r="A1419" s="48">
        <f t="shared" si="22"/>
        <v>1418</v>
      </c>
      <c r="B1419" s="47" t="s">
        <v>4</v>
      </c>
      <c r="C1419" s="47" t="s">
        <v>7157</v>
      </c>
      <c r="D1419" s="47" t="s">
        <v>7502</v>
      </c>
      <c r="E1419" s="47" t="s">
        <v>7079</v>
      </c>
      <c r="F1419" s="47" t="s">
        <v>7500</v>
      </c>
      <c r="G1419" s="47" t="s">
        <v>14</v>
      </c>
      <c r="H1419" s="47" t="s">
        <v>86</v>
      </c>
      <c r="I1419" s="47" t="s">
        <v>5290</v>
      </c>
      <c r="J1419" s="47" t="e">
        <f>VLOOKUP(Table2[[#This Row], [Author]],People!A:B,2,0)</f>
        <v>#N/A</v>
      </c>
      <c r="K1419" s="47"/>
      <c r="L1419" s="47"/>
      <c r="M1419" s="49" t="s">
        <v>1613</v>
      </c>
    </row>
    <row r="1420" spans="1:13">
      <c r="A1420" s="48">
        <f t="shared" si="22"/>
        <v>1419</v>
      </c>
      <c r="B1420" s="47" t="s">
        <v>4</v>
      </c>
      <c r="C1420" s="47" t="s">
        <v>7157</v>
      </c>
      <c r="D1420" s="47" t="s">
        <v>7503</v>
      </c>
      <c r="E1420" s="47" t="s">
        <v>7080</v>
      </c>
      <c r="F1420" s="47" t="s">
        <v>7500</v>
      </c>
      <c r="G1420" s="47" t="s">
        <v>14</v>
      </c>
      <c r="H1420" s="47" t="s">
        <v>86</v>
      </c>
      <c r="I1420" s="47" t="s">
        <v>5290</v>
      </c>
      <c r="J1420" s="47" t="e">
        <f>VLOOKUP(Table2[[#This Row], [Author]],People!A:B,2,0)</f>
        <v>#N/A</v>
      </c>
      <c r="K1420" s="47"/>
      <c r="L1420" s="47"/>
      <c r="M1420" s="49" t="s">
        <v>1613</v>
      </c>
    </row>
    <row r="1421" spans="1:13">
      <c r="A1421" s="48">
        <f t="shared" si="22"/>
        <v>1420</v>
      </c>
      <c r="B1421" s="47" t="s">
        <v>4</v>
      </c>
      <c r="C1421" s="47" t="s">
        <v>7157</v>
      </c>
      <c r="D1421" s="47" t="s">
        <v>7504</v>
      </c>
      <c r="E1421" s="47" t="s">
        <v>7081</v>
      </c>
      <c r="F1421" s="47" t="s">
        <v>7503</v>
      </c>
      <c r="G1421" s="47" t="s">
        <v>14</v>
      </c>
      <c r="H1421" s="47" t="s">
        <v>86</v>
      </c>
      <c r="I1421" s="47" t="s">
        <v>5290</v>
      </c>
      <c r="J1421" s="47" t="e">
        <f>VLOOKUP(Table2[[#This Row], [Author]],People!A:B,2,0)</f>
        <v>#N/A</v>
      </c>
      <c r="K1421" s="47"/>
      <c r="L1421" s="47"/>
      <c r="M1421" s="49" t="s">
        <v>1613</v>
      </c>
    </row>
    <row r="1422" spans="1:13">
      <c r="A1422" s="48">
        <f t="shared" si="22"/>
        <v>1421</v>
      </c>
      <c r="B1422" s="47" t="s">
        <v>4</v>
      </c>
      <c r="C1422" s="47" t="s">
        <v>7157</v>
      </c>
      <c r="D1422" s="47" t="s">
        <v>7505</v>
      </c>
      <c r="E1422" s="47" t="s">
        <v>7082</v>
      </c>
      <c r="F1422" s="47" t="s">
        <v>7503</v>
      </c>
      <c r="G1422" s="47" t="s">
        <v>14</v>
      </c>
      <c r="H1422" s="47" t="s">
        <v>86</v>
      </c>
      <c r="I1422" s="47" t="s">
        <v>5290</v>
      </c>
      <c r="J1422" s="47" t="e">
        <f>VLOOKUP(Table2[[#This Row], [Author]],People!A:B,2,0)</f>
        <v>#N/A</v>
      </c>
      <c r="K1422" s="47"/>
      <c r="L1422" s="47"/>
      <c r="M1422" s="49" t="s">
        <v>1613</v>
      </c>
    </row>
    <row r="1423" spans="1:13">
      <c r="A1423" s="48">
        <f t="shared" si="22"/>
        <v>1422</v>
      </c>
      <c r="B1423" s="47" t="s">
        <v>4</v>
      </c>
      <c r="C1423" s="47" t="s">
        <v>7157</v>
      </c>
      <c r="D1423" s="47" t="s">
        <v>7506</v>
      </c>
      <c r="E1423" s="47" t="s">
        <v>7083</v>
      </c>
      <c r="F1423" s="47" t="s">
        <v>7500</v>
      </c>
      <c r="G1423" s="47" t="s">
        <v>14</v>
      </c>
      <c r="H1423" s="47" t="s">
        <v>86</v>
      </c>
      <c r="I1423" s="47" t="s">
        <v>5290</v>
      </c>
      <c r="J1423" s="47" t="e">
        <f>VLOOKUP(Table2[[#This Row], [Author]],People!A:B,2,0)</f>
        <v>#N/A</v>
      </c>
      <c r="K1423" s="47"/>
      <c r="L1423" s="47"/>
      <c r="M1423" s="49" t="s">
        <v>1613</v>
      </c>
    </row>
    <row r="1424" spans="1:13">
      <c r="A1424" s="48">
        <f t="shared" si="22"/>
        <v>1423</v>
      </c>
      <c r="B1424" s="47" t="s">
        <v>4</v>
      </c>
      <c r="C1424" s="47" t="s">
        <v>7157</v>
      </c>
      <c r="D1424" s="47" t="s">
        <v>7507</v>
      </c>
      <c r="E1424" s="47" t="s">
        <v>7084</v>
      </c>
      <c r="F1424" s="47" t="s">
        <v>7506</v>
      </c>
      <c r="G1424" s="47" t="s">
        <v>14</v>
      </c>
      <c r="H1424" s="47" t="s">
        <v>86</v>
      </c>
      <c r="I1424" s="47" t="s">
        <v>5290</v>
      </c>
      <c r="J1424" s="47" t="e">
        <f>VLOOKUP(Table2[[#This Row], [Author]],People!A:B,2,0)</f>
        <v>#N/A</v>
      </c>
      <c r="K1424" s="47"/>
      <c r="L1424" s="47"/>
      <c r="M1424" s="49" t="s">
        <v>1613</v>
      </c>
    </row>
    <row r="1425" spans="1:13">
      <c r="A1425" s="48">
        <f t="shared" si="22"/>
        <v>1424</v>
      </c>
      <c r="B1425" s="47" t="s">
        <v>4</v>
      </c>
      <c r="C1425" s="47" t="s">
        <v>7157</v>
      </c>
      <c r="D1425" s="47" t="s">
        <v>7508</v>
      </c>
      <c r="E1425" s="47" t="s">
        <v>7085</v>
      </c>
      <c r="F1425" s="47" t="s">
        <v>7506</v>
      </c>
      <c r="G1425" s="47" t="s">
        <v>14</v>
      </c>
      <c r="H1425" s="47" t="s">
        <v>86</v>
      </c>
      <c r="I1425" s="47" t="s">
        <v>5290</v>
      </c>
      <c r="J1425" s="47" t="e">
        <f>VLOOKUP(Table2[[#This Row], [Author]],People!A:B,2,0)</f>
        <v>#N/A</v>
      </c>
      <c r="K1425" s="47"/>
      <c r="L1425" s="47"/>
      <c r="M1425" s="49" t="s">
        <v>1613</v>
      </c>
    </row>
    <row r="1426" spans="1:13">
      <c r="A1426" s="48">
        <f t="shared" si="22"/>
        <v>1425</v>
      </c>
      <c r="B1426" s="47" t="s">
        <v>4</v>
      </c>
      <c r="C1426" s="47" t="s">
        <v>7157</v>
      </c>
      <c r="D1426" s="47" t="s">
        <v>7509</v>
      </c>
      <c r="E1426" s="47" t="s">
        <v>7086</v>
      </c>
      <c r="F1426" s="47" t="s">
        <v>7506</v>
      </c>
      <c r="G1426" s="47" t="s">
        <v>14</v>
      </c>
      <c r="H1426" s="47" t="s">
        <v>86</v>
      </c>
      <c r="I1426" s="47" t="s">
        <v>5290</v>
      </c>
      <c r="J1426" s="47" t="e">
        <f>VLOOKUP(Table2[[#This Row], [Author]],People!A:B,2,0)</f>
        <v>#N/A</v>
      </c>
      <c r="K1426" s="47"/>
      <c r="L1426" s="47"/>
      <c r="M1426" s="49" t="s">
        <v>1613</v>
      </c>
    </row>
    <row r="1427" spans="1:13">
      <c r="A1427" s="48">
        <f t="shared" si="22"/>
        <v>1426</v>
      </c>
      <c r="B1427" s="47" t="s">
        <v>4</v>
      </c>
      <c r="C1427" s="47" t="s">
        <v>7157</v>
      </c>
      <c r="D1427" s="47" t="s">
        <v>7510</v>
      </c>
      <c r="E1427" s="47" t="s">
        <v>7087</v>
      </c>
      <c r="F1427" s="47" t="s">
        <v>7506</v>
      </c>
      <c r="G1427" s="47" t="s">
        <v>14</v>
      </c>
      <c r="H1427" s="47" t="s">
        <v>86</v>
      </c>
      <c r="I1427" s="47" t="s">
        <v>5290</v>
      </c>
      <c r="J1427" s="47" t="e">
        <f>VLOOKUP(Table2[[#This Row], [Author]],People!A:B,2,0)</f>
        <v>#N/A</v>
      </c>
      <c r="K1427" s="47"/>
      <c r="L1427" s="47"/>
      <c r="M1427" s="49" t="s">
        <v>1613</v>
      </c>
    </row>
    <row r="1428" spans="1:13">
      <c r="A1428" s="48">
        <f t="shared" si="22"/>
        <v>1427</v>
      </c>
      <c r="B1428" s="47" t="s">
        <v>4</v>
      </c>
      <c r="C1428" s="47" t="s">
        <v>7157</v>
      </c>
      <c r="D1428" s="47" t="s">
        <v>7511</v>
      </c>
      <c r="E1428" s="47" t="s">
        <v>7088</v>
      </c>
      <c r="F1428" s="47" t="s">
        <v>7506</v>
      </c>
      <c r="G1428" s="47" t="s">
        <v>14</v>
      </c>
      <c r="H1428" s="47" t="s">
        <v>86</v>
      </c>
      <c r="I1428" s="47" t="s">
        <v>5290</v>
      </c>
      <c r="J1428" s="47" t="str">
        <f>VLOOKUP(Table2[[#This Row], [Author]],People!A:B,2,0)</f>
        <v>MGF</v>
      </c>
      <c r="K1428" s="47"/>
      <c r="L1428" s="47"/>
      <c r="M1428" s="49" t="s">
        <v>1613</v>
      </c>
    </row>
    <row r="1429" spans="1:13">
      <c r="A1429" s="48">
        <f t="shared" si="22"/>
        <v>1428</v>
      </c>
      <c r="B1429" s="47" t="s">
        <v>4</v>
      </c>
      <c r="C1429" s="47" t="s">
        <v>7157</v>
      </c>
      <c r="D1429" s="47" t="s">
        <v>7512</v>
      </c>
      <c r="E1429" s="47" t="s">
        <v>7089</v>
      </c>
      <c r="F1429" s="47" t="s">
        <v>6683</v>
      </c>
      <c r="G1429" s="47" t="s">
        <v>14</v>
      </c>
      <c r="H1429" s="47" t="s">
        <v>86</v>
      </c>
      <c r="I1429" s="47" t="s">
        <v>5290</v>
      </c>
      <c r="J1429" s="47" t="e">
        <f>VLOOKUP(Table2[[#This Row], [Author]],People!A:B,2,0)</f>
        <v>#N/A</v>
      </c>
      <c r="K1429" s="47"/>
      <c r="L1429" s="47"/>
      <c r="M1429" s="49" t="s">
        <v>1613</v>
      </c>
    </row>
    <row r="1430" spans="1:13">
      <c r="A1430" s="48">
        <f t="shared" si="22"/>
        <v>1429</v>
      </c>
      <c r="B1430" s="47" t="s">
        <v>4</v>
      </c>
      <c r="C1430" s="47" t="s">
        <v>7157</v>
      </c>
      <c r="D1430" s="47" t="s">
        <v>7513</v>
      </c>
      <c r="E1430" s="47" t="s">
        <v>7090</v>
      </c>
      <c r="F1430" s="47" t="s">
        <v>7512</v>
      </c>
      <c r="G1430" s="47" t="s">
        <v>14</v>
      </c>
      <c r="H1430" s="47" t="s">
        <v>86</v>
      </c>
      <c r="I1430" s="47" t="s">
        <v>5290</v>
      </c>
      <c r="J1430" s="47" t="e">
        <f>VLOOKUP(Table2[[#This Row], [Author]],People!A:B,2,0)</f>
        <v>#N/A</v>
      </c>
      <c r="K1430" s="47"/>
      <c r="L1430" s="47"/>
      <c r="M1430" s="49" t="s">
        <v>1613</v>
      </c>
    </row>
    <row r="1431" spans="1:13">
      <c r="A1431" s="48">
        <f t="shared" si="22"/>
        <v>1430</v>
      </c>
      <c r="B1431" s="47" t="s">
        <v>4</v>
      </c>
      <c r="C1431" s="47" t="s">
        <v>7157</v>
      </c>
      <c r="D1431" s="47" t="s">
        <v>7514</v>
      </c>
      <c r="E1431" s="47" t="s">
        <v>7091</v>
      </c>
      <c r="F1431" s="47" t="s">
        <v>7512</v>
      </c>
      <c r="G1431" s="47" t="s">
        <v>14</v>
      </c>
      <c r="H1431" s="47" t="s">
        <v>86</v>
      </c>
      <c r="I1431" s="47" t="s">
        <v>5290</v>
      </c>
      <c r="J1431" s="47" t="e">
        <f>VLOOKUP(Table2[[#This Row], [Author]],People!A:B,2,0)</f>
        <v>#N/A</v>
      </c>
      <c r="K1431" s="47"/>
      <c r="L1431" s="47"/>
      <c r="M1431" s="49" t="s">
        <v>1613</v>
      </c>
    </row>
    <row r="1432" spans="1:13">
      <c r="A1432" s="48">
        <f t="shared" si="22"/>
        <v>1431</v>
      </c>
      <c r="B1432" s="47" t="s">
        <v>4</v>
      </c>
      <c r="C1432" s="47" t="s">
        <v>7157</v>
      </c>
      <c r="D1432" s="47" t="s">
        <v>7515</v>
      </c>
      <c r="E1432" s="47" t="s">
        <v>7092</v>
      </c>
      <c r="F1432" s="47" t="s">
        <v>7514</v>
      </c>
      <c r="G1432" s="47" t="s">
        <v>14</v>
      </c>
      <c r="H1432" s="47" t="s">
        <v>86</v>
      </c>
      <c r="I1432" s="47" t="s">
        <v>5290</v>
      </c>
      <c r="J1432" s="47" t="e">
        <f>VLOOKUP(Table2[[#This Row], [Author]],People!A:B,2,0)</f>
        <v>#N/A</v>
      </c>
      <c r="K1432" s="47"/>
      <c r="L1432" s="47"/>
      <c r="M1432" s="49" t="s">
        <v>1613</v>
      </c>
    </row>
    <row r="1433" spans="1:13">
      <c r="A1433" s="48">
        <f t="shared" si="22"/>
        <v>1432</v>
      </c>
      <c r="B1433" s="47" t="s">
        <v>4</v>
      </c>
      <c r="C1433" s="47" t="s">
        <v>7157</v>
      </c>
      <c r="D1433" s="47" t="s">
        <v>7516</v>
      </c>
      <c r="E1433" s="47" t="s">
        <v>7093</v>
      </c>
      <c r="F1433" s="47" t="s">
        <v>7514</v>
      </c>
      <c r="G1433" s="47" t="s">
        <v>14</v>
      </c>
      <c r="H1433" s="47" t="s">
        <v>86</v>
      </c>
      <c r="I1433" s="47" t="s">
        <v>5290</v>
      </c>
      <c r="J1433" s="47" t="e">
        <f>VLOOKUP(Table2[[#This Row], [Author]],People!A:B,2,0)</f>
        <v>#N/A</v>
      </c>
      <c r="K1433" s="47"/>
      <c r="L1433" s="47"/>
      <c r="M1433" s="49" t="s">
        <v>1613</v>
      </c>
    </row>
    <row r="1434" spans="1:13">
      <c r="A1434" s="48">
        <f t="shared" si="22"/>
        <v>1433</v>
      </c>
      <c r="B1434" s="47" t="s">
        <v>4</v>
      </c>
      <c r="C1434" s="47" t="s">
        <v>7157</v>
      </c>
      <c r="D1434" s="47" t="s">
        <v>7517</v>
      </c>
      <c r="E1434" s="47" t="s">
        <v>7094</v>
      </c>
      <c r="F1434" s="47" t="s">
        <v>7512</v>
      </c>
      <c r="G1434" s="47" t="s">
        <v>14</v>
      </c>
      <c r="H1434" s="47" t="s">
        <v>86</v>
      </c>
      <c r="I1434" s="47" t="s">
        <v>5290</v>
      </c>
      <c r="J1434" s="47" t="e">
        <f>VLOOKUP(Table2[[#This Row], [Author]],People!A:B,2,0)</f>
        <v>#N/A</v>
      </c>
      <c r="K1434" s="47"/>
      <c r="L1434" s="47"/>
      <c r="M1434" s="49" t="s">
        <v>1613</v>
      </c>
    </row>
    <row r="1435" spans="1:13">
      <c r="A1435" s="48">
        <f t="shared" si="22"/>
        <v>1434</v>
      </c>
      <c r="B1435" s="47" t="s">
        <v>4</v>
      </c>
      <c r="C1435" s="47" t="s">
        <v>7157</v>
      </c>
      <c r="D1435" s="47" t="s">
        <v>7518</v>
      </c>
      <c r="E1435" s="47" t="s">
        <v>7095</v>
      </c>
      <c r="F1435" s="47" t="s">
        <v>7517</v>
      </c>
      <c r="G1435" s="47" t="s">
        <v>14</v>
      </c>
      <c r="H1435" s="47" t="s">
        <v>86</v>
      </c>
      <c r="I1435" s="47" t="s">
        <v>5290</v>
      </c>
      <c r="J1435" s="47" t="e">
        <f>VLOOKUP(Table2[[#This Row], [Author]],People!A:B,2,0)</f>
        <v>#N/A</v>
      </c>
      <c r="K1435" s="47"/>
      <c r="L1435" s="47"/>
      <c r="M1435" s="49" t="s">
        <v>1613</v>
      </c>
    </row>
    <row r="1436" spans="1:13">
      <c r="A1436" s="48">
        <f t="shared" si="22"/>
        <v>1435</v>
      </c>
      <c r="B1436" s="47" t="s">
        <v>4</v>
      </c>
      <c r="C1436" s="47" t="s">
        <v>7157</v>
      </c>
      <c r="D1436" s="47" t="s">
        <v>7519</v>
      </c>
      <c r="E1436" s="47" t="s">
        <v>7096</v>
      </c>
      <c r="F1436" s="47" t="s">
        <v>7517</v>
      </c>
      <c r="G1436" s="47" t="s">
        <v>14</v>
      </c>
      <c r="H1436" s="47" t="s">
        <v>86</v>
      </c>
      <c r="I1436" s="47" t="s">
        <v>5290</v>
      </c>
      <c r="J1436" s="47" t="e">
        <f>VLOOKUP(Table2[[#This Row], [Author]],People!A:B,2,0)</f>
        <v>#N/A</v>
      </c>
      <c r="K1436" s="47"/>
      <c r="L1436" s="47"/>
      <c r="M1436" s="49" t="s">
        <v>1613</v>
      </c>
    </row>
    <row r="1437" spans="1:13">
      <c r="A1437" s="48">
        <f t="shared" si="22"/>
        <v>1436</v>
      </c>
      <c r="B1437" s="47" t="s">
        <v>4</v>
      </c>
      <c r="C1437" s="47" t="s">
        <v>7157</v>
      </c>
      <c r="D1437" s="47" t="s">
        <v>7520</v>
      </c>
      <c r="E1437" s="47" t="s">
        <v>7097</v>
      </c>
      <c r="F1437" s="47" t="s">
        <v>6682</v>
      </c>
      <c r="G1437" s="47" t="s">
        <v>14</v>
      </c>
      <c r="H1437" s="47" t="s">
        <v>86</v>
      </c>
      <c r="I1437" s="47" t="s">
        <v>5290</v>
      </c>
      <c r="J1437" s="47" t="e">
        <f>VLOOKUP(Table2[[#This Row], [Author]],People!A:B,2,0)</f>
        <v>#N/A</v>
      </c>
      <c r="K1437" s="47"/>
      <c r="L1437" s="47"/>
      <c r="M1437" s="49" t="s">
        <v>1613</v>
      </c>
    </row>
    <row r="1438" spans="1:13">
      <c r="A1438" s="48">
        <f t="shared" si="22"/>
        <v>1437</v>
      </c>
      <c r="B1438" s="47" t="s">
        <v>4</v>
      </c>
      <c r="C1438" s="47" t="s">
        <v>7157</v>
      </c>
      <c r="D1438" s="47" t="s">
        <v>7521</v>
      </c>
      <c r="E1438" s="47" t="s">
        <v>7098</v>
      </c>
      <c r="F1438" s="47" t="s">
        <v>7520</v>
      </c>
      <c r="G1438" s="47" t="s">
        <v>14</v>
      </c>
      <c r="H1438" s="47" t="s">
        <v>86</v>
      </c>
      <c r="I1438" s="47" t="s">
        <v>5290</v>
      </c>
      <c r="J1438" s="47" t="e">
        <f>VLOOKUP(Table2[[#This Row], [Author]],People!A:B,2,0)</f>
        <v>#N/A</v>
      </c>
      <c r="K1438" s="47"/>
      <c r="L1438" s="47"/>
      <c r="M1438" s="49" t="s">
        <v>1613</v>
      </c>
    </row>
    <row r="1439" spans="1:13">
      <c r="A1439" s="48">
        <f t="shared" si="22"/>
        <v>1438</v>
      </c>
      <c r="B1439" s="47" t="s">
        <v>4</v>
      </c>
      <c r="C1439" s="47" t="s">
        <v>7157</v>
      </c>
      <c r="D1439" s="47" t="s">
        <v>7522</v>
      </c>
      <c r="E1439" s="47" t="s">
        <v>7099</v>
      </c>
      <c r="F1439" s="47" t="s">
        <v>7520</v>
      </c>
      <c r="G1439" s="47" t="s">
        <v>14</v>
      </c>
      <c r="H1439" s="47" t="s">
        <v>86</v>
      </c>
      <c r="I1439" s="47" t="s">
        <v>5290</v>
      </c>
      <c r="J1439" s="47" t="e">
        <f>VLOOKUP(Table2[[#This Row], [Author]],People!A:B,2,0)</f>
        <v>#N/A</v>
      </c>
      <c r="K1439" s="47"/>
      <c r="L1439" s="47"/>
      <c r="M1439" s="49" t="s">
        <v>1613</v>
      </c>
    </row>
    <row r="1440" spans="1:13">
      <c r="A1440" s="48">
        <f t="shared" si="22"/>
        <v>1439</v>
      </c>
      <c r="B1440" s="47" t="s">
        <v>4</v>
      </c>
      <c r="C1440" s="47" t="s">
        <v>7157</v>
      </c>
      <c r="D1440" s="47" t="s">
        <v>7523</v>
      </c>
      <c r="E1440" s="47" t="s">
        <v>7100</v>
      </c>
      <c r="F1440" s="47" t="s">
        <v>7520</v>
      </c>
      <c r="G1440" s="47" t="s">
        <v>14</v>
      </c>
      <c r="H1440" s="47" t="s">
        <v>86</v>
      </c>
      <c r="I1440" s="47" t="s">
        <v>5290</v>
      </c>
      <c r="J1440" s="47" t="e">
        <f>VLOOKUP(Table2[[#This Row], [Author]],People!A:B,2,0)</f>
        <v>#N/A</v>
      </c>
      <c r="K1440" s="47"/>
      <c r="L1440" s="47"/>
      <c r="M1440" s="49" t="s">
        <v>1613</v>
      </c>
    </row>
    <row r="1441" spans="1:13">
      <c r="A1441" s="48">
        <f t="shared" si="22"/>
        <v>1440</v>
      </c>
      <c r="B1441" s="47" t="s">
        <v>4</v>
      </c>
      <c r="C1441" s="47" t="s">
        <v>7157</v>
      </c>
      <c r="D1441" s="47" t="s">
        <v>7524</v>
      </c>
      <c r="E1441" s="47" t="s">
        <v>7101</v>
      </c>
      <c r="F1441" s="47" t="s">
        <v>7523</v>
      </c>
      <c r="G1441" s="47" t="s">
        <v>14</v>
      </c>
      <c r="H1441" s="47" t="s">
        <v>86</v>
      </c>
      <c r="I1441" s="47" t="s">
        <v>5290</v>
      </c>
      <c r="J1441" s="47" t="e">
        <f>VLOOKUP(Table2[[#This Row], [Author]],People!A:B,2,0)</f>
        <v>#N/A</v>
      </c>
      <c r="K1441" s="47"/>
      <c r="L1441" s="47"/>
      <c r="M1441" s="49" t="s">
        <v>1613</v>
      </c>
    </row>
    <row r="1442" spans="1:13">
      <c r="A1442" s="48">
        <f t="shared" si="22"/>
        <v>1441</v>
      </c>
      <c r="B1442" s="47" t="s">
        <v>4</v>
      </c>
      <c r="C1442" s="47" t="s">
        <v>7157</v>
      </c>
      <c r="D1442" s="47" t="s">
        <v>7525</v>
      </c>
      <c r="E1442" s="47" t="s">
        <v>7102</v>
      </c>
      <c r="F1442" s="47" t="s">
        <v>7523</v>
      </c>
      <c r="G1442" s="47" t="s">
        <v>14</v>
      </c>
      <c r="H1442" s="47" t="s">
        <v>86</v>
      </c>
      <c r="I1442" s="47" t="s">
        <v>5290</v>
      </c>
      <c r="J1442" s="47" t="e">
        <f>VLOOKUP(Table2[[#This Row], [Author]],People!A:B,2,0)</f>
        <v>#N/A</v>
      </c>
      <c r="K1442" s="47"/>
      <c r="L1442" s="47"/>
      <c r="M1442" s="49" t="s">
        <v>1613</v>
      </c>
    </row>
    <row r="1443" spans="1:13">
      <c r="A1443" s="48">
        <f t="shared" si="22"/>
        <v>1442</v>
      </c>
      <c r="B1443" s="47" t="s">
        <v>4</v>
      </c>
      <c r="C1443" s="47" t="s">
        <v>7157</v>
      </c>
      <c r="D1443" s="47" t="s">
        <v>7526</v>
      </c>
      <c r="E1443" s="47" t="s">
        <v>7103</v>
      </c>
      <c r="F1443" s="47" t="s">
        <v>7520</v>
      </c>
      <c r="G1443" s="47" t="s">
        <v>14</v>
      </c>
      <c r="H1443" s="47" t="s">
        <v>86</v>
      </c>
      <c r="I1443" s="47" t="s">
        <v>5290</v>
      </c>
      <c r="J1443" s="47" t="e">
        <f>VLOOKUP(Table2[[#This Row], [Author]],People!A:B,2,0)</f>
        <v>#N/A</v>
      </c>
      <c r="K1443" s="47"/>
      <c r="L1443" s="47"/>
      <c r="M1443" s="49" t="s">
        <v>1613</v>
      </c>
    </row>
    <row r="1444" spans="1:13">
      <c r="A1444" s="48">
        <f t="shared" si="22"/>
        <v>1443</v>
      </c>
      <c r="B1444" s="47" t="s">
        <v>4</v>
      </c>
      <c r="C1444" s="47" t="s">
        <v>7157</v>
      </c>
      <c r="D1444" s="47" t="s">
        <v>7527</v>
      </c>
      <c r="E1444" s="47" t="s">
        <v>7104</v>
      </c>
      <c r="F1444" s="47" t="s">
        <v>7526</v>
      </c>
      <c r="G1444" s="47" t="s">
        <v>14</v>
      </c>
      <c r="H1444" s="47" t="s">
        <v>86</v>
      </c>
      <c r="I1444" s="47" t="s">
        <v>5290</v>
      </c>
      <c r="J1444" s="47" t="e">
        <f>VLOOKUP(Table2[[#This Row], [Author]],People!A:B,2,0)</f>
        <v>#N/A</v>
      </c>
      <c r="K1444" s="47"/>
      <c r="L1444" s="47"/>
      <c r="M1444" s="49" t="s">
        <v>1613</v>
      </c>
    </row>
    <row r="1445" spans="1:13">
      <c r="A1445" s="48">
        <f t="shared" si="22"/>
        <v>1444</v>
      </c>
      <c r="B1445" s="47" t="s">
        <v>4</v>
      </c>
      <c r="C1445" s="47" t="s">
        <v>7157</v>
      </c>
      <c r="D1445" s="47" t="s">
        <v>7528</v>
      </c>
      <c r="E1445" s="47" t="s">
        <v>7105</v>
      </c>
      <c r="F1445" s="47" t="s">
        <v>7526</v>
      </c>
      <c r="G1445" s="47" t="s">
        <v>14</v>
      </c>
      <c r="H1445" s="47" t="s">
        <v>86</v>
      </c>
      <c r="I1445" s="47" t="s">
        <v>5290</v>
      </c>
      <c r="J1445" s="47" t="e">
        <f>VLOOKUP(Table2[[#This Row], [Author]],People!A:B,2,0)</f>
        <v>#N/A</v>
      </c>
      <c r="K1445" s="47"/>
      <c r="L1445" s="47"/>
      <c r="M1445" s="49" t="s">
        <v>1613</v>
      </c>
    </row>
    <row r="1446" spans="1:13">
      <c r="A1446" s="48">
        <f t="shared" si="22"/>
        <v>1445</v>
      </c>
      <c r="B1446" s="47" t="s">
        <v>4</v>
      </c>
      <c r="C1446" s="47" t="s">
        <v>7157</v>
      </c>
      <c r="D1446" s="47" t="s">
        <v>7529</v>
      </c>
      <c r="E1446" s="47" t="s">
        <v>7106</v>
      </c>
      <c r="F1446" s="47" t="s">
        <v>7526</v>
      </c>
      <c r="G1446" s="47" t="s">
        <v>14</v>
      </c>
      <c r="H1446" s="47" t="s">
        <v>86</v>
      </c>
      <c r="I1446" s="47" t="s">
        <v>5290</v>
      </c>
      <c r="J1446" s="47" t="e">
        <f>VLOOKUP(Table2[[#This Row], [Author]],People!A:B,2,0)</f>
        <v>#N/A</v>
      </c>
      <c r="K1446" s="47"/>
      <c r="L1446" s="47"/>
      <c r="M1446" s="49" t="s">
        <v>1613</v>
      </c>
    </row>
    <row r="1447" spans="1:13">
      <c r="A1447" s="48">
        <f t="shared" si="22"/>
        <v>1446</v>
      </c>
      <c r="B1447" s="47" t="s">
        <v>4</v>
      </c>
      <c r="C1447" s="47" t="s">
        <v>7157</v>
      </c>
      <c r="D1447" s="47" t="s">
        <v>7530</v>
      </c>
      <c r="E1447" s="47" t="s">
        <v>7107</v>
      </c>
      <c r="F1447" s="47" t="s">
        <v>7526</v>
      </c>
      <c r="G1447" s="47" t="s">
        <v>14</v>
      </c>
      <c r="H1447" s="47" t="s">
        <v>86</v>
      </c>
      <c r="I1447" s="47" t="s">
        <v>5290</v>
      </c>
      <c r="J1447" s="47" t="e">
        <f>VLOOKUP(Table2[[#This Row], [Author]],People!A:B,2,0)</f>
        <v>#N/A</v>
      </c>
      <c r="K1447" s="47"/>
      <c r="L1447" s="47"/>
      <c r="M1447" s="49" t="s">
        <v>1613</v>
      </c>
    </row>
    <row r="1448" spans="1:13">
      <c r="A1448" s="48">
        <f t="shared" si="22"/>
        <v>1447</v>
      </c>
      <c r="B1448" s="47" t="s">
        <v>4</v>
      </c>
      <c r="C1448" s="47" t="s">
        <v>7157</v>
      </c>
      <c r="D1448" s="47" t="s">
        <v>7531</v>
      </c>
      <c r="E1448" s="47" t="s">
        <v>7108</v>
      </c>
      <c r="F1448" s="47" t="s">
        <v>7526</v>
      </c>
      <c r="G1448" s="47" t="s">
        <v>14</v>
      </c>
      <c r="H1448" s="47" t="s">
        <v>86</v>
      </c>
      <c r="I1448" s="47" t="s">
        <v>5290</v>
      </c>
      <c r="J1448" s="47" t="e">
        <f>VLOOKUP(Table2[[#This Row], [Author]],People!A:B,2,0)</f>
        <v>#N/A</v>
      </c>
      <c r="K1448" s="47"/>
      <c r="L1448" s="47"/>
      <c r="M1448" s="49" t="s">
        <v>1613</v>
      </c>
    </row>
    <row r="1449" spans="1:13">
      <c r="A1449" s="48">
        <f t="shared" si="22"/>
        <v>1448</v>
      </c>
      <c r="B1449" s="47" t="s">
        <v>4</v>
      </c>
      <c r="C1449" s="47" t="s">
        <v>7157</v>
      </c>
      <c r="D1449" s="47" t="s">
        <v>7532</v>
      </c>
      <c r="E1449" s="47" t="s">
        <v>7109</v>
      </c>
      <c r="F1449" s="47" t="s">
        <v>6683</v>
      </c>
      <c r="G1449" s="47" t="s">
        <v>14</v>
      </c>
      <c r="H1449" s="47" t="s">
        <v>86</v>
      </c>
      <c r="I1449" s="47" t="s">
        <v>5290</v>
      </c>
      <c r="J1449" s="47" t="e">
        <f>VLOOKUP(Table2[[#This Row], [Author]],People!A:B,2,0)</f>
        <v>#N/A</v>
      </c>
      <c r="K1449" s="47"/>
      <c r="L1449" s="47"/>
      <c r="M1449" s="49" t="s">
        <v>1613</v>
      </c>
    </row>
    <row r="1450" spans="1:13">
      <c r="A1450" s="48">
        <f t="shared" si="22"/>
        <v>1449</v>
      </c>
      <c r="B1450" s="47" t="s">
        <v>4</v>
      </c>
      <c r="C1450" s="47" t="s">
        <v>7157</v>
      </c>
      <c r="D1450" s="47" t="s">
        <v>7533</v>
      </c>
      <c r="E1450" s="47" t="s">
        <v>7110</v>
      </c>
      <c r="F1450" s="47" t="s">
        <v>7532</v>
      </c>
      <c r="G1450" s="47" t="s">
        <v>14</v>
      </c>
      <c r="H1450" s="47" t="s">
        <v>86</v>
      </c>
      <c r="I1450" s="47" t="s">
        <v>5290</v>
      </c>
      <c r="J1450" s="47" t="e">
        <f>VLOOKUP(Table2[[#This Row], [Author]],People!A:B,2,0)</f>
        <v>#N/A</v>
      </c>
      <c r="K1450" s="47"/>
      <c r="L1450" s="47"/>
      <c r="M1450" s="49" t="s">
        <v>1613</v>
      </c>
    </row>
    <row r="1451" spans="1:13">
      <c r="A1451" s="48">
        <f t="shared" si="22"/>
        <v>1450</v>
      </c>
      <c r="B1451" s="47" t="s">
        <v>4</v>
      </c>
      <c r="C1451" s="47" t="s">
        <v>7157</v>
      </c>
      <c r="D1451" s="47" t="s">
        <v>7534</v>
      </c>
      <c r="E1451" s="47" t="s">
        <v>7111</v>
      </c>
      <c r="F1451" s="47" t="s">
        <v>7532</v>
      </c>
      <c r="G1451" s="47" t="s">
        <v>14</v>
      </c>
      <c r="H1451" s="47" t="s">
        <v>86</v>
      </c>
      <c r="I1451" s="47" t="s">
        <v>5290</v>
      </c>
      <c r="J1451" s="47" t="e">
        <f>VLOOKUP(Table2[[#This Row], [Author]],People!A:B,2,0)</f>
        <v>#N/A</v>
      </c>
      <c r="K1451" s="47"/>
      <c r="L1451" s="47"/>
      <c r="M1451" s="49" t="s">
        <v>1613</v>
      </c>
    </row>
    <row r="1452" spans="1:13">
      <c r="A1452" s="48">
        <f t="shared" si="22"/>
        <v>1451</v>
      </c>
      <c r="B1452" s="47" t="s">
        <v>4</v>
      </c>
      <c r="C1452" s="47" t="s">
        <v>7157</v>
      </c>
      <c r="D1452" s="47" t="s">
        <v>7535</v>
      </c>
      <c r="E1452" s="47" t="s">
        <v>7112</v>
      </c>
      <c r="F1452" s="47" t="s">
        <v>7534</v>
      </c>
      <c r="G1452" s="47" t="s">
        <v>14</v>
      </c>
      <c r="H1452" s="47" t="s">
        <v>86</v>
      </c>
      <c r="I1452" s="47" t="s">
        <v>5290</v>
      </c>
      <c r="J1452" s="47" t="e">
        <f>VLOOKUP(Table2[[#This Row], [Author]],People!A:B,2,0)</f>
        <v>#N/A</v>
      </c>
      <c r="K1452" s="47"/>
      <c r="L1452" s="47"/>
      <c r="M1452" s="49" t="s">
        <v>1613</v>
      </c>
    </row>
    <row r="1453" spans="1:13">
      <c r="A1453" s="48">
        <f t="shared" si="22"/>
        <v>1452</v>
      </c>
      <c r="B1453" s="47" t="s">
        <v>4</v>
      </c>
      <c r="C1453" s="47" t="s">
        <v>7157</v>
      </c>
      <c r="D1453" s="47" t="s">
        <v>7536</v>
      </c>
      <c r="E1453" s="47" t="s">
        <v>7113</v>
      </c>
      <c r="F1453" s="47" t="s">
        <v>7534</v>
      </c>
      <c r="G1453" s="47" t="s">
        <v>14</v>
      </c>
      <c r="H1453" s="47" t="s">
        <v>86</v>
      </c>
      <c r="I1453" s="47" t="s">
        <v>5290</v>
      </c>
      <c r="J1453" s="47" t="e">
        <f>VLOOKUP(Table2[[#This Row], [Author]],People!A:B,2,0)</f>
        <v>#N/A</v>
      </c>
      <c r="K1453" s="47"/>
      <c r="L1453" s="47"/>
      <c r="M1453" s="49" t="s">
        <v>1613</v>
      </c>
    </row>
    <row r="1454" spans="1:13">
      <c r="A1454" s="48">
        <f t="shared" si="22"/>
        <v>1453</v>
      </c>
      <c r="B1454" s="47" t="s">
        <v>4</v>
      </c>
      <c r="C1454" s="47" t="s">
        <v>7157</v>
      </c>
      <c r="D1454" s="47" t="s">
        <v>7537</v>
      </c>
      <c r="E1454" s="47" t="s">
        <v>7114</v>
      </c>
      <c r="F1454" s="47" t="s">
        <v>7532</v>
      </c>
      <c r="G1454" s="47" t="s">
        <v>14</v>
      </c>
      <c r="H1454" s="47" t="s">
        <v>86</v>
      </c>
      <c r="I1454" s="47" t="s">
        <v>5290</v>
      </c>
      <c r="J1454" s="47" t="e">
        <f>VLOOKUP(Table2[[#This Row], [Author]],People!A:B,2,0)</f>
        <v>#N/A</v>
      </c>
      <c r="K1454" s="47"/>
      <c r="L1454" s="47"/>
      <c r="M1454" s="49" t="s">
        <v>1613</v>
      </c>
    </row>
    <row r="1455" spans="1:13">
      <c r="A1455" s="48">
        <f t="shared" si="22"/>
        <v>1454</v>
      </c>
      <c r="B1455" s="47" t="s">
        <v>4</v>
      </c>
      <c r="C1455" s="47" t="s">
        <v>7157</v>
      </c>
      <c r="D1455" s="47" t="s">
        <v>7538</v>
      </c>
      <c r="E1455" s="47" t="s">
        <v>7115</v>
      </c>
      <c r="F1455" s="47" t="s">
        <v>7537</v>
      </c>
      <c r="G1455" s="47" t="s">
        <v>14</v>
      </c>
      <c r="H1455" s="47" t="s">
        <v>86</v>
      </c>
      <c r="I1455" s="47" t="s">
        <v>5290</v>
      </c>
      <c r="J1455" s="47" t="e">
        <f>VLOOKUP(Table2[[#This Row], [Author]],People!A:B,2,0)</f>
        <v>#N/A</v>
      </c>
      <c r="K1455" s="47"/>
      <c r="L1455" s="47"/>
      <c r="M1455" s="49" t="s">
        <v>1613</v>
      </c>
    </row>
    <row r="1456" spans="1:13">
      <c r="A1456" s="48">
        <f t="shared" si="22"/>
        <v>1455</v>
      </c>
      <c r="B1456" s="47" t="s">
        <v>4</v>
      </c>
      <c r="C1456" s="47" t="s">
        <v>7157</v>
      </c>
      <c r="D1456" s="47" t="s">
        <v>7539</v>
      </c>
      <c r="E1456" s="47" t="s">
        <v>7116</v>
      </c>
      <c r="F1456" s="47" t="s">
        <v>7537</v>
      </c>
      <c r="G1456" s="47" t="s">
        <v>14</v>
      </c>
      <c r="H1456" s="47" t="s">
        <v>86</v>
      </c>
      <c r="I1456" s="47" t="s">
        <v>5290</v>
      </c>
      <c r="J1456" s="47" t="e">
        <f>VLOOKUP(Table2[[#This Row], [Author]],People!A:B,2,0)</f>
        <v>#N/A</v>
      </c>
      <c r="K1456" s="47"/>
      <c r="L1456" s="47"/>
      <c r="M1456" s="49" t="s">
        <v>1613</v>
      </c>
    </row>
    <row r="1457" spans="1:13">
      <c r="A1457" s="48">
        <f t="shared" si="22"/>
        <v>1456</v>
      </c>
      <c r="B1457" s="47" t="s">
        <v>4</v>
      </c>
      <c r="C1457" s="47" t="s">
        <v>7157</v>
      </c>
      <c r="D1457" s="47" t="s">
        <v>7540</v>
      </c>
      <c r="E1457" s="47" t="s">
        <v>7117</v>
      </c>
      <c r="F1457" s="47" t="s">
        <v>6682</v>
      </c>
      <c r="G1457" s="47" t="s">
        <v>14</v>
      </c>
      <c r="H1457" s="47" t="s">
        <v>86</v>
      </c>
      <c r="I1457" s="47" t="s">
        <v>5290</v>
      </c>
      <c r="J1457" s="47" t="e">
        <f>VLOOKUP(Table2[[#This Row], [Author]],People!A:B,2,0)</f>
        <v>#N/A</v>
      </c>
      <c r="K1457" s="47"/>
      <c r="L1457" s="47"/>
      <c r="M1457" s="49" t="s">
        <v>1613</v>
      </c>
    </row>
    <row r="1458" spans="1:13">
      <c r="A1458" s="48">
        <f t="shared" si="22"/>
        <v>1457</v>
      </c>
      <c r="B1458" s="47" t="s">
        <v>4</v>
      </c>
      <c r="C1458" s="47" t="s">
        <v>7157</v>
      </c>
      <c r="D1458" s="47" t="s">
        <v>7541</v>
      </c>
      <c r="E1458" s="47" t="s">
        <v>7118</v>
      </c>
      <c r="F1458" s="47" t="s">
        <v>7540</v>
      </c>
      <c r="G1458" s="47" t="s">
        <v>14</v>
      </c>
      <c r="H1458" s="47" t="s">
        <v>86</v>
      </c>
      <c r="I1458" s="47" t="s">
        <v>5290</v>
      </c>
      <c r="J1458" s="47" t="e">
        <f>VLOOKUP(Table2[[#This Row], [Author]],People!A:B,2,0)</f>
        <v>#N/A</v>
      </c>
      <c r="K1458" s="47"/>
      <c r="L1458" s="47"/>
      <c r="M1458" s="49" t="s">
        <v>1613</v>
      </c>
    </row>
    <row r="1459" spans="1:13">
      <c r="A1459" s="48">
        <f t="shared" si="22"/>
        <v>1458</v>
      </c>
      <c r="B1459" s="47" t="s">
        <v>4</v>
      </c>
      <c r="C1459" s="47" t="s">
        <v>7157</v>
      </c>
      <c r="D1459" s="47" t="s">
        <v>7542</v>
      </c>
      <c r="E1459" s="47" t="s">
        <v>7119</v>
      </c>
      <c r="F1459" s="47" t="s">
        <v>7540</v>
      </c>
      <c r="G1459" s="47" t="s">
        <v>14</v>
      </c>
      <c r="H1459" s="47" t="s">
        <v>86</v>
      </c>
      <c r="I1459" s="47" t="s">
        <v>5290</v>
      </c>
      <c r="J1459" s="47" t="e">
        <f>VLOOKUP(Table2[[#This Row], [Author]],People!A:B,2,0)</f>
        <v>#N/A</v>
      </c>
      <c r="K1459" s="47"/>
      <c r="L1459" s="47"/>
      <c r="M1459" s="49" t="s">
        <v>1613</v>
      </c>
    </row>
    <row r="1460" spans="1:13">
      <c r="A1460" s="48">
        <f t="shared" si="22"/>
        <v>1459</v>
      </c>
      <c r="B1460" s="47" t="s">
        <v>4</v>
      </c>
      <c r="C1460" s="47" t="s">
        <v>7157</v>
      </c>
      <c r="D1460" s="47" t="s">
        <v>7543</v>
      </c>
      <c r="E1460" s="47" t="s">
        <v>7120</v>
      </c>
      <c r="F1460" s="47" t="s">
        <v>7540</v>
      </c>
      <c r="G1460" s="47" t="s">
        <v>14</v>
      </c>
      <c r="H1460" s="47" t="s">
        <v>86</v>
      </c>
      <c r="I1460" s="47" t="s">
        <v>5290</v>
      </c>
      <c r="J1460" s="47" t="e">
        <f>VLOOKUP(Table2[[#This Row], [Author]],People!A:B,2,0)</f>
        <v>#N/A</v>
      </c>
      <c r="K1460" s="47"/>
      <c r="L1460" s="47"/>
      <c r="M1460" s="49" t="s">
        <v>1613</v>
      </c>
    </row>
    <row r="1461" spans="1:13">
      <c r="A1461" s="48">
        <f t="shared" si="22"/>
        <v>1460</v>
      </c>
      <c r="B1461" s="47" t="s">
        <v>4</v>
      </c>
      <c r="C1461" s="47" t="s">
        <v>7157</v>
      </c>
      <c r="D1461" s="47" t="s">
        <v>7544</v>
      </c>
      <c r="E1461" s="47" t="s">
        <v>7121</v>
      </c>
      <c r="F1461" s="47" t="s">
        <v>7543</v>
      </c>
      <c r="G1461" s="47" t="s">
        <v>14</v>
      </c>
      <c r="H1461" s="47" t="s">
        <v>86</v>
      </c>
      <c r="I1461" s="47" t="s">
        <v>5290</v>
      </c>
      <c r="J1461" s="47" t="e">
        <f>VLOOKUP(Table2[[#This Row], [Author]],People!A:B,2,0)</f>
        <v>#N/A</v>
      </c>
      <c r="K1461" s="47"/>
      <c r="L1461" s="47"/>
      <c r="M1461" s="49" t="s">
        <v>1613</v>
      </c>
    </row>
    <row r="1462" spans="1:13">
      <c r="A1462" s="48">
        <f t="shared" si="22"/>
        <v>1461</v>
      </c>
      <c r="B1462" s="47" t="s">
        <v>4</v>
      </c>
      <c r="C1462" s="47" t="s">
        <v>7157</v>
      </c>
      <c r="D1462" s="47" t="s">
        <v>7545</v>
      </c>
      <c r="E1462" s="47" t="s">
        <v>7122</v>
      </c>
      <c r="F1462" s="47" t="s">
        <v>7543</v>
      </c>
      <c r="G1462" s="47" t="s">
        <v>14</v>
      </c>
      <c r="H1462" s="47" t="s">
        <v>86</v>
      </c>
      <c r="I1462" s="47" t="s">
        <v>5290</v>
      </c>
      <c r="J1462" s="47" t="e">
        <f>VLOOKUP(Table2[[#This Row], [Author]],People!A:B,2,0)</f>
        <v>#N/A</v>
      </c>
      <c r="K1462" s="47"/>
      <c r="L1462" s="47"/>
      <c r="M1462" s="49" t="s">
        <v>1613</v>
      </c>
    </row>
    <row r="1463" spans="1:13">
      <c r="A1463" s="48">
        <f t="shared" si="22"/>
        <v>1462</v>
      </c>
      <c r="B1463" s="47" t="s">
        <v>4</v>
      </c>
      <c r="C1463" s="47" t="s">
        <v>7157</v>
      </c>
      <c r="D1463" s="47" t="s">
        <v>7546</v>
      </c>
      <c r="E1463" s="47" t="s">
        <v>7123</v>
      </c>
      <c r="F1463" s="47" t="s">
        <v>7540</v>
      </c>
      <c r="G1463" s="47" t="s">
        <v>14</v>
      </c>
      <c r="H1463" s="47" t="s">
        <v>86</v>
      </c>
      <c r="I1463" s="47" t="s">
        <v>5290</v>
      </c>
      <c r="J1463" s="47" t="e">
        <f>VLOOKUP(Table2[[#This Row], [Author]],People!A:B,2,0)</f>
        <v>#N/A</v>
      </c>
      <c r="K1463" s="47"/>
      <c r="L1463" s="47"/>
      <c r="M1463" s="49" t="s">
        <v>1613</v>
      </c>
    </row>
    <row r="1464" spans="1:13">
      <c r="A1464" s="48">
        <f t="shared" si="22"/>
        <v>1463</v>
      </c>
      <c r="B1464" s="47" t="s">
        <v>4</v>
      </c>
      <c r="C1464" s="47" t="s">
        <v>7157</v>
      </c>
      <c r="D1464" s="47" t="s">
        <v>7547</v>
      </c>
      <c r="E1464" s="47" t="s">
        <v>7124</v>
      </c>
      <c r="F1464" s="47" t="s">
        <v>7546</v>
      </c>
      <c r="G1464" s="47" t="s">
        <v>14</v>
      </c>
      <c r="H1464" s="47" t="s">
        <v>86</v>
      </c>
      <c r="I1464" s="47" t="s">
        <v>5290</v>
      </c>
      <c r="J1464" s="47" t="e">
        <f>VLOOKUP(Table2[[#This Row], [Author]],People!A:B,2,0)</f>
        <v>#N/A</v>
      </c>
      <c r="K1464" s="47"/>
      <c r="L1464" s="47"/>
      <c r="M1464" s="49" t="s">
        <v>1613</v>
      </c>
    </row>
    <row r="1465" spans="1:13">
      <c r="A1465" s="48">
        <f t="shared" si="22"/>
        <v>1464</v>
      </c>
      <c r="B1465" s="47" t="s">
        <v>4</v>
      </c>
      <c r="C1465" s="47" t="s">
        <v>7157</v>
      </c>
      <c r="D1465" s="47" t="s">
        <v>7548</v>
      </c>
      <c r="E1465" s="47" t="s">
        <v>7125</v>
      </c>
      <c r="F1465" s="47" t="s">
        <v>7546</v>
      </c>
      <c r="G1465" s="47" t="s">
        <v>14</v>
      </c>
      <c r="H1465" s="47" t="s">
        <v>86</v>
      </c>
      <c r="I1465" s="47" t="s">
        <v>5290</v>
      </c>
      <c r="J1465" s="47" t="str">
        <f>VLOOKUP(Table2[[#This Row], [Author]],People!A:B,2,0)</f>
        <v>MGF</v>
      </c>
      <c r="K1465" s="47"/>
      <c r="L1465" s="47"/>
      <c r="M1465" s="49" t="s">
        <v>1613</v>
      </c>
    </row>
    <row r="1466" spans="1:13">
      <c r="A1466" s="48">
        <f t="shared" si="22"/>
        <v>1465</v>
      </c>
      <c r="B1466" s="47" t="s">
        <v>4</v>
      </c>
      <c r="C1466" s="47" t="s">
        <v>7157</v>
      </c>
      <c r="D1466" s="47" t="s">
        <v>7549</v>
      </c>
      <c r="E1466" s="47" t="s">
        <v>7126</v>
      </c>
      <c r="F1466" s="47" t="s">
        <v>7546</v>
      </c>
      <c r="G1466" s="47" t="s">
        <v>14</v>
      </c>
      <c r="H1466" s="47" t="s">
        <v>86</v>
      </c>
      <c r="I1466" s="47" t="s">
        <v>5290</v>
      </c>
      <c r="J1466" s="47" t="str">
        <f>VLOOKUP(Table2[[#This Row], [Author]],People!A:B,2,0)</f>
        <v>MGF</v>
      </c>
      <c r="K1466" s="47"/>
      <c r="L1466" s="47"/>
      <c r="M1466" s="49" t="s">
        <v>1613</v>
      </c>
    </row>
    <row r="1467" spans="1:13">
      <c r="A1467" s="48">
        <f t="shared" si="22"/>
        <v>1466</v>
      </c>
      <c r="B1467" s="47" t="s">
        <v>4</v>
      </c>
      <c r="C1467" s="47" t="s">
        <v>7157</v>
      </c>
      <c r="D1467" s="47" t="s">
        <v>7550</v>
      </c>
      <c r="E1467" s="47" t="s">
        <v>7127</v>
      </c>
      <c r="F1467" s="47" t="s">
        <v>7546</v>
      </c>
      <c r="G1467" s="47" t="s">
        <v>14</v>
      </c>
      <c r="H1467" s="47" t="s">
        <v>86</v>
      </c>
      <c r="I1467" s="47" t="s">
        <v>5290</v>
      </c>
      <c r="J1467" s="47" t="str">
        <f>VLOOKUP(Table2[[#This Row], [Author]],People!A:B,2,0)</f>
        <v>MGF</v>
      </c>
      <c r="K1467" s="47"/>
      <c r="L1467" s="47"/>
      <c r="M1467" s="49" t="s">
        <v>1613</v>
      </c>
    </row>
    <row r="1468" spans="1:13">
      <c r="A1468" s="48">
        <f t="shared" si="22"/>
        <v>1467</v>
      </c>
      <c r="B1468" s="47" t="s">
        <v>4</v>
      </c>
      <c r="C1468" s="47" t="s">
        <v>7157</v>
      </c>
      <c r="D1468" s="47" t="s">
        <v>7551</v>
      </c>
      <c r="E1468" s="47" t="s">
        <v>7128</v>
      </c>
      <c r="F1468" s="47" t="s">
        <v>7546</v>
      </c>
      <c r="G1468" s="47" t="s">
        <v>14</v>
      </c>
      <c r="H1468" s="47" t="s">
        <v>86</v>
      </c>
      <c r="I1468" s="47" t="s">
        <v>5290</v>
      </c>
      <c r="J1468" s="47" t="e">
        <f>VLOOKUP(Table2[[#This Row], [Author]],People!A:B,2,0)</f>
        <v>#N/A</v>
      </c>
      <c r="K1468" s="47"/>
      <c r="L1468" s="47"/>
      <c r="M1468" s="49" t="s">
        <v>1613</v>
      </c>
    </row>
    <row r="1469" spans="1:13">
      <c r="A1469" s="48">
        <f t="shared" si="22"/>
        <v>1468</v>
      </c>
      <c r="B1469" s="47" t="s">
        <v>4</v>
      </c>
      <c r="C1469" s="47" t="s">
        <v>7157</v>
      </c>
      <c r="D1469" s="47" t="s">
        <v>7552</v>
      </c>
      <c r="E1469" s="47" t="s">
        <v>7129</v>
      </c>
      <c r="F1469" s="47" t="s">
        <v>6683</v>
      </c>
      <c r="G1469" s="47" t="s">
        <v>14</v>
      </c>
      <c r="H1469" s="47" t="s">
        <v>86</v>
      </c>
      <c r="I1469" s="47" t="s">
        <v>5290</v>
      </c>
      <c r="J1469" s="47" t="e">
        <f>VLOOKUP(Table2[[#This Row], [Author]],People!A:B,2,0)</f>
        <v>#N/A</v>
      </c>
      <c r="K1469" s="47"/>
      <c r="L1469" s="47"/>
      <c r="M1469" s="49" t="s">
        <v>1613</v>
      </c>
    </row>
    <row r="1470" spans="1:13">
      <c r="A1470" s="48">
        <f t="shared" si="22"/>
        <v>1469</v>
      </c>
      <c r="B1470" s="47" t="s">
        <v>4</v>
      </c>
      <c r="C1470" s="47" t="s">
        <v>7157</v>
      </c>
      <c r="D1470" s="47" t="s">
        <v>7553</v>
      </c>
      <c r="E1470" s="47" t="s">
        <v>7130</v>
      </c>
      <c r="F1470" s="47" t="s">
        <v>7552</v>
      </c>
      <c r="G1470" s="47" t="s">
        <v>14</v>
      </c>
      <c r="H1470" s="47" t="s">
        <v>86</v>
      </c>
      <c r="I1470" s="47" t="s">
        <v>5290</v>
      </c>
      <c r="J1470" s="47" t="e">
        <f>VLOOKUP(Table2[[#This Row], [Author]],People!A:B,2,0)</f>
        <v>#N/A</v>
      </c>
      <c r="K1470" s="47"/>
      <c r="L1470" s="47"/>
      <c r="M1470" s="49" t="s">
        <v>1613</v>
      </c>
    </row>
    <row r="1471" spans="1:13">
      <c r="A1471" s="48">
        <f t="shared" si="22"/>
        <v>1470</v>
      </c>
      <c r="B1471" s="47" t="s">
        <v>4</v>
      </c>
      <c r="C1471" s="47" t="s">
        <v>7157</v>
      </c>
      <c r="D1471" s="47" t="s">
        <v>7554</v>
      </c>
      <c r="E1471" s="47" t="s">
        <v>7131</v>
      </c>
      <c r="F1471" s="47" t="s">
        <v>7552</v>
      </c>
      <c r="G1471" s="47" t="s">
        <v>14</v>
      </c>
      <c r="H1471" s="47" t="s">
        <v>86</v>
      </c>
      <c r="I1471" s="47" t="s">
        <v>5290</v>
      </c>
      <c r="J1471" s="47" t="e">
        <f>VLOOKUP(Table2[[#This Row], [Author]],People!A:B,2,0)</f>
        <v>#N/A</v>
      </c>
      <c r="K1471" s="47"/>
      <c r="L1471" s="47"/>
      <c r="M1471" s="49" t="s">
        <v>1613</v>
      </c>
    </row>
    <row r="1472" spans="1:13">
      <c r="A1472" s="48">
        <f t="shared" si="22"/>
        <v>1471</v>
      </c>
      <c r="B1472" s="47" t="s">
        <v>4</v>
      </c>
      <c r="C1472" s="47" t="s">
        <v>7157</v>
      </c>
      <c r="D1472" s="47" t="s">
        <v>7555</v>
      </c>
      <c r="E1472" s="47" t="s">
        <v>7132</v>
      </c>
      <c r="F1472" s="47" t="s">
        <v>7554</v>
      </c>
      <c r="G1472" s="47" t="s">
        <v>14</v>
      </c>
      <c r="H1472" s="47" t="s">
        <v>86</v>
      </c>
      <c r="I1472" s="47" t="s">
        <v>5290</v>
      </c>
      <c r="J1472" s="47" t="e">
        <f>VLOOKUP(Table2[[#This Row], [Author]],People!A:B,2,0)</f>
        <v>#N/A</v>
      </c>
      <c r="K1472" s="47"/>
      <c r="L1472" s="47"/>
      <c r="M1472" s="49" t="s">
        <v>1613</v>
      </c>
    </row>
    <row r="1473" spans="1:13">
      <c r="A1473" s="48">
        <f t="shared" si="22"/>
        <v>1472</v>
      </c>
      <c r="B1473" s="47" t="s">
        <v>4</v>
      </c>
      <c r="C1473" s="47" t="s">
        <v>7157</v>
      </c>
      <c r="D1473" s="47" t="s">
        <v>7556</v>
      </c>
      <c r="E1473" s="47" t="s">
        <v>7133</v>
      </c>
      <c r="F1473" s="47" t="s">
        <v>7554</v>
      </c>
      <c r="G1473" s="47" t="s">
        <v>14</v>
      </c>
      <c r="H1473" s="47" t="s">
        <v>86</v>
      </c>
      <c r="I1473" s="47" t="s">
        <v>5290</v>
      </c>
      <c r="J1473" s="47" t="e">
        <f>VLOOKUP(Table2[[#This Row], [Author]],People!A:B,2,0)</f>
        <v>#N/A</v>
      </c>
      <c r="K1473" s="47"/>
      <c r="L1473" s="47"/>
      <c r="M1473" s="49" t="s">
        <v>1613</v>
      </c>
    </row>
    <row r="1474" spans="1:13">
      <c r="A1474" s="48">
        <f t="shared" si="22"/>
        <v>1473</v>
      </c>
      <c r="B1474" s="47" t="s">
        <v>4</v>
      </c>
      <c r="C1474" s="47" t="s">
        <v>7157</v>
      </c>
      <c r="D1474" s="47" t="s">
        <v>7557</v>
      </c>
      <c r="E1474" s="47" t="s">
        <v>7134</v>
      </c>
      <c r="F1474" s="47" t="s">
        <v>7552</v>
      </c>
      <c r="G1474" s="47" t="s">
        <v>14</v>
      </c>
      <c r="H1474" s="47" t="s">
        <v>86</v>
      </c>
      <c r="I1474" s="47" t="s">
        <v>5290</v>
      </c>
      <c r="J1474" s="47" t="e">
        <f>VLOOKUP(Table2[[#This Row], [Author]],People!A:B,2,0)</f>
        <v>#N/A</v>
      </c>
      <c r="K1474" s="47"/>
      <c r="L1474" s="47"/>
      <c r="M1474" s="49" t="s">
        <v>1613</v>
      </c>
    </row>
    <row r="1475" spans="1:13">
      <c r="A1475" s="48">
        <f t="shared" ref="A1475:A1538" si="23">1+A1474</f>
        <v>1474</v>
      </c>
      <c r="B1475" s="47" t="s">
        <v>4</v>
      </c>
      <c r="C1475" s="47" t="s">
        <v>7157</v>
      </c>
      <c r="D1475" s="47" t="s">
        <v>7558</v>
      </c>
      <c r="E1475" s="47" t="s">
        <v>7135</v>
      </c>
      <c r="F1475" s="47" t="s">
        <v>7557</v>
      </c>
      <c r="G1475" s="47" t="s">
        <v>14</v>
      </c>
      <c r="H1475" s="47" t="s">
        <v>86</v>
      </c>
      <c r="I1475" s="47" t="s">
        <v>5290</v>
      </c>
      <c r="J1475" s="47" t="e">
        <f>VLOOKUP(Table2[[#This Row], [Author]],People!A:B,2,0)</f>
        <v>#N/A</v>
      </c>
      <c r="K1475" s="47"/>
      <c r="L1475" s="47"/>
      <c r="M1475" s="49" t="s">
        <v>1613</v>
      </c>
    </row>
    <row r="1476" spans="1:13">
      <c r="A1476" s="48">
        <f t="shared" si="23"/>
        <v>1475</v>
      </c>
      <c r="B1476" s="47" t="s">
        <v>4</v>
      </c>
      <c r="C1476" s="47" t="s">
        <v>7157</v>
      </c>
      <c r="D1476" s="47" t="s">
        <v>7559</v>
      </c>
      <c r="E1476" s="47" t="s">
        <v>7136</v>
      </c>
      <c r="F1476" s="47" t="s">
        <v>7557</v>
      </c>
      <c r="G1476" s="47" t="s">
        <v>14</v>
      </c>
      <c r="H1476" s="47" t="s">
        <v>86</v>
      </c>
      <c r="I1476" s="47" t="s">
        <v>5290</v>
      </c>
      <c r="J1476" s="47" t="e">
        <f>VLOOKUP(Table2[[#This Row], [Author]],People!A:B,2,0)</f>
        <v>#N/A</v>
      </c>
      <c r="K1476" s="47"/>
      <c r="L1476" s="47"/>
      <c r="M1476" s="49" t="s">
        <v>1613</v>
      </c>
    </row>
    <row r="1477" spans="1:13">
      <c r="A1477" s="48">
        <f t="shared" si="23"/>
        <v>1476</v>
      </c>
      <c r="B1477" s="47" t="s">
        <v>4</v>
      </c>
      <c r="C1477" s="47" t="s">
        <v>7157</v>
      </c>
      <c r="D1477" s="47" t="s">
        <v>7560</v>
      </c>
      <c r="E1477" s="47" t="s">
        <v>7137</v>
      </c>
      <c r="F1477" s="47" t="s">
        <v>6682</v>
      </c>
      <c r="G1477" s="47" t="s">
        <v>14</v>
      </c>
      <c r="H1477" s="47" t="s">
        <v>86</v>
      </c>
      <c r="I1477" s="47" t="s">
        <v>5290</v>
      </c>
      <c r="J1477" s="47" t="e">
        <f>VLOOKUP(Table2[[#This Row], [Author]],People!A:B,2,0)</f>
        <v>#N/A</v>
      </c>
      <c r="K1477" s="47"/>
      <c r="L1477" s="47"/>
      <c r="M1477" s="49" t="s">
        <v>1613</v>
      </c>
    </row>
    <row r="1478" spans="1:13">
      <c r="A1478" s="48">
        <f t="shared" si="23"/>
        <v>1477</v>
      </c>
      <c r="B1478" s="47" t="s">
        <v>4</v>
      </c>
      <c r="C1478" s="47" t="s">
        <v>7157</v>
      </c>
      <c r="D1478" s="47" t="s">
        <v>7561</v>
      </c>
      <c r="E1478" s="47" t="s">
        <v>7138</v>
      </c>
      <c r="F1478" s="47" t="s">
        <v>7560</v>
      </c>
      <c r="G1478" s="47" t="s">
        <v>14</v>
      </c>
      <c r="H1478" s="47" t="s">
        <v>86</v>
      </c>
      <c r="I1478" s="47" t="s">
        <v>5290</v>
      </c>
      <c r="J1478" s="47" t="e">
        <f>VLOOKUP(Table2[[#This Row], [Author]],People!A:B,2,0)</f>
        <v>#N/A</v>
      </c>
      <c r="K1478" s="47"/>
      <c r="L1478" s="47"/>
      <c r="M1478" s="49" t="s">
        <v>1613</v>
      </c>
    </row>
    <row r="1479" spans="1:13">
      <c r="A1479" s="48">
        <f t="shared" si="23"/>
        <v>1478</v>
      </c>
      <c r="B1479" s="47" t="s">
        <v>4</v>
      </c>
      <c r="C1479" s="47" t="s">
        <v>7157</v>
      </c>
      <c r="D1479" s="47" t="s">
        <v>7562</v>
      </c>
      <c r="E1479" s="47" t="s">
        <v>7139</v>
      </c>
      <c r="F1479" s="47" t="s">
        <v>7560</v>
      </c>
      <c r="G1479" s="47" t="s">
        <v>14</v>
      </c>
      <c r="H1479" s="47" t="s">
        <v>86</v>
      </c>
      <c r="I1479" s="47" t="s">
        <v>5290</v>
      </c>
      <c r="J1479" s="47" t="e">
        <f>VLOOKUP(Table2[[#This Row], [Author]],People!A:B,2,0)</f>
        <v>#N/A</v>
      </c>
      <c r="K1479" s="47"/>
      <c r="L1479" s="47"/>
      <c r="M1479" s="49" t="s">
        <v>1613</v>
      </c>
    </row>
    <row r="1480" spans="1:13">
      <c r="A1480" s="48">
        <f t="shared" si="23"/>
        <v>1479</v>
      </c>
      <c r="B1480" s="47" t="s">
        <v>4</v>
      </c>
      <c r="C1480" s="47" t="s">
        <v>7157</v>
      </c>
      <c r="D1480" s="47" t="s">
        <v>7563</v>
      </c>
      <c r="E1480" s="47" t="s">
        <v>7140</v>
      </c>
      <c r="F1480" s="47" t="s">
        <v>7560</v>
      </c>
      <c r="G1480" s="47" t="s">
        <v>14</v>
      </c>
      <c r="H1480" s="47" t="s">
        <v>86</v>
      </c>
      <c r="I1480" s="47" t="s">
        <v>5290</v>
      </c>
      <c r="J1480" s="47" t="e">
        <f>VLOOKUP(Table2[[#This Row], [Author]],People!A:B,2,0)</f>
        <v>#N/A</v>
      </c>
      <c r="K1480" s="47"/>
      <c r="L1480" s="47"/>
      <c r="M1480" s="49" t="s">
        <v>1613</v>
      </c>
    </row>
    <row r="1481" spans="1:13">
      <c r="A1481" s="48">
        <f t="shared" si="23"/>
        <v>1480</v>
      </c>
      <c r="B1481" s="47" t="s">
        <v>4</v>
      </c>
      <c r="C1481" s="47" t="s">
        <v>7157</v>
      </c>
      <c r="D1481" s="47" t="s">
        <v>7564</v>
      </c>
      <c r="E1481" s="47" t="s">
        <v>7141</v>
      </c>
      <c r="F1481" s="47" t="s">
        <v>7563</v>
      </c>
      <c r="G1481" s="47" t="s">
        <v>14</v>
      </c>
      <c r="H1481" s="47" t="s">
        <v>86</v>
      </c>
      <c r="I1481" s="47" t="s">
        <v>5290</v>
      </c>
      <c r="J1481" s="47" t="e">
        <f>VLOOKUP(Table2[[#This Row], [Author]],People!A:B,2,0)</f>
        <v>#N/A</v>
      </c>
      <c r="K1481" s="47"/>
      <c r="L1481" s="47"/>
      <c r="M1481" s="49" t="s">
        <v>1613</v>
      </c>
    </row>
    <row r="1482" spans="1:13">
      <c r="A1482" s="48">
        <f t="shared" si="23"/>
        <v>1481</v>
      </c>
      <c r="B1482" s="47" t="s">
        <v>4</v>
      </c>
      <c r="C1482" s="47" t="s">
        <v>7157</v>
      </c>
      <c r="D1482" s="47" t="s">
        <v>7565</v>
      </c>
      <c r="E1482" s="47" t="s">
        <v>7142</v>
      </c>
      <c r="F1482" s="47" t="s">
        <v>7563</v>
      </c>
      <c r="G1482" s="47" t="s">
        <v>14</v>
      </c>
      <c r="H1482" s="47" t="s">
        <v>86</v>
      </c>
      <c r="I1482" s="47" t="s">
        <v>5290</v>
      </c>
      <c r="J1482" s="47" t="e">
        <f>VLOOKUP(Table2[[#This Row], [Author]],People!A:B,2,0)</f>
        <v>#N/A</v>
      </c>
      <c r="K1482" s="47"/>
      <c r="L1482" s="47"/>
      <c r="M1482" s="49" t="s">
        <v>1613</v>
      </c>
    </row>
    <row r="1483" spans="1:13">
      <c r="A1483" s="48">
        <f t="shared" si="23"/>
        <v>1482</v>
      </c>
      <c r="B1483" s="47" t="s">
        <v>4</v>
      </c>
      <c r="C1483" s="47" t="s">
        <v>7157</v>
      </c>
      <c r="D1483" s="47" t="s">
        <v>7566</v>
      </c>
      <c r="E1483" s="47" t="s">
        <v>7143</v>
      </c>
      <c r="F1483" s="47" t="s">
        <v>7560</v>
      </c>
      <c r="G1483" s="47" t="s">
        <v>14</v>
      </c>
      <c r="H1483" s="47" t="s">
        <v>86</v>
      </c>
      <c r="I1483" s="47" t="s">
        <v>5290</v>
      </c>
      <c r="J1483" s="47" t="e">
        <f>VLOOKUP(Table2[[#This Row], [Author]],People!A:B,2,0)</f>
        <v>#N/A</v>
      </c>
      <c r="K1483" s="47"/>
      <c r="L1483" s="47"/>
      <c r="M1483" s="49" t="s">
        <v>1613</v>
      </c>
    </row>
    <row r="1484" spans="1:13">
      <c r="A1484" s="48">
        <f t="shared" si="23"/>
        <v>1483</v>
      </c>
      <c r="B1484" s="47" t="s">
        <v>4</v>
      </c>
      <c r="C1484" s="47" t="s">
        <v>7157</v>
      </c>
      <c r="D1484" s="47" t="s">
        <v>7567</v>
      </c>
      <c r="E1484" s="47" t="s">
        <v>7144</v>
      </c>
      <c r="F1484" s="47" t="s">
        <v>7566</v>
      </c>
      <c r="G1484" s="47" t="s">
        <v>14</v>
      </c>
      <c r="H1484" s="47" t="s">
        <v>86</v>
      </c>
      <c r="I1484" s="47" t="s">
        <v>5290</v>
      </c>
      <c r="J1484" s="47" t="e">
        <f>VLOOKUP(Table2[[#This Row], [Author]],People!A:B,2,0)</f>
        <v>#N/A</v>
      </c>
      <c r="K1484" s="47"/>
      <c r="L1484" s="47"/>
      <c r="M1484" s="49" t="s">
        <v>1613</v>
      </c>
    </row>
    <row r="1485" spans="1:13">
      <c r="A1485" s="48">
        <f t="shared" si="23"/>
        <v>1484</v>
      </c>
      <c r="B1485" s="47" t="s">
        <v>4</v>
      </c>
      <c r="C1485" s="47" t="s">
        <v>7157</v>
      </c>
      <c r="D1485" s="47" t="s">
        <v>7568</v>
      </c>
      <c r="E1485" s="47" t="s">
        <v>7145</v>
      </c>
      <c r="F1485" s="47" t="s">
        <v>7566</v>
      </c>
      <c r="G1485" s="47" t="s">
        <v>14</v>
      </c>
      <c r="H1485" s="47" t="s">
        <v>86</v>
      </c>
      <c r="I1485" s="47" t="s">
        <v>5290</v>
      </c>
      <c r="J1485" s="47" t="e">
        <f>VLOOKUP(Table2[[#This Row], [Author]],People!A:B,2,0)</f>
        <v>#N/A</v>
      </c>
      <c r="K1485" s="47"/>
      <c r="L1485" s="47"/>
      <c r="M1485" s="49" t="s">
        <v>1613</v>
      </c>
    </row>
    <row r="1486" spans="1:13">
      <c r="A1486" s="48">
        <f t="shared" si="23"/>
        <v>1485</v>
      </c>
      <c r="B1486" s="47" t="s">
        <v>4</v>
      </c>
      <c r="C1486" s="47" t="s">
        <v>7157</v>
      </c>
      <c r="D1486" s="47" t="s">
        <v>7569</v>
      </c>
      <c r="E1486" s="47" t="s">
        <v>7146</v>
      </c>
      <c r="F1486" s="47" t="s">
        <v>7566</v>
      </c>
      <c r="G1486" s="47" t="s">
        <v>14</v>
      </c>
      <c r="H1486" s="47" t="s">
        <v>86</v>
      </c>
      <c r="I1486" s="47" t="s">
        <v>5290</v>
      </c>
      <c r="J1486" s="47" t="e">
        <f>VLOOKUP(Table2[[#This Row], [Author]],People!A:B,2,0)</f>
        <v>#N/A</v>
      </c>
      <c r="K1486" s="47"/>
      <c r="L1486" s="47"/>
      <c r="M1486" s="49" t="s">
        <v>1613</v>
      </c>
    </row>
    <row r="1487" spans="1:13">
      <c r="A1487" s="48">
        <f t="shared" si="23"/>
        <v>1486</v>
      </c>
      <c r="B1487" s="47" t="s">
        <v>4</v>
      </c>
      <c r="C1487" s="47" t="s">
        <v>7157</v>
      </c>
      <c r="D1487" s="47" t="s">
        <v>7570</v>
      </c>
      <c r="E1487" s="47" t="s">
        <v>7147</v>
      </c>
      <c r="F1487" s="47" t="s">
        <v>7566</v>
      </c>
      <c r="G1487" s="47" t="s">
        <v>14</v>
      </c>
      <c r="H1487" s="47" t="s">
        <v>86</v>
      </c>
      <c r="I1487" s="47" t="s">
        <v>5290</v>
      </c>
      <c r="J1487" s="47" t="e">
        <f>VLOOKUP(Table2[[#This Row], [Author]],People!A:B,2,0)</f>
        <v>#N/A</v>
      </c>
      <c r="K1487" s="47"/>
      <c r="L1487" s="47"/>
      <c r="M1487" s="49" t="s">
        <v>1613</v>
      </c>
    </row>
    <row r="1488" spans="1:13">
      <c r="A1488" s="48">
        <f t="shared" si="23"/>
        <v>1487</v>
      </c>
      <c r="B1488" s="47" t="s">
        <v>4</v>
      </c>
      <c r="C1488" s="47" t="s">
        <v>7157</v>
      </c>
      <c r="D1488" s="47" t="s">
        <v>7571</v>
      </c>
      <c r="E1488" s="47" t="s">
        <v>7148</v>
      </c>
      <c r="F1488" s="47" t="s">
        <v>7566</v>
      </c>
      <c r="G1488" s="47" t="s">
        <v>14</v>
      </c>
      <c r="H1488" s="47" t="s">
        <v>86</v>
      </c>
      <c r="I1488" s="47" t="s">
        <v>5290</v>
      </c>
      <c r="J1488" s="47" t="e">
        <f>VLOOKUP(Table2[[#This Row], [Author]],People!A:B,2,0)</f>
        <v>#N/A</v>
      </c>
      <c r="K1488" s="47"/>
      <c r="L1488" s="47"/>
      <c r="M1488" s="49" t="s">
        <v>1613</v>
      </c>
    </row>
    <row r="1489" spans="1:13">
      <c r="A1489" s="48">
        <f t="shared" si="23"/>
        <v>1488</v>
      </c>
      <c r="B1489" s="47" t="s">
        <v>4</v>
      </c>
      <c r="C1489" s="47" t="s">
        <v>7157</v>
      </c>
      <c r="D1489" s="47" t="s">
        <v>7572</v>
      </c>
      <c r="E1489" s="47" t="s">
        <v>7149</v>
      </c>
      <c r="F1489" s="47" t="s">
        <v>6683</v>
      </c>
      <c r="G1489" s="47" t="s">
        <v>14</v>
      </c>
      <c r="H1489" s="47" t="s">
        <v>86</v>
      </c>
      <c r="I1489" s="47" t="s">
        <v>5290</v>
      </c>
      <c r="J1489" s="47" t="e">
        <f>VLOOKUP(Table2[[#This Row], [Author]],People!A:B,2,0)</f>
        <v>#N/A</v>
      </c>
      <c r="K1489" s="47"/>
      <c r="L1489" s="47"/>
      <c r="M1489" s="49" t="s">
        <v>1613</v>
      </c>
    </row>
    <row r="1490" spans="1:13">
      <c r="A1490" s="48">
        <f t="shared" si="23"/>
        <v>1489</v>
      </c>
      <c r="B1490" s="47" t="s">
        <v>4</v>
      </c>
      <c r="C1490" s="47" t="s">
        <v>7157</v>
      </c>
      <c r="D1490" s="47" t="s">
        <v>7573</v>
      </c>
      <c r="E1490" s="47" t="s">
        <v>7150</v>
      </c>
      <c r="F1490" s="47" t="s">
        <v>7572</v>
      </c>
      <c r="G1490" s="47" t="s">
        <v>14</v>
      </c>
      <c r="H1490" s="47" t="s">
        <v>86</v>
      </c>
      <c r="I1490" s="47" t="s">
        <v>5290</v>
      </c>
      <c r="J1490" s="47" t="e">
        <f>VLOOKUP(Table2[[#This Row], [Author]],People!A:B,2,0)</f>
        <v>#N/A</v>
      </c>
      <c r="K1490" s="47"/>
      <c r="L1490" s="47"/>
      <c r="M1490" s="49" t="s">
        <v>1613</v>
      </c>
    </row>
    <row r="1491" spans="1:13">
      <c r="A1491" s="48">
        <f t="shared" si="23"/>
        <v>1490</v>
      </c>
      <c r="B1491" s="47" t="s">
        <v>4</v>
      </c>
      <c r="C1491" s="47" t="s">
        <v>7157</v>
      </c>
      <c r="D1491" s="47" t="s">
        <v>7574</v>
      </c>
      <c r="E1491" s="47" t="s">
        <v>7151</v>
      </c>
      <c r="F1491" s="47" t="s">
        <v>7572</v>
      </c>
      <c r="G1491" s="47" t="s">
        <v>14</v>
      </c>
      <c r="H1491" s="47" t="s">
        <v>86</v>
      </c>
      <c r="I1491" s="47" t="s">
        <v>5290</v>
      </c>
      <c r="J1491" s="47" t="e">
        <f>VLOOKUP(Table2[[#This Row], [Author]],People!A:B,2,0)</f>
        <v>#N/A</v>
      </c>
      <c r="K1491" s="47"/>
      <c r="L1491" s="47"/>
      <c r="M1491" s="49" t="s">
        <v>1613</v>
      </c>
    </row>
    <row r="1492" spans="1:13">
      <c r="A1492" s="48">
        <f t="shared" si="23"/>
        <v>1491</v>
      </c>
      <c r="B1492" s="47" t="s">
        <v>4</v>
      </c>
      <c r="C1492" s="47" t="s">
        <v>7157</v>
      </c>
      <c r="D1492" s="47" t="s">
        <v>7575</v>
      </c>
      <c r="E1492" s="47" t="s">
        <v>7152</v>
      </c>
      <c r="F1492" s="47" t="s">
        <v>7574</v>
      </c>
      <c r="G1492" s="47" t="s">
        <v>14</v>
      </c>
      <c r="H1492" s="47" t="s">
        <v>86</v>
      </c>
      <c r="I1492" s="47" t="s">
        <v>5290</v>
      </c>
      <c r="J1492" s="47" t="e">
        <f>VLOOKUP(Table2[[#This Row], [Author]],People!A:B,2,0)</f>
        <v>#N/A</v>
      </c>
      <c r="K1492" s="47"/>
      <c r="L1492" s="47"/>
      <c r="M1492" s="49" t="s">
        <v>1613</v>
      </c>
    </row>
    <row r="1493" spans="1:13">
      <c r="A1493" s="48">
        <f t="shared" si="23"/>
        <v>1492</v>
      </c>
      <c r="B1493" s="47" t="s">
        <v>4</v>
      </c>
      <c r="C1493" s="47" t="s">
        <v>7157</v>
      </c>
      <c r="D1493" s="47" t="s">
        <v>7576</v>
      </c>
      <c r="E1493" s="47" t="s">
        <v>7153</v>
      </c>
      <c r="F1493" s="47" t="s">
        <v>7574</v>
      </c>
      <c r="G1493" s="47" t="s">
        <v>14</v>
      </c>
      <c r="H1493" s="47" t="s">
        <v>86</v>
      </c>
      <c r="I1493" s="47" t="s">
        <v>5290</v>
      </c>
      <c r="J1493" s="47" t="e">
        <f>VLOOKUP(Table2[[#This Row], [Author]],People!A:B,2,0)</f>
        <v>#N/A</v>
      </c>
      <c r="K1493" s="47"/>
      <c r="L1493" s="47"/>
      <c r="M1493" s="49" t="s">
        <v>1613</v>
      </c>
    </row>
    <row r="1494" spans="1:13">
      <c r="A1494" s="48">
        <f t="shared" si="23"/>
        <v>1493</v>
      </c>
      <c r="B1494" s="47" t="s">
        <v>4</v>
      </c>
      <c r="C1494" s="47" t="s">
        <v>7157</v>
      </c>
      <c r="D1494" s="47" t="s">
        <v>7577</v>
      </c>
      <c r="E1494" s="47" t="s">
        <v>7154</v>
      </c>
      <c r="F1494" s="47" t="s">
        <v>7572</v>
      </c>
      <c r="G1494" s="47" t="s">
        <v>14</v>
      </c>
      <c r="H1494" s="47" t="s">
        <v>86</v>
      </c>
      <c r="I1494" s="47" t="s">
        <v>5290</v>
      </c>
      <c r="J1494" s="47" t="e">
        <f>VLOOKUP(Table2[[#This Row], [Author]],People!A:B,2,0)</f>
        <v>#N/A</v>
      </c>
      <c r="K1494" s="47"/>
      <c r="L1494" s="47"/>
      <c r="M1494" s="49" t="s">
        <v>1613</v>
      </c>
    </row>
    <row r="1495" spans="1:13">
      <c r="A1495" s="48">
        <f t="shared" si="23"/>
        <v>1494</v>
      </c>
      <c r="B1495" s="47" t="s">
        <v>4</v>
      </c>
      <c r="C1495" s="47" t="s">
        <v>7157</v>
      </c>
      <c r="D1495" s="47" t="s">
        <v>7578</v>
      </c>
      <c r="E1495" s="47" t="s">
        <v>7155</v>
      </c>
      <c r="F1495" s="47" t="s">
        <v>7577</v>
      </c>
      <c r="G1495" s="47" t="s">
        <v>14</v>
      </c>
      <c r="H1495" s="47" t="s">
        <v>86</v>
      </c>
      <c r="I1495" s="47" t="s">
        <v>5290</v>
      </c>
      <c r="J1495" s="47" t="e">
        <f>VLOOKUP(Table2[[#This Row], [Author]],People!A:B,2,0)</f>
        <v>#N/A</v>
      </c>
      <c r="K1495" s="47"/>
      <c r="L1495" s="47"/>
      <c r="M1495" s="49" t="s">
        <v>1613</v>
      </c>
    </row>
    <row r="1496" spans="1:13">
      <c r="A1496" s="48">
        <f t="shared" si="23"/>
        <v>1495</v>
      </c>
      <c r="B1496" s="47" t="s">
        <v>4</v>
      </c>
      <c r="C1496" s="47" t="s">
        <v>7157</v>
      </c>
      <c r="D1496" s="47" t="s">
        <v>7579</v>
      </c>
      <c r="E1496" s="47" t="s">
        <v>7156</v>
      </c>
      <c r="F1496" s="47" t="s">
        <v>7577</v>
      </c>
      <c r="G1496" s="47" t="s">
        <v>14</v>
      </c>
      <c r="H1496" s="47" t="s">
        <v>86</v>
      </c>
      <c r="I1496" s="47" t="s">
        <v>5290</v>
      </c>
      <c r="J1496" s="47" t="e">
        <f>VLOOKUP(Table2[[#This Row], [Author]],People!A:B,2,0)</f>
        <v>#N/A</v>
      </c>
      <c r="K1496" s="47"/>
      <c r="L1496" s="47"/>
      <c r="M1496" s="49" t="s">
        <v>1613</v>
      </c>
    </row>
    <row r="1497" spans="1:13">
      <c r="A1497" s="48">
        <f t="shared" si="23"/>
        <v>1496</v>
      </c>
      <c r="B1497" s="47" t="s">
        <v>4</v>
      </c>
      <c r="C1497" s="47" t="s">
        <v>7159</v>
      </c>
      <c r="D1497" s="47" t="s">
        <v>7158</v>
      </c>
      <c r="E1497" s="47"/>
      <c r="F1497" s="47" t="s">
        <v>1656</v>
      </c>
      <c r="G1497" s="47" t="s">
        <v>13</v>
      </c>
      <c r="H1497" s="47" t="s">
        <v>86</v>
      </c>
      <c r="I1497" s="47" t="s">
        <v>5290</v>
      </c>
      <c r="J1497" s="47" t="e">
        <f>VLOOKUP(Table2[[#This Row], [Author]],People!A:B,2,0)</f>
        <v>#N/A</v>
      </c>
      <c r="K1497" s="47"/>
      <c r="L1497" s="47"/>
      <c r="M1497" s="49" t="s">
        <v>4782</v>
      </c>
    </row>
    <row r="1498" spans="1:13">
      <c r="A1498" s="48">
        <f t="shared" si="23"/>
        <v>1497</v>
      </c>
      <c r="B1498" s="47" t="s">
        <v>4</v>
      </c>
      <c r="C1498" s="47" t="s">
        <v>7581</v>
      </c>
      <c r="D1498" s="47" t="s">
        <v>7580</v>
      </c>
      <c r="E1498" s="64" t="s">
        <v>7582</v>
      </c>
      <c r="F1498" s="47" t="s">
        <v>7583</v>
      </c>
      <c r="G1498" s="47" t="s">
        <v>14</v>
      </c>
      <c r="H1498" s="47" t="str">
        <f>IFERROR(VLOOKUP(Table2[[#This Row], [Ticket]],Okey!A:B,2,0),"")</f>
        <v>ok</v>
      </c>
      <c r="I1498" s="47" t="s">
        <v>5290</v>
      </c>
      <c r="J1498" s="47" t="e">
        <f>VLOOKUP(Table2[[#This Row], [Author]],People!A:B,2,0)</f>
        <v>#N/A</v>
      </c>
      <c r="K1498" s="47"/>
      <c r="L1498" s="47"/>
      <c r="M1498" s="49" t="s">
        <v>1613</v>
      </c>
    </row>
    <row r="1499" spans="1:13">
      <c r="A1499" s="48">
        <f t="shared" si="23"/>
        <v>1498</v>
      </c>
      <c r="B1499" s="47" t="s">
        <v>4</v>
      </c>
      <c r="C1499" s="47" t="s">
        <v>7581</v>
      </c>
      <c r="D1499" s="47" t="s">
        <v>7584</v>
      </c>
      <c r="E1499" s="47"/>
      <c r="F1499" s="47" t="s">
        <v>7580</v>
      </c>
      <c r="G1499" s="47" t="s">
        <v>13</v>
      </c>
      <c r="H1499" s="47" t="str">
        <f>IFERROR(VLOOKUP(Table2[[#This Row], [Ticket]],Okey!A:B,2,0),"")</f>
        <v>ok</v>
      </c>
      <c r="I1499" s="47" t="s">
        <v>5290</v>
      </c>
      <c r="J1499" s="47" t="e">
        <f>VLOOKUP(Table2[[#This Row], [Author]],People!A:B,2,0)</f>
        <v>#N/A</v>
      </c>
      <c r="K1499" s="47"/>
      <c r="L1499" s="47"/>
      <c r="M1499" s="49" t="s">
        <v>1613</v>
      </c>
    </row>
    <row r="1500" spans="1:13">
      <c r="A1500" s="48">
        <f t="shared" si="23"/>
        <v>1499</v>
      </c>
      <c r="B1500" s="47" t="s">
        <v>4</v>
      </c>
      <c r="C1500" s="47" t="s">
        <v>7581</v>
      </c>
      <c r="D1500" s="47" t="s">
        <v>7585</v>
      </c>
      <c r="E1500" s="47"/>
      <c r="F1500" s="47" t="s">
        <v>7580</v>
      </c>
      <c r="G1500" s="47" t="s">
        <v>13</v>
      </c>
      <c r="H1500" s="47" t="str">
        <f>IFERROR(VLOOKUP(Table2[[#This Row], [Ticket]],Okey!A:B,2,0),"")</f>
        <v>ok</v>
      </c>
      <c r="I1500" s="47" t="s">
        <v>5290</v>
      </c>
      <c r="J1500" s="47" t="e">
        <f>VLOOKUP(Table2[[#This Row], [Author]],People!A:B,2,0)</f>
        <v>#N/A</v>
      </c>
      <c r="K1500" s="47"/>
      <c r="L1500" s="47"/>
      <c r="M1500" s="49" t="s">
        <v>1613</v>
      </c>
    </row>
    <row r="1501" spans="1:13">
      <c r="A1501" s="48">
        <f t="shared" si="23"/>
        <v>1500</v>
      </c>
      <c r="B1501" s="47" t="s">
        <v>4</v>
      </c>
      <c r="C1501" s="47" t="s">
        <v>7586</v>
      </c>
      <c r="D1501" s="47" t="s">
        <v>7597</v>
      </c>
      <c r="E1501" s="47" t="s">
        <v>7587</v>
      </c>
      <c r="F1501" s="47" t="s">
        <v>7607</v>
      </c>
      <c r="G1501" s="47" t="s">
        <v>14</v>
      </c>
      <c r="H1501" s="47" t="str">
        <f>IFERROR(VLOOKUP(Table2[[#This Row], [Ticket]],Okey!A:B,2,0),"")</f>
        <v>ok</v>
      </c>
      <c r="I1501" s="47" t="s">
        <v>5290</v>
      </c>
      <c r="J1501" s="47" t="e">
        <f>VLOOKUP(Table2[[#This Row], [Author]],People!A:B,2,0)</f>
        <v>#N/A</v>
      </c>
      <c r="K1501" s="47"/>
      <c r="L1501" s="47"/>
      <c r="M1501" s="49" t="s">
        <v>4787</v>
      </c>
    </row>
    <row r="1502" spans="1:13">
      <c r="A1502" s="48">
        <f t="shared" si="23"/>
        <v>1501</v>
      </c>
      <c r="B1502" s="47" t="s">
        <v>4</v>
      </c>
      <c r="C1502" s="47" t="s">
        <v>7586</v>
      </c>
      <c r="D1502" s="47" t="s">
        <v>7598</v>
      </c>
      <c r="E1502" s="47" t="s">
        <v>7588</v>
      </c>
      <c r="F1502" s="47" t="s">
        <v>7608</v>
      </c>
      <c r="G1502" s="47" t="s">
        <v>14</v>
      </c>
      <c r="H1502" s="47" t="str">
        <f>IFERROR(VLOOKUP(Table2[[#This Row], [Ticket]],Okey!A:B,2,0),"")</f>
        <v>ok</v>
      </c>
      <c r="I1502" s="47" t="s">
        <v>5290</v>
      </c>
      <c r="J1502" s="47" t="e">
        <f>VLOOKUP(Table2[[#This Row], [Author]],People!A:B,2,0)</f>
        <v>#N/A</v>
      </c>
      <c r="K1502" s="47"/>
      <c r="L1502" s="47"/>
      <c r="M1502" s="49" t="s">
        <v>4787</v>
      </c>
    </row>
    <row r="1503" spans="1:13">
      <c r="A1503" s="48">
        <f t="shared" si="23"/>
        <v>1502</v>
      </c>
      <c r="B1503" s="47" t="s">
        <v>4</v>
      </c>
      <c r="C1503" s="47" t="s">
        <v>7586</v>
      </c>
      <c r="D1503" s="47" t="s">
        <v>7599</v>
      </c>
      <c r="E1503" s="47" t="s">
        <v>7589</v>
      </c>
      <c r="F1503" s="47" t="s">
        <v>7609</v>
      </c>
      <c r="G1503" s="47" t="s">
        <v>14</v>
      </c>
      <c r="H1503" s="47" t="str">
        <f>IFERROR(VLOOKUP(Table2[[#This Row], [Ticket]],Okey!A:B,2,0),"")</f>
        <v>ok</v>
      </c>
      <c r="I1503" s="47" t="s">
        <v>5290</v>
      </c>
      <c r="J1503" s="47" t="e">
        <f>VLOOKUP(Table2[[#This Row], [Author]],People!A:B,2,0)</f>
        <v>#N/A</v>
      </c>
      <c r="K1503" s="47"/>
      <c r="L1503" s="47"/>
      <c r="M1503" s="49" t="s">
        <v>4787</v>
      </c>
    </row>
    <row r="1504" spans="1:13">
      <c r="A1504" s="48">
        <f t="shared" si="23"/>
        <v>1503</v>
      </c>
      <c r="B1504" s="47" t="s">
        <v>4</v>
      </c>
      <c r="C1504" s="47" t="s">
        <v>7586</v>
      </c>
      <c r="D1504" s="47" t="s">
        <v>7600</v>
      </c>
      <c r="E1504" s="47" t="s">
        <v>7590</v>
      </c>
      <c r="F1504" s="47" t="s">
        <v>7609</v>
      </c>
      <c r="G1504" s="47" t="s">
        <v>14</v>
      </c>
      <c r="H1504" s="47" t="str">
        <f>IFERROR(VLOOKUP(Table2[[#This Row], [Ticket]],Okey!A:B,2,0),"")</f>
        <v>ok</v>
      </c>
      <c r="I1504" s="47" t="s">
        <v>5290</v>
      </c>
      <c r="J1504" s="47" t="e">
        <f>VLOOKUP(Table2[[#This Row], [Author]],People!A:B,2,0)</f>
        <v>#N/A</v>
      </c>
      <c r="K1504" s="47"/>
      <c r="L1504" s="47"/>
      <c r="M1504" s="49" t="s">
        <v>4787</v>
      </c>
    </row>
    <row r="1505" spans="1:13">
      <c r="A1505" s="48">
        <f t="shared" si="23"/>
        <v>1504</v>
      </c>
      <c r="B1505" s="47" t="s">
        <v>4</v>
      </c>
      <c r="C1505" s="47" t="s">
        <v>7586</v>
      </c>
      <c r="D1505" s="47" t="s">
        <v>7601</v>
      </c>
      <c r="E1505" s="47" t="s">
        <v>7591</v>
      </c>
      <c r="F1505" s="47" t="s">
        <v>7610</v>
      </c>
      <c r="G1505" s="47" t="s">
        <v>14</v>
      </c>
      <c r="H1505" s="47" t="str">
        <f>IFERROR(VLOOKUP(Table2[[#This Row], [Ticket]],Okey!A:B,2,0),"")</f>
        <v>ok</v>
      </c>
      <c r="I1505" s="47" t="s">
        <v>5290</v>
      </c>
      <c r="J1505" s="47" t="e">
        <f>VLOOKUP(Table2[[#This Row], [Author]],People!A:B,2,0)</f>
        <v>#N/A</v>
      </c>
      <c r="K1505" s="47"/>
      <c r="L1505" s="47"/>
      <c r="M1505" s="49" t="s">
        <v>4787</v>
      </c>
    </row>
    <row r="1506" spans="1:13">
      <c r="A1506" s="48">
        <f t="shared" si="23"/>
        <v>1505</v>
      </c>
      <c r="B1506" s="47" t="s">
        <v>4</v>
      </c>
      <c r="C1506" s="47" t="s">
        <v>7586</v>
      </c>
      <c r="D1506" s="47" t="s">
        <v>7602</v>
      </c>
      <c r="E1506" s="47" t="s">
        <v>7592</v>
      </c>
      <c r="F1506" s="47" t="s">
        <v>7610</v>
      </c>
      <c r="G1506" s="47" t="s">
        <v>14</v>
      </c>
      <c r="H1506" s="47" t="str">
        <f>IFERROR(VLOOKUP(Table2[[#This Row], [Ticket]],Okey!A:B,2,0),"")</f>
        <v>ok</v>
      </c>
      <c r="I1506" s="47" t="s">
        <v>5290</v>
      </c>
      <c r="J1506" s="47" t="e">
        <f>VLOOKUP(Table2[[#This Row], [Author]],People!A:B,2,0)</f>
        <v>#N/A</v>
      </c>
      <c r="K1506" s="47"/>
      <c r="L1506" s="47"/>
      <c r="M1506" s="49" t="s">
        <v>4787</v>
      </c>
    </row>
    <row r="1507" spans="1:13">
      <c r="A1507" s="48">
        <f t="shared" si="23"/>
        <v>1506</v>
      </c>
      <c r="B1507" s="47" t="s">
        <v>4</v>
      </c>
      <c r="C1507" s="47" t="s">
        <v>7586</v>
      </c>
      <c r="D1507" s="47" t="s">
        <v>7603</v>
      </c>
      <c r="E1507" s="47" t="s">
        <v>7593</v>
      </c>
      <c r="F1507" s="65" t="s">
        <v>7599</v>
      </c>
      <c r="G1507" s="47" t="s">
        <v>14</v>
      </c>
      <c r="H1507" s="47" t="str">
        <f>IFERROR(VLOOKUP(Table2[[#This Row], [Ticket]],Okey!A:B,2,0),"")</f>
        <v>ok</v>
      </c>
      <c r="I1507" s="47" t="s">
        <v>5290</v>
      </c>
      <c r="J1507" s="47" t="e">
        <f>VLOOKUP(Table2[[#This Row], [Author]],People!A:B,2,0)</f>
        <v>#N/A</v>
      </c>
      <c r="K1507" s="47"/>
      <c r="L1507" s="47"/>
      <c r="M1507" s="49" t="s">
        <v>4787</v>
      </c>
    </row>
    <row r="1508" spans="1:13">
      <c r="A1508" s="48">
        <f t="shared" si="23"/>
        <v>1507</v>
      </c>
      <c r="B1508" s="47" t="s">
        <v>4</v>
      </c>
      <c r="C1508" s="47" t="s">
        <v>7586</v>
      </c>
      <c r="D1508" s="47" t="s">
        <v>7604</v>
      </c>
      <c r="E1508" s="47" t="s">
        <v>7594</v>
      </c>
      <c r="F1508" s="65" t="s">
        <v>7600</v>
      </c>
      <c r="G1508" s="47" t="s">
        <v>14</v>
      </c>
      <c r="H1508" s="47" t="str">
        <f>IFERROR(VLOOKUP(Table2[[#This Row], [Ticket]],Okey!A:B,2,0),"")</f>
        <v>ok</v>
      </c>
      <c r="I1508" s="47" t="s">
        <v>5290</v>
      </c>
      <c r="J1508" s="47" t="e">
        <f>VLOOKUP(Table2[[#This Row], [Author]],People!A:B,2,0)</f>
        <v>#N/A</v>
      </c>
      <c r="K1508" s="47"/>
      <c r="L1508" s="47"/>
      <c r="M1508" s="49" t="s">
        <v>4787</v>
      </c>
    </row>
    <row r="1509" spans="1:13">
      <c r="A1509" s="48">
        <f t="shared" si="23"/>
        <v>1508</v>
      </c>
      <c r="B1509" s="47" t="s">
        <v>4</v>
      </c>
      <c r="C1509" s="47" t="s">
        <v>7586</v>
      </c>
      <c r="D1509" s="47" t="s">
        <v>7605</v>
      </c>
      <c r="E1509" s="47" t="s">
        <v>7595</v>
      </c>
      <c r="F1509" s="65" t="s">
        <v>7601</v>
      </c>
      <c r="G1509" s="47" t="s">
        <v>14</v>
      </c>
      <c r="H1509" s="47" t="str">
        <f>IFERROR(VLOOKUP(Table2[[#This Row], [Ticket]],Okey!A:B,2,0),"")</f>
        <v>ok</v>
      </c>
      <c r="I1509" s="47" t="s">
        <v>5290</v>
      </c>
      <c r="J1509" s="47" t="e">
        <f>VLOOKUP(Table2[[#This Row], [Author]],People!A:B,2,0)</f>
        <v>#N/A</v>
      </c>
      <c r="K1509" s="47"/>
      <c r="L1509" s="47"/>
      <c r="M1509" s="49" t="s">
        <v>4787</v>
      </c>
    </row>
    <row r="1510" spans="1:13">
      <c r="A1510" s="48">
        <f t="shared" si="23"/>
        <v>1509</v>
      </c>
      <c r="B1510" s="47" t="s">
        <v>4</v>
      </c>
      <c r="C1510" s="47" t="s">
        <v>7586</v>
      </c>
      <c r="D1510" s="47" t="s">
        <v>7606</v>
      </c>
      <c r="E1510" s="47" t="s">
        <v>7596</v>
      </c>
      <c r="F1510" s="65" t="s">
        <v>7602</v>
      </c>
      <c r="G1510" s="47" t="s">
        <v>14</v>
      </c>
      <c r="H1510" s="47" t="str">
        <f>IFERROR(VLOOKUP(Table2[[#This Row], [Ticket]],Okey!A:B,2,0),"")</f>
        <v>ok</v>
      </c>
      <c r="I1510" s="47" t="s">
        <v>5290</v>
      </c>
      <c r="J1510" s="47" t="e">
        <f>VLOOKUP(Table2[[#This Row], [Author]],People!A:B,2,0)</f>
        <v>#N/A</v>
      </c>
      <c r="K1510" s="47"/>
      <c r="L1510" s="47"/>
      <c r="M1510" s="49" t="s">
        <v>4787</v>
      </c>
    </row>
    <row r="1511" spans="1:13">
      <c r="A1511" s="48">
        <f t="shared" si="23"/>
        <v>1510</v>
      </c>
      <c r="B1511" s="47" t="s">
        <v>4</v>
      </c>
      <c r="C1511" s="47" t="s">
        <v>7586</v>
      </c>
      <c r="D1511" s="47" t="s">
        <v>7611</v>
      </c>
      <c r="E1511" s="47" t="s">
        <v>7618</v>
      </c>
      <c r="F1511" s="47"/>
      <c r="G1511" s="47" t="s">
        <v>15</v>
      </c>
      <c r="H1511" s="47" t="str">
        <f>IFERROR(VLOOKUP(Table2[[#This Row], [Ticket]],Okey!A:B,2,0),"")</f>
        <v>ok</v>
      </c>
      <c r="I1511" s="47" t="s">
        <v>5290</v>
      </c>
      <c r="J1511" s="47" t="e">
        <f>VLOOKUP(Table2[[#This Row], [Author]],People!A:B,2,0)</f>
        <v>#N/A</v>
      </c>
      <c r="K1511" s="47"/>
      <c r="L1511" s="47"/>
      <c r="M1511" s="49" t="s">
        <v>4787</v>
      </c>
    </row>
    <row r="1512" spans="1:13">
      <c r="A1512" s="48">
        <f t="shared" si="23"/>
        <v>1511</v>
      </c>
      <c r="B1512" s="47" t="s">
        <v>4</v>
      </c>
      <c r="C1512" s="47" t="s">
        <v>7586</v>
      </c>
      <c r="D1512" s="47" t="s">
        <v>7612</v>
      </c>
      <c r="E1512" s="47" t="s">
        <v>7619</v>
      </c>
      <c r="F1512" s="47"/>
      <c r="G1512" s="47" t="s">
        <v>15</v>
      </c>
      <c r="H1512" s="47" t="str">
        <f>IFERROR(VLOOKUP(Table2[[#This Row], [Ticket]],Okey!A:B,2,0),"")</f>
        <v>ok</v>
      </c>
      <c r="I1512" s="47" t="s">
        <v>5290</v>
      </c>
      <c r="J1512" s="47" t="e">
        <f>VLOOKUP(Table2[[#This Row], [Author]],People!A:B,2,0)</f>
        <v>#N/A</v>
      </c>
      <c r="K1512" s="47"/>
      <c r="L1512" s="47"/>
      <c r="M1512" s="49" t="s">
        <v>4787</v>
      </c>
    </row>
    <row r="1513" spans="1:13">
      <c r="A1513" s="48">
        <f t="shared" si="23"/>
        <v>1512</v>
      </c>
      <c r="B1513" s="47" t="s">
        <v>4</v>
      </c>
      <c r="C1513" s="47" t="s">
        <v>7586</v>
      </c>
      <c r="D1513" s="47" t="s">
        <v>7613</v>
      </c>
      <c r="E1513" s="47" t="s">
        <v>7620</v>
      </c>
      <c r="F1513" s="47"/>
      <c r="G1513" s="47" t="s">
        <v>15</v>
      </c>
      <c r="H1513" s="47" t="str">
        <f>IFERROR(VLOOKUP(Table2[[#This Row], [Ticket]],Okey!A:B,2,0),"")</f>
        <v>ok</v>
      </c>
      <c r="I1513" s="47" t="s">
        <v>5290</v>
      </c>
      <c r="J1513" s="47" t="e">
        <f>VLOOKUP(Table2[[#This Row], [Author]],People!A:B,2,0)</f>
        <v>#N/A</v>
      </c>
      <c r="K1513" s="47"/>
      <c r="L1513" s="47"/>
      <c r="M1513" s="49" t="s">
        <v>4787</v>
      </c>
    </row>
    <row r="1514" spans="1:13">
      <c r="A1514" s="48">
        <f t="shared" si="23"/>
        <v>1513</v>
      </c>
      <c r="B1514" s="47" t="s">
        <v>4</v>
      </c>
      <c r="C1514" s="47" t="s">
        <v>7586</v>
      </c>
      <c r="D1514" s="47" t="s">
        <v>7614</v>
      </c>
      <c r="E1514" s="47" t="s">
        <v>7621</v>
      </c>
      <c r="F1514" s="47"/>
      <c r="G1514" s="47" t="s">
        <v>15</v>
      </c>
      <c r="H1514" s="47" t="str">
        <f>IFERROR(VLOOKUP(Table2[[#This Row], [Ticket]],Okey!A:B,2,0),"")</f>
        <v>ok</v>
      </c>
      <c r="I1514" s="47" t="s">
        <v>5290</v>
      </c>
      <c r="J1514" s="47" t="e">
        <f>VLOOKUP(Table2[[#This Row], [Author]],People!A:B,2,0)</f>
        <v>#N/A</v>
      </c>
      <c r="K1514" s="47"/>
      <c r="L1514" s="47"/>
      <c r="M1514" s="49" t="s">
        <v>4787</v>
      </c>
    </row>
    <row r="1515" spans="1:13">
      <c r="A1515" s="48">
        <f t="shared" si="23"/>
        <v>1514</v>
      </c>
      <c r="B1515" s="47" t="s">
        <v>4</v>
      </c>
      <c r="C1515" s="47" t="s">
        <v>7586</v>
      </c>
      <c r="D1515" s="47" t="s">
        <v>7615</v>
      </c>
      <c r="E1515" s="47" t="s">
        <v>7622</v>
      </c>
      <c r="F1515" s="47"/>
      <c r="G1515" s="47" t="s">
        <v>15</v>
      </c>
      <c r="H1515" s="47" t="str">
        <f>IFERROR(VLOOKUP(Table2[[#This Row], [Ticket]],Okey!A:B,2,0),"")</f>
        <v>ok</v>
      </c>
      <c r="I1515" s="47" t="s">
        <v>5290</v>
      </c>
      <c r="J1515" s="47" t="e">
        <f>VLOOKUP(Table2[[#This Row], [Author]],People!A:B,2,0)</f>
        <v>#N/A</v>
      </c>
      <c r="K1515" s="47"/>
      <c r="L1515" s="47"/>
      <c r="M1515" s="49" t="s">
        <v>4787</v>
      </c>
    </row>
    <row r="1516" spans="1:13">
      <c r="A1516" s="48">
        <f t="shared" si="23"/>
        <v>1515</v>
      </c>
      <c r="B1516" s="47" t="s">
        <v>4</v>
      </c>
      <c r="C1516" s="47" t="s">
        <v>7586</v>
      </c>
      <c r="D1516" s="47" t="s">
        <v>7616</v>
      </c>
      <c r="E1516" s="47" t="s">
        <v>7623</v>
      </c>
      <c r="F1516" s="47"/>
      <c r="G1516" s="47" t="s">
        <v>15</v>
      </c>
      <c r="H1516" s="47" t="str">
        <f>IFERROR(VLOOKUP(Table2[[#This Row], [Ticket]],Okey!A:B,2,0),"")</f>
        <v>ok</v>
      </c>
      <c r="I1516" s="47" t="s">
        <v>5290</v>
      </c>
      <c r="J1516" s="47" t="e">
        <f>VLOOKUP(Table2[[#This Row], [Author]],People!A:B,2,0)</f>
        <v>#N/A</v>
      </c>
      <c r="K1516" s="47"/>
      <c r="L1516" s="47"/>
      <c r="M1516" s="49" t="s">
        <v>4787</v>
      </c>
    </row>
    <row r="1517" spans="1:13">
      <c r="A1517" s="48">
        <f t="shared" si="23"/>
        <v>1516</v>
      </c>
      <c r="B1517" s="47" t="s">
        <v>4</v>
      </c>
      <c r="C1517" s="47" t="s">
        <v>7586</v>
      </c>
      <c r="D1517" s="47" t="s">
        <v>7617</v>
      </c>
      <c r="E1517" s="47" t="s">
        <v>7624</v>
      </c>
      <c r="F1517" s="47"/>
      <c r="G1517" s="47" t="s">
        <v>15</v>
      </c>
      <c r="H1517" s="47" t="str">
        <f>IFERROR(VLOOKUP(Table2[[#This Row], [Ticket]],Okey!A:B,2,0),"")</f>
        <v>ok</v>
      </c>
      <c r="I1517" s="47" t="s">
        <v>5290</v>
      </c>
      <c r="J1517" s="47" t="e">
        <f>VLOOKUP(Table2[[#This Row], [Author]],People!A:B,2,0)</f>
        <v>#N/A</v>
      </c>
      <c r="K1517" s="47"/>
      <c r="L1517" s="47"/>
      <c r="M1517" s="49" t="s">
        <v>4787</v>
      </c>
    </row>
    <row r="1518" spans="1:13">
      <c r="A1518" s="48">
        <f t="shared" si="23"/>
        <v>1517</v>
      </c>
      <c r="B1518" s="47" t="s">
        <v>4</v>
      </c>
      <c r="C1518" s="47" t="s">
        <v>7625</v>
      </c>
      <c r="D1518" s="47" t="s">
        <v>7633</v>
      </c>
      <c r="E1518" s="47" t="s">
        <v>7626</v>
      </c>
      <c r="F1518" s="47" t="s">
        <v>4840</v>
      </c>
      <c r="G1518" s="47" t="s">
        <v>14</v>
      </c>
      <c r="H1518" s="47" t="str">
        <f>IFERROR(VLOOKUP(Table2[[#This Row], [Ticket]],Okey!A:B,2,0),"")</f>
        <v>ok</v>
      </c>
      <c r="I1518" s="47" t="s">
        <v>6455</v>
      </c>
      <c r="J1518" s="47" t="e">
        <f>VLOOKUP(Table2[[#This Row], [Author]],People!A:B,2,0)</f>
        <v>#N/A</v>
      </c>
      <c r="K1518" s="47" t="s">
        <v>7857</v>
      </c>
      <c r="L1518" s="47" t="e">
        <f>VLOOKUP(Table2[[#This Row],[Node]],#REF!,2,0)</f>
        <v>#REF!</v>
      </c>
      <c r="M1518" s="49" t="s">
        <v>4778</v>
      </c>
    </row>
    <row r="1519" spans="1:13">
      <c r="A1519" s="48">
        <f t="shared" si="23"/>
        <v>1518</v>
      </c>
      <c r="B1519" s="47" t="s">
        <v>4</v>
      </c>
      <c r="C1519" s="47" t="s">
        <v>7625</v>
      </c>
      <c r="D1519" s="47" t="s">
        <v>7634</v>
      </c>
      <c r="E1519" s="47" t="s">
        <v>7627</v>
      </c>
      <c r="F1519" s="47" t="s">
        <v>6422</v>
      </c>
      <c r="G1519" s="47" t="s">
        <v>14</v>
      </c>
      <c r="H1519" s="47" t="str">
        <f>IFERROR(VLOOKUP(Table2[[#This Row], [Ticket]],Okey!A:B,2,0),"")</f>
        <v>ok</v>
      </c>
      <c r="I1519" s="47" t="s">
        <v>6455</v>
      </c>
      <c r="J1519" s="47" t="e">
        <f>VLOOKUP(Table2[[#This Row], [Author]],People!A:B,2,0)</f>
        <v>#N/A</v>
      </c>
      <c r="K1519" s="47" t="s">
        <v>7857</v>
      </c>
      <c r="L1519" s="47" t="e">
        <f>VLOOKUP(Table2[[#This Row],[Node]],#REF!,2,0)</f>
        <v>#REF!</v>
      </c>
      <c r="M1519" s="49" t="s">
        <v>4778</v>
      </c>
    </row>
    <row r="1520" spans="1:13">
      <c r="A1520" s="48">
        <f t="shared" si="23"/>
        <v>1519</v>
      </c>
      <c r="B1520" s="47" t="s">
        <v>4</v>
      </c>
      <c r="C1520" s="47" t="s">
        <v>7625</v>
      </c>
      <c r="D1520" s="47" t="s">
        <v>7635</v>
      </c>
      <c r="E1520" s="47" t="s">
        <v>7628</v>
      </c>
      <c r="F1520" s="47" t="s">
        <v>7640</v>
      </c>
      <c r="G1520" s="47" t="s">
        <v>14</v>
      </c>
      <c r="H1520" s="47" t="str">
        <f>IFERROR(VLOOKUP(Table2[[#This Row], [Ticket]],Okey!A:B,2,0),"")</f>
        <v>ok</v>
      </c>
      <c r="I1520" s="47" t="s">
        <v>6455</v>
      </c>
      <c r="J1520" s="47" t="e">
        <f>VLOOKUP(Table2[[#This Row], [Author]],People!A:B,2,0)</f>
        <v>#N/A</v>
      </c>
      <c r="K1520" s="47" t="s">
        <v>7857</v>
      </c>
      <c r="L1520" s="47" t="e">
        <f>VLOOKUP(Table2[[#This Row],[Node]],#REF!,2,0)</f>
        <v>#REF!</v>
      </c>
      <c r="M1520" s="49" t="s">
        <v>4778</v>
      </c>
    </row>
    <row r="1521" spans="1:13">
      <c r="A1521" s="48">
        <f t="shared" si="23"/>
        <v>1520</v>
      </c>
      <c r="B1521" s="47" t="s">
        <v>4</v>
      </c>
      <c r="C1521" s="47" t="s">
        <v>7625</v>
      </c>
      <c r="D1521" s="47" t="s">
        <v>7636</v>
      </c>
      <c r="E1521" s="47" t="s">
        <v>7629</v>
      </c>
      <c r="F1521" s="47" t="s">
        <v>3660</v>
      </c>
      <c r="G1521" s="47" t="s">
        <v>14</v>
      </c>
      <c r="H1521" s="47" t="str">
        <f>IFERROR(VLOOKUP(Table2[[#This Row], [Ticket]],Okey!A:B,2,0),"")</f>
        <v>ok</v>
      </c>
      <c r="I1521" s="47" t="s">
        <v>6455</v>
      </c>
      <c r="J1521" s="47" t="e">
        <f>VLOOKUP(Table2[[#This Row], [Author]],People!A:B,2,0)</f>
        <v>#N/A</v>
      </c>
      <c r="K1521" s="47" t="s">
        <v>7857</v>
      </c>
      <c r="L1521" s="47" t="e">
        <f>VLOOKUP(Table2[[#This Row],[Node]],#REF!,2,0)</f>
        <v>#REF!</v>
      </c>
      <c r="M1521" s="49" t="s">
        <v>4778</v>
      </c>
    </row>
    <row r="1522" spans="1:13">
      <c r="A1522" s="48">
        <f t="shared" si="23"/>
        <v>1521</v>
      </c>
      <c r="B1522" s="47" t="s">
        <v>4</v>
      </c>
      <c r="C1522" s="47" t="s">
        <v>7625</v>
      </c>
      <c r="D1522" s="47" t="s">
        <v>7637</v>
      </c>
      <c r="E1522" s="47" t="s">
        <v>7630</v>
      </c>
      <c r="F1522" s="47" t="s">
        <v>7636</v>
      </c>
      <c r="G1522" s="47" t="s">
        <v>14</v>
      </c>
      <c r="H1522" s="47" t="str">
        <f>IFERROR(VLOOKUP(Table2[[#This Row], [Ticket]],Okey!A:B,2,0),"")</f>
        <v>ok</v>
      </c>
      <c r="I1522" s="47" t="s">
        <v>6455</v>
      </c>
      <c r="J1522" s="47" t="e">
        <f>VLOOKUP(Table2[[#This Row], [Author]],People!A:B,2,0)</f>
        <v>#N/A</v>
      </c>
      <c r="K1522" s="47" t="s">
        <v>7857</v>
      </c>
      <c r="L1522" s="47" t="e">
        <f>VLOOKUP(Table2[[#This Row],[Node]],#REF!,2,0)</f>
        <v>#REF!</v>
      </c>
      <c r="M1522" s="49" t="s">
        <v>4778</v>
      </c>
    </row>
    <row r="1523" spans="1:13">
      <c r="A1523" s="48">
        <f t="shared" si="23"/>
        <v>1522</v>
      </c>
      <c r="B1523" s="47" t="s">
        <v>4</v>
      </c>
      <c r="C1523" s="47" t="s">
        <v>7625</v>
      </c>
      <c r="D1523" s="47" t="s">
        <v>7638</v>
      </c>
      <c r="E1523" s="47" t="s">
        <v>7631</v>
      </c>
      <c r="F1523" s="47" t="s">
        <v>7636</v>
      </c>
      <c r="G1523" s="47" t="s">
        <v>14</v>
      </c>
      <c r="H1523" s="47" t="str">
        <f>IFERROR(VLOOKUP(Table2[[#This Row], [Ticket]],Okey!A:B,2,0),"")</f>
        <v>ok</v>
      </c>
      <c r="I1523" s="47" t="s">
        <v>6455</v>
      </c>
      <c r="J1523" s="47" t="e">
        <f>VLOOKUP(Table2[[#This Row], [Author]],People!A:B,2,0)</f>
        <v>#N/A</v>
      </c>
      <c r="K1523" s="47" t="s">
        <v>7857</v>
      </c>
      <c r="L1523" s="47" t="e">
        <f>VLOOKUP(Table2[[#This Row],[Node]],#REF!,2,0)</f>
        <v>#REF!</v>
      </c>
      <c r="M1523" s="49" t="s">
        <v>4778</v>
      </c>
    </row>
    <row r="1524" spans="1:13">
      <c r="A1524" s="48">
        <f t="shared" si="23"/>
        <v>1523</v>
      </c>
      <c r="B1524" s="47" t="s">
        <v>4</v>
      </c>
      <c r="C1524" s="47" t="s">
        <v>7625</v>
      </c>
      <c r="D1524" s="47" t="s">
        <v>7639</v>
      </c>
      <c r="E1524" s="47" t="s">
        <v>7632</v>
      </c>
      <c r="F1524" s="47" t="s">
        <v>7636</v>
      </c>
      <c r="G1524" s="47" t="s">
        <v>14</v>
      </c>
      <c r="H1524" s="47" t="str">
        <f>IFERROR(VLOOKUP(Table2[[#This Row], [Ticket]],Okey!A:B,2,0),"")</f>
        <v>ok</v>
      </c>
      <c r="I1524" s="47" t="s">
        <v>6455</v>
      </c>
      <c r="J1524" s="47" t="e">
        <f>VLOOKUP(Table2[[#This Row], [Author]],People!A:B,2,0)</f>
        <v>#N/A</v>
      </c>
      <c r="K1524" s="47" t="s">
        <v>7857</v>
      </c>
      <c r="L1524" s="47" t="e">
        <f>VLOOKUP(Table2[[#This Row],[Node]],#REF!,2,0)</f>
        <v>#REF!</v>
      </c>
      <c r="M1524" s="49" t="s">
        <v>4778</v>
      </c>
    </row>
    <row r="1525" spans="1:13">
      <c r="A1525" s="48">
        <f t="shared" si="23"/>
        <v>1524</v>
      </c>
      <c r="B1525" s="47" t="s">
        <v>4</v>
      </c>
      <c r="C1525" s="47" t="s">
        <v>7625</v>
      </c>
      <c r="D1525" s="47" t="s">
        <v>7641</v>
      </c>
      <c r="E1525" s="47" t="s">
        <v>7642</v>
      </c>
      <c r="F1525" s="47"/>
      <c r="G1525" s="47" t="s">
        <v>15</v>
      </c>
      <c r="H1525" s="47" t="str">
        <f>IFERROR(VLOOKUP(Table2[[#This Row], [Ticket]],Okey!A:B,2,0),"")</f>
        <v>ok</v>
      </c>
      <c r="I1525" s="47" t="s">
        <v>6455</v>
      </c>
      <c r="J1525" s="47" t="e">
        <f>VLOOKUP(Table2[[#This Row], [Author]],People!A:B,2,0)</f>
        <v>#N/A</v>
      </c>
      <c r="K1525" s="47" t="s">
        <v>7856</v>
      </c>
      <c r="L1525" s="47"/>
      <c r="M1525" s="49" t="s">
        <v>4778</v>
      </c>
    </row>
    <row r="1526" spans="1:13">
      <c r="A1526" s="48">
        <f t="shared" si="23"/>
        <v>1525</v>
      </c>
      <c r="B1526" s="47" t="s">
        <v>4</v>
      </c>
      <c r="C1526" s="47" t="s">
        <v>7625</v>
      </c>
      <c r="D1526" s="47" t="s">
        <v>7643</v>
      </c>
      <c r="E1526" s="47" t="s">
        <v>7644</v>
      </c>
      <c r="F1526" s="47"/>
      <c r="G1526" s="47" t="s">
        <v>15</v>
      </c>
      <c r="H1526" s="47" t="str">
        <f>IFERROR(VLOOKUP(Table2[[#This Row], [Ticket]],Okey!A:B,2,0),"")</f>
        <v>ok</v>
      </c>
      <c r="I1526" s="47" t="s">
        <v>6455</v>
      </c>
      <c r="J1526" s="47" t="e">
        <f>VLOOKUP(Table2[[#This Row], [Author]],People!A:B,2,0)</f>
        <v>#N/A</v>
      </c>
      <c r="K1526" s="47" t="s">
        <v>7856</v>
      </c>
      <c r="L1526" s="47"/>
      <c r="M1526" s="49" t="s">
        <v>4778</v>
      </c>
    </row>
    <row r="1527" spans="1:13">
      <c r="A1527" s="48">
        <f t="shared" si="23"/>
        <v>1526</v>
      </c>
      <c r="B1527" s="47" t="s">
        <v>4</v>
      </c>
      <c r="C1527" s="47" t="s">
        <v>7625</v>
      </c>
      <c r="D1527" s="47" t="s">
        <v>7645</v>
      </c>
      <c r="E1527" s="47" t="s">
        <v>7646</v>
      </c>
      <c r="F1527" s="47"/>
      <c r="G1527" s="47" t="s">
        <v>15</v>
      </c>
      <c r="H1527" s="47" t="str">
        <f>IFERROR(VLOOKUP(Table2[[#This Row], [Ticket]],Okey!A:B,2,0),"")</f>
        <v>ok</v>
      </c>
      <c r="I1527" s="47" t="s">
        <v>6455</v>
      </c>
      <c r="J1527" s="47" t="e">
        <f>VLOOKUP(Table2[[#This Row], [Author]],People!A:B,2,0)</f>
        <v>#N/A</v>
      </c>
      <c r="K1527" s="47" t="s">
        <v>7856</v>
      </c>
      <c r="L1527" s="47"/>
      <c r="M1527" s="49" t="s">
        <v>4778</v>
      </c>
    </row>
    <row r="1528" spans="1:13">
      <c r="A1528" s="48">
        <f t="shared" si="23"/>
        <v>1527</v>
      </c>
      <c r="B1528" s="47" t="s">
        <v>4</v>
      </c>
      <c r="C1528" s="47" t="s">
        <v>7625</v>
      </c>
      <c r="D1528" s="47" t="s">
        <v>7647</v>
      </c>
      <c r="E1528" s="47" t="s">
        <v>7648</v>
      </c>
      <c r="F1528" s="47"/>
      <c r="G1528" s="47" t="s">
        <v>15</v>
      </c>
      <c r="H1528" s="47" t="str">
        <f>IFERROR(VLOOKUP(Table2[[#This Row], [Ticket]],Okey!A:B,2,0),"")</f>
        <v>ok</v>
      </c>
      <c r="I1528" s="47" t="s">
        <v>6455</v>
      </c>
      <c r="J1528" s="47" t="e">
        <f>VLOOKUP(Table2[[#This Row], [Author]],People!A:B,2,0)</f>
        <v>#N/A</v>
      </c>
      <c r="K1528" s="47" t="s">
        <v>7856</v>
      </c>
      <c r="L1528" s="47"/>
      <c r="M1528" s="49" t="s">
        <v>4778</v>
      </c>
    </row>
    <row r="1529" spans="1:13">
      <c r="A1529" s="48">
        <f t="shared" si="23"/>
        <v>1528</v>
      </c>
      <c r="B1529" s="47" t="s">
        <v>4</v>
      </c>
      <c r="C1529" s="47" t="s">
        <v>7625</v>
      </c>
      <c r="D1529" s="47" t="s">
        <v>7649</v>
      </c>
      <c r="E1529" s="47" t="s">
        <v>7650</v>
      </c>
      <c r="F1529" s="47"/>
      <c r="G1529" s="47" t="s">
        <v>15</v>
      </c>
      <c r="H1529" s="47" t="str">
        <f>IFERROR(VLOOKUP(Table2[[#This Row], [Ticket]],Okey!A:B,2,0),"")</f>
        <v>ok</v>
      </c>
      <c r="I1529" s="47" t="s">
        <v>6455</v>
      </c>
      <c r="J1529" s="47" t="e">
        <f>VLOOKUP(Table2[[#This Row], [Author]],People!A:B,2,0)</f>
        <v>#N/A</v>
      </c>
      <c r="K1529" s="47" t="s">
        <v>7856</v>
      </c>
      <c r="L1529" s="47"/>
      <c r="M1529" s="49" t="s">
        <v>4778</v>
      </c>
    </row>
    <row r="1530" spans="1:13">
      <c r="A1530" s="48">
        <f t="shared" si="23"/>
        <v>1529</v>
      </c>
      <c r="B1530" s="47" t="s">
        <v>4</v>
      </c>
      <c r="C1530" s="47" t="s">
        <v>7625</v>
      </c>
      <c r="D1530" s="47" t="s">
        <v>7651</v>
      </c>
      <c r="E1530" s="47" t="s">
        <v>7652</v>
      </c>
      <c r="F1530" s="47"/>
      <c r="G1530" s="47" t="s">
        <v>15</v>
      </c>
      <c r="H1530" s="47" t="str">
        <f>IFERROR(VLOOKUP(Table2[[#This Row], [Ticket]],Okey!A:B,2,0),"")</f>
        <v>ok</v>
      </c>
      <c r="I1530" s="47" t="s">
        <v>6455</v>
      </c>
      <c r="J1530" s="47" t="e">
        <f>VLOOKUP(Table2[[#This Row], [Author]],People!A:B,2,0)</f>
        <v>#N/A</v>
      </c>
      <c r="K1530" s="47" t="s">
        <v>7856</v>
      </c>
      <c r="L1530" s="47"/>
      <c r="M1530" s="49" t="s">
        <v>4778</v>
      </c>
    </row>
    <row r="1531" spans="1:13">
      <c r="A1531" s="48">
        <f t="shared" si="23"/>
        <v>1530</v>
      </c>
      <c r="B1531" s="47" t="s">
        <v>4</v>
      </c>
      <c r="C1531" s="47" t="s">
        <v>7625</v>
      </c>
      <c r="D1531" s="47" t="s">
        <v>7653</v>
      </c>
      <c r="E1531" s="47" t="s">
        <v>7654</v>
      </c>
      <c r="F1531" s="47"/>
      <c r="G1531" s="47" t="s">
        <v>15</v>
      </c>
      <c r="H1531" s="47" t="str">
        <f>IFERROR(VLOOKUP(Table2[[#This Row], [Ticket]],Okey!A:B,2,0),"")</f>
        <v>ok</v>
      </c>
      <c r="I1531" s="47" t="s">
        <v>6455</v>
      </c>
      <c r="J1531" s="47" t="e">
        <f>VLOOKUP(Table2[[#This Row], [Author]],People!A:B,2,0)</f>
        <v>#N/A</v>
      </c>
      <c r="K1531" s="47" t="s">
        <v>7856</v>
      </c>
      <c r="L1531" s="47"/>
      <c r="M1531" s="49" t="s">
        <v>4778</v>
      </c>
    </row>
    <row r="1532" spans="1:13">
      <c r="A1532" s="48">
        <f t="shared" si="23"/>
        <v>1531</v>
      </c>
      <c r="B1532" s="47" t="s">
        <v>4</v>
      </c>
      <c r="C1532" s="47" t="s">
        <v>7625</v>
      </c>
      <c r="D1532" s="47" t="s">
        <v>7655</v>
      </c>
      <c r="E1532" s="47" t="s">
        <v>7656</v>
      </c>
      <c r="F1532" s="47"/>
      <c r="G1532" s="47" t="s">
        <v>15</v>
      </c>
      <c r="H1532" s="47" t="str">
        <f>IFERROR(VLOOKUP(Table2[[#This Row], [Ticket]],Okey!A:B,2,0),"")</f>
        <v>ok</v>
      </c>
      <c r="I1532" s="47" t="s">
        <v>6455</v>
      </c>
      <c r="J1532" s="47" t="e">
        <f>VLOOKUP(Table2[[#This Row], [Author]],People!A:B,2,0)</f>
        <v>#N/A</v>
      </c>
      <c r="K1532" s="47" t="s">
        <v>7856</v>
      </c>
      <c r="L1532" s="47"/>
      <c r="M1532" s="49" t="s">
        <v>4778</v>
      </c>
    </row>
    <row r="1533" spans="1:13">
      <c r="A1533" s="48">
        <f t="shared" si="23"/>
        <v>1532</v>
      </c>
      <c r="B1533" s="47" t="s">
        <v>4</v>
      </c>
      <c r="C1533" s="47" t="s">
        <v>7625</v>
      </c>
      <c r="D1533" s="47" t="s">
        <v>5602</v>
      </c>
      <c r="E1533" s="47" t="s">
        <v>7657</v>
      </c>
      <c r="F1533" s="47"/>
      <c r="G1533" s="47" t="s">
        <v>15</v>
      </c>
      <c r="H1533" s="47" t="str">
        <f>IFERROR(VLOOKUP(Table2[[#This Row], [Ticket]],Okey!A:B,2,0),"")</f>
        <v>ok</v>
      </c>
      <c r="I1533" s="47" t="s">
        <v>6455</v>
      </c>
      <c r="J1533" s="47" t="e">
        <f>VLOOKUP(Table2[[#This Row], [Author]],People!A:B,2,0)</f>
        <v>#N/A</v>
      </c>
      <c r="K1533" s="47" t="s">
        <v>7856</v>
      </c>
      <c r="L1533" s="47"/>
      <c r="M1533" s="49" t="s">
        <v>4778</v>
      </c>
    </row>
    <row r="1534" spans="1:13">
      <c r="A1534" s="48">
        <f t="shared" si="23"/>
        <v>1533</v>
      </c>
      <c r="B1534" s="47" t="s">
        <v>4</v>
      </c>
      <c r="C1534" s="47" t="s">
        <v>7625</v>
      </c>
      <c r="D1534" s="47" t="s">
        <v>5616</v>
      </c>
      <c r="E1534" s="47" t="s">
        <v>7658</v>
      </c>
      <c r="F1534" s="47"/>
      <c r="G1534" s="47" t="s">
        <v>15</v>
      </c>
      <c r="H1534" s="47" t="str">
        <f>IFERROR(VLOOKUP(Table2[[#This Row], [Ticket]],Okey!A:B,2,0),"")</f>
        <v>ok</v>
      </c>
      <c r="I1534" s="47" t="s">
        <v>6455</v>
      </c>
      <c r="J1534" s="47" t="e">
        <f>VLOOKUP(Table2[[#This Row], [Author]],People!A:B,2,0)</f>
        <v>#N/A</v>
      </c>
      <c r="K1534" s="47" t="s">
        <v>7856</v>
      </c>
      <c r="L1534" s="47"/>
      <c r="M1534" s="49" t="s">
        <v>4778</v>
      </c>
    </row>
    <row r="1535" spans="1:13">
      <c r="A1535" s="48">
        <f t="shared" si="23"/>
        <v>1534</v>
      </c>
      <c r="B1535" s="47" t="s">
        <v>4</v>
      </c>
      <c r="C1535" s="47" t="s">
        <v>7625</v>
      </c>
      <c r="D1535" s="47" t="s">
        <v>5621</v>
      </c>
      <c r="E1535" s="47" t="s">
        <v>7659</v>
      </c>
      <c r="F1535" s="47"/>
      <c r="G1535" s="47" t="s">
        <v>15</v>
      </c>
      <c r="H1535" s="47" t="str">
        <f>IFERROR(VLOOKUP(Table2[[#This Row], [Ticket]],Okey!A:B,2,0),"")</f>
        <v>ok</v>
      </c>
      <c r="I1535" s="47" t="s">
        <v>6455</v>
      </c>
      <c r="J1535" s="47" t="e">
        <f>VLOOKUP(Table2[[#This Row], [Author]],People!A:B,2,0)</f>
        <v>#N/A</v>
      </c>
      <c r="K1535" s="47" t="s">
        <v>7856</v>
      </c>
      <c r="L1535" s="47"/>
      <c r="M1535" s="49" t="s">
        <v>4778</v>
      </c>
    </row>
    <row r="1536" spans="1:13">
      <c r="A1536" s="48">
        <f t="shared" si="23"/>
        <v>1535</v>
      </c>
      <c r="B1536" s="47" t="s">
        <v>4</v>
      </c>
      <c r="C1536" s="47" t="s">
        <v>7625</v>
      </c>
      <c r="D1536" s="47" t="s">
        <v>5627</v>
      </c>
      <c r="E1536" s="47" t="s">
        <v>7660</v>
      </c>
      <c r="F1536" s="47"/>
      <c r="G1536" s="47" t="s">
        <v>15</v>
      </c>
      <c r="H1536" s="47" t="str">
        <f>IFERROR(VLOOKUP(Table2[[#This Row], [Ticket]],Okey!A:B,2,0),"")</f>
        <v>ok</v>
      </c>
      <c r="I1536" s="47" t="s">
        <v>6455</v>
      </c>
      <c r="J1536" s="47" t="e">
        <f>VLOOKUP(Table2[[#This Row], [Author]],People!A:B,2,0)</f>
        <v>#N/A</v>
      </c>
      <c r="K1536" s="47" t="s">
        <v>7856</v>
      </c>
      <c r="L1536" s="47"/>
      <c r="M1536" s="49" t="s">
        <v>4778</v>
      </c>
    </row>
    <row r="1537" spans="1:13">
      <c r="A1537" s="48">
        <f t="shared" si="23"/>
        <v>1536</v>
      </c>
      <c r="B1537" s="47" t="s">
        <v>4</v>
      </c>
      <c r="C1537" s="47" t="s">
        <v>7625</v>
      </c>
      <c r="D1537" s="47" t="s">
        <v>5637</v>
      </c>
      <c r="E1537" s="47" t="s">
        <v>7661</v>
      </c>
      <c r="F1537" s="47"/>
      <c r="G1537" s="47" t="s">
        <v>15</v>
      </c>
      <c r="H1537" s="47" t="str">
        <f>IFERROR(VLOOKUP(Table2[[#This Row], [Ticket]],Okey!A:B,2,0),"")</f>
        <v>ok</v>
      </c>
      <c r="I1537" s="47" t="s">
        <v>6455</v>
      </c>
      <c r="J1537" s="47" t="e">
        <f>VLOOKUP(Table2[[#This Row], [Author]],People!A:B,2,0)</f>
        <v>#N/A</v>
      </c>
      <c r="K1537" s="47" t="s">
        <v>7856</v>
      </c>
      <c r="L1537" s="47"/>
      <c r="M1537" s="49" t="s">
        <v>4778</v>
      </c>
    </row>
    <row r="1538" spans="1:13">
      <c r="A1538" s="48">
        <f t="shared" si="23"/>
        <v>1537</v>
      </c>
      <c r="B1538" s="47" t="s">
        <v>4</v>
      </c>
      <c r="C1538" s="47" t="s">
        <v>7625</v>
      </c>
      <c r="D1538" s="47" t="s">
        <v>7662</v>
      </c>
      <c r="E1538" s="47" t="s">
        <v>7663</v>
      </c>
      <c r="F1538" s="47"/>
      <c r="G1538" s="47" t="s">
        <v>15</v>
      </c>
      <c r="H1538" s="47" t="str">
        <f>IFERROR(VLOOKUP(Table2[[#This Row], [Ticket]],Okey!A:B,2,0),"")</f>
        <v>ok</v>
      </c>
      <c r="I1538" s="47" t="s">
        <v>6455</v>
      </c>
      <c r="J1538" s="47" t="e">
        <f>VLOOKUP(Table2[[#This Row], [Author]],People!A:B,2,0)</f>
        <v>#N/A</v>
      </c>
      <c r="K1538" s="47" t="s">
        <v>7856</v>
      </c>
      <c r="L1538" s="47"/>
      <c r="M1538" s="49" t="s">
        <v>4778</v>
      </c>
    </row>
    <row r="1539" spans="1:13">
      <c r="A1539" s="48">
        <f t="shared" ref="A1539:A1602" si="24">1+A1538</f>
        <v>1538</v>
      </c>
      <c r="B1539" s="47" t="s">
        <v>4</v>
      </c>
      <c r="C1539" s="47" t="s">
        <v>7625</v>
      </c>
      <c r="D1539" s="47" t="s">
        <v>7664</v>
      </c>
      <c r="E1539" s="47" t="s">
        <v>7665</v>
      </c>
      <c r="F1539" s="47"/>
      <c r="G1539" s="47" t="s">
        <v>15</v>
      </c>
      <c r="H1539" s="47" t="str">
        <f>IFERROR(VLOOKUP(Table2[[#This Row], [Ticket]],Okey!A:B,2,0),"")</f>
        <v>ok</v>
      </c>
      <c r="I1539" s="47" t="s">
        <v>6455</v>
      </c>
      <c r="J1539" s="47" t="e">
        <f>VLOOKUP(Table2[[#This Row], [Author]],People!A:B,2,0)</f>
        <v>#N/A</v>
      </c>
      <c r="K1539" s="47" t="s">
        <v>7856</v>
      </c>
      <c r="L1539" s="47"/>
      <c r="M1539" s="49" t="s">
        <v>4778</v>
      </c>
    </row>
    <row r="1540" spans="1:13">
      <c r="A1540" s="48">
        <f t="shared" si="24"/>
        <v>1539</v>
      </c>
      <c r="B1540" s="47" t="s">
        <v>4</v>
      </c>
      <c r="C1540" s="47" t="s">
        <v>7625</v>
      </c>
      <c r="D1540" s="47" t="s">
        <v>7666</v>
      </c>
      <c r="E1540" s="47" t="s">
        <v>7667</v>
      </c>
      <c r="F1540" s="47"/>
      <c r="G1540" s="47" t="s">
        <v>15</v>
      </c>
      <c r="H1540" s="47" t="str">
        <f>IFERROR(VLOOKUP(Table2[[#This Row], [Ticket]],Okey!A:B,2,0),"")</f>
        <v>ok</v>
      </c>
      <c r="I1540" s="47" t="s">
        <v>6455</v>
      </c>
      <c r="J1540" s="47" t="e">
        <f>VLOOKUP(Table2[[#This Row], [Author]],People!A:B,2,0)</f>
        <v>#N/A</v>
      </c>
      <c r="K1540" s="47" t="s">
        <v>7856</v>
      </c>
      <c r="L1540" s="47"/>
      <c r="M1540" s="49" t="s">
        <v>4778</v>
      </c>
    </row>
    <row r="1541" spans="1:13">
      <c r="A1541" s="48">
        <f t="shared" si="24"/>
        <v>1540</v>
      </c>
      <c r="B1541" s="47" t="s">
        <v>4</v>
      </c>
      <c r="C1541" s="47" t="s">
        <v>7625</v>
      </c>
      <c r="D1541" s="47" t="s">
        <v>7668</v>
      </c>
      <c r="E1541" s="47" t="s">
        <v>7669</v>
      </c>
      <c r="F1541" s="47" t="s">
        <v>7645</v>
      </c>
      <c r="G1541" s="47" t="s">
        <v>16</v>
      </c>
      <c r="H1541" s="47" t="str">
        <f>IFERROR(VLOOKUP(Table2[[#This Row], [Ticket]],Okey!A:B,2,0),"")</f>
        <v>ok</v>
      </c>
      <c r="I1541" s="47" t="s">
        <v>6455</v>
      </c>
      <c r="J1541" s="47" t="e">
        <f>VLOOKUP(Table2[[#This Row], [Author]],People!A:B,2,0)</f>
        <v>#N/A</v>
      </c>
      <c r="K1541" s="47" t="s">
        <v>7858</v>
      </c>
      <c r="L1541" s="47" t="e">
        <f>VLOOKUP(Table2[[#This Row],[Node]],#REF!,2,0)</f>
        <v>#REF!</v>
      </c>
      <c r="M1541" s="49" t="s">
        <v>4778</v>
      </c>
    </row>
    <row r="1542" spans="1:13">
      <c r="A1542" s="48">
        <f t="shared" si="24"/>
        <v>1541</v>
      </c>
      <c r="B1542" s="47" t="s">
        <v>4</v>
      </c>
      <c r="C1542" s="47" t="s">
        <v>7625</v>
      </c>
      <c r="D1542" s="47" t="s">
        <v>7670</v>
      </c>
      <c r="E1542" s="47"/>
      <c r="F1542" s="47" t="s">
        <v>275</v>
      </c>
      <c r="G1542" s="47" t="s">
        <v>12</v>
      </c>
      <c r="H1542" s="47" t="str">
        <f>IFERROR(VLOOKUP(Table2[[#This Row], [Ticket]],Okey!A:B,2,0),"")</f>
        <v>ok</v>
      </c>
      <c r="I1542" s="47" t="s">
        <v>6455</v>
      </c>
      <c r="J1542" s="47" t="e">
        <f>VLOOKUP(Table2[[#This Row], [Author]],People!A:B,2,0)</f>
        <v>#N/A</v>
      </c>
      <c r="K1542" s="47" t="s">
        <v>7859</v>
      </c>
      <c r="L1542" s="47"/>
      <c r="M1542" s="49" t="s">
        <v>4778</v>
      </c>
    </row>
    <row r="1543" spans="1:13">
      <c r="A1543" s="48">
        <f t="shared" si="24"/>
        <v>1542</v>
      </c>
      <c r="B1543" s="47" t="s">
        <v>4</v>
      </c>
      <c r="C1543" s="47" t="s">
        <v>7625</v>
      </c>
      <c r="D1543" s="47" t="s">
        <v>7671</v>
      </c>
      <c r="E1543" s="47"/>
      <c r="F1543" s="47" t="s">
        <v>275</v>
      </c>
      <c r="G1543" s="47" t="s">
        <v>12</v>
      </c>
      <c r="H1543" s="47" t="str">
        <f>IFERROR(VLOOKUP(Table2[[#This Row], [Ticket]],Okey!A:B,2,0),"")</f>
        <v>ok</v>
      </c>
      <c r="I1543" s="47" t="s">
        <v>6455</v>
      </c>
      <c r="J1543" s="47" t="e">
        <f>VLOOKUP(Table2[[#This Row], [Author]],People!A:B,2,0)</f>
        <v>#N/A</v>
      </c>
      <c r="K1543" s="47" t="s">
        <v>7859</v>
      </c>
      <c r="L1543" s="47"/>
      <c r="M1543" s="49" t="s">
        <v>4778</v>
      </c>
    </row>
    <row r="1544" spans="1:13">
      <c r="A1544" s="48">
        <f t="shared" si="24"/>
        <v>1543</v>
      </c>
      <c r="B1544" s="47" t="s">
        <v>4</v>
      </c>
      <c r="C1544" s="47" t="s">
        <v>7625</v>
      </c>
      <c r="D1544" s="47" t="s">
        <v>7672</v>
      </c>
      <c r="E1544" s="47"/>
      <c r="F1544" s="47" t="s">
        <v>275</v>
      </c>
      <c r="G1544" s="47" t="s">
        <v>12</v>
      </c>
      <c r="H1544" s="47" t="str">
        <f>IFERROR(VLOOKUP(Table2[[#This Row], [Ticket]],Okey!A:B,2,0),"")</f>
        <v>ok</v>
      </c>
      <c r="I1544" s="47" t="s">
        <v>6455</v>
      </c>
      <c r="J1544" s="47" t="e">
        <f>VLOOKUP(Table2[[#This Row], [Author]],People!A:B,2,0)</f>
        <v>#N/A</v>
      </c>
      <c r="K1544" s="47" t="s">
        <v>7859</v>
      </c>
      <c r="L1544" s="47"/>
      <c r="M1544" s="49" t="s">
        <v>4778</v>
      </c>
    </row>
    <row r="1545" spans="1:13">
      <c r="A1545" s="48">
        <f t="shared" si="24"/>
        <v>1544</v>
      </c>
      <c r="B1545" s="47" t="s">
        <v>4</v>
      </c>
      <c r="C1545" s="47" t="s">
        <v>7625</v>
      </c>
      <c r="D1545" s="47" t="s">
        <v>7673</v>
      </c>
      <c r="E1545" s="47"/>
      <c r="F1545" s="47" t="s">
        <v>275</v>
      </c>
      <c r="G1545" s="47" t="s">
        <v>12</v>
      </c>
      <c r="H1545" s="47" t="str">
        <f>IFERROR(VLOOKUP(Table2[[#This Row], [Ticket]],Okey!A:B,2,0),"")</f>
        <v>ok</v>
      </c>
      <c r="I1545" s="47" t="s">
        <v>6455</v>
      </c>
      <c r="J1545" s="47" t="e">
        <f>VLOOKUP(Table2[[#This Row], [Author]],People!A:B,2,0)</f>
        <v>#N/A</v>
      </c>
      <c r="K1545" s="47" t="s">
        <v>7859</v>
      </c>
      <c r="L1545" s="47"/>
      <c r="M1545" s="49" t="s">
        <v>4778</v>
      </c>
    </row>
    <row r="1546" spans="1:13">
      <c r="A1546" s="48">
        <f t="shared" si="24"/>
        <v>1545</v>
      </c>
      <c r="B1546" s="47" t="s">
        <v>4</v>
      </c>
      <c r="C1546" s="47" t="s">
        <v>7625</v>
      </c>
      <c r="D1546" s="47" t="s">
        <v>7674</v>
      </c>
      <c r="E1546" s="47"/>
      <c r="F1546" s="47" t="s">
        <v>275</v>
      </c>
      <c r="G1546" s="47" t="s">
        <v>12</v>
      </c>
      <c r="H1546" s="47" t="str">
        <f>IFERROR(VLOOKUP(Table2[[#This Row], [Ticket]],Okey!A:B,2,0),"")</f>
        <v>ok</v>
      </c>
      <c r="I1546" s="47" t="s">
        <v>6455</v>
      </c>
      <c r="J1546" s="47" t="e">
        <f>VLOOKUP(Table2[[#This Row], [Author]],People!A:B,2,0)</f>
        <v>#N/A</v>
      </c>
      <c r="K1546" s="47" t="s">
        <v>7859</v>
      </c>
      <c r="L1546" s="47"/>
      <c r="M1546" s="49" t="s">
        <v>4778</v>
      </c>
    </row>
    <row r="1547" spans="1:13">
      <c r="A1547" s="48">
        <f t="shared" si="24"/>
        <v>1546</v>
      </c>
      <c r="B1547" s="47" t="s">
        <v>4</v>
      </c>
      <c r="C1547" s="47" t="s">
        <v>7625</v>
      </c>
      <c r="D1547" s="47" t="s">
        <v>7675</v>
      </c>
      <c r="E1547" s="47"/>
      <c r="F1547" s="47" t="s">
        <v>275</v>
      </c>
      <c r="G1547" s="47" t="s">
        <v>12</v>
      </c>
      <c r="H1547" s="47" t="str">
        <f>IFERROR(VLOOKUP(Table2[[#This Row], [Ticket]],Okey!A:B,2,0),"")</f>
        <v>ok</v>
      </c>
      <c r="I1547" s="47" t="s">
        <v>6455</v>
      </c>
      <c r="J1547" s="47" t="e">
        <f>VLOOKUP(Table2[[#This Row], [Author]],People!A:B,2,0)</f>
        <v>#N/A</v>
      </c>
      <c r="K1547" s="47" t="s">
        <v>7859</v>
      </c>
      <c r="L1547" s="47"/>
      <c r="M1547" s="49" t="s">
        <v>4778</v>
      </c>
    </row>
    <row r="1548" spans="1:13">
      <c r="A1548" s="48">
        <f t="shared" si="24"/>
        <v>1547</v>
      </c>
      <c r="B1548" s="47" t="s">
        <v>4</v>
      </c>
      <c r="C1548" s="47" t="s">
        <v>7625</v>
      </c>
      <c r="D1548" s="47" t="s">
        <v>7676</v>
      </c>
      <c r="E1548" s="47"/>
      <c r="F1548" s="47" t="s">
        <v>275</v>
      </c>
      <c r="G1548" s="47" t="s">
        <v>12</v>
      </c>
      <c r="H1548" s="47" t="str">
        <f>IFERROR(VLOOKUP(Table2[[#This Row], [Ticket]],Okey!A:B,2,0),"")</f>
        <v>ok</v>
      </c>
      <c r="I1548" s="47" t="s">
        <v>6455</v>
      </c>
      <c r="J1548" s="47" t="e">
        <f>VLOOKUP(Table2[[#This Row], [Author]],People!A:B,2,0)</f>
        <v>#N/A</v>
      </c>
      <c r="K1548" s="47" t="s">
        <v>7859</v>
      </c>
      <c r="L1548" s="47"/>
      <c r="M1548" s="49" t="s">
        <v>4778</v>
      </c>
    </row>
    <row r="1549" spans="1:13">
      <c r="A1549" s="48">
        <f t="shared" si="24"/>
        <v>1548</v>
      </c>
      <c r="B1549" s="47" t="s">
        <v>4</v>
      </c>
      <c r="C1549" s="47" t="s">
        <v>7625</v>
      </c>
      <c r="D1549" s="47" t="s">
        <v>3677</v>
      </c>
      <c r="E1549" s="47"/>
      <c r="F1549" s="47" t="s">
        <v>275</v>
      </c>
      <c r="G1549" s="47" t="s">
        <v>12</v>
      </c>
      <c r="H1549" s="47" t="str">
        <f>IFERROR(VLOOKUP(Table2[[#This Row], [Ticket]],Okey!A:B,2,0),"")</f>
        <v>ok</v>
      </c>
      <c r="I1549" s="47" t="s">
        <v>6455</v>
      </c>
      <c r="J1549" s="47" t="e">
        <f>VLOOKUP(Table2[[#This Row], [Author]],People!A:B,2,0)</f>
        <v>#N/A</v>
      </c>
      <c r="K1549" s="47" t="s">
        <v>7859</v>
      </c>
      <c r="L1549" s="47"/>
      <c r="M1549" s="49" t="s">
        <v>4778</v>
      </c>
    </row>
    <row r="1550" spans="1:13">
      <c r="A1550" s="48">
        <f t="shared" si="24"/>
        <v>1549</v>
      </c>
      <c r="B1550" s="47" t="s">
        <v>4</v>
      </c>
      <c r="C1550" s="47" t="s">
        <v>7677</v>
      </c>
      <c r="D1550" s="47" t="s">
        <v>7737</v>
      </c>
      <c r="E1550" s="47" t="s">
        <v>7678</v>
      </c>
      <c r="F1550" s="47" t="s">
        <v>5746</v>
      </c>
      <c r="G1550" s="47" t="s">
        <v>14</v>
      </c>
      <c r="H1550" s="47" t="str">
        <f>IFERROR(VLOOKUP(Table2[[#This Row], [Ticket]],Okey!A:B,2,0),"")</f>
        <v>ok</v>
      </c>
      <c r="I1550" s="47" t="s">
        <v>6455</v>
      </c>
      <c r="J1550" s="47" t="str">
        <f>VLOOKUP(Table2[[#This Row], [Author]],People!A:B,2,0)</f>
        <v>LS</v>
      </c>
      <c r="K1550" s="47" t="s">
        <v>7857</v>
      </c>
      <c r="L1550" s="47" t="e">
        <f>VLOOKUP(Table2[[#This Row],[Node]],#REF!,2,0)</f>
        <v>#REF!</v>
      </c>
      <c r="M1550" s="49" t="s">
        <v>4799</v>
      </c>
    </row>
    <row r="1551" spans="1:13">
      <c r="A1551" s="48">
        <f t="shared" si="24"/>
        <v>1550</v>
      </c>
      <c r="B1551" s="47" t="s">
        <v>4</v>
      </c>
      <c r="C1551" s="47" t="s">
        <v>7677</v>
      </c>
      <c r="D1551" s="47" t="s">
        <v>7738</v>
      </c>
      <c r="E1551" s="47" t="s">
        <v>7679</v>
      </c>
      <c r="F1551" s="47" t="s">
        <v>5494</v>
      </c>
      <c r="G1551" s="47" t="s">
        <v>14</v>
      </c>
      <c r="H1551" s="47" t="str">
        <f>IFERROR(VLOOKUP(Table2[[#This Row], [Ticket]],Okey!A:B,2,0),"")</f>
        <v>ok</v>
      </c>
      <c r="I1551" s="47" t="s">
        <v>6455</v>
      </c>
      <c r="J1551" s="47" t="str">
        <f>VLOOKUP(Table2[[#This Row], [Author]],People!A:B,2,0)</f>
        <v>MGF</v>
      </c>
      <c r="K1551" s="47" t="s">
        <v>7857</v>
      </c>
      <c r="L1551" s="47" t="e">
        <f>VLOOKUP(Table2[[#This Row],[Node]],#REF!,2,0)</f>
        <v>#REF!</v>
      </c>
      <c r="M1551" s="49" t="s">
        <v>4799</v>
      </c>
    </row>
    <row r="1552" spans="1:13">
      <c r="A1552" s="48">
        <f t="shared" si="24"/>
        <v>1551</v>
      </c>
      <c r="B1552" s="47" t="s">
        <v>4</v>
      </c>
      <c r="C1552" s="47" t="s">
        <v>7677</v>
      </c>
      <c r="D1552" s="47" t="s">
        <v>7739</v>
      </c>
      <c r="E1552" s="47" t="s">
        <v>7680</v>
      </c>
      <c r="F1552" s="47" t="s">
        <v>5494</v>
      </c>
      <c r="G1552" s="47" t="s">
        <v>14</v>
      </c>
      <c r="H1552" s="47" t="str">
        <f>IFERROR(VLOOKUP(Table2[[#This Row], [Ticket]],Okey!A:B,2,0),"")</f>
        <v>ok</v>
      </c>
      <c r="I1552" s="47" t="s">
        <v>6455</v>
      </c>
      <c r="J1552" s="47" t="str">
        <f>VLOOKUP(Table2[[#This Row], [Author]],People!A:B,2,0)</f>
        <v>MGF</v>
      </c>
      <c r="K1552" s="47" t="s">
        <v>7857</v>
      </c>
      <c r="L1552" s="47" t="e">
        <f>VLOOKUP(Table2[[#This Row],[Node]],#REF!,2,0)</f>
        <v>#REF!</v>
      </c>
      <c r="M1552" s="49" t="s">
        <v>4799</v>
      </c>
    </row>
    <row r="1553" spans="1:13">
      <c r="A1553" s="48">
        <f t="shared" si="24"/>
        <v>1552</v>
      </c>
      <c r="B1553" s="47" t="s">
        <v>4</v>
      </c>
      <c r="C1553" s="47" t="s">
        <v>7677</v>
      </c>
      <c r="D1553" s="47" t="s">
        <v>7740</v>
      </c>
      <c r="E1553" s="47" t="s">
        <v>7681</v>
      </c>
      <c r="F1553" s="47" t="s">
        <v>5494</v>
      </c>
      <c r="G1553" s="47" t="s">
        <v>14</v>
      </c>
      <c r="H1553" s="47" t="str">
        <f>IFERROR(VLOOKUP(Table2[[#This Row], [Ticket]],Okey!A:B,2,0),"")</f>
        <v>ok</v>
      </c>
      <c r="I1553" s="47" t="s">
        <v>6455</v>
      </c>
      <c r="J1553" s="47" t="str">
        <f>VLOOKUP(Table2[[#This Row], [Author]],People!A:B,2,0)</f>
        <v>MGF</v>
      </c>
      <c r="K1553" s="47" t="s">
        <v>7857</v>
      </c>
      <c r="L1553" s="47" t="e">
        <f>VLOOKUP(Table2[[#This Row],[Node]],#REF!,2,0)</f>
        <v>#REF!</v>
      </c>
      <c r="M1553" s="49" t="s">
        <v>4799</v>
      </c>
    </row>
    <row r="1554" spans="1:13">
      <c r="A1554" s="48">
        <f t="shared" si="24"/>
        <v>1553</v>
      </c>
      <c r="B1554" s="47" t="s">
        <v>4</v>
      </c>
      <c r="C1554" s="47" t="s">
        <v>7677</v>
      </c>
      <c r="D1554" s="47" t="s">
        <v>7741</v>
      </c>
      <c r="E1554" s="47" t="s">
        <v>7682</v>
      </c>
      <c r="F1554" s="47" t="s">
        <v>3341</v>
      </c>
      <c r="G1554" s="47" t="s">
        <v>14</v>
      </c>
      <c r="H1554" s="47" t="str">
        <f>IFERROR(VLOOKUP(Table2[[#This Row], [Ticket]],Okey!A:B,2,0),"")</f>
        <v>ok</v>
      </c>
      <c r="I1554" s="47" t="s">
        <v>6455</v>
      </c>
      <c r="J1554" s="47" t="e">
        <f>VLOOKUP(Table2[[#This Row], [Author]],People!A:B,2,0)</f>
        <v>#N/A</v>
      </c>
      <c r="K1554" s="47" t="s">
        <v>7857</v>
      </c>
      <c r="L1554" s="47" t="e">
        <f>VLOOKUP(Table2[[#This Row],[Node]],#REF!,2,0)</f>
        <v>#REF!</v>
      </c>
      <c r="M1554" s="49" t="s">
        <v>4799</v>
      </c>
    </row>
    <row r="1555" spans="1:13">
      <c r="A1555" s="48">
        <f t="shared" si="24"/>
        <v>1554</v>
      </c>
      <c r="B1555" s="47" t="s">
        <v>4</v>
      </c>
      <c r="C1555" s="47" t="s">
        <v>7677</v>
      </c>
      <c r="D1555" s="47" t="s">
        <v>7742</v>
      </c>
      <c r="E1555" s="47" t="s">
        <v>7683</v>
      </c>
      <c r="F1555" s="47" t="s">
        <v>956</v>
      </c>
      <c r="G1555" s="47" t="s">
        <v>14</v>
      </c>
      <c r="H1555" s="47" t="str">
        <f>IFERROR(VLOOKUP(Table2[[#This Row], [Ticket]],Okey!A:B,2,0),"")</f>
        <v>ok</v>
      </c>
      <c r="I1555" s="47" t="s">
        <v>6455</v>
      </c>
      <c r="J1555" s="47" t="e">
        <f>VLOOKUP(Table2[[#This Row], [Author]],People!A:B,2,0)</f>
        <v>#N/A</v>
      </c>
      <c r="K1555" s="47" t="s">
        <v>7857</v>
      </c>
      <c r="L1555" s="47" t="e">
        <f>VLOOKUP(Table2[[#This Row],[Node]],#REF!,2,0)</f>
        <v>#REF!</v>
      </c>
      <c r="M1555" s="49" t="s">
        <v>4799</v>
      </c>
    </row>
    <row r="1556" spans="1:13">
      <c r="A1556" s="48">
        <f t="shared" si="24"/>
        <v>1555</v>
      </c>
      <c r="B1556" s="47" t="s">
        <v>4</v>
      </c>
      <c r="C1556" s="47" t="s">
        <v>7677</v>
      </c>
      <c r="D1556" s="47" t="s">
        <v>7743</v>
      </c>
      <c r="E1556" s="47" t="s">
        <v>7684</v>
      </c>
      <c r="F1556" s="47" t="s">
        <v>956</v>
      </c>
      <c r="G1556" s="47" t="s">
        <v>14</v>
      </c>
      <c r="H1556" s="47" t="str">
        <f>IFERROR(VLOOKUP(Table2[[#This Row], [Ticket]],Okey!A:B,2,0),"")</f>
        <v>ok</v>
      </c>
      <c r="I1556" s="47" t="s">
        <v>6455</v>
      </c>
      <c r="J1556" s="47" t="e">
        <f>VLOOKUP(Table2[[#This Row], [Author]],People!A:B,2,0)</f>
        <v>#N/A</v>
      </c>
      <c r="K1556" s="47" t="s">
        <v>7857</v>
      </c>
      <c r="L1556" s="47" t="e">
        <f>VLOOKUP(Table2[[#This Row],[Node]],#REF!,2,0)</f>
        <v>#REF!</v>
      </c>
      <c r="M1556" s="49" t="s">
        <v>4799</v>
      </c>
    </row>
    <row r="1557" spans="1:13">
      <c r="A1557" s="48">
        <f t="shared" si="24"/>
        <v>1556</v>
      </c>
      <c r="B1557" s="47" t="s">
        <v>4</v>
      </c>
      <c r="C1557" s="47" t="s">
        <v>7677</v>
      </c>
      <c r="D1557" s="47" t="s">
        <v>7744</v>
      </c>
      <c r="E1557" s="47" t="s">
        <v>7685</v>
      </c>
      <c r="F1557" s="47" t="s">
        <v>3971</v>
      </c>
      <c r="G1557" s="47" t="s">
        <v>14</v>
      </c>
      <c r="H1557" s="47" t="str">
        <f>IFERROR(VLOOKUP(Table2[[#This Row], [Ticket]],Okey!A:B,2,0),"")</f>
        <v>ok</v>
      </c>
      <c r="I1557" s="47" t="s">
        <v>6455</v>
      </c>
      <c r="J1557" s="47" t="e">
        <f>VLOOKUP(Table2[[#This Row], [Author]],People!A:B,2,0)</f>
        <v>#N/A</v>
      </c>
      <c r="K1557" s="47" t="s">
        <v>7857</v>
      </c>
      <c r="L1557" s="47" t="e">
        <f>VLOOKUP(Table2[[#This Row],[Node]],#REF!,2,0)</f>
        <v>#REF!</v>
      </c>
      <c r="M1557" s="49" t="s">
        <v>4799</v>
      </c>
    </row>
    <row r="1558" spans="1:13">
      <c r="A1558" s="48">
        <f t="shared" si="24"/>
        <v>1557</v>
      </c>
      <c r="B1558" s="47" t="s">
        <v>4</v>
      </c>
      <c r="C1558" s="47" t="s">
        <v>7677</v>
      </c>
      <c r="D1558" s="47" t="s">
        <v>7745</v>
      </c>
      <c r="E1558" s="47" t="s">
        <v>7686</v>
      </c>
      <c r="F1558" s="47" t="s">
        <v>3971</v>
      </c>
      <c r="G1558" s="47" t="s">
        <v>14</v>
      </c>
      <c r="H1558" s="47" t="str">
        <f>IFERROR(VLOOKUP(Table2[[#This Row], [Ticket]],Okey!A:B,2,0),"")</f>
        <v>ok</v>
      </c>
      <c r="I1558" s="47" t="s">
        <v>6455</v>
      </c>
      <c r="J1558" s="47" t="e">
        <f>VLOOKUP(Table2[[#This Row], [Author]],People!A:B,2,0)</f>
        <v>#N/A</v>
      </c>
      <c r="K1558" s="47" t="s">
        <v>7857</v>
      </c>
      <c r="L1558" s="47" t="e">
        <f>VLOOKUP(Table2[[#This Row],[Node]],#REF!,2,0)</f>
        <v>#REF!</v>
      </c>
      <c r="M1558" s="49" t="s">
        <v>4799</v>
      </c>
    </row>
    <row r="1559" spans="1:13">
      <c r="A1559" s="48">
        <f t="shared" si="24"/>
        <v>1558</v>
      </c>
      <c r="B1559" s="47" t="s">
        <v>4</v>
      </c>
      <c r="C1559" s="47" t="s">
        <v>7677</v>
      </c>
      <c r="D1559" s="47" t="s">
        <v>7746</v>
      </c>
      <c r="E1559" s="47" t="s">
        <v>7687</v>
      </c>
      <c r="F1559" s="47" t="s">
        <v>4831</v>
      </c>
      <c r="G1559" s="47" t="s">
        <v>14</v>
      </c>
      <c r="H1559" s="47" t="str">
        <f>IFERROR(VLOOKUP(Table2[[#This Row], [Ticket]],Okey!A:B,2,0),"")</f>
        <v/>
      </c>
      <c r="I1559" s="47" t="s">
        <v>6455</v>
      </c>
      <c r="J1559" s="47" t="str">
        <f>VLOOKUP(Table2[[#This Row], [Author]],People!A:B,2,0)</f>
        <v>MGF</v>
      </c>
      <c r="K1559" s="47" t="s">
        <v>7857</v>
      </c>
      <c r="L1559" s="47" t="e">
        <f>VLOOKUP(Table2[[#This Row],[Node]],#REF!,2,0)</f>
        <v>#REF!</v>
      </c>
      <c r="M1559" s="49" t="s">
        <v>4799</v>
      </c>
    </row>
    <row r="1560" spans="1:13">
      <c r="A1560" s="48">
        <f t="shared" si="24"/>
        <v>1559</v>
      </c>
      <c r="B1560" s="47" t="s">
        <v>4</v>
      </c>
      <c r="C1560" s="47" t="s">
        <v>7677</v>
      </c>
      <c r="D1560" s="47" t="s">
        <v>7747</v>
      </c>
      <c r="E1560" s="47" t="s">
        <v>7688</v>
      </c>
      <c r="F1560" s="47" t="s">
        <v>4831</v>
      </c>
      <c r="G1560" s="47" t="s">
        <v>14</v>
      </c>
      <c r="H1560" s="47" t="str">
        <f>IFERROR(VLOOKUP(Table2[[#This Row], [Ticket]],Okey!A:B,2,0),"")</f>
        <v/>
      </c>
      <c r="I1560" s="47" t="s">
        <v>6455</v>
      </c>
      <c r="J1560" s="47" t="str">
        <f>VLOOKUP(Table2[[#This Row], [Author]],People!A:B,2,0)</f>
        <v>MGF</v>
      </c>
      <c r="K1560" s="47" t="s">
        <v>7857</v>
      </c>
      <c r="L1560" s="47" t="e">
        <f>VLOOKUP(Table2[[#This Row],[Node]],#REF!,2,0)</f>
        <v>#REF!</v>
      </c>
      <c r="M1560" s="49" t="s">
        <v>4799</v>
      </c>
    </row>
    <row r="1561" spans="1:13">
      <c r="A1561" s="48">
        <f t="shared" si="24"/>
        <v>1560</v>
      </c>
      <c r="B1561" s="47" t="s">
        <v>4</v>
      </c>
      <c r="C1561" s="47" t="s">
        <v>7677</v>
      </c>
      <c r="D1561" s="47" t="s">
        <v>7748</v>
      </c>
      <c r="E1561" s="47" t="s">
        <v>7689</v>
      </c>
      <c r="F1561" s="47" t="s">
        <v>4831</v>
      </c>
      <c r="G1561" s="47" t="s">
        <v>14</v>
      </c>
      <c r="H1561" s="47" t="str">
        <f>IFERROR(VLOOKUP(Table2[[#This Row], [Ticket]],Okey!A:B,2,0),"")</f>
        <v/>
      </c>
      <c r="I1561" s="47" t="s">
        <v>6455</v>
      </c>
      <c r="J1561" s="47" t="str">
        <f>VLOOKUP(Table2[[#This Row], [Author]],People!A:B,2,0)</f>
        <v>MGF</v>
      </c>
      <c r="K1561" s="47" t="s">
        <v>7857</v>
      </c>
      <c r="L1561" s="47" t="e">
        <f>VLOOKUP(Table2[[#This Row],[Node]],#REF!,2,0)</f>
        <v>#REF!</v>
      </c>
      <c r="M1561" s="49" t="s">
        <v>4799</v>
      </c>
    </row>
    <row r="1562" spans="1:13">
      <c r="A1562" s="48">
        <f t="shared" si="24"/>
        <v>1561</v>
      </c>
      <c r="B1562" s="47" t="s">
        <v>4</v>
      </c>
      <c r="C1562" s="47" t="s">
        <v>7677</v>
      </c>
      <c r="D1562" s="47" t="s">
        <v>7749</v>
      </c>
      <c r="E1562" s="47" t="s">
        <v>7690</v>
      </c>
      <c r="F1562" s="47" t="s">
        <v>4831</v>
      </c>
      <c r="G1562" s="47" t="s">
        <v>14</v>
      </c>
      <c r="H1562" s="47" t="str">
        <f>IFERROR(VLOOKUP(Table2[[#This Row], [Ticket]],Okey!A:B,2,0),"")</f>
        <v/>
      </c>
      <c r="I1562" s="47" t="s">
        <v>6455</v>
      </c>
      <c r="J1562" s="47" t="str">
        <f>VLOOKUP(Table2[[#This Row], [Author]],People!A:B,2,0)</f>
        <v>MGF</v>
      </c>
      <c r="K1562" s="47" t="s">
        <v>7857</v>
      </c>
      <c r="L1562" s="47" t="e">
        <f>VLOOKUP(Table2[[#This Row],[Node]],#REF!,2,0)</f>
        <v>#REF!</v>
      </c>
      <c r="M1562" s="49" t="s">
        <v>4799</v>
      </c>
    </row>
    <row r="1563" spans="1:13">
      <c r="A1563" s="48">
        <f t="shared" si="24"/>
        <v>1562</v>
      </c>
      <c r="B1563" s="47" t="s">
        <v>4</v>
      </c>
      <c r="C1563" s="47" t="s">
        <v>7677</v>
      </c>
      <c r="D1563" s="47" t="s">
        <v>7750</v>
      </c>
      <c r="E1563" s="47" t="s">
        <v>7691</v>
      </c>
      <c r="F1563" s="47" t="s">
        <v>4831</v>
      </c>
      <c r="G1563" s="47" t="s">
        <v>14</v>
      </c>
      <c r="H1563" s="47" t="str">
        <f>IFERROR(VLOOKUP(Table2[[#This Row], [Ticket]],Okey!A:B,2,0),"")</f>
        <v/>
      </c>
      <c r="I1563" s="47" t="s">
        <v>6455</v>
      </c>
      <c r="J1563" s="47" t="str">
        <f>VLOOKUP(Table2[[#This Row], [Author]],People!A:B,2,0)</f>
        <v>MGF</v>
      </c>
      <c r="K1563" s="47" t="s">
        <v>7857</v>
      </c>
      <c r="L1563" s="47" t="e">
        <f>VLOOKUP(Table2[[#This Row],[Node]],#REF!,2,0)</f>
        <v>#REF!</v>
      </c>
      <c r="M1563" s="49" t="s">
        <v>4799</v>
      </c>
    </row>
    <row r="1564" spans="1:13">
      <c r="A1564" s="48">
        <f t="shared" si="24"/>
        <v>1563</v>
      </c>
      <c r="B1564" s="47" t="s">
        <v>4</v>
      </c>
      <c r="C1564" s="47" t="s">
        <v>7677</v>
      </c>
      <c r="D1564" s="47" t="s">
        <v>7751</v>
      </c>
      <c r="E1564" s="47" t="s">
        <v>7692</v>
      </c>
      <c r="F1564" s="47" t="s">
        <v>3514</v>
      </c>
      <c r="G1564" s="47" t="s">
        <v>14</v>
      </c>
      <c r="H1564" s="47" t="str">
        <f>IFERROR(VLOOKUP(Table2[[#This Row], [Ticket]],Okey!A:B,2,0),"")</f>
        <v/>
      </c>
      <c r="I1564" s="47" t="s">
        <v>6455</v>
      </c>
      <c r="J1564" s="47" t="str">
        <f>VLOOKUP(Table2[[#This Row], [Author]],People!A:B,2,0)</f>
        <v>MGF</v>
      </c>
      <c r="K1564" s="47" t="s">
        <v>7857</v>
      </c>
      <c r="L1564" s="47" t="e">
        <f>VLOOKUP(Table2[[#This Row],[Node]],#REF!,2,0)</f>
        <v>#REF!</v>
      </c>
      <c r="M1564" s="49" t="s">
        <v>4799</v>
      </c>
    </row>
    <row r="1565" spans="1:13">
      <c r="A1565" s="48">
        <f t="shared" si="24"/>
        <v>1564</v>
      </c>
      <c r="B1565" s="47" t="s">
        <v>4</v>
      </c>
      <c r="C1565" s="47" t="s">
        <v>7677</v>
      </c>
      <c r="D1565" s="47" t="s">
        <v>6329</v>
      </c>
      <c r="E1565" s="47" t="s">
        <v>6519</v>
      </c>
      <c r="F1565" s="47"/>
      <c r="G1565" s="47" t="s">
        <v>15</v>
      </c>
      <c r="H1565" s="47" t="str">
        <f>IFERROR(VLOOKUP(Table2[[#This Row], [Ticket]],Okey!A:B,2,0),"")</f>
        <v/>
      </c>
      <c r="I1565" s="47" t="s">
        <v>6455</v>
      </c>
      <c r="J1565" s="47" t="str">
        <f>VLOOKUP(Table2[[#This Row], [Author]],People!A:B,2,0)</f>
        <v>MGF</v>
      </c>
      <c r="K1565" s="47" t="s">
        <v>7856</v>
      </c>
      <c r="L1565" s="47"/>
      <c r="M1565" s="49" t="s">
        <v>4799</v>
      </c>
    </row>
    <row r="1566" spans="1:13">
      <c r="A1566" s="48">
        <f t="shared" si="24"/>
        <v>1565</v>
      </c>
      <c r="B1566" s="47" t="s">
        <v>4</v>
      </c>
      <c r="C1566" s="47" t="s">
        <v>7677</v>
      </c>
      <c r="D1566" s="47" t="s">
        <v>3341</v>
      </c>
      <c r="E1566" s="47" t="s">
        <v>7693</v>
      </c>
      <c r="F1566" s="47"/>
      <c r="G1566" s="47" t="s">
        <v>15</v>
      </c>
      <c r="H1566" s="47" t="str">
        <f>IFERROR(VLOOKUP(Table2[[#This Row], [Ticket]],Okey!A:B,2,0),"")</f>
        <v/>
      </c>
      <c r="I1566" s="47" t="s">
        <v>6455</v>
      </c>
      <c r="J1566" s="47" t="str">
        <f>VLOOKUP(Table2[[#This Row], [Author]],People!A:B,2,0)</f>
        <v>MGF</v>
      </c>
      <c r="K1566" s="47" t="s">
        <v>7856</v>
      </c>
      <c r="L1566" s="47"/>
      <c r="M1566" s="49" t="s">
        <v>4799</v>
      </c>
    </row>
    <row r="1567" spans="1:13">
      <c r="A1567" s="48">
        <f t="shared" si="24"/>
        <v>1566</v>
      </c>
      <c r="B1567" s="47" t="s">
        <v>4</v>
      </c>
      <c r="C1567" s="47" t="s">
        <v>7677</v>
      </c>
      <c r="D1567" s="47" t="s">
        <v>7694</v>
      </c>
      <c r="E1567" s="47" t="s">
        <v>7695</v>
      </c>
      <c r="F1567" s="47"/>
      <c r="G1567" s="47" t="s">
        <v>15</v>
      </c>
      <c r="H1567" s="47" t="str">
        <f>IFERROR(VLOOKUP(Table2[[#This Row], [Ticket]],Okey!A:B,2,0),"")</f>
        <v/>
      </c>
      <c r="I1567" s="47" t="s">
        <v>6455</v>
      </c>
      <c r="J1567" s="47" t="str">
        <f>VLOOKUP(Table2[[#This Row], [Author]],People!A:B,2,0)</f>
        <v>MGF</v>
      </c>
      <c r="K1567" s="47" t="s">
        <v>7856</v>
      </c>
      <c r="L1567" s="47"/>
      <c r="M1567" s="49" t="s">
        <v>4799</v>
      </c>
    </row>
    <row r="1568" spans="1:13">
      <c r="A1568" s="48">
        <f t="shared" si="24"/>
        <v>1567</v>
      </c>
      <c r="B1568" s="47" t="s">
        <v>4</v>
      </c>
      <c r="C1568" s="47" t="s">
        <v>7677</v>
      </c>
      <c r="D1568" s="47" t="s">
        <v>7696</v>
      </c>
      <c r="E1568" s="47" t="s">
        <v>5503</v>
      </c>
      <c r="F1568" s="47"/>
      <c r="G1568" s="47" t="s">
        <v>15</v>
      </c>
      <c r="H1568" s="47" t="str">
        <f>IFERROR(VLOOKUP(Table2[[#This Row], [Ticket]],Okey!A:B,2,0),"")</f>
        <v/>
      </c>
      <c r="I1568" s="47" t="s">
        <v>6455</v>
      </c>
      <c r="J1568" s="47" t="str">
        <f>VLOOKUP(Table2[[#This Row], [Author]],People!A:B,2,0)</f>
        <v>MGF</v>
      </c>
      <c r="K1568" s="47" t="s">
        <v>7856</v>
      </c>
      <c r="L1568" s="47"/>
      <c r="M1568" s="49" t="s">
        <v>4799</v>
      </c>
    </row>
    <row r="1569" spans="1:13">
      <c r="A1569" s="48">
        <f t="shared" si="24"/>
        <v>1568</v>
      </c>
      <c r="B1569" s="47" t="s">
        <v>4</v>
      </c>
      <c r="C1569" s="47" t="s">
        <v>7677</v>
      </c>
      <c r="D1569" s="47" t="s">
        <v>3557</v>
      </c>
      <c r="E1569" s="47" t="s">
        <v>7697</v>
      </c>
      <c r="F1569" s="47"/>
      <c r="G1569" s="47" t="s">
        <v>15</v>
      </c>
      <c r="H1569" s="47" t="str">
        <f>IFERROR(VLOOKUP(Table2[[#This Row], [Ticket]],Okey!A:B,2,0),"")</f>
        <v/>
      </c>
      <c r="I1569" s="47" t="s">
        <v>6455</v>
      </c>
      <c r="J1569" s="47" t="str">
        <f>VLOOKUP(Table2[[#This Row], [Author]],People!A:B,2,0)</f>
        <v>MGF</v>
      </c>
      <c r="K1569" s="47" t="s">
        <v>7856</v>
      </c>
      <c r="L1569" s="47"/>
      <c r="M1569" s="49" t="s">
        <v>4799</v>
      </c>
    </row>
    <row r="1570" spans="1:13">
      <c r="A1570" s="48">
        <f t="shared" si="24"/>
        <v>1569</v>
      </c>
      <c r="B1570" s="47" t="s">
        <v>4</v>
      </c>
      <c r="C1570" s="47" t="s">
        <v>7677</v>
      </c>
      <c r="D1570" s="47" t="s">
        <v>4133</v>
      </c>
      <c r="E1570" s="47" t="s">
        <v>7698</v>
      </c>
      <c r="F1570" s="47"/>
      <c r="G1570" s="47" t="s">
        <v>15</v>
      </c>
      <c r="H1570" s="47" t="str">
        <f>IFERROR(VLOOKUP(Table2[[#This Row], [Ticket]],Okey!A:B,2,0),"")</f>
        <v/>
      </c>
      <c r="I1570" s="47" t="s">
        <v>6455</v>
      </c>
      <c r="J1570" s="47" t="str">
        <f>VLOOKUP(Table2[[#This Row], [Author]],People!A:B,2,0)</f>
        <v>MGF</v>
      </c>
      <c r="K1570" s="47" t="s">
        <v>7856</v>
      </c>
      <c r="L1570" s="47"/>
      <c r="M1570" s="49" t="s">
        <v>4799</v>
      </c>
    </row>
    <row r="1571" spans="1:13">
      <c r="A1571" s="48">
        <f t="shared" si="24"/>
        <v>1570</v>
      </c>
      <c r="B1571" s="47" t="s">
        <v>4</v>
      </c>
      <c r="C1571" s="47" t="s">
        <v>7677</v>
      </c>
      <c r="D1571" s="47" t="s">
        <v>4135</v>
      </c>
      <c r="E1571" s="47" t="s">
        <v>7699</v>
      </c>
      <c r="F1571" s="47"/>
      <c r="G1571" s="47" t="s">
        <v>15</v>
      </c>
      <c r="H1571" s="47" t="str">
        <f>IFERROR(VLOOKUP(Table2[[#This Row], [Ticket]],Okey!A:B,2,0),"")</f>
        <v/>
      </c>
      <c r="I1571" s="47" t="s">
        <v>6455</v>
      </c>
      <c r="J1571" s="47" t="str">
        <f>VLOOKUP(Table2[[#This Row], [Author]],People!A:B,2,0)</f>
        <v>MGF</v>
      </c>
      <c r="K1571" s="47" t="s">
        <v>7856</v>
      </c>
      <c r="L1571" s="47"/>
      <c r="M1571" s="49" t="s">
        <v>4799</v>
      </c>
    </row>
    <row r="1572" spans="1:13">
      <c r="A1572" s="48">
        <f t="shared" si="24"/>
        <v>1571</v>
      </c>
      <c r="B1572" s="47" t="s">
        <v>4</v>
      </c>
      <c r="C1572" s="47" t="s">
        <v>7677</v>
      </c>
      <c r="D1572" s="47" t="s">
        <v>4137</v>
      </c>
      <c r="E1572" s="47" t="s">
        <v>7700</v>
      </c>
      <c r="F1572" s="47"/>
      <c r="G1572" s="47" t="s">
        <v>15</v>
      </c>
      <c r="H1572" s="47" t="str">
        <f>IFERROR(VLOOKUP(Table2[[#This Row], [Ticket]],Okey!A:B,2,0),"")</f>
        <v/>
      </c>
      <c r="I1572" s="47" t="s">
        <v>6455</v>
      </c>
      <c r="J1572" s="47" t="str">
        <f>VLOOKUP(Table2[[#This Row], [Author]],People!A:B,2,0)</f>
        <v>MGF</v>
      </c>
      <c r="K1572" s="47" t="s">
        <v>7856</v>
      </c>
      <c r="L1572" s="47"/>
      <c r="M1572" s="49" t="s">
        <v>4799</v>
      </c>
    </row>
    <row r="1573" spans="1:13">
      <c r="A1573" s="48">
        <f t="shared" si="24"/>
        <v>1572</v>
      </c>
      <c r="B1573" s="47" t="s">
        <v>4</v>
      </c>
      <c r="C1573" s="47" t="s">
        <v>7677</v>
      </c>
      <c r="D1573" s="47" t="s">
        <v>3952</v>
      </c>
      <c r="E1573" s="47" t="s">
        <v>7701</v>
      </c>
      <c r="F1573" s="47"/>
      <c r="G1573" s="47" t="s">
        <v>15</v>
      </c>
      <c r="H1573" s="47" t="str">
        <f>IFERROR(VLOOKUP(Table2[[#This Row], [Ticket]],Okey!A:B,2,0),"")</f>
        <v/>
      </c>
      <c r="I1573" s="47" t="s">
        <v>6455</v>
      </c>
      <c r="J1573" s="47" t="str">
        <f>VLOOKUP(Table2[[#This Row], [Author]],People!A:B,2,0)</f>
        <v>MGF</v>
      </c>
      <c r="K1573" s="47" t="s">
        <v>7856</v>
      </c>
      <c r="L1573" s="47"/>
      <c r="M1573" s="49" t="s">
        <v>4799</v>
      </c>
    </row>
    <row r="1574" spans="1:13">
      <c r="A1574" s="48">
        <f t="shared" si="24"/>
        <v>1573</v>
      </c>
      <c r="B1574" s="47" t="s">
        <v>4</v>
      </c>
      <c r="C1574" s="47" t="s">
        <v>7677</v>
      </c>
      <c r="D1574" s="47" t="s">
        <v>3972</v>
      </c>
      <c r="E1574" s="47" t="s">
        <v>7702</v>
      </c>
      <c r="F1574" s="47"/>
      <c r="G1574" s="47" t="s">
        <v>15</v>
      </c>
      <c r="H1574" s="47" t="str">
        <f>IFERROR(VLOOKUP(Table2[[#This Row], [Ticket]],Okey!A:B,2,0),"")</f>
        <v/>
      </c>
      <c r="I1574" s="47" t="s">
        <v>6455</v>
      </c>
      <c r="J1574" s="47" t="str">
        <f>VLOOKUP(Table2[[#This Row], [Author]],People!A:B,2,0)</f>
        <v>MGF</v>
      </c>
      <c r="K1574" s="47" t="s">
        <v>7856</v>
      </c>
      <c r="L1574" s="47"/>
      <c r="M1574" s="49" t="s">
        <v>4799</v>
      </c>
    </row>
    <row r="1575" spans="1:13">
      <c r="A1575" s="48">
        <f t="shared" si="24"/>
        <v>1574</v>
      </c>
      <c r="B1575" s="47" t="s">
        <v>4</v>
      </c>
      <c r="C1575" s="47" t="s">
        <v>7677</v>
      </c>
      <c r="D1575" s="47" t="s">
        <v>3491</v>
      </c>
      <c r="E1575" s="47" t="s">
        <v>7703</v>
      </c>
      <c r="F1575" s="47"/>
      <c r="G1575" s="47" t="s">
        <v>15</v>
      </c>
      <c r="H1575" s="47" t="str">
        <f>IFERROR(VLOOKUP(Table2[[#This Row], [Ticket]],Okey!A:B,2,0),"")</f>
        <v/>
      </c>
      <c r="I1575" s="47" t="s">
        <v>6455</v>
      </c>
      <c r="J1575" s="47" t="str">
        <f>VLOOKUP(Table2[[#This Row], [Author]],People!A:B,2,0)</f>
        <v>MGF</v>
      </c>
      <c r="K1575" s="47" t="s">
        <v>7856</v>
      </c>
      <c r="L1575" s="47"/>
      <c r="M1575" s="49" t="s">
        <v>4799</v>
      </c>
    </row>
    <row r="1576" spans="1:13">
      <c r="A1576" s="48">
        <f t="shared" si="24"/>
        <v>1575</v>
      </c>
      <c r="B1576" s="47" t="s">
        <v>4</v>
      </c>
      <c r="C1576" s="47" t="s">
        <v>7677</v>
      </c>
      <c r="D1576" s="47" t="s">
        <v>3611</v>
      </c>
      <c r="E1576" s="47" t="s">
        <v>7704</v>
      </c>
      <c r="F1576" s="47"/>
      <c r="G1576" s="47" t="s">
        <v>15</v>
      </c>
      <c r="H1576" s="47" t="str">
        <f>IFERROR(VLOOKUP(Table2[[#This Row], [Ticket]],Okey!A:B,2,0),"")</f>
        <v/>
      </c>
      <c r="I1576" s="47" t="s">
        <v>6455</v>
      </c>
      <c r="J1576" s="47" t="str">
        <f>VLOOKUP(Table2[[#This Row], [Author]],People!A:B,2,0)</f>
        <v>MGF</v>
      </c>
      <c r="K1576" s="47" t="s">
        <v>7856</v>
      </c>
      <c r="L1576" s="47"/>
      <c r="M1576" s="49" t="s">
        <v>4799</v>
      </c>
    </row>
    <row r="1577" spans="1:13">
      <c r="A1577" s="48">
        <f t="shared" si="24"/>
        <v>1576</v>
      </c>
      <c r="B1577" s="47" t="s">
        <v>4</v>
      </c>
      <c r="C1577" s="47" t="s">
        <v>7677</v>
      </c>
      <c r="D1577" s="47" t="s">
        <v>4201</v>
      </c>
      <c r="E1577" s="47" t="s">
        <v>7705</v>
      </c>
      <c r="F1577" s="47" t="s">
        <v>5756</v>
      </c>
      <c r="G1577" s="47" t="s">
        <v>16</v>
      </c>
      <c r="H1577" s="47" t="str">
        <f>IFERROR(VLOOKUP(Table2[[#This Row], [Ticket]],Okey!A:B,2,0),"")</f>
        <v/>
      </c>
      <c r="I1577" s="47" t="s">
        <v>6455</v>
      </c>
      <c r="J1577" s="47" t="str">
        <f>VLOOKUP(Table2[[#This Row], [Author]],People!A:B,2,0)</f>
        <v>MGF</v>
      </c>
      <c r="K1577" s="47" t="s">
        <v>7858</v>
      </c>
      <c r="L1577" s="47"/>
      <c r="M1577" s="49" t="s">
        <v>4799</v>
      </c>
    </row>
    <row r="1578" spans="1:13">
      <c r="A1578" s="48">
        <f t="shared" si="24"/>
        <v>1577</v>
      </c>
      <c r="B1578" s="47" t="s">
        <v>4</v>
      </c>
      <c r="C1578" s="47" t="s">
        <v>7677</v>
      </c>
      <c r="D1578" s="47" t="s">
        <v>4072</v>
      </c>
      <c r="E1578" s="47" t="s">
        <v>7706</v>
      </c>
      <c r="F1578" s="47" t="s">
        <v>4854</v>
      </c>
      <c r="G1578" s="47" t="s">
        <v>16</v>
      </c>
      <c r="H1578" s="47" t="str">
        <f>IFERROR(VLOOKUP(Table2[[#This Row], [Ticket]],Okey!A:B,2,0),"")</f>
        <v/>
      </c>
      <c r="I1578" s="47" t="s">
        <v>6455</v>
      </c>
      <c r="J1578" s="47" t="str">
        <f>VLOOKUP(Table2[[#This Row], [Author]],People!A:B,2,0)</f>
        <v>MGF</v>
      </c>
      <c r="K1578" s="47" t="s">
        <v>7858</v>
      </c>
      <c r="L1578" s="47"/>
      <c r="M1578" s="49" t="s">
        <v>4799</v>
      </c>
    </row>
    <row r="1579" spans="1:13">
      <c r="A1579" s="48">
        <f t="shared" si="24"/>
        <v>1578</v>
      </c>
      <c r="B1579" s="47" t="s">
        <v>4</v>
      </c>
      <c r="C1579" s="47" t="s">
        <v>7677</v>
      </c>
      <c r="D1579" s="47" t="s">
        <v>7707</v>
      </c>
      <c r="E1579" s="47"/>
      <c r="F1579" s="47" t="s">
        <v>5756</v>
      </c>
      <c r="G1579" s="47" t="s">
        <v>13</v>
      </c>
      <c r="H1579" s="47" t="str">
        <f>IFERROR(VLOOKUP(Table2[[#This Row], [Ticket]],Okey!A:B,2,0),"")</f>
        <v/>
      </c>
      <c r="I1579" s="47" t="s">
        <v>6455</v>
      </c>
      <c r="J1579" s="47" t="str">
        <f>VLOOKUP(Table2[[#This Row], [Author]],People!A:B,2,0)</f>
        <v>MGF</v>
      </c>
      <c r="K1579" s="47" t="s">
        <v>7858</v>
      </c>
      <c r="L1579" s="47"/>
      <c r="M1579" s="49" t="s">
        <v>4799</v>
      </c>
    </row>
    <row r="1580" spans="1:13">
      <c r="A1580" s="48">
        <f t="shared" si="24"/>
        <v>1579</v>
      </c>
      <c r="B1580" s="47" t="s">
        <v>4</v>
      </c>
      <c r="C1580" s="47" t="s">
        <v>7677</v>
      </c>
      <c r="D1580" s="47" t="s">
        <v>5746</v>
      </c>
      <c r="E1580" s="47"/>
      <c r="F1580" s="47" t="s">
        <v>5756</v>
      </c>
      <c r="G1580" s="47" t="s">
        <v>13</v>
      </c>
      <c r="H1580" s="47" t="str">
        <f>IFERROR(VLOOKUP(Table2[[#This Row], [Ticket]],Okey!A:B,2,0),"")</f>
        <v/>
      </c>
      <c r="I1580" s="47" t="s">
        <v>6455</v>
      </c>
      <c r="J1580" s="47" t="str">
        <f>VLOOKUP(Table2[[#This Row], [Author]],People!A:B,2,0)</f>
        <v>MGF</v>
      </c>
      <c r="K1580" s="47" t="s">
        <v>7858</v>
      </c>
      <c r="L1580" s="47"/>
      <c r="M1580" s="49" t="s">
        <v>4799</v>
      </c>
    </row>
    <row r="1581" spans="1:13">
      <c r="A1581" s="48">
        <f t="shared" si="24"/>
        <v>1580</v>
      </c>
      <c r="B1581" s="47" t="s">
        <v>4</v>
      </c>
      <c r="C1581" s="47" t="s">
        <v>7677</v>
      </c>
      <c r="D1581" s="47" t="s">
        <v>5748</v>
      </c>
      <c r="E1581" s="47"/>
      <c r="F1581" s="47" t="s">
        <v>5756</v>
      </c>
      <c r="G1581" s="47" t="s">
        <v>13</v>
      </c>
      <c r="H1581" s="47" t="str">
        <f>IFERROR(VLOOKUP(Table2[[#This Row], [Ticket]],Okey!A:B,2,0),"")</f>
        <v/>
      </c>
      <c r="I1581" s="47" t="s">
        <v>6455</v>
      </c>
      <c r="J1581" s="47" t="str">
        <f>VLOOKUP(Table2[[#This Row], [Author]],People!A:B,2,0)</f>
        <v>MGF</v>
      </c>
      <c r="K1581" s="47" t="s">
        <v>7858</v>
      </c>
      <c r="L1581" s="47"/>
      <c r="M1581" s="49" t="s">
        <v>4799</v>
      </c>
    </row>
    <row r="1582" spans="1:13">
      <c r="A1582" s="48">
        <f t="shared" si="24"/>
        <v>1581</v>
      </c>
      <c r="B1582" s="47" t="s">
        <v>4</v>
      </c>
      <c r="C1582" s="47" t="s">
        <v>7677</v>
      </c>
      <c r="D1582" s="47" t="s">
        <v>5765</v>
      </c>
      <c r="E1582" s="47"/>
      <c r="F1582" s="47" t="s">
        <v>5756</v>
      </c>
      <c r="G1582" s="47" t="s">
        <v>13</v>
      </c>
      <c r="H1582" s="47" t="str">
        <f>IFERROR(VLOOKUP(Table2[[#This Row], [Ticket]],Okey!A:B,2,0),"")</f>
        <v/>
      </c>
      <c r="I1582" s="47" t="s">
        <v>6455</v>
      </c>
      <c r="J1582" s="47" t="str">
        <f>VLOOKUP(Table2[[#This Row], [Author]],People!A:B,2,0)</f>
        <v>MGF</v>
      </c>
      <c r="K1582" s="47" t="s">
        <v>7858</v>
      </c>
      <c r="L1582" s="47"/>
      <c r="M1582" s="49" t="s">
        <v>4799</v>
      </c>
    </row>
    <row r="1583" spans="1:13">
      <c r="A1583" s="48">
        <f t="shared" si="24"/>
        <v>1582</v>
      </c>
      <c r="B1583" s="47" t="s">
        <v>4</v>
      </c>
      <c r="C1583" s="47" t="s">
        <v>7677</v>
      </c>
      <c r="D1583" s="47" t="s">
        <v>7708</v>
      </c>
      <c r="E1583" s="47"/>
      <c r="F1583" s="47" t="s">
        <v>7715</v>
      </c>
      <c r="G1583" s="47" t="s">
        <v>13</v>
      </c>
      <c r="H1583" s="47" t="str">
        <f>IFERROR(VLOOKUP(Table2[[#This Row], [Ticket]],Okey!A:B,2,0),"")</f>
        <v/>
      </c>
      <c r="I1583" s="47" t="s">
        <v>6455</v>
      </c>
      <c r="J1583" s="47" t="str">
        <f>VLOOKUP(Table2[[#This Row], [Author]],People!A:B,2,0)</f>
        <v>MGF</v>
      </c>
      <c r="K1583" s="47" t="s">
        <v>7858</v>
      </c>
      <c r="L1583" s="47"/>
      <c r="M1583" s="49" t="s">
        <v>4799</v>
      </c>
    </row>
    <row r="1584" spans="1:13">
      <c r="A1584" s="48">
        <f t="shared" si="24"/>
        <v>1583</v>
      </c>
      <c r="B1584" s="47" t="s">
        <v>4</v>
      </c>
      <c r="C1584" s="47" t="s">
        <v>7677</v>
      </c>
      <c r="D1584" s="47" t="s">
        <v>4035</v>
      </c>
      <c r="E1584" s="47"/>
      <c r="F1584" s="47" t="s">
        <v>4876</v>
      </c>
      <c r="G1584" s="47" t="s">
        <v>13</v>
      </c>
      <c r="H1584" s="47" t="str">
        <f>IFERROR(VLOOKUP(Table2[[#This Row], [Ticket]],Okey!A:B,2,0),"")</f>
        <v/>
      </c>
      <c r="I1584" s="47" t="s">
        <v>6455</v>
      </c>
      <c r="J1584" s="47" t="str">
        <f>VLOOKUP(Table2[[#This Row], [Author]],People!A:B,2,0)</f>
        <v>MGF</v>
      </c>
      <c r="K1584" s="47" t="s">
        <v>7858</v>
      </c>
      <c r="L1584" s="47"/>
      <c r="M1584" s="49" t="s">
        <v>4799</v>
      </c>
    </row>
    <row r="1585" spans="1:13">
      <c r="A1585" s="48">
        <f t="shared" si="24"/>
        <v>1584</v>
      </c>
      <c r="B1585" s="47" t="s">
        <v>4</v>
      </c>
      <c r="C1585" s="47" t="s">
        <v>7677</v>
      </c>
      <c r="D1585" s="47" t="s">
        <v>7709</v>
      </c>
      <c r="E1585" s="47"/>
      <c r="F1585" s="47" t="s">
        <v>3621</v>
      </c>
      <c r="G1585" s="47" t="s">
        <v>13</v>
      </c>
      <c r="H1585" s="47" t="str">
        <f>IFERROR(VLOOKUP(Table2[[#This Row], [Ticket]],Okey!A:B,2,0),"")</f>
        <v/>
      </c>
      <c r="I1585" s="47" t="s">
        <v>6455</v>
      </c>
      <c r="J1585" s="47" t="str">
        <f>VLOOKUP(Table2[[#This Row], [Author]],People!A:B,2,0)</f>
        <v>MGF</v>
      </c>
      <c r="K1585" s="47" t="s">
        <v>7858</v>
      </c>
      <c r="L1585" s="47"/>
      <c r="M1585" s="49" t="s">
        <v>4799</v>
      </c>
    </row>
    <row r="1586" spans="1:13">
      <c r="A1586" s="48">
        <f t="shared" si="24"/>
        <v>1585</v>
      </c>
      <c r="B1586" s="47" t="s">
        <v>4</v>
      </c>
      <c r="C1586" s="47" t="s">
        <v>7677</v>
      </c>
      <c r="D1586" s="47" t="s">
        <v>7710</v>
      </c>
      <c r="E1586" s="47"/>
      <c r="F1586" s="47" t="s">
        <v>4860</v>
      </c>
      <c r="G1586" s="47" t="s">
        <v>13</v>
      </c>
      <c r="H1586" s="47" t="str">
        <f>IFERROR(VLOOKUP(Table2[[#This Row], [Ticket]],Okey!A:B,2,0),"")</f>
        <v/>
      </c>
      <c r="I1586" s="47" t="s">
        <v>6455</v>
      </c>
      <c r="J1586" s="47" t="str">
        <f>VLOOKUP(Table2[[#This Row], [Author]],People!A:B,2,0)</f>
        <v>MGF</v>
      </c>
      <c r="K1586" s="47" t="s">
        <v>7858</v>
      </c>
      <c r="L1586" s="47"/>
      <c r="M1586" s="49" t="s">
        <v>4799</v>
      </c>
    </row>
    <row r="1587" spans="1:13">
      <c r="A1587" s="48">
        <f t="shared" si="24"/>
        <v>1586</v>
      </c>
      <c r="B1587" s="47" t="s">
        <v>4</v>
      </c>
      <c r="C1587" s="47" t="s">
        <v>7677</v>
      </c>
      <c r="D1587" s="47" t="s">
        <v>6004</v>
      </c>
      <c r="E1587" s="47"/>
      <c r="F1587" s="47" t="s">
        <v>4860</v>
      </c>
      <c r="G1587" s="47" t="s">
        <v>13</v>
      </c>
      <c r="H1587" s="47" t="str">
        <f>IFERROR(VLOOKUP(Table2[[#This Row], [Ticket]],Okey!A:B,2,0),"")</f>
        <v/>
      </c>
      <c r="I1587" s="47" t="s">
        <v>6455</v>
      </c>
      <c r="J1587" s="47" t="str">
        <f>VLOOKUP(Table2[[#This Row], [Author]],People!A:B,2,0)</f>
        <v>MGF</v>
      </c>
      <c r="K1587" s="47" t="s">
        <v>7858</v>
      </c>
      <c r="L1587" s="47"/>
      <c r="M1587" s="49" t="s">
        <v>4799</v>
      </c>
    </row>
    <row r="1588" spans="1:13">
      <c r="A1588" s="48">
        <f t="shared" si="24"/>
        <v>1587</v>
      </c>
      <c r="B1588" s="47" t="s">
        <v>4</v>
      </c>
      <c r="C1588" s="47" t="s">
        <v>7677</v>
      </c>
      <c r="D1588" s="47" t="s">
        <v>7711</v>
      </c>
      <c r="E1588" s="47"/>
      <c r="F1588" s="47" t="s">
        <v>4831</v>
      </c>
      <c r="G1588" s="47" t="s">
        <v>13</v>
      </c>
      <c r="H1588" s="47" t="str">
        <f>IFERROR(VLOOKUP(Table2[[#This Row], [Ticket]],Okey!A:B,2,0),"")</f>
        <v/>
      </c>
      <c r="I1588" s="47" t="s">
        <v>6455</v>
      </c>
      <c r="J1588" s="47" t="str">
        <f>VLOOKUP(Table2[[#This Row], [Author]],People!A:B,2,0)</f>
        <v>MGF</v>
      </c>
      <c r="K1588" s="47" t="s">
        <v>7858</v>
      </c>
      <c r="L1588" s="47"/>
      <c r="M1588" s="49" t="s">
        <v>4799</v>
      </c>
    </row>
    <row r="1589" spans="1:13">
      <c r="A1589" s="48">
        <f t="shared" si="24"/>
        <v>1588</v>
      </c>
      <c r="B1589" s="47" t="s">
        <v>4</v>
      </c>
      <c r="C1589" s="47" t="s">
        <v>7677</v>
      </c>
      <c r="D1589" s="47" t="s">
        <v>7712</v>
      </c>
      <c r="E1589" s="47"/>
      <c r="F1589" s="47" t="s">
        <v>7746</v>
      </c>
      <c r="G1589" s="47" t="s">
        <v>13</v>
      </c>
      <c r="H1589" s="47" t="str">
        <f>IFERROR(VLOOKUP(Table2[[#This Row], [Ticket]],Okey!A:B,2,0),"")</f>
        <v/>
      </c>
      <c r="I1589" s="47" t="s">
        <v>6455</v>
      </c>
      <c r="J1589" s="47" t="str">
        <f>VLOOKUP(Table2[[#This Row], [Author]],People!A:B,2,0)</f>
        <v>MGF</v>
      </c>
      <c r="K1589" s="47" t="s">
        <v>7858</v>
      </c>
      <c r="L1589" s="47"/>
      <c r="M1589" s="49" t="s">
        <v>4799</v>
      </c>
    </row>
    <row r="1590" spans="1:13">
      <c r="A1590" s="48">
        <f t="shared" si="24"/>
        <v>1589</v>
      </c>
      <c r="B1590" s="47" t="s">
        <v>4</v>
      </c>
      <c r="C1590" s="47" t="s">
        <v>7677</v>
      </c>
      <c r="D1590" s="47" t="s">
        <v>7713</v>
      </c>
      <c r="E1590" s="47"/>
      <c r="F1590" s="47" t="s">
        <v>7750</v>
      </c>
      <c r="G1590" s="47" t="s">
        <v>13</v>
      </c>
      <c r="H1590" s="47" t="str">
        <f>IFERROR(VLOOKUP(Table2[[#This Row], [Ticket]],Okey!A:B,2,0),"")</f>
        <v/>
      </c>
      <c r="I1590" s="47" t="s">
        <v>6455</v>
      </c>
      <c r="J1590" s="47" t="str">
        <f>VLOOKUP(Table2[[#This Row], [Author]],People!A:B,2,0)</f>
        <v>MGF</v>
      </c>
      <c r="K1590" s="47" t="s">
        <v>7858</v>
      </c>
      <c r="L1590" s="47"/>
      <c r="M1590" s="49" t="s">
        <v>4799</v>
      </c>
    </row>
    <row r="1591" spans="1:13">
      <c r="A1591" s="48">
        <f t="shared" si="24"/>
        <v>1590</v>
      </c>
      <c r="B1591" s="47" t="s">
        <v>4</v>
      </c>
      <c r="C1591" s="47" t="s">
        <v>7677</v>
      </c>
      <c r="D1591" s="47" t="s">
        <v>7714</v>
      </c>
      <c r="E1591" s="47"/>
      <c r="F1591" s="47" t="s">
        <v>7749</v>
      </c>
      <c r="G1591" s="47" t="s">
        <v>13</v>
      </c>
      <c r="H1591" s="47" t="str">
        <f>IFERROR(VLOOKUP(Table2[[#This Row], [Ticket]],Okey!A:B,2,0),"")</f>
        <v/>
      </c>
      <c r="I1591" s="47" t="s">
        <v>6455</v>
      </c>
      <c r="J1591" s="47" t="str">
        <f>VLOOKUP(Table2[[#This Row], [Author]],People!A:B,2,0)</f>
        <v>MGF</v>
      </c>
      <c r="K1591" s="47" t="s">
        <v>7858</v>
      </c>
      <c r="L1591" s="47"/>
      <c r="M1591" s="49" t="s">
        <v>4799</v>
      </c>
    </row>
    <row r="1592" spans="1:13">
      <c r="A1592" s="48">
        <f t="shared" si="24"/>
        <v>1591</v>
      </c>
      <c r="B1592" s="47" t="s">
        <v>4</v>
      </c>
      <c r="C1592" s="47" t="s">
        <v>7677</v>
      </c>
      <c r="D1592" s="47" t="s">
        <v>5997</v>
      </c>
      <c r="E1592" s="47"/>
      <c r="F1592" s="47" t="s">
        <v>7751</v>
      </c>
      <c r="G1592" s="47" t="s">
        <v>13</v>
      </c>
      <c r="H1592" s="47" t="str">
        <f>IFERROR(VLOOKUP(Table2[[#This Row], [Ticket]],Okey!A:B,2,0),"")</f>
        <v/>
      </c>
      <c r="I1592" s="47" t="s">
        <v>6455</v>
      </c>
      <c r="J1592" s="47" t="str">
        <f>VLOOKUP(Table2[[#This Row], [Author]],People!A:B,2,0)</f>
        <v>MGF</v>
      </c>
      <c r="K1592" s="47" t="s">
        <v>7858</v>
      </c>
      <c r="L1592" s="47"/>
      <c r="M1592" s="49" t="s">
        <v>4799</v>
      </c>
    </row>
    <row r="1593" spans="1:13">
      <c r="A1593" s="48">
        <f t="shared" si="24"/>
        <v>1592</v>
      </c>
      <c r="B1593" s="47" t="s">
        <v>4</v>
      </c>
      <c r="C1593" s="47" t="s">
        <v>7677</v>
      </c>
      <c r="D1593" s="47" t="s">
        <v>5999</v>
      </c>
      <c r="E1593" s="47"/>
      <c r="F1593" s="47" t="s">
        <v>7751</v>
      </c>
      <c r="G1593" s="47" t="s">
        <v>13</v>
      </c>
      <c r="H1593" s="47" t="str">
        <f>IFERROR(VLOOKUP(Table2[[#This Row], [Ticket]],Okey!A:B,2,0),"")</f>
        <v/>
      </c>
      <c r="I1593" s="47" t="s">
        <v>6455</v>
      </c>
      <c r="J1593" s="47" t="str">
        <f>VLOOKUP(Table2[[#This Row], [Author]],People!A:B,2,0)</f>
        <v>MGF</v>
      </c>
      <c r="K1593" s="47" t="s">
        <v>7858</v>
      </c>
      <c r="L1593" s="47"/>
      <c r="M1593" s="49" t="s">
        <v>4799</v>
      </c>
    </row>
    <row r="1594" spans="1:13">
      <c r="A1594" s="48">
        <f t="shared" si="24"/>
        <v>1593</v>
      </c>
      <c r="B1594" s="47" t="s">
        <v>4</v>
      </c>
      <c r="C1594" s="47" t="s">
        <v>7677</v>
      </c>
      <c r="D1594" s="47" t="s">
        <v>7716</v>
      </c>
      <c r="E1594" s="47"/>
      <c r="F1594" s="47" t="s">
        <v>5591</v>
      </c>
      <c r="G1594" s="47" t="s">
        <v>12</v>
      </c>
      <c r="H1594" s="47" t="str">
        <f>IFERROR(VLOOKUP(Table2[[#This Row], [Ticket]],Okey!A:B,2,0),"")</f>
        <v/>
      </c>
      <c r="I1594" s="47" t="s">
        <v>6455</v>
      </c>
      <c r="J1594" s="47" t="str">
        <f>VLOOKUP(Table2[[#This Row], [Author]],People!A:B,2,0)</f>
        <v>MGF</v>
      </c>
      <c r="K1594" s="47" t="s">
        <v>7858</v>
      </c>
      <c r="L1594" s="47"/>
      <c r="M1594" s="49" t="s">
        <v>4799</v>
      </c>
    </row>
    <row r="1595" spans="1:13">
      <c r="A1595" s="48">
        <f t="shared" si="24"/>
        <v>1594</v>
      </c>
      <c r="B1595" s="47" t="s">
        <v>4</v>
      </c>
      <c r="C1595" s="47" t="s">
        <v>7677</v>
      </c>
      <c r="D1595" s="47" t="s">
        <v>7717</v>
      </c>
      <c r="E1595" s="47"/>
      <c r="F1595" s="47" t="s">
        <v>5591</v>
      </c>
      <c r="G1595" s="47" t="s">
        <v>12</v>
      </c>
      <c r="H1595" s="47" t="str">
        <f>IFERROR(VLOOKUP(Table2[[#This Row], [Ticket]],Okey!A:B,2,0),"")</f>
        <v/>
      </c>
      <c r="I1595" s="47" t="s">
        <v>6455</v>
      </c>
      <c r="J1595" s="47" t="str">
        <f>VLOOKUP(Table2[[#This Row], [Author]],People!A:B,2,0)</f>
        <v>MGF</v>
      </c>
      <c r="K1595" s="47" t="s">
        <v>7858</v>
      </c>
      <c r="L1595" s="47"/>
      <c r="M1595" s="49" t="s">
        <v>4799</v>
      </c>
    </row>
    <row r="1596" spans="1:13">
      <c r="A1596" s="48">
        <f t="shared" si="24"/>
        <v>1595</v>
      </c>
      <c r="B1596" s="47" t="s">
        <v>4</v>
      </c>
      <c r="C1596" s="47" t="s">
        <v>7677</v>
      </c>
      <c r="D1596" s="47" t="s">
        <v>7718</v>
      </c>
      <c r="E1596" s="47"/>
      <c r="F1596" s="47" t="s">
        <v>5591</v>
      </c>
      <c r="G1596" s="47" t="s">
        <v>12</v>
      </c>
      <c r="H1596" s="47" t="str">
        <f>IFERROR(VLOOKUP(Table2[[#This Row], [Ticket]],Okey!A:B,2,0),"")</f>
        <v/>
      </c>
      <c r="I1596" s="47" t="s">
        <v>6455</v>
      </c>
      <c r="J1596" s="47" t="str">
        <f>VLOOKUP(Table2[[#This Row], [Author]],People!A:B,2,0)</f>
        <v>MGF</v>
      </c>
      <c r="K1596" s="47" t="s">
        <v>7858</v>
      </c>
      <c r="L1596" s="47"/>
      <c r="M1596" s="49" t="s">
        <v>4799</v>
      </c>
    </row>
    <row r="1597" spans="1:13">
      <c r="A1597" s="48">
        <f t="shared" si="24"/>
        <v>1596</v>
      </c>
      <c r="B1597" s="47" t="s">
        <v>4</v>
      </c>
      <c r="C1597" s="47" t="s">
        <v>7677</v>
      </c>
      <c r="D1597" s="47" t="s">
        <v>7719</v>
      </c>
      <c r="E1597" s="47"/>
      <c r="F1597" s="47" t="s">
        <v>5591</v>
      </c>
      <c r="G1597" s="47" t="s">
        <v>12</v>
      </c>
      <c r="H1597" s="47" t="str">
        <f>IFERROR(VLOOKUP(Table2[[#This Row], [Ticket]],Okey!A:B,2,0),"")</f>
        <v/>
      </c>
      <c r="I1597" s="47" t="s">
        <v>6455</v>
      </c>
      <c r="J1597" s="47" t="str">
        <f>VLOOKUP(Table2[[#This Row], [Author]],People!A:B,2,0)</f>
        <v>MGF</v>
      </c>
      <c r="K1597" s="47" t="s">
        <v>7858</v>
      </c>
      <c r="L1597" s="47"/>
      <c r="M1597" s="49" t="s">
        <v>4799</v>
      </c>
    </row>
    <row r="1598" spans="1:13">
      <c r="A1598" s="48">
        <f t="shared" si="24"/>
        <v>1597</v>
      </c>
      <c r="B1598" s="47" t="s">
        <v>4</v>
      </c>
      <c r="C1598" s="47" t="s">
        <v>7677</v>
      </c>
      <c r="D1598" s="47" t="s">
        <v>7720</v>
      </c>
      <c r="E1598" s="47"/>
      <c r="F1598" s="47" t="s">
        <v>5591</v>
      </c>
      <c r="G1598" s="47" t="s">
        <v>12</v>
      </c>
      <c r="H1598" s="47" t="str">
        <f>IFERROR(VLOOKUP(Table2[[#This Row], [Ticket]],Okey!A:B,2,0),"")</f>
        <v/>
      </c>
      <c r="I1598" s="47" t="s">
        <v>6455</v>
      </c>
      <c r="J1598" s="47" t="str">
        <f>VLOOKUP(Table2[[#This Row], [Author]],People!A:B,2,0)</f>
        <v>MGF</v>
      </c>
      <c r="K1598" s="47" t="s">
        <v>7858</v>
      </c>
      <c r="L1598" s="47"/>
      <c r="M1598" s="49" t="s">
        <v>4799</v>
      </c>
    </row>
    <row r="1599" spans="1:13">
      <c r="A1599" s="48">
        <f t="shared" si="24"/>
        <v>1598</v>
      </c>
      <c r="B1599" s="47" t="s">
        <v>4</v>
      </c>
      <c r="C1599" s="47" t="s">
        <v>7677</v>
      </c>
      <c r="D1599" s="47" t="s">
        <v>7721</v>
      </c>
      <c r="E1599" s="47"/>
      <c r="F1599" s="47" t="s">
        <v>5591</v>
      </c>
      <c r="G1599" s="47" t="s">
        <v>12</v>
      </c>
      <c r="H1599" s="47" t="str">
        <f>IFERROR(VLOOKUP(Table2[[#This Row], [Ticket]],Okey!A:B,2,0),"")</f>
        <v/>
      </c>
      <c r="I1599" s="47" t="s">
        <v>6455</v>
      </c>
      <c r="J1599" s="47" t="str">
        <f>VLOOKUP(Table2[[#This Row], [Author]],People!A:B,2,0)</f>
        <v>MGF</v>
      </c>
      <c r="K1599" s="47" t="s">
        <v>7858</v>
      </c>
      <c r="L1599" s="47"/>
      <c r="M1599" s="49" t="s">
        <v>4799</v>
      </c>
    </row>
    <row r="1600" spans="1:13">
      <c r="A1600" s="48">
        <f t="shared" si="24"/>
        <v>1599</v>
      </c>
      <c r="B1600" s="47" t="s">
        <v>4</v>
      </c>
      <c r="C1600" s="47" t="s">
        <v>7677</v>
      </c>
      <c r="D1600" s="47" t="s">
        <v>7722</v>
      </c>
      <c r="E1600" s="47"/>
      <c r="F1600" s="47" t="s">
        <v>5591</v>
      </c>
      <c r="G1600" s="47" t="s">
        <v>12</v>
      </c>
      <c r="H1600" s="47" t="str">
        <f>IFERROR(VLOOKUP(Table2[[#This Row], [Ticket]],Okey!A:B,2,0),"")</f>
        <v/>
      </c>
      <c r="I1600" s="47" t="s">
        <v>6455</v>
      </c>
      <c r="J1600" s="47" t="str">
        <f>VLOOKUP(Table2[[#This Row], [Author]],People!A:B,2,0)</f>
        <v>HC</v>
      </c>
      <c r="K1600" s="47" t="s">
        <v>7858</v>
      </c>
      <c r="L1600" s="47"/>
      <c r="M1600" s="49" t="s">
        <v>4799</v>
      </c>
    </row>
    <row r="1601" spans="1:13">
      <c r="A1601" s="48">
        <f t="shared" si="24"/>
        <v>1600</v>
      </c>
      <c r="B1601" s="47" t="s">
        <v>4</v>
      </c>
      <c r="C1601" s="47" t="s">
        <v>7677</v>
      </c>
      <c r="D1601" s="47" t="s">
        <v>7723</v>
      </c>
      <c r="E1601" s="47"/>
      <c r="F1601" s="47" t="s">
        <v>5591</v>
      </c>
      <c r="G1601" s="47" t="s">
        <v>12</v>
      </c>
      <c r="H1601" s="47" t="str">
        <f>IFERROR(VLOOKUP(Table2[[#This Row], [Ticket]],Okey!A:B,2,0),"")</f>
        <v/>
      </c>
      <c r="I1601" s="47" t="s">
        <v>6455</v>
      </c>
      <c r="J1601" s="47" t="str">
        <f>VLOOKUP(Table2[[#This Row], [Author]],People!A:B,2,0)</f>
        <v>HC</v>
      </c>
      <c r="K1601" s="47" t="s">
        <v>7858</v>
      </c>
      <c r="L1601" s="47"/>
      <c r="M1601" s="49" t="s">
        <v>4799</v>
      </c>
    </row>
    <row r="1602" spans="1:13">
      <c r="A1602" s="48">
        <f t="shared" si="24"/>
        <v>1601</v>
      </c>
      <c r="B1602" s="47" t="s">
        <v>4</v>
      </c>
      <c r="C1602" s="47" t="s">
        <v>7677</v>
      </c>
      <c r="D1602" s="47" t="s">
        <v>7724</v>
      </c>
      <c r="E1602" s="47"/>
      <c r="F1602" s="47" t="s">
        <v>5591</v>
      </c>
      <c r="G1602" s="47" t="s">
        <v>12</v>
      </c>
      <c r="H1602" s="47" t="str">
        <f>IFERROR(VLOOKUP(Table2[[#This Row], [Ticket]],Okey!A:B,2,0),"")</f>
        <v/>
      </c>
      <c r="I1602" s="47" t="s">
        <v>6455</v>
      </c>
      <c r="J1602" s="47" t="str">
        <f>VLOOKUP(Table2[[#This Row], [Author]],People!A:B,2,0)</f>
        <v>HC</v>
      </c>
      <c r="K1602" s="47" t="s">
        <v>7858</v>
      </c>
      <c r="L1602" s="47"/>
      <c r="M1602" s="49" t="s">
        <v>4799</v>
      </c>
    </row>
    <row r="1603" spans="1:13">
      <c r="A1603" s="48">
        <f t="shared" ref="A1603:A1666" si="25">1+A1602</f>
        <v>1602</v>
      </c>
      <c r="B1603" s="47" t="s">
        <v>4</v>
      </c>
      <c r="C1603" s="47" t="s">
        <v>7677</v>
      </c>
      <c r="D1603" s="47" t="s">
        <v>3989</v>
      </c>
      <c r="E1603" s="47"/>
      <c r="F1603" s="47" t="s">
        <v>5595</v>
      </c>
      <c r="G1603" s="47" t="s">
        <v>12</v>
      </c>
      <c r="H1603" s="47" t="str">
        <f>IFERROR(VLOOKUP(Table2[[#This Row], [Ticket]],Okey!A:B,2,0),"")</f>
        <v/>
      </c>
      <c r="I1603" s="47" t="s">
        <v>6455</v>
      </c>
      <c r="J1603" s="47" t="str">
        <f>VLOOKUP(Table2[[#This Row], [Author]],People!A:B,2,0)</f>
        <v>HC</v>
      </c>
      <c r="K1603" s="47" t="s">
        <v>7858</v>
      </c>
      <c r="L1603" s="47"/>
      <c r="M1603" s="49" t="s">
        <v>4799</v>
      </c>
    </row>
    <row r="1604" spans="1:13">
      <c r="A1604" s="48">
        <f t="shared" si="25"/>
        <v>1603</v>
      </c>
      <c r="B1604" s="47" t="s">
        <v>4</v>
      </c>
      <c r="C1604" s="47" t="s">
        <v>7677</v>
      </c>
      <c r="D1604" s="47" t="s">
        <v>3992</v>
      </c>
      <c r="E1604" s="47"/>
      <c r="F1604" s="47" t="s">
        <v>5595</v>
      </c>
      <c r="G1604" s="47" t="s">
        <v>12</v>
      </c>
      <c r="H1604" s="47" t="str">
        <f>IFERROR(VLOOKUP(Table2[[#This Row], [Ticket]],Okey!A:B,2,0),"")</f>
        <v/>
      </c>
      <c r="I1604" s="47" t="s">
        <v>6455</v>
      </c>
      <c r="J1604" s="47" t="str">
        <f>VLOOKUP(Table2[[#This Row], [Author]],People!A:B,2,0)</f>
        <v>HC</v>
      </c>
      <c r="K1604" s="47" t="s">
        <v>7858</v>
      </c>
      <c r="L1604" s="47"/>
      <c r="M1604" s="49" t="s">
        <v>4799</v>
      </c>
    </row>
    <row r="1605" spans="1:13">
      <c r="A1605" s="48">
        <f t="shared" si="25"/>
        <v>1604</v>
      </c>
      <c r="B1605" s="47" t="s">
        <v>4</v>
      </c>
      <c r="C1605" s="47" t="s">
        <v>7677</v>
      </c>
      <c r="D1605" s="47" t="s">
        <v>3556</v>
      </c>
      <c r="E1605" s="47"/>
      <c r="F1605" s="47" t="s">
        <v>5595</v>
      </c>
      <c r="G1605" s="47" t="s">
        <v>12</v>
      </c>
      <c r="H1605" s="47" t="str">
        <f>IFERROR(VLOOKUP(Table2[[#This Row], [Ticket]],Okey!A:B,2,0),"")</f>
        <v/>
      </c>
      <c r="I1605" s="47" t="s">
        <v>6455</v>
      </c>
      <c r="J1605" s="47" t="str">
        <f>VLOOKUP(Table2[[#This Row], [Author]],People!A:B,2,0)</f>
        <v>HC</v>
      </c>
      <c r="K1605" s="47" t="s">
        <v>7858</v>
      </c>
      <c r="L1605" s="47"/>
      <c r="M1605" s="49" t="s">
        <v>4799</v>
      </c>
    </row>
    <row r="1606" spans="1:13">
      <c r="A1606" s="48">
        <f t="shared" si="25"/>
        <v>1605</v>
      </c>
      <c r="B1606" s="47" t="s">
        <v>4</v>
      </c>
      <c r="C1606" s="47" t="s">
        <v>7677</v>
      </c>
      <c r="D1606" s="47" t="s">
        <v>7725</v>
      </c>
      <c r="E1606" s="47"/>
      <c r="F1606" s="47" t="s">
        <v>5595</v>
      </c>
      <c r="G1606" s="47" t="s">
        <v>12</v>
      </c>
      <c r="H1606" s="47" t="str">
        <f>IFERROR(VLOOKUP(Table2[[#This Row], [Ticket]],Okey!A:B,2,0),"")</f>
        <v/>
      </c>
      <c r="I1606" s="47" t="s">
        <v>6455</v>
      </c>
      <c r="J1606" s="47" t="str">
        <f>VLOOKUP(Table2[[#This Row], [Author]],People!A:B,2,0)</f>
        <v>HC</v>
      </c>
      <c r="K1606" s="47" t="s">
        <v>7858</v>
      </c>
      <c r="L1606" s="47"/>
      <c r="M1606" s="49" t="s">
        <v>4799</v>
      </c>
    </row>
    <row r="1607" spans="1:13">
      <c r="A1607" s="48">
        <f t="shared" si="25"/>
        <v>1606</v>
      </c>
      <c r="B1607" s="47" t="s">
        <v>4</v>
      </c>
      <c r="C1607" s="47" t="s">
        <v>7677</v>
      </c>
      <c r="D1607" s="47" t="s">
        <v>7726</v>
      </c>
      <c r="E1607" s="47"/>
      <c r="F1607" s="47" t="s">
        <v>5595</v>
      </c>
      <c r="G1607" s="47" t="s">
        <v>12</v>
      </c>
      <c r="H1607" s="47" t="str">
        <f>IFERROR(VLOOKUP(Table2[[#This Row], [Ticket]],Okey!A:B,2,0),"")</f>
        <v/>
      </c>
      <c r="I1607" s="47" t="s">
        <v>6455</v>
      </c>
      <c r="J1607" s="47" t="str">
        <f>VLOOKUP(Table2[[#This Row], [Author]],People!A:B,2,0)</f>
        <v>HC</v>
      </c>
      <c r="K1607" s="47" t="s">
        <v>7858</v>
      </c>
      <c r="L1607" s="47"/>
      <c r="M1607" s="49" t="s">
        <v>4799</v>
      </c>
    </row>
    <row r="1608" spans="1:13">
      <c r="A1608" s="48">
        <f t="shared" si="25"/>
        <v>1607</v>
      </c>
      <c r="B1608" s="47" t="s">
        <v>4</v>
      </c>
      <c r="C1608" s="47" t="s">
        <v>7677</v>
      </c>
      <c r="D1608" s="47" t="s">
        <v>7727</v>
      </c>
      <c r="E1608" s="47"/>
      <c r="F1608" s="47" t="s">
        <v>5595</v>
      </c>
      <c r="G1608" s="47" t="s">
        <v>12</v>
      </c>
      <c r="H1608" s="47" t="str">
        <f>IFERROR(VLOOKUP(Table2[[#This Row], [Ticket]],Okey!A:B,2,0),"")</f>
        <v/>
      </c>
      <c r="I1608" s="47" t="s">
        <v>6455</v>
      </c>
      <c r="J1608" s="47" t="str">
        <f>VLOOKUP(Table2[[#This Row], [Author]],People!A:B,2,0)</f>
        <v>HC</v>
      </c>
      <c r="K1608" s="47" t="s">
        <v>7858</v>
      </c>
      <c r="L1608" s="47"/>
      <c r="M1608" s="49" t="s">
        <v>4799</v>
      </c>
    </row>
    <row r="1609" spans="1:13">
      <c r="A1609" s="48">
        <f t="shared" si="25"/>
        <v>1608</v>
      </c>
      <c r="B1609" s="47" t="s">
        <v>4</v>
      </c>
      <c r="C1609" s="47" t="s">
        <v>7677</v>
      </c>
      <c r="D1609" s="47" t="s">
        <v>7728</v>
      </c>
      <c r="E1609" s="47"/>
      <c r="F1609" s="47" t="s">
        <v>5595</v>
      </c>
      <c r="G1609" s="47" t="s">
        <v>12</v>
      </c>
      <c r="H1609" s="47" t="str">
        <f>IFERROR(VLOOKUP(Table2[[#This Row], [Ticket]],Okey!A:B,2,0),"")</f>
        <v/>
      </c>
      <c r="I1609" s="47" t="s">
        <v>6455</v>
      </c>
      <c r="J1609" s="47" t="str">
        <f>VLOOKUP(Table2[[#This Row], [Author]],People!A:B,2,0)</f>
        <v>HC</v>
      </c>
      <c r="K1609" s="47" t="s">
        <v>7858</v>
      </c>
      <c r="L1609" s="47"/>
      <c r="M1609" s="49" t="s">
        <v>4799</v>
      </c>
    </row>
    <row r="1610" spans="1:13">
      <c r="A1610" s="48">
        <f t="shared" si="25"/>
        <v>1609</v>
      </c>
      <c r="B1610" s="47" t="s">
        <v>4</v>
      </c>
      <c r="C1610" s="47" t="s">
        <v>7677</v>
      </c>
      <c r="D1610" s="47" t="s">
        <v>7729</v>
      </c>
      <c r="E1610" s="47"/>
      <c r="F1610" s="47" t="s">
        <v>5595</v>
      </c>
      <c r="G1610" s="47" t="s">
        <v>12</v>
      </c>
      <c r="H1610" s="47" t="str">
        <f>IFERROR(VLOOKUP(Table2[[#This Row], [Ticket]],Okey!A:B,2,0),"")</f>
        <v/>
      </c>
      <c r="I1610" s="47" t="s">
        <v>6455</v>
      </c>
      <c r="J1610" s="47" t="str">
        <f>VLOOKUP(Table2[[#This Row], [Author]],People!A:B,2,0)</f>
        <v>HC</v>
      </c>
      <c r="K1610" s="47" t="s">
        <v>7858</v>
      </c>
      <c r="L1610" s="47"/>
      <c r="M1610" s="49" t="s">
        <v>4799</v>
      </c>
    </row>
    <row r="1611" spans="1:13">
      <c r="A1611" s="48">
        <f t="shared" si="25"/>
        <v>1610</v>
      </c>
      <c r="B1611" s="47" t="s">
        <v>4</v>
      </c>
      <c r="C1611" s="47" t="s">
        <v>7677</v>
      </c>
      <c r="D1611" s="47" t="s">
        <v>7730</v>
      </c>
      <c r="E1611" s="47"/>
      <c r="F1611" s="47" t="s">
        <v>5595</v>
      </c>
      <c r="G1611" s="47" t="s">
        <v>12</v>
      </c>
      <c r="H1611" s="47" t="str">
        <f>IFERROR(VLOOKUP(Table2[[#This Row], [Ticket]],Okey!A:B,2,0),"")</f>
        <v/>
      </c>
      <c r="I1611" s="47" t="s">
        <v>6455</v>
      </c>
      <c r="J1611" s="47" t="str">
        <f>VLOOKUP(Table2[[#This Row], [Author]],People!A:B,2,0)</f>
        <v>HC</v>
      </c>
      <c r="K1611" s="47" t="s">
        <v>7858</v>
      </c>
      <c r="L1611" s="47"/>
      <c r="M1611" s="49" t="s">
        <v>4799</v>
      </c>
    </row>
    <row r="1612" spans="1:13">
      <c r="A1612" s="48">
        <f t="shared" si="25"/>
        <v>1611</v>
      </c>
      <c r="B1612" s="47" t="s">
        <v>4</v>
      </c>
      <c r="C1612" s="47" t="s">
        <v>7677</v>
      </c>
      <c r="D1612" s="47" t="s">
        <v>7731</v>
      </c>
      <c r="E1612" s="47"/>
      <c r="F1612" s="47" t="s">
        <v>5595</v>
      </c>
      <c r="G1612" s="47" t="s">
        <v>12</v>
      </c>
      <c r="H1612" s="47" t="str">
        <f>IFERROR(VLOOKUP(Table2[[#This Row], [Ticket]],Okey!A:B,2,0),"")</f>
        <v/>
      </c>
      <c r="I1612" s="47" t="s">
        <v>6455</v>
      </c>
      <c r="J1612" s="47" t="str">
        <f>VLOOKUP(Table2[[#This Row], [Author]],People!A:B,2,0)</f>
        <v>HC</v>
      </c>
      <c r="K1612" s="47" t="s">
        <v>7858</v>
      </c>
      <c r="L1612" s="47"/>
      <c r="M1612" s="49" t="s">
        <v>4799</v>
      </c>
    </row>
    <row r="1613" spans="1:13">
      <c r="A1613" s="48">
        <f t="shared" si="25"/>
        <v>1612</v>
      </c>
      <c r="B1613" s="47" t="s">
        <v>4</v>
      </c>
      <c r="C1613" s="47" t="s">
        <v>7677</v>
      </c>
      <c r="D1613" s="47" t="s">
        <v>7732</v>
      </c>
      <c r="E1613" s="47"/>
      <c r="F1613" s="47" t="s">
        <v>5595</v>
      </c>
      <c r="G1613" s="47" t="s">
        <v>12</v>
      </c>
      <c r="H1613" s="47" t="str">
        <f>IFERROR(VLOOKUP(Table2[[#This Row], [Ticket]],Okey!A:B,2,0),"")</f>
        <v/>
      </c>
      <c r="I1613" s="47" t="s">
        <v>6455</v>
      </c>
      <c r="J1613" s="47" t="str">
        <f>VLOOKUP(Table2[[#This Row], [Author]],People!A:B,2,0)</f>
        <v>HC</v>
      </c>
      <c r="K1613" s="47" t="s">
        <v>7858</v>
      </c>
      <c r="L1613" s="47"/>
      <c r="M1613" s="49" t="s">
        <v>4799</v>
      </c>
    </row>
    <row r="1614" spans="1:13">
      <c r="A1614" s="48">
        <f t="shared" si="25"/>
        <v>1613</v>
      </c>
      <c r="B1614" s="47" t="s">
        <v>4</v>
      </c>
      <c r="C1614" s="47" t="s">
        <v>7677</v>
      </c>
      <c r="D1614" s="47" t="s">
        <v>7733</v>
      </c>
      <c r="E1614" s="47"/>
      <c r="F1614" s="47" t="s">
        <v>5595</v>
      </c>
      <c r="G1614" s="47" t="s">
        <v>12</v>
      </c>
      <c r="H1614" s="47" t="str">
        <f>IFERROR(VLOOKUP(Table2[[#This Row], [Ticket]],Okey!A:B,2,0),"")</f>
        <v/>
      </c>
      <c r="I1614" s="47" t="s">
        <v>6455</v>
      </c>
      <c r="J1614" s="47" t="str">
        <f>VLOOKUP(Table2[[#This Row], [Author]],People!A:B,2,0)</f>
        <v>HC</v>
      </c>
      <c r="K1614" s="47" t="s">
        <v>7858</v>
      </c>
      <c r="L1614" s="47"/>
      <c r="M1614" s="49" t="s">
        <v>4799</v>
      </c>
    </row>
    <row r="1615" spans="1:13">
      <c r="A1615" s="48">
        <f t="shared" si="25"/>
        <v>1614</v>
      </c>
      <c r="B1615" s="47" t="s">
        <v>4</v>
      </c>
      <c r="C1615" s="47" t="s">
        <v>7677</v>
      </c>
      <c r="D1615" s="47" t="s">
        <v>7734</v>
      </c>
      <c r="E1615" s="47"/>
      <c r="F1615" s="47" t="s">
        <v>5595</v>
      </c>
      <c r="G1615" s="47" t="s">
        <v>12</v>
      </c>
      <c r="H1615" s="47" t="str">
        <f>IFERROR(VLOOKUP(Table2[[#This Row], [Ticket]],Okey!A:B,2,0),"")</f>
        <v/>
      </c>
      <c r="I1615" s="47" t="s">
        <v>6455</v>
      </c>
      <c r="J1615" s="47" t="str">
        <f>VLOOKUP(Table2[[#This Row], [Author]],People!A:B,2,0)</f>
        <v>HC</v>
      </c>
      <c r="K1615" s="47" t="s">
        <v>7858</v>
      </c>
      <c r="L1615" s="47"/>
      <c r="M1615" s="49" t="s">
        <v>4799</v>
      </c>
    </row>
    <row r="1616" spans="1:13">
      <c r="A1616" s="48">
        <f t="shared" si="25"/>
        <v>1615</v>
      </c>
      <c r="B1616" s="47" t="s">
        <v>4</v>
      </c>
      <c r="C1616" s="47" t="s">
        <v>7677</v>
      </c>
      <c r="D1616" s="47" t="s">
        <v>7735</v>
      </c>
      <c r="E1616" s="47"/>
      <c r="F1616" s="47" t="s">
        <v>5595</v>
      </c>
      <c r="G1616" s="47" t="s">
        <v>12</v>
      </c>
      <c r="H1616" s="47" t="str">
        <f>IFERROR(VLOOKUP(Table2[[#This Row], [Ticket]],Okey!A:B,2,0),"")</f>
        <v/>
      </c>
      <c r="I1616" s="47" t="s">
        <v>6455</v>
      </c>
      <c r="J1616" s="47" t="str">
        <f>VLOOKUP(Table2[[#This Row], [Author]],People!A:B,2,0)</f>
        <v>HC</v>
      </c>
      <c r="K1616" s="47" t="s">
        <v>7858</v>
      </c>
      <c r="L1616" s="47"/>
      <c r="M1616" s="49" t="s">
        <v>4799</v>
      </c>
    </row>
    <row r="1617" spans="1:13">
      <c r="A1617" s="48">
        <f t="shared" si="25"/>
        <v>1616</v>
      </c>
      <c r="B1617" s="47" t="s">
        <v>4</v>
      </c>
      <c r="C1617" s="47" t="s">
        <v>7677</v>
      </c>
      <c r="D1617" s="47" t="s">
        <v>7736</v>
      </c>
      <c r="E1617" s="47"/>
      <c r="F1617" s="47" t="s">
        <v>5595</v>
      </c>
      <c r="G1617" s="47" t="s">
        <v>12</v>
      </c>
      <c r="H1617" s="47" t="str">
        <f>IFERROR(VLOOKUP(Table2[[#This Row], [Ticket]],Okey!A:B,2,0),"")</f>
        <v/>
      </c>
      <c r="I1617" s="47" t="s">
        <v>6455</v>
      </c>
      <c r="J1617" s="47" t="str">
        <f>VLOOKUP(Table2[[#This Row], [Author]],People!A:B,2,0)</f>
        <v>HC</v>
      </c>
      <c r="K1617" s="47" t="s">
        <v>7858</v>
      </c>
      <c r="L1617" s="47"/>
      <c r="M1617" s="49" t="s">
        <v>4799</v>
      </c>
    </row>
    <row r="1618" spans="1:13">
      <c r="A1618" s="48">
        <f t="shared" si="25"/>
        <v>1617</v>
      </c>
      <c r="B1618" s="47" t="s">
        <v>4</v>
      </c>
      <c r="C1618" s="47" t="s">
        <v>7677</v>
      </c>
      <c r="D1618" s="47" t="s">
        <v>3478</v>
      </c>
      <c r="E1618" s="47"/>
      <c r="F1618" s="47" t="s">
        <v>5595</v>
      </c>
      <c r="G1618" s="47" t="s">
        <v>12</v>
      </c>
      <c r="H1618" s="47" t="str">
        <f>IFERROR(VLOOKUP(Table2[[#This Row], [Ticket]],Okey!A:B,2,0),"")</f>
        <v/>
      </c>
      <c r="I1618" s="47" t="s">
        <v>6455</v>
      </c>
      <c r="J1618" s="47" t="str">
        <f>VLOOKUP(Table2[[#This Row], [Author]],People!A:B,2,0)</f>
        <v>HC</v>
      </c>
      <c r="K1618" s="47" t="s">
        <v>7858</v>
      </c>
      <c r="L1618" s="47"/>
      <c r="M1618" s="49" t="s">
        <v>4799</v>
      </c>
    </row>
    <row r="1619" spans="1:13">
      <c r="A1619" s="48">
        <f t="shared" si="25"/>
        <v>1618</v>
      </c>
      <c r="B1619" s="47" t="s">
        <v>4</v>
      </c>
      <c r="C1619" s="47" t="s">
        <v>7677</v>
      </c>
      <c r="D1619" s="47" t="s">
        <v>3480</v>
      </c>
      <c r="E1619" s="47"/>
      <c r="F1619" s="47" t="s">
        <v>5595</v>
      </c>
      <c r="G1619" s="47" t="s">
        <v>12</v>
      </c>
      <c r="H1619" s="47" t="str">
        <f>IFERROR(VLOOKUP(Table2[[#This Row], [Ticket]],Okey!A:B,2,0),"")</f>
        <v/>
      </c>
      <c r="I1619" s="47" t="s">
        <v>6455</v>
      </c>
      <c r="J1619" s="47" t="e">
        <f>VLOOKUP(Table2[[#This Row], [Author]],People!A:B,2,0)</f>
        <v>#VALUE!</v>
      </c>
      <c r="K1619" s="47" t="s">
        <v>7858</v>
      </c>
      <c r="L1619" s="47"/>
      <c r="M1619" s="49" t="s">
        <v>4799</v>
      </c>
    </row>
    <row r="1620" spans="1:13">
      <c r="A1620" s="48">
        <f t="shared" si="25"/>
        <v>1619</v>
      </c>
      <c r="B1620" s="47" t="s">
        <v>4</v>
      </c>
      <c r="C1620" s="47" t="s">
        <v>7677</v>
      </c>
      <c r="D1620" s="47" t="s">
        <v>3481</v>
      </c>
      <c r="E1620" s="47"/>
      <c r="F1620" s="47" t="s">
        <v>5595</v>
      </c>
      <c r="G1620" s="47" t="s">
        <v>12</v>
      </c>
      <c r="H1620" s="47" t="str">
        <f>IFERROR(VLOOKUP(Table2[[#This Row], [Ticket]],Okey!A:B,2,0),"")</f>
        <v/>
      </c>
      <c r="I1620" s="47" t="s">
        <v>6455</v>
      </c>
      <c r="J1620" s="47" t="e">
        <f>VLOOKUP(Table2[[#This Row], [Author]],People!A:B,2,0)</f>
        <v>#VALUE!</v>
      </c>
      <c r="K1620" s="47" t="s">
        <v>7858</v>
      </c>
      <c r="L1620" s="47"/>
      <c r="M1620" s="49" t="s">
        <v>4799</v>
      </c>
    </row>
    <row r="1621" spans="1:13" ht="30">
      <c r="A1621" s="48">
        <f t="shared" si="25"/>
        <v>1620</v>
      </c>
      <c r="B1621" s="47" t="s">
        <v>4</v>
      </c>
      <c r="C1621" s="47" t="s">
        <v>7752</v>
      </c>
      <c r="D1621" s="56" t="s">
        <v>7753</v>
      </c>
      <c r="E1621" s="47" t="s">
        <v>6345</v>
      </c>
      <c r="F1621" s="47" t="s">
        <v>6344</v>
      </c>
      <c r="G1621" s="47" t="s">
        <v>14</v>
      </c>
      <c r="H1621" s="47" t="str">
        <f>IFERROR(VLOOKUP(Table2[[#This Row], [Ticket]],Okey!A:B,2,0),"")</f>
        <v/>
      </c>
      <c r="I1621" s="47" t="s">
        <v>6455</v>
      </c>
      <c r="J1621" s="47" t="e">
        <f>VLOOKUP(Table2[[#This Row], [Author]],People!A:B,2,0)</f>
        <v>#VALUE!</v>
      </c>
      <c r="K1621" s="47" t="s">
        <v>7857</v>
      </c>
      <c r="L1621" s="47" t="e">
        <f>VLOOKUP(Table2[[#This Row],[Node]],#REF!,2,0)</f>
        <v>#VALUE!</v>
      </c>
      <c r="M1621" s="49" t="s">
        <v>6354</v>
      </c>
    </row>
    <row r="1622" spans="1:13">
      <c r="A1622" s="48">
        <f t="shared" si="25"/>
        <v>1621</v>
      </c>
      <c r="B1622" s="47" t="s">
        <v>4</v>
      </c>
      <c r="C1622" s="47" t="s">
        <v>7754</v>
      </c>
      <c r="D1622" s="47" t="s">
        <v>7810</v>
      </c>
      <c r="E1622" s="47" t="s">
        <v>7755</v>
      </c>
      <c r="F1622" s="47" t="s">
        <v>2433</v>
      </c>
      <c r="G1622" s="47" t="s">
        <v>14</v>
      </c>
      <c r="H1622" s="47" t="str">
        <f>IFERROR(VLOOKUP(Table2[[#This Row], [Ticket]],Okey!A:B,2,0),"")</f>
        <v/>
      </c>
      <c r="I1622" s="47" t="s">
        <v>6455</v>
      </c>
      <c r="J1622" s="47" t="e">
        <f>VLOOKUP(Table2[[#This Row], [Author]],People!A:B,2,0)</f>
        <v>#VALUE!</v>
      </c>
      <c r="K1622" s="47" t="s">
        <v>7857</v>
      </c>
      <c r="L1622" s="47" t="e">
        <f>VLOOKUP(Table2[[#This Row],[Node]],#REF!,2,0)</f>
        <v>#VALUE!</v>
      </c>
      <c r="M1622" s="49" t="s">
        <v>6110</v>
      </c>
    </row>
    <row r="1623" spans="1:13">
      <c r="A1623" s="48">
        <f t="shared" si="25"/>
        <v>1622</v>
      </c>
      <c r="B1623" s="47" t="s">
        <v>4</v>
      </c>
      <c r="C1623" s="47" t="s">
        <v>7754</v>
      </c>
      <c r="D1623" s="47" t="s">
        <v>7811</v>
      </c>
      <c r="E1623" s="47" t="s">
        <v>7756</v>
      </c>
      <c r="F1623" s="47" t="s">
        <v>2740</v>
      </c>
      <c r="G1623" s="47" t="s">
        <v>14</v>
      </c>
      <c r="H1623" s="47" t="str">
        <f>IFERROR(VLOOKUP(Table2[[#This Row], [Ticket]],Okey!A:B,2,0),"")</f>
        <v/>
      </c>
      <c r="I1623" s="47" t="s">
        <v>6455</v>
      </c>
      <c r="J1623" s="47" t="e">
        <f>VLOOKUP(Table2[[#This Row], [Author]],People!A:B,2,0)</f>
        <v>#VALUE!</v>
      </c>
      <c r="K1623" s="47" t="s">
        <v>7857</v>
      </c>
      <c r="L1623" s="47" t="e">
        <f>VLOOKUP(Table2[[#This Row],[Node]],#REF!,2,0)</f>
        <v>#VALUE!</v>
      </c>
      <c r="M1623" s="49" t="s">
        <v>6110</v>
      </c>
    </row>
    <row r="1624" spans="1:13">
      <c r="A1624" s="48">
        <f t="shared" si="25"/>
        <v>1623</v>
      </c>
      <c r="B1624" s="47" t="s">
        <v>4</v>
      </c>
      <c r="C1624" s="47" t="s">
        <v>7754</v>
      </c>
      <c r="D1624" s="47" t="s">
        <v>7812</v>
      </c>
      <c r="E1624" s="47" t="s">
        <v>7757</v>
      </c>
      <c r="F1624" s="47" t="s">
        <v>2684</v>
      </c>
      <c r="G1624" s="47" t="s">
        <v>14</v>
      </c>
      <c r="H1624" s="47" t="str">
        <f>IFERROR(VLOOKUP(Table2[[#This Row], [Ticket]],Okey!A:B,2,0),"")</f>
        <v/>
      </c>
      <c r="I1624" s="47" t="s">
        <v>6455</v>
      </c>
      <c r="J1624" s="47" t="e">
        <f>VLOOKUP(Table2[[#This Row], [Author]],People!A:B,2,0)</f>
        <v>#VALUE!</v>
      </c>
      <c r="K1624" s="47" t="s">
        <v>7857</v>
      </c>
      <c r="L1624" s="47" t="e">
        <f>VLOOKUP(Table2[[#This Row],[Node]],#REF!,2,0)</f>
        <v>#VALUE!</v>
      </c>
      <c r="M1624" s="49" t="s">
        <v>6110</v>
      </c>
    </row>
    <row r="1625" spans="1:13">
      <c r="A1625" s="48">
        <f t="shared" si="25"/>
        <v>1624</v>
      </c>
      <c r="B1625" s="47" t="s">
        <v>4</v>
      </c>
      <c r="C1625" s="47" t="s">
        <v>7754</v>
      </c>
      <c r="D1625" s="47" t="s">
        <v>7813</v>
      </c>
      <c r="E1625" s="47" t="s">
        <v>7758</v>
      </c>
      <c r="F1625" s="47" t="s">
        <v>2684</v>
      </c>
      <c r="G1625" s="47" t="s">
        <v>14</v>
      </c>
      <c r="H1625" s="47" t="str">
        <f>IFERROR(VLOOKUP(Table2[[#This Row], [Ticket]],Okey!A:B,2,0),"")</f>
        <v/>
      </c>
      <c r="I1625" s="47" t="s">
        <v>6455</v>
      </c>
      <c r="J1625" s="47" t="e">
        <f>VLOOKUP(Table2[[#This Row], [Author]],People!A:B,2,0)</f>
        <v>#VALUE!</v>
      </c>
      <c r="K1625" s="47" t="s">
        <v>7857</v>
      </c>
      <c r="L1625" s="47" t="e">
        <f>VLOOKUP(Table2[[#This Row],[Node]],#REF!,2,0)</f>
        <v>#VALUE!</v>
      </c>
      <c r="M1625" s="49" t="s">
        <v>6110</v>
      </c>
    </row>
    <row r="1626" spans="1:13">
      <c r="A1626" s="48">
        <f t="shared" si="25"/>
        <v>1625</v>
      </c>
      <c r="B1626" s="47" t="s">
        <v>4</v>
      </c>
      <c r="C1626" s="47" t="s">
        <v>7754</v>
      </c>
      <c r="D1626" s="47" t="s">
        <v>7814</v>
      </c>
      <c r="E1626" s="47" t="s">
        <v>7759</v>
      </c>
      <c r="F1626" s="47" t="s">
        <v>2742</v>
      </c>
      <c r="G1626" s="47" t="s">
        <v>14</v>
      </c>
      <c r="H1626" s="47" t="str">
        <f>IFERROR(VLOOKUP(Table2[[#This Row], [Ticket]],Okey!A:B,2,0),"")</f>
        <v/>
      </c>
      <c r="I1626" s="47" t="s">
        <v>6455</v>
      </c>
      <c r="J1626" s="47" t="e">
        <f>VLOOKUP(Table2[[#This Row], [Author]],People!A:B,2,0)</f>
        <v>#VALUE!</v>
      </c>
      <c r="K1626" s="47" t="s">
        <v>7857</v>
      </c>
      <c r="L1626" s="47" t="e">
        <f>VLOOKUP(Table2[[#This Row],[Node]],#REF!,2,0)</f>
        <v>#VALUE!</v>
      </c>
      <c r="M1626" s="49" t="s">
        <v>6110</v>
      </c>
    </row>
    <row r="1627" spans="1:13">
      <c r="A1627" s="48">
        <f t="shared" si="25"/>
        <v>1626</v>
      </c>
      <c r="B1627" s="47" t="s">
        <v>4</v>
      </c>
      <c r="C1627" s="47" t="s">
        <v>7754</v>
      </c>
      <c r="D1627" s="47" t="s">
        <v>7815</v>
      </c>
      <c r="E1627" s="47" t="s">
        <v>7760</v>
      </c>
      <c r="F1627" s="47" t="s">
        <v>7761</v>
      </c>
      <c r="G1627" s="47" t="s">
        <v>14</v>
      </c>
      <c r="H1627" s="47" t="str">
        <f>IFERROR(VLOOKUP(Table2[[#This Row], [Ticket]],Okey!A:B,2,0),"")</f>
        <v/>
      </c>
      <c r="I1627" s="47" t="s">
        <v>6455</v>
      </c>
      <c r="J1627" s="47" t="e">
        <f>VLOOKUP(Table2[[#This Row], [Author]],People!A:B,2,0)</f>
        <v>#VALUE!</v>
      </c>
      <c r="K1627" s="47" t="s">
        <v>7857</v>
      </c>
      <c r="L1627" s="47" t="e">
        <f>VLOOKUP(Table2[[#This Row],[Node]],#REF!,2,0)</f>
        <v>#VALUE!</v>
      </c>
      <c r="M1627" s="49" t="s">
        <v>6110</v>
      </c>
    </row>
    <row r="1628" spans="1:13">
      <c r="A1628" s="48">
        <f t="shared" si="25"/>
        <v>1627</v>
      </c>
      <c r="B1628" s="47" t="s">
        <v>4</v>
      </c>
      <c r="C1628" s="47" t="s">
        <v>7754</v>
      </c>
      <c r="D1628" s="47" t="s">
        <v>7816</v>
      </c>
      <c r="E1628" s="47" t="s">
        <v>7762</v>
      </c>
      <c r="F1628" s="47" t="s">
        <v>4618</v>
      </c>
      <c r="G1628" s="47" t="s">
        <v>14</v>
      </c>
      <c r="H1628" s="47" t="str">
        <f>IFERROR(VLOOKUP(Table2[[#This Row], [Ticket]],Okey!A:B,2,0),"")</f>
        <v/>
      </c>
      <c r="I1628" s="47" t="s">
        <v>6455</v>
      </c>
      <c r="J1628" s="47" t="e">
        <f>VLOOKUP(Table2[[#This Row], [Author]],People!A:B,2,0)</f>
        <v>#VALUE!</v>
      </c>
      <c r="K1628" s="47" t="s">
        <v>7857</v>
      </c>
      <c r="L1628" s="47" t="e">
        <f>VLOOKUP(Table2[[#This Row],[Node]],#REF!,2,0)</f>
        <v>#VALUE!</v>
      </c>
      <c r="M1628" s="49" t="s">
        <v>6110</v>
      </c>
    </row>
    <row r="1629" spans="1:13">
      <c r="A1629" s="48">
        <f t="shared" si="25"/>
        <v>1628</v>
      </c>
      <c r="B1629" s="47" t="s">
        <v>4</v>
      </c>
      <c r="C1629" s="47" t="s">
        <v>7754</v>
      </c>
      <c r="D1629" s="47" t="s">
        <v>7817</v>
      </c>
      <c r="E1629" s="47" t="s">
        <v>7763</v>
      </c>
      <c r="F1629" s="47" t="s">
        <v>2742</v>
      </c>
      <c r="G1629" s="47" t="s">
        <v>14</v>
      </c>
      <c r="H1629" s="47" t="str">
        <f>IFERROR(VLOOKUP(Table2[[#This Row], [Ticket]],Okey!A:B,2,0),"")</f>
        <v/>
      </c>
      <c r="I1629" s="47" t="s">
        <v>6455</v>
      </c>
      <c r="J1629" s="47" t="e">
        <f>VLOOKUP(Table2[[#This Row], [Author]],People!A:B,2,0)</f>
        <v>#VALUE!</v>
      </c>
      <c r="K1629" s="47" t="s">
        <v>7857</v>
      </c>
      <c r="L1629" s="47" t="e">
        <f>VLOOKUP(Table2[[#This Row],[Node]],#REF!,2,0)</f>
        <v>#VALUE!</v>
      </c>
      <c r="M1629" s="49" t="s">
        <v>6110</v>
      </c>
    </row>
    <row r="1630" spans="1:13">
      <c r="A1630" s="48">
        <f t="shared" si="25"/>
        <v>1629</v>
      </c>
      <c r="B1630" s="47" t="s">
        <v>4</v>
      </c>
      <c r="C1630" s="47" t="s">
        <v>7754</v>
      </c>
      <c r="D1630" s="47" t="s">
        <v>7818</v>
      </c>
      <c r="E1630" s="47" t="s">
        <v>7764</v>
      </c>
      <c r="F1630" s="47" t="s">
        <v>5308</v>
      </c>
      <c r="G1630" s="47" t="s">
        <v>14</v>
      </c>
      <c r="H1630" s="47" t="str">
        <f>IFERROR(VLOOKUP(Table2[[#This Row], [Ticket]],Okey!A:B,2,0),"")</f>
        <v/>
      </c>
      <c r="I1630" s="47" t="s">
        <v>6455</v>
      </c>
      <c r="J1630" s="47" t="e">
        <f>VLOOKUP(Table2[[#This Row], [Author]],People!A:B,2,0)</f>
        <v>#VALUE!</v>
      </c>
      <c r="K1630" s="47" t="s">
        <v>7857</v>
      </c>
      <c r="L1630" s="47" t="e">
        <f>VLOOKUP(Table2[[#This Row],[Node]],#REF!,2,0)</f>
        <v>#VALUE!</v>
      </c>
      <c r="M1630" s="49" t="s">
        <v>6110</v>
      </c>
    </row>
    <row r="1631" spans="1:13">
      <c r="A1631" s="48">
        <f t="shared" si="25"/>
        <v>1630</v>
      </c>
      <c r="B1631" s="47" t="s">
        <v>4</v>
      </c>
      <c r="C1631" s="47" t="s">
        <v>7754</v>
      </c>
      <c r="D1631" s="47" t="s">
        <v>7819</v>
      </c>
      <c r="E1631" s="47" t="s">
        <v>7765</v>
      </c>
      <c r="F1631" s="47" t="s">
        <v>4628</v>
      </c>
      <c r="G1631" s="47" t="s">
        <v>14</v>
      </c>
      <c r="H1631" s="47" t="str">
        <f>IFERROR(VLOOKUP(Table2[[#This Row], [Ticket]],Okey!A:B,2,0),"")</f>
        <v/>
      </c>
      <c r="I1631" s="47" t="s">
        <v>6455</v>
      </c>
      <c r="J1631" s="47" t="e">
        <f>VLOOKUP(Table2[[#This Row], [Author]],People!A:B,2,0)</f>
        <v>#VALUE!</v>
      </c>
      <c r="K1631" s="47" t="s">
        <v>7857</v>
      </c>
      <c r="L1631" s="47" t="e">
        <f>VLOOKUP(Table2[[#This Row],[Node]],#REF!,2,0)</f>
        <v>#VALUE!</v>
      </c>
      <c r="M1631" s="49" t="s">
        <v>6110</v>
      </c>
    </row>
    <row r="1632" spans="1:13">
      <c r="A1632" s="48">
        <f t="shared" si="25"/>
        <v>1631</v>
      </c>
      <c r="B1632" s="47" t="s">
        <v>4</v>
      </c>
      <c r="C1632" s="47" t="s">
        <v>7754</v>
      </c>
      <c r="D1632" s="47" t="s">
        <v>7820</v>
      </c>
      <c r="E1632" s="47" t="s">
        <v>7766</v>
      </c>
      <c r="F1632" s="47" t="s">
        <v>4628</v>
      </c>
      <c r="G1632" s="47" t="s">
        <v>14</v>
      </c>
      <c r="H1632" s="47" t="str">
        <f>IFERROR(VLOOKUP(Table2[[#This Row], [Ticket]],Okey!A:B,2,0),"")</f>
        <v/>
      </c>
      <c r="I1632" s="47" t="s">
        <v>6455</v>
      </c>
      <c r="J1632" s="47" t="e">
        <f>VLOOKUP(Table2[[#This Row], [Author]],People!A:B,2,0)</f>
        <v>#VALUE!</v>
      </c>
      <c r="K1632" s="47" t="s">
        <v>7857</v>
      </c>
      <c r="L1632" s="47" t="e">
        <f>VLOOKUP(Table2[[#This Row],[Node]],#REF!,2,0)</f>
        <v>#VALUE!</v>
      </c>
      <c r="M1632" s="49" t="s">
        <v>6110</v>
      </c>
    </row>
    <row r="1633" spans="1:13">
      <c r="A1633" s="48">
        <f t="shared" si="25"/>
        <v>1632</v>
      </c>
      <c r="B1633" s="47" t="s">
        <v>4</v>
      </c>
      <c r="C1633" s="47" t="s">
        <v>7754</v>
      </c>
      <c r="D1633" s="47" t="s">
        <v>7821</v>
      </c>
      <c r="E1633" s="47" t="s">
        <v>7767</v>
      </c>
      <c r="F1633" s="47" t="s">
        <v>7820</v>
      </c>
      <c r="G1633" s="47" t="s">
        <v>14</v>
      </c>
      <c r="H1633" s="47" t="str">
        <f>IFERROR(VLOOKUP(Table2[[#This Row], [Ticket]],Okey!A:B,2,0),"")</f>
        <v/>
      </c>
      <c r="I1633" s="47" t="s">
        <v>6455</v>
      </c>
      <c r="J1633" s="47" t="e">
        <f>VLOOKUP(Table2[[#This Row], [Author]],People!A:B,2,0)</f>
        <v>#VALUE!</v>
      </c>
      <c r="K1633" s="47" t="s">
        <v>7857</v>
      </c>
      <c r="L1633" s="47" t="e">
        <f>VLOOKUP(Table2[[#This Row],[Node]],#REF!,2,0)</f>
        <v>#VALUE!</v>
      </c>
      <c r="M1633" s="49" t="s">
        <v>6110</v>
      </c>
    </row>
    <row r="1634" spans="1:13">
      <c r="A1634" s="48">
        <f t="shared" si="25"/>
        <v>1633</v>
      </c>
      <c r="B1634" s="47" t="s">
        <v>4</v>
      </c>
      <c r="C1634" s="47" t="s">
        <v>7754</v>
      </c>
      <c r="D1634" s="47" t="s">
        <v>7822</v>
      </c>
      <c r="E1634" s="47" t="s">
        <v>7768</v>
      </c>
      <c r="F1634" s="47" t="s">
        <v>7820</v>
      </c>
      <c r="G1634" s="47" t="s">
        <v>14</v>
      </c>
      <c r="H1634" s="47" t="str">
        <f>IFERROR(VLOOKUP(Table2[[#This Row], [Ticket]],Okey!A:B,2,0),"")</f>
        <v/>
      </c>
      <c r="I1634" s="47" t="s">
        <v>6455</v>
      </c>
      <c r="J1634" s="47" t="e">
        <f>VLOOKUP(Table2[[#This Row], [Author]],People!A:B,2,0)</f>
        <v>#VALUE!</v>
      </c>
      <c r="K1634" s="47" t="s">
        <v>7857</v>
      </c>
      <c r="L1634" s="47" t="e">
        <f>VLOOKUP(Table2[[#This Row],[Node]],#REF!,2,0)</f>
        <v>#VALUE!</v>
      </c>
      <c r="M1634" s="49" t="s">
        <v>6110</v>
      </c>
    </row>
    <row r="1635" spans="1:13">
      <c r="A1635" s="48">
        <f t="shared" si="25"/>
        <v>1634</v>
      </c>
      <c r="B1635" s="47" t="s">
        <v>4</v>
      </c>
      <c r="C1635" s="47" t="s">
        <v>7754</v>
      </c>
      <c r="D1635" s="47" t="s">
        <v>7823</v>
      </c>
      <c r="E1635" s="47" t="s">
        <v>7769</v>
      </c>
      <c r="F1635" s="47" t="s">
        <v>4628</v>
      </c>
      <c r="G1635" s="47" t="s">
        <v>14</v>
      </c>
      <c r="H1635" s="47" t="str">
        <f>IFERROR(VLOOKUP(Table2[[#This Row], [Ticket]],Okey!A:B,2,0),"")</f>
        <v/>
      </c>
      <c r="I1635" s="47" t="s">
        <v>6455</v>
      </c>
      <c r="J1635" s="47" t="e">
        <f>VLOOKUP(Table2[[#This Row], [Author]],People!A:B,2,0)</f>
        <v>#VALUE!</v>
      </c>
      <c r="K1635" s="47" t="s">
        <v>7857</v>
      </c>
      <c r="L1635" s="47" t="e">
        <f>VLOOKUP(Table2[[#This Row],[Node]],#REF!,2,0)</f>
        <v>#VALUE!</v>
      </c>
      <c r="M1635" s="49" t="s">
        <v>6110</v>
      </c>
    </row>
    <row r="1636" spans="1:13">
      <c r="A1636" s="48">
        <f t="shared" si="25"/>
        <v>1635</v>
      </c>
      <c r="B1636" s="47" t="s">
        <v>4</v>
      </c>
      <c r="C1636" s="47" t="s">
        <v>7754</v>
      </c>
      <c r="D1636" s="47" t="s">
        <v>7824</v>
      </c>
      <c r="E1636" s="47" t="s">
        <v>7770</v>
      </c>
      <c r="F1636" s="47" t="s">
        <v>4628</v>
      </c>
      <c r="G1636" s="47" t="s">
        <v>14</v>
      </c>
      <c r="H1636" s="47" t="str">
        <f>IFERROR(VLOOKUP(Table2[[#This Row], [Ticket]],Okey!A:B,2,0),"")</f>
        <v/>
      </c>
      <c r="I1636" s="47" t="s">
        <v>6455</v>
      </c>
      <c r="J1636" s="47" t="e">
        <f>VLOOKUP(Table2[[#This Row], [Author]],People!A:B,2,0)</f>
        <v>#VALUE!</v>
      </c>
      <c r="K1636" s="47" t="s">
        <v>7857</v>
      </c>
      <c r="L1636" s="47" t="e">
        <f>VLOOKUP(Table2[[#This Row],[Node]],#REF!,2,0)</f>
        <v>#VALUE!</v>
      </c>
      <c r="M1636" s="49" t="s">
        <v>6110</v>
      </c>
    </row>
    <row r="1637" spans="1:13">
      <c r="A1637" s="48">
        <f t="shared" si="25"/>
        <v>1636</v>
      </c>
      <c r="B1637" s="47" t="s">
        <v>4</v>
      </c>
      <c r="C1637" s="47" t="s">
        <v>7754</v>
      </c>
      <c r="D1637" s="47" t="s">
        <v>7825</v>
      </c>
      <c r="E1637" s="47" t="s">
        <v>7771</v>
      </c>
      <c r="F1637" s="47" t="s">
        <v>4630</v>
      </c>
      <c r="G1637" s="47" t="s">
        <v>14</v>
      </c>
      <c r="H1637" s="47" t="str">
        <f>IFERROR(VLOOKUP(Table2[[#This Row], [Ticket]],Okey!A:B,2,0),"")</f>
        <v/>
      </c>
      <c r="I1637" s="47" t="s">
        <v>6455</v>
      </c>
      <c r="J1637" s="47" t="e">
        <f>VLOOKUP(Table2[[#This Row], [Author]],People!A:B,2,0)</f>
        <v>#VALUE!</v>
      </c>
      <c r="K1637" s="47" t="s">
        <v>7857</v>
      </c>
      <c r="L1637" s="47" t="e">
        <f>VLOOKUP(Table2[[#This Row],[Node]],#REF!,2,0)</f>
        <v>#VALUE!</v>
      </c>
      <c r="M1637" s="49" t="s">
        <v>6110</v>
      </c>
    </row>
    <row r="1638" spans="1:13">
      <c r="A1638" s="48">
        <f t="shared" si="25"/>
        <v>1637</v>
      </c>
      <c r="B1638" s="47" t="s">
        <v>4</v>
      </c>
      <c r="C1638" s="47" t="s">
        <v>7754</v>
      </c>
      <c r="D1638" s="47" t="s">
        <v>7826</v>
      </c>
      <c r="E1638" s="47" t="s">
        <v>7772</v>
      </c>
      <c r="F1638" s="47" t="s">
        <v>4630</v>
      </c>
      <c r="G1638" s="47" t="s">
        <v>14</v>
      </c>
      <c r="H1638" s="47" t="str">
        <f>IFERROR(VLOOKUP(Table2[[#This Row], [Ticket]],Okey!A:B,2,0),"")</f>
        <v/>
      </c>
      <c r="I1638" s="47" t="s">
        <v>6455</v>
      </c>
      <c r="J1638" s="47" t="e">
        <f>VLOOKUP(Table2[[#This Row], [Author]],People!A:B,2,0)</f>
        <v>#VALUE!</v>
      </c>
      <c r="K1638" s="47" t="s">
        <v>7857</v>
      </c>
      <c r="L1638" s="47" t="e">
        <f>VLOOKUP(Table2[[#This Row],[Node]],#REF!,2,0)</f>
        <v>#VALUE!</v>
      </c>
      <c r="M1638" s="49" t="s">
        <v>6110</v>
      </c>
    </row>
    <row r="1639" spans="1:13">
      <c r="A1639" s="48">
        <f t="shared" si="25"/>
        <v>1638</v>
      </c>
      <c r="B1639" s="47" t="s">
        <v>4</v>
      </c>
      <c r="C1639" s="47" t="s">
        <v>7754</v>
      </c>
      <c r="D1639" s="47" t="s">
        <v>7827</v>
      </c>
      <c r="E1639" s="47" t="s">
        <v>7773</v>
      </c>
      <c r="F1639" s="47" t="s">
        <v>7826</v>
      </c>
      <c r="G1639" s="47" t="s">
        <v>14</v>
      </c>
      <c r="H1639" s="47" t="str">
        <f>IFERROR(VLOOKUP(Table2[[#This Row], [Ticket]],Okey!A:B,2,0),"")</f>
        <v/>
      </c>
      <c r="I1639" s="47" t="s">
        <v>6455</v>
      </c>
      <c r="J1639" s="47" t="e">
        <f>VLOOKUP(Table2[[#This Row], [Author]],People!A:B,2,0)</f>
        <v>#VALUE!</v>
      </c>
      <c r="K1639" s="47" t="s">
        <v>7857</v>
      </c>
      <c r="L1639" s="47" t="e">
        <f>VLOOKUP(Table2[[#This Row],[Node]],#REF!,2,0)</f>
        <v>#VALUE!</v>
      </c>
      <c r="M1639" s="49" t="s">
        <v>6110</v>
      </c>
    </row>
    <row r="1640" spans="1:13">
      <c r="A1640" s="48">
        <f t="shared" si="25"/>
        <v>1639</v>
      </c>
      <c r="B1640" s="47" t="s">
        <v>4</v>
      </c>
      <c r="C1640" s="47" t="s">
        <v>7754</v>
      </c>
      <c r="D1640" s="47" t="s">
        <v>7828</v>
      </c>
      <c r="E1640" s="47" t="s">
        <v>7774</v>
      </c>
      <c r="F1640" s="47" t="s">
        <v>7826</v>
      </c>
      <c r="G1640" s="47" t="s">
        <v>14</v>
      </c>
      <c r="H1640" s="47" t="str">
        <f>IFERROR(VLOOKUP(Table2[[#This Row], [Ticket]],Okey!A:B,2,0),"")</f>
        <v/>
      </c>
      <c r="I1640" s="47" t="s">
        <v>6455</v>
      </c>
      <c r="J1640" s="47" t="e">
        <f>VLOOKUP(Table2[[#This Row], [Author]],People!A:B,2,0)</f>
        <v>#VALUE!</v>
      </c>
      <c r="K1640" s="47" t="s">
        <v>7857</v>
      </c>
      <c r="L1640" s="47" t="e">
        <f>VLOOKUP(Table2[[#This Row],[Node]],#REF!,2,0)</f>
        <v>#VALUE!</v>
      </c>
      <c r="M1640" s="49" t="s">
        <v>6110</v>
      </c>
    </row>
    <row r="1641" spans="1:13">
      <c r="A1641" s="48">
        <f t="shared" si="25"/>
        <v>1640</v>
      </c>
      <c r="B1641" s="47" t="s">
        <v>4</v>
      </c>
      <c r="C1641" s="47" t="s">
        <v>7754</v>
      </c>
      <c r="D1641" s="47" t="s">
        <v>7829</v>
      </c>
      <c r="E1641" s="47" t="s">
        <v>7775</v>
      </c>
      <c r="F1641" s="47" t="s">
        <v>4630</v>
      </c>
      <c r="G1641" s="47" t="s">
        <v>14</v>
      </c>
      <c r="H1641" s="47" t="str">
        <f>IFERROR(VLOOKUP(Table2[[#This Row], [Ticket]],Okey!A:B,2,0),"")</f>
        <v/>
      </c>
      <c r="I1641" s="47" t="s">
        <v>6455</v>
      </c>
      <c r="J1641" s="47" t="e">
        <f>VLOOKUP(Table2[[#This Row], [Author]],People!A:B,2,0)</f>
        <v>#VALUE!</v>
      </c>
      <c r="K1641" s="47" t="s">
        <v>7857</v>
      </c>
      <c r="L1641" s="47" t="e">
        <f>VLOOKUP(Table2[[#This Row],[Node]],#REF!,2,0)</f>
        <v>#VALUE!</v>
      </c>
      <c r="M1641" s="49" t="s">
        <v>6110</v>
      </c>
    </row>
    <row r="1642" spans="1:13">
      <c r="A1642" s="48">
        <f t="shared" si="25"/>
        <v>1641</v>
      </c>
      <c r="B1642" s="47" t="s">
        <v>4</v>
      </c>
      <c r="C1642" s="47" t="s">
        <v>7754</v>
      </c>
      <c r="D1642" s="47" t="s">
        <v>7830</v>
      </c>
      <c r="E1642" s="47" t="s">
        <v>7776</v>
      </c>
      <c r="F1642" s="47" t="s">
        <v>4630</v>
      </c>
      <c r="G1642" s="47" t="s">
        <v>14</v>
      </c>
      <c r="H1642" s="47" t="str">
        <f>IFERROR(VLOOKUP(Table2[[#This Row], [Ticket]],Okey!A:B,2,0),"")</f>
        <v/>
      </c>
      <c r="I1642" s="47" t="s">
        <v>6455</v>
      </c>
      <c r="J1642" s="47" t="e">
        <f>VLOOKUP(Table2[[#This Row], [Author]],People!A:B,2,0)</f>
        <v>#VALUE!</v>
      </c>
      <c r="K1642" s="47" t="s">
        <v>7857</v>
      </c>
      <c r="L1642" s="47" t="e">
        <f>VLOOKUP(Table2[[#This Row],[Node]],#REF!,2,0)</f>
        <v>#VALUE!</v>
      </c>
      <c r="M1642" s="49" t="s">
        <v>6110</v>
      </c>
    </row>
    <row r="1643" spans="1:13">
      <c r="A1643" s="48">
        <f t="shared" si="25"/>
        <v>1642</v>
      </c>
      <c r="B1643" s="47" t="s">
        <v>4</v>
      </c>
      <c r="C1643" s="47" t="s">
        <v>7754</v>
      </c>
      <c r="D1643" s="47" t="s">
        <v>7831</v>
      </c>
      <c r="E1643" s="47" t="s">
        <v>7777</v>
      </c>
      <c r="F1643" s="47" t="s">
        <v>4634</v>
      </c>
      <c r="G1643" s="47" t="s">
        <v>14</v>
      </c>
      <c r="H1643" s="47" t="str">
        <f>IFERROR(VLOOKUP(Table2[[#This Row], [Ticket]],Okey!A:B,2,0),"")</f>
        <v/>
      </c>
      <c r="I1643" s="47" t="s">
        <v>6455</v>
      </c>
      <c r="J1643" s="47" t="e">
        <f>VLOOKUP(Table2[[#This Row], [Author]],People!A:B,2,0)</f>
        <v>#VALUE!</v>
      </c>
      <c r="K1643" s="47" t="s">
        <v>7857</v>
      </c>
      <c r="L1643" s="47" t="e">
        <f>VLOOKUP(Table2[[#This Row],[Node]],#REF!,2,0)</f>
        <v>#VALUE!</v>
      </c>
      <c r="M1643" s="49" t="s">
        <v>6110</v>
      </c>
    </row>
    <row r="1644" spans="1:13">
      <c r="A1644" s="48">
        <f t="shared" si="25"/>
        <v>1643</v>
      </c>
      <c r="B1644" s="47" t="s">
        <v>4</v>
      </c>
      <c r="C1644" s="47" t="s">
        <v>7754</v>
      </c>
      <c r="D1644" s="47" t="s">
        <v>7832</v>
      </c>
      <c r="E1644" s="47" t="s">
        <v>7778</v>
      </c>
      <c r="F1644" s="47" t="s">
        <v>4634</v>
      </c>
      <c r="G1644" s="47" t="s">
        <v>14</v>
      </c>
      <c r="H1644" s="47" t="str">
        <f>IFERROR(VLOOKUP(Table2[[#This Row], [Ticket]],Okey!A:B,2,0),"")</f>
        <v/>
      </c>
      <c r="I1644" s="47" t="s">
        <v>6455</v>
      </c>
      <c r="J1644" s="47" t="e">
        <f>VLOOKUP(Table2[[#This Row], [Author]],People!A:B,2,0)</f>
        <v>#VALUE!</v>
      </c>
      <c r="K1644" s="47" t="s">
        <v>7857</v>
      </c>
      <c r="L1644" s="47" t="e">
        <f>VLOOKUP(Table2[[#This Row],[Node]],#REF!,2,0)</f>
        <v>#VALUE!</v>
      </c>
      <c r="M1644" s="49" t="s">
        <v>6110</v>
      </c>
    </row>
    <row r="1645" spans="1:13">
      <c r="A1645" s="48">
        <f t="shared" si="25"/>
        <v>1644</v>
      </c>
      <c r="B1645" s="47" t="s">
        <v>4</v>
      </c>
      <c r="C1645" s="47" t="s">
        <v>7754</v>
      </c>
      <c r="D1645" s="47" t="s">
        <v>7833</v>
      </c>
      <c r="E1645" s="47" t="s">
        <v>7779</v>
      </c>
      <c r="F1645" s="47" t="s">
        <v>7832</v>
      </c>
      <c r="G1645" s="47" t="s">
        <v>14</v>
      </c>
      <c r="H1645" s="47" t="str">
        <f>IFERROR(VLOOKUP(Table2[[#This Row], [Ticket]],Okey!A:B,2,0),"")</f>
        <v/>
      </c>
      <c r="I1645" s="47" t="s">
        <v>6455</v>
      </c>
      <c r="J1645" s="47" t="e">
        <f>VLOOKUP(Table2[[#This Row], [Author]],People!A:B,2,0)</f>
        <v>#VALUE!</v>
      </c>
      <c r="K1645" s="47" t="s">
        <v>7857</v>
      </c>
      <c r="L1645" s="47" t="e">
        <f>VLOOKUP(Table2[[#This Row],[Node]],#REF!,2,0)</f>
        <v>#VALUE!</v>
      </c>
      <c r="M1645" s="49" t="s">
        <v>6110</v>
      </c>
    </row>
    <row r="1646" spans="1:13">
      <c r="A1646" s="48">
        <f t="shared" si="25"/>
        <v>1645</v>
      </c>
      <c r="B1646" s="47" t="s">
        <v>4</v>
      </c>
      <c r="C1646" s="47" t="s">
        <v>7754</v>
      </c>
      <c r="D1646" s="47" t="s">
        <v>7834</v>
      </c>
      <c r="E1646" s="47" t="s">
        <v>7780</v>
      </c>
      <c r="F1646" s="47" t="s">
        <v>7832</v>
      </c>
      <c r="G1646" s="47" t="s">
        <v>14</v>
      </c>
      <c r="H1646" s="47" t="str">
        <f>IFERROR(VLOOKUP(Table2[[#This Row], [Ticket]],Okey!A:B,2,0),"")</f>
        <v/>
      </c>
      <c r="I1646" s="47" t="s">
        <v>6455</v>
      </c>
      <c r="J1646" s="47" t="e">
        <f>VLOOKUP(Table2[[#This Row], [Author]],People!A:B,2,0)</f>
        <v>#VALUE!</v>
      </c>
      <c r="K1646" s="47" t="s">
        <v>7857</v>
      </c>
      <c r="L1646" s="47" t="e">
        <f>VLOOKUP(Table2[[#This Row],[Node]],#REF!,2,0)</f>
        <v>#VALUE!</v>
      </c>
      <c r="M1646" s="49" t="s">
        <v>6110</v>
      </c>
    </row>
    <row r="1647" spans="1:13">
      <c r="A1647" s="48">
        <f t="shared" si="25"/>
        <v>1646</v>
      </c>
      <c r="B1647" s="47" t="s">
        <v>4</v>
      </c>
      <c r="C1647" s="47" t="s">
        <v>7754</v>
      </c>
      <c r="D1647" s="47" t="s">
        <v>7835</v>
      </c>
      <c r="E1647" s="47" t="s">
        <v>7781</v>
      </c>
      <c r="F1647" s="47" t="s">
        <v>4634</v>
      </c>
      <c r="G1647" s="47" t="s">
        <v>14</v>
      </c>
      <c r="H1647" s="47" t="str">
        <f>IFERROR(VLOOKUP(Table2[[#This Row], [Ticket]],Okey!A:B,2,0),"")</f>
        <v/>
      </c>
      <c r="I1647" s="47" t="s">
        <v>6455</v>
      </c>
      <c r="J1647" s="47" t="e">
        <f>VLOOKUP(Table2[[#This Row], [Author]],People!A:B,2,0)</f>
        <v>#VALUE!</v>
      </c>
      <c r="K1647" s="47" t="s">
        <v>7857</v>
      </c>
      <c r="L1647" s="47" t="e">
        <f>VLOOKUP(Table2[[#This Row],[Node]],#REF!,2,0)</f>
        <v>#VALUE!</v>
      </c>
      <c r="M1647" s="49" t="s">
        <v>6110</v>
      </c>
    </row>
    <row r="1648" spans="1:13">
      <c r="A1648" s="48">
        <f t="shared" si="25"/>
        <v>1647</v>
      </c>
      <c r="B1648" s="47" t="s">
        <v>4</v>
      </c>
      <c r="C1648" s="47" t="s">
        <v>7754</v>
      </c>
      <c r="D1648" s="47" t="s">
        <v>7836</v>
      </c>
      <c r="E1648" s="47" t="s">
        <v>7782</v>
      </c>
      <c r="F1648" s="47" t="s">
        <v>4634</v>
      </c>
      <c r="G1648" s="47" t="s">
        <v>14</v>
      </c>
      <c r="H1648" s="47" t="str">
        <f>IFERROR(VLOOKUP(Table2[[#This Row], [Ticket]],Okey!A:B,2,0),"")</f>
        <v/>
      </c>
      <c r="I1648" s="47" t="s">
        <v>6455</v>
      </c>
      <c r="J1648" s="47" t="e">
        <f>VLOOKUP(Table2[[#This Row], [Author]],People!A:B,2,0)</f>
        <v>#VALUE!</v>
      </c>
      <c r="K1648" s="47" t="s">
        <v>7857</v>
      </c>
      <c r="L1648" s="47" t="e">
        <f>VLOOKUP(Table2[[#This Row],[Node]],#REF!,2,0)</f>
        <v>#VALUE!</v>
      </c>
      <c r="M1648" s="49" t="s">
        <v>6110</v>
      </c>
    </row>
    <row r="1649" spans="1:13">
      <c r="A1649" s="48">
        <f t="shared" si="25"/>
        <v>1648</v>
      </c>
      <c r="B1649" s="47" t="s">
        <v>4</v>
      </c>
      <c r="C1649" s="47" t="s">
        <v>7754</v>
      </c>
      <c r="D1649" s="47" t="s">
        <v>7837</v>
      </c>
      <c r="E1649" s="47" t="s">
        <v>7783</v>
      </c>
      <c r="F1649" s="47" t="s">
        <v>4632</v>
      </c>
      <c r="G1649" s="47" t="s">
        <v>14</v>
      </c>
      <c r="H1649" s="47" t="str">
        <f>IFERROR(VLOOKUP(Table2[[#This Row], [Ticket]],Okey!A:B,2,0),"")</f>
        <v/>
      </c>
      <c r="I1649" s="47" t="s">
        <v>6455</v>
      </c>
      <c r="J1649" s="47" t="e">
        <f>VLOOKUP(Table2[[#This Row], [Author]],People!A:B,2,0)</f>
        <v>#VALUE!</v>
      </c>
      <c r="K1649" s="47" t="s">
        <v>7857</v>
      </c>
      <c r="L1649" s="47" t="e">
        <f>VLOOKUP(Table2[[#This Row],[Node]],#REF!,2,0)</f>
        <v>#VALUE!</v>
      </c>
      <c r="M1649" s="49" t="s">
        <v>6110</v>
      </c>
    </row>
    <row r="1650" spans="1:13">
      <c r="A1650" s="48">
        <f t="shared" si="25"/>
        <v>1649</v>
      </c>
      <c r="B1650" s="47" t="s">
        <v>4</v>
      </c>
      <c r="C1650" s="47" t="s">
        <v>7754</v>
      </c>
      <c r="D1650" s="47" t="s">
        <v>7838</v>
      </c>
      <c r="E1650" s="47" t="s">
        <v>7784</v>
      </c>
      <c r="F1650" s="47" t="s">
        <v>4628</v>
      </c>
      <c r="G1650" s="47" t="s">
        <v>14</v>
      </c>
      <c r="H1650" s="47" t="str">
        <f>IFERROR(VLOOKUP(Table2[[#This Row], [Ticket]],Okey!A:B,2,0),"")</f>
        <v/>
      </c>
      <c r="I1650" s="47" t="s">
        <v>6455</v>
      </c>
      <c r="J1650" s="47" t="e">
        <f>VLOOKUP(Table2[[#This Row], [Author]],People!A:B,2,0)</f>
        <v>#VALUE!</v>
      </c>
      <c r="K1650" s="47" t="s">
        <v>7857</v>
      </c>
      <c r="L1650" s="47" t="e">
        <f>VLOOKUP(Table2[[#This Row],[Node]],#REF!,2,0)</f>
        <v>#VALUE!</v>
      </c>
      <c r="M1650" s="49" t="s">
        <v>6110</v>
      </c>
    </row>
    <row r="1651" spans="1:13">
      <c r="A1651" s="48">
        <f t="shared" si="25"/>
        <v>1650</v>
      </c>
      <c r="B1651" s="47" t="s">
        <v>4</v>
      </c>
      <c r="C1651" s="47" t="s">
        <v>7754</v>
      </c>
      <c r="D1651" s="47" t="s">
        <v>7839</v>
      </c>
      <c r="E1651" s="47" t="s">
        <v>7785</v>
      </c>
      <c r="F1651" s="47" t="s">
        <v>4630</v>
      </c>
      <c r="G1651" s="47" t="s">
        <v>14</v>
      </c>
      <c r="H1651" s="47" t="str">
        <f>IFERROR(VLOOKUP(Table2[[#This Row], [Ticket]],Okey!A:B,2,0),"")</f>
        <v/>
      </c>
      <c r="I1651" s="47" t="s">
        <v>6455</v>
      </c>
      <c r="J1651" s="47" t="e">
        <f>VLOOKUP(Table2[[#This Row], [Author]],People!A:B,2,0)</f>
        <v>#VALUE!</v>
      </c>
      <c r="K1651" s="47" t="s">
        <v>7857</v>
      </c>
      <c r="L1651" s="47" t="e">
        <f>VLOOKUP(Table2[[#This Row],[Node]],#REF!,2,0)</f>
        <v>#VALUE!</v>
      </c>
      <c r="M1651" s="49" t="s">
        <v>6110</v>
      </c>
    </row>
    <row r="1652" spans="1:13">
      <c r="A1652" s="48">
        <f t="shared" si="25"/>
        <v>1651</v>
      </c>
      <c r="B1652" s="47" t="s">
        <v>4</v>
      </c>
      <c r="C1652" s="47" t="s">
        <v>7754</v>
      </c>
      <c r="D1652" s="47" t="s">
        <v>7840</v>
      </c>
      <c r="E1652" s="47" t="s">
        <v>7786</v>
      </c>
      <c r="F1652" s="47" t="s">
        <v>4634</v>
      </c>
      <c r="G1652" s="47" t="s">
        <v>14</v>
      </c>
      <c r="H1652" s="47" t="str">
        <f>IFERROR(VLOOKUP(Table2[[#This Row], [Ticket]],Okey!A:B,2,0),"")</f>
        <v/>
      </c>
      <c r="I1652" s="47" t="s">
        <v>6455</v>
      </c>
      <c r="J1652" s="47" t="e">
        <f>VLOOKUP(Table2[[#This Row], [Author]],People!A:B,2,0)</f>
        <v>#VALUE!</v>
      </c>
      <c r="K1652" s="47" t="s">
        <v>7857</v>
      </c>
      <c r="L1652" s="47" t="e">
        <f>VLOOKUP(Table2[[#This Row],[Node]],#REF!,2,0)</f>
        <v>#VALUE!</v>
      </c>
      <c r="M1652" s="49" t="s">
        <v>6110</v>
      </c>
    </row>
    <row r="1653" spans="1:13">
      <c r="A1653" s="48">
        <f t="shared" si="25"/>
        <v>1652</v>
      </c>
      <c r="B1653" s="47" t="s">
        <v>4</v>
      </c>
      <c r="C1653" s="47" t="s">
        <v>7754</v>
      </c>
      <c r="D1653" s="47" t="s">
        <v>7841</v>
      </c>
      <c r="E1653" s="47" t="s">
        <v>7787</v>
      </c>
      <c r="F1653" s="47" t="s">
        <v>2096</v>
      </c>
      <c r="G1653" s="47" t="s">
        <v>14</v>
      </c>
      <c r="H1653" s="47" t="str">
        <f>IFERROR(VLOOKUP(Table2[[#This Row], [Ticket]],Okey!A:B,2,0),"")</f>
        <v/>
      </c>
      <c r="I1653" s="47" t="s">
        <v>6455</v>
      </c>
      <c r="J1653" s="47" t="e">
        <f>VLOOKUP(Table2[[#This Row], [Author]],People!A:B,2,0)</f>
        <v>#VALUE!</v>
      </c>
      <c r="K1653" s="47" t="s">
        <v>7857</v>
      </c>
      <c r="L1653" s="47" t="e">
        <f>VLOOKUP(Table2[[#This Row],[Node]],#REF!,2,0)</f>
        <v>#VALUE!</v>
      </c>
      <c r="M1653" s="49" t="s">
        <v>6110</v>
      </c>
    </row>
    <row r="1654" spans="1:13">
      <c r="A1654" s="48">
        <f t="shared" si="25"/>
        <v>1653</v>
      </c>
      <c r="B1654" s="47" t="s">
        <v>4</v>
      </c>
      <c r="C1654" s="47" t="s">
        <v>7754</v>
      </c>
      <c r="D1654" s="47" t="s">
        <v>7842</v>
      </c>
      <c r="E1654" s="47" t="s">
        <v>7788</v>
      </c>
      <c r="F1654" s="47" t="s">
        <v>2096</v>
      </c>
      <c r="G1654" s="47" t="s">
        <v>14</v>
      </c>
      <c r="H1654" s="47" t="str">
        <f>IFERROR(VLOOKUP(Table2[[#This Row], [Ticket]],Okey!A:B,2,0),"")</f>
        <v/>
      </c>
      <c r="I1654" s="47" t="s">
        <v>6455</v>
      </c>
      <c r="J1654" s="47" t="e">
        <f>VLOOKUP(Table2[[#This Row], [Author]],People!A:B,2,0)</f>
        <v>#VALUE!</v>
      </c>
      <c r="K1654" s="47" t="s">
        <v>7857</v>
      </c>
      <c r="L1654" s="47" t="e">
        <f>VLOOKUP(Table2[[#This Row],[Node]],#REF!,2,0)</f>
        <v>#VALUE!</v>
      </c>
      <c r="M1654" s="49" t="s">
        <v>6110</v>
      </c>
    </row>
    <row r="1655" spans="1:13">
      <c r="A1655" s="48">
        <f t="shared" si="25"/>
        <v>1654</v>
      </c>
      <c r="B1655" s="47" t="s">
        <v>4</v>
      </c>
      <c r="C1655" s="47" t="s">
        <v>7754</v>
      </c>
      <c r="D1655" s="47" t="s">
        <v>7843</v>
      </c>
      <c r="E1655" s="47" t="s">
        <v>7789</v>
      </c>
      <c r="F1655" s="47" t="s">
        <v>2096</v>
      </c>
      <c r="G1655" s="47" t="s">
        <v>14</v>
      </c>
      <c r="H1655" s="47" t="str">
        <f>IFERROR(VLOOKUP(Table2[[#This Row], [Ticket]],Okey!A:B,2,0),"")</f>
        <v/>
      </c>
      <c r="I1655" s="47" t="s">
        <v>6455</v>
      </c>
      <c r="J1655" s="47" t="e">
        <f>VLOOKUP(Table2[[#This Row], [Author]],People!A:B,2,0)</f>
        <v>#VALUE!</v>
      </c>
      <c r="K1655" s="47" t="s">
        <v>7857</v>
      </c>
      <c r="L1655" s="47" t="e">
        <f>VLOOKUP(Table2[[#This Row],[Node]],#REF!,2,0)</f>
        <v>#VALUE!</v>
      </c>
      <c r="M1655" s="49" t="s">
        <v>6110</v>
      </c>
    </row>
    <row r="1656" spans="1:13">
      <c r="A1656" s="48">
        <f t="shared" si="25"/>
        <v>1655</v>
      </c>
      <c r="B1656" s="47" t="s">
        <v>4</v>
      </c>
      <c r="C1656" s="47" t="s">
        <v>7754</v>
      </c>
      <c r="D1656" s="47" t="s">
        <v>7844</v>
      </c>
      <c r="E1656" s="47" t="s">
        <v>7790</v>
      </c>
      <c r="F1656" s="47" t="s">
        <v>2096</v>
      </c>
      <c r="G1656" s="47" t="s">
        <v>14</v>
      </c>
      <c r="H1656" s="47" t="str">
        <f>IFERROR(VLOOKUP(Table2[[#This Row], [Ticket]],Okey!A:B,2,0),"")</f>
        <v/>
      </c>
      <c r="I1656" s="47" t="s">
        <v>6455</v>
      </c>
      <c r="J1656" s="47" t="e">
        <f>VLOOKUP(Table2[[#This Row], [Author]],People!A:B,2,0)</f>
        <v>#VALUE!</v>
      </c>
      <c r="K1656" s="47" t="s">
        <v>7857</v>
      </c>
      <c r="L1656" s="47" t="e">
        <f>VLOOKUP(Table2[[#This Row],[Node]],#REF!,2,0)</f>
        <v>#VALUE!</v>
      </c>
      <c r="M1656" s="49" t="s">
        <v>6110</v>
      </c>
    </row>
    <row r="1657" spans="1:13">
      <c r="A1657" s="48">
        <f t="shared" si="25"/>
        <v>1656</v>
      </c>
      <c r="B1657" s="47" t="s">
        <v>4</v>
      </c>
      <c r="C1657" s="47" t="s">
        <v>7754</v>
      </c>
      <c r="D1657" s="47" t="s">
        <v>7845</v>
      </c>
      <c r="E1657" s="47" t="s">
        <v>7791</v>
      </c>
      <c r="F1657" s="47" t="s">
        <v>2096</v>
      </c>
      <c r="G1657" s="47" t="s">
        <v>14</v>
      </c>
      <c r="H1657" s="47" t="str">
        <f>IFERROR(VLOOKUP(Table2[[#This Row], [Ticket]],Okey!A:B,2,0),"")</f>
        <v/>
      </c>
      <c r="I1657" s="47" t="s">
        <v>6455</v>
      </c>
      <c r="J1657" s="47" t="e">
        <f>VLOOKUP(Table2[[#This Row], [Author]],People!A:B,2,0)</f>
        <v>#VALUE!</v>
      </c>
      <c r="K1657" s="47" t="s">
        <v>7857</v>
      </c>
      <c r="L1657" s="47" t="e">
        <f>VLOOKUP(Table2[[#This Row],[Node]],#REF!,2,0)</f>
        <v>#VALUE!</v>
      </c>
      <c r="M1657" s="49" t="s">
        <v>6110</v>
      </c>
    </row>
    <row r="1658" spans="1:13">
      <c r="A1658" s="48">
        <f t="shared" si="25"/>
        <v>1657</v>
      </c>
      <c r="B1658" s="47" t="s">
        <v>4</v>
      </c>
      <c r="C1658" s="47" t="s">
        <v>7754</v>
      </c>
      <c r="D1658" s="47" t="s">
        <v>7846</v>
      </c>
      <c r="E1658" s="47" t="s">
        <v>7792</v>
      </c>
      <c r="F1658" s="47" t="s">
        <v>2096</v>
      </c>
      <c r="G1658" s="47" t="s">
        <v>14</v>
      </c>
      <c r="H1658" s="47" t="str">
        <f>IFERROR(VLOOKUP(Table2[[#This Row], [Ticket]],Okey!A:B,2,0),"")</f>
        <v/>
      </c>
      <c r="I1658" s="47" t="s">
        <v>6455</v>
      </c>
      <c r="J1658" s="47" t="e">
        <f>VLOOKUP(Table2[[#This Row], [Author]],People!A:B,2,0)</f>
        <v>#VALUE!</v>
      </c>
      <c r="K1658" s="47" t="s">
        <v>7857</v>
      </c>
      <c r="L1658" s="47" t="e">
        <f>VLOOKUP(Table2[[#This Row],[Node]],#REF!,2,0)</f>
        <v>#VALUE!</v>
      </c>
      <c r="M1658" s="49" t="s">
        <v>6110</v>
      </c>
    </row>
    <row r="1659" spans="1:13">
      <c r="A1659" s="48">
        <f t="shared" si="25"/>
        <v>1658</v>
      </c>
      <c r="B1659" s="47" t="s">
        <v>4</v>
      </c>
      <c r="C1659" s="47" t="s">
        <v>7754</v>
      </c>
      <c r="D1659" s="47" t="s">
        <v>7847</v>
      </c>
      <c r="E1659" s="47" t="s">
        <v>7793</v>
      </c>
      <c r="F1659" s="47" t="s">
        <v>2096</v>
      </c>
      <c r="G1659" s="47" t="s">
        <v>14</v>
      </c>
      <c r="H1659" s="47" t="str">
        <f>IFERROR(VLOOKUP(Table2[[#This Row], [Ticket]],Okey!A:B,2,0),"")</f>
        <v/>
      </c>
      <c r="I1659" s="47" t="s">
        <v>6455</v>
      </c>
      <c r="J1659" s="47" t="e">
        <f>VLOOKUP(Table2[[#This Row], [Author]],People!A:B,2,0)</f>
        <v>#VALUE!</v>
      </c>
      <c r="K1659" s="47" t="s">
        <v>7857</v>
      </c>
      <c r="L1659" s="47" t="e">
        <f>VLOOKUP(Table2[[#This Row],[Node]],#REF!,2,0)</f>
        <v>#VALUE!</v>
      </c>
      <c r="M1659" s="49" t="s">
        <v>6110</v>
      </c>
    </row>
    <row r="1660" spans="1:13">
      <c r="A1660" s="48">
        <f t="shared" si="25"/>
        <v>1659</v>
      </c>
      <c r="B1660" s="47" t="s">
        <v>4</v>
      </c>
      <c r="C1660" s="47" t="s">
        <v>7754</v>
      </c>
      <c r="D1660" s="47" t="s">
        <v>7848</v>
      </c>
      <c r="E1660" s="47" t="s">
        <v>7794</v>
      </c>
      <c r="F1660" s="47" t="s">
        <v>2096</v>
      </c>
      <c r="G1660" s="47" t="s">
        <v>14</v>
      </c>
      <c r="H1660" s="47" t="str">
        <f>IFERROR(VLOOKUP(Table2[[#This Row], [Ticket]],Okey!A:B,2,0),"")</f>
        <v/>
      </c>
      <c r="I1660" s="47" t="s">
        <v>6455</v>
      </c>
      <c r="J1660" s="47" t="e">
        <f>VLOOKUP(Table2[[#This Row], [Author]],People!A:B,2,0)</f>
        <v>#VALUE!</v>
      </c>
      <c r="K1660" s="47" t="s">
        <v>7857</v>
      </c>
      <c r="L1660" s="47" t="e">
        <f>VLOOKUP(Table2[[#This Row],[Node]],#REF!,2,0)</f>
        <v>#VALUE!</v>
      </c>
      <c r="M1660" s="49" t="s">
        <v>6110</v>
      </c>
    </row>
    <row r="1661" spans="1:13">
      <c r="A1661" s="48">
        <f t="shared" si="25"/>
        <v>1660</v>
      </c>
      <c r="B1661" s="47" t="s">
        <v>4</v>
      </c>
      <c r="C1661" s="47" t="s">
        <v>7754</v>
      </c>
      <c r="D1661" s="47" t="s">
        <v>7849</v>
      </c>
      <c r="E1661" s="47" t="s">
        <v>7795</v>
      </c>
      <c r="F1661" s="47" t="s">
        <v>2096</v>
      </c>
      <c r="G1661" s="47" t="s">
        <v>14</v>
      </c>
      <c r="H1661" s="47" t="str">
        <f>IFERROR(VLOOKUP(Table2[[#This Row], [Ticket]],Okey!A:B,2,0),"")</f>
        <v/>
      </c>
      <c r="I1661" s="47" t="s">
        <v>6455</v>
      </c>
      <c r="J1661" s="47" t="e">
        <f>VLOOKUP(Table2[[#This Row], [Author]],People!A:B,2,0)</f>
        <v>#VALUE!</v>
      </c>
      <c r="K1661" s="47" t="s">
        <v>7857</v>
      </c>
      <c r="L1661" s="47" t="e">
        <f>VLOOKUP(Table2[[#This Row],[Node]],#REF!,2,0)</f>
        <v>#VALUE!</v>
      </c>
      <c r="M1661" s="49" t="s">
        <v>6110</v>
      </c>
    </row>
    <row r="1662" spans="1:13">
      <c r="A1662" s="48">
        <f t="shared" si="25"/>
        <v>1661</v>
      </c>
      <c r="B1662" s="47" t="s">
        <v>4</v>
      </c>
      <c r="C1662" s="47" t="s">
        <v>7754</v>
      </c>
      <c r="D1662" s="47" t="s">
        <v>7850</v>
      </c>
      <c r="E1662" s="47" t="s">
        <v>7796</v>
      </c>
      <c r="F1662" s="47" t="s">
        <v>2096</v>
      </c>
      <c r="G1662" s="47" t="s">
        <v>14</v>
      </c>
      <c r="H1662" s="47" t="str">
        <f>IFERROR(VLOOKUP(Table2[[#This Row], [Ticket]],Okey!A:B,2,0),"")</f>
        <v/>
      </c>
      <c r="I1662" s="47" t="s">
        <v>6455</v>
      </c>
      <c r="J1662" s="47" t="e">
        <f>VLOOKUP(Table2[[#This Row], [Author]],People!A:B,2,0)</f>
        <v>#VALUE!</v>
      </c>
      <c r="K1662" s="47" t="s">
        <v>7857</v>
      </c>
      <c r="L1662" s="47" t="e">
        <f>VLOOKUP(Table2[[#This Row],[Node]],#REF!,2,0)</f>
        <v>#VALUE!</v>
      </c>
      <c r="M1662" s="49" t="s">
        <v>6110</v>
      </c>
    </row>
    <row r="1663" spans="1:13">
      <c r="A1663" s="48">
        <f t="shared" si="25"/>
        <v>1662</v>
      </c>
      <c r="B1663" s="47" t="s">
        <v>4</v>
      </c>
      <c r="C1663" s="47" t="s">
        <v>7754</v>
      </c>
      <c r="D1663" s="47" t="s">
        <v>7851</v>
      </c>
      <c r="E1663" s="47" t="s">
        <v>7797</v>
      </c>
      <c r="F1663" s="47" t="s">
        <v>2096</v>
      </c>
      <c r="G1663" s="47" t="s">
        <v>14</v>
      </c>
      <c r="H1663" s="47" t="str">
        <f>IFERROR(VLOOKUP(Table2[[#This Row], [Ticket]],Okey!A:B,2,0),"")</f>
        <v/>
      </c>
      <c r="I1663" s="47" t="s">
        <v>6455</v>
      </c>
      <c r="J1663" s="47" t="e">
        <f>VLOOKUP(Table2[[#This Row], [Author]],People!A:B,2,0)</f>
        <v>#VALUE!</v>
      </c>
      <c r="K1663" s="47" t="s">
        <v>7857</v>
      </c>
      <c r="L1663" s="47" t="e">
        <f>VLOOKUP(Table2[[#This Row],[Node]],#REF!,2,0)</f>
        <v>#VALUE!</v>
      </c>
      <c r="M1663" s="49" t="s">
        <v>6110</v>
      </c>
    </row>
    <row r="1664" spans="1:13">
      <c r="A1664" s="48">
        <f t="shared" si="25"/>
        <v>1663</v>
      </c>
      <c r="B1664" s="47" t="s">
        <v>4</v>
      </c>
      <c r="C1664" s="47" t="s">
        <v>7754</v>
      </c>
      <c r="D1664" s="47" t="s">
        <v>7852</v>
      </c>
      <c r="E1664" s="47" t="s">
        <v>7798</v>
      </c>
      <c r="F1664" s="47" t="s">
        <v>2096</v>
      </c>
      <c r="G1664" s="47" t="s">
        <v>14</v>
      </c>
      <c r="H1664" s="47" t="str">
        <f>IFERROR(VLOOKUP(Table2[[#This Row], [Ticket]],Okey!A:B,2,0),"")</f>
        <v/>
      </c>
      <c r="I1664" s="47" t="s">
        <v>6455</v>
      </c>
      <c r="J1664" s="47" t="e">
        <f>VLOOKUP(Table2[[#This Row], [Author]],People!A:B,2,0)</f>
        <v>#VALUE!</v>
      </c>
      <c r="K1664" s="47" t="s">
        <v>7857</v>
      </c>
      <c r="L1664" s="47" t="e">
        <f>VLOOKUP(Table2[[#This Row],[Node]],#REF!,2,0)</f>
        <v>#VALUE!</v>
      </c>
      <c r="M1664" s="49" t="s">
        <v>6110</v>
      </c>
    </row>
    <row r="1665" spans="1:13">
      <c r="A1665" s="48">
        <f t="shared" si="25"/>
        <v>1664</v>
      </c>
      <c r="B1665" s="47" t="s">
        <v>4</v>
      </c>
      <c r="C1665" s="47" t="s">
        <v>7754</v>
      </c>
      <c r="D1665" s="47" t="s">
        <v>7853</v>
      </c>
      <c r="E1665" s="47" t="s">
        <v>7799</v>
      </c>
      <c r="F1665" s="47" t="s">
        <v>2096</v>
      </c>
      <c r="G1665" s="47" t="s">
        <v>14</v>
      </c>
      <c r="H1665" s="47" t="str">
        <f>IFERROR(VLOOKUP(Table2[[#This Row], [Ticket]],Okey!A:B,2,0),"")</f>
        <v/>
      </c>
      <c r="I1665" s="47" t="s">
        <v>6455</v>
      </c>
      <c r="J1665" s="47" t="e">
        <f>VLOOKUP(Table2[[#This Row], [Author]],People!A:B,2,0)</f>
        <v>#VALUE!</v>
      </c>
      <c r="K1665" s="47" t="s">
        <v>7857</v>
      </c>
      <c r="L1665" s="47" t="e">
        <f>VLOOKUP(Table2[[#This Row],[Node]],#REF!,2,0)</f>
        <v>#VALUE!</v>
      </c>
      <c r="M1665" s="49" t="s">
        <v>6110</v>
      </c>
    </row>
    <row r="1666" spans="1:13">
      <c r="A1666" s="48">
        <f t="shared" si="25"/>
        <v>1665</v>
      </c>
      <c r="B1666" s="47" t="s">
        <v>4</v>
      </c>
      <c r="C1666" s="47" t="s">
        <v>7754</v>
      </c>
      <c r="D1666" s="47" t="s">
        <v>7854</v>
      </c>
      <c r="E1666" s="47" t="s">
        <v>7800</v>
      </c>
      <c r="F1666" s="47" t="s">
        <v>2433</v>
      </c>
      <c r="G1666" s="47" t="s">
        <v>14</v>
      </c>
      <c r="H1666" s="47" t="str">
        <f>IFERROR(VLOOKUP(Table2[[#This Row], [Ticket]],Okey!A:B,2,0),"")</f>
        <v/>
      </c>
      <c r="I1666" s="47" t="s">
        <v>6455</v>
      </c>
      <c r="J1666" s="47" t="e">
        <f>VLOOKUP(Table2[[#This Row], [Author]],People!A:B,2,0)</f>
        <v>#VALUE!</v>
      </c>
      <c r="K1666" s="47" t="s">
        <v>7857</v>
      </c>
      <c r="L1666" s="47" t="e">
        <f>VLOOKUP(Table2[[#This Row],[Node]],#REF!,2,0)</f>
        <v>#VALUE!</v>
      </c>
      <c r="M1666" s="49" t="s">
        <v>6110</v>
      </c>
    </row>
    <row r="1667" spans="1:13">
      <c r="A1667" s="48">
        <f t="shared" ref="A1667:A1712" si="26">1+A1666</f>
        <v>1666</v>
      </c>
      <c r="B1667" s="47" t="s">
        <v>4</v>
      </c>
      <c r="C1667" s="47" t="s">
        <v>7754</v>
      </c>
      <c r="D1667" s="47" t="s">
        <v>7855</v>
      </c>
      <c r="E1667" s="47" t="s">
        <v>7801</v>
      </c>
      <c r="F1667" s="47" t="s">
        <v>2653</v>
      </c>
      <c r="G1667" s="47" t="s">
        <v>14</v>
      </c>
      <c r="H1667" s="47" t="str">
        <f>IFERROR(VLOOKUP(Table2[[#This Row], [Ticket]],Okey!A:B,2,0),"")</f>
        <v/>
      </c>
      <c r="I1667" s="47" t="s">
        <v>6455</v>
      </c>
      <c r="J1667" s="47" t="e">
        <f>VLOOKUP(Table2[[#This Row], [Author]],People!A:B,2,0)</f>
        <v>#VALUE!</v>
      </c>
      <c r="K1667" s="47" t="s">
        <v>7857</v>
      </c>
      <c r="L1667" s="47" t="e">
        <f>VLOOKUP(Table2[[#This Row],[Node]],#REF!,2,0)</f>
        <v>#VALUE!</v>
      </c>
      <c r="M1667" s="49" t="s">
        <v>6110</v>
      </c>
    </row>
    <row r="1668" spans="1:13">
      <c r="A1668" s="48">
        <f t="shared" si="26"/>
        <v>1667</v>
      </c>
      <c r="B1668" s="47" t="s">
        <v>4</v>
      </c>
      <c r="C1668" s="47" t="s">
        <v>7754</v>
      </c>
      <c r="D1668" s="47" t="s">
        <v>7802</v>
      </c>
      <c r="E1668" s="47"/>
      <c r="F1668" s="47" t="s">
        <v>2740</v>
      </c>
      <c r="G1668" s="47" t="s">
        <v>13</v>
      </c>
      <c r="H1668" s="47" t="str">
        <f>IFERROR(VLOOKUP(Table2[[#This Row], [Ticket]],Okey!A:B,2,0),"")</f>
        <v/>
      </c>
      <c r="I1668" s="47" t="s">
        <v>6455</v>
      </c>
      <c r="J1668" s="47" t="e">
        <f>VLOOKUP(Table2[[#This Row], [Author]],People!A:B,2,0)</f>
        <v>#VALUE!</v>
      </c>
      <c r="K1668" s="47" t="s">
        <v>7858</v>
      </c>
      <c r="L1668" s="47" t="e">
        <f>VLOOKUP(Table2[[#This Row],[Node]],#REF!,2,0)</f>
        <v>#VALUE!</v>
      </c>
      <c r="M1668" s="49" t="s">
        <v>6110</v>
      </c>
    </row>
    <row r="1669" spans="1:13">
      <c r="A1669" s="48">
        <f t="shared" si="26"/>
        <v>1668</v>
      </c>
      <c r="B1669" s="47" t="s">
        <v>4</v>
      </c>
      <c r="C1669" s="47" t="s">
        <v>7754</v>
      </c>
      <c r="D1669" s="47" t="s">
        <v>7803</v>
      </c>
      <c r="E1669" s="47"/>
      <c r="F1669" s="47" t="s">
        <v>2684</v>
      </c>
      <c r="G1669" s="47" t="s">
        <v>13</v>
      </c>
      <c r="H1669" s="47" t="str">
        <f>IFERROR(VLOOKUP(Table2[[#This Row], [Ticket]],Okey!A:B,2,0),"")</f>
        <v/>
      </c>
      <c r="I1669" s="47" t="s">
        <v>6455</v>
      </c>
      <c r="J1669" s="47" t="e">
        <f>VLOOKUP(Table2[[#This Row], [Author]],People!A:B,2,0)</f>
        <v>#VALUE!</v>
      </c>
      <c r="K1669" s="47" t="s">
        <v>7858</v>
      </c>
      <c r="L1669" s="47" t="e">
        <f>VLOOKUP(Table2[[#This Row],[Node]],#REF!,2,0)</f>
        <v>#VALUE!</v>
      </c>
      <c r="M1669" s="49" t="s">
        <v>6110</v>
      </c>
    </row>
    <row r="1670" spans="1:13">
      <c r="A1670" s="48">
        <f t="shared" si="26"/>
        <v>1669</v>
      </c>
      <c r="B1670" s="47" t="s">
        <v>4</v>
      </c>
      <c r="C1670" s="47" t="s">
        <v>7754</v>
      </c>
      <c r="D1670" s="47" t="s">
        <v>4606</v>
      </c>
      <c r="E1670" s="47"/>
      <c r="F1670" s="47" t="s">
        <v>7761</v>
      </c>
      <c r="G1670" s="47" t="s">
        <v>13</v>
      </c>
      <c r="H1670" s="47" t="str">
        <f>IFERROR(VLOOKUP(Table2[[#This Row], [Ticket]],Okey!A:B,2,0),"")</f>
        <v/>
      </c>
      <c r="I1670" s="47" t="s">
        <v>6455</v>
      </c>
      <c r="J1670" s="47" t="e">
        <f>VLOOKUP(Table2[[#This Row], [Author]],People!A:B,2,0)</f>
        <v>#VALUE!</v>
      </c>
      <c r="K1670" s="47" t="s">
        <v>7858</v>
      </c>
      <c r="L1670" s="47" t="e">
        <f>VLOOKUP(Table2[[#This Row],[Node]],#REF!,2,0)</f>
        <v>#VALUE!</v>
      </c>
      <c r="M1670" s="49" t="s">
        <v>6110</v>
      </c>
    </row>
    <row r="1671" spans="1:13">
      <c r="A1671" s="48">
        <f t="shared" si="26"/>
        <v>1670</v>
      </c>
      <c r="B1671" s="47" t="s">
        <v>4</v>
      </c>
      <c r="C1671" s="47" t="s">
        <v>7754</v>
      </c>
      <c r="D1671" s="47" t="s">
        <v>4620</v>
      </c>
      <c r="E1671" s="47"/>
      <c r="F1671" s="47" t="s">
        <v>7761</v>
      </c>
      <c r="G1671" s="47" t="s">
        <v>13</v>
      </c>
      <c r="H1671" s="47" t="str">
        <f>IFERROR(VLOOKUP(Table2[[#This Row], [Ticket]],Okey!A:B,2,0),"")</f>
        <v/>
      </c>
      <c r="I1671" s="47" t="s">
        <v>6455</v>
      </c>
      <c r="J1671" s="47" t="e">
        <f>VLOOKUP(Table2[[#This Row], [Author]],People!A:B,2,0)</f>
        <v>#VALUE!</v>
      </c>
      <c r="K1671" s="47" t="s">
        <v>7858</v>
      </c>
      <c r="L1671" s="47" t="e">
        <f>VLOOKUP(Table2[[#This Row],[Node]],#REF!,2,0)</f>
        <v>#VALUE!</v>
      </c>
      <c r="M1671" s="49" t="s">
        <v>6110</v>
      </c>
    </row>
    <row r="1672" spans="1:13">
      <c r="A1672" s="48">
        <f t="shared" si="26"/>
        <v>1671</v>
      </c>
      <c r="B1672" s="47" t="s">
        <v>4</v>
      </c>
      <c r="C1672" s="47" t="s">
        <v>7754</v>
      </c>
      <c r="D1672" s="47" t="s">
        <v>4622</v>
      </c>
      <c r="E1672" s="47"/>
      <c r="F1672" s="47" t="s">
        <v>7761</v>
      </c>
      <c r="G1672" s="47" t="s">
        <v>13</v>
      </c>
      <c r="H1672" s="47" t="str">
        <f>IFERROR(VLOOKUP(Table2[[#This Row], [Ticket]],Okey!A:B,2,0),"")</f>
        <v/>
      </c>
      <c r="I1672" s="47" t="s">
        <v>6455</v>
      </c>
      <c r="J1672" s="47" t="e">
        <f>VLOOKUP(Table2[[#This Row], [Author]],People!A:B,2,0)</f>
        <v>#VALUE!</v>
      </c>
      <c r="K1672" s="47" t="s">
        <v>7858</v>
      </c>
      <c r="L1672" s="47" t="e">
        <f>VLOOKUP(Table2[[#This Row],[Node]],#REF!,2,0)</f>
        <v>#VALUE!</v>
      </c>
      <c r="M1672" s="49" t="s">
        <v>6110</v>
      </c>
    </row>
    <row r="1673" spans="1:13">
      <c r="A1673" s="48">
        <f t="shared" si="26"/>
        <v>1672</v>
      </c>
      <c r="B1673" s="47" t="s">
        <v>4</v>
      </c>
      <c r="C1673" s="47" t="s">
        <v>7754</v>
      </c>
      <c r="D1673" s="47" t="s">
        <v>4624</v>
      </c>
      <c r="E1673" s="47"/>
      <c r="F1673" s="47" t="s">
        <v>7761</v>
      </c>
      <c r="G1673" s="47" t="s">
        <v>13</v>
      </c>
      <c r="H1673" s="47" t="str">
        <f>IFERROR(VLOOKUP(Table2[[#This Row], [Ticket]],Okey!A:B,2,0),"")</f>
        <v/>
      </c>
      <c r="I1673" s="47" t="s">
        <v>6455</v>
      </c>
      <c r="J1673" s="47" t="e">
        <f>VLOOKUP(Table2[[#This Row], [Author]],People!A:B,2,0)</f>
        <v>#VALUE!</v>
      </c>
      <c r="K1673" s="47" t="s">
        <v>7858</v>
      </c>
      <c r="L1673" s="47" t="e">
        <f>VLOOKUP(Table2[[#This Row],[Node]],#REF!,2,0)</f>
        <v>#VALUE!</v>
      </c>
      <c r="M1673" s="49" t="s">
        <v>6110</v>
      </c>
    </row>
    <row r="1674" spans="1:13">
      <c r="A1674" s="48">
        <f t="shared" si="26"/>
        <v>1673</v>
      </c>
      <c r="B1674" s="47" t="s">
        <v>4</v>
      </c>
      <c r="C1674" s="47" t="s">
        <v>7754</v>
      </c>
      <c r="D1674" s="47" t="s">
        <v>4608</v>
      </c>
      <c r="E1674" s="47"/>
      <c r="F1674" s="47" t="s">
        <v>7761</v>
      </c>
      <c r="G1674" s="47" t="s">
        <v>13</v>
      </c>
      <c r="H1674" s="47" t="str">
        <f>IFERROR(VLOOKUP(Table2[[#This Row], [Ticket]],Okey!A:B,2,0),"")</f>
        <v/>
      </c>
      <c r="I1674" s="47" t="s">
        <v>6455</v>
      </c>
      <c r="J1674" s="47" t="e">
        <f>VLOOKUP(Table2[[#This Row], [Author]],People!A:B,2,0)</f>
        <v>#VALUE!</v>
      </c>
      <c r="K1674" s="47" t="s">
        <v>7858</v>
      </c>
      <c r="L1674" s="47" t="e">
        <f>VLOOKUP(Table2[[#This Row],[Node]],#REF!,2,0)</f>
        <v>#VALUE!</v>
      </c>
      <c r="M1674" s="49" t="s">
        <v>6110</v>
      </c>
    </row>
    <row r="1675" spans="1:13">
      <c r="A1675" s="48">
        <f t="shared" si="26"/>
        <v>1674</v>
      </c>
      <c r="B1675" s="47" t="s">
        <v>4</v>
      </c>
      <c r="C1675" s="47" t="s">
        <v>7754</v>
      </c>
      <c r="D1675" s="47" t="s">
        <v>4612</v>
      </c>
      <c r="E1675" s="47"/>
      <c r="F1675" s="47" t="s">
        <v>7761</v>
      </c>
      <c r="G1675" s="47" t="s">
        <v>13</v>
      </c>
      <c r="H1675" s="47" t="str">
        <f>IFERROR(VLOOKUP(Table2[[#This Row], [Ticket]],Okey!A:B,2,0),"")</f>
        <v/>
      </c>
      <c r="I1675" s="47" t="s">
        <v>6455</v>
      </c>
      <c r="J1675" s="47" t="e">
        <f>VLOOKUP(Table2[[#This Row], [Author]],People!A:B,2,0)</f>
        <v>#VALUE!</v>
      </c>
      <c r="K1675" s="47" t="s">
        <v>7858</v>
      </c>
      <c r="L1675" s="47" t="e">
        <f>VLOOKUP(Table2[[#This Row],[Node]],#REF!,2,0)</f>
        <v>#VALUE!</v>
      </c>
      <c r="M1675" s="49" t="s">
        <v>6110</v>
      </c>
    </row>
    <row r="1676" spans="1:13">
      <c r="A1676" s="48">
        <f t="shared" si="26"/>
        <v>1675</v>
      </c>
      <c r="B1676" s="47" t="s">
        <v>4</v>
      </c>
      <c r="C1676" s="47" t="s">
        <v>7754</v>
      </c>
      <c r="D1676" s="47" t="s">
        <v>4618</v>
      </c>
      <c r="E1676" s="47"/>
      <c r="F1676" s="47" t="s">
        <v>7761</v>
      </c>
      <c r="G1676" s="47" t="s">
        <v>13</v>
      </c>
      <c r="H1676" s="47" t="str">
        <f>IFERROR(VLOOKUP(Table2[[#This Row], [Ticket]],Okey!A:B,2,0),"")</f>
        <v/>
      </c>
      <c r="I1676" s="47" t="s">
        <v>6455</v>
      </c>
      <c r="J1676" s="47" t="e">
        <f>VLOOKUP(Table2[[#This Row], [Author]],People!A:B,2,0)</f>
        <v>#VALUE!</v>
      </c>
      <c r="K1676" s="47" t="s">
        <v>7858</v>
      </c>
      <c r="L1676" s="47" t="e">
        <f>VLOOKUP(Table2[[#This Row],[Node]],#REF!,2,0)</f>
        <v>#VALUE!</v>
      </c>
      <c r="M1676" s="49" t="s">
        <v>6110</v>
      </c>
    </row>
    <row r="1677" spans="1:13">
      <c r="A1677" s="48">
        <f t="shared" si="26"/>
        <v>1676</v>
      </c>
      <c r="B1677" s="47" t="s">
        <v>4</v>
      </c>
      <c r="C1677" s="47" t="s">
        <v>7754</v>
      </c>
      <c r="D1677" s="47" t="s">
        <v>3157</v>
      </c>
      <c r="E1677" s="47"/>
      <c r="F1677" s="47" t="s">
        <v>2433</v>
      </c>
      <c r="G1677" s="47" t="s">
        <v>13</v>
      </c>
      <c r="H1677" s="47" t="str">
        <f>IFERROR(VLOOKUP(Table2[[#This Row], [Ticket]],Okey!A:B,2,0),"")</f>
        <v/>
      </c>
      <c r="I1677" s="47" t="s">
        <v>6455</v>
      </c>
      <c r="J1677" s="47" t="e">
        <f>VLOOKUP(Table2[[#This Row], [Author]],People!A:B,2,0)</f>
        <v>#VALUE!</v>
      </c>
      <c r="K1677" s="47" t="s">
        <v>7858</v>
      </c>
      <c r="L1677" s="47" t="e">
        <f>VLOOKUP(Table2[[#This Row],[Node]],#REF!,2,0)</f>
        <v>#VALUE!</v>
      </c>
      <c r="M1677" s="49" t="s">
        <v>6110</v>
      </c>
    </row>
    <row r="1678" spans="1:13">
      <c r="A1678" s="48">
        <f t="shared" si="26"/>
        <v>1677</v>
      </c>
      <c r="B1678" s="47" t="s">
        <v>4</v>
      </c>
      <c r="C1678" s="47" t="s">
        <v>7754</v>
      </c>
      <c r="D1678" s="47" t="s">
        <v>7804</v>
      </c>
      <c r="E1678" s="47"/>
      <c r="F1678" s="47" t="s">
        <v>275</v>
      </c>
      <c r="G1678" s="47" t="s">
        <v>12</v>
      </c>
      <c r="H1678" s="47" t="str">
        <f>IFERROR(VLOOKUP(Table2[[#This Row], [Ticket]],Okey!A:B,2,0),"")</f>
        <v/>
      </c>
      <c r="I1678" s="47" t="s">
        <v>6455</v>
      </c>
      <c r="J1678" s="47" t="e">
        <f>VLOOKUP(Table2[[#This Row], [Author]],People!A:B,2,0)</f>
        <v>#VALUE!</v>
      </c>
      <c r="K1678" s="47" t="s">
        <v>7858</v>
      </c>
      <c r="L1678" s="47"/>
      <c r="M1678" s="49" t="s">
        <v>6110</v>
      </c>
    </row>
    <row r="1679" spans="1:13">
      <c r="A1679" s="48">
        <f t="shared" si="26"/>
        <v>1678</v>
      </c>
      <c r="B1679" s="47" t="s">
        <v>4</v>
      </c>
      <c r="C1679" s="47" t="s">
        <v>7754</v>
      </c>
      <c r="D1679" s="47" t="s">
        <v>7805</v>
      </c>
      <c r="E1679" s="47"/>
      <c r="F1679" s="47" t="s">
        <v>275</v>
      </c>
      <c r="G1679" s="47" t="s">
        <v>12</v>
      </c>
      <c r="H1679" s="47" t="str">
        <f>IFERROR(VLOOKUP(Table2[[#This Row], [Ticket]],Okey!A:B,2,0),"")</f>
        <v/>
      </c>
      <c r="I1679" s="47" t="s">
        <v>6455</v>
      </c>
      <c r="J1679" s="47" t="e">
        <f>VLOOKUP(Table2[[#This Row], [Author]],People!A:B,2,0)</f>
        <v>#VALUE!</v>
      </c>
      <c r="K1679" s="47" t="s">
        <v>7858</v>
      </c>
      <c r="L1679" s="47"/>
      <c r="M1679" s="49" t="s">
        <v>6110</v>
      </c>
    </row>
    <row r="1680" spans="1:13">
      <c r="A1680" s="48">
        <f t="shared" si="26"/>
        <v>1679</v>
      </c>
      <c r="B1680" s="47" t="s">
        <v>4</v>
      </c>
      <c r="C1680" s="47" t="s">
        <v>7754</v>
      </c>
      <c r="D1680" s="47" t="s">
        <v>4608</v>
      </c>
      <c r="E1680" s="47" t="s">
        <v>7806</v>
      </c>
      <c r="F1680" s="47"/>
      <c r="G1680" s="47" t="s">
        <v>15</v>
      </c>
      <c r="H1680" s="47" t="str">
        <f>IFERROR(VLOOKUP(Table2[[#This Row], [Ticket]],Okey!A:B,2,0),"")</f>
        <v/>
      </c>
      <c r="I1680" s="47" t="s">
        <v>6455</v>
      </c>
      <c r="J1680" s="47" t="e">
        <f>VLOOKUP(Table2[[#This Row], [Author]],People!A:B,2,0)</f>
        <v>#VALUE!</v>
      </c>
      <c r="K1680" s="47" t="s">
        <v>7856</v>
      </c>
      <c r="L1680" s="47"/>
      <c r="M1680" s="49" t="s">
        <v>6110</v>
      </c>
    </row>
    <row r="1681" spans="1:13">
      <c r="A1681" s="48">
        <f t="shared" si="26"/>
        <v>1680</v>
      </c>
      <c r="B1681" s="47" t="s">
        <v>4</v>
      </c>
      <c r="C1681" s="47" t="s">
        <v>7754</v>
      </c>
      <c r="D1681" s="47" t="s">
        <v>4612</v>
      </c>
      <c r="E1681" s="47" t="s">
        <v>7807</v>
      </c>
      <c r="F1681" s="47"/>
      <c r="G1681" s="47" t="s">
        <v>15</v>
      </c>
      <c r="H1681" s="47" t="str">
        <f>IFERROR(VLOOKUP(Table2[[#This Row], [Ticket]],Okey!A:B,2,0),"")</f>
        <v/>
      </c>
      <c r="I1681" s="47" t="s">
        <v>6455</v>
      </c>
      <c r="J1681" s="47" t="e">
        <f>VLOOKUP(Table2[[#This Row], [Author]],People!A:B,2,0)</f>
        <v>#VALUE!</v>
      </c>
      <c r="K1681" s="47" t="s">
        <v>7856</v>
      </c>
      <c r="L1681" s="47"/>
      <c r="M1681" s="49" t="s">
        <v>6110</v>
      </c>
    </row>
    <row r="1682" spans="1:13">
      <c r="A1682" s="48">
        <f t="shared" si="26"/>
        <v>1681</v>
      </c>
      <c r="B1682" s="47" t="s">
        <v>4</v>
      </c>
      <c r="C1682" s="47" t="s">
        <v>7754</v>
      </c>
      <c r="D1682" s="47" t="s">
        <v>4618</v>
      </c>
      <c r="E1682" s="47" t="s">
        <v>7808</v>
      </c>
      <c r="F1682" s="47"/>
      <c r="G1682" s="47" t="s">
        <v>15</v>
      </c>
      <c r="H1682" s="47" t="str">
        <f>IFERROR(VLOOKUP(Table2[[#This Row], [Ticket]],Okey!A:B,2,0),"")</f>
        <v/>
      </c>
      <c r="I1682" s="47" t="s">
        <v>6455</v>
      </c>
      <c r="J1682" s="47" t="e">
        <f>VLOOKUP(Table2[[#This Row], [Author]],People!A:B,2,0)</f>
        <v>#VALUE!</v>
      </c>
      <c r="K1682" s="47" t="s">
        <v>7856</v>
      </c>
      <c r="L1682" s="47"/>
      <c r="M1682" s="49" t="s">
        <v>6110</v>
      </c>
    </row>
    <row r="1683" spans="1:13">
      <c r="A1683" s="48">
        <f t="shared" si="26"/>
        <v>1682</v>
      </c>
      <c r="B1683" s="47" t="s">
        <v>4</v>
      </c>
      <c r="C1683" s="47" t="s">
        <v>7754</v>
      </c>
      <c r="D1683" s="47" t="s">
        <v>4614</v>
      </c>
      <c r="E1683" s="47" t="s">
        <v>7809</v>
      </c>
      <c r="F1683" s="47"/>
      <c r="G1683" s="47" t="s">
        <v>15</v>
      </c>
      <c r="H1683" s="47" t="str">
        <f>IFERROR(VLOOKUP(Table2[[#This Row], [Ticket]],Okey!A:B,2,0),"")</f>
        <v/>
      </c>
      <c r="I1683" s="47" t="s">
        <v>6455</v>
      </c>
      <c r="J1683" s="47" t="e">
        <f>VLOOKUP(Table2[[#This Row], [Author]],People!A:B,2,0)</f>
        <v>#VALUE!</v>
      </c>
      <c r="K1683" s="47" t="s">
        <v>7856</v>
      </c>
      <c r="L1683" s="47"/>
      <c r="M1683" s="49" t="s">
        <v>6110</v>
      </c>
    </row>
    <row r="1684" spans="1:13" ht="75">
      <c r="A1684" s="48">
        <f t="shared" si="26"/>
        <v>1683</v>
      </c>
      <c r="B1684" s="47" t="s">
        <v>4</v>
      </c>
      <c r="C1684" s="47" t="s">
        <v>7878</v>
      </c>
      <c r="D1684" s="47" t="s">
        <v>6264</v>
      </c>
      <c r="E1684" s="56" t="s">
        <v>7879</v>
      </c>
      <c r="F1684" s="47" t="s">
        <v>5272</v>
      </c>
      <c r="G1684" s="47" t="s">
        <v>16</v>
      </c>
      <c r="H1684" s="47" t="str">
        <f>IFERROR(VLOOKUP(Table2[[#This Row], [Ticket]],Okey!A:B,2,0),"")</f>
        <v/>
      </c>
      <c r="I1684" s="47" t="s">
        <v>6455</v>
      </c>
      <c r="J1684" s="47" t="s">
        <v>17</v>
      </c>
      <c r="K1684" s="47"/>
      <c r="L1684" s="47"/>
      <c r="M1684" s="49" t="s">
        <v>6354</v>
      </c>
    </row>
    <row r="1685" spans="1:13">
      <c r="A1685" s="48">
        <f t="shared" si="26"/>
        <v>1684</v>
      </c>
      <c r="B1685" s="47" t="s">
        <v>4</v>
      </c>
      <c r="C1685" s="47" t="s">
        <v>7880</v>
      </c>
      <c r="D1685" s="47" t="s">
        <v>7898</v>
      </c>
      <c r="E1685" s="47" t="s">
        <v>7881</v>
      </c>
      <c r="F1685" s="47" t="s">
        <v>6387</v>
      </c>
      <c r="G1685" s="47" t="s">
        <v>14</v>
      </c>
      <c r="H1685" s="47" t="str">
        <f>IFERROR(VLOOKUP(Table2[[#This Row], [Ticket]],Okey!A:B,2,0),"")</f>
        <v/>
      </c>
      <c r="I1685" s="47" t="s">
        <v>6455</v>
      </c>
      <c r="J1685" s="47" t="s">
        <v>17</v>
      </c>
      <c r="K1685" s="47"/>
      <c r="L1685" s="47"/>
      <c r="M1685" s="49" t="s">
        <v>6354</v>
      </c>
    </row>
    <row r="1686" spans="1:13">
      <c r="A1686" s="48">
        <f t="shared" si="26"/>
        <v>1685</v>
      </c>
      <c r="B1686" s="47" t="s">
        <v>4</v>
      </c>
      <c r="C1686" s="47" t="s">
        <v>7880</v>
      </c>
      <c r="D1686" s="47" t="s">
        <v>7882</v>
      </c>
      <c r="E1686" s="47" t="s">
        <v>7881</v>
      </c>
      <c r="F1686" s="47" t="s">
        <v>7898</v>
      </c>
      <c r="G1686" s="47" t="s">
        <v>16</v>
      </c>
      <c r="H1686" s="47" t="str">
        <f>IFERROR(VLOOKUP(Table2[[#This Row], [Ticket]],Okey!A:B,2,0),"")</f>
        <v/>
      </c>
      <c r="I1686" s="47" t="s">
        <v>6455</v>
      </c>
      <c r="J1686" s="47" t="s">
        <v>17</v>
      </c>
      <c r="K1686" s="47"/>
      <c r="L1686" s="47"/>
      <c r="M1686" s="49" t="s">
        <v>6354</v>
      </c>
    </row>
    <row r="1687" spans="1:13">
      <c r="A1687" s="48">
        <f t="shared" si="26"/>
        <v>1686</v>
      </c>
      <c r="B1687" s="47" t="s">
        <v>4</v>
      </c>
      <c r="C1687" s="47" t="s">
        <v>7880</v>
      </c>
      <c r="D1687" s="47" t="s">
        <v>7899</v>
      </c>
      <c r="E1687" s="47" t="s">
        <v>7883</v>
      </c>
      <c r="F1687" s="47" t="s">
        <v>6387</v>
      </c>
      <c r="G1687" s="47" t="s">
        <v>14</v>
      </c>
      <c r="H1687" s="47" t="str">
        <f>IFERROR(VLOOKUP(Table2[[#This Row], [Ticket]],Okey!A:B,2,0),"")</f>
        <v/>
      </c>
      <c r="I1687" s="47" t="s">
        <v>6455</v>
      </c>
      <c r="J1687" s="47" t="s">
        <v>17</v>
      </c>
      <c r="K1687" s="47"/>
      <c r="L1687" s="47"/>
      <c r="M1687" s="49" t="s">
        <v>6354</v>
      </c>
    </row>
    <row r="1688" spans="1:13">
      <c r="A1688" s="48">
        <f t="shared" si="26"/>
        <v>1687</v>
      </c>
      <c r="B1688" s="47" t="s">
        <v>4</v>
      </c>
      <c r="C1688" s="47" t="s">
        <v>7880</v>
      </c>
      <c r="D1688" s="47" t="s">
        <v>7884</v>
      </c>
      <c r="E1688" s="47" t="s">
        <v>7883</v>
      </c>
      <c r="F1688" s="47" t="s">
        <v>7899</v>
      </c>
      <c r="G1688" s="47" t="s">
        <v>16</v>
      </c>
      <c r="H1688" s="47" t="str">
        <f>IFERROR(VLOOKUP(Table2[[#This Row], [Ticket]],Okey!A:B,2,0),"")</f>
        <v/>
      </c>
      <c r="I1688" s="47" t="s">
        <v>6455</v>
      </c>
      <c r="J1688" s="47" t="s">
        <v>17</v>
      </c>
      <c r="K1688" s="47"/>
      <c r="L1688" s="47"/>
      <c r="M1688" s="49" t="s">
        <v>6354</v>
      </c>
    </row>
    <row r="1689" spans="1:13">
      <c r="A1689" s="48">
        <f t="shared" si="26"/>
        <v>1688</v>
      </c>
      <c r="B1689" s="47" t="s">
        <v>4</v>
      </c>
      <c r="C1689" s="47" t="s">
        <v>7880</v>
      </c>
      <c r="D1689" s="47" t="s">
        <v>7900</v>
      </c>
      <c r="E1689" s="47" t="s">
        <v>7885</v>
      </c>
      <c r="F1689" s="47" t="s">
        <v>6387</v>
      </c>
      <c r="G1689" s="47" t="s">
        <v>14</v>
      </c>
      <c r="H1689" s="47" t="str">
        <f>IFERROR(VLOOKUP(Table2[[#This Row], [Ticket]],Okey!A:B,2,0),"")</f>
        <v/>
      </c>
      <c r="I1689" s="47" t="s">
        <v>6455</v>
      </c>
      <c r="J1689" s="47" t="s">
        <v>17</v>
      </c>
      <c r="K1689" s="47"/>
      <c r="L1689" s="47"/>
      <c r="M1689" s="49" t="s">
        <v>6354</v>
      </c>
    </row>
    <row r="1690" spans="1:13">
      <c r="A1690" s="48">
        <f t="shared" si="26"/>
        <v>1689</v>
      </c>
      <c r="B1690" s="47" t="s">
        <v>4</v>
      </c>
      <c r="C1690" s="47" t="s">
        <v>7880</v>
      </c>
      <c r="D1690" s="47" t="s">
        <v>7886</v>
      </c>
      <c r="E1690" s="47" t="s">
        <v>7885</v>
      </c>
      <c r="F1690" s="47" t="s">
        <v>7900</v>
      </c>
      <c r="G1690" s="47" t="s">
        <v>16</v>
      </c>
      <c r="H1690" s="47" t="str">
        <f>IFERROR(VLOOKUP(Table2[[#This Row], [Ticket]],Okey!A:B,2,0),"")</f>
        <v/>
      </c>
      <c r="I1690" s="47" t="s">
        <v>6455</v>
      </c>
      <c r="J1690" s="47" t="s">
        <v>17</v>
      </c>
      <c r="K1690" s="47"/>
      <c r="L1690" s="47"/>
      <c r="M1690" s="49" t="s">
        <v>6354</v>
      </c>
    </row>
    <row r="1691" spans="1:13">
      <c r="A1691" s="48">
        <f t="shared" si="26"/>
        <v>1690</v>
      </c>
      <c r="B1691" s="47" t="s">
        <v>4</v>
      </c>
      <c r="C1691" s="47" t="s">
        <v>7880</v>
      </c>
      <c r="D1691" s="47" t="s">
        <v>7901</v>
      </c>
      <c r="E1691" s="47" t="s">
        <v>7887</v>
      </c>
      <c r="F1691" s="47" t="s">
        <v>1238</v>
      </c>
      <c r="G1691" s="47" t="s">
        <v>14</v>
      </c>
      <c r="H1691" s="47" t="str">
        <f>IFERROR(VLOOKUP(Table2[[#This Row], [Ticket]],Okey!A:B,2,0),"")</f>
        <v/>
      </c>
      <c r="I1691" s="47" t="s">
        <v>6455</v>
      </c>
      <c r="J1691" s="47" t="s">
        <v>17</v>
      </c>
      <c r="K1691" s="47"/>
      <c r="L1691" s="47"/>
      <c r="M1691" s="49" t="s">
        <v>6354</v>
      </c>
    </row>
    <row r="1692" spans="1:13">
      <c r="A1692" s="48">
        <f t="shared" si="26"/>
        <v>1691</v>
      </c>
      <c r="B1692" s="47" t="s">
        <v>4</v>
      </c>
      <c r="C1692" s="47" t="s">
        <v>7880</v>
      </c>
      <c r="D1692" s="47" t="s">
        <v>7888</v>
      </c>
      <c r="E1692" s="47" t="s">
        <v>7887</v>
      </c>
      <c r="F1692" s="47" t="s">
        <v>7901</v>
      </c>
      <c r="G1692" s="47" t="s">
        <v>16</v>
      </c>
      <c r="H1692" s="47" t="str">
        <f>IFERROR(VLOOKUP(Table2[[#This Row], [Ticket]],Okey!A:B,2,0),"")</f>
        <v/>
      </c>
      <c r="I1692" s="47" t="s">
        <v>6455</v>
      </c>
      <c r="J1692" s="47" t="s">
        <v>17</v>
      </c>
      <c r="K1692" s="47"/>
      <c r="L1692" s="47"/>
      <c r="M1692" s="49" t="s">
        <v>6354</v>
      </c>
    </row>
    <row r="1693" spans="1:13">
      <c r="A1693" s="48">
        <f t="shared" si="26"/>
        <v>1692</v>
      </c>
      <c r="B1693" s="47" t="s">
        <v>4</v>
      </c>
      <c r="C1693" s="47" t="s">
        <v>7880</v>
      </c>
      <c r="D1693" s="47" t="s">
        <v>6266</v>
      </c>
      <c r="E1693" s="47" t="s">
        <v>7879</v>
      </c>
      <c r="F1693" s="47"/>
      <c r="G1693" s="47" t="s">
        <v>15</v>
      </c>
      <c r="H1693" s="47" t="str">
        <f>IFERROR(VLOOKUP(Table2[[#This Row], [Ticket]],Okey!A:B,2,0),"")</f>
        <v/>
      </c>
      <c r="I1693" s="47" t="s">
        <v>6455</v>
      </c>
      <c r="J1693" s="47" t="s">
        <v>17</v>
      </c>
      <c r="K1693" s="47"/>
      <c r="L1693" s="47"/>
      <c r="M1693" s="49" t="s">
        <v>6354</v>
      </c>
    </row>
    <row r="1694" spans="1:13">
      <c r="A1694" s="48">
        <f t="shared" si="26"/>
        <v>1693</v>
      </c>
      <c r="B1694" s="47" t="s">
        <v>4</v>
      </c>
      <c r="C1694" s="47" t="s">
        <v>7880</v>
      </c>
      <c r="D1694" s="47" t="s">
        <v>6268</v>
      </c>
      <c r="E1694" s="47" t="s">
        <v>7889</v>
      </c>
      <c r="F1694" s="47"/>
      <c r="G1694" s="47" t="s">
        <v>15</v>
      </c>
      <c r="H1694" s="47" t="str">
        <f>IFERROR(VLOOKUP(Table2[[#This Row], [Ticket]],Okey!A:B,2,0),"")</f>
        <v/>
      </c>
      <c r="I1694" s="47" t="s">
        <v>6455</v>
      </c>
      <c r="J1694" s="47" t="s">
        <v>17</v>
      </c>
      <c r="K1694" s="47"/>
      <c r="L1694" s="47"/>
      <c r="M1694" s="49" t="s">
        <v>6354</v>
      </c>
    </row>
    <row r="1695" spans="1:13">
      <c r="A1695" s="48">
        <f t="shared" si="26"/>
        <v>1694</v>
      </c>
      <c r="B1695" s="47" t="s">
        <v>4</v>
      </c>
      <c r="C1695" s="47" t="s">
        <v>7880</v>
      </c>
      <c r="D1695" s="47" t="s">
        <v>6271</v>
      </c>
      <c r="E1695" s="47" t="s">
        <v>7890</v>
      </c>
      <c r="F1695" s="47"/>
      <c r="G1695" s="47" t="s">
        <v>15</v>
      </c>
      <c r="H1695" s="47" t="str">
        <f>IFERROR(VLOOKUP(Table2[[#This Row], [Ticket]],Okey!A:B,2,0),"")</f>
        <v/>
      </c>
      <c r="I1695" s="47" t="s">
        <v>6455</v>
      </c>
      <c r="J1695" s="47" t="s">
        <v>17</v>
      </c>
      <c r="K1695" s="47"/>
      <c r="L1695" s="47"/>
      <c r="M1695" s="49" t="s">
        <v>6354</v>
      </c>
    </row>
    <row r="1696" spans="1:13">
      <c r="A1696" s="48">
        <f t="shared" si="26"/>
        <v>1695</v>
      </c>
      <c r="B1696" s="47" t="s">
        <v>4</v>
      </c>
      <c r="C1696" s="47" t="s">
        <v>7880</v>
      </c>
      <c r="D1696" s="47" t="s">
        <v>6274</v>
      </c>
      <c r="E1696" s="47" t="s">
        <v>7891</v>
      </c>
      <c r="F1696" s="47"/>
      <c r="G1696" s="47" t="s">
        <v>15</v>
      </c>
      <c r="H1696" s="47" t="str">
        <f>IFERROR(VLOOKUP(Table2[[#This Row], [Ticket]],Okey!A:B,2,0),"")</f>
        <v/>
      </c>
      <c r="I1696" s="47" t="s">
        <v>6455</v>
      </c>
      <c r="J1696" s="47" t="s">
        <v>17</v>
      </c>
      <c r="K1696" s="47"/>
      <c r="L1696" s="47"/>
      <c r="M1696" s="49" t="s">
        <v>6354</v>
      </c>
    </row>
    <row r="1697" spans="1:13">
      <c r="A1697" s="48">
        <f t="shared" si="26"/>
        <v>1696</v>
      </c>
      <c r="B1697" s="47" t="s">
        <v>4</v>
      </c>
      <c r="C1697" s="47" t="s">
        <v>7880</v>
      </c>
      <c r="D1697" s="47" t="s">
        <v>6277</v>
      </c>
      <c r="E1697" s="47" t="s">
        <v>7892</v>
      </c>
      <c r="F1697" s="47"/>
      <c r="G1697" s="47" t="s">
        <v>15</v>
      </c>
      <c r="H1697" s="47" t="str">
        <f>IFERROR(VLOOKUP(Table2[[#This Row], [Ticket]],Okey!A:B,2,0),"")</f>
        <v/>
      </c>
      <c r="I1697" s="47" t="s">
        <v>6455</v>
      </c>
      <c r="J1697" s="47" t="s">
        <v>17</v>
      </c>
      <c r="K1697" s="47"/>
      <c r="L1697" s="47"/>
      <c r="M1697" s="49" t="s">
        <v>6354</v>
      </c>
    </row>
    <row r="1698" spans="1:13">
      <c r="A1698" s="48">
        <f t="shared" si="26"/>
        <v>1697</v>
      </c>
      <c r="B1698" s="47" t="s">
        <v>4</v>
      </c>
      <c r="C1698" s="47" t="s">
        <v>7880</v>
      </c>
      <c r="D1698" s="47" t="s">
        <v>6280</v>
      </c>
      <c r="E1698" s="47" t="s">
        <v>7893</v>
      </c>
      <c r="F1698" s="47"/>
      <c r="G1698" s="47" t="s">
        <v>15</v>
      </c>
      <c r="H1698" s="47" t="str">
        <f>IFERROR(VLOOKUP(Table2[[#This Row], [Ticket]],Okey!A:B,2,0),"")</f>
        <v/>
      </c>
      <c r="I1698" s="47" t="s">
        <v>6455</v>
      </c>
      <c r="J1698" s="47" t="s">
        <v>17</v>
      </c>
      <c r="K1698" s="47"/>
      <c r="L1698" s="47"/>
      <c r="M1698" s="49" t="s">
        <v>6354</v>
      </c>
    </row>
    <row r="1699" spans="1:13">
      <c r="A1699" s="48">
        <f t="shared" si="26"/>
        <v>1698</v>
      </c>
      <c r="B1699" s="47" t="s">
        <v>4</v>
      </c>
      <c r="C1699" s="47" t="s">
        <v>7880</v>
      </c>
      <c r="D1699" s="47" t="s">
        <v>6283</v>
      </c>
      <c r="E1699" s="47" t="s">
        <v>7894</v>
      </c>
      <c r="F1699" s="47"/>
      <c r="G1699" s="47" t="s">
        <v>15</v>
      </c>
      <c r="H1699" s="47" t="str">
        <f>IFERROR(VLOOKUP(Table2[[#This Row], [Ticket]],Okey!A:B,2,0),"")</f>
        <v/>
      </c>
      <c r="I1699" s="47" t="s">
        <v>6455</v>
      </c>
      <c r="J1699" s="47" t="s">
        <v>17</v>
      </c>
      <c r="K1699" s="47"/>
      <c r="L1699" s="47"/>
      <c r="M1699" s="49" t="s">
        <v>6354</v>
      </c>
    </row>
    <row r="1700" spans="1:13">
      <c r="A1700" s="48">
        <f t="shared" si="26"/>
        <v>1699</v>
      </c>
      <c r="B1700" s="47" t="s">
        <v>4</v>
      </c>
      <c r="C1700" s="47" t="s">
        <v>7880</v>
      </c>
      <c r="D1700" s="47" t="s">
        <v>6286</v>
      </c>
      <c r="E1700" s="47" t="s">
        <v>7895</v>
      </c>
      <c r="F1700" s="47"/>
      <c r="G1700" s="47" t="s">
        <v>15</v>
      </c>
      <c r="H1700" s="47" t="str">
        <f>IFERROR(VLOOKUP(Table2[[#This Row], [Ticket]],Okey!A:B,2,0),"")</f>
        <v/>
      </c>
      <c r="I1700" s="47" t="s">
        <v>6455</v>
      </c>
      <c r="J1700" s="47" t="s">
        <v>17</v>
      </c>
      <c r="K1700" s="47"/>
      <c r="L1700" s="47"/>
      <c r="M1700" s="49" t="s">
        <v>6354</v>
      </c>
    </row>
    <row r="1701" spans="1:13">
      <c r="A1701" s="48">
        <f t="shared" si="26"/>
        <v>1700</v>
      </c>
      <c r="B1701" s="47" t="s">
        <v>4</v>
      </c>
      <c r="C1701" s="47" t="s">
        <v>7880</v>
      </c>
      <c r="D1701" s="47" t="s">
        <v>6289</v>
      </c>
      <c r="E1701" s="47" t="s">
        <v>7896</v>
      </c>
      <c r="F1701" s="47"/>
      <c r="G1701" s="47" t="s">
        <v>15</v>
      </c>
      <c r="H1701" s="47" t="str">
        <f>IFERROR(VLOOKUP(Table2[[#This Row], [Ticket]],Okey!A:B,2,0),"")</f>
        <v/>
      </c>
      <c r="I1701" s="47" t="s">
        <v>6455</v>
      </c>
      <c r="J1701" s="47" t="s">
        <v>17</v>
      </c>
      <c r="K1701" s="47"/>
      <c r="L1701" s="47"/>
      <c r="M1701" s="49" t="s">
        <v>6354</v>
      </c>
    </row>
    <row r="1702" spans="1:13">
      <c r="A1702" s="48">
        <f t="shared" si="26"/>
        <v>1701</v>
      </c>
      <c r="B1702" s="47" t="s">
        <v>4</v>
      </c>
      <c r="C1702" s="47" t="s">
        <v>7880</v>
      </c>
      <c r="D1702" s="47" t="s">
        <v>6292</v>
      </c>
      <c r="E1702" s="47" t="s">
        <v>7897</v>
      </c>
      <c r="F1702" s="47"/>
      <c r="G1702" s="47" t="s">
        <v>15</v>
      </c>
      <c r="H1702" s="47" t="str">
        <f>IFERROR(VLOOKUP(Table2[[#This Row], [Ticket]],Okey!A:B,2,0),"")</f>
        <v/>
      </c>
      <c r="I1702" s="47" t="s">
        <v>6455</v>
      </c>
      <c r="J1702" s="47" t="s">
        <v>17</v>
      </c>
      <c r="K1702" s="47"/>
      <c r="L1702" s="47"/>
      <c r="M1702" s="49" t="s">
        <v>6354</v>
      </c>
    </row>
    <row r="1703" spans="1:13">
      <c r="A1703" s="48">
        <f t="shared" si="26"/>
        <v>1702</v>
      </c>
      <c r="B1703" s="47" t="s">
        <v>4</v>
      </c>
      <c r="C1703" s="47" t="s">
        <v>7880</v>
      </c>
      <c r="D1703" s="47" t="s">
        <v>6267</v>
      </c>
      <c r="E1703" s="47" t="s">
        <v>7879</v>
      </c>
      <c r="F1703" s="47"/>
      <c r="G1703" s="47" t="s">
        <v>15</v>
      </c>
      <c r="H1703" s="47" t="str">
        <f>IFERROR(VLOOKUP(Table2[[#This Row], [Ticket]],Okey!A:B,2,0),"")</f>
        <v/>
      </c>
      <c r="I1703" s="47" t="s">
        <v>6455</v>
      </c>
      <c r="J1703" s="47" t="s">
        <v>17</v>
      </c>
      <c r="K1703" s="47"/>
      <c r="L1703" s="47"/>
      <c r="M1703" s="49" t="s">
        <v>6354</v>
      </c>
    </row>
    <row r="1704" spans="1:13">
      <c r="A1704" s="48">
        <f t="shared" si="26"/>
        <v>1703</v>
      </c>
      <c r="B1704" s="47" t="s">
        <v>4</v>
      </c>
      <c r="C1704" s="47" t="s">
        <v>7880</v>
      </c>
      <c r="D1704" s="47" t="s">
        <v>6270</v>
      </c>
      <c r="E1704" s="47" t="s">
        <v>7889</v>
      </c>
      <c r="F1704" s="47"/>
      <c r="G1704" s="47" t="s">
        <v>15</v>
      </c>
      <c r="H1704" s="47" t="str">
        <f>IFERROR(VLOOKUP(Table2[[#This Row], [Ticket]],Okey!A:B,2,0),"")</f>
        <v/>
      </c>
      <c r="I1704" s="47" t="s">
        <v>6455</v>
      </c>
      <c r="J1704" s="47" t="s">
        <v>17</v>
      </c>
      <c r="K1704" s="47"/>
      <c r="L1704" s="47"/>
      <c r="M1704" s="49" t="s">
        <v>6354</v>
      </c>
    </row>
    <row r="1705" spans="1:13">
      <c r="A1705" s="48">
        <f t="shared" si="26"/>
        <v>1704</v>
      </c>
      <c r="B1705" s="47" t="s">
        <v>4</v>
      </c>
      <c r="C1705" s="47" t="s">
        <v>7880</v>
      </c>
      <c r="D1705" s="47" t="s">
        <v>6273</v>
      </c>
      <c r="E1705" s="47" t="s">
        <v>7890</v>
      </c>
      <c r="F1705" s="47"/>
      <c r="G1705" s="47" t="s">
        <v>15</v>
      </c>
      <c r="H1705" s="47" t="str">
        <f>IFERROR(VLOOKUP(Table2[[#This Row], [Ticket]],Okey!A:B,2,0),"")</f>
        <v/>
      </c>
      <c r="I1705" s="47" t="s">
        <v>6455</v>
      </c>
      <c r="J1705" s="47" t="s">
        <v>17</v>
      </c>
      <c r="K1705" s="47"/>
      <c r="L1705" s="47"/>
      <c r="M1705" s="49" t="s">
        <v>6354</v>
      </c>
    </row>
    <row r="1706" spans="1:13">
      <c r="A1706" s="48">
        <f t="shared" si="26"/>
        <v>1705</v>
      </c>
      <c r="B1706" s="47" t="s">
        <v>4</v>
      </c>
      <c r="C1706" s="47" t="s">
        <v>7880</v>
      </c>
      <c r="D1706" s="47" t="s">
        <v>6276</v>
      </c>
      <c r="E1706" s="47" t="s">
        <v>7891</v>
      </c>
      <c r="F1706" s="47"/>
      <c r="G1706" s="47" t="s">
        <v>15</v>
      </c>
      <c r="H1706" s="47" t="str">
        <f>IFERROR(VLOOKUP(Table2[[#This Row], [Ticket]],Okey!A:B,2,0),"")</f>
        <v/>
      </c>
      <c r="I1706" s="47" t="s">
        <v>6455</v>
      </c>
      <c r="J1706" s="47" t="s">
        <v>17</v>
      </c>
      <c r="K1706" s="47"/>
      <c r="L1706" s="47"/>
      <c r="M1706" s="49" t="s">
        <v>6354</v>
      </c>
    </row>
    <row r="1707" spans="1:13">
      <c r="A1707" s="48">
        <f t="shared" si="26"/>
        <v>1706</v>
      </c>
      <c r="B1707" s="47" t="s">
        <v>4</v>
      </c>
      <c r="C1707" s="47" t="s">
        <v>7880</v>
      </c>
      <c r="D1707" s="47" t="s">
        <v>6279</v>
      </c>
      <c r="E1707" s="47" t="s">
        <v>7892</v>
      </c>
      <c r="F1707" s="47"/>
      <c r="G1707" s="47" t="s">
        <v>15</v>
      </c>
      <c r="H1707" s="47" t="str">
        <f>IFERROR(VLOOKUP(Table2[[#This Row], [Ticket]],Okey!A:B,2,0),"")</f>
        <v/>
      </c>
      <c r="I1707" s="47" t="s">
        <v>6455</v>
      </c>
      <c r="J1707" s="47" t="s">
        <v>17</v>
      </c>
      <c r="K1707" s="47"/>
      <c r="L1707" s="47"/>
      <c r="M1707" s="49" t="s">
        <v>6354</v>
      </c>
    </row>
    <row r="1708" spans="1:13">
      <c r="A1708" s="48">
        <f t="shared" si="26"/>
        <v>1707</v>
      </c>
      <c r="B1708" s="47" t="s">
        <v>4</v>
      </c>
      <c r="C1708" s="47" t="s">
        <v>7880</v>
      </c>
      <c r="D1708" s="47" t="s">
        <v>6282</v>
      </c>
      <c r="E1708" s="47" t="s">
        <v>7893</v>
      </c>
      <c r="F1708" s="47"/>
      <c r="G1708" s="47" t="s">
        <v>15</v>
      </c>
      <c r="H1708" s="47" t="str">
        <f>IFERROR(VLOOKUP(Table2[[#This Row], [Ticket]],Okey!A:B,2,0),"")</f>
        <v/>
      </c>
      <c r="I1708" s="47" t="s">
        <v>6455</v>
      </c>
      <c r="J1708" s="47" t="s">
        <v>17</v>
      </c>
      <c r="K1708" s="47"/>
      <c r="L1708" s="47"/>
      <c r="M1708" s="49" t="s">
        <v>6354</v>
      </c>
    </row>
    <row r="1709" spans="1:13">
      <c r="A1709" s="48">
        <f t="shared" si="26"/>
        <v>1708</v>
      </c>
      <c r="B1709" s="47" t="s">
        <v>4</v>
      </c>
      <c r="C1709" s="47" t="s">
        <v>7880</v>
      </c>
      <c r="D1709" s="47" t="s">
        <v>6285</v>
      </c>
      <c r="E1709" s="47" t="s">
        <v>7894</v>
      </c>
      <c r="F1709" s="47"/>
      <c r="G1709" s="47" t="s">
        <v>15</v>
      </c>
      <c r="H1709" s="47" t="str">
        <f>IFERROR(VLOOKUP(Table2[[#This Row], [Ticket]],Okey!A:B,2,0),"")</f>
        <v/>
      </c>
      <c r="I1709" s="47" t="s">
        <v>6455</v>
      </c>
      <c r="J1709" s="47" t="s">
        <v>17</v>
      </c>
      <c r="K1709" s="47"/>
      <c r="L1709" s="47"/>
      <c r="M1709" s="49" t="s">
        <v>6354</v>
      </c>
    </row>
    <row r="1710" spans="1:13">
      <c r="A1710" s="48">
        <f t="shared" si="26"/>
        <v>1709</v>
      </c>
      <c r="B1710" s="47" t="s">
        <v>4</v>
      </c>
      <c r="C1710" s="47" t="s">
        <v>7880</v>
      </c>
      <c r="D1710" s="47" t="s">
        <v>6288</v>
      </c>
      <c r="E1710" s="47" t="s">
        <v>7895</v>
      </c>
      <c r="F1710" s="47"/>
      <c r="G1710" s="47" t="s">
        <v>15</v>
      </c>
      <c r="H1710" s="47" t="str">
        <f>IFERROR(VLOOKUP(Table2[[#This Row], [Ticket]],Okey!A:B,2,0),"")</f>
        <v/>
      </c>
      <c r="I1710" s="47" t="s">
        <v>6455</v>
      </c>
      <c r="J1710" s="47" t="s">
        <v>17</v>
      </c>
      <c r="K1710" s="47"/>
      <c r="L1710" s="47"/>
      <c r="M1710" s="49" t="s">
        <v>6354</v>
      </c>
    </row>
    <row r="1711" spans="1:13">
      <c r="A1711" s="48">
        <f t="shared" si="26"/>
        <v>1710</v>
      </c>
      <c r="B1711" s="47" t="s">
        <v>4</v>
      </c>
      <c r="C1711" s="47" t="s">
        <v>7880</v>
      </c>
      <c r="D1711" s="47" t="s">
        <v>6291</v>
      </c>
      <c r="E1711" s="47" t="s">
        <v>7896</v>
      </c>
      <c r="F1711" s="47"/>
      <c r="G1711" s="47" t="s">
        <v>15</v>
      </c>
      <c r="H1711" s="47" t="str">
        <f>IFERROR(VLOOKUP(Table2[[#This Row], [Ticket]],Okey!A:B,2,0),"")</f>
        <v/>
      </c>
      <c r="I1711" s="47" t="s">
        <v>6455</v>
      </c>
      <c r="J1711" s="47" t="s">
        <v>17</v>
      </c>
      <c r="K1711" s="47"/>
      <c r="L1711" s="47"/>
      <c r="M1711" s="49" t="s">
        <v>6354</v>
      </c>
    </row>
    <row r="1712" spans="1:13">
      <c r="A1712" s="48">
        <f t="shared" si="26"/>
        <v>1711</v>
      </c>
      <c r="B1712" s="47" t="s">
        <v>4</v>
      </c>
      <c r="C1712" s="47" t="s">
        <v>7880</v>
      </c>
      <c r="D1712" s="47" t="s">
        <v>6294</v>
      </c>
      <c r="E1712" s="47" t="s">
        <v>7897</v>
      </c>
      <c r="F1712" s="47"/>
      <c r="G1712" s="47" t="s">
        <v>15</v>
      </c>
      <c r="H1712" s="47" t="str">
        <f>IFERROR(VLOOKUP(Table2[[#This Row], [Ticket]],Okey!A:B,2,0),"")</f>
        <v/>
      </c>
      <c r="I1712" s="47" t="s">
        <v>6455</v>
      </c>
      <c r="J1712" s="47" t="s">
        <v>17</v>
      </c>
      <c r="K1712" s="47"/>
      <c r="L1712" s="47"/>
      <c r="M1712" s="49" t="s">
        <v>6354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outlinePr summaryBelow="0"/>
  </sheetPr>
  <dimension ref="A1:B5"/>
  <sheetViews>
    <sheetView workbookViewId="0"/>
  </sheetViews>
  <sheetFormatPr defaultRowHeight="15"/>
  <cols>
    <col min="1" max="2" width="14.140625" style="9" bestFit="1" customWidth="1"/>
  </cols>
  <sheetData>
    <row r="1" spans="1:2" ht="19.5" customHeight="1">
      <c r="A1" s="7" t="s">
        <v>253</v>
      </c>
      <c r="B1" s="7" t="s">
        <v>254</v>
      </c>
    </row>
    <row r="2" spans="1:2" ht="19.5" customHeight="1">
      <c r="A2" s="7" t="s">
        <v>255</v>
      </c>
      <c r="B2" s="7" t="s">
        <v>256</v>
      </c>
    </row>
    <row r="3" spans="1:2" ht="19.5" customHeight="1">
      <c r="A3" s="7" t="s">
        <v>257</v>
      </c>
      <c r="B3" s="7" t="s">
        <v>258</v>
      </c>
    </row>
    <row r="4" spans="1:2" ht="19.5" customHeight="1">
      <c r="A4" s="7" t="s">
        <v>259</v>
      </c>
      <c r="B4" s="7" t="s">
        <v>17</v>
      </c>
    </row>
    <row r="5" spans="1:2" ht="19.5" customHeight="1">
      <c r="A5" s="7" t="s">
        <v>260</v>
      </c>
      <c r="B5" s="7" t="s">
        <v>261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outlinePr summaryBelow="0"/>
  </sheetPr>
  <dimension ref="A1:P11"/>
  <sheetViews>
    <sheetView workbookViewId="0">
      <selection activeCell="A16" sqref="A16"/>
    </sheetView>
  </sheetViews>
  <sheetFormatPr defaultRowHeight="15"/>
  <cols>
    <col min="1" max="1" width="13.140625" style="5" bestFit="1" customWidth="1"/>
    <col min="2" max="2" width="16.28515625" style="6" bestFit="1" customWidth="1"/>
    <col min="3" max="3" width="6.140625" style="6" bestFit="1" customWidth="1"/>
    <col min="4" max="4" width="5.140625" style="6" bestFit="1" customWidth="1"/>
    <col min="5" max="5" width="8.28515625" style="6" bestFit="1" customWidth="1"/>
    <col min="6" max="6" width="14.42578125" style="6" bestFit="1" customWidth="1"/>
    <col min="7" max="7" width="7.85546875" style="6" bestFit="1" customWidth="1"/>
    <col min="8" max="8" width="7" style="6" bestFit="1" customWidth="1"/>
    <col min="9" max="9" width="6.140625" style="6" bestFit="1" customWidth="1"/>
    <col min="10" max="10" width="5.140625" style="6" bestFit="1" customWidth="1"/>
    <col min="11" max="11" width="8.28515625" style="6" bestFit="1" customWidth="1"/>
    <col min="12" max="12" width="14.42578125" style="6" bestFit="1" customWidth="1"/>
    <col min="13" max="13" width="7.85546875" style="6" bestFit="1" customWidth="1"/>
    <col min="14" max="14" width="6.140625" style="6" bestFit="1" customWidth="1"/>
    <col min="15" max="15" width="7.85546875" style="6" bestFit="1" customWidth="1"/>
    <col min="16" max="16" width="11.28515625" style="6" bestFit="1" customWidth="1"/>
  </cols>
  <sheetData>
    <row r="1" spans="1:16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9.5" customHeight="1">
      <c r="A2" s="1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9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9.5" customHeight="1">
      <c r="A4" s="1" t="s">
        <v>2</v>
      </c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9.5" customHeight="1">
      <c r="A5" s="1"/>
      <c r="B5" s="2" t="s">
        <v>4</v>
      </c>
      <c r="C5" s="2"/>
      <c r="D5" s="2"/>
      <c r="E5" s="2"/>
      <c r="F5" s="2"/>
      <c r="G5" s="2" t="s">
        <v>5</v>
      </c>
      <c r="H5" s="2" t="s">
        <v>6</v>
      </c>
      <c r="I5" s="2"/>
      <c r="J5" s="2"/>
      <c r="K5" s="2"/>
      <c r="L5" s="2"/>
      <c r="M5" s="2" t="s">
        <v>7</v>
      </c>
      <c r="N5" s="2" t="s">
        <v>8</v>
      </c>
      <c r="O5" s="2" t="s">
        <v>9</v>
      </c>
      <c r="P5" s="2" t="s">
        <v>10</v>
      </c>
    </row>
    <row r="6" spans="1:16" ht="19.5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/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/>
      <c r="N6" s="2" t="s">
        <v>13</v>
      </c>
      <c r="O6" s="2"/>
      <c r="P6" s="2"/>
    </row>
    <row r="7" spans="1:16" ht="19.5" customHeight="1">
      <c r="A7" s="3" t="s">
        <v>17</v>
      </c>
      <c r="B7" s="4">
        <v>3</v>
      </c>
      <c r="C7" s="4">
        <v>40</v>
      </c>
      <c r="D7" s="4">
        <v>79</v>
      </c>
      <c r="E7" s="4">
        <v>10</v>
      </c>
      <c r="F7" s="4">
        <v>2</v>
      </c>
      <c r="G7" s="4">
        <v>134</v>
      </c>
      <c r="H7" s="2"/>
      <c r="I7" s="4">
        <v>30</v>
      </c>
      <c r="J7" s="4">
        <v>4</v>
      </c>
      <c r="K7" s="4">
        <v>6</v>
      </c>
      <c r="L7" s="4">
        <v>2</v>
      </c>
      <c r="M7" s="4">
        <v>42</v>
      </c>
      <c r="N7" s="4">
        <v>7</v>
      </c>
      <c r="O7" s="4">
        <v>7</v>
      </c>
      <c r="P7" s="4">
        <v>183</v>
      </c>
    </row>
    <row r="8" spans="1:16" ht="19.5" customHeight="1">
      <c r="A8" s="3" t="s">
        <v>18</v>
      </c>
      <c r="B8" s="4">
        <v>8</v>
      </c>
      <c r="C8" s="4">
        <v>35</v>
      </c>
      <c r="D8" s="4">
        <v>27</v>
      </c>
      <c r="E8" s="4">
        <v>10</v>
      </c>
      <c r="F8" s="4">
        <v>2</v>
      </c>
      <c r="G8" s="4">
        <v>82</v>
      </c>
      <c r="H8" s="2"/>
      <c r="I8" s="4">
        <v>18</v>
      </c>
      <c r="J8" s="4">
        <v>7</v>
      </c>
      <c r="K8" s="4">
        <v>2</v>
      </c>
      <c r="L8" s="4">
        <v>15</v>
      </c>
      <c r="M8" s="4">
        <v>42</v>
      </c>
      <c r="N8" s="2"/>
      <c r="O8" s="2"/>
      <c r="P8" s="4">
        <v>124</v>
      </c>
    </row>
    <row r="9" spans="1:16" ht="19.5" customHeight="1">
      <c r="A9" s="3" t="s">
        <v>19</v>
      </c>
      <c r="B9" s="4">
        <v>4</v>
      </c>
      <c r="C9" s="2"/>
      <c r="D9" s="4">
        <v>6</v>
      </c>
      <c r="E9" s="4">
        <v>8</v>
      </c>
      <c r="F9" s="2"/>
      <c r="G9" s="4">
        <v>18</v>
      </c>
      <c r="H9" s="2"/>
      <c r="I9" s="2"/>
      <c r="J9" s="2"/>
      <c r="K9" s="2"/>
      <c r="L9" s="2"/>
      <c r="M9" s="2"/>
      <c r="N9" s="2"/>
      <c r="O9" s="2"/>
      <c r="P9" s="4">
        <v>18</v>
      </c>
    </row>
    <row r="10" spans="1:16" ht="19.5" customHeight="1">
      <c r="A10" s="3" t="s">
        <v>20</v>
      </c>
      <c r="B10" s="4">
        <v>1</v>
      </c>
      <c r="C10" s="2"/>
      <c r="D10" s="4">
        <v>54</v>
      </c>
      <c r="E10" s="2"/>
      <c r="F10" s="2"/>
      <c r="G10" s="4">
        <v>55</v>
      </c>
      <c r="H10" s="4">
        <v>16</v>
      </c>
      <c r="I10" s="4">
        <v>1</v>
      </c>
      <c r="J10" s="4">
        <v>14</v>
      </c>
      <c r="K10" s="4">
        <v>93</v>
      </c>
      <c r="L10" s="2"/>
      <c r="M10" s="4">
        <v>124</v>
      </c>
      <c r="N10" s="2"/>
      <c r="O10" s="2"/>
      <c r="P10" s="4">
        <v>179</v>
      </c>
    </row>
    <row r="11" spans="1:16" ht="19.5" customHeight="1">
      <c r="A11" s="3" t="s">
        <v>10</v>
      </c>
      <c r="B11" s="4">
        <v>16</v>
      </c>
      <c r="C11" s="4">
        <v>75</v>
      </c>
      <c r="D11" s="4">
        <v>166</v>
      </c>
      <c r="E11" s="4">
        <v>28</v>
      </c>
      <c r="F11" s="4">
        <v>4</v>
      </c>
      <c r="G11" s="4">
        <v>289</v>
      </c>
      <c r="H11" s="4">
        <v>16</v>
      </c>
      <c r="I11" s="4">
        <v>49</v>
      </c>
      <c r="J11" s="4">
        <v>25</v>
      </c>
      <c r="K11" s="4">
        <v>101</v>
      </c>
      <c r="L11" s="4">
        <v>17</v>
      </c>
      <c r="M11" s="4">
        <v>208</v>
      </c>
      <c r="N11" s="4">
        <v>7</v>
      </c>
      <c r="O11" s="4">
        <v>7</v>
      </c>
      <c r="P11" s="4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pvt</vt:lpstr>
      <vt:lpstr>Okey</vt:lpstr>
      <vt:lpstr>STUCT1</vt:lpstr>
      <vt:lpstr>Sheet3</vt:lpstr>
      <vt:lpstr>Sheet2</vt:lpstr>
      <vt:lpstr>Sheet1</vt:lpstr>
      <vt:lpstr>Names</vt:lpstr>
      <vt:lpstr>NEW NODES</vt:lpstr>
      <vt:lpstr>People</vt:lpstr>
      <vt:lpstr>2023</vt:lpstr>
      <vt:lpstr>2024</vt:lpstr>
      <vt:lpstr>old</vt:lpstr>
      <vt:lpstr>Sectors</vt:lpstr>
      <vt:lpstr>KPI</vt:lpstr>
      <vt:lpstr>'2023'!_FilterDatabase</vt:lpstr>
      <vt:lpstr>Names!_FilterDatabase</vt:lpstr>
      <vt:lpstr>People!_FilterDatabase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Pierre Collado</cp:lastModifiedBy>
  <dcterms:created xsi:type="dcterms:W3CDTF">2025-06-09T12:40:38Z</dcterms:created>
  <dcterms:modified xsi:type="dcterms:W3CDTF">2026-04-15T16:02:15Z</dcterms:modified>
</cp:coreProperties>
</file>