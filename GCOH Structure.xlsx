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C0A116FE-2DEF-4621-BDA9-5EFCCBEB894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Sheet2" sheetId="29" r:id="rId3"/>
    <sheet name="Sheet1" sheetId="28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Okey" sheetId="10" r:id="rId12"/>
    <sheet name="KPI" sheetId="12" r:id="rId13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1">STUCT1!#REF!</definedName>
  </definedNames>
  <calcPr calcId="181029"/>
  <pivotCaches>
    <pivotCache cacheId="0" r:id="rId14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6" i="1" l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20" i="1"/>
  <c r="H25" i="1"/>
  <c r="H24" i="1"/>
  <c r="H23" i="1"/>
  <c r="H22" i="1"/>
  <c r="H21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</calcChain>
</file>

<file path=xl/sharedStrings.xml><?xml version="1.0" encoding="utf-8"?>
<sst xmlns="http://schemas.openxmlformats.org/spreadsheetml/2006/main" count="42911" uniqueCount="7971">
  <si>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</si>
  <si>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</si>
  <si>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</si>
  <si>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</si>
  <si>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</si>
  <si>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</si>
  <si>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</si>
  <si>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</si>
  <si>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</si>
  <si>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</si>
  <si>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</si>
  <si>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</si>
  <si>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</si>
  <si>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</si>
  <si>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</si>
  <si>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</si>
  <si>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</si>
  <si>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</si>
  <si>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</si>
  <si>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</si>
  <si>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</si>
  <si>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</si>
  <si>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</si>
  <si>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</si>
  <si>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</si>
  <si>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</si>
  <si>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</si>
  <si>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</si>
  <si>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</si>
  <si>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</si>
  <si>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</si>
  <si>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</si>
  <si>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</si>
  <si>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</si>
  <si>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</si>
  <si>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</si>
  <si>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</si>
  <si>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</si>
  <si>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</si>
  <si>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</si>
  <si>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</si>
  <si>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</si>
  <si>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</si>
  <si>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</si>
  <si>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</si>
  <si>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</si>
  <si>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</si>
  <si>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</si>
  <si>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</si>
  <si>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</si>
  <si>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</si>
  <si>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</si>
  <si>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</si>
  <si>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</si>
  <si>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</si>
  <si>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</si>
  <si>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</si>
  <si>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</si>
  <si>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</si>
  <si>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</si>
  <si>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</si>
  <si>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</si>
  <si>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</si>
  <si>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</si>
  <si>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</si>
  <si>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</si>
  <si>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</si>
  <si>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</si>
  <si>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</si>
  <si>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</si>
  <si>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</si>
  <si>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</si>
  <si>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</si>
  <si>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</si>
  <si>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</si>
  <si>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</si>
  <si>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</si>
  <si>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</si>
  <si>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</si>
  <si>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</si>
  <si>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</si>
  <si>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</si>
  <si>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</si>
  <si>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</si>
  <si>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</si>
  <si>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</si>
  <si>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</si>
  <si>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</si>
  <si>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</si>
  <si>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</si>
  <si>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</si>
  <si>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</si>
  <si>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</si>
  <si>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</si>
  <si>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</si>
  <si>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</si>
  <si>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</si>
  <si>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</si>
  <si>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</si>
  <si>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</si>
  <si>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</si>
  <si>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</si>
  <si>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</si>
  <si>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</si>
  <si>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</si>
  <si>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</si>
  <si>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</si>
  <si>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</si>
  <si>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</si>
  <si>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</si>
  <si>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</si>
  <si>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</si>
  <si>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</si>
  <si>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</si>
  <si>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</si>
  <si>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</si>
  <si>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</si>
  <si>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</si>
  <si>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</si>
  <si>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</si>
  <si>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</si>
  <si>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</si>
  <si>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</si>
  <si>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</si>
  <si>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</si>
  <si>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</si>
  <si>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</si>
  <si>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</si>
  <si>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</si>
  <si>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</si>
  <si>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</si>
  <si>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</si>
  <si>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</si>
  <si>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</si>
  <si>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</si>
  <si>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</si>
  <si>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</si>
  <si>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</si>
  <si>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</si>
  <si>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</si>
  <si>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</si>
  <si>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</si>
  <si>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</si>
  <si>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</si>
  <si>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</si>
  <si>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</si>
  <si>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</si>
  <si>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</si>
  <si>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</si>
  <si>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</si>
  <si>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</si>
  <si>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</si>
  <si>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</si>
  <si>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</si>
  <si>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</si>
  <si>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</si>
  <si>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</si>
  <si>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</si>
  <si>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</si>
  <si>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</si>
  <si>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</si>
  <si>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</si>
  <si>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</si>
  <si>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</si>
  <si>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</si>
  <si>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</si>
  <si>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</si>
  <si>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</si>
  <si>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</si>
  <si>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</si>
  <si>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</si>
  <si>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</si>
  <si>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</si>
  <si>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</si>
  <si>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</si>
  <si>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</si>
  <si>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</si>
  <si>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</si>
  <si>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</si>
  <si>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</si>
  <si>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</si>
  <si>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</si>
  <si>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</si>
  <si>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</si>
  <si>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</si>
  <si>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</si>
  <si>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</si>
  <si>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</si>
  <si>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</si>
  <si>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</si>
  <si>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</si>
  <si>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</si>
  <si>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</si>
  <si>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</si>
  <si>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</si>
  <si>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</si>
  <si>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</si>
  <si>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</si>
  <si>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</si>
  <si>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</si>
  <si>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</si>
  <si>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</si>
  <si>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</si>
  <si>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</si>
  <si>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</si>
  <si>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</si>
  <si>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</si>
  <si>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</si>
  <si>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</si>
  <si>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</si>
  <si>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</si>
  <si>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</si>
  <si>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</si>
  <si>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</si>
  <si>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</si>
  <si>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</si>
  <si>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</si>
  <si>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</si>
  <si>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</si>
  <si>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</si>
  <si>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</si>
  <si>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</si>
  <si>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</si>
  <si>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</si>
  <si>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</si>
  <si>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</si>
  <si>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</si>
  <si>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</si>
  <si>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</si>
  <si>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</si>
  <si>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</si>
  <si>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</si>
  <si>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</si>
  <si>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</si>
  <si>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</si>
  <si>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</si>
  <si>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</si>
  <si>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</si>
  <si>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</si>
  <si>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</si>
  <si>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</si>
  <si>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</si>
  <si>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</si>
  <si>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</si>
  <si>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</si>
  <si>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</si>
  <si>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</si>
  <si>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</si>
  <si>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</si>
  <si>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</si>
  <si>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</si>
  <si>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</si>
  <si>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</si>
  <si>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</si>
  <si>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</si>
  <si>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</si>
  <si>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</si>
  <si>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</si>
  <si>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</si>
  <si>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</si>
  <si>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</si>
  <si>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</si>
  <si>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</si>
  <si>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</si>
  <si>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</si>
  <si>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</si>
  <si>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</si>
  <si>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</si>
  <si>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</si>
  <si>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</si>
  <si>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</si>
  <si>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</si>
  <si>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</si>
  <si>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</si>
  <si>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</si>
  <si>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</si>
  <si>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</si>
  <si>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</si>
  <si>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</si>
  <si>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</si>
  <si>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</si>
  <si>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</si>
  <si>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</si>
  <si>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</si>
  <si>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</si>
  <si>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</si>
  <si>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</si>
  <si>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</si>
  <si>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</si>
  <si>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</si>
  <si>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</si>
  <si>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</si>
  <si>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</si>
  <si>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</si>
  <si>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</si>
  <si>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</si>
  <si>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</si>
  <si>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</si>
  <si>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</si>
  <si>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</si>
  <si>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</si>
  <si>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</si>
  <si>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</si>
  <si>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</si>
  <si>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</si>
  <si>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</si>
  <si>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</si>
  <si>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</si>
  <si>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</si>
  <si>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</si>
  <si>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</si>
  <si>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</si>
  <si>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</si>
  <si>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</si>
  <si>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</si>
  <si>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</si>
  <si>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</si>
  <si>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</si>
  <si>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</si>
  <si>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</si>
  <si>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</si>
  <si>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</si>
  <si>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</si>
  <si>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</si>
  <si>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</si>
  <si>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</si>
  <si>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</si>
  <si>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</si>
  <si>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</si>
  <si>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</si>
  <si>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</si>
  <si>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</si>
  <si>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</si>
  <si>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</si>
  <si>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</si>
  <si>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</si>
  <si>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</si>
  <si>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</si>
  <si>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</si>
  <si>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</si>
  <si>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</si>
  <si>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</si>
  <si>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</si>
  <si>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</si>
  <si>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</si>
  <si>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</si>
  <si>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</si>
  <si>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</si>
  <si>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</si>
  <si>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</si>
  <si>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</si>
  <si>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</si>
  <si>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</si>
  <si>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</si>
  <si>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</si>
  <si>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</si>
  <si>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</si>
  <si>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</si>
  <si>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</si>
  <si>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</si>
  <si>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</si>
  <si>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</si>
  <si>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</si>
  <si>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</si>
  <si>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</si>
  <si>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</si>
  <si>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</si>
  <si>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</si>
  <si>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</si>
  <si>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</si>
  <si>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</si>
  <si>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</si>
  <si>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</si>
  <si>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</si>
  <si>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</si>
  <si>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</si>
  <si>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</si>
  <si>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</si>
  <si>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</si>
  <si>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</si>
  <si>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</si>
  <si>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</si>
  <si>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</si>
  <si>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</si>
  <si>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</si>
  <si>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</si>
  <si>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</si>
  <si>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</si>
  <si>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</si>
  <si>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</si>
  <si>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</si>
  <si>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</si>
  <si>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</si>
  <si>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</si>
  <si>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</si>
  <si>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</si>
  <si>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</si>
  <si>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</si>
  <si>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</si>
  <si>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</si>
  <si>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</si>
  <si>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</si>
  <si>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</si>
  <si>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</si>
  <si>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</si>
  <si>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</si>
  <si>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</si>
  <si>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</si>
  <si>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</si>
  <si>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</si>
  <si>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</si>
  <si>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</si>
  <si>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</si>
  <si>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</si>
  <si>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</si>
  <si>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</si>
  <si>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</si>
  <si>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</si>
  <si>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</si>
  <si>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</si>
  <si>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</si>
  <si>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</si>
  <si>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</si>
  <si>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</si>
  <si>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</si>
  <si>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</si>
  <si>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</si>
  <si>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</si>
  <si>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</si>
  <si>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</si>
  <si>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</si>
  <si>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</si>
  <si>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</si>
  <si>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</si>
  <si>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</si>
  <si>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</si>
  <si>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</si>
  <si>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</si>
  <si>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</si>
  <si>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</si>
  <si>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</si>
  <si>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</si>
  <si>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</si>
  <si>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</si>
  <si>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</si>
  <si>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</si>
  <si>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</si>
  <si>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</si>
  <si>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</si>
  <si>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</si>
  <si>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</si>
  <si>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</si>
  <si>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</si>
  <si>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</si>
  <si>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</si>
  <si>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</si>
  <si>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</si>
  <si>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</si>
  <si>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</si>
  <si>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</si>
  <si>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</si>
  <si>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</si>
  <si>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</si>
  <si>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</si>
  <si>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</si>
  <si>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</si>
  <si>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</si>
  <si>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</si>
  <si>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</si>
  <si>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</si>
  <si>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</si>
  <si>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</si>
  <si>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</si>
  <si>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</si>
  <si>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</si>
  <si>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</si>
  <si>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</si>
  <si>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</si>
  <si>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</si>
  <si>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</si>
  <si>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</si>
  <si>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</si>
  <si>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</si>
  <si>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</si>
  <si>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</si>
  <si>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</si>
  <si>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</si>
  <si>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</si>
  <si>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</si>
  <si>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</si>
  <si>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</si>
  <si>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</si>
  <si>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</si>
  <si>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</si>
  <si>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</si>
  <si>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</si>
  <si>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</si>
  <si>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</si>
  <si>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</si>
  <si>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</si>
  <si>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</si>
  <si>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</si>
  <si>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</si>
  <si>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</si>
  <si>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</si>
  <si>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</si>
  <si>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</si>
  <si>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</si>
  <si>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</si>
  <si>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</si>
  <si>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</si>
  <si>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</si>
  <si>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</si>
  <si>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</si>
  <si>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</si>
  <si>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</si>
  <si>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</si>
  <si>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</si>
  <si>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</si>
  <si>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</si>
  <si>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</si>
  <si>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</si>
  <si>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</si>
  <si>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</si>
  <si>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</si>
  <si>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</si>
  <si>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</si>
  <si>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</si>
  <si>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</si>
  <si>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</si>
  <si>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</si>
  <si>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</si>
  <si>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</si>
  <si>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</si>
  <si>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</si>
  <si>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</si>
  <si>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</si>
  <si>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</si>
  <si>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</si>
  <si>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</si>
  <si>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</si>
  <si>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</si>
  <si>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</si>
  <si>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</si>
  <si>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</si>
  <si>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</si>
  <si>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</si>
  <si>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</si>
  <si>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</si>
  <si>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</si>
  <si>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</si>
  <si>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</si>
  <si>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</si>
  <si>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</si>
  <si>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</si>
  <si>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</si>
  <si>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</si>
  <si>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</si>
  <si>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</si>
  <si>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</si>
  <si>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</si>
  <si>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</si>
  <si>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</si>
  <si>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</si>
  <si>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</si>
  <si>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</si>
  <si>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</si>
  <si>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</si>
  <si>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</si>
  <si>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</si>
  <si>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</si>
  <si>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</si>
  <si>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</si>
  <si>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</si>
  <si>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</si>
  <si>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</si>
  <si>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</si>
  <si>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</si>
  <si>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</si>
  <si>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</si>
  <si>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</si>
  <si>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</si>
  <si>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</si>
  <si>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</si>
  <si>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</si>
  <si>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</si>
  <si>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</si>
  <si>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</si>
  <si>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</si>
  <si>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</si>
  <si>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</si>
  <si>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</si>
  <si>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</si>
  <si>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</si>
  <si>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</si>
  <si>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</si>
  <si>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</si>
  <si>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</si>
  <si>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</si>
  <si>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</si>
  <si>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</si>
  <si>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</si>
  <si>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</si>
  <si>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</si>
  <si>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</si>
  <si>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</si>
  <si>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</si>
  <si>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</si>
  <si>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</si>
  <si>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</si>
  <si>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</si>
  <si>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</si>
  <si>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</si>
  <si>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</si>
  <si>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</si>
  <si>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</si>
  <si>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</si>
  <si>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</si>
  <si>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</si>
  <si>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</si>
  <si>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</si>
  <si>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</si>
  <si>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</si>
  <si>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</si>
  <si>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</si>
  <si>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</si>
  <si>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</si>
  <si>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</si>
  <si>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</si>
  <si>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</si>
  <si>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</si>
  <si>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</si>
  <si>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</si>
  <si>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</si>
  <si>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</si>
  <si>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</si>
  <si>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</si>
  <si>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</si>
  <si>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</si>
  <si>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</si>
  <si>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</si>
  <si>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</si>
  <si>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</si>
  <si>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</si>
  <si>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</si>
  <si>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</si>
  <si>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</si>
  <si>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</si>
  <si>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</si>
  <si>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</si>
  <si>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</si>
  <si>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</si>
  <si>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</si>
  <si>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</si>
  <si>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</si>
  <si>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</si>
  <si>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</si>
  <si>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</si>
  <si>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</si>
  <si>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</si>
  <si>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</si>
  <si>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</si>
  <si>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</si>
  <si>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</si>
  <si>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</si>
  <si>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</si>
  <si>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</si>
  <si>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</si>
  <si>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</si>
  <si>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</si>
  <si>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</si>
  <si>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</si>
  <si>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</si>
  <si>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</si>
  <si>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</si>
  <si>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</si>
  <si>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</si>
  <si>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</si>
  <si>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</si>
  <si>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</si>
  <si>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</si>
  <si>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</si>
  <si>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</si>
  <si>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</si>
  <si>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</si>
  <si>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</si>
  <si>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</si>
  <si>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</si>
  <si>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</si>
  <si>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</si>
  <si>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</si>
  <si>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</si>
  <si>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</si>
  <si>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</si>
  <si>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</si>
  <si>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</si>
  <si>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</si>
  <si>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</si>
  <si>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</si>
  <si>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</si>
  <si>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</si>
  <si>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</si>
  <si>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</si>
  <si>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</si>
  <si>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</si>
  <si>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</si>
  <si>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</si>
  <si>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</si>
  <si>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</si>
  <si>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</si>
  <si>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</si>
  <si>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</si>
  <si>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</si>
  <si>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</si>
  <si>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</si>
  <si>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</si>
  <si>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</si>
  <si>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</si>
  <si>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</si>
  <si>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</si>
  <si>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</si>
  <si>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</si>
  <si>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</si>
  <si>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</si>
  <si>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</si>
  <si>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</si>
  <si>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</si>
  <si>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</si>
  <si>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</si>
  <si>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</si>
  <si>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</si>
  <si>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</si>
  <si>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</si>
  <si>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</si>
  <si>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</si>
  <si>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</si>
  <si>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</si>
  <si>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</si>
  <si>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</si>
  <si>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</si>
  <si>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</si>
  <si>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</si>
  <si>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</si>
  <si>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</si>
  <si>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</si>
  <si>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</si>
  <si>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</si>
  <si>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</si>
  <si>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</si>
  <si>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</si>
  <si>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</si>
  <si>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</si>
  <si>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</si>
  <si>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</si>
  <si>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</si>
  <si>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</si>
  <si>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</si>
  <si>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</si>
  <si>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</si>
  <si>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</si>
  <si>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</si>
  <si>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</si>
  <si>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</si>
  <si>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</si>
  <si>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</si>
  <si>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</si>
  <si>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</si>
  <si>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</si>
  <si>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</si>
  <si>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</si>
  <si>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</si>
  <si>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</si>
  <si>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</si>
  <si>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</si>
  <si>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</si>
  <si>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</si>
  <si>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</si>
  <si>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</si>
  <si>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</si>
  <si>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</si>
  <si>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</si>
  <si>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</si>
  <si>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</si>
  <si>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</si>
  <si>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</si>
  <si>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</si>
  <si>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</si>
  <si>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</si>
  <si>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</si>
  <si>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</si>
  <si>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</si>
  <si>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</si>
  <si>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</si>
  <si>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</si>
  <si>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</si>
  <si>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</si>
  <si>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</si>
  <si>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</si>
  <si>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</si>
  <si>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</si>
  <si>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</si>
  <si>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</si>
  <si>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</si>
  <si>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</si>
  <si>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</si>
  <si>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</si>
  <si>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</si>
  <si>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</si>
  <si>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</si>
  <si>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</si>
  <si>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</si>
  <si>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</si>
  <si>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</si>
  <si>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</si>
  <si>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</si>
  <si>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</si>
  <si>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</si>
  <si>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</si>
  <si>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</si>
  <si>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</si>
  <si>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</si>
  <si>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</si>
  <si>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</si>
  <si>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</si>
  <si>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</si>
  <si>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</si>
  <si>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</si>
  <si>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</si>
  <si>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</si>
  <si>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</si>
  <si>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</si>
  <si>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</si>
  <si>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</si>
  <si>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</si>
  <si>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</si>
  <si>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</si>
  <si>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</si>
  <si>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</si>
  <si>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</si>
  <si>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</si>
  <si>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</si>
  <si>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</si>
  <si>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</si>
  <si>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</si>
  <si>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</si>
  <si>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</si>
  <si>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</si>
  <si>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</si>
  <si>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</si>
  <si>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</si>
  <si>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</si>
  <si>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</si>
  <si>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</si>
  <si>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</si>
  <si>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</si>
  <si>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</si>
  <si>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</si>
  <si>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</si>
  <si>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</si>
  <si>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</si>
  <si>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</si>
  <si>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</si>
  <si>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</si>
  <si>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</si>
  <si>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</si>
  <si>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</si>
  <si>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</si>
  <si>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</si>
  <si>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</si>
  <si>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</si>
  <si>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</si>
  <si>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</si>
  <si>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</si>
  <si>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</si>
  <si>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</si>
  <si>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</si>
  <si>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</si>
  <si>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</si>
  <si>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</si>
  <si>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</si>
  <si>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</si>
  <si>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</si>
  <si>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</si>
  <si>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</si>
  <si>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</si>
  <si>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</si>
  <si>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</si>
  <si>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</si>
  <si>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</si>
  <si>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</si>
  <si>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</si>
  <si>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</si>
  <si>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</si>
  <si>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</si>
  <si>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</si>
  <si>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</si>
  <si>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</si>
  <si>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</si>
  <si>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</si>
  <si>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</si>
  <si>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</si>
  <si>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</si>
  <si>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</si>
  <si>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</si>
  <si>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</si>
  <si>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</si>
  <si>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</si>
  <si>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</si>
  <si>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</si>
  <si>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</si>
  <si>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</si>
  <si>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</si>
  <si>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</si>
  <si>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</si>
  <si>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</si>
  <si>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</si>
  <si>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</si>
  <si>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</si>
  <si>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</si>
  <si>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</si>
  <si>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</si>
  <si>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</si>
  <si>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</si>
  <si>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</si>
  <si>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</si>
  <si>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</si>
  <si>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</si>
  <si>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</si>
  <si>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</si>
  <si>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</si>
  <si>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</si>
  <si>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</si>
  <si>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</si>
  <si>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</si>
  <si>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</si>
  <si>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</si>
  <si>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</si>
  <si>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</si>
  <si>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</si>
  <si>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</si>
  <si>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</si>
  <si>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</si>
  <si>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</si>
  <si>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</si>
  <si>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</si>
  <si>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</si>
  <si>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</si>
  <si>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</si>
  <si>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</si>
  <si>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</si>
  <si>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</si>
  <si>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</si>
  <si>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</si>
  <si>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</si>
  <si>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</si>
  <si>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</si>
  <si>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</si>
  <si>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</si>
  <si>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</si>
  <si>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</si>
  <si>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</si>
  <si>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</si>
  <si>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</si>
  <si>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</si>
  <si>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</si>
  <si>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</si>
  <si>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</si>
  <si>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</si>
  <si>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</si>
  <si>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</si>
  <si>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</si>
  <si>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</si>
  <si>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</si>
  <si>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</si>
  <si>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</si>
  <si>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</si>
  <si>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</si>
  <si>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</si>
  <si>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</si>
  <si>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</si>
  <si>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</si>
  <si>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</si>
  <si>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</si>
  <si>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</si>
  <si>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</si>
  <si>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</si>
  <si>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</si>
  <si>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</si>
  <si>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</si>
  <si>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</si>
  <si>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</si>
  <si>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</si>
  <si>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</si>
  <si>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</si>
  <si>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</si>
  <si>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</si>
  <si>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</si>
  <si>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</si>
  <si>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</si>
  <si>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</si>
  <si>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</si>
  <si>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</si>
  <si>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</si>
  <si>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</si>
  <si>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</si>
  <si>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</si>
  <si>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</si>
  <si>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</si>
  <si>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</si>
  <si>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</si>
  <si>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</si>
  <si>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</si>
  <si>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</si>
  <si>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</si>
  <si>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</si>
  <si>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</si>
  <si>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</si>
  <si>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</si>
  <si>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</si>
  <si>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</si>
  <si>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</si>
  <si>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</si>
  <si>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</si>
  <si>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</si>
  <si>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</si>
  <si>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</si>
  <si>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</si>
  <si>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</si>
  <si>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</si>
  <si>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</si>
  <si>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</si>
  <si>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</si>
  <si>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</si>
  <si>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</si>
  <si>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</si>
  <si>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</si>
  <si>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</si>
  <si>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</si>
  <si>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</si>
  <si>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</si>
  <si>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</si>
  <si>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</si>
  <si>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</si>
  <si>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</si>
  <si>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</si>
  <si>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</si>
  <si>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</si>
  <si>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</si>
  <si>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</si>
  <si>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</si>
  <si>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</si>
  <si>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</si>
  <si>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</si>
  <si>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</si>
  <si>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</si>
  <si>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</si>
  <si>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</si>
  <si>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</si>
  <si>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</si>
  <si>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</si>
  <si>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</si>
  <si>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</si>
  <si>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</si>
  <si>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</si>
  <si>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</si>
  <si>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</si>
  <si>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</si>
  <si>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</si>
  <si>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</si>
  <si>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</si>
  <si>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</si>
  <si>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</si>
  <si>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</si>
  <si>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</si>
  <si>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</si>
  <si>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</si>
  <si>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</si>
  <si>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</si>
  <si>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</si>
  <si>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</si>
  <si>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</si>
  <si>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</si>
  <si>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</si>
  <si>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</si>
  <si>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</si>
  <si>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</si>
  <si>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</si>
  <si>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</si>
  <si>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</si>
  <si>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</si>
  <si>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</si>
  <si>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</si>
  <si>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</si>
  <si>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</si>
  <si>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</si>
  <si>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</si>
  <si>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</si>
  <si>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</si>
  <si>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</si>
  <si>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</si>
  <si>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</si>
  <si>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</si>
  <si>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</si>
  <si>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</si>
  <si>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</si>
  <si>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</si>
  <si>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</si>
  <si>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</si>
  <si>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</si>
  <si>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</si>
  <si>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</si>
  <si>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</si>
  <si>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</si>
  <si>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</si>
  <si>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</si>
  <si>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</si>
  <si>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</si>
  <si>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</si>
  <si>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</si>
  <si>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</si>
  <si>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</si>
  <si>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</si>
  <si>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</si>
  <si>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</si>
  <si>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</si>
  <si>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</si>
  <si>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</si>
  <si>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</si>
  <si>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</si>
  <si>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</si>
  <si>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</si>
  <si>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</si>
  <si>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</si>
  <si>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</si>
  <si>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</si>
  <si>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</si>
  <si>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</si>
  <si>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</si>
  <si>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</si>
  <si>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</si>
  <si>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</si>
  <si>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</si>
  <si>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</si>
  <si>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</si>
  <si>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</si>
  <si>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</si>
  <si>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</si>
  <si>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</si>
  <si>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</si>
  <si>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</si>
  <si>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</si>
  <si>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</si>
  <si>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</si>
  <si>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</si>
  <si>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</si>
  <si>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</si>
  <si>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</si>
  <si>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</si>
  <si>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</si>
  <si>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</si>
  <si>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</si>
  <si>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</si>
  <si>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</si>
  <si>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</si>
  <si>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</si>
  <si>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</si>
  <si>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</si>
  <si>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</si>
  <si>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</si>
  <si>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</si>
  <si>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</si>
  <si>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</si>
  <si>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</si>
  <si>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</si>
  <si>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</si>
  <si>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</si>
  <si>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</si>
  <si>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</si>
  <si>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</si>
  <si>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</si>
  <si>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</si>
  <si>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</si>
  <si>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</si>
  <si>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</si>
  <si>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</si>
  <si>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</si>
  <si>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</si>
  <si>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</si>
  <si>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</si>
  <si>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</si>
  <si>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</si>
  <si>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</si>
  <si>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</si>
  <si>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</si>
  <si>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</si>
  <si>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</si>
  <si>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</si>
  <si>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</si>
  <si>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</si>
  <si>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</si>
  <si>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</si>
  <si>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</si>
  <si>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</si>
  <si>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</si>
  <si>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</si>
  <si>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</si>
  <si>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</si>
  <si>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</si>
  <si>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</si>
  <si>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</si>
  <si>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</si>
  <si>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</si>
  <si>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</si>
  <si>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</si>
  <si>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</si>
  <si>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</si>
  <si>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</si>
  <si>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</si>
  <si>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</si>
  <si>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</si>
  <si>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</si>
  <si>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</si>
  <si>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</si>
  <si>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</si>
  <si>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</si>
  <si>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</si>
  <si>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</si>
  <si>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</si>
  <si>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</si>
  <si>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</si>
  <si>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</si>
  <si>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</si>
  <si>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</si>
  <si>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</si>
  <si>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</si>
  <si>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</si>
  <si>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</si>
  <si>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</si>
  <si>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</si>
  <si>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</si>
  <si>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</si>
  <si>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</si>
  <si>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</si>
  <si>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</si>
  <si>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</si>
  <si>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</si>
  <si>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</si>
  <si>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</si>
  <si>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</si>
  <si>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</si>
  <si>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</si>
  <si>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</si>
  <si>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</si>
  <si>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</si>
  <si>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</si>
  <si>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</si>
  <si>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</si>
  <si>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</si>
  <si>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</si>
  <si>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</si>
  <si>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</si>
  <si>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</si>
  <si>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</si>
  <si>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</si>
  <si>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</si>
  <si>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</si>
  <si>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</si>
  <si>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</si>
  <si>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</si>
  <si>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</si>
  <si>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</si>
  <si>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</si>
  <si>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</si>
  <si>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</si>
  <si>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</si>
  <si>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</si>
  <si>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</si>
  <si>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</si>
  <si>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</si>
  <si>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</si>
  <si>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</si>
  <si>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</si>
  <si>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</si>
  <si>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</si>
  <si>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</si>
  <si>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</si>
  <si>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</si>
  <si>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</si>
  <si>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</si>
  <si>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</si>
  <si>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</si>
  <si>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</si>
  <si>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</si>
  <si>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</si>
  <si>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</si>
  <si>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</si>
  <si>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</si>
  <si>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</si>
  <si>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</si>
  <si>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</si>
  <si>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</si>
  <si>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</si>
  <si>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</si>
  <si>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</si>
  <si>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</si>
  <si>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</si>
  <si>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</si>
  <si>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</si>
  <si>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</si>
  <si>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</si>
  <si>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</si>
  <si>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</si>
  <si>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</si>
  <si>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</si>
  <si>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</si>
  <si>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</si>
  <si>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</si>
  <si>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</si>
  <si>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</si>
  <si>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</si>
  <si>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</si>
  <si>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</si>
  <si>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</si>
  <si>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</si>
  <si>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</si>
  <si>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</si>
  <si>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</si>
  <si>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</si>
  <si>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</si>
  <si>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</si>
  <si>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</si>
  <si>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</si>
  <si>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</si>
  <si>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</si>
  <si>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</si>
  <si>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</si>
  <si>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</si>
  <si>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</si>
  <si>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</si>
  <si>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</si>
  <si>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</si>
  <si>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</si>
  <si>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</si>
  <si>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</si>
  <si>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</si>
  <si>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</si>
  <si>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</si>
  <si>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</si>
  <si>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</si>
  <si>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</si>
  <si>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</si>
  <si>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</si>
  <si>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</si>
  <si>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</si>
  <si>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</si>
  <si>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</si>
  <si>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</si>
  <si>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</si>
  <si>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</si>
  <si>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</si>
  <si>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</si>
  <si>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</si>
  <si>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</si>
  <si>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</si>
  <si>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</si>
  <si>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</si>
  <si>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</si>
  <si>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</si>
  <si>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</si>
  <si>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</si>
  <si>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</si>
  <si>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</si>
  <si>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</si>
  <si>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</si>
  <si>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</si>
  <si>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</si>
  <si>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</si>
  <si>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</si>
  <si>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</si>
  <si>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</si>
  <si>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</si>
  <si>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</si>
  <si>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</si>
  <si>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</si>
  <si>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</si>
  <si>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</si>
  <si>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</si>
  <si>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</si>
  <si>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</si>
  <si>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</si>
  <si>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</si>
  <si>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</si>
  <si>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</si>
  <si>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</si>
  <si>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</si>
  <si>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</si>
  <si>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</si>
  <si>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</si>
  <si>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</si>
  <si>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</si>
  <si>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</si>
  <si>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</si>
  <si>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</si>
  <si>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</si>
  <si>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</si>
  <si>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</si>
  <si>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</si>
  <si>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</si>
  <si>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</si>
  <si>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</si>
  <si>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</si>
  <si>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</si>
  <si>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</si>
  <si>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</si>
  <si>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</si>
  <si>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</si>
  <si>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</si>
  <si>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</si>
  <si>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</si>
  <si>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</si>
  <si>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</si>
  <si>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</si>
  <si>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</si>
  <si>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</si>
  <si>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</si>
  <si>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</si>
  <si>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</si>
  <si>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</si>
  <si>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</si>
  <si>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</si>
  <si>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</si>
  <si>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</si>
  <si>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</si>
  <si>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</si>
  <si>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</si>
  <si>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</si>
  <si>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</si>
  <si>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</si>
  <si>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</si>
  <si>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</si>
  <si>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</si>
  <si>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</si>
  <si>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</si>
  <si>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</si>
  <si>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</si>
  <si>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</si>
  <si>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</si>
  <si>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</si>
  <si>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</si>
  <si>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</si>
  <si>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</si>
  <si>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</si>
  <si>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</si>
  <si>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</si>
  <si>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</si>
  <si>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</si>
  <si>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</si>
  <si>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</si>
  <si>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</si>
  <si>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</si>
  <si>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</si>
  <si>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</si>
  <si>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</si>
  <si>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</si>
  <si>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</si>
  <si>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</si>
  <si>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</si>
  <si>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</si>
  <si>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</si>
  <si>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</si>
  <si>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</si>
  <si>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</si>
  <si>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</si>
  <si>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</si>
  <si>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</si>
  <si>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</si>
  <si>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</si>
  <si>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</si>
  <si>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</si>
  <si>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</si>
  <si>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</si>
  <si>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</si>
  <si>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</si>
  <si>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</si>
  <si>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</si>
  <si>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</si>
  <si>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</si>
  <si>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</si>
  <si>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</si>
  <si>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</si>
  <si>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</si>
  <si>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</si>
  <si>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</si>
  <si>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</si>
  <si>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</si>
  <si>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</si>
  <si>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</si>
  <si>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</si>
  <si>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</si>
  <si>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</si>
  <si>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</si>
  <si>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</si>
  <si>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</si>
  <si>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</si>
  <si>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</si>
  <si>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</si>
  <si>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</si>
  <si>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</si>
  <si>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</si>
  <si>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</si>
  <si>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</si>
  <si>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</si>
  <si>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</si>
  <si>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</si>
  <si>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</si>
  <si>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</si>
  <si>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</si>
  <si>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</si>
  <si>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</si>
  <si>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</si>
  <si>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</si>
  <si>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</si>
  <si>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</si>
  <si>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</si>
  <si>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</si>
  <si>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</si>
  <si>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</si>
  <si>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</si>
  <si>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</si>
  <si>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</si>
  <si>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</si>
  <si>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</si>
  <si>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</si>
  <si>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</si>
  <si>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</si>
  <si>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</si>
  <si>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</si>
  <si>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</si>
  <si>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</si>
  <si>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</si>
  <si>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</si>
  <si>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</si>
  <si>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</si>
  <si>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</si>
  <si>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</si>
  <si>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</si>
  <si>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</si>
  <si>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</si>
  <si>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</si>
  <si>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</si>
  <si>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</si>
  <si>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</si>
  <si>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</si>
  <si>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</si>
  <si>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</si>
  <si>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</si>
  <si>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</si>
  <si>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</si>
  <si>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</si>
  <si>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</si>
  <si>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</si>
  <si>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</si>
  <si>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</si>
  <si>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</si>
  <si>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</si>
  <si>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</si>
  <si>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</si>
  <si>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</si>
  <si>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</si>
  <si>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</si>
  <si>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</si>
  <si>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</si>
  <si>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</si>
  <si>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</si>
  <si>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</si>
  <si>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</si>
  <si>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</si>
  <si>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</si>
  <si>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</si>
  <si>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</si>
  <si>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</si>
  <si>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</si>
  <si>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</si>
  <si>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</si>
  <si>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</si>
  <si>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</si>
  <si>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</si>
  <si>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</si>
  <si>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</si>
  <si>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</si>
  <si>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</si>
  <si>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</si>
  <si>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</si>
  <si>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</si>
  <si>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</si>
  <si>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</si>
  <si>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</si>
  <si>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</si>
  <si>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</si>
  <si>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</si>
  <si>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</si>
  <si>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</si>
  <si>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</si>
  <si>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</si>
  <si>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</si>
  <si>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</si>
  <si>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</si>
  <si>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</si>
  <si>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</si>
  <si>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</si>
  <si>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</si>
  <si>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</si>
  <si>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</si>
  <si>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</si>
  <si>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</si>
  <si>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</si>
  <si>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</si>
  <si>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</si>
  <si>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</si>
  <si>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</si>
  <si>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</si>
  <si>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</si>
  <si>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</si>
  <si>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</si>
  <si>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</si>
  <si>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</si>
  <si>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</si>
  <si>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</si>
  <si>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</si>
  <si>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</si>
  <si>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</si>
  <si>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</si>
  <si>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</si>
  <si>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</si>
  <si>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</si>
  <si>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</si>
  <si>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</si>
  <si>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</si>
  <si>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</si>
  <si>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</si>
  <si>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</si>
  <si>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</si>
  <si>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</si>
  <si>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</si>
  <si>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</si>
  <si>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</si>
  <si>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</si>
  <si>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</si>
  <si>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</si>
  <si>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</si>
  <si>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</si>
  <si>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</si>
  <si>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</si>
  <si>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</si>
  <si>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</si>
  <si>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</si>
  <si>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</si>
  <si>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</si>
  <si>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</si>
  <si>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</si>
  <si>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</si>
  <si>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</si>
  <si>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</si>
  <si>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</si>
  <si>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</si>
  <si>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</si>
  <si>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</si>
  <si>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</si>
  <si>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</si>
  <si>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</si>
  <si>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</si>
  <si>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</si>
  <si>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</si>
  <si>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</si>
  <si>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</si>
  <si>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</si>
  <si>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</si>
  <si>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</si>
  <si>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</si>
  <si>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</si>
  <si>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</si>
  <si>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</si>
  <si>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</si>
  <si>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</si>
  <si>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</si>
  <si>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</si>
  <si>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</si>
  <si>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</si>
  <si>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</si>
  <si>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</si>
  <si>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</si>
  <si>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</si>
  <si>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</si>
  <si>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</si>
  <si>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</si>
  <si>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</si>
  <si>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</si>
  <si>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</si>
  <si>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</si>
  <si>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</si>
  <si>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</si>
  <si>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</si>
  <si>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</si>
  <si>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</si>
  <si>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</si>
  <si>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</si>
  <si>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</si>
  <si>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</si>
  <si>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</si>
  <si>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</si>
  <si>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</si>
  <si>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</si>
  <si>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</si>
  <si>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</si>
  <si>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</si>
  <si>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</si>
  <si>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</si>
  <si>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</si>
  <si>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</si>
  <si>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</si>
  <si>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</si>
  <si>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</si>
  <si>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</si>
  <si>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</si>
  <si>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</si>
  <si>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</si>
  <si>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</si>
  <si>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</si>
  <si>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</si>
  <si>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</si>
  <si>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</si>
  <si>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</si>
  <si>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</si>
  <si>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</si>
  <si>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</si>
  <si>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</si>
  <si>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</si>
  <si>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</si>
  <si>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</si>
  <si>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</si>
  <si>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</si>
  <si>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</si>
  <si>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</si>
  <si>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</si>
  <si>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</si>
  <si>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</si>
  <si>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</si>
  <si>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</si>
  <si>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</si>
  <si>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</si>
  <si>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</si>
  <si>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</si>
  <si>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</si>
  <si>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</si>
  <si>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</si>
  <si>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</si>
  <si>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</si>
  <si>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</si>
  <si>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</si>
  <si>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</si>
  <si>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</si>
  <si>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</si>
  <si>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</si>
  <si>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</si>
  <si>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</si>
  <si>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</si>
  <si>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</si>
  <si>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</si>
  <si>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</si>
  <si>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</si>
  <si>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</si>
  <si>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</si>
  <si>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</si>
  <si>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</si>
  <si>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</si>
  <si>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</si>
  <si>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</si>
  <si>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</si>
  <si>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</si>
  <si>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</si>
  <si>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</si>
  <si>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</si>
  <si>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</si>
  <si>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</si>
  <si>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</si>
  <si>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</si>
  <si>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</si>
  <si>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</si>
  <si>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</si>
  <si>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</si>
  <si>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</si>
  <si>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</si>
  <si>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</si>
  <si>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</si>
  <si>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</si>
  <si>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</si>
  <si>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</si>
  <si>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</si>
  <si>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</si>
  <si>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</si>
  <si>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</si>
  <si>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</si>
  <si>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</si>
  <si>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</si>
  <si>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</si>
  <si>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</si>
  <si>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</si>
  <si>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</si>
  <si>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</si>
  <si>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</si>
  <si>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</si>
  <si>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</si>
  <si>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</si>
  <si>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</si>
  <si>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</si>
  <si>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</si>
  <si>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</si>
  <si>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</si>
  <si>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</si>
  <si>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</si>
  <si>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</si>
  <si>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</si>
  <si>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</si>
  <si>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</si>
  <si>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</si>
  <si>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</si>
  <si>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</si>
  <si>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</si>
  <si>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</si>
  <si>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</si>
  <si>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</si>
  <si>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</si>
  <si>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</si>
  <si>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</si>
  <si>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</si>
  <si>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</si>
  <si>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</si>
  <si>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</si>
  <si>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</si>
  <si>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</si>
  <si>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</si>
  <si>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</si>
  <si>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</si>
  <si>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</si>
  <si>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</si>
  <si>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</si>
  <si>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</si>
  <si>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</si>
  <si>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</si>
  <si>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</si>
  <si>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</si>
  <si>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</si>
  <si>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</si>
  <si>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</si>
  <si>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</si>
  <si>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</si>
  <si>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</si>
  <si>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</si>
  <si>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</si>
  <si>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</si>
  <si>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</si>
  <si>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</si>
  <si>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</si>
  <si>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</si>
  <si>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</si>
  <si>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</si>
  <si>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</si>
  <si>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</si>
  <si>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</si>
  <si>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</si>
  <si>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</si>
  <si>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</si>
  <si>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</si>
  <si>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</si>
  <si>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</si>
  <si>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</si>
  <si>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</si>
  <si>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</si>
  <si>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</si>
  <si>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</si>
  <si>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</si>
  <si>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</si>
  <si>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</si>
  <si>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</si>
  <si>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</si>
  <si>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</si>
  <si>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</si>
  <si>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</si>
  <si>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</si>
  <si>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</si>
  <si>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</si>
  <si>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</si>
  <si>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</si>
  <si>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</si>
  <si>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</si>
  <si>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</si>
  <si>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</si>
  <si>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</si>
  <si>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</si>
  <si>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</si>
  <si>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</si>
  <si>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</si>
  <si>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</si>
  <si>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</si>
  <si>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</si>
  <si>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</si>
  <si>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</si>
  <si>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</si>
  <si>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</si>
  <si>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</si>
  <si>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</si>
  <si>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</si>
  <si>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</si>
  <si>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</si>
  <si>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</si>
  <si>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</si>
  <si>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</si>
  <si>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</si>
  <si>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</si>
  <si>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</si>
  <si>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</si>
  <si>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</si>
  <si>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</si>
  <si>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</si>
  <si>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</si>
  <si>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</si>
  <si>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</si>
  <si>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</si>
  <si>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</si>
  <si>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</si>
  <si>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</si>
  <si>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</si>
  <si>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</si>
  <si>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</si>
  <si>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</si>
  <si>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</si>
  <si>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</si>
  <si>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</si>
  <si>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</si>
  <si>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</si>
  <si>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</si>
  <si>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</si>
  <si>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</si>
  <si>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</si>
  <si>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</si>
  <si>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</si>
  <si>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</si>
  <si>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</si>
  <si>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</si>
  <si>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</si>
  <si>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</si>
  <si>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</si>
  <si>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</si>
  <si>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</si>
  <si>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</si>
  <si>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</si>
  <si>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</si>
  <si>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</si>
  <si>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</si>
  <si>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</si>
  <si>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</si>
  <si>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</si>
  <si>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</si>
  <si>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</si>
  <si>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</si>
  <si>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</si>
  <si>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</si>
  <si>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</si>
  <si>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</si>
  <si>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</si>
  <si>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</si>
  <si>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</si>
  <si>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</si>
  <si>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</si>
  <si>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</si>
  <si>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</si>
  <si>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</si>
  <si>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</si>
  <si>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</si>
  <si>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</si>
  <si>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</si>
  <si>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</si>
  <si>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</si>
  <si>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</si>
  <si>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</si>
  <si>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</si>
  <si>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</si>
  <si>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</si>
  <si>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</si>
  <si>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</si>
  <si>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</si>
  <si>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</si>
  <si>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</si>
  <si>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</si>
  <si>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</si>
  <si>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</si>
  <si>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</si>
  <si>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</si>
  <si>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</si>
  <si>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</si>
  <si>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</si>
  <si>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</si>
  <si>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</si>
  <si>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</si>
  <si>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</si>
  <si>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</si>
  <si>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</si>
  <si>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</si>
  <si>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</si>
  <si>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</si>
  <si>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</si>
  <si>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</si>
  <si>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</si>
  <si>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</si>
  <si>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</si>
  <si>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</si>
  <si>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</si>
  <si>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</si>
  <si>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</si>
  <si>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</si>
  <si>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</si>
  <si>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</si>
  <si>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</si>
  <si>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</si>
  <si>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</si>
  <si>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</si>
  <si>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</si>
  <si>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</si>
  <si>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</si>
  <si>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</si>
  <si>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</si>
  <si>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</si>
  <si>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</si>
  <si>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</si>
  <si>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</si>
  <si>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</si>
  <si>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</si>
  <si>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</si>
  <si>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</si>
  <si>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</si>
  <si>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</si>
  <si>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</si>
  <si>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</si>
  <si>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</si>
  <si>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</si>
  <si>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</si>
  <si>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</si>
  <si>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</si>
  <si>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</si>
  <si>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</si>
  <si>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</si>
  <si>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</si>
  <si>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</si>
  <si>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</si>
  <si>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</si>
  <si>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</si>
  <si>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</si>
  <si>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</si>
  <si>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</si>
  <si>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</si>
  <si>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</si>
  <si>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</si>
  <si>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</si>
  <si>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</si>
  <si>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</si>
  <si>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</si>
  <si>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</si>
  <si>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</si>
  <si>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</si>
  <si>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</si>
  <si>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</si>
  <si>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</si>
  <si>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</si>
  <si>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</si>
  <si>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</si>
  <si>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</si>
  <si>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</si>
  <si>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</si>
  <si>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</si>
  <si>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</si>
  <si>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</si>
  <si>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</si>
  <si>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</si>
  <si>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</si>
  <si>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</si>
  <si>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</si>
  <si>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</si>
  <si>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</si>
  <si>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</si>
  <si>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</si>
  <si>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</si>
  <si>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</si>
  <si>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</si>
  <si>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</si>
  <si>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</si>
  <si>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</si>
  <si>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</si>
  <si>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</si>
  <si>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</si>
  <si>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</si>
  <si>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</si>
  <si>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</si>
  <si>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</si>
  <si>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</si>
  <si>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</si>
  <si>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</si>
  <si>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</si>
  <si>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</si>
  <si>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</si>
  <si>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</si>
  <si>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</si>
  <si>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</si>
  <si>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</si>
  <si>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</si>
  <si>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</si>
  <si>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</si>
  <si>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</si>
  <si>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</si>
  <si>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</si>
  <si>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</si>
  <si>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</si>
  <si>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</si>
  <si>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</si>
  <si>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</si>
  <si>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</si>
  <si>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</si>
  <si>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</si>
  <si>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</si>
  <si>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</si>
  <si>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</si>
  <si>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</si>
  <si>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</si>
  <si>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</si>
  <si>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</si>
  <si>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</si>
  <si>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</si>
  <si>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</si>
  <si>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</si>
  <si>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</si>
  <si>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</si>
  <si>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</si>
  <si>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</si>
  <si>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</si>
  <si>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</si>
  <si>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</si>
  <si>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</si>
  <si>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</si>
  <si>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</si>
  <si>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</si>
  <si>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</si>
  <si>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</si>
  <si>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</si>
  <si>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</si>
  <si>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</si>
  <si>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</si>
  <si>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</si>
  <si>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</si>
  <si>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</si>
  <si>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</si>
  <si>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</si>
  <si>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</si>
  <si>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</si>
  <si>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</si>
  <si>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</si>
  <si>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</si>
  <si>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</si>
  <si>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</si>
  <si>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</si>
  <si>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</si>
  <si>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</si>
  <si>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</si>
  <si>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</si>
  <si>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</si>
  <si>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</si>
  <si>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</si>
  <si>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</si>
  <si>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</si>
  <si>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</si>
  <si>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</si>
  <si>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</si>
  <si>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</si>
  <si>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</si>
  <si>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</si>
  <si>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</si>
  <si>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</si>
  <si>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</si>
  <si>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</si>
  <si>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</si>
  <si>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</si>
  <si>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</si>
  <si>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</si>
  <si>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</si>
  <si>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</si>
  <si>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</si>
  <si>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</si>
  <si>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</si>
  <si>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</si>
  <si>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</si>
  <si>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</si>
  <si>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</si>
  <si>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</si>
  <si>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</si>
  <si>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</si>
  <si>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</si>
  <si>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</si>
  <si>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</si>
  <si>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</si>
  <si>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</si>
  <si>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</si>
  <si>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</si>
  <si>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</si>
  <si>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</si>
  <si>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</si>
  <si>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</si>
  <si>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</si>
  <si>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</si>
  <si>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</si>
  <si>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</si>
  <si>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</si>
  <si>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</si>
  <si>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</si>
  <si>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</si>
  <si>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</si>
  <si>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</si>
  <si>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</si>
  <si>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</si>
  <si>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</si>
  <si>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</si>
  <si>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</si>
  <si>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</si>
  <si>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</si>
  <si>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</si>
  <si>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</si>
  <si>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</si>
  <si>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</si>
  <si>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</si>
  <si>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</si>
  <si>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</si>
  <si>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</si>
  <si>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</si>
  <si>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</si>
  <si>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</si>
  <si>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</si>
  <si>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</si>
  <si>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</si>
  <si>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</si>
  <si>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</si>
  <si>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</si>
  <si>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</si>
  <si>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</si>
  <si>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</si>
  <si>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</si>
  <si>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</si>
  <si>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</si>
  <si>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</si>
  <si>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</si>
  <si>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</si>
  <si>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</si>
  <si>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</si>
  <si>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</si>
  <si>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</si>
  <si>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</si>
  <si>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</si>
  <si>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</si>
  <si>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</si>
  <si>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</si>
  <si>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</si>
  <si>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</si>
  <si>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</si>
  <si>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</si>
  <si>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</si>
  <si>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</si>
  <si>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</si>
  <si>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</si>
  <si>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</si>
  <si>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</si>
  <si>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</si>
  <si>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</si>
  <si>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</si>
  <si>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</si>
  <si>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</si>
  <si>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</si>
  <si>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</si>
  <si>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</si>
  <si>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</si>
  <si>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</si>
  <si>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</si>
  <si>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</si>
  <si>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</si>
  <si>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</si>
  <si>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</si>
  <si>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</si>
  <si>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</si>
  <si>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</si>
  <si>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</si>
  <si>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</si>
  <si>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</si>
  <si>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</si>
  <si>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</si>
  <si>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</si>
  <si>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</si>
  <si>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</si>
  <si>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</si>
  <si>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</si>
  <si>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</si>
  <si>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</si>
  <si>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</si>
  <si>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</si>
  <si>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</si>
  <si>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</si>
  <si>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</si>
  <si>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</si>
  <si>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</si>
  <si>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</si>
  <si>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</si>
  <si>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</si>
  <si>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</si>
  <si>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</si>
  <si>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</si>
  <si>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</si>
  <si>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</si>
  <si>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</si>
  <si>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</si>
  <si>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</si>
  <si>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</si>
  <si>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</si>
  <si>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</si>
  <si>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</si>
  <si>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</si>
  <si>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</si>
  <si>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</si>
  <si>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</si>
  <si>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</si>
  <si>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</si>
  <si>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</si>
  <si>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</si>
  <si>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</si>
  <si>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</si>
  <si>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</si>
  <si>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</si>
  <si>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</si>
  <si>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</si>
  <si>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</si>
  <si>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</si>
  <si>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</si>
  <si>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</si>
  <si>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</si>
  <si>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</si>
  <si>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</si>
  <si>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</si>
  <si>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</si>
  <si>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</si>
  <si>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</si>
  <si>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</si>
  <si>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</si>
  <si>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</si>
  <si>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</si>
  <si>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</si>
  <si>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</si>
  <si>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</si>
  <si>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</si>
  <si>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</si>
  <si>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</si>
  <si>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</si>
  <si>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</si>
  <si>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</si>
  <si>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</si>
  <si>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</si>
  <si>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</si>
  <si>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</si>
  <si>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</si>
  <si>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</si>
  <si>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</si>
  <si>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</si>
  <si>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</si>
  <si>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</si>
  <si>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</si>
  <si>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</si>
  <si>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</si>
  <si>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</si>
  <si>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</si>
  <si>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</si>
  <si>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</si>
  <si>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</si>
  <si>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</si>
  <si>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</si>
  <si>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</si>
  <si>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</si>
  <si>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</si>
  <si>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</si>
  <si>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</si>
  <si>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</si>
  <si>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</si>
  <si>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</si>
  <si>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</si>
  <si>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</si>
  <si>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</si>
  <si>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</si>
  <si>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</si>
  <si>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</si>
  <si>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</si>
  <si>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</si>
  <si>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</si>
  <si>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</si>
  <si>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</si>
  <si>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</si>
  <si>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</si>
  <si>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</si>
  <si>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</si>
  <si>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</si>
  <si>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</si>
  <si>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</si>
  <si>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</si>
  <si>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</si>
  <si>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</si>
  <si>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</si>
  <si>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</si>
  <si>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</si>
  <si>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</si>
  <si>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</si>
  <si>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</si>
  <si>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</si>
  <si>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</si>
  <si>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</si>
  <si>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</si>
  <si>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</si>
  <si>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</si>
  <si>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</si>
  <si>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</si>
  <si>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</si>
  <si>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</si>
  <si>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</si>
  <si>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</si>
  <si>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</si>
  <si>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</si>
  <si>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</si>
  <si>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</si>
  <si>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</si>
  <si>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</si>
  <si>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</si>
  <si>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</si>
  <si>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</si>
  <si>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</si>
  <si>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</si>
  <si>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</si>
  <si>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</si>
  <si>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</si>
  <si>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</si>
  <si>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</si>
  <si>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</si>
  <si>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</si>
  <si>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</si>
  <si>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</si>
  <si>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</si>
  <si>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</si>
  <si>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</si>
  <si>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</si>
  <si>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</si>
  <si>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</si>
  <si>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</si>
  <si>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</si>
  <si>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</si>
  <si>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</si>
  <si>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</si>
  <si>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</si>
  <si>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</si>
  <si>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</si>
  <si>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</si>
  <si>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</si>
  <si>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</si>
  <si>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</si>
  <si>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</si>
  <si>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</si>
  <si>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</si>
  <si>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</si>
  <si>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</si>
  <si>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</si>
  <si>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</si>
  <si>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</si>
  <si>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</si>
  <si>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</si>
  <si>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</si>
  <si>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</si>
  <si>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</si>
  <si>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</si>
  <si>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</si>
  <si>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</si>
  <si>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</si>
  <si>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</si>
  <si>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</si>
  <si>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</si>
  <si>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</si>
  <si>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</si>
  <si>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</si>
  <si>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</si>
  <si>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</si>
  <si>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</si>
  <si>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</si>
  <si>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</si>
  <si>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</si>
  <si>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</si>
  <si>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</si>
  <si>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</si>
  <si>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</si>
  <si>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</si>
  <si>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</si>
  <si>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</si>
  <si>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</si>
  <si>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</si>
  <si>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</si>
  <si>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</si>
  <si>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</si>
  <si>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</si>
  <si>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</si>
  <si>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</si>
  <si>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</si>
  <si>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</si>
  <si>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</si>
  <si>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</si>
  <si>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</si>
  <si>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</si>
  <si>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</si>
  <si>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</si>
  <si>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</si>
  <si>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</si>
  <si>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</si>
  <si>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</si>
  <si>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</si>
  <si>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</si>
  <si>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</si>
  <si>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</si>
  <si>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</si>
  <si>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</si>
  <si>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</si>
  <si>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</si>
  <si>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</si>
  <si>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</si>
  <si>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</si>
  <si>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</si>
  <si>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</si>
  <si>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</si>
  <si>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</si>
  <si>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</si>
  <si>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</si>
  <si>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</si>
  <si>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</si>
  <si>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</si>
  <si>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</si>
  <si>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</si>
  <si>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</si>
  <si>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</si>
  <si>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</si>
  <si>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</si>
  <si>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</si>
  <si>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</si>
  <si>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</si>
  <si>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</si>
  <si>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</si>
  <si>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</si>
  <si>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</si>
  <si>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</si>
  <si>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</si>
  <si>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</si>
  <si>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</si>
  <si>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</si>
  <si>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</si>
  <si>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</si>
  <si>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</si>
  <si>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</si>
  <si>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</si>
  <si>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</si>
  <si>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</si>
  <si>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</si>
  <si>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</si>
  <si>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</si>
  <si>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</si>
  <si>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</si>
  <si>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</si>
  <si>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</si>
  <si>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</si>
  <si>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</si>
  <si>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</si>
  <si>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</si>
  <si>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</si>
  <si>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</si>
  <si>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</si>
  <si>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</si>
  <si>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</si>
  <si>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</si>
  <si>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</si>
  <si>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</si>
  <si>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</si>
  <si>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</si>
  <si>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</si>
  <si>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</si>
  <si>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</si>
  <si>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</si>
  <si>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</si>
  <si>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</si>
  <si>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</si>
  <si>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</si>
  <si>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</si>
  <si>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</si>
  <si>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</si>
  <si>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</si>
  <si>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</si>
  <si>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</si>
  <si>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</si>
  <si>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</si>
  <si>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</si>
  <si>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</si>
  <si>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</si>
  <si>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</si>
  <si>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</si>
  <si>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</si>
  <si>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</si>
  <si>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</si>
  <si>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</si>
  <si>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</si>
  <si>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</si>
  <si>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</si>
  <si>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</si>
  <si>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</si>
  <si>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</si>
  <si>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</si>
  <si>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</si>
  <si>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</si>
  <si>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</si>
  <si>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</si>
  <si>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</si>
  <si>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</si>
  <si>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</si>
  <si>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</si>
  <si>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</si>
  <si>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</si>
  <si>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</si>
  <si>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</si>
  <si>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</si>
  <si>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</si>
  <si>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</si>
  <si>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</si>
  <si>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</si>
  <si>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</si>
  <si>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</si>
  <si>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</si>
  <si>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</si>
  <si>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</si>
  <si>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</si>
  <si>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</si>
  <si>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</si>
  <si>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</si>
  <si>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</si>
  <si>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</si>
  <si>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</si>
  <si>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</si>
  <si>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</si>
  <si>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</si>
  <si>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</si>
  <si>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</si>
  <si>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</si>
  <si>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</si>
  <si>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</si>
  <si>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</si>
  <si>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</si>
  <si>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</si>
  <si>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</si>
  <si>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</si>
  <si>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</si>
  <si>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</si>
  <si>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</si>
  <si>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</si>
  <si>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</si>
  <si>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</si>
  <si>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</si>
  <si>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</si>
  <si>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</si>
  <si>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</si>
  <si>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</si>
  <si>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</si>
  <si>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</si>
  <si>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</si>
  <si>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</si>
  <si>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</si>
  <si>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</si>
  <si>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</si>
  <si>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</si>
  <si>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</si>
  <si>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</si>
  <si>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</si>
  <si>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</si>
  <si>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</si>
  <si>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</si>
  <si>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</si>
  <si>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</si>
  <si>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</si>
  <si>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</si>
  <si>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</si>
  <si>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</si>
  <si>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</si>
  <si>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</si>
  <si>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</si>
  <si>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</si>
  <si>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</si>
  <si>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</si>
  <si>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</si>
  <si>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</si>
  <si>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</si>
  <si>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</si>
  <si>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</si>
  <si>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</si>
  <si>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</si>
  <si>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</si>
  <si>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</si>
  <si>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</si>
  <si>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</si>
  <si>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</si>
  <si>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</si>
  <si>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</si>
  <si>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</si>
  <si>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</si>
  <si>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</si>
  <si>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</si>
  <si>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</si>
  <si>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</si>
  <si>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</si>
  <si>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</si>
  <si>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</si>
  <si>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</si>
  <si>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</si>
  <si>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</si>
  <si>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</si>
  <si>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</si>
  <si>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</si>
  <si>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</si>
  <si>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</si>
  <si>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</si>
  <si>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</si>
  <si>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</si>
  <si>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</si>
  <si>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</si>
  <si>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</si>
  <si>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</si>
  <si>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</si>
  <si>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</si>
  <si>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</si>
  <si>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</si>
  <si>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</si>
  <si>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</si>
  <si>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</si>
  <si>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</si>
  <si>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</si>
  <si>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</si>
  <si>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</si>
  <si>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</si>
  <si>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</si>
  <si>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</si>
  <si>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</si>
  <si>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</si>
  <si>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</si>
  <si>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</si>
  <si>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</si>
  <si>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</si>
  <si>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</si>
  <si>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</si>
  <si>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</si>
  <si>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</si>
  <si>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</si>
  <si>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</si>
  <si>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</si>
  <si>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</si>
  <si>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</si>
  <si>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</si>
  <si>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</si>
  <si>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</si>
  <si>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</si>
  <si>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</si>
  <si>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</si>
  <si>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</si>
  <si>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</si>
  <si>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</si>
  <si>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</si>
  <si>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</si>
  <si>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</si>
  <si>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</si>
  <si>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</si>
  <si>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</si>
  <si>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</si>
  <si>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</si>
  <si>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</si>
  <si>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</si>
  <si>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</si>
  <si>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</si>
  <si>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</si>
  <si>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</si>
  <si>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</si>
  <si>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</si>
  <si>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</si>
  <si>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</si>
  <si>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</si>
  <si>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</si>
  <si>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</si>
  <si>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</si>
  <si>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</si>
  <si>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</si>
  <si>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</si>
  <si>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</si>
  <si>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</si>
  <si>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</si>
  <si>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</si>
  <si>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</si>
  <si>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</si>
  <si>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</si>
  <si>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</si>
  <si>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</si>
  <si>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</si>
  <si>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</si>
  <si>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</si>
  <si>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</si>
  <si>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</si>
  <si>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</si>
  <si>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</si>
  <si>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</si>
  <si>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</si>
  <si>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</si>
  <si>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</si>
  <si>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</si>
  <si>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</si>
  <si>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</si>
  <si>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</si>
  <si>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</si>
  <si>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</si>
  <si>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</si>
  <si>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</si>
  <si>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</si>
  <si>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</si>
  <si>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</si>
  <si>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</si>
  <si>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</si>
  <si>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</si>
  <si>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</si>
  <si>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</si>
  <si>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</si>
  <si>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</si>
  <si>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</si>
  <si>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</si>
  <si>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</si>
  <si>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</si>
  <si>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</si>
  <si>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</si>
  <si>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</si>
  <si>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</si>
  <si>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</si>
  <si>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</si>
  <si>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</si>
  <si>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</si>
  <si>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</si>
  <si>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</si>
  <si>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</si>
  <si>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</si>
  <si>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</si>
  <si>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</si>
  <si>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</si>
  <si>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</si>
  <si>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</si>
  <si>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</si>
  <si>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</si>
  <si>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</si>
  <si>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</si>
  <si>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</si>
  <si>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</si>
  <si>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</si>
  <si>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</si>
  <si>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</si>
  <si>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</si>
  <si>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</si>
  <si>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</si>
  <si>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</si>
  <si>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</si>
  <si>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</si>
  <si>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</si>
  <si>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</si>
  <si>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</si>
  <si>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</si>
  <si>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</si>
  <si>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</si>
  <si>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</si>
  <si>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</si>
  <si>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</si>
  <si>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</si>
  <si>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</si>
  <si>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</si>
  <si>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</si>
  <si>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</si>
  <si>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</si>
  <si>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</si>
  <si>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</si>
  <si>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</si>
  <si>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</si>
  <si>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</si>
  <si>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</si>
  <si>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</si>
  <si>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</si>
  <si>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</si>
  <si>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</si>
  <si>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</si>
  <si>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</si>
  <si>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</si>
  <si>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</si>
  <si>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</si>
  <si>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</si>
  <si>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</si>
  <si>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</si>
  <si>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</si>
  <si>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</si>
  <si>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</si>
  <si>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</si>
  <si>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</si>
  <si>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</si>
  <si>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</si>
  <si>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</si>
  <si>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</si>
  <si>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</si>
  <si>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</si>
  <si>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</si>
  <si>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</si>
  <si>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</si>
  <si>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</si>
  <si>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</si>
  <si>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</si>
  <si>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</si>
  <si>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</si>
  <si>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</si>
  <si>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</si>
  <si>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</si>
  <si>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</si>
  <si>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</si>
  <si>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</si>
  <si>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</si>
  <si>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</si>
  <si>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</si>
  <si>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</si>
  <si>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</si>
  <si>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</si>
  <si>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</si>
  <si>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</si>
  <si>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</si>
  <si>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</si>
  <si>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</si>
  <si>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</si>
  <si>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</si>
  <si>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</si>
  <si>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</si>
  <si>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</si>
  <si>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</si>
  <si>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</si>
  <si>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</si>
  <si>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</si>
  <si>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</si>
  <si>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</si>
  <si>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</si>
  <si>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</si>
  <si>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</si>
  <si>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</si>
  <si>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</si>
  <si>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</si>
  <si>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</si>
  <si>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</si>
  <si>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</si>
  <si>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</si>
  <si>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</si>
  <si>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</si>
  <si>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</si>
  <si>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</si>
  <si>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</si>
  <si>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</si>
  <si>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</si>
  <si>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</si>
  <si>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</si>
  <si>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</si>
  <si>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</si>
  <si>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</si>
  <si>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</si>
  <si>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</si>
  <si>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</si>
  <si>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</si>
  <si>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</si>
  <si>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</si>
  <si>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</si>
  <si>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</si>
  <si>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</si>
  <si>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</si>
  <si>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</si>
  <si>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</si>
  <si>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</si>
  <si>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</si>
  <si>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</si>
  <si>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</si>
  <si>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</si>
  <si>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</si>
  <si>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</si>
  <si>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</si>
  <si>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</si>
  <si>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</si>
  <si>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</si>
  <si>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</si>
  <si>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</si>
  <si>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</si>
  <si>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</si>
  <si>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</si>
  <si>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</si>
  <si>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</si>
  <si>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</si>
  <si>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</si>
  <si>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</si>
  <si>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</si>
  <si>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</si>
  <si>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</si>
  <si>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</si>
  <si>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</si>
  <si>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</si>
  <si>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</si>
  <si>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</si>
  <si>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</si>
  <si>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</si>
  <si>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</si>
  <si>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</si>
  <si>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</si>
  <si>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</si>
  <si>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</si>
  <si>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</si>
  <si>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</si>
  <si>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</si>
  <si>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</si>
  <si>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</si>
  <si>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</si>
  <si>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</si>
  <si>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</si>
  <si>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</si>
  <si>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</si>
  <si>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</si>
  <si>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</si>
  <si>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</si>
  <si>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</si>
  <si>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</si>
  <si>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</si>
  <si>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</si>
  <si>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</si>
  <si>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</si>
  <si>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</si>
  <si>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</si>
  <si>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</si>
  <si>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</si>
  <si>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</si>
  <si>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</si>
  <si>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</si>
  <si>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</si>
  <si>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</si>
  <si>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</si>
  <si>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</si>
  <si>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</si>
  <si>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</si>
  <si>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</si>
  <si>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</si>
  <si>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</si>
  <si>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</si>
  <si>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</si>
  <si>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</si>
  <si>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</si>
  <si>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</si>
  <si>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</si>
  <si>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</si>
  <si>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</si>
  <si>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</si>
  <si>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</si>
  <si>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</si>
  <si>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</si>
  <si>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</si>
  <si>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</si>
  <si>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</si>
  <si>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</si>
  <si>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</si>
  <si>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</si>
  <si>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</si>
  <si>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</si>
  <si>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</si>
  <si>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</si>
  <si>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</si>
  <si>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</si>
  <si>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</si>
  <si>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</si>
  <si>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</si>
  <si>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</si>
  <si>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</si>
  <si>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</si>
  <si>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</si>
  <si>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</si>
  <si>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</si>
  <si>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</si>
  <si>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</si>
  <si>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</si>
  <si>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</si>
  <si>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</si>
  <si>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</si>
  <si>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</si>
  <si>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</si>
  <si>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</si>
  <si>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</si>
  <si>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</si>
  <si>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</si>
  <si>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</si>
  <si>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</si>
  <si>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</si>
  <si>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</si>
  <si>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</si>
  <si>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</si>
  <si>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</si>
  <si>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</si>
  <si>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</si>
  <si>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</si>
  <si>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</si>
  <si>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</si>
  <si>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</si>
  <si>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</si>
  <si>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</si>
  <si>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</si>
  <si>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</si>
  <si>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</si>
  <si>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</si>
  <si>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</si>
  <si>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</si>
  <si>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</si>
  <si>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</si>
  <si>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</si>
  <si>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</si>
  <si>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</si>
  <si>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</si>
  <si>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</si>
  <si>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</si>
  <si>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</si>
  <si>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</si>
  <si>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</si>
  <si>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</si>
  <si>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</si>
  <si>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</si>
  <si>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</si>
  <si>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</si>
  <si>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</si>
  <si>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</si>
  <si>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</si>
  <si>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</si>
  <si>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</si>
  <si>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</si>
  <si>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</si>
  <si>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</si>
  <si>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</si>
  <si>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</si>
  <si>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</si>
  <si>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</si>
  <si>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</si>
  <si>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</si>
  <si>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</si>
  <si>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</si>
  <si>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</si>
  <si>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</si>
  <si>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</si>
  <si>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</si>
  <si>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</si>
  <si>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</si>
  <si>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</si>
  <si>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</si>
  <si>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</si>
  <si>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</si>
  <si>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</si>
  <si>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</si>
  <si>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</si>
  <si>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</si>
  <si>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</si>
  <si>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</si>
  <si>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</si>
  <si>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</si>
  <si>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</si>
  <si>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</si>
  <si>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</si>
  <si>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</si>
  <si>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</si>
  <si>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</si>
  <si>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</si>
  <si>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</si>
  <si>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</si>
  <si>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</si>
  <si>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</si>
  <si>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</si>
  <si>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</si>
  <si>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</si>
  <si>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</si>
  <si>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</si>
  <si>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</si>
  <si>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</si>
  <si>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</si>
  <si>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</si>
  <si>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</si>
  <si>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</si>
  <si>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</si>
  <si>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</si>
  <si>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</si>
  <si>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</si>
  <si>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</si>
  <si>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</si>
  <si>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</si>
  <si>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</si>
  <si>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</si>
  <si>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</si>
  <si>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</si>
  <si>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</si>
  <si>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</si>
  <si>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</si>
  <si>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</si>
  <si>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</si>
  <si>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</si>
  <si>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</si>
  <si>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</si>
  <si>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</si>
  <si>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</si>
  <si>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</si>
  <si>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</si>
  <si>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</si>
  <si>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</si>
  <si>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</si>
  <si>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</si>
  <si>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</si>
  <si>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</si>
  <si>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</si>
  <si>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</si>
  <si>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</si>
  <si>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</si>
  <si>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</si>
  <si>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</si>
  <si>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</si>
  <si>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</si>
  <si>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</si>
  <si>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</si>
  <si>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</si>
  <si>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</si>
  <si>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</si>
  <si>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</si>
  <si>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</si>
  <si>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</si>
  <si>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</si>
  <si>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</si>
  <si>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</si>
  <si>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</si>
  <si>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</si>
  <si>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</si>
  <si>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</si>
  <si>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</si>
  <si>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</si>
  <si>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</si>
  <si>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</si>
  <si>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</si>
  <si>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</si>
  <si>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</si>
  <si>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</si>
  <si>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</si>
  <si>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</si>
  <si>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</si>
  <si>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</si>
  <si>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</si>
  <si>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</si>
  <si>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</si>
  <si>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</si>
  <si>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</si>
  <si>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</si>
  <si>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</si>
  <si>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</si>
  <si>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</si>
  <si>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</si>
  <si>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</si>
  <si>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</si>
  <si>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</si>
  <si>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</si>
  <si>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</si>
  <si>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</si>
  <si>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</si>
  <si>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</si>
  <si>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</si>
  <si>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</si>
  <si>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</si>
  <si>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</si>
  <si>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</si>
  <si>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</si>
  <si>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</si>
  <si>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</si>
  <si>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</si>
  <si>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</si>
  <si>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</si>
  <si>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</si>
  <si>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</si>
  <si>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</si>
  <si>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</si>
  <si>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</si>
  <si>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</si>
  <si>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</si>
  <si>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</si>
  <si>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</si>
  <si>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</si>
  <si>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</si>
  <si>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</si>
  <si>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</si>
  <si>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</si>
  <si>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</si>
  <si>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</si>
  <si>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</si>
  <si>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</si>
  <si>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</si>
  <si>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</si>
  <si>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</si>
  <si>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</si>
  <si>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</si>
  <si>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</si>
  <si>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</si>
  <si>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</si>
  <si>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</si>
  <si>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</si>
  <si>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</si>
  <si>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</si>
  <si>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</si>
  <si>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</si>
  <si>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</si>
  <si>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</si>
  <si>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</si>
  <si>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</si>
  <si>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</si>
  <si>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</si>
  <si>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</si>
  <si>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</si>
  <si>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</si>
  <si>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</si>
  <si>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</si>
  <si>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</si>
  <si>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</si>
  <si>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</si>
  <si>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</si>
  <si>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</si>
  <si>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</si>
  <si>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</si>
  <si>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</si>
  <si>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</si>
  <si>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</si>
  <si>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</si>
  <si>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</si>
  <si>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</si>
  <si>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</si>
  <si>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</si>
  <si>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</si>
  <si>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</si>
  <si>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</si>
  <si>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</si>
  <si>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</si>
  <si>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</si>
  <si>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</si>
  <si>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</si>
  <si>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</si>
  <si>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</si>
  <si>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</si>
  <si>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</si>
  <si>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</si>
  <si>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</si>
  <si>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</si>
  <si>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</si>
  <si>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</si>
  <si>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</si>
  <si>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</si>
  <si>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</si>
  <si>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</si>
  <si>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</si>
  <si>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</si>
  <si>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</si>
  <si>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</si>
  <si>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</si>
  <si>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</si>
  <si>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</si>
  <si>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</si>
  <si>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</si>
  <si>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</si>
  <si>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</si>
  <si>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</si>
  <si>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</si>
  <si>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</si>
  <si>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</si>
  <si>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</si>
  <si>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</si>
  <si>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</si>
  <si>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</si>
  <si>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</si>
  <si>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</si>
  <si>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</si>
  <si>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</si>
  <si>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</si>
  <si>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</si>
  <si>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</si>
  <si>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</si>
  <si>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</si>
  <si>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</si>
  <si>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</si>
  <si>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</si>
  <si>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</si>
  <si>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</si>
  <si>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</si>
  <si>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</si>
  <si>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</si>
  <si>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</si>
  <si>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</si>
  <si>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</si>
  <si>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</si>
  <si>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</si>
  <si>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</si>
  <si>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</si>
  <si>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</si>
  <si>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</si>
  <si>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</si>
  <si>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</si>
  <si>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</si>
  <si>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</si>
  <si>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</si>
  <si>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</si>
  <si>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</si>
  <si>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</si>
  <si>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</si>
  <si>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</si>
  <si>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</si>
  <si>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</si>
  <si>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</si>
  <si>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</si>
  <si>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</si>
  <si>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</si>
  <si>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</si>
  <si>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</si>
  <si>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</si>
  <si>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</si>
  <si>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</si>
  <si>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</si>
  <si>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</si>
  <si>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</si>
  <si>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</si>
  <si>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</si>
  <si>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</si>
  <si>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</si>
  <si>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</si>
  <si>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</si>
  <si>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</si>
  <si>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</si>
  <si>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</si>
  <si>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</si>
  <si>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</si>
  <si>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</si>
  <si>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</si>
  <si>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</si>
  <si>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</si>
  <si>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</si>
  <si>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</si>
  <si>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</si>
  <si>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</si>
  <si>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</si>
  <si>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</si>
  <si>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</si>
  <si>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</si>
  <si>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</si>
  <si>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</si>
  <si>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</si>
  <si>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</si>
  <si>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</si>
  <si>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</si>
  <si>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</si>
  <si>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</si>
  <si>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</si>
  <si>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</si>
  <si>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</si>
  <si>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</si>
  <si>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</si>
  <si>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</si>
  <si>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</si>
  <si>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</si>
  <si>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</si>
  <si>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</si>
  <si>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</si>
  <si>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</si>
  <si>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</si>
  <si>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</si>
  <si>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</si>
  <si>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</si>
  <si>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</si>
  <si>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</si>
  <si>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</si>
  <si>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</si>
  <si>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</si>
  <si>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</si>
  <si>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</si>
  <si>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</si>
  <si>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</si>
  <si>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</si>
  <si>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</si>
  <si>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</si>
  <si>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</si>
  <si>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</si>
  <si>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</si>
  <si>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</si>
  <si>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</si>
  <si>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</si>
  <si>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</si>
  <si>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</si>
  <si>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</si>
  <si>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</si>
  <si>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</si>
  <si>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</si>
  <si>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</si>
  <si>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</si>
  <si>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</si>
  <si>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</si>
  <si>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</si>
  <si>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</si>
  <si>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</si>
  <si>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</si>
  <si>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</si>
  <si>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</si>
  <si>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</si>
  <si>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</si>
  <si>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</si>
  <si>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</si>
  <si>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</si>
  <si>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</si>
  <si>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</si>
  <si>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</si>
  <si>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</si>
  <si>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</si>
  <si>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</si>
  <si>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</si>
  <si>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</si>
  <si>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</si>
  <si>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</si>
  <si>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</si>
  <si>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</si>
  <si>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</si>
  <si>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</si>
  <si>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</si>
  <si>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</si>
  <si>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</si>
  <si>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</si>
  <si>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</si>
  <si>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</si>
  <si>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</si>
  <si>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</si>
  <si>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</si>
  <si>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</si>
  <si>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</si>
  <si>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</si>
  <si>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</si>
  <si>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</si>
  <si>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</si>
  <si>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</si>
  <si>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</si>
  <si>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</si>
  <si>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</si>
  <si>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</si>
  <si>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</si>
  <si>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</si>
  <si>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</si>
  <si>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</si>
  <si>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</si>
  <si>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</si>
  <si>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</si>
  <si>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</si>
  <si>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</si>
  <si>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</si>
  <si>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</si>
  <si>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</si>
  <si>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</si>
  <si>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</si>
  <si>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</si>
  <si>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</si>
  <si>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</si>
  <si>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</si>
  <si>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</si>
  <si>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</si>
  <si>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</si>
  <si>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</si>
  <si>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</si>
  <si>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</si>
  <si>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</si>
  <si>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</si>
  <si>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</si>
  <si>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</si>
  <si>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</si>
  <si>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</si>
  <si>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</si>
  <si>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</si>
  <si>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</si>
  <si>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</si>
  <si>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</si>
  <si>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</si>
  <si>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</si>
  <si>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</si>
  <si>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</si>
  <si>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</si>
  <si>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</si>
  <si>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</si>
  <si>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</si>
  <si>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</si>
  <si>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</si>
  <si>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</si>
  <si>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</si>
  <si>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</si>
  <si>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</si>
  <si>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</si>
  <si>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</si>
  <si>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</si>
  <si>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</si>
  <si>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</si>
  <si>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</si>
  <si>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</si>
  <si>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</si>
  <si>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</si>
  <si>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</si>
  <si>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</si>
  <si>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</si>
  <si>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</si>
  <si>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</si>
  <si>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</si>
  <si>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</si>
  <si>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</si>
  <si>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</si>
  <si>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</si>
  <si>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</si>
  <si>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</si>
  <si>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</si>
  <si>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</si>
  <si>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</si>
  <si>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</si>
  <si>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</si>
  <si>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</si>
  <si>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</si>
  <si>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</si>
  <si>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</si>
  <si>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</si>
  <si>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</si>
  <si>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</si>
  <si>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</si>
  <si>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</si>
  <si>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</si>
  <si>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</si>
  <si>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</si>
  <si>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</si>
  <si>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</si>
  <si>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</si>
  <si>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</si>
  <si>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</si>
  <si>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</si>
  <si>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</si>
  <si>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</si>
  <si>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</si>
  <si>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</si>
  <si>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</si>
  <si>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</si>
  <si>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</si>
  <si>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</si>
  <si>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</si>
  <si>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</si>
  <si>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</si>
  <si>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</si>
  <si>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</si>
  <si>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</si>
  <si>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</si>
  <si>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</si>
  <si>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</si>
  <si>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</si>
  <si>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</si>
  <si>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</si>
  <si>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</si>
  <si>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</si>
  <si>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</si>
  <si>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</si>
  <si>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</si>
  <si>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</si>
  <si>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</si>
  <si>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</si>
  <si>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</si>
  <si>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</si>
  <si>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</si>
  <si>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</si>
  <si>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</si>
  <si>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</si>
  <si>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</si>
  <si>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</si>
  <si>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</si>
  <si>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</si>
  <si>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</si>
  <si>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</si>
  <si>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</si>
  <si>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</si>
  <si>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</si>
  <si>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</si>
  <si>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</si>
  <si>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</si>
  <si>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</si>
  <si>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</si>
  <si>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</si>
  <si>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</si>
  <si>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</si>
  <si>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</si>
  <si>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</si>
  <si>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</si>
  <si>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</si>
  <si>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</si>
  <si>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</si>
  <si>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</si>
  <si>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</si>
  <si>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</si>
  <si>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</si>
  <si>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</si>
  <si>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</si>
  <si>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</si>
  <si>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</si>
  <si>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</si>
  <si>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</si>
  <si>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</si>
  <si>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</si>
  <si>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</si>
  <si>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</si>
  <si>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</si>
  <si>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</si>
  <si>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</si>
  <si>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</si>
  <si>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</si>
  <si>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</si>
  <si>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</si>
  <si>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</si>
  <si>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</si>
  <si>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</si>
  <si>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</si>
  <si>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</si>
  <si>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</si>
  <si>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</si>
  <si>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</si>
  <si>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</si>
  <si>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</si>
  <si>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</si>
  <si>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</si>
  <si>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</si>
  <si>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</si>
  <si>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</si>
  <si>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</si>
  <si>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</si>
  <si>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</si>
  <si>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</si>
  <si>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</si>
  <si>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</si>
  <si>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</si>
  <si>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</si>
  <si>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</si>
  <si>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</si>
  <si>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</si>
  <si>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</si>
  <si>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</si>
  <si>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</si>
  <si>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</si>
  <si>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</si>
  <si>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</si>
  <si>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</si>
  <si>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</si>
  <si>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</si>
  <si>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</si>
  <si>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</si>
  <si>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</si>
  <si>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</si>
  <si>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</si>
  <si>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</si>
  <si>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</si>
  <si>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</si>
  <si>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</si>
  <si>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</si>
  <si>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</si>
  <si>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</si>
  <si>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</si>
  <si>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</si>
  <si>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</si>
  <si>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</si>
  <si>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</si>
  <si>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</si>
  <si>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</si>
  <si>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</si>
  <si>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</si>
  <si>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</si>
  <si>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</si>
  <si>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</si>
  <si>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</si>
  <si>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</si>
  <si>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</si>
  <si>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</si>
  <si>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</si>
  <si>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</si>
  <si>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</si>
  <si>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</si>
  <si>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</si>
  <si>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</si>
  <si>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</si>
  <si>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</si>
  <si>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</si>
  <si>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</si>
  <si>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</si>
  <si>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</si>
  <si>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</si>
  <si>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</si>
  <si>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</si>
  <si>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</si>
  <si>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</si>
  <si>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</si>
  <si>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</si>
  <si>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</si>
  <si>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</si>
  <si>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</si>
  <si>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</si>
  <si>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</si>
  <si>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</si>
  <si>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</si>
  <si>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</si>
  <si>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</si>
  <si>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</si>
  <si>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</si>
  <si>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</si>
  <si>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</si>
  <si>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</si>
  <si>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</si>
  <si>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</si>
  <si>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</si>
  <si>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</si>
  <si>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</si>
  <si>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</si>
  <si>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</si>
  <si>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</si>
  <si>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</si>
  <si>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</si>
  <si>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</si>
  <si>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</si>
  <si>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</si>
  <si>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</si>
  <si>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</si>
  <si>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</si>
  <si>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</si>
  <si>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</si>
  <si>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</si>
  <si>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</si>
  <si>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</si>
  <si>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</si>
  <si>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</si>
  <si>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</si>
  <si>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</si>
  <si>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</si>
  <si>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</si>
  <si>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</si>
  <si>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</si>
  <si>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</si>
  <si>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</si>
  <si>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</si>
  <si>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</si>
  <si>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</si>
  <si>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</si>
  <si>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</si>
  <si>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</si>
  <si>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</si>
  <si>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</si>
  <si>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</si>
  <si>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</si>
  <si>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</si>
  <si>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</si>
  <si>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</si>
  <si>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</si>
  <si>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</si>
  <si>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</si>
  <si>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</si>
  <si>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</si>
  <si>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</si>
  <si>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</si>
  <si>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</si>
  <si>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</si>
  <si>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</si>
  <si>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</si>
  <si>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</si>
  <si>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</si>
  <si>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</si>
  <si>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</si>
  <si>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</si>
  <si>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</si>
  <si>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</si>
  <si>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</si>
  <si>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</si>
  <si>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</si>
  <si>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</si>
  <si>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</si>
  <si>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</si>
  <si>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</si>
  <si>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</si>
  <si>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</si>
  <si>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</si>
  <si>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</si>
  <si>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</si>
  <si>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</si>
  <si>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</si>
  <si>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</si>
  <si>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</si>
  <si>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</si>
  <si>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</si>
  <si>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</si>
  <si>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</si>
  <si>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</si>
  <si>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</si>
  <si>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</si>
  <si>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</si>
  <si>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</si>
  <si>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</si>
  <si>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</si>
  <si>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</si>
  <si>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</si>
  <si>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</si>
  <si>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</si>
  <si>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</si>
  <si>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</si>
  <si>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</si>
  <si>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</si>
  <si>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</si>
  <si>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</si>
  <si>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</si>
  <si>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</si>
  <si>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</si>
  <si>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</si>
  <si>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</si>
  <si>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</si>
  <si>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</si>
  <si>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</si>
  <si>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</si>
  <si>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</si>
  <si>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</si>
  <si>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</si>
  <si>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</si>
  <si>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</si>
  <si>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</si>
  <si>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</si>
  <si>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</si>
  <si>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</si>
  <si>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</si>
  <si>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</si>
  <si>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</si>
  <si>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</si>
  <si>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</si>
  <si>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</si>
  <si>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</si>
  <si>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</si>
  <si>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</si>
  <si>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</si>
  <si>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</si>
  <si>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</si>
  <si>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</si>
  <si>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</si>
  <si>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</si>
  <si>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</si>
  <si>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</si>
  <si>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</si>
  <si>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</si>
  <si>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</si>
  <si>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</si>
  <si>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</si>
  <si>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</si>
  <si>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</si>
  <si>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</si>
  <si>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</si>
  <si>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</si>
  <si>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</si>
  <si>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</si>
  <si>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</si>
  <si>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</si>
  <si>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</si>
  <si>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</si>
  <si>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</si>
  <si>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</si>
  <si>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</si>
  <si>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</si>
  <si>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</si>
  <si>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</si>
  <si>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</si>
  <si>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</si>
  <si>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</si>
  <si>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</si>
  <si>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</si>
  <si>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</si>
  <si>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</si>
  <si>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</si>
  <si>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</si>
  <si>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</si>
  <si>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</si>
  <si>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</si>
  <si>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</si>
  <si>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</si>
  <si>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</si>
  <si>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</si>
  <si>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</si>
  <si>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</si>
  <si>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</si>
  <si>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</si>
  <si>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</si>
  <si>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</si>
  <si>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</si>
  <si>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</si>
  <si>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</si>
  <si>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</si>
  <si>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</si>
  <si>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</si>
  <si>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</si>
  <si>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</si>
  <si>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</si>
  <si>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</si>
  <si>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</si>
  <si>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</si>
  <si>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</si>
  <si>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</si>
  <si>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</si>
  <si>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</si>
  <si>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</si>
  <si>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</si>
  <si>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</si>
  <si>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</si>
  <si>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</si>
  <si>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</si>
  <si>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</si>
  <si>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</si>
  <si>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</si>
  <si>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</si>
  <si>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</si>
  <si>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</si>
  <si>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</si>
  <si>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</si>
  <si>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</si>
  <si>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</si>
  <si>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</si>
  <si>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</si>
  <si>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</si>
  <si>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</si>
  <si>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</si>
  <si>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</si>
  <si>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</si>
  <si>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</si>
  <si>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</si>
  <si>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</si>
  <si>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</si>
  <si>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</si>
  <si>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</si>
  <si>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</si>
  <si>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</si>
  <si>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</si>
  <si>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</si>
  <si>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</si>
  <si>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</si>
  <si>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</si>
  <si>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</si>
  <si>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</si>
  <si>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</si>
  <si>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</si>
  <si>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</si>
  <si>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</si>
  <si>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</si>
  <si>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</si>
  <si>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</si>
  <si>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</si>
  <si>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</si>
  <si>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</si>
  <si>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</si>
  <si>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</si>
  <si>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</si>
  <si>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</si>
  <si>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</si>
  <si>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</si>
  <si>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</si>
  <si>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</si>
  <si>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</si>
  <si>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</si>
  <si>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</si>
  <si>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</si>
  <si>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</si>
  <si>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</si>
  <si>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</si>
  <si>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</si>
  <si>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</si>
  <si>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</si>
  <si>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</si>
  <si>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</si>
  <si>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</si>
  <si>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</si>
  <si>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</si>
  <si>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</si>
  <si>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</si>
  <si>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</si>
  <si>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</si>
  <si>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</si>
  <si>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</si>
  <si>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</si>
  <si>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</si>
  <si>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</si>
  <si>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</si>
  <si>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</si>
  <si>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</si>
  <si>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</si>
  <si>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</si>
  <si>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</si>
  <si>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</si>
  <si>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</si>
  <si>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</si>
  <si>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</si>
  <si>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</si>
  <si>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</si>
  <si>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</si>
  <si>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</si>
  <si>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</si>
  <si>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</si>
  <si>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</si>
  <si>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</si>
  <si>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</si>
  <si>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</si>
  <si>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</si>
  <si>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</si>
  <si>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</si>
  <si>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</si>
  <si>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</si>
  <si>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</si>
  <si>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</si>
  <si>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</si>
  <si>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</si>
  <si>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</si>
  <si>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</si>
  <si>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</si>
  <si>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</si>
  <si>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</si>
  <si>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</si>
  <si>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</si>
  <si>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</si>
  <si>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</si>
  <si>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</si>
  <si>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</si>
  <si>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</si>
  <si>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</si>
  <si>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</si>
  <si>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</si>
  <si>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</si>
  <si>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</si>
  <si>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</si>
  <si>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</si>
  <si>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</si>
  <si>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</si>
  <si>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</si>
  <si>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</si>
  <si>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</si>
  <si>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</si>
  <si>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</si>
  <si>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</si>
  <si>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</si>
  <si>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</si>
  <si>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</si>
  <si>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</si>
  <si>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</si>
  <si>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</si>
  <si>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</si>
  <si>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</si>
  <si>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</si>
  <si>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</si>
  <si>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</si>
  <si>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</si>
  <si>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</si>
  <si>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</si>
  <si>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</si>
  <si>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</si>
  <si>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</si>
  <si>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</si>
  <si>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</si>
  <si>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</si>
  <si>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</si>
  <si>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</si>
  <si>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</si>
  <si>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</si>
  <si>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</si>
  <si>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</si>
  <si>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</si>
  <si>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</si>
  <si>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</si>
  <si>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</si>
  <si>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</si>
  <si>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</si>
  <si>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</si>
  <si>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</si>
  <si>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</si>
  <si>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</si>
  <si>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</si>
  <si>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</si>
  <si>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</si>
  <si>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</si>
  <si>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</si>
  <si>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</si>
  <si>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</si>
  <si>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</si>
  <si>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</si>
  <si>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</si>
  <si>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</si>
  <si>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</si>
  <si>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</si>
  <si>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</si>
  <si>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</si>
  <si>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</si>
  <si>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</si>
  <si>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</si>
  <si>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</si>
  <si>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</si>
  <si>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</si>
  <si>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</si>
  <si>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</si>
  <si>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</si>
  <si>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</si>
  <si>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</si>
  <si>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</si>
  <si>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</si>
  <si>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</si>
  <si>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</si>
  <si>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</si>
  <si>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</si>
  <si>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</si>
  <si>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</si>
  <si>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</si>
  <si>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</si>
  <si>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</si>
  <si>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</si>
  <si>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</si>
  <si>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</si>
  <si>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</si>
  <si>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</si>
  <si>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</si>
  <si>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</si>
  <si>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</si>
  <si>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</si>
  <si>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</si>
  <si>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</si>
  <si>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</si>
  <si>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</si>
  <si>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</si>
  <si>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</si>
  <si>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</si>
  <si>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</si>
  <si>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</si>
  <si>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</si>
  <si>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</si>
  <si>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</si>
  <si>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</si>
  <si>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</si>
  <si>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</si>
  <si>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</si>
  <si>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</si>
  <si>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</si>
  <si>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</si>
  <si>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</si>
  <si>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</si>
  <si>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</si>
  <si>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</si>
  <si>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</si>
  <si>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</si>
  <si>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</si>
  <si>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</si>
  <si>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</si>
  <si>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</si>
  <si>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</si>
  <si>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</si>
  <si>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</si>
  <si>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</si>
  <si>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</si>
  <si>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</si>
  <si>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</si>
  <si>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</si>
  <si>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</si>
  <si>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</si>
  <si>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</si>
  <si>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</si>
  <si>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</si>
  <si>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</si>
  <si>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</si>
  <si>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</si>
  <si>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</si>
  <si>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</si>
  <si>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</si>
  <si>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</si>
  <si>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</si>
  <si>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</si>
  <si>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</si>
  <si>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</si>
  <si>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</si>
  <si>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</si>
  <si>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</si>
  <si>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</si>
  <si>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</si>
  <si>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</si>
  <si>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</si>
  <si>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</si>
  <si>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</si>
  <si>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</si>
  <si>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</si>
  <si>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</si>
  <si>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</si>
  <si>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</si>
  <si>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</si>
  <si>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</si>
  <si>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</si>
  <si>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</si>
  <si>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</si>
  <si>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</si>
  <si>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</si>
  <si>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</si>
  <si>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</si>
  <si>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</si>
  <si>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</si>
  <si>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</si>
  <si>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</si>
  <si>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</si>
  <si>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</si>
  <si>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</si>
  <si>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</si>
  <si>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</si>
  <si>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</si>
  <si>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</si>
  <si>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</si>
  <si>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</si>
  <si>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</si>
  <si>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</si>
  <si>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</si>
  <si>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</si>
  <si>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</si>
  <si>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</si>
  <si>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</si>
  <si>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</si>
  <si>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</si>
  <si>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</si>
  <si>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</si>
  <si>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</si>
  <si>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</si>
  <si>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</si>
  <si>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</si>
  <si>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</si>
  <si>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</si>
  <si>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</si>
  <si>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</si>
  <si>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</si>
  <si>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</si>
  <si>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</si>
  <si>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</si>
  <si>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</si>
  <si>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</si>
  <si>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</si>
  <si>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</si>
  <si>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</si>
  <si>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</si>
  <si>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</si>
  <si>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</si>
  <si>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</si>
  <si>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</si>
  <si>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</si>
  <si>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</si>
  <si>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</si>
  <si>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</si>
  <si>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</si>
  <si>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</si>
  <si>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</si>
  <si>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</si>
  <si>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</si>
  <si>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</si>
  <si>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</si>
  <si>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</si>
  <si>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</si>
  <si>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</si>
  <si>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</si>
  <si>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</si>
  <si>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</si>
  <si>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</si>
  <si>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</si>
  <si>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</si>
  <si>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</si>
  <si>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</si>
  <si>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</si>
  <si>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</si>
  <si>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</si>
  <si>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</si>
  <si>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</si>
  <si>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</si>
  <si>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</si>
  <si>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</si>
  <si>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</si>
  <si>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</si>
  <si>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</si>
  <si>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</si>
  <si>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</si>
  <si>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</si>
  <si>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</si>
  <si>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</si>
  <si>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</si>
  <si>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</si>
  <si>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</si>
  <si>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</si>
  <si>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</si>
  <si>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</si>
  <si>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</si>
  <si>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</si>
  <si>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</si>
  <si>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</si>
  <si>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</si>
  <si>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</si>
  <si>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</si>
  <si>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</si>
  <si>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</si>
  <si>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</si>
  <si>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</si>
  <si>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</si>
  <si>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</si>
  <si>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</si>
  <si>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</si>
  <si>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</si>
  <si>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</si>
  <si>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</si>
  <si>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</si>
  <si>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</si>
  <si>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</si>
  <si>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</si>
  <si>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</si>
  <si>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</si>
  <si>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</si>
  <si>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</si>
  <si>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</si>
  <si>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</si>
  <si>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</si>
  <si>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</si>
  <si>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</si>
  <si>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</si>
  <si>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</si>
  <si>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</si>
  <si>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</si>
  <si>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</si>
  <si>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</si>
  <si>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</si>
  <si>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</si>
  <si>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</si>
  <si>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</si>
  <si>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</si>
  <si>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</si>
  <si>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</si>
  <si>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</si>
  <si>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</si>
  <si>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</si>
  <si>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</si>
  <si>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</si>
  <si>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</si>
  <si>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</si>
  <si>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</si>
  <si>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</si>
  <si>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</si>
  <si>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</si>
  <si>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</si>
  <si>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</si>
  <si>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</si>
  <si>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</si>
  <si>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</si>
  <si>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</si>
  <si>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</si>
  <si>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</si>
  <si>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</si>
  <si>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</si>
  <si>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</si>
  <si>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</si>
  <si>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</si>
  <si>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</si>
  <si>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</si>
  <si>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</si>
  <si>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</si>
  <si>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</si>
  <si>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</si>
  <si>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</si>
  <si>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</si>
  <si>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</si>
  <si>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</si>
  <si>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</si>
  <si>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</si>
  <si>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</si>
  <si>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</si>
  <si>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</si>
  <si>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</si>
  <si>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</si>
  <si>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</si>
  <si>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</si>
  <si>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</si>
  <si>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</si>
  <si>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</si>
  <si>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</si>
  <si>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</si>
  <si>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</si>
  <si>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</si>
  <si>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</si>
  <si>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</si>
  <si>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</si>
  <si>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</si>
  <si>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</si>
  <si>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</si>
  <si>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</si>
  <si>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</si>
  <si>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</si>
  <si>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</si>
  <si>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</si>
  <si>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</si>
  <si>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</si>
  <si>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</si>
  <si>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</si>
  <si>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</si>
  <si>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</si>
  <si>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</si>
  <si>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</si>
  <si>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</si>
  <si>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</si>
  <si>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</si>
  <si>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</si>
  <si>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</si>
  <si>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</si>
  <si>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</si>
  <si>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</si>
  <si>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</si>
  <si>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</si>
  <si>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</si>
  <si>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</si>
  <si>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</si>
  <si>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</si>
  <si>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</si>
  <si>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</si>
  <si>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</si>
  <si>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</si>
  <si>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</si>
  <si>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</si>
  <si>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</si>
  <si>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</si>
  <si>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</si>
  <si>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</si>
  <si>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</si>
  <si>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</si>
  <si>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</si>
  <si>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</si>
  <si>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</si>
  <si>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</si>
  <si>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</si>
  <si>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</si>
  <si>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</si>
  <si>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</si>
  <si>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</si>
  <si>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</si>
  <si>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</si>
  <si>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</si>
  <si>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</si>
  <si>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</si>
  <si>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</si>
  <si>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</si>
  <si>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</si>
  <si>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</si>
  <si>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</si>
  <si>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</si>
  <si>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</si>
  <si>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</si>
  <si>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</si>
  <si>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</si>
  <si>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</si>
  <si>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</si>
  <si>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</si>
  <si>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</si>
  <si>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</si>
  <si>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</si>
  <si>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</si>
  <si>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</si>
  <si>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</si>
  <si>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</si>
  <si>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</si>
  <si>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</si>
  <si>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</si>
  <si>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</si>
  <si>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</si>
  <si>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</si>
  <si>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</si>
  <si>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</si>
  <si>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</si>
  <si>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</si>
  <si>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</si>
  <si>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</si>
  <si>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</si>
  <si>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</si>
  <si>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</si>
  <si>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</si>
  <si>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</si>
  <si>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</si>
  <si>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</si>
  <si>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</si>
  <si>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</si>
  <si>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</si>
  <si>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</si>
  <si>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</si>
  <si>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</si>
  <si>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</si>
  <si>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</si>
  <si>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</si>
  <si>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</si>
  <si>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</si>
  <si>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</si>
  <si>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</si>
  <si>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</si>
  <si>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</si>
  <si>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</si>
  <si>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</si>
  <si>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</si>
  <si>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</si>
  <si>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</si>
  <si>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</si>
  <si>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</si>
  <si>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</si>
  <si>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</si>
  <si>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</si>
  <si>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</si>
  <si>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</si>
  <si>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</si>
  <si>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</si>
  <si>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</si>
  <si>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</si>
  <si>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</si>
  <si>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</si>
  <si>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</si>
  <si>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</si>
  <si>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</si>
  <si>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</si>
  <si>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</si>
  <si>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</si>
  <si>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</si>
  <si>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</si>
  <si>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</si>
  <si>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</si>
  <si>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</si>
  <si>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</si>
  <si>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</si>
  <si>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</si>
  <si>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</si>
  <si>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</si>
  <si>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</si>
  <si>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</si>
  <si>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</si>
  <si>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</si>
  <si>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</si>
  <si>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</si>
  <si>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</si>
  <si>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</si>
  <si>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</si>
  <si>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</si>
  <si>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</si>
  <si>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</si>
  <si>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</si>
  <si>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</si>
  <si>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</si>
  <si>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</si>
  <si>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</si>
  <si>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</si>
  <si>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</si>
  <si>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</si>
  <si>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</si>
  <si>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</si>
  <si>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</si>
  <si>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</si>
  <si>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</si>
  <si>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</si>
  <si>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</si>
  <si>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</si>
  <si>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</si>
  <si>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</si>
  <si>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</si>
  <si>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</si>
  <si>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</si>
  <si>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</si>
  <si>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</si>
  <si>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</si>
  <si>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</si>
  <si>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</si>
  <si>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</si>
  <si>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</si>
  <si>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</si>
  <si>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</si>
  <si>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</si>
  <si>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</si>
  <si>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</si>
  <si>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</si>
  <si>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</si>
  <si>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</si>
  <si>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</si>
  <si>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</si>
  <si>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</si>
  <si>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</si>
  <si>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</si>
  <si>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</si>
  <si>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</si>
  <si>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</si>
  <si>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</si>
  <si>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</si>
  <si>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</si>
  <si>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</si>
  <si>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</si>
  <si>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</si>
  <si>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</si>
  <si>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</si>
  <si>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</si>
  <si>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</si>
  <si>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</si>
  <si>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</si>
  <si>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</si>
  <si>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</si>
  <si>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</si>
  <si>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</si>
  <si>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</si>
  <si>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</si>
  <si>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</si>
  <si>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</si>
  <si>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</si>
  <si>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</si>
  <si>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</si>
  <si>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</si>
  <si>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</si>
  <si>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</si>
  <si>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</si>
  <si>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</si>
  <si>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</si>
  <si>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</si>
  <si>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</si>
  <si>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</si>
  <si>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</si>
  <si>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</si>
  <si>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</si>
  <si>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</si>
  <si>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</si>
  <si>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</si>
  <si>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</si>
  <si>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</si>
  <si>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</si>
  <si>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</si>
  <si>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</si>
  <si>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</si>
  <si>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</si>
  <si>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</si>
  <si>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</si>
  <si>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</si>
  <si>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</si>
  <si>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</si>
  <si>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</si>
  <si>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</si>
  <si>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</si>
  <si>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</si>
  <si>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</si>
  <si>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</si>
  <si>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</si>
  <si>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</si>
  <si>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</si>
  <si>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</si>
  <si>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</si>
  <si>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</si>
  <si>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</si>
  <si>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</si>
  <si>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</si>
  <si>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</si>
  <si>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</si>
  <si>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</si>
  <si>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</si>
  <si>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</si>
  <si>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</si>
  <si>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</si>
  <si>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</si>
  <si>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</si>
  <si>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</si>
  <si>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</si>
  <si>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</si>
  <si>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</si>
  <si>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</si>
  <si>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</si>
  <si>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</si>
  <si>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</si>
  <si>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</si>
  <si>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</si>
  <si>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</si>
  <si>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</si>
  <si>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</si>
  <si>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</si>
  <si>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</si>
  <si>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</si>
  <si>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</si>
  <si>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</si>
  <si>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</si>
  <si>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</si>
  <si>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</si>
  <si>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</si>
  <si>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</si>
  <si>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</si>
  <si>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</si>
  <si>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</si>
  <si>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</si>
  <si>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</si>
  <si>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</si>
  <si>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</si>
  <si>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</si>
  <si>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</si>
  <si>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</si>
  <si>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</si>
  <si>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</si>
  <si>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</si>
  <si>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</si>
  <si>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</si>
  <si>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</si>
  <si>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</si>
  <si>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</si>
  <si>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</si>
  <si>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</si>
  <si>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</si>
  <si>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</si>
  <si>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</si>
  <si>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</si>
  <si>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</si>
  <si>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</si>
  <si>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</si>
  <si>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</si>
  <si>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</si>
  <si>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</si>
  <si>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</si>
  <si>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</si>
  <si>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</si>
  <si>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</si>
  <si>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</si>
  <si>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</si>
  <si>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</si>
  <si>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</si>
  <si>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</si>
  <si>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</si>
  <si>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</si>
  <si>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</si>
  <si>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</si>
  <si>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</si>
  <si>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</si>
  <si>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</si>
  <si>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</si>
  <si>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</si>
  <si>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</si>
  <si>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</si>
  <si>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</si>
  <si>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</si>
  <si>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</si>
  <si>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</si>
  <si>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</si>
  <si>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</si>
  <si>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</si>
  <si>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</si>
  <si>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</si>
  <si>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</si>
  <si>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</si>
  <si>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</si>
  <si>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</si>
  <si>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</si>
  <si>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</si>
  <si>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</si>
  <si>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</si>
  <si>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</si>
  <si>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</si>
  <si>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</si>
  <si>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</si>
  <si>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</si>
  <si>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</si>
  <si>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</si>
  <si>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</si>
  <si>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</si>
  <si>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</si>
  <si>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</si>
  <si>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</si>
  <si>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</si>
  <si>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</si>
  <si>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</si>
  <si>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</si>
  <si>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</si>
  <si>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</si>
  <si>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</si>
  <si>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</si>
  <si>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</si>
  <si>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</si>
  <si>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</si>
  <si>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</si>
  <si>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</si>
  <si>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</si>
  <si>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</si>
  <si>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</si>
  <si>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</si>
  <si>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</si>
  <si>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</si>
  <si>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</si>
  <si>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</si>
  <si>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</si>
  <si>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</si>
  <si>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</si>
  <si>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</si>
  <si>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</si>
  <si>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</si>
  <si>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</si>
  <si>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</si>
  <si>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</si>
  <si>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</si>
  <si>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</si>
  <si>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</si>
  <si>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</si>
  <si>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</si>
  <si>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</si>
  <si>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</si>
  <si>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</si>
  <si>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</si>
  <si>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</si>
  <si>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</si>
  <si>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</si>
  <si>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</si>
  <si>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</si>
  <si>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</si>
  <si>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</si>
  <si>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</si>
  <si>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</si>
  <si>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</si>
  <si>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</si>
  <si>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</si>
  <si>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</si>
  <si>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</si>
  <si>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</si>
  <si>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</si>
  <si>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</si>
  <si>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</si>
  <si>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</si>
  <si>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</si>
  <si>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</si>
  <si>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</si>
  <si>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</si>
  <si>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</si>
  <si>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</si>
  <si>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</si>
  <si>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</si>
  <si>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</si>
  <si>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</si>
  <si>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</si>
  <si>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</si>
  <si>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</si>
  <si>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</si>
  <si>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</si>
  <si>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</si>
  <si>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</si>
  <si>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</si>
  <si>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</si>
  <si>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</si>
  <si>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</si>
  <si>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</si>
  <si>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</si>
  <si>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</si>
  <si>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</si>
  <si>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</si>
  <si>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</si>
  <si>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</si>
  <si>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</si>
  <si>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</si>
  <si>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</si>
  <si>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</si>
  <si>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</si>
  <si>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</si>
  <si>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</si>
  <si>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</si>
  <si>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</si>
  <si>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</si>
  <si>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</si>
  <si>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</si>
  <si>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</si>
  <si>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</si>
  <si>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</si>
  <si>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</si>
  <si>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</si>
  <si>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</si>
  <si>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</si>
  <si>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</si>
  <si>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</si>
  <si>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</si>
  <si>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</si>
  <si>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</si>
  <si>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</si>
  <si>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</si>
  <si>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</si>
  <si>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</si>
  <si>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</si>
  <si>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</si>
  <si>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</si>
  <si>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</si>
  <si>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</si>
  <si>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</si>
  <si>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</si>
  <si>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</si>
  <si>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</si>
  <si>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</si>
  <si>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</si>
  <si>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</si>
  <si>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</si>
  <si>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</si>
  <si>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</si>
  <si>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</si>
  <si>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</si>
  <si>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</si>
  <si>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</si>
  <si>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</si>
  <si>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</si>
  <si>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</si>
  <si>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</si>
  <si>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</si>
  <si>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</si>
  <si>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</si>
  <si>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</si>
  <si>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</si>
  <si>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</si>
  <si>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</si>
  <si>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</si>
  <si>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</si>
  <si>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</si>
  <si>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</si>
  <si>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</si>
  <si>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</si>
  <si>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</si>
  <si>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</si>
  <si>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</si>
  <si>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</si>
  <si>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</si>
  <si>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</si>
  <si>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</si>
  <si>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</si>
  <si>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</si>
  <si>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</si>
  <si>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</si>
  <si>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</si>
  <si>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</si>
  <si>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</si>
  <si>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</si>
  <si>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</si>
  <si>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</si>
  <si>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</si>
  <si>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</si>
  <si>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</si>
  <si>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</si>
  <si>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</si>
  <si>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</si>
  <si>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</si>
  <si>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</si>
  <si>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</si>
  <si>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</si>
  <si>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</si>
  <si>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</si>
  <si>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</si>
  <si>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</si>
  <si>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</si>
  <si>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</si>
  <si>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</si>
  <si>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</si>
  <si>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</si>
  <si>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</si>
  <si>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</si>
  <si>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</si>
  <si>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</si>
  <si>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</si>
  <si>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</si>
  <si>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</si>
  <si>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</si>
  <si>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</si>
  <si>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</si>
  <si>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</si>
  <si>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</si>
  <si>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</si>
  <si>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</si>
  <si>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</si>
  <si>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</si>
  <si>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</si>
  <si>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</si>
  <si>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</si>
  <si>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</si>
  <si>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</si>
  <si>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</si>
  <si>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</si>
  <si>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</si>
  <si>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</si>
  <si>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</si>
  <si>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</si>
  <si>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</si>
  <si>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</si>
  <si>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</si>
  <si>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</si>
  <si>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</si>
  <si>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</si>
  <si>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</si>
  <si>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</si>
  <si>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</si>
  <si>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</si>
  <si>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</si>
  <si>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</si>
  <si>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</si>
  <si>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</si>
  <si>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</si>
  <si>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</si>
  <si>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</si>
  <si>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</si>
  <si>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</si>
  <si>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</si>
  <si>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</si>
  <si>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</si>
  <si>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</si>
  <si>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</si>
  <si>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</si>
  <si>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</si>
  <si>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</si>
  <si>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</si>
  <si>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</si>
  <si>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</si>
  <si>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</si>
  <si>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</si>
  <si>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</si>
  <si>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</si>
  <si>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</si>
  <si>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</si>
  <si>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</si>
  <si>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</si>
  <si>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</si>
  <si>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</si>
  <si>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</si>
  <si>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</si>
  <si>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</si>
  <si>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</si>
  <si>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</si>
  <si>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</si>
  <si>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</si>
  <si>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</si>
  <si>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</si>
  <si>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</si>
  <si>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</si>
  <si>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</si>
  <si>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</si>
  <si>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</si>
  <si>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</si>
  <si>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</si>
  <si>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</si>
  <si>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</si>
  <si>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</si>
  <si>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</si>
  <si>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</si>
  <si>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</si>
  <si>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</si>
  <si>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</si>
  <si>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</si>
  <si>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</si>
  <si>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</si>
  <si>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</si>
  <si>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</si>
  <si>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</si>
  <si>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</si>
  <si>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</si>
  <si>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</si>
  <si>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</si>
  <si>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</si>
  <si>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</si>
  <si>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</si>
  <si>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</si>
  <si>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</si>
  <si>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</si>
  <si>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</si>
  <si>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</si>
  <si>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</si>
  <si>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</si>
  <si>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</si>
  <si>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</si>
  <si>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</si>
  <si>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</si>
  <si>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</si>
  <si>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</si>
  <si>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</si>
  <si>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</si>
  <si>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</si>
  <si>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</si>
  <si>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</si>
  <si>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</si>
  <si>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</si>
  <si>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</si>
  <si>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</si>
  <si>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</si>
  <si>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</si>
  <si>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</si>
  <si>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</si>
  <si>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</si>
  <si>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</si>
  <si>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</si>
  <si>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</si>
  <si>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</si>
  <si>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</si>
  <si>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</si>
  <si>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</si>
  <si>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</si>
  <si>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</si>
  <si>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</si>
  <si>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</si>
  <si>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</si>
  <si>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</si>
  <si>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</si>
  <si>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</si>
  <si>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</si>
  <si>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</si>
  <si>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</si>
  <si>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</si>
  <si>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</si>
  <si>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</si>
  <si>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</si>
  <si>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</si>
  <si>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</si>
  <si>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</si>
  <si>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</si>
  <si>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</si>
  <si>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</si>
  <si>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</si>
  <si>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</si>
  <si>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</si>
  <si>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</si>
  <si>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</si>
  <si>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</si>
  <si>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</si>
  <si>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</si>
  <si>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</si>
  <si>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</si>
  <si>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</si>
  <si>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</si>
  <si>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</si>
  <si>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</si>
  <si>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</si>
  <si>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</si>
  <si>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</si>
  <si>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</si>
  <si>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</si>
  <si>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</si>
  <si>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</si>
  <si>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</si>
  <si>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</si>
  <si>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</si>
  <si>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</si>
  <si>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</si>
  <si>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</si>
  <si>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</si>
  <si>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</si>
  <si>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</si>
  <si>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</si>
  <si>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</si>
  <si>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</si>
  <si>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</si>
  <si>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</si>
  <si>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</si>
  <si>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</si>
  <si>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</si>
  <si>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</si>
  <si>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</si>
  <si>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</si>
  <si>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</si>
  <si>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</si>
  <si>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</si>
  <si>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</si>
  <si>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</si>
  <si>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</si>
  <si>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</si>
  <si>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</si>
  <si>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</si>
  <si>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</si>
  <si>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</si>
  <si>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</si>
  <si>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</si>
  <si>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</si>
  <si>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</si>
  <si>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</si>
  <si>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</si>
  <si>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</si>
  <si>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</si>
  <si>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</si>
  <si>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</si>
  <si>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</si>
  <si>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</si>
  <si>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</si>
  <si>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</si>
  <si>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</si>
  <si>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</si>
  <si>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</si>
  <si>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</si>
  <si>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</si>
  <si>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</si>
  <si>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</si>
  <si>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</si>
  <si>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</si>
  <si>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</si>
  <si>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</si>
  <si>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</si>
  <si>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</si>
  <si>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</si>
  <si>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</si>
  <si>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</si>
  <si>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</si>
  <si>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</si>
  <si>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</si>
  <si>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</si>
  <si>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</si>
  <si>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</si>
  <si>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</si>
  <si>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</si>
  <si>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</si>
  <si>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</si>
  <si>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</si>
  <si>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</si>
  <si>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</si>
  <si>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</si>
  <si>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</si>
  <si>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</si>
  <si>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</si>
  <si>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</si>
  <si>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</si>
  <si>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</si>
  <si>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</si>
  <si>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</si>
  <si>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</si>
  <si>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</si>
  <si>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</si>
  <si>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</si>
  <si>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</si>
  <si>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</si>
  <si>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</si>
  <si>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</si>
  <si>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</si>
  <si>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</si>
  <si>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</si>
  <si>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</si>
  <si>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</si>
  <si>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</si>
  <si>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</si>
  <si>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</si>
  <si>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</si>
  <si>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</si>
  <si>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</si>
  <si>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</si>
  <si>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</si>
  <si>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</si>
  <si>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</si>
  <si>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</si>
  <si>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</si>
  <si>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</si>
  <si>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</si>
  <si>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</si>
  <si>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</si>
  <si>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</si>
  <si>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</si>
  <si>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</si>
  <si>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</si>
  <si>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</si>
  <si>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</si>
  <si>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</si>
  <si>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</si>
  <si>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</si>
  <si>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</si>
  <si>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</si>
  <si>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</si>
  <si>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</si>
  <si>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</si>
  <si>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</si>
  <si>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</si>
  <si>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</si>
  <si>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</si>
  <si>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</si>
  <si>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</si>
  <si>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</si>
  <si>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</si>
  <si>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</si>
  <si>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</si>
  <si>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</si>
  <si>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</si>
  <si>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</si>
  <si>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</si>
  <si>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</si>
  <si>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</si>
  <si>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</si>
  <si>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</si>
  <si>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</si>
  <si>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</si>
  <si>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</si>
  <si>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</si>
  <si>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</si>
  <si>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</si>
  <si>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</si>
  <si>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</si>
  <si>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</si>
  <si>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</si>
  <si>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</si>
  <si>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</si>
  <si>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</si>
  <si>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</si>
  <si>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</si>
  <si>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</si>
  <si>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</si>
  <si>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</si>
  <si>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</si>
  <si>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</si>
  <si>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</si>
  <si>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</si>
  <si>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</si>
  <si>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</si>
  <si>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</si>
  <si>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</si>
  <si>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</si>
  <si>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</si>
  <si>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</si>
  <si>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</si>
  <si>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</si>
  <si>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</si>
  <si>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</si>
  <si>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</si>
  <si>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</si>
  <si>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</si>
  <si>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</si>
  <si>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</si>
  <si>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</si>
  <si>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</si>
  <si>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</si>
  <si>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</si>
  <si>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</si>
  <si>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</si>
  <si>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</si>
  <si>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</si>
  <si>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</si>
  <si>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</si>
  <si>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</si>
  <si>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</si>
  <si>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</si>
  <si>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</si>
  <si>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</si>
  <si>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</si>
  <si>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</si>
  <si>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</si>
  <si>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</si>
  <si>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</si>
  <si>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</si>
  <si>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</si>
  <si>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</si>
  <si>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</si>
  <si>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</si>
  <si>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</si>
  <si>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</si>
  <si>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</si>
  <si>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</si>
  <si>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</si>
  <si>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</si>
  <si>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</si>
  <si>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</si>
  <si>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</si>
  <si>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</si>
  <si>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</si>
  <si>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</si>
  <si>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</si>
  <si>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</si>
  <si>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</si>
  <si>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</si>
  <si>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</si>
  <si>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</si>
  <si>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</si>
  <si>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</si>
  <si>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</si>
  <si>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</si>
  <si>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</si>
  <si>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</si>
  <si>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</si>
  <si>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</si>
  <si>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</si>
  <si>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</si>
  <si>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</si>
  <si>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</si>
  <si>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</si>
  <si>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</si>
  <si>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</si>
  <si>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</si>
  <si>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</si>
  <si>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</si>
  <si>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</si>
  <si>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</si>
  <si>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</si>
  <si>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</si>
  <si>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</si>
  <si>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</si>
  <si>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</si>
  <si>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</si>
  <si>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</si>
  <si>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</si>
  <si>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</si>
  <si>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</si>
  <si>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</si>
  <si>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</si>
  <si>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</si>
  <si>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</si>
  <si>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</si>
  <si>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</si>
  <si>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</si>
  <si>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</si>
  <si>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</si>
  <si>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</si>
  <si>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</si>
  <si>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</si>
  <si>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</si>
  <si>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</si>
  <si>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</si>
  <si>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</si>
  <si>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</si>
  <si>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</si>
  <si>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</si>
  <si>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</si>
  <si>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</si>
  <si>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</si>
  <si>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</si>
  <si>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</si>
  <si>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</si>
  <si>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</si>
  <si>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</si>
  <si>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</si>
  <si>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</si>
  <si>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</si>
  <si>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</si>
  <si>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</si>
  <si>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</si>
  <si>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</si>
  <si>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</si>
  <si>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</si>
  <si>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</si>
  <si>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</si>
  <si>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</si>
  <si>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</si>
  <si>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</si>
  <si>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</si>
  <si>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</si>
  <si>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</si>
  <si>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</si>
  <si>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</si>
  <si>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</si>
  <si>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</si>
  <si>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</si>
  <si>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</si>
  <si>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</si>
  <si>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</si>
  <si>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</si>
  <si>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</si>
  <si>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</si>
  <si>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</si>
  <si>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</si>
  <si>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</si>
  <si>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</si>
  <si>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</si>
  <si>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</si>
  <si>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</si>
  <si>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</si>
  <si>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</si>
  <si>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</si>
  <si>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</si>
  <si>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</si>
  <si>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</si>
  <si>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</si>
  <si>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</si>
  <si>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</si>
  <si>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</si>
  <si>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</si>
  <si>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</si>
  <si>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</si>
  <si>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</si>
  <si>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</si>
  <si>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</si>
  <si>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</si>
  <si>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</si>
  <si>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</si>
  <si>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</si>
  <si>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</si>
  <si>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</si>
  <si>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</si>
  <si>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</si>
  <si>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</si>
  <si>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</si>
  <si>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</si>
  <si>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</si>
  <si>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</si>
  <si>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</si>
  <si>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</si>
  <si>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</si>
  <si>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</si>
  <si>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</si>
  <si>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</si>
  <si>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</si>
  <si>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</si>
  <si>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</si>
  <si>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</si>
  <si>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</si>
  <si>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</si>
  <si>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</si>
  <si>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</si>
  <si>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</si>
  <si>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</si>
  <si>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</si>
  <si>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</si>
  <si>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</si>
  <si>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</si>
  <si>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</si>
  <si>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</si>
  <si>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</si>
  <si>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</si>
  <si>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</si>
  <si>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</si>
  <si>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</si>
  <si>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</si>
  <si>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</si>
  <si>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</si>
  <si>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</si>
  <si>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</si>
  <si>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</si>
  <si>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</si>
  <si>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</si>
  <si>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</si>
  <si>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</si>
  <si>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</si>
  <si>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</si>
  <si>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</si>
  <si>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</si>
  <si>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</si>
  <si>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</si>
  <si>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</si>
  <si>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</si>
  <si>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</si>
  <si>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</si>
  <si>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</si>
  <si>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</si>
  <si>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</si>
  <si>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</si>
  <si>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</si>
  <si>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</si>
  <si>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</si>
  <si>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</si>
  <si>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</si>
  <si>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</si>
  <si>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</si>
  <si>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</si>
  <si>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</si>
  <si>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</si>
  <si>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</si>
  <si>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</si>
  <si>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</si>
  <si>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</si>
  <si>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</si>
  <si>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</si>
  <si>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</si>
  <si>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</si>
  <si>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</si>
  <si>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</si>
  <si>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</si>
  <si>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</si>
  <si>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</si>
  <si>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</si>
  <si>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</si>
  <si>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</si>
  <si>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</si>
  <si>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</si>
  <si>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</si>
  <si>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</si>
  <si>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</si>
  <si>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</si>
  <si>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</si>
  <si>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</si>
  <si>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</si>
  <si>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</si>
  <si>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</si>
  <si>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</si>
  <si>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</si>
  <si>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</si>
  <si>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</si>
  <si>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</si>
  <si>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</si>
  <si>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</si>
  <si>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</si>
  <si>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</si>
  <si>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</si>
  <si>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</si>
  <si>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</si>
  <si>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</si>
  <si>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</si>
  <si>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</si>
  <si>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</si>
  <si>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</si>
  <si>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</si>
  <si>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</si>
  <si>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</si>
  <si>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</si>
  <si>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</si>
  <si>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</si>
  <si>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</si>
  <si>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</si>
  <si>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</si>
  <si>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</si>
  <si>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</si>
  <si>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</si>
  <si>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</si>
  <si>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</si>
  <si>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</si>
  <si>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</si>
  <si>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</si>
  <si>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</si>
  <si>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</si>
  <si>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</si>
  <si>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</si>
  <si>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</si>
  <si>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</si>
  <si>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</si>
  <si>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</si>
  <si>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</si>
  <si>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</si>
  <si>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</si>
  <si>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</si>
  <si>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</si>
  <si>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</si>
  <si>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</si>
  <si>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</si>
  <si>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</si>
  <si>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</si>
  <si>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</si>
  <si>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</si>
  <si>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</si>
  <si>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</si>
  <si>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</si>
  <si>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</si>
  <si>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</si>
  <si>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</si>
  <si>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</si>
  <si>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</si>
  <si>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</si>
  <si>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</si>
  <si>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</si>
  <si>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</si>
  <si>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</si>
  <si>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</si>
  <si>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</si>
  <si>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</si>
  <si>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</si>
  <si>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</si>
  <si>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</si>
  <si>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</si>
  <si>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</si>
  <si>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</si>
  <si>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</si>
  <si>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</si>
  <si>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</si>
  <si>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</si>
  <si>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</si>
  <si>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</si>
  <si>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</si>
  <si>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</si>
  <si>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</si>
  <si>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</si>
  <si>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</si>
  <si>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</si>
  <si>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</si>
  <si>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</si>
  <si>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</si>
  <si>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</si>
  <si>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</si>
  <si>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</si>
  <si>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</si>
  <si>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</si>
  <si>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</si>
  <si>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</si>
  <si>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</si>
  <si>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</si>
  <si>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</si>
  <si>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</si>
  <si>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</si>
  <si>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</si>
  <si>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</si>
  <si>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</si>
  <si>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</si>
  <si>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</si>
  <si>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</si>
  <si>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</si>
  <si>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</si>
  <si>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</si>
  <si>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</si>
  <si>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</si>
  <si>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</si>
  <si>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</si>
  <si>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</si>
  <si>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</si>
  <si>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</si>
  <si>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</si>
  <si>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</si>
  <si>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</si>
  <si>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</si>
  <si>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</si>
  <si>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</si>
  <si>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</si>
  <si>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</si>
  <si>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</si>
  <si>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</si>
  <si>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</si>
  <si>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</si>
  <si>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</si>
  <si>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</si>
  <si>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</si>
  <si>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</si>
  <si>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</si>
  <si>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</si>
  <si>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</si>
  <si>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</si>
  <si>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</si>
  <si>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</si>
  <si>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</si>
  <si>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</si>
  <si>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</si>
  <si>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</si>
  <si>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</si>
  <si>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</si>
  <si>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</si>
  <si>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</si>
  <si>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</si>
  <si>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</si>
  <si>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</si>
  <si>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</si>
  <si>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</si>
  <si>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</si>
  <si>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</si>
  <si>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</si>
  <si>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</si>
  <si>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</si>
  <si>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</si>
  <si>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</si>
  <si>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</si>
  <si>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</si>
  <si>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</si>
  <si>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</si>
  <si>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</si>
  <si>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</si>
  <si>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</si>
  <si>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</si>
  <si>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</si>
  <si>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</si>
  <si>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</si>
  <si>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</si>
  <si>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</si>
  <si>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</si>
  <si>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</si>
  <si>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</si>
  <si>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</si>
  <si>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</si>
  <si>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</si>
  <si>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</si>
  <si>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</si>
  <si>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</si>
  <si>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</si>
  <si>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</si>
  <si>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</si>
  <si>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</si>
  <si>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</si>
  <si>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</si>
  <si>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</si>
  <si>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</si>
  <si>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</si>
  <si>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</si>
  <si>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</si>
  <si>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</si>
  <si>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</si>
  <si>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</si>
  <si>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</si>
  <si>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</si>
  <si>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</si>
  <si>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</si>
  <si>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</si>
  <si>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</si>
  <si>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</si>
  <si>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</si>
  <si>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</si>
  <si>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</si>
  <si>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</si>
  <si>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</si>
  <si>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</si>
  <si>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</si>
  <si>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</si>
  <si>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</si>
  <si>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</si>
  <si>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</si>
  <si>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</si>
  <si>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</si>
  <si>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</si>
  <si>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</si>
  <si>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</si>
  <si>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</si>
  <si>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</si>
  <si>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</si>
  <si>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</si>
  <si>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</si>
  <si>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</si>
  <si>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</si>
  <si>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</si>
  <si>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</si>
  <si>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</si>
  <si>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</si>
  <si>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</si>
  <si>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</si>
  <si>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</si>
  <si>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</si>
  <si>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</si>
  <si>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</si>
  <si>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</si>
  <si>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</si>
  <si>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</si>
  <si>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</si>
  <si>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</si>
  <si>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</si>
  <si>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</si>
  <si>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</si>
  <si>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</si>
  <si>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</si>
  <si>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</si>
  <si>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</si>
  <si>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</si>
  <si>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</si>
  <si>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</si>
  <si>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</si>
  <si>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</si>
  <si>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</si>
  <si>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</si>
  <si>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</si>
  <si>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</si>
  <si>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</si>
  <si>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</si>
  <si>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</si>
  <si>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</si>
  <si>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</si>
  <si>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</si>
  <si>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</si>
  <si>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</si>
  <si>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</si>
  <si>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</si>
  <si>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</si>
  <si>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</si>
  <si>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</si>
  <si>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</si>
  <si>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</si>
  <si>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</si>
  <si>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</si>
  <si>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</si>
  <si>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</si>
  <si>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</si>
  <si>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</si>
  <si>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</si>
  <si>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</si>
  <si>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</si>
  <si>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</si>
  <si>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</si>
  <si>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</si>
  <si>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</si>
  <si>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</si>
  <si>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</si>
  <si>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</si>
  <si>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</si>
  <si>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</si>
  <si>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</si>
  <si>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</si>
  <si>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</si>
  <si>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</si>
  <si>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</si>
  <si>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</si>
  <si>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</si>
  <si>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</si>
  <si>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</si>
  <si>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</si>
  <si>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</si>
  <si>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</si>
  <si>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</si>
  <si>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</si>
  <si>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</si>
  <si>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</si>
  <si>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</si>
  <si>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</si>
  <si>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</si>
  <si>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</si>
  <si>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</si>
  <si>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</si>
  <si>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</si>
  <si>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</si>
  <si>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</si>
  <si>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</si>
  <si>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</si>
  <si>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</si>
  <si>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</si>
  <si>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</si>
  <si>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</si>
  <si>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</si>
  <si>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</si>
  <si>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</si>
  <si>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</si>
  <si>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</si>
  <si>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</si>
  <si>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</si>
  <si>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</si>
  <si>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</si>
  <si>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</si>
  <si>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</si>
  <si>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</si>
  <si>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</si>
  <si>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</si>
  <si>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</si>
  <si>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</si>
  <si>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</si>
  <si>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</si>
  <si>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</si>
  <si>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</si>
  <si>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</si>
  <si>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</si>
  <si>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</si>
  <si>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</si>
  <si>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</si>
  <si>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</si>
  <si>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</si>
  <si>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</si>
  <si>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</si>
  <si>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</si>
  <si>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</si>
  <si>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</si>
  <si>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</si>
  <si>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</si>
  <si>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</si>
  <si>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</si>
  <si>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</si>
  <si>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</si>
  <si>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</si>
  <si>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</si>
  <si>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</si>
  <si>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</si>
  <si>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</si>
  <si>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</si>
  <si>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</si>
  <si>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</si>
  <si>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</si>
  <si>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</si>
  <si>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</si>
  <si>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</si>
  <si>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</si>
  <si>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</si>
  <si>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</si>
  <si>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</si>
  <si>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</si>
  <si>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</si>
  <si>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</si>
  <si>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</si>
  <si>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</si>
  <si>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</si>
  <si>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</si>
  <si>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</si>
  <si>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</si>
  <si>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</si>
  <si>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</si>
  <si>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</si>
  <si>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</si>
  <si>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</si>
  <si>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</si>
  <si>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</si>
  <si>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</si>
  <si>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</si>
  <si>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</si>
  <si>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</si>
  <si>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</si>
  <si>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</si>
  <si>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</si>
  <si>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</si>
  <si>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</si>
  <si>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</si>
  <si>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</si>
  <si>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</si>
  <si>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</si>
  <si>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</si>
  <si>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</si>
  <si>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</si>
  <si>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</si>
  <si>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</si>
  <si>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</si>
  <si>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</si>
  <si>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</si>
  <si>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</si>
  <si>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</si>
  <si>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</si>
  <si>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</si>
  <si>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</si>
  <si>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</si>
  <si>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</si>
  <si>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</si>
  <si>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</si>
  <si>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</si>
  <si>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</si>
  <si>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</si>
  <si>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</si>
  <si>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</si>
  <si>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</si>
  <si>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</si>
  <si>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</si>
  <si>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</si>
  <si>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</si>
  <si>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</si>
  <si>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</si>
  <si>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</si>
  <si>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</si>
  <si>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</si>
  <si>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</si>
  <si>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</si>
  <si>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</si>
  <si>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</si>
  <si>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</si>
  <si>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</si>
  <si>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</si>
  <si>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</si>
  <si>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</si>
  <si>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</si>
  <si>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</si>
  <si>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</si>
  <si>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</si>
  <si>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</si>
  <si>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</si>
  <si>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</si>
  <si>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</si>
  <si>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</si>
  <si>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</si>
  <si>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</si>
  <si>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</si>
  <si>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</si>
  <si>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</si>
  <si>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</si>
  <si>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</si>
  <si>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</si>
  <si>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</si>
  <si>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</si>
  <si>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</si>
  <si>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</si>
  <si>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</si>
  <si>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</si>
  <si>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</si>
  <si>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</si>
  <si>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</si>
  <si>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</si>
  <si>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</si>
  <si>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</si>
  <si>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</si>
  <si>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</si>
  <si>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</si>
  <si>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</si>
  <si>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</si>
  <si>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</si>
  <si>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</si>
  <si>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</si>
  <si>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</si>
  <si>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</si>
  <si>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</si>
  <si>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</si>
  <si>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</si>
  <si>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</si>
  <si>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</si>
  <si>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</si>
  <si>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</si>
  <si>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</si>
  <si>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</si>
  <si>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</si>
  <si>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</si>
  <si>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</si>
  <si>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</si>
  <si>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</si>
  <si>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</si>
  <si>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</si>
  <si>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</si>
  <si>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</si>
  <si>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</si>
  <si>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</si>
  <si>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</si>
  <si>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</si>
  <si>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</si>
  <si>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</si>
  <si>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</si>
  <si>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</si>
  <si>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</si>
  <si>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</si>
  <si>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</si>
  <si>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</si>
  <si>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</si>
  <si>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</si>
  <si>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</si>
  <si>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</si>
  <si>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</si>
  <si>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</si>
  <si>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</si>
  <si>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</si>
  <si>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</si>
  <si>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</si>
  <si>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</si>
  <si>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</si>
  <si>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</si>
  <si>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</si>
  <si>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</si>
  <si>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</si>
  <si>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</si>
  <si>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</si>
  <si>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</si>
  <si>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</si>
  <si>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</si>
  <si>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</si>
  <si>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</si>
  <si>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</si>
  <si>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</si>
  <si>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</si>
  <si>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</si>
  <si>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</si>
  <si>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</si>
  <si>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</si>
  <si>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</si>
  <si>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</si>
  <si>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</si>
  <si>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</si>
  <si>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</si>
  <si>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</si>
  <si>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</si>
  <si>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</si>
  <si>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</si>
  <si>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</si>
  <si>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</si>
  <si>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</si>
  <si>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</si>
  <si>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</si>
  <si>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</si>
  <si>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</si>
  <si>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</si>
  <si>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</si>
  <si>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</si>
  <si>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</si>
  <si>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</si>
  <si>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</si>
  <si>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</si>
  <si>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</si>
  <si>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</si>
  <si>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</si>
  <si>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</si>
  <si>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</si>
  <si>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</si>
  <si>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</si>
  <si>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</si>
  <si>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</si>
  <si>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</si>
  <si>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</si>
  <si>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</si>
  <si>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</si>
  <si>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</si>
  <si>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</si>
  <si>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</si>
  <si>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</si>
  <si>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</si>
  <si>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</si>
  <si>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</si>
  <si>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</si>
  <si>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</si>
  <si>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</si>
  <si>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</si>
  <si>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</si>
  <si>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</si>
  <si>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</si>
  <si>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</si>
  <si>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</si>
  <si>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</si>
  <si>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</si>
  <si>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</si>
  <si>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</si>
  <si>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</si>
  <si>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</si>
  <si>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</si>
  <si>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</si>
  <si>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</si>
  <si>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</si>
  <si>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</si>
  <si>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</si>
  <si>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</si>
  <si>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</si>
  <si>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</si>
  <si>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</si>
  <si>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</si>
  <si>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</si>
  <si>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</si>
  <si>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</si>
  <si>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</si>
  <si>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</si>
  <si>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</si>
  <si>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</si>
  <si>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</si>
  <si>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</si>
  <si>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</si>
  <si>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</si>
  <si>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</si>
  <si>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</si>
  <si>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</si>
  <si>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</si>
  <si>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</si>
  <si>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</si>
  <si>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</si>
  <si>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</si>
  <si>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</si>
  <si>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</si>
  <si>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</si>
  <si>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</si>
  <si>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</si>
  <si>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</si>
  <si>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</si>
  <si>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</si>
  <si>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</si>
  <si>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</si>
  <si>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</si>
  <si>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</si>
  <si>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</si>
  <si>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</si>
  <si>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</si>
  <si>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</si>
  <si>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</si>
  <si>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</si>
  <si>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</si>
  <si>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</si>
  <si>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</si>
  <si>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</si>
  <si>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</si>
  <si>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</si>
  <si>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</si>
  <si>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</si>
  <si>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</si>
  <si>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</si>
  <si>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</si>
  <si>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</si>
  <si>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</si>
  <si>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</si>
  <si>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</si>
  <si>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</si>
  <si>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</si>
  <si>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</si>
  <si>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</si>
  <si>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</si>
  <si>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</si>
  <si>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</si>
  <si>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</si>
  <si>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</si>
  <si>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</si>
  <si>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</si>
  <si>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</si>
  <si>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</si>
  <si>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</si>
  <si>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</si>
  <si>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</si>
  <si>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</si>
  <si>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</si>
  <si>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</si>
  <si>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</si>
  <si>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</si>
  <si>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</si>
  <si>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</si>
  <si>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</si>
  <si>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</si>
  <si>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</si>
  <si>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</si>
  <si>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</si>
  <si>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</si>
  <si>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</si>
  <si>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</si>
  <si>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</si>
  <si>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</si>
  <si>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</si>
  <si>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</si>
  <si>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</si>
  <si>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</si>
  <si>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</si>
  <si>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</si>
  <si>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</si>
  <si>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</si>
  <si>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</si>
  <si>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</si>
  <si>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</si>
  <si>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</si>
  <si>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</si>
  <si>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</si>
  <si>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</si>
  <si>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</si>
  <si>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</si>
  <si>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</si>
  <si>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</si>
  <si>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</si>
  <si>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</si>
  <si>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</si>
  <si>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</si>
  <si>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</si>
  <si>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</si>
  <si>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</si>
  <si>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</si>
  <si>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</si>
  <si>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</si>
  <si>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</si>
  <si>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</si>
  <si>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</si>
  <si>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</si>
  <si>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</si>
  <si>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</si>
  <si>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</si>
  <si>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</si>
  <si>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</si>
  <si>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</si>
  <si>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</si>
  <si>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</si>
  <si>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</si>
  <si>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</si>
  <si>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</si>
  <si>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</si>
  <si>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</si>
  <si>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</si>
  <si>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</si>
  <si>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</si>
  <si>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</si>
  <si>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</si>
  <si>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</si>
  <si>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</si>
  <si>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</si>
  <si>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</si>
  <si>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</si>
  <si>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</si>
  <si>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</si>
  <si>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</si>
  <si>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</si>
  <si>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</si>
  <si>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</si>
  <si>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</si>
  <si>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</si>
  <si>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</si>
  <si>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</si>
  <si>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</si>
  <si>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</si>
  <si>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</si>
  <si>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</si>
  <si>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</si>
  <si>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</si>
  <si>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</si>
  <si>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</si>
  <si>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</si>
  <si>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</si>
  <si>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</si>
  <si>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</si>
  <si>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</si>
  <si>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</si>
  <si>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</si>
  <si>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</si>
  <si>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</si>
  <si>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</si>
  <si>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</si>
  <si>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</si>
  <si>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</si>
  <si>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</si>
  <si>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</si>
  <si>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</si>
  <si>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</si>
  <si>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</si>
  <si>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</si>
  <si>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</si>
  <si>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</si>
  <si>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</si>
  <si>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</si>
  <si>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</si>
  <si>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</si>
  <si>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</si>
  <si>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</si>
  <si>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</si>
  <si>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</si>
  <si>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</si>
  <si>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</si>
  <si>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</si>
  <si>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</si>
  <si>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</si>
  <si>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</si>
  <si>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</si>
  <si>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</si>
  <si>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</si>
  <si>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</si>
  <si>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</si>
  <si>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</si>
  <si>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</si>
  <si>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</si>
  <si>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</si>
  <si>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</si>
  <si>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</si>
  <si>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</si>
  <si>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</si>
  <si>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</si>
  <si>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</si>
  <si>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</si>
  <si>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</si>
  <si>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</si>
  <si>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</si>
  <si>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</si>
  <si>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</si>
  <si>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</si>
  <si>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</si>
  <si>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</si>
  <si>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</si>
  <si>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</si>
  <si>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</si>
  <si>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</si>
  <si>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</si>
  <si>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</si>
  <si>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</si>
  <si>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</si>
  <si>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</si>
  <si>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</si>
  <si>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</si>
  <si>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</si>
  <si>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</si>
  <si>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</si>
  <si>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</si>
  <si>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</si>
  <si>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</si>
  <si>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</si>
  <si>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</si>
  <si>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</si>
  <si>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</si>
  <si>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</si>
  <si>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</si>
  <si>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</si>
  <si>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</si>
  <si>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</si>
  <si>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</si>
  <si>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</si>
  <si>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</si>
  <si>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</si>
  <si>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</si>
  <si>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</si>
  <si>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</si>
  <si>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</si>
  <si>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</si>
  <si>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</si>
  <si>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</si>
  <si>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</si>
  <si>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</si>
  <si>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</si>
  <si>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</si>
  <si>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</si>
  <si>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</si>
  <si>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</si>
  <si>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</si>
  <si>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</si>
  <si>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</si>
  <si>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</si>
  <si>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</si>
  <si>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</si>
  <si>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</si>
  <si>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</si>
  <si>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</si>
  <si>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</si>
  <si>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</si>
  <si>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</si>
  <si>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</si>
  <si>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</si>
  <si>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</si>
  <si>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</si>
  <si>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</si>
  <si>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</si>
  <si>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</si>
  <si>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</si>
  <si>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</si>
  <si>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</si>
  <si>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</si>
  <si>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</si>
  <si>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</si>
  <si>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</si>
  <si>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</si>
  <si>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</si>
  <si>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</si>
  <si>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</si>
  <si>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</si>
  <si>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</si>
  <si>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</si>
  <si>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</si>
  <si>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</si>
  <si>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</si>
  <si>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</si>
  <si>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</si>
  <si>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</si>
  <si>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</si>
  <si>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</si>
  <si>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</si>
  <si>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</si>
  <si>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</si>
  <si>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</si>
  <si>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</si>
  <si>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</si>
  <si>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</si>
  <si>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</si>
  <si>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</si>
  <si>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</si>
  <si>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</si>
  <si>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</si>
  <si>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</si>
  <si>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</si>
  <si>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</si>
  <si>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</si>
  <si>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</si>
  <si>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</si>
  <si>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</si>
  <si>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</si>
  <si>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</si>
  <si>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</si>
  <si>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</si>
  <si>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</si>
  <si>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</si>
  <si>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</si>
  <si>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</si>
  <si>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</si>
  <si>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</si>
  <si>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</si>
  <si>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</si>
  <si>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</si>
  <si>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</si>
  <si>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</si>
  <si>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</si>
  <si>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</si>
  <si>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</si>
  <si>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</si>
  <si>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</si>
  <si>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</si>
  <si>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</si>
  <si>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</si>
  <si>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</si>
  <si>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</si>
  <si>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</si>
  <si>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</si>
  <si>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</si>
  <si>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</si>
  <si>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</si>
  <si>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</si>
  <si>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</si>
  <si>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</si>
  <si>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</si>
  <si>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</si>
  <si>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</si>
  <si>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</si>
  <si>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</si>
  <si>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</si>
  <si>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</si>
  <si>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</si>
  <si>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</si>
  <si>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</si>
  <si>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</si>
  <si>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</si>
  <si>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</si>
  <si>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</si>
  <si>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</si>
  <si>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</si>
  <si>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</si>
  <si>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</si>
  <si>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</si>
  <si>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</si>
  <si>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</si>
  <si>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</si>
  <si>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</si>
  <si>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</si>
  <si>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</si>
  <si>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</si>
  <si>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</si>
  <si>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</si>
  <si>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</si>
  <si>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</si>
  <si>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</si>
  <si>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</si>
  <si>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</si>
  <si>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</si>
  <si>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</si>
  <si>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</si>
  <si>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</si>
  <si>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</si>
  <si>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</si>
  <si>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</si>
  <si>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</si>
  <si>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</si>
  <si>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</si>
  <si>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</si>
  <si>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</si>
  <si>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</si>
  <si>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</si>
  <si>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</si>
  <si>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</si>
  <si>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</si>
  <si>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</si>
  <si>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</si>
  <si>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</si>
  <si>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</si>
  <si>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</si>
  <si>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</si>
  <si>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</si>
  <si>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</si>
  <si>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</si>
  <si>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</si>
  <si>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</si>
  <si>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</si>
  <si>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</si>
  <si>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</si>
  <si>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</si>
  <si>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</si>
  <si>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</si>
  <si>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</si>
  <si>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</si>
  <si>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</si>
  <si>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</si>
  <si>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</si>
  <si>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</si>
  <si>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</si>
  <si>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</si>
  <si>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</si>
  <si>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</si>
  <si>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</si>
  <si>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</si>
  <si>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</si>
  <si>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</si>
  <si>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</si>
  <si>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</si>
  <si>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</si>
  <si>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</si>
  <si>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</si>
  <si>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</si>
  <si>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</si>
  <si>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</si>
  <si>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</si>
  <si>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</si>
  <si>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</si>
  <si>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</si>
  <si>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</si>
  <si>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</si>
  <si>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</si>
  <si>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</si>
  <si>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</si>
  <si>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</si>
  <si>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</si>
  <si>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</si>
  <si>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</si>
  <si>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</si>
  <si>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</si>
  <si>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</si>
  <si>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</si>
  <si>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</si>
  <si>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</si>
  <si>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</si>
  <si>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</si>
  <si>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</si>
  <si>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</si>
  <si>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</si>
  <si>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</si>
  <si>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</si>
  <si>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</si>
  <si>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</si>
  <si>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</si>
  <si>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</si>
  <si>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</si>
  <si>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</si>
  <si>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</si>
  <si>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</si>
  <si>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</si>
  <si>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</si>
  <si>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</si>
  <si>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</si>
  <si>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</si>
  <si>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</si>
  <si>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</si>
  <si>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</si>
  <si>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</si>
  <si>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</si>
  <si>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</si>
  <si>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</si>
  <si>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</si>
  <si>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</si>
  <si>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</si>
  <si>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</si>
  <si>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</si>
  <si>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</si>
  <si>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</si>
  <si>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</si>
  <si>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</si>
  <si>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</si>
  <si>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</si>
  <si>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</si>
  <si>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</si>
  <si>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</si>
  <si>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</si>
  <si>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</si>
  <si>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</si>
  <si>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</si>
  <si>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</si>
  <si>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</si>
  <si>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</si>
  <si>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</si>
  <si>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</si>
  <si>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</si>
  <si>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</si>
  <si>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</si>
  <si>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</si>
  <si>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</si>
  <si>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</si>
  <si>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</si>
  <si>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</si>
  <si>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</si>
  <si>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</si>
  <si>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</si>
  <si>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</si>
  <si>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</si>
  <si>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</si>
  <si>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</si>
  <si>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</si>
  <si>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</si>
  <si>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</si>
  <si>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</si>
  <si>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</si>
  <si>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</si>
  <si>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</si>
  <si>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</si>
  <si>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</si>
  <si>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</si>
  <si>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</si>
  <si>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</si>
  <si>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</si>
  <si>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</si>
  <si>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</si>
  <si>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</si>
  <si>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</si>
  <si>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</si>
  <si>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</si>
  <si>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</si>
  <si>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</si>
  <si>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</si>
  <si>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</si>
  <si>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</si>
  <si>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</si>
  <si>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</si>
  <si>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</si>
  <si>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</si>
  <si>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</si>
  <si>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</si>
  <si>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</si>
  <si>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</si>
  <si>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</si>
  <si>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</si>
  <si>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</si>
  <si>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</si>
  <si>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</si>
  <si>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</si>
  <si>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</si>
  <si>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</si>
  <si>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</si>
  <si>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</si>
  <si>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</si>
  <si>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</si>
  <si>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</si>
  <si>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</si>
  <si>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</si>
  <si>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</si>
  <si>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</si>
  <si>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</si>
  <si>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</si>
  <si>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</si>
  <si>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</si>
  <si>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</si>
  <si>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</si>
  <si>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</si>
  <si>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</si>
  <si>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</si>
  <si>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</si>
  <si>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</si>
  <si>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</si>
  <si>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</si>
  <si>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</si>
  <si>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</si>
  <si>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</si>
  <si>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</si>
  <si>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</si>
  <si>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</si>
  <si>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</si>
  <si>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</si>
  <si>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</si>
  <si>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</si>
  <si>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</si>
  <si>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</si>
  <si>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</si>
  <si>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</si>
  <si>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</si>
  <si>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</si>
  <si>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</si>
  <si>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</si>
  <si>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</si>
  <si>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</si>
  <si>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</si>
  <si>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</si>
  <si>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</si>
  <si>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</si>
  <si>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</si>
  <si>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</si>
  <si>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</si>
  <si>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</si>
  <si>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</si>
  <si>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</si>
  <si>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</si>
  <si>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</si>
  <si>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</si>
  <si>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</si>
  <si>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</si>
  <si>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</si>
  <si>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</si>
  <si>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</si>
  <si>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</si>
  <si>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</si>
  <si>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</si>
  <si>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</si>
  <si>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</si>
  <si>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</si>
  <si>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</si>
  <si>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</si>
  <si>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</si>
  <si>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</si>
  <si>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</si>
  <si>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</si>
  <si>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</si>
  <si>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</si>
  <si>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</si>
  <si>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</si>
  <si>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</si>
  <si>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</si>
  <si>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</si>
  <si>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</si>
  <si>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</si>
  <si>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</si>
  <si>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</si>
  <si>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</si>
  <si>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</si>
  <si>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</si>
  <si>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</si>
  <si>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</si>
  <si>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</si>
  <si>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</si>
  <si>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</si>
  <si>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</si>
  <si>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</si>
  <si>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</si>
  <si>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</si>
  <si>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</si>
  <si>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</si>
  <si>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</si>
  <si>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</si>
  <si>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</si>
  <si>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</si>
  <si>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</si>
  <si>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</si>
  <si>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</si>
  <si>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</si>
  <si>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</si>
  <si>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</si>
  <si>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</si>
  <si>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</si>
  <si>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</si>
  <si>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</si>
  <si>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</si>
  <si>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</si>
  <si>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</si>
  <si>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</si>
  <si>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</si>
  <si>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</si>
  <si>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</si>
  <si>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</si>
  <si>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</si>
  <si>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</si>
  <si>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</si>
  <si>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</si>
  <si>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</si>
  <si>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</si>
  <si>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</si>
  <si>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</si>
  <si>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</si>
  <si>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</si>
  <si>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</si>
  <si>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</si>
  <si>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</si>
  <si>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</si>
  <si>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</si>
  <si>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</si>
  <si>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</si>
  <si>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</si>
  <si>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</si>
  <si>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</si>
  <si>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</si>
  <si>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</si>
  <si>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</si>
  <si>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</si>
  <si>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</si>
  <si>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</si>
  <si>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</si>
  <si>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</si>
  <si>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</si>
  <si>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</si>
  <si>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</si>
  <si>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</si>
  <si>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</si>
  <si>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</si>
  <si>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</si>
  <si>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</si>
  <si>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</si>
  <si>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</si>
  <si>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</si>
  <si>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</si>
  <si>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</si>
  <si>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</si>
  <si>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</si>
  <si>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</si>
  <si>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</si>
  <si>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</si>
  <si>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</si>
  <si>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</si>
  <si>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</si>
  <si>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</si>
  <si>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</si>
  <si>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</si>
  <si>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</si>
  <si>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</si>
  <si>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</si>
  <si>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</si>
  <si>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</si>
  <si>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</si>
  <si>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</si>
  <si>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</si>
  <si>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</si>
  <si>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</si>
  <si>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</si>
  <si>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</si>
  <si>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</si>
  <si>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</si>
  <si>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</si>
  <si>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</si>
  <si>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</si>
  <si>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</si>
  <si>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</si>
  <si>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</si>
  <si>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</si>
  <si>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</si>
  <si>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</si>
  <si>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</si>
  <si>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</si>
  <si>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</si>
  <si>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</si>
  <si>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</si>
  <si>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</si>
  <si>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</si>
  <si>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</si>
  <si>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</si>
  <si>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</si>
  <si>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</si>
  <si>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</si>
  <si>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</si>
  <si>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</si>
  <si>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</si>
  <si>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</si>
  <si>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</si>
  <si>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</si>
  <si>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</si>
  <si>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</si>
  <si>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</si>
  <si>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</si>
  <si>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</si>
  <si>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</si>
  <si>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</si>
  <si>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</si>
  <si>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</si>
  <si>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</si>
  <si>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</si>
  <si>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</si>
  <si>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</si>
  <si>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</si>
  <si>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</si>
  <si>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</si>
  <si>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</si>
  <si>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</si>
  <si>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</si>
  <si>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</si>
  <si>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</si>
  <si>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</si>
  <si>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</si>
  <si>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</si>
  <si>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</si>
  <si>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</si>
  <si>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</si>
  <si>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</si>
  <si>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</si>
  <si>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</si>
  <si>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</si>
  <si>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</si>
  <si>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</si>
  <si>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</si>
  <si>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</si>
  <si>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</si>
  <si>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</si>
  <si>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</si>
  <si>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</si>
  <si>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</si>
  <si>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</si>
  <si>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</si>
  <si>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</si>
  <si>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</si>
  <si>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</si>
  <si>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</si>
  <si>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</si>
  <si>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</si>
  <si>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</si>
  <si>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</si>
  <si>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</si>
  <si>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</si>
  <si>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</si>
  <si>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</si>
  <si>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</si>
  <si>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</si>
  <si>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</si>
  <si>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</si>
  <si>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</si>
  <si>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</si>
  <si>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</si>
  <si>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</si>
  <si>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</si>
  <si>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</si>
  <si>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</si>
  <si>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</si>
  <si>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</si>
  <si>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</si>
  <si>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</si>
  <si>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</si>
  <si>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</si>
  <si>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</si>
  <si>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</si>
  <si>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</si>
  <si>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</si>
  <si>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</si>
  <si>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</si>
  <si>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</si>
  <si>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</si>
  <si>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</si>
  <si>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</si>
  <si>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</si>
  <si>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</si>
  <si>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</si>
  <si>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</si>
  <si>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</si>
  <si>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</si>
  <si>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</si>
  <si>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</si>
  <si>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</si>
  <si>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</si>
  <si>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</si>
  <si>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</si>
  <si>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</si>
  <si>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</si>
  <si>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</si>
  <si>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</si>
  <si>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</si>
  <si>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</si>
  <si>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</si>
  <si>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</si>
  <si>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</si>
  <si>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</si>
  <si>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</si>
  <si>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</si>
  <si>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</si>
  <si>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</si>
  <si>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</si>
  <si>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</si>
  <si>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</si>
  <si>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</si>
  <si>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</si>
  <si>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</si>
  <si>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</si>
  <si>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</si>
  <si>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</si>
  <si>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</si>
  <si>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</si>
  <si>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</si>
  <si>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</si>
  <si>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</si>
  <si>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</si>
  <si>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</si>
  <si>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</si>
  <si>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</si>
  <si>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</si>
  <si>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</si>
  <si>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</si>
  <si>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</si>
  <si>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</si>
  <si>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</si>
  <si>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</si>
  <si>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</si>
  <si>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</si>
  <si>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</si>
  <si>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</si>
  <si>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</si>
  <si>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</si>
  <si>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</si>
  <si>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</si>
  <si>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</si>
  <si>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</si>
  <si>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</si>
  <si>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</si>
  <si>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</si>
  <si>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</si>
  <si>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</si>
  <si>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</si>
  <si>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</si>
  <si>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</si>
  <si>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</si>
  <si>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</si>
  <si>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</si>
  <si>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</si>
  <si>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</si>
  <si>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</si>
  <si>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</si>
  <si>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</si>
  <si>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</si>
  <si>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</si>
  <si>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</si>
  <si>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</si>
  <si>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</si>
  <si>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</si>
  <si>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</si>
  <si>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</si>
  <si>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</si>
  <si>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</si>
  <si>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</si>
  <si>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</si>
  <si>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</si>
  <si>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</si>
  <si>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</si>
  <si>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</si>
  <si>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</si>
  <si>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</si>
  <si>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</si>
  <si>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</si>
  <si>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</si>
  <si>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</si>
  <si>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</si>
  <si>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</si>
  <si>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</si>
  <si>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</si>
  <si>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</si>
  <si>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</si>
  <si>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</si>
  <si>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</si>
  <si>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</si>
  <si>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</si>
  <si>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</si>
  <si>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</si>
  <si>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</si>
  <si>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</si>
  <si>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</si>
  <si>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</si>
  <si>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</si>
  <si>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</si>
  <si>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</si>
  <si>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</si>
  <si>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</si>
  <si>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</si>
  <si>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</si>
  <si>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</si>
  <si>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</si>
  <si>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</si>
  <si>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</si>
  <si>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</si>
  <si>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</si>
  <si>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</si>
  <si>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</si>
  <si>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</si>
  <si>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</si>
  <si>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</si>
  <si>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</si>
  <si>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</si>
  <si>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</si>
  <si>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</si>
  <si>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</si>
  <si>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</si>
  <si>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</si>
  <si>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</si>
  <si>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</si>
  <si>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</si>
  <si>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</si>
  <si>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</si>
  <si>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</si>
  <si>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</si>
  <si>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</si>
  <si>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</si>
  <si>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</si>
  <si>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</si>
  <si>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</si>
  <si>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</si>
  <si>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</si>
  <si>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</si>
  <si>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</si>
  <si>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</si>
  <si>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</si>
  <si>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</si>
  <si>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</si>
  <si>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</si>
  <si>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</si>
  <si>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</si>
  <si>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</si>
  <si>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</si>
  <si>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</si>
  <si>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</si>
  <si>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</si>
  <si>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</si>
  <si>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</si>
  <si>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</si>
  <si>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</si>
  <si>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</si>
  <si>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</si>
  <si>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</si>
  <si>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</si>
  <si>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</si>
  <si>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</si>
  <si>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</si>
  <si>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</si>
  <si>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</si>
  <si>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</si>
  <si>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</si>
  <si>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</si>
  <si>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</si>
  <si>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</si>
  <si>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</si>
  <si>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</si>
  <si>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</si>
  <si>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</si>
  <si>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</si>
  <si>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</si>
  <si>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</si>
  <si>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</si>
  <si>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</si>
  <si>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</si>
  <si>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</si>
  <si>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</si>
  <si>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</si>
  <si>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</si>
  <si>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</si>
  <si>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</si>
  <si>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</si>
  <si>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</si>
  <si>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</si>
  <si>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</si>
  <si>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</si>
  <si>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</si>
  <si>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</si>
  <si>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</si>
  <si>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</si>
  <si>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</si>
  <si>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</si>
  <si>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</si>
  <si>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</si>
  <si>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</si>
  <si>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</si>
  <si>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</si>
  <si>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</si>
  <si>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</si>
  <si>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</si>
  <si>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</si>
  <si>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</si>
  <si>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</si>
  <si>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</si>
  <si>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</si>
  <si>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</si>
  <si>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</si>
  <si>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</si>
  <si>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</si>
  <si>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</si>
  <si>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</si>
  <si>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</si>
  <si>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</si>
  <si>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</si>
  <si>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</si>
  <si>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</si>
  <si>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</si>
  <si>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</si>
  <si>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</si>
  <si>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</si>
  <si>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</si>
  <si>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</si>
  <si>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</si>
  <si>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</si>
  <si>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</si>
  <si>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</si>
  <si>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</si>
  <si>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</si>
  <si>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</si>
  <si>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</si>
  <si>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</si>
  <si>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</si>
  <si>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</si>
  <si>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</si>
  <si>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</si>
  <si>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</si>
  <si>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</si>
  <si>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</si>
  <si>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</si>
  <si>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</si>
  <si>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</si>
  <si>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</si>
  <si>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</si>
  <si>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</si>
  <si>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</si>
  <si>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</si>
  <si>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</si>
  <si>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</si>
  <si>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</si>
  <si>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</si>
  <si>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</si>
  <si>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</si>
  <si>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</si>
  <si>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</si>
  <si>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</si>
  <si>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</si>
  <si>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</si>
  <si>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</si>
  <si>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</si>
  <si>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</si>
  <si>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</si>
  <si>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</si>
  <si>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</si>
  <si>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</si>
  <si>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</si>
  <si>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</si>
  <si>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</si>
  <si>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</si>
  <si>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</si>
  <si>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</si>
  <si>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</si>
  <si>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</si>
  <si>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</si>
  <si>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</si>
  <si>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</si>
  <si>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</si>
  <si>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</si>
  <si>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</si>
  <si>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</si>
  <si>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</si>
  <si>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</si>
  <si>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</si>
  <si>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</si>
  <si>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</si>
  <si>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</si>
  <si>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</si>
  <si>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</si>
  <si>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</si>
  <si>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</si>
  <si>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</si>
  <si>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</si>
  <si>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</si>
  <si>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</si>
  <si>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</si>
  <si>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</si>
  <si>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</si>
  <si>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</si>
  <si>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</si>
  <si>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</si>
  <si>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</si>
  <si>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</si>
  <si>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</si>
  <si>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</si>
  <si>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</si>
  <si>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</si>
  <si>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</si>
  <si>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</si>
  <si>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</si>
  <si>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</si>
  <si>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</si>
  <si>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</si>
  <si>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</si>
  <si>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</si>
  <si>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</si>
  <si>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</si>
  <si>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</si>
  <si>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</si>
  <si>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</si>
  <si>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</si>
  <si>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</si>
  <si>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</si>
  <si>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</si>
  <si>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</si>
  <si>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</si>
  <si>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</si>
  <si>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</si>
  <si>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</si>
  <si>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</si>
  <si>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</si>
  <si>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</si>
  <si>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</si>
  <si>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</si>
  <si>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</si>
  <si>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</si>
  <si>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</si>
  <si>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</si>
  <si>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</si>
  <si>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</si>
  <si>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</si>
  <si>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</si>
  <si>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</si>
  <si>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</si>
  <si>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</si>
  <si>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</si>
  <si>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</si>
  <si>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</si>
  <si>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</si>
  <si>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</si>
  <si>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</si>
  <si>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</si>
  <si>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</si>
  <si>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</si>
  <si>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</si>
  <si>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</si>
  <si>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</si>
  <si>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</si>
  <si>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</si>
  <si>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</si>
  <si>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</si>
  <si>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</si>
  <si>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</si>
  <si>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</si>
  <si>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</si>
  <si>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</si>
  <si>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</si>
  <si>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</si>
  <si>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</si>
  <si>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</si>
  <si>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</si>
  <si>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</si>
  <si>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</si>
  <si>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</si>
  <si>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</si>
  <si>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</si>
  <si>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</si>
  <si>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</si>
  <si>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</si>
  <si>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</si>
  <si>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</si>
  <si>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</si>
  <si>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</si>
  <si>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</si>
  <si>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</si>
  <si>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</si>
  <si>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</si>
  <si>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</si>
  <si>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</si>
  <si>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</si>
  <si>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</si>
  <si>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</si>
  <si>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</si>
  <si>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</si>
  <si>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</si>
  <si>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</si>
  <si>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</si>
  <si>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</si>
  <si>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</si>
  <si>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</si>
  <si>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</si>
  <si>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</si>
  <si>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</si>
  <si>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</si>
  <si>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</si>
  <si>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</si>
  <si>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</si>
  <si>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</si>
  <si>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</si>
  <si>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</si>
  <si>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</si>
  <si>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</si>
  <si>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</si>
  <si>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</si>
  <si>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</si>
  <si>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</si>
  <si>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</si>
  <si>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</si>
  <si>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</si>
  <si>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</si>
  <si>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</si>
  <si>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</si>
  <si>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</si>
  <si>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</si>
  <si>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</si>
  <si>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</si>
  <si>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</si>
  <si>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</si>
  <si>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</si>
  <si>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</si>
  <si>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</si>
  <si>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</si>
  <si>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</si>
  <si>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</si>
  <si>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</si>
  <si>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</si>
  <si>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</si>
  <si>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</si>
  <si>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</si>
  <si>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</si>
  <si>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</si>
  <si>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</si>
  <si>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</si>
  <si>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</si>
  <si>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</si>
  <si>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</si>
  <si>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</si>
  <si>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</si>
  <si>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</si>
  <si>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</si>
  <si>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</si>
  <si>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</si>
  <si>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</si>
  <si>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</si>
  <si>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</si>
  <si>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</si>
  <si>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</si>
  <si>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</si>
  <si>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</si>
  <si>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</si>
  <si>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</si>
  <si>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</si>
  <si>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</si>
  <si>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</si>
  <si>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</si>
  <si>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</si>
  <si>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</si>
  <si>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</si>
  <si>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</si>
  <si>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</si>
  <si>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</si>
  <si>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</si>
  <si>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</si>
  <si>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</si>
  <si>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</si>
  <si>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</si>
  <si>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</si>
  <si>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</si>
  <si>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</si>
  <si>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</si>
  <si>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</si>
  <si>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</si>
  <si>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</si>
  <si>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</si>
  <si>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</si>
  <si>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</si>
  <si>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</si>
  <si>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</si>
  <si>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</si>
  <si>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</si>
  <si>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</si>
  <si>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</si>
  <si>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</si>
  <si>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</si>
  <si>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</si>
  <si>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</si>
  <si>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</si>
  <si>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</si>
  <si>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</si>
  <si>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</si>
  <si>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</si>
  <si>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</si>
  <si>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</si>
  <si>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</si>
  <si>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</si>
  <si>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</si>
  <si>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</si>
  <si>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</si>
  <si>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</si>
  <si>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</si>
  <si>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</si>
  <si>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</si>
  <si>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</si>
  <si>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</si>
  <si>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</si>
  <si>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</si>
  <si>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</si>
  <si>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</si>
  <si>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</si>
  <si>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</si>
  <si>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</si>
  <si>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</si>
  <si>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</si>
  <si>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</si>
  <si>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</si>
  <si>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</si>
  <si>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</si>
  <si>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</si>
  <si>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</si>
  <si>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</si>
  <si>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</si>
  <si>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</si>
  <si>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</si>
  <si>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</si>
  <si>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</si>
  <si>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</si>
  <si>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</si>
  <si>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</si>
  <si>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</si>
  <si>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</si>
  <si>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</si>
  <si>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</si>
  <si>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</si>
  <si>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</si>
  <si>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</si>
  <si>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</si>
  <si>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</si>
  <si>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</si>
  <si>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</si>
  <si>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</si>
  <si>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</si>
  <si>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</si>
  <si>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</si>
  <si>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</si>
  <si>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</si>
  <si>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</si>
  <si>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</si>
  <si>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</si>
  <si>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</si>
  <si>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</si>
  <si>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</si>
  <si>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</si>
  <si>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</si>
  <si>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</si>
  <si>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</si>
  <si>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</si>
  <si>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</si>
  <si>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</si>
  <si>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</si>
  <si>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</si>
  <si>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</si>
  <si>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</si>
  <si>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</si>
  <si>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</si>
  <si>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</si>
  <si>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</si>
  <si>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</si>
  <si>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</si>
  <si>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</si>
  <si>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</si>
  <si>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</si>
  <si>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</si>
  <si>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</si>
  <si>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</si>
  <si>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</si>
  <si>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</si>
  <si>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</si>
  <si>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</si>
  <si>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</si>
  <si>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</si>
  <si>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</si>
  <si>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</si>
  <si>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</si>
  <si>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</si>
  <si>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</si>
  <si>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</si>
  <si>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</si>
  <si>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</si>
  <si>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</si>
  <si>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</si>
  <si>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</si>
  <si>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</si>
  <si>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</si>
  <si>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</si>
  <si>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</si>
  <si>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</si>
  <si>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</si>
  <si>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</si>
  <si>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</si>
  <si>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</si>
  <si>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</si>
  <si>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</si>
  <si>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</si>
  <si>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</si>
  <si>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</si>
  <si>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</si>
  <si>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</si>
  <si>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</si>
  <si>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</si>
  <si>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</si>
  <si>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</si>
  <si>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</si>
  <si>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</si>
  <si>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</si>
  <si>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</si>
  <si>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</si>
  <si>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</si>
  <si>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</si>
  <si>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</si>
  <si>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</si>
  <si>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</si>
  <si>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</si>
  <si>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</si>
  <si>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</si>
  <si>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</si>
  <si>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</si>
  <si>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</si>
  <si>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</si>
  <si>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</si>
  <si>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</si>
  <si>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</si>
  <si>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</si>
  <si>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</si>
  <si>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</si>
  <si>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</si>
  <si>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</si>
  <si>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</si>
  <si>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</si>
  <si>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</si>
  <si>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</si>
  <si>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</si>
  <si>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</si>
  <si>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</si>
  <si>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</si>
  <si>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</si>
  <si>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</si>
  <si>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</si>
  <si>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</si>
  <si>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</si>
  <si>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</si>
  <si>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</si>
  <si>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</si>
  <si>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</si>
  <si>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</si>
  <si>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</si>
  <si>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</si>
  <si>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</si>
  <si>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</si>
  <si>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</si>
  <si>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</si>
  <si>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</si>
  <si>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</si>
  <si>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</si>
  <si>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</si>
  <si>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</si>
  <si>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</si>
  <si>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</si>
  <si>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</si>
  <si>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</si>
  <si>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</si>
  <si>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</si>
  <si>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</si>
  <si>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</si>
  <si>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</si>
  <si>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</si>
  <si>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</si>
  <si>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</si>
  <si>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</si>
  <si>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</si>
  <si>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</si>
  <si>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</si>
  <si>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</si>
  <si>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</si>
  <si>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</si>
  <si>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</si>
  <si>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</si>
  <si>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</si>
  <si>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</si>
  <si>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</si>
  <si>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</si>
  <si>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</si>
  <si>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</si>
  <si>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</si>
  <si>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</si>
  <si>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</si>
  <si>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</si>
  <si>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</si>
  <si>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</si>
  <si>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</si>
  <si>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</si>
  <si>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</si>
  <si>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</si>
  <si>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</si>
  <si>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</si>
  <si>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</si>
  <si>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</si>
  <si>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</si>
  <si>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</si>
  <si>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</si>
  <si>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</si>
  <si>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</si>
  <si>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</si>
  <si>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</si>
  <si>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</si>
  <si>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</si>
  <si>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</si>
  <si>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</si>
  <si>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</si>
  <si>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</si>
  <si>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</si>
  <si>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</si>
  <si>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</si>
  <si>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</si>
  <si>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</si>
  <si>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</si>
  <si>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</si>
  <si>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</si>
  <si>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</si>
  <si>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</si>
  <si>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</si>
  <si>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</si>
  <si>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</si>
  <si>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</si>
  <si>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</si>
  <si>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Standard</t>
  </si>
  <si>
    <t>H000004863</t>
  </si>
  <si>
    <t>H000004864</t>
  </si>
  <si>
    <t>H000004865</t>
  </si>
  <si>
    <t>UNKNOWN</t>
  </si>
  <si>
    <t>MERCK SERONO ITALY - BARI (CCH)</t>
  </si>
  <si>
    <t>1250BA - OPERATIONS</t>
  </si>
  <si>
    <t>1250BA - OPERATIONS SUPPORT SERVICES</t>
  </si>
  <si>
    <t>H000001474</t>
  </si>
  <si>
    <t>1250BA - SITE INFRASTRUCTURE</t>
  </si>
  <si>
    <t>H000001658</t>
  </si>
  <si>
    <t>1250BA - QUALITY</t>
  </si>
  <si>
    <t>H000001475</t>
  </si>
  <si>
    <t>1250BA - OTHERS</t>
  </si>
  <si>
    <t>H000011472</t>
  </si>
  <si>
    <t>1250BA - MANUFACTURING</t>
  </si>
  <si>
    <t>H000012472</t>
  </si>
  <si>
    <t>1250BA - PACKAGING</t>
  </si>
  <si>
    <t>H000011473</t>
  </si>
  <si>
    <t>1250BA - MAINTENANCE AND ENGINEERING</t>
  </si>
  <si>
    <t>H000012473</t>
  </si>
  <si>
    <t>1250BA - SUPPLY AND PLANNING</t>
  </si>
  <si>
    <t>H000013473</t>
  </si>
  <si>
    <t>1250BA - SITE SERVICES</t>
  </si>
  <si>
    <t>H000011474</t>
  </si>
  <si>
    <t>1250BA - MANUFACTURING FACILITIES</t>
  </si>
  <si>
    <t>H000012474</t>
  </si>
  <si>
    <t>1250BA - PACKAGING FACILITIES</t>
  </si>
  <si>
    <t>H000013474</t>
  </si>
  <si>
    <t>1250BA - SHARED OPERATIONS FACILITIES</t>
  </si>
  <si>
    <t>H000014474</t>
  </si>
  <si>
    <t>1250BA - OTHER FACILITIES</t>
  </si>
  <si>
    <t>H000111472</t>
  </si>
  <si>
    <t>1250BA - DP</t>
  </si>
  <si>
    <t>H000112472</t>
  </si>
  <si>
    <t>1250BA - FP</t>
  </si>
  <si>
    <t>H001111472</t>
  </si>
  <si>
    <t>1250BA - LABOR</t>
  </si>
  <si>
    <t>H001112472</t>
  </si>
  <si>
    <t>1250BA - EQUIPMENTS</t>
  </si>
  <si>
    <t>H001113472</t>
  </si>
  <si>
    <t>1250BA - INDIRECT SERVICES</t>
  </si>
  <si>
    <t>H001114472</t>
  </si>
  <si>
    <t>1250BA - MCC</t>
  </si>
  <si>
    <t>H001211472</t>
  </si>
  <si>
    <t>H001212472</t>
  </si>
  <si>
    <t>H001213472</t>
  </si>
  <si>
    <t>H001214472</t>
  </si>
  <si>
    <t>H000002471</t>
  </si>
  <si>
    <t>MERCK SERONO ITALY - BARI ( BEFORE CCH)</t>
  </si>
  <si>
    <t>Murilo Barbosa</t>
  </si>
  <si>
    <t>FR8068790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</si>
</sst>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51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51"/>
  <sheetViews>
    <sheetView tabSelected="1" topLeftCell="C13" zoomScale="115" zoomScaleNormal="115" workbookViewId="0">
      <selection activeCell="K41" sqref="K41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>
        <f>IFERROR(VLOOKUP(Table2[[#This Row], [Ticket]],Okey!A:B,2,0),"")</f>
        <v>0</v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>
        <f>IFERROR(VLOOKUP(Table2[[#This Row], [Ticket]],Okey!A:B,2,0),"")</f>
        <v>0</v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>
        <f>IFERROR(VLOOKUP(Table2[[#This Row], [Ticket]],Okey!A:B,2,0),"")</f>
        <v>0</v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>
        <f>IFERROR(VLOOKUP(Table2[[#This Row], [Ticket]],Okey!A:B,2,0),"")</f>
        <v>0</v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>
        <f>IFERROR(VLOOKUP(Table2[[#This Row], [Ticket]],Okey!A:B,2,0),"")</f>
        <v>0</v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>
        <f>IFERROR(VLOOKUP(Table2[[#This Row], [Ticket]],Okey!A:B,2,0),"")</f>
        <v>0</v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>
        <f>IFERROR(VLOOKUP(Table2[[#This Row], [Ticket]],Okey!A:B,2,0),"")</f>
        <v>0</v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>
        <f>IFERROR(VLOOKUP(Table2[[#This Row], [Ticket]],Okey!A:B,2,0),"")</f>
        <v>0</v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>
        <f>IFERROR(VLOOKUP(Table2[[#This Row], [Ticket]],Okey!A:B,2,0),"")</f>
        <v>0</v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>
        <f>IFERROR(VLOOKUP(Table2[[#This Row], [Ticket]],Okey!A:B,2,0),"")</f>
        <v>0</v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>
        <f>IFERROR(VLOOKUP(Table2[[#This Row], [Ticket]],Okey!A:B,2,0),"")</f>
        <v>0</v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>
        <f>IFERROR(VLOOKUP(Table2[[#This Row], [Ticket]],Okey!A:B,2,0),"")</f>
        <v>0</v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>
        <f>IFERROR(VLOOKUP(Table2[[#This Row], [Ticket]],Okey!A:B,2,0),"")</f>
        <v>0</v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>
        <f>IFERROR(VLOOKUP(Table2[[#This Row], [Ticket]],Okey!A:B,2,0),"")</f>
        <v>0</v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>
        <f>IFERROR(VLOOKUP(Table2[[#This Row], [Ticket]],Okey!A:B,2,0),"")</f>
        <v>0</v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>
        <f>IFERROR(VLOOKUP(Table2[[#This Row], [Ticket]],Okey!A:B,2,0),"")</f>
        <v>0</v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>
        <f>IFERROR(VLOOKUP(Table2[[#This Row], [Ticket]],Okey!A:B,2,0),"")</f>
        <v>0</v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>
        <f>IFERROR(VLOOKUP(Table2[[#This Row], [Ticket]],Okey!A:B,2,0),"")</f>
        <v>0</v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51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>
        <f>IFERROR(VLOOKUP(Table2[[#This Row], [Ticket]],Okey!A:B,2,0),"")</f>
        <v>0</v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I21" s="9" t="s">
        <v>7923</v>
      </c>
      <c r="J21" s="36" t="s">
        <v>17</v>
      </c>
      <c r="K21" s="36" t="s">
        <v>7909</v>
      </c>
      <c r="M21" s="9" t="s">
        <v>4782</v>
      </c>
    </row>
    <row r="22" spans="1:13" x14ac:dyDescent="0.25">
      <c r="A22" s="42">
        <f t="shared" si="1"/>
        <v>21</v>
      </c>
      <c r="B22" s="36" t="s">
        <v>4</v>
      </c>
      <c r="C22" s="9" t="s">
        <v>7913</v>
      </c>
      <c r="D22" s="36" t="s">
        <v>7920</v>
      </c>
      <c r="E22" s="36" t="s">
        <v>7914</v>
      </c>
      <c r="F22" s="9" t="s">
        <v>7915</v>
      </c>
      <c r="G22" s="9" t="s">
        <v>14</v>
      </c>
      <c r="H22" s="36" t="str">
        <f>IFERROR(VLOOKUP(Table2[[#This Row], [Ticket]],Okey!A:B,2,0),"")</f>
        <v/>
      </c>
      <c r="I22" s="9" t="s">
        <v>6455</v>
      </c>
      <c r="J22" s="36" t="s">
        <v>17</v>
      </c>
      <c r="K22" s="36" t="s">
        <v>7909</v>
      </c>
      <c r="M22" s="36" t="s">
        <v>4782</v>
      </c>
    </row>
    <row r="23" spans="1:13" x14ac:dyDescent="0.25">
      <c r="A23" s="42">
        <f t="shared" si="1"/>
        <v>22</v>
      </c>
      <c r="B23" s="36" t="s">
        <v>4</v>
      </c>
      <c r="C23" s="36" t="s">
        <v>7913</v>
      </c>
      <c r="D23" s="36" t="s">
        <v>7921</v>
      </c>
      <c r="E23" s="36" t="s">
        <v>7916</v>
      </c>
      <c r="F23" s="9" t="s">
        <v>7918</v>
      </c>
      <c r="G23" s="36" t="s">
        <v>14</v>
      </c>
      <c r="H23" s="36" t="str">
        <f>IFERROR(VLOOKUP(Table2[[#This Row], [Ticket]],Okey!A:B,2,0),"")</f>
        <v/>
      </c>
      <c r="I23" s="36" t="s">
        <v>6455</v>
      </c>
      <c r="J23" s="36" t="s">
        <v>17</v>
      </c>
      <c r="K23" s="36" t="s">
        <v>7909</v>
      </c>
      <c r="M23" s="36" t="s">
        <v>4782</v>
      </c>
    </row>
    <row r="24" spans="1:13" x14ac:dyDescent="0.25">
      <c r="A24" s="42">
        <f t="shared" si="1"/>
        <v>23</v>
      </c>
      <c r="B24" s="36" t="s">
        <v>4</v>
      </c>
      <c r="C24" s="36" t="s">
        <v>7913</v>
      </c>
      <c r="D24" s="36" t="s">
        <v>7922</v>
      </c>
      <c r="E24" s="36" t="s">
        <v>7917</v>
      </c>
      <c r="F24" s="9" t="s">
        <v>7918</v>
      </c>
      <c r="G24" s="36" t="s">
        <v>14</v>
      </c>
      <c r="H24" s="36" t="str">
        <f>IFERROR(VLOOKUP(Table2[[#This Row], [Ticket]],Okey!A:B,2,0),"")</f>
        <v/>
      </c>
      <c r="I24" s="36" t="s">
        <v>6455</v>
      </c>
      <c r="J24" s="36" t="s">
        <v>17</v>
      </c>
      <c r="K24" s="36" t="s">
        <v>7909</v>
      </c>
      <c r="M24" s="36" t="s">
        <v>4782</v>
      </c>
    </row>
    <row r="25" spans="1:13" x14ac:dyDescent="0.25">
      <c r="A25" s="42">
        <f t="shared" si="1"/>
        <v>24</v>
      </c>
      <c r="B25" s="36" t="s">
        <v>4</v>
      </c>
      <c r="C25" s="36" t="s">
        <v>7913</v>
      </c>
      <c r="D25" s="9" t="s">
        <v>7912</v>
      </c>
      <c r="F25" s="9" t="s">
        <v>6112</v>
      </c>
      <c r="G25" s="36" t="s">
        <v>13</v>
      </c>
      <c r="H25" s="36" t="str">
        <f>IFERROR(VLOOKUP(Table2[[#This Row], [Ticket]],Okey!A:B,2,0),"")</f>
        <v/>
      </c>
      <c r="I25" s="36" t="s">
        <v>7923</v>
      </c>
      <c r="J25" s="36" t="s">
        <v>17</v>
      </c>
      <c r="K25" s="36" t="s">
        <v>7909</v>
      </c>
      <c r="M25" s="36" t="s">
        <v>4782</v>
      </c>
    </row>
    <row r="26" spans="1:13" x14ac:dyDescent="0.25">
      <c r="A26" s="42">
        <f t="shared" si="1"/>
        <v>25</v>
      </c>
      <c r="B26" s="36" t="s">
        <v>4</v>
      </c>
      <c r="C26" s="9" t="s">
        <v>7970</v>
      </c>
      <c r="D26" s="9" t="s">
        <v>939</v>
      </c>
      <c r="E26" s="9" t="s">
        <v>7924</v>
      </c>
      <c r="F26" s="9" t="s">
        <v>1125</v>
      </c>
      <c r="G26" s="36" t="s">
        <v>14</v>
      </c>
      <c r="H26" s="36" t="str">
        <f>IFERROR(VLOOKUP(Table2[[#This Row], [Ticket]],Okey!A:B,2,0),"")</f>
        <v/>
      </c>
      <c r="J26" s="36" t="s">
        <v>19</v>
      </c>
      <c r="K26" s="36" t="s">
        <v>7909</v>
      </c>
      <c r="M26" s="9" t="s">
        <v>7969</v>
      </c>
    </row>
    <row r="27" spans="1:13" x14ac:dyDescent="0.25">
      <c r="A27" s="42">
        <f t="shared" si="1"/>
        <v>26</v>
      </c>
      <c r="B27" s="36" t="s">
        <v>4</v>
      </c>
      <c r="C27" s="36" t="s">
        <v>7970</v>
      </c>
      <c r="D27" s="9" t="s">
        <v>941</v>
      </c>
      <c r="E27" s="9" t="s">
        <v>7925</v>
      </c>
      <c r="F27" s="9" t="s">
        <v>939</v>
      </c>
      <c r="G27" s="36" t="s">
        <v>14</v>
      </c>
      <c r="H27" s="36" t="str">
        <f>IFERROR(VLOOKUP(Table2[[#This Row], [Ticket]],Okey!A:B,2,0),"")</f>
        <v/>
      </c>
      <c r="J27" s="36" t="s">
        <v>19</v>
      </c>
      <c r="K27" s="36" t="s">
        <v>7909</v>
      </c>
      <c r="M27" s="36" t="s">
        <v>7969</v>
      </c>
    </row>
    <row r="28" spans="1:13" x14ac:dyDescent="0.25">
      <c r="A28" s="42">
        <f t="shared" si="1"/>
        <v>27</v>
      </c>
      <c r="B28" s="36" t="s">
        <v>4</v>
      </c>
      <c r="C28" s="36" t="s">
        <v>7970</v>
      </c>
      <c r="D28" s="9" t="s">
        <v>943</v>
      </c>
      <c r="E28" s="9" t="s">
        <v>7926</v>
      </c>
      <c r="F28" s="9" t="s">
        <v>939</v>
      </c>
      <c r="G28" s="36" t="s">
        <v>14</v>
      </c>
      <c r="H28" s="36" t="str">
        <f>IFERROR(VLOOKUP(Table2[[#This Row], [Ticket]],Okey!A:B,2,0),"")</f>
        <v/>
      </c>
      <c r="J28" s="36" t="s">
        <v>19</v>
      </c>
      <c r="K28" s="36" t="s">
        <v>7909</v>
      </c>
      <c r="M28" s="36" t="s">
        <v>7969</v>
      </c>
    </row>
    <row r="29" spans="1:13" x14ac:dyDescent="0.25">
      <c r="A29" s="42">
        <f t="shared" si="1"/>
        <v>28</v>
      </c>
      <c r="B29" s="36" t="s">
        <v>4</v>
      </c>
      <c r="C29" s="36" t="s">
        <v>7970</v>
      </c>
      <c r="D29" s="9" t="s">
        <v>7927</v>
      </c>
      <c r="E29" s="9" t="s">
        <v>7928</v>
      </c>
      <c r="F29" s="9" t="s">
        <v>939</v>
      </c>
      <c r="G29" s="36" t="s">
        <v>14</v>
      </c>
      <c r="H29" s="36" t="str">
        <f>IFERROR(VLOOKUP(Table2[[#This Row], [Ticket]],Okey!A:B,2,0),"")</f>
        <v/>
      </c>
      <c r="J29" s="36" t="s">
        <v>19</v>
      </c>
      <c r="K29" s="36" t="s">
        <v>7909</v>
      </c>
      <c r="M29" s="36" t="s">
        <v>7969</v>
      </c>
    </row>
    <row r="30" spans="1:13" x14ac:dyDescent="0.25">
      <c r="A30" s="42">
        <f t="shared" si="1"/>
        <v>29</v>
      </c>
      <c r="B30" s="36" t="s">
        <v>4</v>
      </c>
      <c r="C30" s="36" t="s">
        <v>7970</v>
      </c>
      <c r="D30" s="9" t="s">
        <v>7929</v>
      </c>
      <c r="E30" s="9" t="s">
        <v>7930</v>
      </c>
      <c r="F30" s="9" t="s">
        <v>939</v>
      </c>
      <c r="G30" s="36" t="s">
        <v>14</v>
      </c>
      <c r="H30" s="36" t="str">
        <f>IFERROR(VLOOKUP(Table2[[#This Row], [Ticket]],Okey!A:B,2,0),"")</f>
        <v/>
      </c>
      <c r="J30" s="36" t="s">
        <v>19</v>
      </c>
      <c r="K30" s="36" t="s">
        <v>7909</v>
      </c>
      <c r="M30" s="36" t="s">
        <v>7969</v>
      </c>
    </row>
    <row r="31" spans="1:13" x14ac:dyDescent="0.25">
      <c r="A31" s="42">
        <f t="shared" si="1"/>
        <v>30</v>
      </c>
      <c r="B31" s="36" t="s">
        <v>4</v>
      </c>
      <c r="C31" s="36" t="s">
        <v>7970</v>
      </c>
      <c r="D31" s="9" t="s">
        <v>7931</v>
      </c>
      <c r="E31" s="9" t="s">
        <v>7932</v>
      </c>
      <c r="F31" s="9" t="s">
        <v>939</v>
      </c>
      <c r="G31" s="36" t="s">
        <v>14</v>
      </c>
      <c r="H31" s="36" t="str">
        <f>IFERROR(VLOOKUP(Table2[[#This Row], [Ticket]],Okey!A:B,2,0),"")</f>
        <v/>
      </c>
      <c r="J31" s="36" t="s">
        <v>19</v>
      </c>
      <c r="K31" s="36" t="s">
        <v>7909</v>
      </c>
      <c r="M31" s="36" t="s">
        <v>7969</v>
      </c>
    </row>
    <row r="32" spans="1:13" x14ac:dyDescent="0.25">
      <c r="A32" s="42">
        <f t="shared" si="1"/>
        <v>31</v>
      </c>
      <c r="B32" s="36" t="s">
        <v>4</v>
      </c>
      <c r="C32" s="36" t="s">
        <v>7970</v>
      </c>
      <c r="D32" s="9" t="s">
        <v>7933</v>
      </c>
      <c r="E32" s="9" t="s">
        <v>7934</v>
      </c>
      <c r="F32" s="9" t="s">
        <v>941</v>
      </c>
      <c r="G32" s="36" t="s">
        <v>14</v>
      </c>
      <c r="H32" s="36" t="str">
        <f>IFERROR(VLOOKUP(Table2[[#This Row], [Ticket]],Okey!A:B,2,0),"")</f>
        <v/>
      </c>
      <c r="J32" s="36" t="s">
        <v>19</v>
      </c>
      <c r="K32" s="36" t="s">
        <v>7909</v>
      </c>
      <c r="M32" s="36" t="s">
        <v>7969</v>
      </c>
    </row>
    <row r="33" spans="1:13" x14ac:dyDescent="0.25">
      <c r="A33" s="42">
        <f t="shared" si="1"/>
        <v>32</v>
      </c>
      <c r="B33" s="36" t="s">
        <v>4</v>
      </c>
      <c r="C33" s="36" t="s">
        <v>7970</v>
      </c>
      <c r="D33" s="9" t="s">
        <v>7935</v>
      </c>
      <c r="E33" s="9" t="s">
        <v>7936</v>
      </c>
      <c r="F33" s="9" t="s">
        <v>941</v>
      </c>
      <c r="G33" s="36" t="s">
        <v>14</v>
      </c>
      <c r="H33" s="36" t="str">
        <f>IFERROR(VLOOKUP(Table2[[#This Row], [Ticket]],Okey!A:B,2,0),"")</f>
        <v/>
      </c>
      <c r="J33" s="36" t="s">
        <v>19</v>
      </c>
      <c r="K33" s="36" t="s">
        <v>7909</v>
      </c>
      <c r="M33" s="36" t="s">
        <v>7969</v>
      </c>
    </row>
    <row r="34" spans="1:13" x14ac:dyDescent="0.25">
      <c r="A34" s="42">
        <f t="shared" si="1"/>
        <v>33</v>
      </c>
      <c r="B34" s="36" t="s">
        <v>4</v>
      </c>
      <c r="C34" s="36" t="s">
        <v>7970</v>
      </c>
      <c r="D34" s="9" t="s">
        <v>7937</v>
      </c>
      <c r="E34" s="9" t="s">
        <v>7938</v>
      </c>
      <c r="F34" s="9" t="s">
        <v>943</v>
      </c>
      <c r="G34" s="36" t="s">
        <v>14</v>
      </c>
      <c r="H34" s="36" t="str">
        <f>IFERROR(VLOOKUP(Table2[[#This Row], [Ticket]],Okey!A:B,2,0),"")</f>
        <v/>
      </c>
      <c r="J34" s="36" t="s">
        <v>19</v>
      </c>
      <c r="K34" s="36" t="s">
        <v>7909</v>
      </c>
      <c r="M34" s="36" t="s">
        <v>7969</v>
      </c>
    </row>
    <row r="35" spans="1:13" x14ac:dyDescent="0.25">
      <c r="A35" s="42">
        <f t="shared" si="1"/>
        <v>34</v>
      </c>
      <c r="B35" s="36" t="s">
        <v>4</v>
      </c>
      <c r="C35" s="36" t="s">
        <v>7970</v>
      </c>
      <c r="D35" s="9" t="s">
        <v>7939</v>
      </c>
      <c r="E35" s="9" t="s">
        <v>7940</v>
      </c>
      <c r="F35" s="9" t="s">
        <v>943</v>
      </c>
      <c r="G35" s="36" t="s">
        <v>14</v>
      </c>
      <c r="H35" s="36" t="str">
        <f>IFERROR(VLOOKUP(Table2[[#This Row], [Ticket]],Okey!A:B,2,0),"")</f>
        <v/>
      </c>
      <c r="J35" s="36" t="s">
        <v>19</v>
      </c>
      <c r="K35" s="36" t="s">
        <v>7909</v>
      </c>
      <c r="M35" s="36" t="s">
        <v>7969</v>
      </c>
    </row>
    <row r="36" spans="1:13" x14ac:dyDescent="0.25">
      <c r="A36" s="42">
        <f t="shared" si="1"/>
        <v>35</v>
      </c>
      <c r="B36" s="36" t="s">
        <v>4</v>
      </c>
      <c r="C36" s="36" t="s">
        <v>7970</v>
      </c>
      <c r="D36" s="9" t="s">
        <v>7941</v>
      </c>
      <c r="E36" s="9" t="s">
        <v>7942</v>
      </c>
      <c r="F36" s="9" t="s">
        <v>943</v>
      </c>
      <c r="G36" s="36" t="s">
        <v>14</v>
      </c>
      <c r="H36" s="36" t="str">
        <f>IFERROR(VLOOKUP(Table2[[#This Row], [Ticket]],Okey!A:B,2,0),"")</f>
        <v/>
      </c>
      <c r="J36" s="36" t="s">
        <v>19</v>
      </c>
      <c r="K36" s="36" t="s">
        <v>7909</v>
      </c>
      <c r="M36" s="36" t="s">
        <v>7969</v>
      </c>
    </row>
    <row r="37" spans="1:13" x14ac:dyDescent="0.25">
      <c r="A37" s="42">
        <f t="shared" si="1"/>
        <v>36</v>
      </c>
      <c r="B37" s="36" t="s">
        <v>4</v>
      </c>
      <c r="C37" s="36" t="s">
        <v>7970</v>
      </c>
      <c r="D37" s="9" t="s">
        <v>7943</v>
      </c>
      <c r="E37" s="9" t="s">
        <v>7944</v>
      </c>
      <c r="F37" s="9" t="s">
        <v>7927</v>
      </c>
      <c r="G37" s="36" t="s">
        <v>14</v>
      </c>
      <c r="H37" s="36" t="str">
        <f>IFERROR(VLOOKUP(Table2[[#This Row], [Ticket]],Okey!A:B,2,0),"")</f>
        <v/>
      </c>
      <c r="J37" s="36" t="s">
        <v>19</v>
      </c>
      <c r="K37" s="36" t="s">
        <v>7909</v>
      </c>
      <c r="M37" s="36" t="s">
        <v>7969</v>
      </c>
    </row>
    <row r="38" spans="1:13" x14ac:dyDescent="0.25">
      <c r="A38" s="42">
        <f t="shared" si="1"/>
        <v>37</v>
      </c>
      <c r="B38" s="36" t="s">
        <v>4</v>
      </c>
      <c r="C38" s="36" t="s">
        <v>7970</v>
      </c>
      <c r="D38" s="9" t="s">
        <v>7945</v>
      </c>
      <c r="E38" s="9" t="s">
        <v>7946</v>
      </c>
      <c r="F38" s="9" t="s">
        <v>7927</v>
      </c>
      <c r="G38" s="36" t="s">
        <v>14</v>
      </c>
      <c r="H38" s="36" t="str">
        <f>IFERROR(VLOOKUP(Table2[[#This Row], [Ticket]],Okey!A:B,2,0),"")</f>
        <v/>
      </c>
      <c r="J38" s="36" t="s">
        <v>19</v>
      </c>
      <c r="K38" s="36" t="s">
        <v>7909</v>
      </c>
      <c r="M38" s="36" t="s">
        <v>7969</v>
      </c>
    </row>
    <row r="39" spans="1:13" x14ac:dyDescent="0.25">
      <c r="A39" s="42">
        <f t="shared" si="1"/>
        <v>38</v>
      </c>
      <c r="B39" s="36" t="s">
        <v>4</v>
      </c>
      <c r="C39" s="36" t="s">
        <v>7970</v>
      </c>
      <c r="D39" s="9" t="s">
        <v>7947</v>
      </c>
      <c r="E39" s="9" t="s">
        <v>7948</v>
      </c>
      <c r="F39" s="9" t="s">
        <v>7927</v>
      </c>
      <c r="G39" s="36" t="s">
        <v>14</v>
      </c>
      <c r="H39" s="36" t="str">
        <f>IFERROR(VLOOKUP(Table2[[#This Row], [Ticket]],Okey!A:B,2,0),"")</f>
        <v/>
      </c>
      <c r="J39" s="36" t="s">
        <v>19</v>
      </c>
      <c r="K39" s="36" t="s">
        <v>7909</v>
      </c>
      <c r="M39" s="36" t="s">
        <v>7969</v>
      </c>
    </row>
    <row r="40" spans="1:13" x14ac:dyDescent="0.25">
      <c r="A40" s="42">
        <f t="shared" si="1"/>
        <v>39</v>
      </c>
      <c r="B40" s="36" t="s">
        <v>4</v>
      </c>
      <c r="C40" s="36" t="s">
        <v>7970</v>
      </c>
      <c r="D40" s="9" t="s">
        <v>7949</v>
      </c>
      <c r="E40" s="9" t="s">
        <v>7950</v>
      </c>
      <c r="F40" s="9" t="s">
        <v>7927</v>
      </c>
      <c r="G40" s="36" t="s">
        <v>14</v>
      </c>
      <c r="H40" s="36" t="str">
        <f>IFERROR(VLOOKUP(Table2[[#This Row], [Ticket]],Okey!A:B,2,0),"")</f>
        <v/>
      </c>
      <c r="J40" s="36" t="s">
        <v>19</v>
      </c>
      <c r="K40" s="36" t="s">
        <v>7909</v>
      </c>
      <c r="M40" s="36" t="s">
        <v>7969</v>
      </c>
    </row>
    <row r="41" spans="1:13" x14ac:dyDescent="0.25">
      <c r="A41" s="42">
        <f t="shared" si="1"/>
        <v>40</v>
      </c>
      <c r="B41" s="36" t="s">
        <v>4</v>
      </c>
      <c r="C41" s="36" t="s">
        <v>7970</v>
      </c>
      <c r="D41" s="9" t="s">
        <v>7951</v>
      </c>
      <c r="E41" s="9" t="s">
        <v>7952</v>
      </c>
      <c r="F41" s="9" t="s">
        <v>7933</v>
      </c>
      <c r="G41" s="36" t="s">
        <v>14</v>
      </c>
      <c r="H41" s="36" t="str">
        <f>IFERROR(VLOOKUP(Table2[[#This Row], [Ticket]],Okey!A:B,2,0),"")</f>
        <v/>
      </c>
      <c r="J41" s="36" t="s">
        <v>19</v>
      </c>
      <c r="K41" s="36" t="s">
        <v>7909</v>
      </c>
      <c r="M41" s="36" t="s">
        <v>7969</v>
      </c>
    </row>
    <row r="42" spans="1:13" x14ac:dyDescent="0.25">
      <c r="A42" s="42">
        <f t="shared" si="1"/>
        <v>41</v>
      </c>
      <c r="B42" s="36" t="s">
        <v>4</v>
      </c>
      <c r="C42" s="36" t="s">
        <v>7970</v>
      </c>
      <c r="D42" s="9" t="s">
        <v>7953</v>
      </c>
      <c r="E42" s="9" t="s">
        <v>7954</v>
      </c>
      <c r="F42" s="9" t="s">
        <v>7935</v>
      </c>
      <c r="G42" s="36" t="s">
        <v>14</v>
      </c>
      <c r="H42" s="36" t="str">
        <f>IFERROR(VLOOKUP(Table2[[#This Row], [Ticket]],Okey!A:B,2,0),"")</f>
        <v/>
      </c>
      <c r="J42" s="36" t="s">
        <v>19</v>
      </c>
      <c r="K42" s="36" t="s">
        <v>7909</v>
      </c>
      <c r="M42" s="36" t="s">
        <v>7969</v>
      </c>
    </row>
    <row r="43" spans="1:13" x14ac:dyDescent="0.25">
      <c r="A43" s="42">
        <f t="shared" si="1"/>
        <v>42</v>
      </c>
      <c r="B43" s="36" t="s">
        <v>4</v>
      </c>
      <c r="C43" s="36" t="s">
        <v>7970</v>
      </c>
      <c r="D43" s="9" t="s">
        <v>7955</v>
      </c>
      <c r="E43" s="9" t="s">
        <v>7956</v>
      </c>
      <c r="F43" s="9" t="s">
        <v>7933</v>
      </c>
      <c r="G43" s="36" t="s">
        <v>14</v>
      </c>
      <c r="H43" s="36" t="str">
        <f>IFERROR(VLOOKUP(Table2[[#This Row], [Ticket]],Okey!A:B,2,0),"")</f>
        <v/>
      </c>
      <c r="J43" s="36" t="s">
        <v>19</v>
      </c>
      <c r="K43" s="36" t="s">
        <v>7909</v>
      </c>
      <c r="M43" s="36" t="s">
        <v>7969</v>
      </c>
    </row>
    <row r="44" spans="1:13" x14ac:dyDescent="0.25">
      <c r="A44" s="42">
        <f t="shared" si="1"/>
        <v>43</v>
      </c>
      <c r="B44" s="36" t="s">
        <v>4</v>
      </c>
      <c r="C44" s="36" t="s">
        <v>7970</v>
      </c>
      <c r="D44" s="9" t="s">
        <v>7957</v>
      </c>
      <c r="E44" s="9" t="s">
        <v>7958</v>
      </c>
      <c r="F44" s="9" t="s">
        <v>7933</v>
      </c>
      <c r="G44" s="36" t="s">
        <v>14</v>
      </c>
      <c r="H44" s="36" t="str">
        <f>IFERROR(VLOOKUP(Table2[[#This Row], [Ticket]],Okey!A:B,2,0),"")</f>
        <v/>
      </c>
      <c r="J44" s="36" t="s">
        <v>19</v>
      </c>
      <c r="K44" s="36" t="s">
        <v>7909</v>
      </c>
      <c r="M44" s="36" t="s">
        <v>7969</v>
      </c>
    </row>
    <row r="45" spans="1:13" x14ac:dyDescent="0.25">
      <c r="A45" s="42">
        <f t="shared" si="1"/>
        <v>44</v>
      </c>
      <c r="B45" s="36" t="s">
        <v>4</v>
      </c>
      <c r="C45" s="36" t="s">
        <v>7970</v>
      </c>
      <c r="D45" s="9" t="s">
        <v>7959</v>
      </c>
      <c r="E45" s="9" t="s">
        <v>7960</v>
      </c>
      <c r="F45" s="9" t="s">
        <v>7933</v>
      </c>
      <c r="G45" s="36" t="s">
        <v>14</v>
      </c>
      <c r="H45" s="36" t="str">
        <f>IFERROR(VLOOKUP(Table2[[#This Row], [Ticket]],Okey!A:B,2,0),"")</f>
        <v/>
      </c>
      <c r="J45" s="36" t="s">
        <v>19</v>
      </c>
      <c r="K45" s="36" t="s">
        <v>7909</v>
      </c>
      <c r="M45" s="36" t="s">
        <v>7969</v>
      </c>
    </row>
    <row r="46" spans="1:13" x14ac:dyDescent="0.25">
      <c r="A46" s="42">
        <f t="shared" si="1"/>
        <v>45</v>
      </c>
      <c r="B46" s="36" t="s">
        <v>4</v>
      </c>
      <c r="C46" s="36" t="s">
        <v>7970</v>
      </c>
      <c r="D46" s="9" t="s">
        <v>7961</v>
      </c>
      <c r="E46" s="9" t="s">
        <v>7962</v>
      </c>
      <c r="F46" s="9" t="s">
        <v>7933</v>
      </c>
      <c r="G46" s="36" t="s">
        <v>14</v>
      </c>
      <c r="H46" s="36" t="str">
        <f>IFERROR(VLOOKUP(Table2[[#This Row], [Ticket]],Okey!A:B,2,0),"")</f>
        <v/>
      </c>
      <c r="J46" s="36" t="s">
        <v>19</v>
      </c>
      <c r="K46" s="36" t="s">
        <v>7909</v>
      </c>
      <c r="M46" s="36" t="s">
        <v>7969</v>
      </c>
    </row>
    <row r="47" spans="1:13" x14ac:dyDescent="0.25">
      <c r="A47" s="42">
        <f t="shared" si="1"/>
        <v>46</v>
      </c>
      <c r="B47" s="36" t="s">
        <v>4</v>
      </c>
      <c r="C47" s="36" t="s">
        <v>7970</v>
      </c>
      <c r="D47" s="9" t="s">
        <v>7963</v>
      </c>
      <c r="E47" s="9" t="s">
        <v>7956</v>
      </c>
      <c r="F47" s="9" t="s">
        <v>7935</v>
      </c>
      <c r="G47" s="36" t="s">
        <v>14</v>
      </c>
      <c r="H47" s="36" t="str">
        <f>IFERROR(VLOOKUP(Table2[[#This Row], [Ticket]],Okey!A:B,2,0),"")</f>
        <v/>
      </c>
      <c r="J47" s="36" t="s">
        <v>19</v>
      </c>
      <c r="K47" s="36" t="s">
        <v>7909</v>
      </c>
      <c r="M47" s="36" t="s">
        <v>7969</v>
      </c>
    </row>
    <row r="48" spans="1:13" x14ac:dyDescent="0.25">
      <c r="A48" s="42">
        <f t="shared" si="1"/>
        <v>47</v>
      </c>
      <c r="B48" s="36" t="s">
        <v>4</v>
      </c>
      <c r="C48" s="36" t="s">
        <v>7970</v>
      </c>
      <c r="D48" s="9" t="s">
        <v>7964</v>
      </c>
      <c r="E48" s="9" t="s">
        <v>7958</v>
      </c>
      <c r="F48" s="9" t="s">
        <v>7935</v>
      </c>
      <c r="G48" s="36" t="s">
        <v>14</v>
      </c>
      <c r="H48" s="36" t="str">
        <f>IFERROR(VLOOKUP(Table2[[#This Row], [Ticket]],Okey!A:B,2,0),"")</f>
        <v/>
      </c>
      <c r="J48" s="36" t="s">
        <v>19</v>
      </c>
      <c r="K48" s="36" t="s">
        <v>7909</v>
      </c>
      <c r="M48" s="36" t="s">
        <v>7969</v>
      </c>
    </row>
    <row r="49" spans="1:13" x14ac:dyDescent="0.25">
      <c r="A49" s="42">
        <f t="shared" si="1"/>
        <v>48</v>
      </c>
      <c r="B49" s="36" t="s">
        <v>4</v>
      </c>
      <c r="C49" s="36" t="s">
        <v>7970</v>
      </c>
      <c r="D49" s="9" t="s">
        <v>7965</v>
      </c>
      <c r="E49" s="9" t="s">
        <v>7960</v>
      </c>
      <c r="F49" s="9" t="s">
        <v>7935</v>
      </c>
      <c r="G49" s="36" t="s">
        <v>14</v>
      </c>
      <c r="H49" s="36" t="str">
        <f>IFERROR(VLOOKUP(Table2[[#This Row], [Ticket]],Okey!A:B,2,0),"")</f>
        <v/>
      </c>
      <c r="J49" s="36" t="s">
        <v>19</v>
      </c>
      <c r="K49" s="36" t="s">
        <v>7909</v>
      </c>
      <c r="M49" s="36" t="s">
        <v>7969</v>
      </c>
    </row>
    <row r="50" spans="1:13" x14ac:dyDescent="0.25">
      <c r="A50" s="42">
        <f t="shared" si="1"/>
        <v>49</v>
      </c>
      <c r="B50" s="36" t="s">
        <v>4</v>
      </c>
      <c r="C50" s="36" t="s">
        <v>7970</v>
      </c>
      <c r="D50" s="9" t="s">
        <v>7966</v>
      </c>
      <c r="E50" s="9" t="s">
        <v>7962</v>
      </c>
      <c r="F50" s="9" t="s">
        <v>7935</v>
      </c>
      <c r="G50" s="36" t="s">
        <v>14</v>
      </c>
      <c r="H50" s="36" t="str">
        <f>IFERROR(VLOOKUP(Table2[[#This Row], [Ticket]],Okey!A:B,2,0),"")</f>
        <v/>
      </c>
      <c r="J50" s="36" t="s">
        <v>19</v>
      </c>
      <c r="K50" s="36" t="s">
        <v>7909</v>
      </c>
      <c r="M50" s="36" t="s">
        <v>7969</v>
      </c>
    </row>
    <row r="51" spans="1:13" x14ac:dyDescent="0.25">
      <c r="A51" s="42">
        <f t="shared" si="1"/>
        <v>50</v>
      </c>
      <c r="B51" s="36" t="s">
        <v>4</v>
      </c>
      <c r="C51" s="36" t="s">
        <v>7970</v>
      </c>
      <c r="D51" s="9" t="s">
        <v>7967</v>
      </c>
      <c r="E51" s="9" t="s">
        <v>7968</v>
      </c>
      <c r="F51" s="9" t="s">
        <v>1125</v>
      </c>
      <c r="G51" s="36" t="s">
        <v>14</v>
      </c>
      <c r="H51" s="36" t="str">
        <f>IFERROR(VLOOKUP(Table2[[#This Row], [Ticket]],Okey!A:B,2,0),"")</f>
        <v/>
      </c>
      <c r="J51" s="36" t="s">
        <v>19</v>
      </c>
      <c r="K51" s="36" t="s">
        <v>7909</v>
      </c>
      <c r="M51" s="36" t="s">
        <v>7969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53E43-8612-43E9-B38C-9DD6AD087995}">
  <dimension ref="A1:G11"/>
  <sheetViews>
    <sheetView workbookViewId="0">
      <selection activeCell="O40" sqref="O40"/>
    </sheetView>
  </sheetViews>
  <sheetFormatPr defaultRowHeight="15" x14ac:dyDescent="0.25"/>
  <cols>
    <col min="1" max="1" width="16.42578125" bestFit="1" customWidth="1"/>
  </cols>
  <sheetData>
    <row r="1" spans="1:7" x14ac:dyDescent="0.25">
      <c r="A1">
        <v>1000</v>
      </c>
      <c r="B1" t="s">
        <v>7919</v>
      </c>
    </row>
    <row r="2" spans="1:7" x14ac:dyDescent="0.25">
      <c r="A2" t="s">
        <v>7920</v>
      </c>
      <c r="B2" t="s">
        <v>7914</v>
      </c>
      <c r="C2" t="s">
        <v>4938</v>
      </c>
      <c r="D2" t="s">
        <v>4938</v>
      </c>
      <c r="E2" t="s">
        <v>4938</v>
      </c>
      <c r="F2" t="s">
        <v>4938</v>
      </c>
      <c r="G2" t="s">
        <v>4938</v>
      </c>
    </row>
    <row r="3" spans="1:7" x14ac:dyDescent="0.25">
      <c r="A3" t="s">
        <v>7921</v>
      </c>
      <c r="B3" t="s">
        <v>7916</v>
      </c>
      <c r="C3" t="s">
        <v>4938</v>
      </c>
      <c r="D3" t="s">
        <v>4938</v>
      </c>
      <c r="E3" t="s">
        <v>4938</v>
      </c>
      <c r="F3" t="s">
        <v>4938</v>
      </c>
      <c r="G3" t="s">
        <v>4938</v>
      </c>
    </row>
    <row r="4" spans="1:7" x14ac:dyDescent="0.25">
      <c r="A4" t="s">
        <v>7922</v>
      </c>
      <c r="B4" t="s">
        <v>7917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8" spans="1:7" x14ac:dyDescent="0.25">
      <c r="A8">
        <v>1000</v>
      </c>
      <c r="B8" t="s">
        <v>7919</v>
      </c>
    </row>
    <row r="9" spans="1:7" x14ac:dyDescent="0.25">
      <c r="A9" t="s">
        <v>7915</v>
      </c>
      <c r="B9" t="s">
        <v>7920</v>
      </c>
    </row>
    <row r="10" spans="1:7" x14ac:dyDescent="0.25">
      <c r="A10" t="s">
        <v>7918</v>
      </c>
      <c r="B10" t="s">
        <v>7921</v>
      </c>
    </row>
    <row r="11" spans="1:7" x14ac:dyDescent="0.25">
      <c r="A11" t="s">
        <v>7918</v>
      </c>
      <c r="B11" t="s">
        <v>7922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1052-6D10-4101-8000-C2734EC0542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>
        <f>IFERROR(VLOOKUP(Table2[[#This Row], [Ticket]],Okey!A:B,2,0),"")</f>
        <v>0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>
        <f>IFERROR(VLOOKUP(Table2[[#This Row], [Ticket]],Okey!A:B,2,0),"")</f>
        <v>0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>
        <f>IFERROR(VLOOKUP(Table2[[#This Row], [Ticket]],Okey!A:B,2,0),"")</f>
        <v>0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>
        <f>IFERROR(VLOOKUP(Table2[[#This Row], [Ticket]],Okey!A:B,2,0),"")</f>
        <v>0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>
        <f>IFERROR(VLOOKUP(Table2[[#This Row], [Ticket]],Okey!A:B,2,0),"")</f>
        <v>0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>
        <f>IFERROR(VLOOKUP(Table2[[#This Row], [Ticket]],Okey!A:B,2,0),"")</f>
        <v>0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>
        <f>IFERROR(VLOOKUP(Table2[[#This Row], [Ticket]],Okey!A:B,2,0),"")</f>
        <v>0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>
        <f>IFERROR(VLOOKUP(Table2[[#This Row], [Ticket]],Okey!A:B,2,0),"")</f>
        <v>0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>
        <f>IFERROR(VLOOKUP(Table2[[#This Row], [Ticket]],Okey!A:B,2,0),"")</f>
        <v>0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>
        <f>IFERROR(VLOOKUP(Table2[[#This Row], [Ticket]],Okey!A:B,2,0),"")</f>
        <v>0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>
        <f>IFERROR(VLOOKUP(Table2[[#This Row], [Ticket]],Okey!A:B,2,0),"")</f>
        <v>0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>
        <f>IFERROR(VLOOKUP(Table2[[#This Row], [Ticket]],Okey!A:B,2,0),"")</f>
        <v>0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>
        <f>IFERROR(VLOOKUP(Table2[[#This Row], [Ticket]],Okey!A:B,2,0),"")</f>
        <v>0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>
        <f>IFERROR(VLOOKUP(Table2[[#This Row], [Ticket]],Okey!A:B,2,0),"")</f>
        <v>0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>
        <f>IFERROR(VLOOKUP(Table2[[#This Row], [Ticket]],Okey!A:B,2,0),"")</f>
        <v>0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>
        <f>IFERROR(VLOOKUP(Table2[[#This Row], [Ticket]],Okey!A:B,2,0),"")</f>
        <v>0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>
        <f>IFERROR(VLOOKUP(Table2[[#This Row], [Ticket]],Okey!A:B,2,0),"")</f>
        <v>0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>
        <f>IFERROR(VLOOKUP(Table2[[#This Row], [Ticket]],Okey!A:B,2,0),"")</f>
        <v>0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>
        <f>IFERROR(VLOOKUP(Table2[[#This Row], [Ticket]],Okey!A:B,2,0),"")</f>
        <v>0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e">
        <f>VLOOKUP(Table2[[#This Row], [Author]],People!A:B,2,0)</f>
        <v>#VALUE!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e">
        <f>VLOOKUP(Table2[[#This Row], [Author]],People!A:B,2,0)</f>
        <v>#VALUE!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>
        <f>IFERROR(VLOOKUP(Table2[[#This Row], [Ticket]],Okey!A:B,2,0),"")</f>
        <v>0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>
        <f>IFERROR(VLOOKUP(Table2[[#This Row], [Ticket]],Okey!A:B,2,0),"")</f>
        <v>0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>
        <f>IFERROR(VLOOKUP(Table2[[#This Row], [Ticket]],Okey!A:B,2,0),"")</f>
        <v>0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>
        <f>IFERROR(VLOOKUP(Table2[[#This Row], [Ticket]],Okey!A:B,2,0),"")</f>
        <v>0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>
        <f>IFERROR(VLOOKUP(Table2[[#This Row], [Ticket]],Okey!A:B,2,0),"")</f>
        <v>0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>
        <f>IFERROR(VLOOKUP(Table2[[#This Row], [Ticket]],Okey!A:B,2,0),"")</f>
        <v>0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>
        <f>IFERROR(VLOOKUP(Table2[[#This Row], [Ticket]],Okey!A:B,2,0),"")</f>
        <v>0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>
        <f>IFERROR(VLOOKUP(Table2[[#This Row], [Ticket]],Okey!A:B,2,0),"")</f>
        <v>0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>
        <f>IFERROR(VLOOKUP(Table2[[#This Row], [Ticket]],Okey!A:B,2,0),"")</f>
        <v>0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>
        <f>IFERROR(VLOOKUP(Table2[[#This Row], [Ticket]],Okey!A:B,2,0),"")</f>
        <v>0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>
        <f>IFERROR(VLOOKUP(Table2[[#This Row], [Ticket]],Okey!A:B,2,0),"")</f>
        <v>0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>
        <f>IFERROR(VLOOKUP(Table2[[#This Row], [Ticket]],Okey!A:B,2,0),"")</f>
        <v>0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>
        <f>IFERROR(VLOOKUP(Table2[[#This Row], [Ticket]],Okey!A:B,2,0),"")</f>
        <v>0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>
        <f>IFERROR(VLOOKUP(Table2[[#This Row], [Ticket]],Okey!A:B,2,0),"")</f>
        <v>0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>
        <f>IFERROR(VLOOKUP(Table2[[#This Row], [Ticket]],Okey!A:B,2,0),"")</f>
        <v>0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>
        <f>IFERROR(VLOOKUP(Table2[[#This Row], [Ticket]],Okey!A:B,2,0),"")</f>
        <v>0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>
        <f>IFERROR(VLOOKUP(Table2[[#This Row], [Ticket]],Okey!A:B,2,0),"")</f>
        <v>0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>
        <f>IFERROR(VLOOKUP(Table2[[#This Row], [Ticket]],Okey!A:B,2,0),"")</f>
        <v>0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>
        <f>IFERROR(VLOOKUP(Table2[[#This Row], [Ticket]],Okey!A:B,2,0),"")</f>
        <v>0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7"/>
  <sheetViews>
    <sheetView topLeftCell="A244" workbookViewId="0">
      <selection activeCell="A288" sqref="A288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  <row r="287" spans="1:2" x14ac:dyDescent="0.25">
      <c r="A287" s="47" t="s">
        <v>7908</v>
      </c>
      <c r="B287" s="36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pvt</vt:lpstr>
      <vt:lpstr>STUCT1</vt:lpstr>
      <vt:lpstr>Sheet2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2025-12-17T15:55:29Z</dcterms:modified>
</cp:coreProperties>
</file>