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11BC8DFA-FFFF-4488-B45E-BDE104F30247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7" sheetId="34" r:id="rId3"/>
    <sheet name="Sheet6" sheetId="33" r:id="rId4"/>
    <sheet name="Sheet5" sheetId="32" r:id="rId5"/>
    <sheet name="Sheet4" sheetId="31" r:id="rId6"/>
    <sheet name="Sheet3" sheetId="30" r:id="rId7"/>
    <sheet name="Sheet2" sheetId="29" r:id="rId8"/>
    <sheet name="Sheet1" sheetId="28" r:id="rId9"/>
    <sheet name="Names" sheetId="5" r:id="rId10"/>
    <sheet name="NEW NODES" sheetId="6" r:id="rId11"/>
    <sheet name="People" sheetId="7" r:id="rId12"/>
    <sheet name="2023" sheetId="8" state="hidden" r:id="rId13"/>
    <sheet name="2024" sheetId="19" state="hidden" r:id="rId14"/>
    <sheet name="old" sheetId="27" state="hidden" r:id="rId15"/>
    <sheet name="Sectors" sheetId="9" r:id="rId16"/>
    <sheet name="Okey" sheetId="10" r:id="rId17"/>
    <sheet name="KPI" sheetId="12" r:id="rId18"/>
  </sheets>
  <definedNames>
    <definedName name="_xlnm._FilterDatabase" localSheetId="12">'2023'!$A$1:$M$1</definedName>
    <definedName name="_xlnm._FilterDatabase" localSheetId="9">Names!$A$237:$G$388</definedName>
    <definedName name="_xlnm._FilterDatabase" localSheetId="11">People!$A$1:$B$1</definedName>
    <definedName name="_xlnm._FilterDatabase" localSheetId="1">STUCT1!#REF!</definedName>
  </definedNames>
  <calcPr calcId="181029"/>
  <pivotCaches>
    <pivotCache cacheId="1" r:id="rId19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55" i="1" l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54" i="1"/>
  <c r="H153" i="1"/>
  <c r="B56" i="32"/>
  <c r="B55" i="32"/>
  <c r="B54" i="32"/>
  <c r="B53" i="32"/>
  <c r="B52" i="32"/>
  <c r="B51" i="32"/>
  <c r="B50" i="32"/>
  <c r="B49" i="32"/>
  <c r="B48" i="32"/>
  <c r="B47" i="32"/>
  <c r="B46" i="32"/>
  <c r="B45" i="32"/>
  <c r="B44" i="32"/>
  <c r="B43" i="32"/>
  <c r="B42" i="32"/>
  <c r="B41" i="32"/>
  <c r="B40" i="32"/>
  <c r="B39" i="32"/>
  <c r="B38" i="32"/>
  <c r="B37" i="32"/>
  <c r="B36" i="32"/>
  <c r="B35" i="32"/>
  <c r="B34" i="32"/>
  <c r="B33" i="32"/>
  <c r="B32" i="32"/>
  <c r="B31" i="32"/>
  <c r="B30" i="32"/>
  <c r="B29" i="32"/>
  <c r="B28" i="32"/>
  <c r="B27" i="32"/>
  <c r="B26" i="32"/>
  <c r="B25" i="32"/>
  <c r="B24" i="32"/>
  <c r="B23" i="32"/>
  <c r="B22" i="32"/>
  <c r="B21" i="32"/>
  <c r="B20" i="32"/>
  <c r="B19" i="32"/>
  <c r="B18" i="32"/>
  <c r="B17" i="32"/>
  <c r="B16" i="32"/>
  <c r="B15" i="32"/>
  <c r="B14" i="32"/>
  <c r="B13" i="32"/>
  <c r="B12" i="32"/>
  <c r="B11" i="32"/>
  <c r="B10" i="32"/>
  <c r="B9" i="32"/>
  <c r="B8" i="32"/>
  <c r="B7" i="32"/>
  <c r="B6" i="32"/>
  <c r="B5" i="32"/>
  <c r="B4" i="32"/>
  <c r="B3" i="32"/>
  <c r="B2" i="32"/>
  <c r="B1" i="32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5" i="31"/>
  <c r="A14" i="31"/>
  <c r="A13" i="31"/>
  <c r="A12" i="31"/>
  <c r="A11" i="31"/>
  <c r="A10" i="31"/>
  <c r="A9" i="31"/>
  <c r="A8" i="31"/>
  <c r="A7" i="31"/>
  <c r="A6" i="31"/>
  <c r="A5" i="31"/>
  <c r="A4" i="31"/>
  <c r="A3" i="31"/>
  <c r="A2" i="31"/>
  <c r="A1" i="31"/>
  <c r="C4" i="31"/>
  <c r="C5" i="31" s="1"/>
  <c r="C6" i="31" s="1"/>
  <c r="C7" i="31" s="1"/>
  <c r="C8" i="31" s="1"/>
  <c r="C9" i="31" s="1"/>
  <c r="C10" i="31" s="1"/>
  <c r="C11" i="31" s="1"/>
  <c r="C12" i="31" s="1"/>
  <c r="C13" i="31" s="1"/>
  <c r="C14" i="31" s="1"/>
  <c r="C15" i="31" s="1"/>
  <c r="C16" i="31" s="1"/>
  <c r="C17" i="31" s="1"/>
  <c r="C18" i="31" s="1"/>
  <c r="C19" i="31" s="1"/>
  <c r="C20" i="31" s="1"/>
  <c r="C21" i="31" s="1"/>
  <c r="C22" i="31" s="1"/>
  <c r="C23" i="31" s="1"/>
  <c r="C24" i="31" s="1"/>
  <c r="C25" i="31" s="1"/>
  <c r="C26" i="31" s="1"/>
  <c r="C27" i="31" s="1"/>
  <c r="C28" i="31" s="1"/>
  <c r="C29" i="31" s="1"/>
  <c r="C30" i="31" s="1"/>
  <c r="C31" i="31" s="1"/>
  <c r="C32" i="31" s="1"/>
  <c r="C33" i="31" s="1"/>
  <c r="C34" i="31" s="1"/>
  <c r="C35" i="31" s="1"/>
  <c r="C3" i="31"/>
  <c r="C2" i="31"/>
  <c r="H148" i="1"/>
  <c r="H149" i="1"/>
  <c r="H150" i="1"/>
  <c r="H151" i="1"/>
  <c r="H152" i="1"/>
  <c r="H54" i="1"/>
  <c r="H55" i="1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I3" i="30"/>
  <c r="I2" i="30"/>
  <c r="C26" i="30"/>
  <c r="C25" i="30"/>
  <c r="C24" i="30"/>
  <c r="C23" i="30"/>
  <c r="C22" i="30"/>
  <c r="C21" i="30"/>
  <c r="C20" i="30"/>
  <c r="C19" i="30"/>
  <c r="C18" i="30"/>
  <c r="C17" i="30"/>
  <c r="C16" i="30"/>
  <c r="C15" i="30"/>
  <c r="C14" i="30"/>
  <c r="C13" i="30"/>
  <c r="C12" i="30"/>
  <c r="C11" i="30"/>
  <c r="C10" i="30"/>
  <c r="C9" i="30"/>
  <c r="C8" i="30"/>
  <c r="C7" i="30"/>
  <c r="C6" i="30"/>
  <c r="C5" i="30"/>
  <c r="C4" i="30"/>
  <c r="C3" i="30"/>
  <c r="C2" i="30"/>
  <c r="C1" i="30"/>
  <c r="G2" i="30"/>
  <c r="G3" i="30" s="1"/>
  <c r="G4" i="30" s="1"/>
  <c r="G5" i="30" s="1"/>
  <c r="G6" i="30" s="1"/>
  <c r="G7" i="30" s="1"/>
  <c r="G8" i="30" s="1"/>
  <c r="G9" i="30" s="1"/>
  <c r="G10" i="30" s="1"/>
  <c r="G11" i="30" s="1"/>
  <c r="G12" i="30" s="1"/>
  <c r="G13" i="30" s="1"/>
  <c r="G14" i="30" s="1"/>
  <c r="G15" i="30" s="1"/>
  <c r="G16" i="30" s="1"/>
  <c r="G17" i="30" s="1"/>
  <c r="G18" i="30" s="1"/>
  <c r="G19" i="30" s="1"/>
  <c r="G20" i="30" s="1"/>
  <c r="G21" i="30" s="1"/>
  <c r="G22" i="30" s="1"/>
  <c r="G23" i="30" s="1"/>
  <c r="G24" i="30" s="1"/>
  <c r="G25" i="30" s="1"/>
  <c r="G26" i="30" s="1"/>
  <c r="H25" i="1"/>
  <c r="H24" i="1"/>
  <c r="H23" i="1"/>
  <c r="H22" i="1"/>
  <c r="H21" i="1"/>
  <c r="H2" i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L112" i="1"/>
  <c r="L116" i="1"/>
  <c r="L91" i="1"/>
  <c r="L73" i="1"/>
  <c r="L131" i="1"/>
  <c r="L75" i="1"/>
  <c r="L61" i="1"/>
  <c r="L115" i="1"/>
  <c r="L138" i="1"/>
  <c r="L99" i="1"/>
  <c r="L141" i="1"/>
  <c r="L96" i="1"/>
  <c r="L117" i="1"/>
  <c r="L108" i="1"/>
  <c r="L139" i="1"/>
  <c r="L106" i="1"/>
  <c r="L95" i="1"/>
  <c r="L148" i="1"/>
  <c r="L57" i="1"/>
  <c r="L62" i="1"/>
  <c r="L66" i="1"/>
  <c r="L137" i="1"/>
  <c r="L135" i="1"/>
  <c r="L101" i="1"/>
  <c r="L114" i="1"/>
  <c r="L97" i="1"/>
  <c r="L64" i="1"/>
  <c r="L142" i="1"/>
  <c r="L109" i="1"/>
  <c r="L92" i="1"/>
  <c r="L59" i="1"/>
  <c r="L89" i="1"/>
  <c r="L111" i="1"/>
  <c r="L58" i="1"/>
  <c r="L90" i="1"/>
  <c r="L88" i="1"/>
  <c r="L79" i="1"/>
  <c r="L63" i="1"/>
  <c r="L150" i="1"/>
  <c r="L134" i="1"/>
  <c r="L80" i="1"/>
  <c r="L84" i="1"/>
  <c r="L87" i="1"/>
  <c r="L144" i="1"/>
  <c r="L98" i="1"/>
  <c r="L104" i="1"/>
  <c r="L78" i="1"/>
  <c r="L128" i="1"/>
  <c r="L107" i="1"/>
  <c r="L149" i="1"/>
  <c r="L132" i="1"/>
  <c r="L124" i="1"/>
  <c r="L133" i="1"/>
  <c r="L151" i="1"/>
  <c r="L113" i="1"/>
  <c r="L56" i="1"/>
  <c r="L74" i="1"/>
  <c r="L118" i="1"/>
  <c r="L152" i="1"/>
  <c r="L121" i="1"/>
  <c r="L119" i="1"/>
  <c r="L102" i="1"/>
  <c r="L85" i="1"/>
  <c r="L68" i="1"/>
  <c r="L146" i="1"/>
  <c r="L81" i="1"/>
  <c r="L143" i="1"/>
  <c r="L126" i="1"/>
  <c r="L93" i="1"/>
  <c r="L76" i="1"/>
  <c r="L122" i="1"/>
  <c r="L120" i="1"/>
  <c r="L94" i="1"/>
  <c r="L70" i="1"/>
  <c r="L71" i="1"/>
  <c r="L123" i="1"/>
  <c r="L82" i="1"/>
  <c r="L140" i="1"/>
  <c r="L145" i="1"/>
  <c r="L83" i="1"/>
  <c r="L72" i="1"/>
  <c r="L129" i="1"/>
  <c r="L67" i="1"/>
  <c r="L100" i="1"/>
  <c r="L125" i="1"/>
  <c r="L136" i="1"/>
  <c r="L105" i="1"/>
  <c r="L103" i="1"/>
  <c r="L86" i="1"/>
  <c r="L69" i="1"/>
  <c r="L147" i="1"/>
  <c r="L130" i="1"/>
  <c r="L65" i="1"/>
  <c r="L127" i="1"/>
  <c r="L110" i="1"/>
  <c r="L77" i="1"/>
  <c r="L60" i="1"/>
</calcChain>
</file>

<file path=xl/sharedStrings.xml><?xml version="1.0" encoding="utf-8"?>
<sst xmlns="http://schemas.openxmlformats.org/spreadsheetml/2006/main" count="45172" uniqueCount="8132">
  <si>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</si>
  <si>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</si>
  <si>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</si>
  <si>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</si>
  <si>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</si>
  <si>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</si>
  <si>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</si>
  <si>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</si>
  <si>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</si>
  <si>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</si>
  <si>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</si>
  <si>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</si>
  <si>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</si>
  <si>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</si>
  <si>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</si>
  <si>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</si>
  <si>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</si>
  <si>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</si>
  <si>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</si>
  <si>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</si>
  <si>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</si>
  <si>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</si>
  <si>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</si>
  <si>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</si>
  <si>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</si>
  <si>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</si>
  <si>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</si>
  <si>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</si>
  <si>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</si>
  <si>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</si>
  <si>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</si>
  <si>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</si>
  <si>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</si>
  <si>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</si>
  <si>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</si>
  <si>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</si>
  <si>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</si>
  <si>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</si>
  <si>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</si>
  <si>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</si>
  <si>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</si>
  <si>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</si>
  <si>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</si>
  <si>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</si>
  <si>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</si>
  <si>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</si>
  <si>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</si>
  <si>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</si>
  <si>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</si>
  <si>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</si>
  <si>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</si>
  <si>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</si>
  <si>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</si>
  <si>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</si>
  <si>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</si>
  <si>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</si>
  <si>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</si>
  <si>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</si>
  <si>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</si>
  <si>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</si>
  <si>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</si>
  <si>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</si>
  <si>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</si>
  <si>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</si>
  <si>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</si>
  <si>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</si>
  <si>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</si>
  <si>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</si>
  <si>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</si>
  <si>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</si>
  <si>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</si>
  <si>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</si>
  <si>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</si>
  <si>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</si>
  <si>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</si>
  <si>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</si>
  <si>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</si>
  <si>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</si>
  <si>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</si>
  <si>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</si>
  <si>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</si>
  <si>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</si>
  <si>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</si>
  <si>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</si>
  <si>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</si>
  <si>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</si>
  <si>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</si>
  <si>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</si>
  <si>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</si>
  <si>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</si>
  <si>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</si>
  <si>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</si>
  <si>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</si>
  <si>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</si>
  <si>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</si>
  <si>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</si>
  <si>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</si>
  <si>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</si>
  <si>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</si>
  <si>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</si>
  <si>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</si>
  <si>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</si>
  <si>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</si>
  <si>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</si>
  <si>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</si>
  <si>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</si>
  <si>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</si>
  <si>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</si>
  <si>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</si>
  <si>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</si>
  <si>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</si>
  <si>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</si>
  <si>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</si>
  <si>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</si>
  <si>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</si>
  <si>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</si>
  <si>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</si>
  <si>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</si>
  <si>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</si>
  <si>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</si>
  <si>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</si>
  <si>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</si>
  <si>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</si>
  <si>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</si>
  <si>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</si>
  <si>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</si>
  <si>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</si>
  <si>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</si>
  <si>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</si>
  <si>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</si>
  <si>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</si>
  <si>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</si>
  <si>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</si>
  <si>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</si>
  <si>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</si>
  <si>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</si>
  <si>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</si>
  <si>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</si>
  <si>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</si>
  <si>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</si>
  <si>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</si>
  <si>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</si>
  <si>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</si>
  <si>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</si>
  <si>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</si>
  <si>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</si>
  <si>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</si>
  <si>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</si>
  <si>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</si>
  <si>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</si>
  <si>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</si>
  <si>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</si>
  <si>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</si>
  <si>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</si>
  <si>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</si>
  <si>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</si>
  <si>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</si>
  <si>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</si>
  <si>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</si>
  <si>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</si>
  <si>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</si>
  <si>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</si>
  <si>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</si>
  <si>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</si>
  <si>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</si>
  <si>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</si>
  <si>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</si>
  <si>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</si>
  <si>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</si>
  <si>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</si>
  <si>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</si>
  <si>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</si>
  <si>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</si>
  <si>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</si>
  <si>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</si>
  <si>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</si>
  <si>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</si>
  <si>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</si>
  <si>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</si>
  <si>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</si>
  <si>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</si>
  <si>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</si>
  <si>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</si>
  <si>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</si>
  <si>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</si>
  <si>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</si>
  <si>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</si>
  <si>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</si>
  <si>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</si>
  <si>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</si>
  <si>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</si>
  <si>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</si>
  <si>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</si>
  <si>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</si>
  <si>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</si>
  <si>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</si>
  <si>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</si>
  <si>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</si>
  <si>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</si>
  <si>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</si>
  <si>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</si>
  <si>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</si>
  <si>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</si>
  <si>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</si>
  <si>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</si>
  <si>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</si>
  <si>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</si>
  <si>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</si>
  <si>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</si>
  <si>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</si>
  <si>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</si>
  <si>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</si>
  <si>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</si>
  <si>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</si>
  <si>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</si>
  <si>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</si>
  <si>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</si>
  <si>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</si>
  <si>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</si>
  <si>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</si>
  <si>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</si>
  <si>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</si>
  <si>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</si>
  <si>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</si>
  <si>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</si>
  <si>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</si>
  <si>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</si>
  <si>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</si>
  <si>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</si>
  <si>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</si>
  <si>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</si>
  <si>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</si>
  <si>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</si>
  <si>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</si>
  <si>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</si>
  <si>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</si>
  <si>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</si>
  <si>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</si>
  <si>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</si>
  <si>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</si>
  <si>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</si>
  <si>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</si>
  <si>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</si>
  <si>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</si>
  <si>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</si>
  <si>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</si>
  <si>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</si>
  <si>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</si>
  <si>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</si>
  <si>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</si>
  <si>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</si>
  <si>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</si>
  <si>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</si>
  <si>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</si>
  <si>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</si>
  <si>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</si>
  <si>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</si>
  <si>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</si>
  <si>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</si>
  <si>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</si>
  <si>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</si>
  <si>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</si>
  <si>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</si>
  <si>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</si>
  <si>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</si>
  <si>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</si>
  <si>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</si>
  <si>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</si>
  <si>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</si>
  <si>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</si>
  <si>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</si>
  <si>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</si>
  <si>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</si>
  <si>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</si>
  <si>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</si>
  <si>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</si>
  <si>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</si>
  <si>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</si>
  <si>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</si>
  <si>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</si>
  <si>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</si>
  <si>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</si>
  <si>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</si>
  <si>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</si>
  <si>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</si>
  <si>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</si>
  <si>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</si>
  <si>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</si>
  <si>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</si>
  <si>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</si>
  <si>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</si>
  <si>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</si>
  <si>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</si>
  <si>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</si>
  <si>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</si>
  <si>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</si>
  <si>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</si>
  <si>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</si>
  <si>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</si>
  <si>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</si>
  <si>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</si>
  <si>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</si>
  <si>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</si>
  <si>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</si>
  <si>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</si>
  <si>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</si>
  <si>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</si>
  <si>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</si>
  <si>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</si>
  <si>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</si>
  <si>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</si>
  <si>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</si>
  <si>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</si>
  <si>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</si>
  <si>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</si>
  <si>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</si>
  <si>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</si>
  <si>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</si>
  <si>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</si>
  <si>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</si>
  <si>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</si>
  <si>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</si>
  <si>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</si>
  <si>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</si>
  <si>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</si>
  <si>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</si>
  <si>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</si>
  <si>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</si>
  <si>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</si>
  <si>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</si>
  <si>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</si>
  <si>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</si>
  <si>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</si>
  <si>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</si>
  <si>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</si>
  <si>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</si>
  <si>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</si>
  <si>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</si>
  <si>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</si>
  <si>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</si>
  <si>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</si>
  <si>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</si>
  <si>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</si>
  <si>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</si>
  <si>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</si>
  <si>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</si>
  <si>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</si>
  <si>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</si>
  <si>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</si>
  <si>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</si>
  <si>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</si>
  <si>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</si>
  <si>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</si>
  <si>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</si>
  <si>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</si>
  <si>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</si>
  <si>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</si>
  <si>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</si>
  <si>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</si>
  <si>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</si>
  <si>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</si>
  <si>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</si>
  <si>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</si>
  <si>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</si>
  <si>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</si>
  <si>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</si>
  <si>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</si>
  <si>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</si>
  <si>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</si>
  <si>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</si>
  <si>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</si>
  <si>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</si>
  <si>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</si>
  <si>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</si>
  <si>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</si>
  <si>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</si>
  <si>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</si>
  <si>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</si>
  <si>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</si>
  <si>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</si>
  <si>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</si>
  <si>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</si>
  <si>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</si>
  <si>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</si>
  <si>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</si>
  <si>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</si>
  <si>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</si>
  <si>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</si>
  <si>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</si>
  <si>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</si>
  <si>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</si>
  <si>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</si>
  <si>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</si>
  <si>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</si>
  <si>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</si>
  <si>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</si>
  <si>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</si>
  <si>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</si>
  <si>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</si>
  <si>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</si>
  <si>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</si>
  <si>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</si>
  <si>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</si>
  <si>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</si>
  <si>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</si>
  <si>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</si>
  <si>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</si>
  <si>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</si>
  <si>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</si>
  <si>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</si>
  <si>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</si>
  <si>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</si>
  <si>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</si>
  <si>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</si>
  <si>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</si>
  <si>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</si>
  <si>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</si>
  <si>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</si>
  <si>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</si>
  <si>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</si>
  <si>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</si>
  <si>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</si>
  <si>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</si>
  <si>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</si>
  <si>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</si>
  <si>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</si>
  <si>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</si>
  <si>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</si>
  <si>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</si>
  <si>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</si>
  <si>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</si>
  <si>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</si>
  <si>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</si>
  <si>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</si>
  <si>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</si>
  <si>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</si>
  <si>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</si>
  <si>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</si>
  <si>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</si>
  <si>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</si>
  <si>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</si>
  <si>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</si>
  <si>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</si>
  <si>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</si>
  <si>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</si>
  <si>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</si>
  <si>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</si>
  <si>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</si>
  <si>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</si>
  <si>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</si>
  <si>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</si>
  <si>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</si>
  <si>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</si>
  <si>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</si>
  <si>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</si>
  <si>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</si>
  <si>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</si>
  <si>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</si>
  <si>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</si>
  <si>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</si>
  <si>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</si>
  <si>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</si>
  <si>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</si>
  <si>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</si>
  <si>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</si>
  <si>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</si>
  <si>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</si>
  <si>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</si>
  <si>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</si>
  <si>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</si>
  <si>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</si>
  <si>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</si>
  <si>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</si>
  <si>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</si>
  <si>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</si>
  <si>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</si>
  <si>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</si>
  <si>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</si>
  <si>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</si>
  <si>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</si>
  <si>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</si>
  <si>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</si>
  <si>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</si>
  <si>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</si>
  <si>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</si>
  <si>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</si>
  <si>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</si>
  <si>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</si>
  <si>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</si>
  <si>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</si>
  <si>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</si>
  <si>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</si>
  <si>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</si>
  <si>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</si>
  <si>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</si>
  <si>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</si>
  <si>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</si>
  <si>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</si>
  <si>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</si>
  <si>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</si>
  <si>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</si>
  <si>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</si>
  <si>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</si>
  <si>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</si>
  <si>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</si>
  <si>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</si>
  <si>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</si>
  <si>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</si>
  <si>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</si>
  <si>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</si>
  <si>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</si>
  <si>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</si>
  <si>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</si>
  <si>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</si>
  <si>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</si>
  <si>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</si>
  <si>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</si>
  <si>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</si>
  <si>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</si>
  <si>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</si>
  <si>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</si>
  <si>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</si>
  <si>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</si>
  <si>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</si>
  <si>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</si>
  <si>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</si>
  <si>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</si>
  <si>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</si>
  <si>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</si>
  <si>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</si>
  <si>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</si>
  <si>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</si>
  <si>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</si>
  <si>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</si>
  <si>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</si>
  <si>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</si>
  <si>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</si>
  <si>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</si>
  <si>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</si>
  <si>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</si>
  <si>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</si>
  <si>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</si>
  <si>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</si>
  <si>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</si>
  <si>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</si>
  <si>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</si>
  <si>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</si>
  <si>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</si>
  <si>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</si>
  <si>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</si>
  <si>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</si>
  <si>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</si>
  <si>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</si>
  <si>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</si>
  <si>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</si>
  <si>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</si>
  <si>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</si>
  <si>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</si>
  <si>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</si>
  <si>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</si>
  <si>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</si>
  <si>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</si>
  <si>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</si>
  <si>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</si>
  <si>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</si>
  <si>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</si>
  <si>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</si>
  <si>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</si>
  <si>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</si>
  <si>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</si>
  <si>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</si>
  <si>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</si>
  <si>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</si>
  <si>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</si>
  <si>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</si>
  <si>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</si>
  <si>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</si>
  <si>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</si>
  <si>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</si>
  <si>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</si>
  <si>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</si>
  <si>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</si>
  <si>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</si>
  <si>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</si>
  <si>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</si>
  <si>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</si>
  <si>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</si>
  <si>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</si>
  <si>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</si>
  <si>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</si>
  <si>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</si>
  <si>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</si>
  <si>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</si>
  <si>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</si>
  <si>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</si>
  <si>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</si>
  <si>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</si>
  <si>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</si>
  <si>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</si>
  <si>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</si>
  <si>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</si>
  <si>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</si>
  <si>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</si>
  <si>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</si>
  <si>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</si>
  <si>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</si>
  <si>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</si>
  <si>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</si>
  <si>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</si>
  <si>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</si>
  <si>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</si>
  <si>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</si>
  <si>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</si>
  <si>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</si>
  <si>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</si>
  <si>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</si>
  <si>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</si>
  <si>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</si>
  <si>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</si>
  <si>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</si>
  <si>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</si>
  <si>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</si>
  <si>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</si>
  <si>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</si>
  <si>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</si>
  <si>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</si>
  <si>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</si>
  <si>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</si>
  <si>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</si>
  <si>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</si>
  <si>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</si>
  <si>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</si>
  <si>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</si>
  <si>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</si>
  <si>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</si>
  <si>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</si>
  <si>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</si>
  <si>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</si>
  <si>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</si>
  <si>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</si>
  <si>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</si>
  <si>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</si>
  <si>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</si>
  <si>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</si>
  <si>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</si>
  <si>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</si>
  <si>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</si>
  <si>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</si>
  <si>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</si>
  <si>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</si>
  <si>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</si>
  <si>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</si>
  <si>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</si>
  <si>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</si>
  <si>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</si>
  <si>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</si>
  <si>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</si>
  <si>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</si>
  <si>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</si>
  <si>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</si>
  <si>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</si>
  <si>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</si>
  <si>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</si>
  <si>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</si>
  <si>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</si>
  <si>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</si>
  <si>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</si>
  <si>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</si>
  <si>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</si>
  <si>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</si>
  <si>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</si>
  <si>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</si>
  <si>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</si>
  <si>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</si>
  <si>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</si>
  <si>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</si>
  <si>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</si>
  <si>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</si>
  <si>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</si>
  <si>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</si>
  <si>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</si>
  <si>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</si>
  <si>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</si>
  <si>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</si>
  <si>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</si>
  <si>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</si>
  <si>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</si>
  <si>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</si>
  <si>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</si>
  <si>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</si>
  <si>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</si>
  <si>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</si>
  <si>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</si>
  <si>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</si>
  <si>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</si>
  <si>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</si>
  <si>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</si>
  <si>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</si>
  <si>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</si>
  <si>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</si>
  <si>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</si>
  <si>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</si>
  <si>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</si>
  <si>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</si>
  <si>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</si>
  <si>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</si>
  <si>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</si>
  <si>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</si>
  <si>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</si>
  <si>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</si>
  <si>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</si>
  <si>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</si>
  <si>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</si>
  <si>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</si>
  <si>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</si>
  <si>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</si>
  <si>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</si>
  <si>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</si>
  <si>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</si>
  <si>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</si>
  <si>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</si>
  <si>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</si>
  <si>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</si>
  <si>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</si>
  <si>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</si>
  <si>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</si>
  <si>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</si>
  <si>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</si>
  <si>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</si>
  <si>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</si>
  <si>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</si>
  <si>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</si>
  <si>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</si>
  <si>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</si>
  <si>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</si>
  <si>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</si>
  <si>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</si>
  <si>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</si>
  <si>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</si>
  <si>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</si>
  <si>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</si>
  <si>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</si>
  <si>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</si>
  <si>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</si>
  <si>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</si>
  <si>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</si>
  <si>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</si>
  <si>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</si>
  <si>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</si>
  <si>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</si>
  <si>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</si>
  <si>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</si>
  <si>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</si>
  <si>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</si>
  <si>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</si>
  <si>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</si>
  <si>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</si>
  <si>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</si>
  <si>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</si>
  <si>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</si>
  <si>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</si>
  <si>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</si>
  <si>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</si>
  <si>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</si>
  <si>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</si>
  <si>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</si>
  <si>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</si>
  <si>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</si>
  <si>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</si>
  <si>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</si>
  <si>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</si>
  <si>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</si>
  <si>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</si>
  <si>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</si>
  <si>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</si>
  <si>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</si>
  <si>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</si>
  <si>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</si>
  <si>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</si>
  <si>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</si>
  <si>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</si>
  <si>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</si>
  <si>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</si>
  <si>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</si>
  <si>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</si>
  <si>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</si>
  <si>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</si>
  <si>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</si>
  <si>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</si>
  <si>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</si>
  <si>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</si>
  <si>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</si>
  <si>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</si>
  <si>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</si>
  <si>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</si>
  <si>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</si>
  <si>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</si>
  <si>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</si>
  <si>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</si>
  <si>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</si>
  <si>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</si>
  <si>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</si>
  <si>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</si>
  <si>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</si>
  <si>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</si>
  <si>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</si>
  <si>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</si>
  <si>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</si>
  <si>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</si>
  <si>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</si>
  <si>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</si>
  <si>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</si>
  <si>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</si>
  <si>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</si>
  <si>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</si>
  <si>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</si>
  <si>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</si>
  <si>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</si>
  <si>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</si>
  <si>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</si>
  <si>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</si>
  <si>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</si>
  <si>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</si>
  <si>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</si>
  <si>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</si>
  <si>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</si>
  <si>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</si>
  <si>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</si>
  <si>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</si>
  <si>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</si>
  <si>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</si>
  <si>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</si>
  <si>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</si>
  <si>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</si>
  <si>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</si>
  <si>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</si>
  <si>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</si>
  <si>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</si>
  <si>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</si>
  <si>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</si>
  <si>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</si>
  <si>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</si>
  <si>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</si>
  <si>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</si>
  <si>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</si>
  <si>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</si>
  <si>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</si>
  <si>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</si>
  <si>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</si>
  <si>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</si>
  <si>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</si>
  <si>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</si>
  <si>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</si>
  <si>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</si>
  <si>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</si>
  <si>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</si>
  <si>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</si>
  <si>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</si>
  <si>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</si>
  <si>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</si>
  <si>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</si>
  <si>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</si>
  <si>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</si>
  <si>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</si>
  <si>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</si>
  <si>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</si>
  <si>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</si>
  <si>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</si>
  <si>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</si>
  <si>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</si>
  <si>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</si>
  <si>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</si>
  <si>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</si>
  <si>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</si>
  <si>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</si>
  <si>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</si>
  <si>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</si>
  <si>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</si>
  <si>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</si>
  <si>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</si>
  <si>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</si>
  <si>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</si>
  <si>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</si>
  <si>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</si>
  <si>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</si>
  <si>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</si>
  <si>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</si>
  <si>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</si>
  <si>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</si>
  <si>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</si>
  <si>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</si>
  <si>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</si>
  <si>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</si>
  <si>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</si>
  <si>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</si>
  <si>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</si>
  <si>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</si>
  <si>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</si>
  <si>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</si>
  <si>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</si>
  <si>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</si>
  <si>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</si>
  <si>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</si>
  <si>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</si>
  <si>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</si>
  <si>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</si>
  <si>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</si>
  <si>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</si>
  <si>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</si>
  <si>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</si>
  <si>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</si>
  <si>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</si>
  <si>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</si>
  <si>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</si>
  <si>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</si>
  <si>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</si>
  <si>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</si>
  <si>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</si>
  <si>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</si>
  <si>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</si>
  <si>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</si>
  <si>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</si>
  <si>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</si>
  <si>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</si>
  <si>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</si>
  <si>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</si>
  <si>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</si>
  <si>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</si>
  <si>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</si>
  <si>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</si>
  <si>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</si>
  <si>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</si>
  <si>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</si>
  <si>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</si>
  <si>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</si>
  <si>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</si>
  <si>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</si>
  <si>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</si>
  <si>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</si>
  <si>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</si>
  <si>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</si>
  <si>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</si>
  <si>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</si>
  <si>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</si>
  <si>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</si>
  <si>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</si>
  <si>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</si>
  <si>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</si>
  <si>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</si>
  <si>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</si>
  <si>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</si>
  <si>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</si>
  <si>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</si>
  <si>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</si>
  <si>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</si>
  <si>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</si>
  <si>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</si>
  <si>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</si>
  <si>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</si>
  <si>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</si>
  <si>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</si>
  <si>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</si>
  <si>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</si>
  <si>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</si>
  <si>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</si>
  <si>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</si>
  <si>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</si>
  <si>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</si>
  <si>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</si>
  <si>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</si>
  <si>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</si>
  <si>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</si>
  <si>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</si>
  <si>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</si>
  <si>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</si>
  <si>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</si>
  <si>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</si>
  <si>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</si>
  <si>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</si>
  <si>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</si>
  <si>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</si>
  <si>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</si>
  <si>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</si>
  <si>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</si>
  <si>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</si>
  <si>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</si>
  <si>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</si>
  <si>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</si>
  <si>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</si>
  <si>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</si>
  <si>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</si>
  <si>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</si>
  <si>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</si>
  <si>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</si>
  <si>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</si>
  <si>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</si>
  <si>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</si>
  <si>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</si>
  <si>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</si>
  <si>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</si>
  <si>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</si>
  <si>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</si>
  <si>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</si>
  <si>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</si>
  <si>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</si>
  <si>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</si>
  <si>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</si>
  <si>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</si>
  <si>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</si>
  <si>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</si>
  <si>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</si>
  <si>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</si>
  <si>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</si>
  <si>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</si>
  <si>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</si>
  <si>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</si>
  <si>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</si>
  <si>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</si>
  <si>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</si>
  <si>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</si>
  <si>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</si>
  <si>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</si>
  <si>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</si>
  <si>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</si>
  <si>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</si>
  <si>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</si>
  <si>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</si>
  <si>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</si>
  <si>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</si>
  <si>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</si>
  <si>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</si>
  <si>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</si>
  <si>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</si>
  <si>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</si>
  <si>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</si>
  <si>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</si>
  <si>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</si>
  <si>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</si>
  <si>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</si>
  <si>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</si>
  <si>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</si>
  <si>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</si>
  <si>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</si>
  <si>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</si>
  <si>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</si>
  <si>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</si>
  <si>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</si>
  <si>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</si>
  <si>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</si>
  <si>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</si>
  <si>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</si>
  <si>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</si>
  <si>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</si>
  <si>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</si>
  <si>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</si>
  <si>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</si>
  <si>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</si>
  <si>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</si>
  <si>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</si>
  <si>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</si>
  <si>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</si>
  <si>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</si>
  <si>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</si>
  <si>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</si>
  <si>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</si>
  <si>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</si>
  <si>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</si>
  <si>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</si>
  <si>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</si>
  <si>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</si>
  <si>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</si>
  <si>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</si>
  <si>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</si>
  <si>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</si>
  <si>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</si>
  <si>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</si>
  <si>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</si>
  <si>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</si>
  <si>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</si>
  <si>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</si>
  <si>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</si>
  <si>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</si>
  <si>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</si>
  <si>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</si>
  <si>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</si>
  <si>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</si>
  <si>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</si>
  <si>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</si>
  <si>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</si>
  <si>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</si>
  <si>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</si>
  <si>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</si>
  <si>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</si>
  <si>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</si>
  <si>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</si>
  <si>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</si>
  <si>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</si>
  <si>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</si>
  <si>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</si>
  <si>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</si>
  <si>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</si>
  <si>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</si>
  <si>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</si>
  <si>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</si>
  <si>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</si>
  <si>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</si>
  <si>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</si>
  <si>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</si>
  <si>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</si>
  <si>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</si>
  <si>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</si>
  <si>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</si>
  <si>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</si>
  <si>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</si>
  <si>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</si>
  <si>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</si>
  <si>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</si>
  <si>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</si>
  <si>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</si>
  <si>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</si>
  <si>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</si>
  <si>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</si>
  <si>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</si>
  <si>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</si>
  <si>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</si>
  <si>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</si>
  <si>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</si>
  <si>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</si>
  <si>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</si>
  <si>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</si>
  <si>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</si>
  <si>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</si>
  <si>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</si>
  <si>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</si>
  <si>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</si>
  <si>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</si>
  <si>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</si>
  <si>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</si>
  <si>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</si>
  <si>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</si>
  <si>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</si>
  <si>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</si>
  <si>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</si>
  <si>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</si>
  <si>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</si>
  <si>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</si>
  <si>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</si>
  <si>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</si>
  <si>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</si>
  <si>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</si>
  <si>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</si>
  <si>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</si>
  <si>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</si>
  <si>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</si>
  <si>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</si>
  <si>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</si>
  <si>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</si>
  <si>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</si>
  <si>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</si>
  <si>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</si>
  <si>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</si>
  <si>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</si>
  <si>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</si>
  <si>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</si>
  <si>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</si>
  <si>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</si>
  <si>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</si>
  <si>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</si>
  <si>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</si>
  <si>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</si>
  <si>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</si>
  <si>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</si>
  <si>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</si>
  <si>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</si>
  <si>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</si>
  <si>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</si>
  <si>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</si>
  <si>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</si>
  <si>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</si>
  <si>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</si>
  <si>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</si>
  <si>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</si>
  <si>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</si>
  <si>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</si>
  <si>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</si>
  <si>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</si>
  <si>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</si>
  <si>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</si>
  <si>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</si>
  <si>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</si>
  <si>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</si>
  <si>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</si>
  <si>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</si>
  <si>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</si>
  <si>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</si>
  <si>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</si>
  <si>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</si>
  <si>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</si>
  <si>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</si>
  <si>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</si>
  <si>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</si>
  <si>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</si>
  <si>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</si>
  <si>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</si>
  <si>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</si>
  <si>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</si>
  <si>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</si>
  <si>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</si>
  <si>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</si>
  <si>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</si>
  <si>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</si>
  <si>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</si>
  <si>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</si>
  <si>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</si>
  <si>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</si>
  <si>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</si>
  <si>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</si>
  <si>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</si>
  <si>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</si>
  <si>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</si>
  <si>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</si>
  <si>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</si>
  <si>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</si>
  <si>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</si>
  <si>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</si>
  <si>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</si>
  <si>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</si>
  <si>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</si>
  <si>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</si>
  <si>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</si>
  <si>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</si>
  <si>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</si>
  <si>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</si>
  <si>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</si>
  <si>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</si>
  <si>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</si>
  <si>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</si>
  <si>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</si>
  <si>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</si>
  <si>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</si>
  <si>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</si>
  <si>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</si>
  <si>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</si>
  <si>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</si>
  <si>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</si>
  <si>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</si>
  <si>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</si>
  <si>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</si>
  <si>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</si>
  <si>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</si>
  <si>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</si>
  <si>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</si>
  <si>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</si>
  <si>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</si>
  <si>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</si>
  <si>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</si>
  <si>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</si>
  <si>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</si>
  <si>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</si>
  <si>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</si>
  <si>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</si>
  <si>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</si>
  <si>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</si>
  <si>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</si>
  <si>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</si>
  <si>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</si>
  <si>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</si>
  <si>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</si>
  <si>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</si>
  <si>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</si>
  <si>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</si>
  <si>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</si>
  <si>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</si>
  <si>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</si>
  <si>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</si>
  <si>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</si>
  <si>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</si>
  <si>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</si>
  <si>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</si>
  <si>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</si>
  <si>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</si>
  <si>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</si>
  <si>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</si>
  <si>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</si>
  <si>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</si>
  <si>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</si>
  <si>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</si>
  <si>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</si>
  <si>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</si>
  <si>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</si>
  <si>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</si>
  <si>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</si>
  <si>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</si>
  <si>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</si>
  <si>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</si>
  <si>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</si>
  <si>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</si>
  <si>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</si>
  <si>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</si>
  <si>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</si>
  <si>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</si>
  <si>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</si>
  <si>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</si>
  <si>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</si>
  <si>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</si>
  <si>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</si>
  <si>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</si>
  <si>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</si>
  <si>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</si>
  <si>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</si>
  <si>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</si>
  <si>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</si>
  <si>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</si>
  <si>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</si>
  <si>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</si>
  <si>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</si>
  <si>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</si>
  <si>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</si>
  <si>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</si>
  <si>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</si>
  <si>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</si>
  <si>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</si>
  <si>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</si>
  <si>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</si>
  <si>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</si>
  <si>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</si>
  <si>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</si>
  <si>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</si>
  <si>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</si>
  <si>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</si>
  <si>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</si>
  <si>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</si>
  <si>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</si>
  <si>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</si>
  <si>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</si>
  <si>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</si>
  <si>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</si>
  <si>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</si>
  <si>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</si>
  <si>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</si>
  <si>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</si>
  <si>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</si>
  <si>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</si>
  <si>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</si>
  <si>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</si>
  <si>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</si>
  <si>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</si>
  <si>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</si>
  <si>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</si>
  <si>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</si>
  <si>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</si>
  <si>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</si>
  <si>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</si>
  <si>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</si>
  <si>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</si>
  <si>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</si>
  <si>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</si>
  <si>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</si>
  <si>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</si>
  <si>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</si>
  <si>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</si>
  <si>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</si>
  <si>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</si>
  <si>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</si>
  <si>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</si>
  <si>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</si>
  <si>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</si>
  <si>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</si>
  <si>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</si>
  <si>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</si>
  <si>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</si>
  <si>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</si>
  <si>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</si>
  <si>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</si>
  <si>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</si>
  <si>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</si>
  <si>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</si>
  <si>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</si>
  <si>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</si>
  <si>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</si>
  <si>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</si>
  <si>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</si>
  <si>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</si>
  <si>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</si>
  <si>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</si>
  <si>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</si>
  <si>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</si>
  <si>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</si>
  <si>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</si>
  <si>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</si>
  <si>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</si>
  <si>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</si>
  <si>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</si>
  <si>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</si>
  <si>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</si>
  <si>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</si>
  <si>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</si>
  <si>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</si>
  <si>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</si>
  <si>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</si>
  <si>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</si>
  <si>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</si>
  <si>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</si>
  <si>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</si>
  <si>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</si>
  <si>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</si>
  <si>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</si>
  <si>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</si>
  <si>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</si>
  <si>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</si>
  <si>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</si>
  <si>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</si>
  <si>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</si>
  <si>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</si>
  <si>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</si>
  <si>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</si>
  <si>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</si>
  <si>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</si>
  <si>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</si>
  <si>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</si>
  <si>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</si>
  <si>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</si>
  <si>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</si>
  <si>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</si>
  <si>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</si>
  <si>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</si>
  <si>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</si>
  <si>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</si>
  <si>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</si>
  <si>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</si>
  <si>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</si>
  <si>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</si>
  <si>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</si>
  <si>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</si>
  <si>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</si>
  <si>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</si>
  <si>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</si>
  <si>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</si>
  <si>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</si>
  <si>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</si>
  <si>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</si>
  <si>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</si>
  <si>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</si>
  <si>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</si>
  <si>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</si>
  <si>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</si>
  <si>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</si>
  <si>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</si>
  <si>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</si>
  <si>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</si>
  <si>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</si>
  <si>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</si>
  <si>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</si>
  <si>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</si>
  <si>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</si>
  <si>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</si>
  <si>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</si>
  <si>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</si>
  <si>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</si>
  <si>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</si>
  <si>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</si>
  <si>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</si>
  <si>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</si>
  <si>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</si>
  <si>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</si>
  <si>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</si>
  <si>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</si>
  <si>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</si>
  <si>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</si>
  <si>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</si>
  <si>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</si>
  <si>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</si>
  <si>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</si>
  <si>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</si>
  <si>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</si>
  <si>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</si>
  <si>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</si>
  <si>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</si>
  <si>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</si>
  <si>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</si>
  <si>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</si>
  <si>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</si>
  <si>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</si>
  <si>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</si>
  <si>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</si>
  <si>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</si>
  <si>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</si>
  <si>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</si>
  <si>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</si>
  <si>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</si>
  <si>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</si>
  <si>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</si>
  <si>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</si>
  <si>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</si>
  <si>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</si>
  <si>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</si>
  <si>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</si>
  <si>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</si>
  <si>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</si>
  <si>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</si>
  <si>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</si>
  <si>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</si>
  <si>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</si>
  <si>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</si>
  <si>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</si>
  <si>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</si>
  <si>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</si>
  <si>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</si>
  <si>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</si>
  <si>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</si>
  <si>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</si>
  <si>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</si>
  <si>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</si>
  <si>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</si>
  <si>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</si>
  <si>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</si>
  <si>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</si>
  <si>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</si>
  <si>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</si>
  <si>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</si>
  <si>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</si>
  <si>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</si>
  <si>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</si>
  <si>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</si>
  <si>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</si>
  <si>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</si>
  <si>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</si>
  <si>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</si>
  <si>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</si>
  <si>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</si>
  <si>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</si>
  <si>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</si>
  <si>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</si>
  <si>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</si>
  <si>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</si>
  <si>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</si>
  <si>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</si>
  <si>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</si>
  <si>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</si>
  <si>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</si>
  <si>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</si>
  <si>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</si>
  <si>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</si>
  <si>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</si>
  <si>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</si>
  <si>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</si>
  <si>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</si>
  <si>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</si>
  <si>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</si>
  <si>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</si>
  <si>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</si>
  <si>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</si>
  <si>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</si>
  <si>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</si>
  <si>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</si>
  <si>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</si>
  <si>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</si>
  <si>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</si>
  <si>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</si>
  <si>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</si>
  <si>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</si>
  <si>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</si>
  <si>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</si>
  <si>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</si>
  <si>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</si>
  <si>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</si>
  <si>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</si>
  <si>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</si>
  <si>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</si>
  <si>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</si>
  <si>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</si>
  <si>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</si>
  <si>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</si>
  <si>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</si>
  <si>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</si>
  <si>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</si>
  <si>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</si>
  <si>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</si>
  <si>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</si>
  <si>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</si>
  <si>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</si>
  <si>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</si>
  <si>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</si>
  <si>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</si>
  <si>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</si>
  <si>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</si>
  <si>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</si>
  <si>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</si>
  <si>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</si>
  <si>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</si>
  <si>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</si>
  <si>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</si>
  <si>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</si>
  <si>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</si>
  <si>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</si>
  <si>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</si>
  <si>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</si>
  <si>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</si>
  <si>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</si>
  <si>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</si>
  <si>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</si>
  <si>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</si>
  <si>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</si>
  <si>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</si>
  <si>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</si>
  <si>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</si>
  <si>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</si>
  <si>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</si>
  <si>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</si>
  <si>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</si>
  <si>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</si>
  <si>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</si>
  <si>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</si>
  <si>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</si>
  <si>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</si>
  <si>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</si>
  <si>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</si>
  <si>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</si>
  <si>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</si>
  <si>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</si>
  <si>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</si>
  <si>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</si>
  <si>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</si>
  <si>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</si>
  <si>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</si>
  <si>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</si>
  <si>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</si>
  <si>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</si>
  <si>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</si>
  <si>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</si>
  <si>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</si>
  <si>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</si>
  <si>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</si>
  <si>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</si>
  <si>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</si>
  <si>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</si>
  <si>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</si>
  <si>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</si>
  <si>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</si>
  <si>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</si>
  <si>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</si>
  <si>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</si>
  <si>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</si>
  <si>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</si>
  <si>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</si>
  <si>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</si>
  <si>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</si>
  <si>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</si>
  <si>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</si>
  <si>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</si>
  <si>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</si>
  <si>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</si>
  <si>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</si>
  <si>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</si>
  <si>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</si>
  <si>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</si>
  <si>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</si>
  <si>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</si>
  <si>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</si>
  <si>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</si>
  <si>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</si>
  <si>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</si>
  <si>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</si>
  <si>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</si>
  <si>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</si>
  <si>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</si>
  <si>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</si>
  <si>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</si>
  <si>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</si>
  <si>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</si>
  <si>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</si>
  <si>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</si>
  <si>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</si>
  <si>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</si>
  <si>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</si>
  <si>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</si>
  <si>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</si>
  <si>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</si>
  <si>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</si>
  <si>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</si>
  <si>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</si>
  <si>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</si>
  <si>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</si>
  <si>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</si>
  <si>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</si>
  <si>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</si>
  <si>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</si>
  <si>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</si>
  <si>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</si>
  <si>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</si>
  <si>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</si>
  <si>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</si>
  <si>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</si>
  <si>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</si>
  <si>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</si>
  <si>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</si>
  <si>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</si>
  <si>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</si>
  <si>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</si>
  <si>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</si>
  <si>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</si>
  <si>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</si>
  <si>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</si>
  <si>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</si>
  <si>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</si>
  <si>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</si>
  <si>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</si>
  <si>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</si>
  <si>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</si>
  <si>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</si>
  <si>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</si>
  <si>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</si>
  <si>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</si>
  <si>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</si>
  <si>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</si>
  <si>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</si>
  <si>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</si>
  <si>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</si>
  <si>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</si>
  <si>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</si>
  <si>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</si>
  <si>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</si>
  <si>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</si>
  <si>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</si>
  <si>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</si>
  <si>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</si>
  <si>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</si>
  <si>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</si>
  <si>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</si>
  <si>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</si>
  <si>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</si>
  <si>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</si>
  <si>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</si>
  <si>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</si>
  <si>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</si>
  <si>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</si>
  <si>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</si>
  <si>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</si>
  <si>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</si>
  <si>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</si>
  <si>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</si>
  <si>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</si>
  <si>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</si>
  <si>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</si>
  <si>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</si>
  <si>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</si>
  <si>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</si>
  <si>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</si>
  <si>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</si>
  <si>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</si>
  <si>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</si>
  <si>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</si>
  <si>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</si>
  <si>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</si>
  <si>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</si>
  <si>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</si>
  <si>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</si>
  <si>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</si>
  <si>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</si>
  <si>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</si>
  <si>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</si>
  <si>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</si>
  <si>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</si>
  <si>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</si>
  <si>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</si>
  <si>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</si>
  <si>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</si>
  <si>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</si>
  <si>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</si>
  <si>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</si>
  <si>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</si>
  <si>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</si>
  <si>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</si>
  <si>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</si>
  <si>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</si>
  <si>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</si>
  <si>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</si>
  <si>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</si>
  <si>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</si>
  <si>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</si>
  <si>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</si>
  <si>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</si>
  <si>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</si>
  <si>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</si>
  <si>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</si>
  <si>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</si>
  <si>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</si>
  <si>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</si>
  <si>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</si>
  <si>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</si>
  <si>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</si>
  <si>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</si>
  <si>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</si>
  <si>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</si>
  <si>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</si>
  <si>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</si>
  <si>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</si>
  <si>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</si>
  <si>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</si>
  <si>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</si>
  <si>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</si>
  <si>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</si>
  <si>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</si>
  <si>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</si>
  <si>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</si>
  <si>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</si>
  <si>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</si>
  <si>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</si>
  <si>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</si>
  <si>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</si>
  <si>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</si>
  <si>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</si>
  <si>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</si>
  <si>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</si>
  <si>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</si>
  <si>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</si>
  <si>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</si>
  <si>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</si>
  <si>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</si>
  <si>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</si>
  <si>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</si>
  <si>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</si>
  <si>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</si>
  <si>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</si>
  <si>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</si>
  <si>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</si>
  <si>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</si>
  <si>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</si>
  <si>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</si>
  <si>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</si>
  <si>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</si>
  <si>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</si>
  <si>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</si>
  <si>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</si>
  <si>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</si>
  <si>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</si>
  <si>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</si>
  <si>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</si>
  <si>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</si>
  <si>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</si>
  <si>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</si>
  <si>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</si>
  <si>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</si>
  <si>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</si>
  <si>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</si>
  <si>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</si>
  <si>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</si>
  <si>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</si>
  <si>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</si>
  <si>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</si>
  <si>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</si>
  <si>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</si>
  <si>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</si>
  <si>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</si>
  <si>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</si>
  <si>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</si>
  <si>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</si>
  <si>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</si>
  <si>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</si>
  <si>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</si>
  <si>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</si>
  <si>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</si>
  <si>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</si>
  <si>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</si>
  <si>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</si>
  <si>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</si>
  <si>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</si>
  <si>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</si>
  <si>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</si>
  <si>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</si>
  <si>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</si>
  <si>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</si>
  <si>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</si>
  <si>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</si>
  <si>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</si>
  <si>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</si>
  <si>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</si>
  <si>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</si>
  <si>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</si>
  <si>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</si>
  <si>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</si>
  <si>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</si>
  <si>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</si>
  <si>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</si>
  <si>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</si>
  <si>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</si>
  <si>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</si>
  <si>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</si>
  <si>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</si>
  <si>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</si>
  <si>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</si>
  <si>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</si>
  <si>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</si>
  <si>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</si>
  <si>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</si>
  <si>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</si>
  <si>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</si>
  <si>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</si>
  <si>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</si>
  <si>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</si>
  <si>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</si>
  <si>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</si>
  <si>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</si>
  <si>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</si>
  <si>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</si>
  <si>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</si>
  <si>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</si>
  <si>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</si>
  <si>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</si>
  <si>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</si>
  <si>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</si>
  <si>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</si>
  <si>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</si>
  <si>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</si>
  <si>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</si>
  <si>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</si>
  <si>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</si>
  <si>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</si>
  <si>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</si>
  <si>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</si>
  <si>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</si>
  <si>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</si>
  <si>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</si>
  <si>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</si>
  <si>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</si>
  <si>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</si>
  <si>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</si>
  <si>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</si>
  <si>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</si>
  <si>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</si>
  <si>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</si>
  <si>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</si>
  <si>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</si>
  <si>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</si>
  <si>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</si>
  <si>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</si>
  <si>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</si>
  <si>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</si>
  <si>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</si>
  <si>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</si>
  <si>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</si>
  <si>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</si>
  <si>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</si>
  <si>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</si>
  <si>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</si>
  <si>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</si>
  <si>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</si>
  <si>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</si>
  <si>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</si>
  <si>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</si>
  <si>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</si>
  <si>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</si>
  <si>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</si>
  <si>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</si>
  <si>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</si>
  <si>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</si>
  <si>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</si>
  <si>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</si>
  <si>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</si>
  <si>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</si>
  <si>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</si>
  <si>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</si>
  <si>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</si>
  <si>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</si>
  <si>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</si>
  <si>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</si>
  <si>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</si>
  <si>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</si>
  <si>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</si>
  <si>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</si>
  <si>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</si>
  <si>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</si>
  <si>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</si>
  <si>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</si>
  <si>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</si>
  <si>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</si>
  <si>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</si>
  <si>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</si>
  <si>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</si>
  <si>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</si>
  <si>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</si>
  <si>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</si>
  <si>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</si>
  <si>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</si>
  <si>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</si>
  <si>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</si>
  <si>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</si>
  <si>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</si>
  <si>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</si>
  <si>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</si>
  <si>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</si>
  <si>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</si>
  <si>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</si>
  <si>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</si>
  <si>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</si>
  <si>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</si>
  <si>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</si>
  <si>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</si>
  <si>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</si>
  <si>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</si>
  <si>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</si>
  <si>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</si>
  <si>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</si>
  <si>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</si>
  <si>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</si>
  <si>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</si>
  <si>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</si>
  <si>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</si>
  <si>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</si>
  <si>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</si>
  <si>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</si>
  <si>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</si>
  <si>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</si>
  <si>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</si>
  <si>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</si>
  <si>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</si>
  <si>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</si>
  <si>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</si>
  <si>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</si>
  <si>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</si>
  <si>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</si>
  <si>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</si>
  <si>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</si>
  <si>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</si>
  <si>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</si>
  <si>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</si>
  <si>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</si>
  <si>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</si>
  <si>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</si>
  <si>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</si>
  <si>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</si>
  <si>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</si>
  <si>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</si>
  <si>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</si>
  <si>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</si>
  <si>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</si>
  <si>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</si>
  <si>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</si>
  <si>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</si>
  <si>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</si>
  <si>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</si>
  <si>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</si>
  <si>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</si>
  <si>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</si>
  <si>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</si>
  <si>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</si>
  <si>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</si>
  <si>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</si>
  <si>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</si>
  <si>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</si>
  <si>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</si>
  <si>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</si>
  <si>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</si>
  <si>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</si>
  <si>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</si>
  <si>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</si>
  <si>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</si>
  <si>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</si>
  <si>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</si>
  <si>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</si>
  <si>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</si>
  <si>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</si>
  <si>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</si>
  <si>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</si>
  <si>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</si>
  <si>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</si>
  <si>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</si>
  <si>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</si>
  <si>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</si>
  <si>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</si>
  <si>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</si>
  <si>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</si>
  <si>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</si>
  <si>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</si>
  <si>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</si>
  <si>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</si>
  <si>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</si>
  <si>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</si>
  <si>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</si>
  <si>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</si>
  <si>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</si>
  <si>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</si>
  <si>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</si>
  <si>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</si>
  <si>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</si>
  <si>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</si>
  <si>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</si>
  <si>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</si>
  <si>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</si>
  <si>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</si>
  <si>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</si>
  <si>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</si>
  <si>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</si>
  <si>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</si>
  <si>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</si>
  <si>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</si>
  <si>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</si>
  <si>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</si>
  <si>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</si>
  <si>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</si>
  <si>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</si>
  <si>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</si>
  <si>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</si>
  <si>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</si>
  <si>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</si>
  <si>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</si>
  <si>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</si>
  <si>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</si>
  <si>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</si>
  <si>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</si>
  <si>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</si>
  <si>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</si>
  <si>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</si>
  <si>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</si>
  <si>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</si>
  <si>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</si>
  <si>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</si>
  <si>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</si>
  <si>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</si>
  <si>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</si>
  <si>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</si>
  <si>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</si>
  <si>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</si>
  <si>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</si>
  <si>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</si>
  <si>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</si>
  <si>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</si>
  <si>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</si>
  <si>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</si>
  <si>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</si>
  <si>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</si>
  <si>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</si>
  <si>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</si>
  <si>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</si>
  <si>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</si>
  <si>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</si>
  <si>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</si>
  <si>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</si>
  <si>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</si>
  <si>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</si>
  <si>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</si>
  <si>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</si>
  <si>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</si>
  <si>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</si>
  <si>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</si>
  <si>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</si>
  <si>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</si>
  <si>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</si>
  <si>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</si>
  <si>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</si>
  <si>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</si>
  <si>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</si>
  <si>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</si>
  <si>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</si>
  <si>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</si>
  <si>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</si>
  <si>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</si>
  <si>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</si>
  <si>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</si>
  <si>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</si>
  <si>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</si>
  <si>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</si>
  <si>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</si>
  <si>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</si>
  <si>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</si>
  <si>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</si>
  <si>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</si>
  <si>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</si>
  <si>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</si>
  <si>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</si>
  <si>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</si>
  <si>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</si>
  <si>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</si>
  <si>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</si>
  <si>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</si>
  <si>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</si>
  <si>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</si>
  <si>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</si>
  <si>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</si>
  <si>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</si>
  <si>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</si>
  <si>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</si>
  <si>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</si>
  <si>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</si>
  <si>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</si>
  <si>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</si>
  <si>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</si>
  <si>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</si>
  <si>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</si>
  <si>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</si>
  <si>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</si>
  <si>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</si>
  <si>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</si>
  <si>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</si>
  <si>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</si>
  <si>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</si>
  <si>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</si>
  <si>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</si>
  <si>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</si>
  <si>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</si>
  <si>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</si>
  <si>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</si>
  <si>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</si>
  <si>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</si>
  <si>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</si>
  <si>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</si>
  <si>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</si>
  <si>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</si>
  <si>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</si>
  <si>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</si>
  <si>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</si>
  <si>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</si>
  <si>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</si>
  <si>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</si>
  <si>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</si>
  <si>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</si>
  <si>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</si>
  <si>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</si>
  <si>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</si>
  <si>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</si>
  <si>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</si>
  <si>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</si>
  <si>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</si>
  <si>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</si>
  <si>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</si>
  <si>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</si>
  <si>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</si>
  <si>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</si>
  <si>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</si>
  <si>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</si>
  <si>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</si>
  <si>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</si>
  <si>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</si>
  <si>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</si>
  <si>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</si>
  <si>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</si>
  <si>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</si>
  <si>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</si>
  <si>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</si>
  <si>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</si>
  <si>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</si>
  <si>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</si>
  <si>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</si>
  <si>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</si>
  <si>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</si>
  <si>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</si>
  <si>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</si>
  <si>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</si>
  <si>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</si>
  <si>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</si>
  <si>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</si>
  <si>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</si>
  <si>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</si>
  <si>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</si>
  <si>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</si>
  <si>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</si>
  <si>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</si>
  <si>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</si>
  <si>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</si>
  <si>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</si>
  <si>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</si>
  <si>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</si>
  <si>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</si>
  <si>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</si>
  <si>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</si>
  <si>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</si>
  <si>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</si>
  <si>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</si>
  <si>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</si>
  <si>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</si>
  <si>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</si>
  <si>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</si>
  <si>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</si>
  <si>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</si>
  <si>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</si>
  <si>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</si>
  <si>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</si>
  <si>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</si>
  <si>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</si>
  <si>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</si>
  <si>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</si>
  <si>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</si>
  <si>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</si>
  <si>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</si>
  <si>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</si>
  <si>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</si>
  <si>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</si>
  <si>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</si>
  <si>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</si>
  <si>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</si>
  <si>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</si>
  <si>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</si>
  <si>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</si>
  <si>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</si>
  <si>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</si>
  <si>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</si>
  <si>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</si>
  <si>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</si>
  <si>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</si>
  <si>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</si>
  <si>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</si>
  <si>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</si>
  <si>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</si>
  <si>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</si>
  <si>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</si>
  <si>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</si>
  <si>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</si>
  <si>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</si>
  <si>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</si>
  <si>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</si>
  <si>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</si>
  <si>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</si>
  <si>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</si>
  <si>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</si>
  <si>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</si>
  <si>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</si>
  <si>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</si>
  <si>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</si>
  <si>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</si>
  <si>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</si>
  <si>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</si>
  <si>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</si>
  <si>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</si>
  <si>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</si>
  <si>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</si>
  <si>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</si>
  <si>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</si>
  <si>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</si>
  <si>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</si>
  <si>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</si>
  <si>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</si>
  <si>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</si>
  <si>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</si>
  <si>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</si>
  <si>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</si>
  <si>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</si>
  <si>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</si>
  <si>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</si>
  <si>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</si>
  <si>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</si>
  <si>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</si>
  <si>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</si>
  <si>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</si>
  <si>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</si>
  <si>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</si>
  <si>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</si>
  <si>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</si>
  <si>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</si>
  <si>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</si>
  <si>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</si>
  <si>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</si>
  <si>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</si>
  <si>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</si>
  <si>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</si>
  <si>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</si>
  <si>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</si>
  <si>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</si>
  <si>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</si>
  <si>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</si>
  <si>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</si>
  <si>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</si>
  <si>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</si>
  <si>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</si>
  <si>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</si>
  <si>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</si>
  <si>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</si>
  <si>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</si>
  <si>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</si>
  <si>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</si>
  <si>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</si>
  <si>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</si>
  <si>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</si>
  <si>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</si>
  <si>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</si>
  <si>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</si>
  <si>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</si>
  <si>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</si>
  <si>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</si>
  <si>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</si>
  <si>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</si>
  <si>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</si>
  <si>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</si>
  <si>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</si>
  <si>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</si>
  <si>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</si>
  <si>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</si>
  <si>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</si>
  <si>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</si>
  <si>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</si>
  <si>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</si>
  <si>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</si>
  <si>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</si>
  <si>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</si>
  <si>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</si>
  <si>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</si>
  <si>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</si>
  <si>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</si>
  <si>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</si>
  <si>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</si>
  <si>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</si>
  <si>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</si>
  <si>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</si>
  <si>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</si>
  <si>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</si>
  <si>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</si>
  <si>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</si>
  <si>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</si>
  <si>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</si>
  <si>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</si>
  <si>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</si>
  <si>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</si>
  <si>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</si>
  <si>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</si>
  <si>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</si>
  <si>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</si>
  <si>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</si>
  <si>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</si>
  <si>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</si>
  <si>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</si>
  <si>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</si>
  <si>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</si>
  <si>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</si>
  <si>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</si>
  <si>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</si>
  <si>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</si>
  <si>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</si>
  <si>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</si>
  <si>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</si>
  <si>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</si>
  <si>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</si>
  <si>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</si>
  <si>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</si>
  <si>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</si>
  <si>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</si>
  <si>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</si>
  <si>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</si>
  <si>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</si>
  <si>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</si>
  <si>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</si>
  <si>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</si>
  <si>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</si>
  <si>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</si>
  <si>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</si>
  <si>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</si>
  <si>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</si>
  <si>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</si>
  <si>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</si>
  <si>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</si>
  <si>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</si>
  <si>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</si>
  <si>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</si>
  <si>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</si>
  <si>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</si>
  <si>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</si>
  <si>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</si>
  <si>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</si>
  <si>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</si>
  <si>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</si>
  <si>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</si>
  <si>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</si>
  <si>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</si>
  <si>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</si>
  <si>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</si>
  <si>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</si>
  <si>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</si>
  <si>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</si>
  <si>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</si>
  <si>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</si>
  <si>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</si>
  <si>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</si>
  <si>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</si>
  <si>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</si>
  <si>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</si>
  <si>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</si>
  <si>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</si>
  <si>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</si>
  <si>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</si>
  <si>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</si>
  <si>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</si>
  <si>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</si>
  <si>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</si>
  <si>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</si>
  <si>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</si>
  <si>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</si>
  <si>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</si>
  <si>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</si>
  <si>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</si>
  <si>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</si>
  <si>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</si>
  <si>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</si>
  <si>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</si>
  <si>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</si>
  <si>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</si>
  <si>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</si>
  <si>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</si>
  <si>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</si>
  <si>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</si>
  <si>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</si>
  <si>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</si>
  <si>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</si>
  <si>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</si>
  <si>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</si>
  <si>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</si>
  <si>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</si>
  <si>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</si>
  <si>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</si>
  <si>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</si>
  <si>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</si>
  <si>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</si>
  <si>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</si>
  <si>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</si>
  <si>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</si>
  <si>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</si>
  <si>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</si>
  <si>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</si>
  <si>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</si>
  <si>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</si>
  <si>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</si>
  <si>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</si>
  <si>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</si>
  <si>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</si>
  <si>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</si>
  <si>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</si>
  <si>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</si>
  <si>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</si>
  <si>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</si>
  <si>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</si>
  <si>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</si>
  <si>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</si>
  <si>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</si>
  <si>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</si>
  <si>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</si>
  <si>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</si>
  <si>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</si>
  <si>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</si>
  <si>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</si>
  <si>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</si>
  <si>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</si>
  <si>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</si>
  <si>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</si>
  <si>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</si>
  <si>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</si>
  <si>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</si>
  <si>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</si>
  <si>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</si>
  <si>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</si>
  <si>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</si>
  <si>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</si>
  <si>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</si>
  <si>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</si>
  <si>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</si>
  <si>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</si>
  <si>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</si>
  <si>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</si>
  <si>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</si>
  <si>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</si>
  <si>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</si>
  <si>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</si>
  <si>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</si>
  <si>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</si>
  <si>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</si>
  <si>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</si>
  <si>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</si>
  <si>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</si>
  <si>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</si>
  <si>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</si>
  <si>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</si>
  <si>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</si>
  <si>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</si>
  <si>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</si>
  <si>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</si>
  <si>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</si>
  <si>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</si>
  <si>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</si>
  <si>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</si>
  <si>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</si>
  <si>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</si>
  <si>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</si>
  <si>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</si>
  <si>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</si>
  <si>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</si>
  <si>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</si>
  <si>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</si>
  <si>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</si>
  <si>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</si>
  <si>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</si>
  <si>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</si>
  <si>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</si>
  <si>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</si>
  <si>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</si>
  <si>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</si>
  <si>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</si>
  <si>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</si>
  <si>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</si>
  <si>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</si>
  <si>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</si>
  <si>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</si>
  <si>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</si>
  <si>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</si>
  <si>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</si>
  <si>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</si>
  <si>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</si>
  <si>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</si>
  <si>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</si>
  <si>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</si>
  <si>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</si>
  <si>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</si>
  <si>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</si>
  <si>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</si>
  <si>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</si>
  <si>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</si>
  <si>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</si>
  <si>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</si>
  <si>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</si>
  <si>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</si>
  <si>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</si>
  <si>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</si>
  <si>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</si>
  <si>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</si>
  <si>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</si>
  <si>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</si>
  <si>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</si>
  <si>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</si>
  <si>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</si>
  <si>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</si>
  <si>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</si>
  <si>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</si>
  <si>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</si>
  <si>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</si>
  <si>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</si>
  <si>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</si>
  <si>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</si>
  <si>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</si>
  <si>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</si>
  <si>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</si>
  <si>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</si>
  <si>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</si>
  <si>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</si>
  <si>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</si>
  <si>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</si>
  <si>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</si>
  <si>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</si>
  <si>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</si>
  <si>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</si>
  <si>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</si>
  <si>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</si>
  <si>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</si>
  <si>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</si>
  <si>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</si>
  <si>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</si>
  <si>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</si>
  <si>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</si>
  <si>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</si>
  <si>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</si>
  <si>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</si>
  <si>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</si>
  <si>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</si>
  <si>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</si>
  <si>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</si>
  <si>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</si>
  <si>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</si>
  <si>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</si>
  <si>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</si>
  <si>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</si>
  <si>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</si>
  <si>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</si>
  <si>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</si>
  <si>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</si>
  <si>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</si>
  <si>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</si>
  <si>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</si>
  <si>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</si>
  <si>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</si>
  <si>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</si>
  <si>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</si>
  <si>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</si>
  <si>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</si>
  <si>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</si>
  <si>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</si>
  <si>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</si>
  <si>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</si>
  <si>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</si>
  <si>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</si>
  <si>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</si>
  <si>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</si>
  <si>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</si>
  <si>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</si>
  <si>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</si>
  <si>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</si>
  <si>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</si>
  <si>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</si>
  <si>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</si>
  <si>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</si>
  <si>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</si>
  <si>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</si>
  <si>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</si>
  <si>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</si>
  <si>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</si>
  <si>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</si>
  <si>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</si>
  <si>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</si>
  <si>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</si>
  <si>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</si>
  <si>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</si>
  <si>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</si>
  <si>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</si>
  <si>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</si>
  <si>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</si>
  <si>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</si>
  <si>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</si>
  <si>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</si>
  <si>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</si>
  <si>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</si>
  <si>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</si>
  <si>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</si>
  <si>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</si>
  <si>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</si>
  <si>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</si>
  <si>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</si>
  <si>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</si>
  <si>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</si>
  <si>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</si>
  <si>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</si>
  <si>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</si>
  <si>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</si>
  <si>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</si>
  <si>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</si>
  <si>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</si>
  <si>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</si>
  <si>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</si>
  <si>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</si>
  <si>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</si>
  <si>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</si>
  <si>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</si>
  <si>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</si>
  <si>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</si>
  <si>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</si>
  <si>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</si>
  <si>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</si>
  <si>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</si>
  <si>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</si>
  <si>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</si>
  <si>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</si>
  <si>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</si>
  <si>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</si>
  <si>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</si>
  <si>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</si>
  <si>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</si>
  <si>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</si>
  <si>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</si>
  <si>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</si>
  <si>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</si>
  <si>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</si>
  <si>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</si>
  <si>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</si>
  <si>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</si>
  <si>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</si>
  <si>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</si>
  <si>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</si>
  <si>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</si>
  <si>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</si>
  <si>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</si>
  <si>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</si>
  <si>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</si>
  <si>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</si>
  <si>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</si>
  <si>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</si>
  <si>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</si>
  <si>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</si>
  <si>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</si>
  <si>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</si>
  <si>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</si>
  <si>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</si>
  <si>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</si>
  <si>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</si>
  <si>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</si>
  <si>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</si>
  <si>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</si>
  <si>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</si>
  <si>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</si>
  <si>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</si>
  <si>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</si>
  <si>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</si>
  <si>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</si>
  <si>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</si>
  <si>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</si>
  <si>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</si>
  <si>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</si>
  <si>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</si>
  <si>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</si>
  <si>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</si>
  <si>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</si>
  <si>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</si>
  <si>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</si>
  <si>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</si>
  <si>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</si>
  <si>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</si>
  <si>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</si>
  <si>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</si>
  <si>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</si>
  <si>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</si>
  <si>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</si>
  <si>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</si>
  <si>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</si>
  <si>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</si>
  <si>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</si>
  <si>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</si>
  <si>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</si>
  <si>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</si>
  <si>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</si>
  <si>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</si>
  <si>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</si>
  <si>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</si>
  <si>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</si>
  <si>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</si>
  <si>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</si>
  <si>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</si>
  <si>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</si>
  <si>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</si>
  <si>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</si>
  <si>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</si>
  <si>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</si>
  <si>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</si>
  <si>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</si>
  <si>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</si>
  <si>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</si>
  <si>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</si>
  <si>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</si>
  <si>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</si>
  <si>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</si>
  <si>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</si>
  <si>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</si>
  <si>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</si>
  <si>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</si>
  <si>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</si>
  <si>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</si>
  <si>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</si>
  <si>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</si>
  <si>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</si>
  <si>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</si>
  <si>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</si>
  <si>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</si>
  <si>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</si>
  <si>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</si>
  <si>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</si>
  <si>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</si>
  <si>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</si>
  <si>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</si>
  <si>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</si>
  <si>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</si>
  <si>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</si>
  <si>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</si>
  <si>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</si>
  <si>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</si>
  <si>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</si>
  <si>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</si>
  <si>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</si>
  <si>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</si>
  <si>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</si>
  <si>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</si>
  <si>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</si>
  <si>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</si>
  <si>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</si>
  <si>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</si>
  <si>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</si>
  <si>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</si>
  <si>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</si>
  <si>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</si>
  <si>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</si>
  <si>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</si>
  <si>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</si>
  <si>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</si>
  <si>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</si>
  <si>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</si>
  <si>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</si>
  <si>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</si>
  <si>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</si>
  <si>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</si>
  <si>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</si>
  <si>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</si>
  <si>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</si>
  <si>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</si>
  <si>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</si>
  <si>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</si>
  <si>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</si>
  <si>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</si>
  <si>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</si>
  <si>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</si>
  <si>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</si>
  <si>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</si>
  <si>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</si>
  <si>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</si>
  <si>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</si>
  <si>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</si>
  <si>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</si>
  <si>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</si>
  <si>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</si>
  <si>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</si>
  <si>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</si>
  <si>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</si>
  <si>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</si>
  <si>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</si>
  <si>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</si>
  <si>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</si>
  <si>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</si>
  <si>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</si>
  <si>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</si>
  <si>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</si>
  <si>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</si>
  <si>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</si>
  <si>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</si>
  <si>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</si>
  <si>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</si>
  <si>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</si>
  <si>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</si>
  <si>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</si>
  <si>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</si>
  <si>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</si>
  <si>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</si>
  <si>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</si>
  <si>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</si>
  <si>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</si>
  <si>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</si>
  <si>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</si>
  <si>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</si>
  <si>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</si>
  <si>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</si>
  <si>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</si>
  <si>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</si>
  <si>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</si>
  <si>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</si>
  <si>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</si>
  <si>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</si>
  <si>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</si>
  <si>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</si>
  <si>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</si>
  <si>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</si>
  <si>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</si>
  <si>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</si>
  <si>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</si>
  <si>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</si>
  <si>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</si>
  <si>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</si>
  <si>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</si>
  <si>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</si>
  <si>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</si>
  <si>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</si>
  <si>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</si>
  <si>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</si>
  <si>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</si>
  <si>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</si>
  <si>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</si>
  <si>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</si>
  <si>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</si>
  <si>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</si>
  <si>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</si>
  <si>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</si>
  <si>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</si>
  <si>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</si>
  <si>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</si>
  <si>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</si>
  <si>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</si>
  <si>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</si>
  <si>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</si>
  <si>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</si>
  <si>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</si>
  <si>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</si>
  <si>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</si>
  <si>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</si>
  <si>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</si>
  <si>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</si>
  <si>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</si>
  <si>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</si>
  <si>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</si>
  <si>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</si>
  <si>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</si>
  <si>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</si>
  <si>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</si>
  <si>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</si>
  <si>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</si>
  <si>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</si>
  <si>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</si>
  <si>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</si>
  <si>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</si>
  <si>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</si>
  <si>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</si>
  <si>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</si>
  <si>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</si>
  <si>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</si>
  <si>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</si>
  <si>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</si>
  <si>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</si>
  <si>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</si>
  <si>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</si>
  <si>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</si>
  <si>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</si>
  <si>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</si>
  <si>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</si>
  <si>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</si>
  <si>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</si>
  <si>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</si>
  <si>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</si>
  <si>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</si>
  <si>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</si>
  <si>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</si>
  <si>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</si>
  <si>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</si>
  <si>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</si>
  <si>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</si>
  <si>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</si>
  <si>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</si>
  <si>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</si>
  <si>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</si>
  <si>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</si>
  <si>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</si>
  <si>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</si>
  <si>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</si>
  <si>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</si>
  <si>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</si>
  <si>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</si>
  <si>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</si>
  <si>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</si>
  <si>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</si>
  <si>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</si>
  <si>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</si>
  <si>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</si>
  <si>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</si>
  <si>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</si>
  <si>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</si>
  <si>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</si>
  <si>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</si>
  <si>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</si>
  <si>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</si>
  <si>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</si>
  <si>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</si>
  <si>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</si>
  <si>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</si>
  <si>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</si>
  <si>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</si>
  <si>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</si>
  <si>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</si>
  <si>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</si>
  <si>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</si>
  <si>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</si>
  <si>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</si>
  <si>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</si>
  <si>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</si>
  <si>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</si>
  <si>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</si>
  <si>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</si>
  <si>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</si>
  <si>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</si>
  <si>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</si>
  <si>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</si>
  <si>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</si>
  <si>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</si>
  <si>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</si>
  <si>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</si>
  <si>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</si>
  <si>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</si>
  <si>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</si>
  <si>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</si>
  <si>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</si>
  <si>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</si>
  <si>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</si>
  <si>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</si>
  <si>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</si>
  <si>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</si>
  <si>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</si>
  <si>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</si>
  <si>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</si>
  <si>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</si>
  <si>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</si>
  <si>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</si>
  <si>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</si>
  <si>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</si>
  <si>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</si>
  <si>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</si>
  <si>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</si>
  <si>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</si>
  <si>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</si>
  <si>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</si>
  <si>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</si>
  <si>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</si>
  <si>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</si>
  <si>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</si>
  <si>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</si>
  <si>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</si>
  <si>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</si>
  <si>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</si>
  <si>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</si>
  <si>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</si>
  <si>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</si>
  <si>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</si>
  <si>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</si>
  <si>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</si>
  <si>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</si>
  <si>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</si>
  <si>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</si>
  <si>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</si>
  <si>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</si>
  <si>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</si>
  <si>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</si>
  <si>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</si>
  <si>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</si>
  <si>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</si>
  <si>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</si>
  <si>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</si>
  <si>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</si>
  <si>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</si>
  <si>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</si>
  <si>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</si>
  <si>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</si>
  <si>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</si>
  <si>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</si>
  <si>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</si>
  <si>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</si>
  <si>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</si>
  <si>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</si>
  <si>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</si>
  <si>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</si>
  <si>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</si>
  <si>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</si>
  <si>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</si>
  <si>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</si>
  <si>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</si>
  <si>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</si>
  <si>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</si>
  <si>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</si>
  <si>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</si>
  <si>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</si>
  <si>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</si>
  <si>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</si>
  <si>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</si>
  <si>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</si>
  <si>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</si>
  <si>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</si>
  <si>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</si>
  <si>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</si>
  <si>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</si>
  <si>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</si>
  <si>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</si>
  <si>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</si>
  <si>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</si>
  <si>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</si>
  <si>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</si>
  <si>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</si>
  <si>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</si>
  <si>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</si>
  <si>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</si>
  <si>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</si>
  <si>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</si>
  <si>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</si>
  <si>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</si>
  <si>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</si>
  <si>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</si>
  <si>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</si>
  <si>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</si>
  <si>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</si>
  <si>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</si>
  <si>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</si>
  <si>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</si>
  <si>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</si>
  <si>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</si>
  <si>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</si>
  <si>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</si>
  <si>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</si>
  <si>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</si>
  <si>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</si>
  <si>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</si>
  <si>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</si>
  <si>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</si>
  <si>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</si>
  <si>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</si>
  <si>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</si>
  <si>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</si>
  <si>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</si>
  <si>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</si>
  <si>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</si>
  <si>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</si>
  <si>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</si>
  <si>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</si>
  <si>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</si>
  <si>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</si>
  <si>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</si>
  <si>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</si>
  <si>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</si>
  <si>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</si>
  <si>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</si>
  <si>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</si>
  <si>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</si>
  <si>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</si>
  <si>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</si>
  <si>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</si>
  <si>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</si>
  <si>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</si>
  <si>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</si>
  <si>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</si>
  <si>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</si>
  <si>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</si>
  <si>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</si>
  <si>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</si>
  <si>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</si>
  <si>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</si>
  <si>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</si>
  <si>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</si>
  <si>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</si>
  <si>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</si>
  <si>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</si>
  <si>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</si>
  <si>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</si>
  <si>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</si>
  <si>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</si>
  <si>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</si>
  <si>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</si>
  <si>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</si>
  <si>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</si>
  <si>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</si>
  <si>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</si>
  <si>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</si>
  <si>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</si>
  <si>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</si>
  <si>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</si>
  <si>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</si>
  <si>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</si>
  <si>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</si>
  <si>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</si>
  <si>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</si>
  <si>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</si>
  <si>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</si>
  <si>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</si>
  <si>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</si>
  <si>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</si>
  <si>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</si>
  <si>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</si>
  <si>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</si>
  <si>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</si>
  <si>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</si>
  <si>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</si>
  <si>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</si>
  <si>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</si>
  <si>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</si>
  <si>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</si>
  <si>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</si>
  <si>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</si>
  <si>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</si>
  <si>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</si>
  <si>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</si>
  <si>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</si>
  <si>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</si>
  <si>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</si>
  <si>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</si>
  <si>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</si>
  <si>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</si>
  <si>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</si>
  <si>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</si>
  <si>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</si>
  <si>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</si>
  <si>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</si>
  <si>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</si>
  <si>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</si>
  <si>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</si>
  <si>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</si>
  <si>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</si>
  <si>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</si>
  <si>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</si>
  <si>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</si>
  <si>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</si>
  <si>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</si>
  <si>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</si>
  <si>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</si>
  <si>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</si>
  <si>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</si>
  <si>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</si>
  <si>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</si>
  <si>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</si>
  <si>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</si>
  <si>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</si>
  <si>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</si>
  <si>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</si>
  <si>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</si>
  <si>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</si>
  <si>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</si>
  <si>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</si>
  <si>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</si>
  <si>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</si>
  <si>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</si>
  <si>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</si>
  <si>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</si>
  <si>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</si>
  <si>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</si>
  <si>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</si>
  <si>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</si>
  <si>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</si>
  <si>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</si>
  <si>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</si>
  <si>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</si>
  <si>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</si>
  <si>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</si>
  <si>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</si>
  <si>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</si>
  <si>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</si>
  <si>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</si>
  <si>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</si>
  <si>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</si>
  <si>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</si>
  <si>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</si>
  <si>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</si>
  <si>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</si>
  <si>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</si>
  <si>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</si>
  <si>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</si>
  <si>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</si>
  <si>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</si>
  <si>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</si>
  <si>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</si>
  <si>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</si>
  <si>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</si>
  <si>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</si>
  <si>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</si>
  <si>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</si>
  <si>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</si>
  <si>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</si>
  <si>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</si>
  <si>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</si>
  <si>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</si>
  <si>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</si>
  <si>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</si>
  <si>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</si>
  <si>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</si>
  <si>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</si>
  <si>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</si>
  <si>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</si>
  <si>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</si>
  <si>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</si>
  <si>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</si>
  <si>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</si>
  <si>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</si>
  <si>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</si>
  <si>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</si>
  <si>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</si>
  <si>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</si>
  <si>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</si>
  <si>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</si>
  <si>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</si>
  <si>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</si>
  <si>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</si>
  <si>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</si>
  <si>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</si>
  <si>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</si>
  <si>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</si>
  <si>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</si>
  <si>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</si>
  <si>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</si>
  <si>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</si>
  <si>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</si>
  <si>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</si>
  <si>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</si>
  <si>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</si>
  <si>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</si>
  <si>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</si>
  <si>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</si>
  <si>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</si>
  <si>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</si>
  <si>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</si>
  <si>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</si>
  <si>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</si>
  <si>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</si>
  <si>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</si>
  <si>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</si>
  <si>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</si>
  <si>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</si>
  <si>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</si>
  <si>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</si>
  <si>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</si>
  <si>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</si>
  <si>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</si>
  <si>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</si>
  <si>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</si>
  <si>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</si>
  <si>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</si>
  <si>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</si>
  <si>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</si>
  <si>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</si>
  <si>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</si>
  <si>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</si>
  <si>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</si>
  <si>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</si>
  <si>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</si>
  <si>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</si>
  <si>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</si>
  <si>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</si>
  <si>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</si>
  <si>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</si>
  <si>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</si>
  <si>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</si>
  <si>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</si>
  <si>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</si>
  <si>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</si>
  <si>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</si>
  <si>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</si>
  <si>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</si>
  <si>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</si>
  <si>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</si>
  <si>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</si>
  <si>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</si>
  <si>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</si>
  <si>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</si>
  <si>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</si>
  <si>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</si>
  <si>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</si>
  <si>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</si>
  <si>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</si>
  <si>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</si>
  <si>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</si>
  <si>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</si>
  <si>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</si>
  <si>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</si>
  <si>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</si>
  <si>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</si>
  <si>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</si>
  <si>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</si>
  <si>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</si>
  <si>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</si>
  <si>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</si>
  <si>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</si>
  <si>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</si>
  <si>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</si>
  <si>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</si>
  <si>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</si>
  <si>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</si>
  <si>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</si>
  <si>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</si>
  <si>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</si>
  <si>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</si>
  <si>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</si>
  <si>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</si>
  <si>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</si>
  <si>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</si>
  <si>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</si>
  <si>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</si>
  <si>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</si>
  <si>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</si>
  <si>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</si>
  <si>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</si>
  <si>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</si>
  <si>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</si>
  <si>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</si>
  <si>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</si>
  <si>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</si>
  <si>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</si>
  <si>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</si>
  <si>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</si>
  <si>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</si>
  <si>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</si>
  <si>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</si>
  <si>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</si>
  <si>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</si>
  <si>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</si>
  <si>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</si>
  <si>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</si>
  <si>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</si>
  <si>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</si>
  <si>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</si>
  <si>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</si>
  <si>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</si>
  <si>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</si>
  <si>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</si>
  <si>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</si>
  <si>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</si>
  <si>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</si>
  <si>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</si>
  <si>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</si>
  <si>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</si>
  <si>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</si>
  <si>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</si>
  <si>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</si>
  <si>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</si>
  <si>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</si>
  <si>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</si>
  <si>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</si>
  <si>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</si>
  <si>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</si>
  <si>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</si>
  <si>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</si>
  <si>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</si>
  <si>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</si>
  <si>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</si>
  <si>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</si>
  <si>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</si>
  <si>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</si>
  <si>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</si>
  <si>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</si>
  <si>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</si>
  <si>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</si>
  <si>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</si>
  <si>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</si>
  <si>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</si>
  <si>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</si>
  <si>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</si>
  <si>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</si>
  <si>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</si>
  <si>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</si>
  <si>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</si>
  <si>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</si>
  <si>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</si>
  <si>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</si>
  <si>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</si>
  <si>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</si>
  <si>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</si>
  <si>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</si>
  <si>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</si>
  <si>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</si>
  <si>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</si>
  <si>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</si>
  <si>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</si>
  <si>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</si>
  <si>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</si>
  <si>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</si>
  <si>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</si>
  <si>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</si>
  <si>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</si>
  <si>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</si>
  <si>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</si>
  <si>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</si>
  <si>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</si>
  <si>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</si>
  <si>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</si>
  <si>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</si>
  <si>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</si>
  <si>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</si>
  <si>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</si>
  <si>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</si>
  <si>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</si>
  <si>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</si>
  <si>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</si>
  <si>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</si>
  <si>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</si>
  <si>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</si>
  <si>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</si>
  <si>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</si>
  <si>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</si>
  <si>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</si>
  <si>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</si>
  <si>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</si>
  <si>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</si>
  <si>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</si>
  <si>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</si>
  <si>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</si>
  <si>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</si>
  <si>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</si>
  <si>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</si>
  <si>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</si>
  <si>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</si>
  <si>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</si>
  <si>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</si>
  <si>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</si>
  <si>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</si>
  <si>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</si>
  <si>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</si>
  <si>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</si>
  <si>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</si>
  <si>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</si>
  <si>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</si>
  <si>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</si>
  <si>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</si>
  <si>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</si>
  <si>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</si>
  <si>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</si>
  <si>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</si>
  <si>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</si>
  <si>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</si>
  <si>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</si>
  <si>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</si>
  <si>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</si>
  <si>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</si>
  <si>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</si>
  <si>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</si>
  <si>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</si>
  <si>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</si>
  <si>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</si>
  <si>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</si>
  <si>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</si>
  <si>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</si>
  <si>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</si>
  <si>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</si>
  <si>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</si>
  <si>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</si>
  <si>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</si>
  <si>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</si>
  <si>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</si>
  <si>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</si>
  <si>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</si>
  <si>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</si>
  <si>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</si>
  <si>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</si>
  <si>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</si>
  <si>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</si>
  <si>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</si>
  <si>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</si>
  <si>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</si>
  <si>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</si>
  <si>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</si>
  <si>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</si>
  <si>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</si>
  <si>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</si>
  <si>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</si>
  <si>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</si>
  <si>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</si>
  <si>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</si>
  <si>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</si>
  <si>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</si>
  <si>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</si>
  <si>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</si>
  <si>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</si>
  <si>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</si>
  <si>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</si>
  <si>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</si>
  <si>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</si>
  <si>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</si>
  <si>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</si>
  <si>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</si>
  <si>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</si>
  <si>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</si>
  <si>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</si>
  <si>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</si>
  <si>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</si>
  <si>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</si>
  <si>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</si>
  <si>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</si>
  <si>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</si>
  <si>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</si>
  <si>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</si>
  <si>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</si>
  <si>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</si>
  <si>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</si>
  <si>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</si>
  <si>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</si>
  <si>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</si>
  <si>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</si>
  <si>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</si>
  <si>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</si>
  <si>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</si>
  <si>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</si>
  <si>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</si>
  <si>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</si>
  <si>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</si>
  <si>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</si>
  <si>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</si>
  <si>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</si>
  <si>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</si>
  <si>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</si>
  <si>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</si>
  <si>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</si>
  <si>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</si>
  <si>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</si>
  <si>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</si>
  <si>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</si>
  <si>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</si>
  <si>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</si>
  <si>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</si>
  <si>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</si>
  <si>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</si>
  <si>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</si>
  <si>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</si>
  <si>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</si>
  <si>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</si>
  <si>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</si>
  <si>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</si>
  <si>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</si>
  <si>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</si>
  <si>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</si>
  <si>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</si>
  <si>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</si>
  <si>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</si>
  <si>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</si>
  <si>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</si>
  <si>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</si>
  <si>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</si>
  <si>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</si>
  <si>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</si>
  <si>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</si>
  <si>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</si>
  <si>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</si>
  <si>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</si>
  <si>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</si>
  <si>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</si>
  <si>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</si>
  <si>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</si>
  <si>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</si>
  <si>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</si>
  <si>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</si>
  <si>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</si>
  <si>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</si>
  <si>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</si>
  <si>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</si>
  <si>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</si>
  <si>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</si>
  <si>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</si>
  <si>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</si>
  <si>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</si>
  <si>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</si>
  <si>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</si>
  <si>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</si>
  <si>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</si>
  <si>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</si>
  <si>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</si>
  <si>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</si>
  <si>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</si>
  <si>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</si>
  <si>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</si>
  <si>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</si>
  <si>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</si>
  <si>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</si>
  <si>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</si>
  <si>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</si>
  <si>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</si>
  <si>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</si>
  <si>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</si>
  <si>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</si>
  <si>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</si>
  <si>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</si>
  <si>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</si>
  <si>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</si>
  <si>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</si>
  <si>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</si>
  <si>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</si>
  <si>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</si>
  <si>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</si>
  <si>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</si>
  <si>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</si>
  <si>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</si>
  <si>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</si>
  <si>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</si>
  <si>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</si>
  <si>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</si>
  <si>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</si>
  <si>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</si>
  <si>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</si>
  <si>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</si>
  <si>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</si>
  <si>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</si>
  <si>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</si>
  <si>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</si>
  <si>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</si>
  <si>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</si>
  <si>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</si>
  <si>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</si>
  <si>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</si>
  <si>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</si>
  <si>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</si>
  <si>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</si>
  <si>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</si>
  <si>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</si>
  <si>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</si>
  <si>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</si>
  <si>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</si>
  <si>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</si>
  <si>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</si>
  <si>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</si>
  <si>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</si>
  <si>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</si>
  <si>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</si>
  <si>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</si>
  <si>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</si>
  <si>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</si>
  <si>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</si>
  <si>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</si>
  <si>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</si>
  <si>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</si>
  <si>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</si>
  <si>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</si>
  <si>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</si>
  <si>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</si>
  <si>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</si>
  <si>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</si>
  <si>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</si>
  <si>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</si>
  <si>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</si>
  <si>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</si>
  <si>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</si>
  <si>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</si>
  <si>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</si>
  <si>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</si>
  <si>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</si>
  <si>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</si>
  <si>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</si>
  <si>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</si>
  <si>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</si>
  <si>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</si>
  <si>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</si>
  <si>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</si>
  <si>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</si>
  <si>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</si>
  <si>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</si>
  <si>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</si>
  <si>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</si>
  <si>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</si>
  <si>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</si>
  <si>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</si>
  <si>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</si>
  <si>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</si>
  <si>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</si>
  <si>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</si>
  <si>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</si>
  <si>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</si>
  <si>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</si>
  <si>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</si>
  <si>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</si>
  <si>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</si>
  <si>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</si>
  <si>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</si>
  <si>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</si>
  <si>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</si>
  <si>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</si>
  <si>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</si>
  <si>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</si>
  <si>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</si>
  <si>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</si>
  <si>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</si>
  <si>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</si>
  <si>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</si>
  <si>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</si>
  <si>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</si>
  <si>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</si>
  <si>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</si>
  <si>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</si>
  <si>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</si>
  <si>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</si>
  <si>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</si>
  <si>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</si>
  <si>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</si>
  <si>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</si>
  <si>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</si>
  <si>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</si>
  <si>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</si>
  <si>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</si>
  <si>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</si>
  <si>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</si>
  <si>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</si>
  <si>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</si>
  <si>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</si>
  <si>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</si>
  <si>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</si>
  <si>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</si>
  <si>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</si>
  <si>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</si>
  <si>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</si>
  <si>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</si>
  <si>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</si>
  <si>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</si>
  <si>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</si>
  <si>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</si>
  <si>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</si>
  <si>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</si>
  <si>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</si>
  <si>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</si>
  <si>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</si>
  <si>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</si>
  <si>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</si>
  <si>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</si>
  <si>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</si>
  <si>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</si>
  <si>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</si>
  <si>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</si>
  <si>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</si>
  <si>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</si>
  <si>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</si>
  <si>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</si>
  <si>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</si>
  <si>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</si>
  <si>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</si>
  <si>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</si>
  <si>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</si>
  <si>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</si>
  <si>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</si>
  <si>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</si>
  <si>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</si>
  <si>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</si>
  <si>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</si>
  <si>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</si>
  <si>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</si>
  <si>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</si>
  <si>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</si>
  <si>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</si>
  <si>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</si>
  <si>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</si>
  <si>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</si>
  <si>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</si>
  <si>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</si>
  <si>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</si>
  <si>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</si>
  <si>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</si>
  <si>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</si>
  <si>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</si>
  <si>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</si>
  <si>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</si>
  <si>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</si>
  <si>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</si>
  <si>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</si>
  <si>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</si>
  <si>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</si>
  <si>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</si>
  <si>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</si>
  <si>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</si>
  <si>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</si>
  <si>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</si>
  <si>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</si>
  <si>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</si>
  <si>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</si>
  <si>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</si>
  <si>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</si>
  <si>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</si>
  <si>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</si>
  <si>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</si>
  <si>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</si>
  <si>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</si>
  <si>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</si>
  <si>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</si>
  <si>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</si>
  <si>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</si>
  <si>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</si>
  <si>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</si>
  <si>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</si>
  <si>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</si>
  <si>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</si>
  <si>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</si>
  <si>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</si>
  <si>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</si>
  <si>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</si>
  <si>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</si>
  <si>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</si>
  <si>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</si>
  <si>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</si>
  <si>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</si>
  <si>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</si>
  <si>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</si>
  <si>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</si>
  <si>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</si>
  <si>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</si>
  <si>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</si>
  <si>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</si>
  <si>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</si>
  <si>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</si>
  <si>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</si>
  <si>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</si>
  <si>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</si>
  <si>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</si>
  <si>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</si>
  <si>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</si>
  <si>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</si>
  <si>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</si>
  <si>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</si>
  <si>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</si>
  <si>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</si>
  <si>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</si>
  <si>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</si>
  <si>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</si>
  <si>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</si>
  <si>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</si>
  <si>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</si>
  <si>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</si>
  <si>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</si>
  <si>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</si>
  <si>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</si>
  <si>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</si>
  <si>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</si>
  <si>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</si>
  <si>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</si>
  <si>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</si>
  <si>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</si>
  <si>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</si>
  <si>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</si>
  <si>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</si>
  <si>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</si>
  <si>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</si>
  <si>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</si>
  <si>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</si>
  <si>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</si>
  <si>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</si>
  <si>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</si>
  <si>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</si>
  <si>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</si>
  <si>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</si>
  <si>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</si>
  <si>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</si>
  <si>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</si>
  <si>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</si>
  <si>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</si>
  <si>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</si>
  <si>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</si>
  <si>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</si>
  <si>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</si>
  <si>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</si>
  <si>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</si>
  <si>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</si>
  <si>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</si>
  <si>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</si>
  <si>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</si>
  <si>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</si>
  <si>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</si>
  <si>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</si>
  <si>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</si>
  <si>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</si>
  <si>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</si>
  <si>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</si>
  <si>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</si>
  <si>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</si>
  <si>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</si>
  <si>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</si>
  <si>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</si>
  <si>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</si>
  <si>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</si>
  <si>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</si>
  <si>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</si>
  <si>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</si>
  <si>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</si>
  <si>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</si>
  <si>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</si>
  <si>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</si>
  <si>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</si>
  <si>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</si>
  <si>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</si>
  <si>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</si>
  <si>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</si>
  <si>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</si>
  <si>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</si>
  <si>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</si>
  <si>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</si>
  <si>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</si>
  <si>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</si>
  <si>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</si>
  <si>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</si>
  <si>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</si>
  <si>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</si>
  <si>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</si>
  <si>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</si>
  <si>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</si>
  <si>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</si>
  <si>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</si>
  <si>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</si>
  <si>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</si>
  <si>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</si>
  <si>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</si>
  <si>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</si>
  <si>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</si>
  <si>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</si>
  <si>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</si>
  <si>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</si>
  <si>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</si>
  <si>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</si>
  <si>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</si>
  <si>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</si>
  <si>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</si>
  <si>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</si>
  <si>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</si>
  <si>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</si>
  <si>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</si>
  <si>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</si>
  <si>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</si>
  <si>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</si>
  <si>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</si>
  <si>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</si>
  <si>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</si>
  <si>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</si>
  <si>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</si>
  <si>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</si>
  <si>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</si>
  <si>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</si>
  <si>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</si>
  <si>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</si>
  <si>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</si>
  <si>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</si>
  <si>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</si>
  <si>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</si>
  <si>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</si>
  <si>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</si>
  <si>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</si>
  <si>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</si>
  <si>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</si>
  <si>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</si>
  <si>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</si>
  <si>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</si>
  <si>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</si>
  <si>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</si>
  <si>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</si>
  <si>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</si>
  <si>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</si>
  <si>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</si>
  <si>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</si>
  <si>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</si>
  <si>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</si>
  <si>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</si>
  <si>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</si>
  <si>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</si>
  <si>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</si>
  <si>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</si>
  <si>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</si>
  <si>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</si>
  <si>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</si>
  <si>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</si>
  <si>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</si>
  <si>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</si>
  <si>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</si>
  <si>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</si>
  <si>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</si>
  <si>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</si>
  <si>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</si>
  <si>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</si>
  <si>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</si>
  <si>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</si>
  <si>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</si>
  <si>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</si>
  <si>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</si>
  <si>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</si>
  <si>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</si>
  <si>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</si>
  <si>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</si>
  <si>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</si>
  <si>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</si>
  <si>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</si>
  <si>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</si>
  <si>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</si>
  <si>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</si>
  <si>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</si>
  <si>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</si>
  <si>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</si>
  <si>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</si>
  <si>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</si>
  <si>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</si>
  <si>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</si>
  <si>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</si>
  <si>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</si>
  <si>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</si>
  <si>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</si>
  <si>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</si>
  <si>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</si>
  <si>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</si>
  <si>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</si>
  <si>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</si>
  <si>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</si>
  <si>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</si>
  <si>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</si>
  <si>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</si>
  <si>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</si>
  <si>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</si>
  <si>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</si>
  <si>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</si>
  <si>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</si>
  <si>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</si>
  <si>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</si>
  <si>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</si>
  <si>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</si>
  <si>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</si>
  <si>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</si>
  <si>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</si>
  <si>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</si>
  <si>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</si>
  <si>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</si>
  <si>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</si>
  <si>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</si>
  <si>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</si>
  <si>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</si>
  <si>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</si>
  <si>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</si>
  <si>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</si>
  <si>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</si>
  <si>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</si>
  <si>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</si>
  <si>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</si>
  <si>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</si>
  <si>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</si>
  <si>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</si>
  <si>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</si>
  <si>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</si>
  <si>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</si>
  <si>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</si>
  <si>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</si>
  <si>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</si>
  <si>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</si>
  <si>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</si>
  <si>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</si>
  <si>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</si>
  <si>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</si>
  <si>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</si>
  <si>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</si>
  <si>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</si>
  <si>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</si>
  <si>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</si>
  <si>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</si>
  <si>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</si>
  <si>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</si>
  <si>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</si>
  <si>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</si>
  <si>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</si>
  <si>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</si>
  <si>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</si>
  <si>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</si>
  <si>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</si>
  <si>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</si>
  <si>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</si>
  <si>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</si>
  <si>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</si>
  <si>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</si>
  <si>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</si>
  <si>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</si>
  <si>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</si>
  <si>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</si>
  <si>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</si>
  <si>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</si>
  <si>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</si>
  <si>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</si>
  <si>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</si>
  <si>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</si>
  <si>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</si>
  <si>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</si>
  <si>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</si>
  <si>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</si>
  <si>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</si>
  <si>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</si>
  <si>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</si>
  <si>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</si>
  <si>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</si>
  <si>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</si>
  <si>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</si>
  <si>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</si>
  <si>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</si>
  <si>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</si>
  <si>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</si>
  <si>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</si>
  <si>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</si>
  <si>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</si>
  <si>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</si>
  <si>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</si>
  <si>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</si>
  <si>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</si>
  <si>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</si>
  <si>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</si>
  <si>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</si>
  <si>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</si>
  <si>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</si>
  <si>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</si>
  <si>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</si>
  <si>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</si>
  <si>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</si>
  <si>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</si>
  <si>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</si>
  <si>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</si>
  <si>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</si>
  <si>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</si>
  <si>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</si>
  <si>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</si>
  <si>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</si>
  <si>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</si>
  <si>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</si>
  <si>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</si>
  <si>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</si>
  <si>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</si>
  <si>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</si>
  <si>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</si>
  <si>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</si>
  <si>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</si>
  <si>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</si>
  <si>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</si>
  <si>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</si>
  <si>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</si>
  <si>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</si>
  <si>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</si>
  <si>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</si>
  <si>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</si>
  <si>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</si>
  <si>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</si>
  <si>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</si>
  <si>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</si>
  <si>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</si>
  <si>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</si>
  <si>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</si>
  <si>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</si>
  <si>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</si>
  <si>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</si>
  <si>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</si>
  <si>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</si>
  <si>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</si>
  <si>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</si>
  <si>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</si>
  <si>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</si>
  <si>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</si>
  <si>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</si>
  <si>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</si>
  <si>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</si>
  <si>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</si>
  <si>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</si>
  <si>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</si>
  <si>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</si>
  <si>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</si>
  <si>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</si>
  <si>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</si>
  <si>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</si>
  <si>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</si>
  <si>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</si>
  <si>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</si>
  <si>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</si>
  <si>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</si>
  <si>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</si>
  <si>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</si>
  <si>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</si>
  <si>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</si>
  <si>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</si>
  <si>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</si>
  <si>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</si>
  <si>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</si>
  <si>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</si>
  <si>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</si>
  <si>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</si>
  <si>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</si>
  <si>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</si>
  <si>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</si>
  <si>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</si>
  <si>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</si>
  <si>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</si>
  <si>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</si>
  <si>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</si>
  <si>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</si>
  <si>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</si>
  <si>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</si>
  <si>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</si>
  <si>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</si>
  <si>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</si>
  <si>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</si>
  <si>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</si>
  <si>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</si>
  <si>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</si>
  <si>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</si>
  <si>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</si>
  <si>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</si>
  <si>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</si>
  <si>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</si>
  <si>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</si>
  <si>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</si>
  <si>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</si>
  <si>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</si>
  <si>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</si>
  <si>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</si>
  <si>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</si>
  <si>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</si>
  <si>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</si>
  <si>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</si>
  <si>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</si>
  <si>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</si>
  <si>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</si>
  <si>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</si>
  <si>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</si>
  <si>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</si>
  <si>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</si>
  <si>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</si>
  <si>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</si>
  <si>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</si>
  <si>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</si>
  <si>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</si>
  <si>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</si>
  <si>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</si>
  <si>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</si>
  <si>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</si>
  <si>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</si>
  <si>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</si>
  <si>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</si>
  <si>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</si>
  <si>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</si>
  <si>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</si>
  <si>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</si>
  <si>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</si>
  <si>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</si>
  <si>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</si>
  <si>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</si>
  <si>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</si>
  <si>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</si>
  <si>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</si>
  <si>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</si>
  <si>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</si>
  <si>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</si>
  <si>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</si>
  <si>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</si>
  <si>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</si>
  <si>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</si>
  <si>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</si>
  <si>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</si>
  <si>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</si>
  <si>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</si>
  <si>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</si>
  <si>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</si>
  <si>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</si>
  <si>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</si>
  <si>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</si>
  <si>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</si>
  <si>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</si>
  <si>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</si>
  <si>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</si>
  <si>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</si>
  <si>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</si>
  <si>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</si>
  <si>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</si>
  <si>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</si>
  <si>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</si>
  <si>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</si>
  <si>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</si>
  <si>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</si>
  <si>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</si>
  <si>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</si>
  <si>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</si>
  <si>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</si>
  <si>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</si>
  <si>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</si>
  <si>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</si>
  <si>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</si>
  <si>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</si>
  <si>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</si>
  <si>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</si>
  <si>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</si>
  <si>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</si>
  <si>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</si>
  <si>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</si>
  <si>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</si>
  <si>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</si>
  <si>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</si>
  <si>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</si>
  <si>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</si>
  <si>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</si>
  <si>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</si>
  <si>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</si>
  <si>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</si>
  <si>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</si>
  <si>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</si>
  <si>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</si>
  <si>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</si>
  <si>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</si>
  <si>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</si>
  <si>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</si>
  <si>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</si>
  <si>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</si>
  <si>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</si>
  <si>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</si>
  <si>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</si>
  <si>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</si>
  <si>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</si>
  <si>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</si>
  <si>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</si>
  <si>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</si>
  <si>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</si>
  <si>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</si>
  <si>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</si>
  <si>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</si>
  <si>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</si>
  <si>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</si>
  <si>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</si>
  <si>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</si>
  <si>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</si>
  <si>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</si>
  <si>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</si>
  <si>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</si>
  <si>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</si>
  <si>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</si>
  <si>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</si>
  <si>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</si>
  <si>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</si>
  <si>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</si>
  <si>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</si>
  <si>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</si>
  <si>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</si>
  <si>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</si>
  <si>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</si>
  <si>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</si>
  <si>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</si>
  <si>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</si>
  <si>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</si>
  <si>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</si>
  <si>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</si>
  <si>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</si>
  <si>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</si>
  <si>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</si>
  <si>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</si>
  <si>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</si>
  <si>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</si>
  <si>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</si>
  <si>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</si>
  <si>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</si>
  <si>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</si>
  <si>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</si>
  <si>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</si>
  <si>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</si>
  <si>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</si>
  <si>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</si>
  <si>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</si>
  <si>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</si>
  <si>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</si>
  <si>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</si>
  <si>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</si>
  <si>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</si>
  <si>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</si>
  <si>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</si>
  <si>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</si>
  <si>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</si>
  <si>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</si>
  <si>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</si>
  <si>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</si>
  <si>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</si>
  <si>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</si>
  <si>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</si>
  <si>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</si>
  <si>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</si>
  <si>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</si>
  <si>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</si>
  <si>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</si>
  <si>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</si>
  <si>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</si>
  <si>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</si>
  <si>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</si>
  <si>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</si>
  <si>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</si>
  <si>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</si>
  <si>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</si>
  <si>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</si>
  <si>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</si>
  <si>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</si>
  <si>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</si>
  <si>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</si>
  <si>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</si>
  <si>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</si>
  <si>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</si>
  <si>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</si>
  <si>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</si>
  <si>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</si>
  <si>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</si>
  <si>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</si>
  <si>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</si>
  <si>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</si>
  <si>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</si>
  <si>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</si>
  <si>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</si>
  <si>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</si>
  <si>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</si>
  <si>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</si>
  <si>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</si>
  <si>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</si>
  <si>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</si>
  <si>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</si>
  <si>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</si>
  <si>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</si>
  <si>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</si>
  <si>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</si>
  <si>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</si>
  <si>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</si>
  <si>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</si>
  <si>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</si>
  <si>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</si>
  <si>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</si>
  <si>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</si>
  <si>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</si>
  <si>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</si>
  <si>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</si>
  <si>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</si>
  <si>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</si>
  <si>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</si>
  <si>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</si>
  <si>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</si>
  <si>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</si>
  <si>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</si>
  <si>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</si>
  <si>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</si>
  <si>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</si>
  <si>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</si>
  <si>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</si>
  <si>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</si>
  <si>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</si>
  <si>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</si>
  <si>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</si>
  <si>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</si>
  <si>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</si>
  <si>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</si>
  <si>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</si>
  <si>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</si>
  <si>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</si>
  <si>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</si>
  <si>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</si>
  <si>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</si>
  <si>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</si>
  <si>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</si>
  <si>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</si>
  <si>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</si>
  <si>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</si>
  <si>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</si>
  <si>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</si>
  <si>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</si>
  <si>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</si>
  <si>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</si>
  <si>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</si>
  <si>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</si>
  <si>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</si>
  <si>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</si>
  <si>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</si>
  <si>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</si>
  <si>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</si>
  <si>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</si>
  <si>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</si>
  <si>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</si>
  <si>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</si>
  <si>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</si>
  <si>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</si>
  <si>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</si>
  <si>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</si>
  <si>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</si>
  <si>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</si>
  <si>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</si>
  <si>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</si>
  <si>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</si>
  <si>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</si>
  <si>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</si>
  <si>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</si>
  <si>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</si>
  <si>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</si>
  <si>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</si>
  <si>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</si>
  <si>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</si>
  <si>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</si>
  <si>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</si>
  <si>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</si>
  <si>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</si>
  <si>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</si>
  <si>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</si>
  <si>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</si>
  <si>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</si>
  <si>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</si>
  <si>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</si>
  <si>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</si>
  <si>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</si>
  <si>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</si>
  <si>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</si>
  <si>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</si>
  <si>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</si>
  <si>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</si>
  <si>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</si>
  <si>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</si>
  <si>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</si>
  <si>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</si>
  <si>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</si>
  <si>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</si>
  <si>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</si>
  <si>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</si>
  <si>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</si>
  <si>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</si>
  <si>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</si>
  <si>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</si>
  <si>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</si>
  <si>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</si>
  <si>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</si>
  <si>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</si>
  <si>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</si>
  <si>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</si>
  <si>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</si>
  <si>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</si>
  <si>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</si>
  <si>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</si>
  <si>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</si>
  <si>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</si>
  <si>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</si>
  <si>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</si>
  <si>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</si>
  <si>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</si>
  <si>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</si>
  <si>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</si>
  <si>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</si>
  <si>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</si>
  <si>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</si>
  <si>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</si>
  <si>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</si>
  <si>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</si>
  <si>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</si>
  <si>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</si>
  <si>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</si>
  <si>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</si>
  <si>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</si>
  <si>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</si>
  <si>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</si>
  <si>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</si>
  <si>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</si>
  <si>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</si>
  <si>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</si>
  <si>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</si>
  <si>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</si>
  <si>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</si>
  <si>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</si>
  <si>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</si>
  <si>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</si>
  <si>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</si>
  <si>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</si>
  <si>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</si>
  <si>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</si>
  <si>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</si>
  <si>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</si>
  <si>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</si>
  <si>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</si>
  <si>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</si>
  <si>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</si>
  <si>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</si>
  <si>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</si>
  <si>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</si>
  <si>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</si>
  <si>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</si>
  <si>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</si>
  <si>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</si>
  <si>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</si>
  <si>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</si>
  <si>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</si>
  <si>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</si>
  <si>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</si>
  <si>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</si>
  <si>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</si>
  <si>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</si>
  <si>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</si>
  <si>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</si>
  <si>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</si>
  <si>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</si>
  <si>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</si>
  <si>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</si>
  <si>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</si>
  <si>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</si>
  <si>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</si>
  <si>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</si>
  <si>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</si>
  <si>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</si>
  <si>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</si>
  <si>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</si>
  <si>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</si>
  <si>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</si>
  <si>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</si>
  <si>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</si>
  <si>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</si>
  <si>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</si>
  <si>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</si>
  <si>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</si>
  <si>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</si>
  <si>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</si>
  <si>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</si>
  <si>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</si>
  <si>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</si>
  <si>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</si>
  <si>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</si>
  <si>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</si>
  <si>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</si>
  <si>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</si>
  <si>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</si>
  <si>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</si>
  <si>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</si>
  <si>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</si>
  <si>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</si>
  <si>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</si>
  <si>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</si>
  <si>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</si>
  <si>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</si>
  <si>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</si>
  <si>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</si>
  <si>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</si>
  <si>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</si>
  <si>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</si>
  <si>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</si>
  <si>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</si>
  <si>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</si>
  <si>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</si>
  <si>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</si>
  <si>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</si>
  <si>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</si>
  <si>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</si>
  <si>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</si>
  <si>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</si>
  <si>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</si>
  <si>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</si>
  <si>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</si>
  <si>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</si>
  <si>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</si>
  <si>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</si>
  <si>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</si>
  <si>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</si>
  <si>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</si>
  <si>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</si>
  <si>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</si>
  <si>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</si>
  <si>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</si>
  <si>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</si>
  <si>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</si>
  <si>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</si>
  <si>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</si>
  <si>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</si>
  <si>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</si>
  <si>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</si>
  <si>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</si>
  <si>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</si>
  <si>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</si>
  <si>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</si>
  <si>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</si>
  <si>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</si>
  <si>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</si>
  <si>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</si>
  <si>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</si>
  <si>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</si>
  <si>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</si>
  <si>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</si>
  <si>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</si>
  <si>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</si>
  <si>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</si>
  <si>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</si>
  <si>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</si>
  <si>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</si>
  <si>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</si>
  <si>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</si>
  <si>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</si>
  <si>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</si>
  <si>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</si>
  <si>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</si>
  <si>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</si>
  <si>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</si>
  <si>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</si>
  <si>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</si>
  <si>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</si>
  <si>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</si>
  <si>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</si>
  <si>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</si>
  <si>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</si>
  <si>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</si>
  <si>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</si>
  <si>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</si>
  <si>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</si>
  <si>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</si>
  <si>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</si>
  <si>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</si>
  <si>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</si>
  <si>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</si>
  <si>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</si>
  <si>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</si>
  <si>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</si>
  <si>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</si>
  <si>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</si>
  <si>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</si>
  <si>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</si>
  <si>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</si>
  <si>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</si>
  <si>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</si>
  <si>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</si>
  <si>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</si>
  <si>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</si>
  <si>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</si>
  <si>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</si>
  <si>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</si>
  <si>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</si>
  <si>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</si>
  <si>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</si>
  <si>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</si>
  <si>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</si>
  <si>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</si>
  <si>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</si>
  <si>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</si>
  <si>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</si>
  <si>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</si>
  <si>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</si>
  <si>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</si>
  <si>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</si>
  <si>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</si>
  <si>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</si>
  <si>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</si>
  <si>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</si>
  <si>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</si>
  <si>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</si>
  <si>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</si>
  <si>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</si>
  <si>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</si>
  <si>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</si>
  <si>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</si>
  <si>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</si>
  <si>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</si>
  <si>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</si>
  <si>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</si>
  <si>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</si>
  <si>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</si>
  <si>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</si>
  <si>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</si>
  <si>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</si>
  <si>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</si>
  <si>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</si>
  <si>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</si>
  <si>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</si>
  <si>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</si>
  <si>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</si>
  <si>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</si>
  <si>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</si>
  <si>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</si>
  <si>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</si>
  <si>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</si>
  <si>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</si>
  <si>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</si>
  <si>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</si>
  <si>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</si>
  <si>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</si>
  <si>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</si>
  <si>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</si>
  <si>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</si>
  <si>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</si>
  <si>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</si>
  <si>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</si>
  <si>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</si>
  <si>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</si>
  <si>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</si>
  <si>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</si>
  <si>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</si>
  <si>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</si>
  <si>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</si>
  <si>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</si>
  <si>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</si>
  <si>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</si>
  <si>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</si>
  <si>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</si>
  <si>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</si>
  <si>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</si>
  <si>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</si>
  <si>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</si>
  <si>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</si>
  <si>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</si>
  <si>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</si>
  <si>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</si>
  <si>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</si>
  <si>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</si>
  <si>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</si>
  <si>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</si>
  <si>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</si>
  <si>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</si>
  <si>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</si>
  <si>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</si>
  <si>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</si>
  <si>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</si>
  <si>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</si>
  <si>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</si>
  <si>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</si>
  <si>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</si>
  <si>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</si>
  <si>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</si>
  <si>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</si>
  <si>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</si>
  <si>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</si>
  <si>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</si>
  <si>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</si>
  <si>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</si>
  <si>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</si>
  <si>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</si>
  <si>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</si>
  <si>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</si>
  <si>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</si>
  <si>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</si>
  <si>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</si>
  <si>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</si>
  <si>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</si>
  <si>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</si>
  <si>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</si>
  <si>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</si>
  <si>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</si>
  <si>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</si>
  <si>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</si>
  <si>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</si>
  <si>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</si>
  <si>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</si>
  <si>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</si>
  <si>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</si>
  <si>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</si>
  <si>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</si>
  <si>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</si>
  <si>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</si>
  <si>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</si>
  <si>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</si>
  <si>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</si>
  <si>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</si>
  <si>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</si>
  <si>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</si>
  <si>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</si>
  <si>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</si>
  <si>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</si>
  <si>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</si>
  <si>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</si>
  <si>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</si>
  <si>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</si>
  <si>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</si>
  <si>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</si>
  <si>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</si>
  <si>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</si>
  <si>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</si>
  <si>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</si>
  <si>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</si>
  <si>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</si>
  <si>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</si>
  <si>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</si>
  <si>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</si>
  <si>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</si>
  <si>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</si>
  <si>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</si>
  <si>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</si>
  <si>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</si>
  <si>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</si>
  <si>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</si>
  <si>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</si>
  <si>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</si>
  <si>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</si>
  <si>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</si>
  <si>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</si>
  <si>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</si>
  <si>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</si>
  <si>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</si>
  <si>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</si>
  <si>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</si>
  <si>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</si>
  <si>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</si>
  <si>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</si>
  <si>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</si>
  <si>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</si>
  <si>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</si>
  <si>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</si>
  <si>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</si>
  <si>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</si>
  <si>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</si>
  <si>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</si>
  <si>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</si>
  <si>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</si>
  <si>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</si>
  <si>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</si>
  <si>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</si>
  <si>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</si>
  <si>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</si>
  <si>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</si>
  <si>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</si>
  <si>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</si>
  <si>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</si>
  <si>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</si>
  <si>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</si>
  <si>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</si>
  <si>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</si>
  <si>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</si>
  <si>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</si>
  <si>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</si>
  <si>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</si>
  <si>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</si>
  <si>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</si>
  <si>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</si>
  <si>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</si>
  <si>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</si>
  <si>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</si>
  <si>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</si>
  <si>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</si>
  <si>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</si>
  <si>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</si>
  <si>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</si>
  <si>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</si>
  <si>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</si>
  <si>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</si>
  <si>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</si>
  <si>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</si>
  <si>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</si>
  <si>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</si>
  <si>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</si>
  <si>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</si>
  <si>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</si>
  <si>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</si>
  <si>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</si>
  <si>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</si>
  <si>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</si>
  <si>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</si>
  <si>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</si>
  <si>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</si>
  <si>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</si>
  <si>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</si>
  <si>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</si>
  <si>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</si>
  <si>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</si>
  <si>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</si>
  <si>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</si>
  <si>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</si>
  <si>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</si>
  <si>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</si>
  <si>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</si>
  <si>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</si>
  <si>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</si>
  <si>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</si>
  <si>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</si>
  <si>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</si>
  <si>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</si>
  <si>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</si>
  <si>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</si>
  <si>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</si>
  <si>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</si>
  <si>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</si>
  <si>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</si>
  <si>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</si>
  <si>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</si>
  <si>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</si>
  <si>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</si>
  <si>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</si>
  <si>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</si>
  <si>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</si>
  <si>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</si>
  <si>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</si>
  <si>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</si>
  <si>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</si>
  <si>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</si>
  <si>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</si>
  <si>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</si>
  <si>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</si>
  <si>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</si>
  <si>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</si>
  <si>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</si>
  <si>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</si>
  <si>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</si>
  <si>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</si>
  <si>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</si>
  <si>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</si>
  <si>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</si>
  <si>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</si>
  <si>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</si>
  <si>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</si>
  <si>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</si>
  <si>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</si>
  <si>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</si>
  <si>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</si>
  <si>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</si>
  <si>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</si>
  <si>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</si>
  <si>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</si>
  <si>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</si>
  <si>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</si>
  <si>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</si>
  <si>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</si>
  <si>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</si>
  <si>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</si>
  <si>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</si>
  <si>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</si>
  <si>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</si>
  <si>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</si>
  <si>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</si>
  <si>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</si>
  <si>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</si>
  <si>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</si>
  <si>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</si>
  <si>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</si>
  <si>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</si>
  <si>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</si>
  <si>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</si>
  <si>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</si>
  <si>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</si>
  <si>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</si>
  <si>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</si>
  <si>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</si>
  <si>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</si>
  <si>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</si>
  <si>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</si>
  <si>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</si>
  <si>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</si>
  <si>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</si>
  <si>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</si>
  <si>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</si>
  <si>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</si>
  <si>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</si>
  <si>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</si>
  <si>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</si>
  <si>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</si>
  <si>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</si>
  <si>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</si>
  <si>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</si>
  <si>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</si>
  <si>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</si>
  <si>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</si>
  <si>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</si>
  <si>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</si>
  <si>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</si>
  <si>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</si>
  <si>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</si>
  <si>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</si>
  <si>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</si>
  <si>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</si>
  <si>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</si>
  <si>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</si>
  <si>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</si>
  <si>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</si>
  <si>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</si>
  <si>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</si>
  <si>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</si>
  <si>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</si>
  <si>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</si>
  <si>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</si>
  <si>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</si>
  <si>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</si>
  <si>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</si>
  <si>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</si>
  <si>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</si>
  <si>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</si>
  <si>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</si>
  <si>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</si>
  <si>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</si>
  <si>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</si>
  <si>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</si>
  <si>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</si>
  <si>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</si>
  <si>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</si>
  <si>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</si>
  <si>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</si>
  <si>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</si>
  <si>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</si>
  <si>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</si>
  <si>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</si>
  <si>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</si>
  <si>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</si>
  <si>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</si>
  <si>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</si>
  <si>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</si>
  <si>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</si>
  <si>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</si>
  <si>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</si>
  <si>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</si>
  <si>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</si>
  <si>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</si>
  <si>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</si>
  <si>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</si>
  <si>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</si>
  <si>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</si>
  <si>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</si>
  <si>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</si>
  <si>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</si>
  <si>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</si>
  <si>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</si>
  <si>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</si>
  <si>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</si>
  <si>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</si>
  <si>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</si>
  <si>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</si>
  <si>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</si>
  <si>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</si>
  <si>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</si>
  <si>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</si>
  <si>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</si>
  <si>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</si>
  <si>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</si>
  <si>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</si>
  <si>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</si>
  <si>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</si>
  <si>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</si>
  <si>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</si>
  <si>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</si>
  <si>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</si>
  <si>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</si>
  <si>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</si>
  <si>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</si>
  <si>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</si>
  <si>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</si>
  <si>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</si>
  <si>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</si>
  <si>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</si>
  <si>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</si>
  <si>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</si>
  <si>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</si>
  <si>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</si>
  <si>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</si>
  <si>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</si>
  <si>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</si>
  <si>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</si>
  <si>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</si>
  <si>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</si>
  <si>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</si>
  <si>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</si>
  <si>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</si>
  <si>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</si>
  <si>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</si>
  <si>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</si>
  <si>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</si>
  <si>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</si>
  <si>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</si>
  <si>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</si>
  <si>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</si>
  <si>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</si>
  <si>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</si>
  <si>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</si>
  <si>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</si>
  <si>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</si>
  <si>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</si>
  <si>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</si>
  <si>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</si>
  <si>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</si>
  <si>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</si>
  <si>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</si>
  <si>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</si>
  <si>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</si>
  <si>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</si>
  <si>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</si>
  <si>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</si>
  <si>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</si>
  <si>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</si>
  <si>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</si>
  <si>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</si>
  <si>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</si>
  <si>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</si>
  <si>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</si>
  <si>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</si>
  <si>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</si>
  <si>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</si>
  <si>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</si>
  <si>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</si>
  <si>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</si>
  <si>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</si>
  <si>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</si>
  <si>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</si>
  <si>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</si>
  <si>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</si>
  <si>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</si>
  <si>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</si>
  <si>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</si>
  <si>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</si>
  <si>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</si>
  <si>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</si>
  <si>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</si>
  <si>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</si>
  <si>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</si>
  <si>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</si>
  <si>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</si>
  <si>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</si>
  <si>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</si>
  <si>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</si>
  <si>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</si>
  <si>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</si>
  <si>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</si>
  <si>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</si>
  <si>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</si>
  <si>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</si>
  <si>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</si>
  <si>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</si>
  <si>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</si>
  <si>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</si>
  <si>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</si>
  <si>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</si>
  <si>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</si>
  <si>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</si>
  <si>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</si>
  <si>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</si>
  <si>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</si>
  <si>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</si>
  <si>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</si>
  <si>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</si>
  <si>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</si>
  <si>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</si>
  <si>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</si>
  <si>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</si>
  <si>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</si>
  <si>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</si>
  <si>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</si>
  <si>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</si>
  <si>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</si>
  <si>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</si>
  <si>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</si>
  <si>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</si>
  <si>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</si>
  <si>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</si>
  <si>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</si>
  <si>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</si>
  <si>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</si>
  <si>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</si>
  <si>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</si>
  <si>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</si>
  <si>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</si>
  <si>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</si>
  <si>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</si>
  <si>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</si>
  <si>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</si>
  <si>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</si>
  <si>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</si>
  <si>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</si>
  <si>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</si>
  <si>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</si>
  <si>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</si>
  <si>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</si>
  <si>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</si>
  <si>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</si>
  <si>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</si>
  <si>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</si>
  <si>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</si>
  <si>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</si>
  <si>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</si>
  <si>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</si>
  <si>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</si>
  <si>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</si>
  <si>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</si>
  <si>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</si>
  <si>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</si>
  <si>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</si>
  <si>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</si>
  <si>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</si>
  <si>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</si>
  <si>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</si>
  <si>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</si>
  <si>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</si>
  <si>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</si>
  <si>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</si>
  <si>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</si>
  <si>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</si>
  <si>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</si>
  <si>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</si>
  <si>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</si>
  <si>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</si>
  <si>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</si>
  <si>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</si>
  <si>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</si>
  <si>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</si>
  <si>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</si>
  <si>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</si>
  <si>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</si>
  <si>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</si>
  <si>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</si>
  <si>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</si>
  <si>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</si>
  <si>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</si>
  <si>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</si>
  <si>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</si>
  <si>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</si>
  <si>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</si>
  <si>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</si>
  <si>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</si>
  <si>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</si>
  <si>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</si>
  <si>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</si>
  <si>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</si>
  <si>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</si>
  <si>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</si>
  <si>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</si>
  <si>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</si>
  <si>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</si>
  <si>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</si>
  <si>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</si>
  <si>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</si>
  <si>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</si>
  <si>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</si>
  <si>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</si>
  <si>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</si>
  <si>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</si>
  <si>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</si>
  <si>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</si>
  <si>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</si>
  <si>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</si>
  <si>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</si>
  <si>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</si>
  <si>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</si>
  <si>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</si>
  <si>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</si>
  <si>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</si>
  <si>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</si>
  <si>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</si>
  <si>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</si>
  <si>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</si>
  <si>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</si>
  <si>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</si>
  <si>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</si>
  <si>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</si>
  <si>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</si>
  <si>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</si>
  <si>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</si>
  <si>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</si>
  <si>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</si>
  <si>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</si>
  <si>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</si>
  <si>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</si>
  <si>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</si>
  <si>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</si>
  <si>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</si>
  <si>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</si>
  <si>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</si>
  <si>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</si>
  <si>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</si>
  <si>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</si>
  <si>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</si>
  <si>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</si>
  <si>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</si>
  <si>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</si>
  <si>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</si>
  <si>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</si>
  <si>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</si>
  <si>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</si>
  <si>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</si>
  <si>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</si>
  <si>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</si>
  <si>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</si>
  <si>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</si>
  <si>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</si>
  <si>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</si>
  <si>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</si>
  <si>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</si>
  <si>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</si>
  <si>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</si>
  <si>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</si>
  <si>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</si>
  <si>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</si>
  <si>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</si>
  <si>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</si>
  <si>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</si>
  <si>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</si>
  <si>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</si>
  <si>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</si>
  <si>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</si>
  <si>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</si>
  <si>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</si>
  <si>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</si>
  <si>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</si>
  <si>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</si>
  <si>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</si>
  <si>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</si>
  <si>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</si>
  <si>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</si>
  <si>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</si>
  <si>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</si>
  <si>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</si>
  <si>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</si>
  <si>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</si>
  <si>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</si>
  <si>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</si>
  <si>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</si>
  <si>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</si>
  <si>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</si>
  <si>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</si>
  <si>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</si>
  <si>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</si>
  <si>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</si>
  <si>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</si>
  <si>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</si>
  <si>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</si>
  <si>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</si>
  <si>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</si>
  <si>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</si>
  <si>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</si>
  <si>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</si>
  <si>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</si>
  <si>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</si>
  <si>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</si>
  <si>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</si>
  <si>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</si>
  <si>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</si>
  <si>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</si>
  <si>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</si>
  <si>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</si>
  <si>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</si>
  <si>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</si>
  <si>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</si>
  <si>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</si>
  <si>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</si>
  <si>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</si>
  <si>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</si>
  <si>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</si>
  <si>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</si>
  <si>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</si>
  <si>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</si>
  <si>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</si>
  <si>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</si>
  <si>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</si>
  <si>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</si>
  <si>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</si>
  <si>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</si>
  <si>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</si>
  <si>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</si>
  <si>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</si>
  <si>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</si>
  <si>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</si>
  <si>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</si>
  <si>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</si>
  <si>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</si>
  <si>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</si>
  <si>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</si>
  <si>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</si>
  <si>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</si>
  <si>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</si>
  <si>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</si>
  <si>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</si>
  <si>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</si>
  <si>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</si>
  <si>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</si>
  <si>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</si>
  <si>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</si>
  <si>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</si>
  <si>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</si>
  <si>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</si>
  <si>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</si>
  <si>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</si>
  <si>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</si>
  <si>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</si>
  <si>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</si>
  <si>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</si>
  <si>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</si>
  <si>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</si>
  <si>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</si>
  <si>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</si>
  <si>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</si>
  <si>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</si>
  <si>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</si>
  <si>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</si>
  <si>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</si>
  <si>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</si>
  <si>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</si>
  <si>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</si>
  <si>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</si>
  <si>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</si>
  <si>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</si>
  <si>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</si>
  <si>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</si>
  <si>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</si>
  <si>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</si>
  <si>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</si>
  <si>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</si>
  <si>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</si>
  <si>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</si>
  <si>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</si>
  <si>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</si>
  <si>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</si>
  <si>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</si>
  <si>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</si>
  <si>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</si>
  <si>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</si>
  <si>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</si>
  <si>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</si>
  <si>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</si>
  <si>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</si>
  <si>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</si>
  <si>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</si>
  <si>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</si>
  <si>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</si>
  <si>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</si>
  <si>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</si>
  <si>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</si>
  <si>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</si>
  <si>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</si>
  <si>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</si>
  <si>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</si>
  <si>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</si>
  <si>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</si>
  <si>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</si>
  <si>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</si>
  <si>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</si>
  <si>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</si>
  <si>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</si>
  <si>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</si>
  <si>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</si>
  <si>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</si>
  <si>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</si>
  <si>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</si>
  <si>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</si>
  <si>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</si>
  <si>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</si>
  <si>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</si>
  <si>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</si>
  <si>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</si>
  <si>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</si>
  <si>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</si>
  <si>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</si>
  <si>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</si>
  <si>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</si>
  <si>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</si>
  <si>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</si>
  <si>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</si>
  <si>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</si>
  <si>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</si>
  <si>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</si>
  <si>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</si>
  <si>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</si>
  <si>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</si>
  <si>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</si>
  <si>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</si>
  <si>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</si>
  <si>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</si>
  <si>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</si>
  <si>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</si>
  <si>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</si>
  <si>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</si>
  <si>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</si>
  <si>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</si>
  <si>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</si>
  <si>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</si>
  <si>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</si>
  <si>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</si>
  <si>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</si>
  <si>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</si>
  <si>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</si>
  <si>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</si>
  <si>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</si>
  <si>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</si>
  <si>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</si>
  <si>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</si>
  <si>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</si>
  <si>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</si>
  <si>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</si>
  <si>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</si>
  <si>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</si>
  <si>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</si>
  <si>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</si>
  <si>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</si>
  <si>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</si>
  <si>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</si>
  <si>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</si>
  <si>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</si>
  <si>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</si>
  <si>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</si>
  <si>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</si>
  <si>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</si>
  <si>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</si>
  <si>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</si>
  <si>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</si>
  <si>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</si>
  <si>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</si>
  <si>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</si>
  <si>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</si>
  <si>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</si>
  <si>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</si>
  <si>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</si>
  <si>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</si>
  <si>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</si>
  <si>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</si>
  <si>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</si>
  <si>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</si>
  <si>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</si>
  <si>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</si>
  <si>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</si>
  <si>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</si>
  <si>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</si>
  <si>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</si>
  <si>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</si>
  <si>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</si>
  <si>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</si>
  <si>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</si>
  <si>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</si>
  <si>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</si>
  <si>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</si>
  <si>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</si>
  <si>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</si>
  <si>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</si>
  <si>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</si>
  <si>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</si>
  <si>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</si>
  <si>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</si>
  <si>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</si>
  <si>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</si>
  <si>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</si>
  <si>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</si>
  <si>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</si>
  <si>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</si>
  <si>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</si>
  <si>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</si>
  <si>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</si>
  <si>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</si>
  <si>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</si>
  <si>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</si>
  <si>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</si>
  <si>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</si>
  <si>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</si>
  <si>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</si>
  <si>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</si>
  <si>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</si>
  <si>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</si>
  <si>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</si>
  <si>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</si>
  <si>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</si>
  <si>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</si>
  <si>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</si>
  <si>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</si>
  <si>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</si>
  <si>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</si>
  <si>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</si>
  <si>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</si>
  <si>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</si>
  <si>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</si>
  <si>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</si>
  <si>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</si>
  <si>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</si>
  <si>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</si>
  <si>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</si>
  <si>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</si>
  <si>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</si>
  <si>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</si>
  <si>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</si>
  <si>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</si>
  <si>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</si>
  <si>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</si>
  <si>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</si>
  <si>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</si>
  <si>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</si>
  <si>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</si>
  <si>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</si>
  <si>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</si>
  <si>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</si>
  <si>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</si>
  <si>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</si>
  <si>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</si>
  <si>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</si>
  <si>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</si>
  <si>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</si>
  <si>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</si>
  <si>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</si>
  <si>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</si>
  <si>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</si>
  <si>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</si>
  <si>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</si>
  <si>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</si>
  <si>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</si>
  <si>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</si>
  <si>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</si>
  <si>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</si>
  <si>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</si>
  <si>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</si>
  <si>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</si>
  <si>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</si>
  <si>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</si>
  <si>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</si>
  <si>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</si>
  <si>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</si>
  <si>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</si>
  <si>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</si>
  <si>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</si>
  <si>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</si>
  <si>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</si>
  <si>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</si>
  <si>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</si>
  <si>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</si>
  <si>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</si>
  <si>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</si>
  <si>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</si>
  <si>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</si>
  <si>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</si>
  <si>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</si>
  <si>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</si>
  <si>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</si>
  <si>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</si>
  <si>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</si>
  <si>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</si>
  <si>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</si>
  <si>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</si>
  <si>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</si>
  <si>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</si>
  <si>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</si>
  <si>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</si>
  <si>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</si>
  <si>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</si>
  <si>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</si>
  <si>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</si>
  <si>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</si>
  <si>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</si>
  <si>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</si>
  <si>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</si>
  <si>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</si>
  <si>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</si>
  <si>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</si>
  <si>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</si>
  <si>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</si>
  <si>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</si>
  <si>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</si>
  <si>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</si>
  <si>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</si>
  <si>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</si>
  <si>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</si>
  <si>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</si>
  <si>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</si>
  <si>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</si>
  <si>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</si>
  <si>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</si>
  <si>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</si>
  <si>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</si>
  <si>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</si>
  <si>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</si>
  <si>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</si>
  <si>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</si>
  <si>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</si>
  <si>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</si>
  <si>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</si>
  <si>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</si>
  <si>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</si>
  <si>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</si>
  <si>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</si>
  <si>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</si>
  <si>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</si>
  <si>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</si>
  <si>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</si>
  <si>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</si>
  <si>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</si>
  <si>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</si>
  <si>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</si>
  <si>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</si>
  <si>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</si>
  <si>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</si>
  <si>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</si>
  <si>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</si>
  <si>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</si>
  <si>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</si>
  <si>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</si>
  <si>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</si>
  <si>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</si>
  <si>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</si>
  <si>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</si>
  <si>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</si>
  <si>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</si>
  <si>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</si>
  <si>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</si>
  <si>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</si>
  <si>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</si>
  <si>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</si>
  <si>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</si>
  <si>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</si>
  <si>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</si>
  <si>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</si>
  <si>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</si>
  <si>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</si>
  <si>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</si>
  <si>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</si>
  <si>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</si>
  <si>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</si>
  <si>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</si>
  <si>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</si>
  <si>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</si>
  <si>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</si>
  <si>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</si>
  <si>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</si>
  <si>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</si>
  <si>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</si>
  <si>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</si>
  <si>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</si>
  <si>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</si>
  <si>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</si>
  <si>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</si>
  <si>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</si>
  <si>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</si>
  <si>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</si>
  <si>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</si>
  <si>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</si>
  <si>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</si>
  <si>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</si>
  <si>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</si>
  <si>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</si>
  <si>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</si>
  <si>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</si>
  <si>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</si>
  <si>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</si>
  <si>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</si>
  <si>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</si>
  <si>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</si>
  <si>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</si>
  <si>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</si>
  <si>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</si>
  <si>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</si>
  <si>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</si>
  <si>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</si>
  <si>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</si>
  <si>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</si>
  <si>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</si>
  <si>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</si>
  <si>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</si>
  <si>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</si>
  <si>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</si>
  <si>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</si>
  <si>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</si>
  <si>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</si>
  <si>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</si>
  <si>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</si>
  <si>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</si>
  <si>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</si>
  <si>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</si>
  <si>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</si>
  <si>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</si>
  <si>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</si>
  <si>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</si>
  <si>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</si>
  <si>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</si>
  <si>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</si>
  <si>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</si>
  <si>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</si>
  <si>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</si>
  <si>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</si>
  <si>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</si>
  <si>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</si>
  <si>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</si>
  <si>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</si>
  <si>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</si>
  <si>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</si>
  <si>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</si>
  <si>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</si>
  <si>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</si>
  <si>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</si>
  <si>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</si>
  <si>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</si>
  <si>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</si>
  <si>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</si>
  <si>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</si>
  <si>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</si>
  <si>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</si>
  <si>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</si>
  <si>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</si>
  <si>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</si>
  <si>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</si>
  <si>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</si>
  <si>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</si>
  <si>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</si>
  <si>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</si>
  <si>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</si>
  <si>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</si>
  <si>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</si>
  <si>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</si>
  <si>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</si>
  <si>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</si>
  <si>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</si>
  <si>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</si>
  <si>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</si>
  <si>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</si>
  <si>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</si>
  <si>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</si>
  <si>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</si>
  <si>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</si>
  <si>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</si>
  <si>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</si>
  <si>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</si>
  <si>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</si>
  <si>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</si>
  <si>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</si>
  <si>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</si>
  <si>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</si>
  <si>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</si>
  <si>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</si>
  <si>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</si>
  <si>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</si>
  <si>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</si>
  <si>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</si>
  <si>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</si>
  <si>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</si>
  <si>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</si>
  <si>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</si>
  <si>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</si>
  <si>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</si>
  <si>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</si>
  <si>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</si>
  <si>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</si>
  <si>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</si>
  <si>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</si>
  <si>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</si>
  <si>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</si>
  <si>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</si>
  <si>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</si>
  <si>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</si>
  <si>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</si>
  <si>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</si>
  <si>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</si>
  <si>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</si>
  <si>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</si>
  <si>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</si>
  <si>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</si>
  <si>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</si>
  <si>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</si>
  <si>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</si>
  <si>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</si>
  <si>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</si>
  <si>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</si>
  <si>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</si>
  <si>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</si>
  <si>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</si>
  <si>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</si>
  <si>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</si>
  <si>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</si>
  <si>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</si>
  <si>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</si>
  <si>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</si>
  <si>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</si>
  <si>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</si>
  <si>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</si>
  <si>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</si>
  <si>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</si>
  <si>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</si>
  <si>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</si>
  <si>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</si>
  <si>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</si>
  <si>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</si>
  <si>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</si>
  <si>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</si>
  <si>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</si>
  <si>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</si>
  <si>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</si>
  <si>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</si>
  <si>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</si>
  <si>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</si>
  <si>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</si>
  <si>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</si>
  <si>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</si>
  <si>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</si>
  <si>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</si>
  <si>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</si>
  <si>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</si>
  <si>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</si>
  <si>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</si>
  <si>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</si>
  <si>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</si>
  <si>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</si>
  <si>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</si>
  <si>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</si>
  <si>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</si>
  <si>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</si>
  <si>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</si>
  <si>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</si>
  <si>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</si>
  <si>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</si>
  <si>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</si>
  <si>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</si>
  <si>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</si>
  <si>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</si>
  <si>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</si>
  <si>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</si>
  <si>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</si>
  <si>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</si>
  <si>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</si>
  <si>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</si>
  <si>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</si>
  <si>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</si>
  <si>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</si>
  <si>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</si>
  <si>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</si>
  <si>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</si>
  <si>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</si>
  <si>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</si>
  <si>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</si>
  <si>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</si>
  <si>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</si>
  <si>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</si>
  <si>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</si>
  <si>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</si>
  <si>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</si>
  <si>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</si>
  <si>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</si>
  <si>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</si>
  <si>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</si>
  <si>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</si>
  <si>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</si>
  <si>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</si>
  <si>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</si>
  <si>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</si>
  <si>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</si>
  <si>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</si>
  <si>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</si>
  <si>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</si>
  <si>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</si>
  <si>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</si>
  <si>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</si>
  <si>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</si>
  <si>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</si>
  <si>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</si>
  <si>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</si>
  <si>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</si>
  <si>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</si>
  <si>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</si>
  <si>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</si>
  <si>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</si>
  <si>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</si>
  <si>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</si>
  <si>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</si>
  <si>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</si>
  <si>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</si>
  <si>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</si>
  <si>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</si>
  <si>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</si>
  <si>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</si>
  <si>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</si>
  <si>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</si>
  <si>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</si>
  <si>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</si>
  <si>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</si>
  <si>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</si>
  <si>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</si>
  <si>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</si>
  <si>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</si>
  <si>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</si>
  <si>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</si>
  <si>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</si>
  <si>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</si>
  <si>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</si>
  <si>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</si>
  <si>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</si>
  <si>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</si>
  <si>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</si>
  <si>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</si>
  <si>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</si>
  <si>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</si>
  <si>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</si>
  <si>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</si>
  <si>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</si>
  <si>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</si>
  <si>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</si>
  <si>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</si>
  <si>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</si>
  <si>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</si>
  <si>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</si>
  <si>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</si>
  <si>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</si>
  <si>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</si>
  <si>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</si>
  <si>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</si>
  <si>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</si>
  <si>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</si>
  <si>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</si>
  <si>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</si>
  <si>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</si>
  <si>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</si>
  <si>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</si>
  <si>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</si>
  <si>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</si>
  <si>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</si>
  <si>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</si>
  <si>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</si>
  <si>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</si>
  <si>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</si>
  <si>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</si>
  <si>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</si>
  <si>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</si>
  <si>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</si>
  <si>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</si>
  <si>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</si>
  <si>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</si>
  <si>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</si>
  <si>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</si>
  <si>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</si>
  <si>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</si>
  <si>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</si>
  <si>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</si>
  <si>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</si>
  <si>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</si>
  <si>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</si>
  <si>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</si>
  <si>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</si>
  <si>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</si>
  <si>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</si>
  <si>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</si>
  <si>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</si>
  <si>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</si>
  <si>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</si>
  <si>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</si>
  <si>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</si>
  <si>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</si>
  <si>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</si>
  <si>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</si>
  <si>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</si>
  <si>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</si>
  <si>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</si>
  <si>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</si>
  <si>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</si>
  <si>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</si>
  <si>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</si>
  <si>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</si>
  <si>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</si>
  <si>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</si>
  <si>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</si>
  <si>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</si>
  <si>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</si>
  <si>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</si>
  <si>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</si>
  <si>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</si>
  <si>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</si>
  <si>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</si>
  <si>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</si>
  <si>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</si>
  <si>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</si>
  <si>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</si>
  <si>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</si>
  <si>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</si>
  <si>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</si>
  <si>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</si>
  <si>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</si>
  <si>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</si>
  <si>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</si>
  <si>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</si>
  <si>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</si>
  <si>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</si>
  <si>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</si>
  <si>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</si>
  <si>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</si>
  <si>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</si>
  <si>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</si>
  <si>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</si>
  <si>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</si>
  <si>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</si>
  <si>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</si>
  <si>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</si>
  <si>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</si>
  <si>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</si>
  <si>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</si>
  <si>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</si>
  <si>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</si>
  <si>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</si>
  <si>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</si>
  <si>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</si>
  <si>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</si>
  <si>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</si>
  <si>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</si>
  <si>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</si>
  <si>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</si>
  <si>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</si>
  <si>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</si>
  <si>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</si>
  <si>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</si>
  <si>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</si>
  <si>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</si>
  <si>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</si>
  <si>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</si>
  <si>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</si>
  <si>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</si>
  <si>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</si>
  <si>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</si>
  <si>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</si>
  <si>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</si>
  <si>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</si>
  <si>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</si>
  <si>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</si>
  <si>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</si>
  <si>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</si>
  <si>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</si>
  <si>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</si>
  <si>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</si>
  <si>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</si>
  <si>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</si>
  <si>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</si>
  <si>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</si>
  <si>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</si>
  <si>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</si>
  <si>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</si>
  <si>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</si>
  <si>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</si>
  <si>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</si>
  <si>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</si>
  <si>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</si>
  <si>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</si>
  <si>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</si>
  <si>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</si>
  <si>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</si>
  <si>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</si>
  <si>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</si>
  <si>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</si>
  <si>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</si>
  <si>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</si>
  <si>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</si>
  <si>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</si>
  <si>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</si>
  <si>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</si>
  <si>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</si>
  <si>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</si>
  <si>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</si>
  <si>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</si>
  <si>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</si>
  <si>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</si>
  <si>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</si>
  <si>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</si>
  <si>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</si>
  <si>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</si>
  <si>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</si>
  <si>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</si>
  <si>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</si>
  <si>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</si>
  <si>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</si>
  <si>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</si>
  <si>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</si>
  <si>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</si>
  <si>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</si>
  <si>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</si>
  <si>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</si>
  <si>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</si>
  <si>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</si>
  <si>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</si>
  <si>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</si>
  <si>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</si>
  <si>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</si>
  <si>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</si>
  <si>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</si>
  <si>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</si>
  <si>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</si>
  <si>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</si>
  <si>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</si>
  <si>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</si>
  <si>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</si>
  <si>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</si>
  <si>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</si>
  <si>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</si>
  <si>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</si>
  <si>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</si>
  <si>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</si>
  <si>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</si>
  <si>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</si>
  <si>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</si>
  <si>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</si>
  <si>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</si>
  <si>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</si>
  <si>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</si>
  <si>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</si>
  <si>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</si>
  <si>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</si>
  <si>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</si>
  <si>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</si>
  <si>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</si>
  <si>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</si>
  <si>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</si>
  <si>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</si>
  <si>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</si>
  <si>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</si>
  <si>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</si>
  <si>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</si>
  <si>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</si>
  <si>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</si>
  <si>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</si>
  <si>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</si>
  <si>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</si>
  <si>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</si>
  <si>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</si>
  <si>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</si>
  <si>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</si>
  <si>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</si>
  <si>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</si>
  <si>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</si>
  <si>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</si>
  <si>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</si>
  <si>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</si>
  <si>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</si>
  <si>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</si>
  <si>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</si>
  <si>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</si>
  <si>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</si>
  <si>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</si>
  <si>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</si>
  <si>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</si>
  <si>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</si>
  <si>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</si>
  <si>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</si>
  <si>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</si>
  <si>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</si>
  <si>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</si>
  <si>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</si>
  <si>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</si>
  <si>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</si>
  <si>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</si>
  <si>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</si>
  <si>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</si>
  <si>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</si>
  <si>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</si>
  <si>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</si>
  <si>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</si>
  <si>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</si>
  <si>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</si>
  <si>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</si>
  <si>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</si>
  <si>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</si>
  <si>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</si>
  <si>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</si>
  <si>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</si>
  <si>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</si>
  <si>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</si>
  <si>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</si>
  <si>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</si>
  <si>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</si>
  <si>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</si>
  <si>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</si>
  <si>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</si>
  <si>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</si>
  <si>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</si>
  <si>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</si>
  <si>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</si>
  <si>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</si>
  <si>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</si>
  <si>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</si>
  <si>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</si>
  <si>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</si>
  <si>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</si>
  <si>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</si>
  <si>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</si>
  <si>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</si>
  <si>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</si>
  <si>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</si>
  <si>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</si>
  <si>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</si>
  <si>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</si>
  <si>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</si>
  <si>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</si>
  <si>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</si>
  <si>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</si>
  <si>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</si>
  <si>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</si>
  <si>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</si>
  <si>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</si>
  <si>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</si>
  <si>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</si>
  <si>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</si>
  <si>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</si>
  <si>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</si>
  <si>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</si>
  <si>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</si>
  <si>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</si>
  <si>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</si>
  <si>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</si>
  <si>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</si>
  <si>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</si>
  <si>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</si>
  <si>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</si>
  <si>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</si>
  <si>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</si>
  <si>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</si>
  <si>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</si>
  <si>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</si>
  <si>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</si>
  <si>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</si>
  <si>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</si>
  <si>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</si>
  <si>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</si>
  <si>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</si>
  <si>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</si>
  <si>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</si>
  <si>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</si>
  <si>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</si>
  <si>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</si>
  <si>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</si>
  <si>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</si>
  <si>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</si>
  <si>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</si>
  <si>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</si>
  <si>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</si>
  <si>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</si>
  <si>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</si>
  <si>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</si>
  <si>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</si>
  <si>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</si>
  <si>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</si>
  <si>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</si>
  <si>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</si>
  <si>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</si>
  <si>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</si>
  <si>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</si>
  <si>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</si>
  <si>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</si>
  <si>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</si>
  <si>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</si>
  <si>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</si>
  <si>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</si>
  <si>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</si>
  <si>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</si>
  <si>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</si>
  <si>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</si>
  <si>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</si>
  <si>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</si>
  <si>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</si>
  <si>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</si>
  <si>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</si>
  <si>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</si>
  <si>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</si>
  <si>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</si>
  <si>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</si>
  <si>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</si>
  <si>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</si>
  <si>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</si>
  <si>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</si>
  <si>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</si>
  <si>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</si>
  <si>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</si>
  <si>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</si>
  <si>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</si>
  <si>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</si>
  <si>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</si>
  <si>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</si>
  <si>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</si>
  <si>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</si>
  <si>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</si>
  <si>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</si>
  <si>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</si>
  <si>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</si>
  <si>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</si>
  <si>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</si>
  <si>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</si>
  <si>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</si>
  <si>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</si>
  <si>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</si>
  <si>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</si>
  <si>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</si>
  <si>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</si>
  <si>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</si>
  <si>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</si>
  <si>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</si>
  <si>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</si>
  <si>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</si>
  <si>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</si>
  <si>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</si>
  <si>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</si>
  <si>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</si>
  <si>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</si>
  <si>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</si>
  <si>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</si>
  <si>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</si>
  <si>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</si>
  <si>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</si>
  <si>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</si>
  <si>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</si>
  <si>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</si>
  <si>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</si>
  <si>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</si>
  <si>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</si>
  <si>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</si>
  <si>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</si>
  <si>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</si>
  <si>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</si>
  <si>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</si>
  <si>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</si>
  <si>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</si>
  <si>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</si>
  <si>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</si>
  <si>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</si>
  <si>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</si>
  <si>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</si>
  <si>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</si>
  <si>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</si>
  <si>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</si>
  <si>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</si>
  <si>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</si>
  <si>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</si>
  <si>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</si>
  <si>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</si>
  <si>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</si>
  <si>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</si>
  <si>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</si>
  <si>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</si>
  <si>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</si>
  <si>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</si>
  <si>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</si>
  <si>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</si>
  <si>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</si>
  <si>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</si>
  <si>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</si>
  <si>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</si>
  <si>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</si>
  <si>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</si>
  <si>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</si>
  <si>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</si>
  <si>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</si>
  <si>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</si>
  <si>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</si>
  <si>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</si>
  <si>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</si>
  <si>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</si>
  <si>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</si>
  <si>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</si>
  <si>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</si>
  <si>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</si>
  <si>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</si>
  <si>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</si>
  <si>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</si>
  <si>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</si>
  <si>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</si>
  <si>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</si>
  <si>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</si>
  <si>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</si>
  <si>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</si>
  <si>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</si>
  <si>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</si>
  <si>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</si>
  <si>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</si>
  <si>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</si>
  <si>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</si>
  <si>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</si>
  <si>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</si>
  <si>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</si>
  <si>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</si>
  <si>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</si>
  <si>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</si>
  <si>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</si>
  <si>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</si>
  <si>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</si>
  <si>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</si>
  <si>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</si>
  <si>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</si>
  <si>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</si>
  <si>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</si>
  <si>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</si>
  <si>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</si>
  <si>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</si>
  <si>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</si>
  <si>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</si>
  <si>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</si>
  <si>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</si>
  <si>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</si>
  <si>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</si>
  <si>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</si>
  <si>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</si>
  <si>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</si>
  <si>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</si>
  <si>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</si>
  <si>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</si>
  <si>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</si>
  <si>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</si>
  <si>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</si>
  <si>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</si>
  <si>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</si>
  <si>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</si>
  <si>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</si>
  <si>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</si>
  <si>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</si>
  <si>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</si>
  <si>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</si>
  <si>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</si>
  <si>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</si>
  <si>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</si>
  <si>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</si>
  <si>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</si>
  <si>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</si>
  <si>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</si>
  <si>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</si>
  <si>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</si>
  <si>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</si>
  <si>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</si>
  <si>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</si>
  <si>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</si>
  <si>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</si>
  <si>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</si>
  <si>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</si>
  <si>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</si>
  <si>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</si>
  <si>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</si>
  <si>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</si>
  <si>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</si>
  <si>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</si>
  <si>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</si>
  <si>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</si>
  <si>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</si>
  <si>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</si>
  <si>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</si>
  <si>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</si>
  <si>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</si>
  <si>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</si>
  <si>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</si>
  <si>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</si>
  <si>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</si>
  <si>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</si>
  <si>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</si>
  <si>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</si>
  <si>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</si>
  <si>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</si>
  <si>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</si>
  <si>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</si>
  <si>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</si>
  <si>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</si>
  <si>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</si>
  <si>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</si>
  <si>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</si>
  <si>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</si>
  <si>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</si>
  <si>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</si>
  <si>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</si>
  <si>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</si>
  <si>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</si>
  <si>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</si>
  <si>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</si>
  <si>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</si>
  <si>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</si>
  <si>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</si>
  <si>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</si>
  <si>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</si>
  <si>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</si>
  <si>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</si>
  <si>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</si>
  <si>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</si>
  <si>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</si>
  <si>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</si>
  <si>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</si>
  <si>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</si>
  <si>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</si>
  <si>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</si>
  <si>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</si>
  <si>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</si>
  <si>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</si>
  <si>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</si>
  <si>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</si>
  <si>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</si>
  <si>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</si>
  <si>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</si>
  <si>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</si>
  <si>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</si>
  <si>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</si>
  <si>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</si>
  <si>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</si>
  <si>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</si>
  <si>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</si>
  <si>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</si>
  <si>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</si>
  <si>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</si>
  <si>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</si>
  <si>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</si>
  <si>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</si>
  <si>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</si>
  <si>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</si>
  <si>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</si>
  <si>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</si>
  <si>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</si>
  <si>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</si>
  <si>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</si>
  <si>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</si>
  <si>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</si>
  <si>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</si>
  <si>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</si>
  <si>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</si>
  <si>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</si>
  <si>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</si>
  <si>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</si>
  <si>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</si>
  <si>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</si>
  <si>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</si>
  <si>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</si>
  <si>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</si>
  <si>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</si>
  <si>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</si>
  <si>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</si>
  <si>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</si>
  <si>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</si>
  <si>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</si>
  <si>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</si>
  <si>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</si>
  <si>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</si>
  <si>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</si>
  <si>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</si>
  <si>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</si>
  <si>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</si>
  <si>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</si>
  <si>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</si>
  <si>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</si>
  <si>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</si>
  <si>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</si>
  <si>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</si>
  <si>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</si>
  <si>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</si>
  <si>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</si>
  <si>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</si>
  <si>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</si>
  <si>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</si>
  <si>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</si>
  <si>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</si>
  <si>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</si>
  <si>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</si>
  <si>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</si>
  <si>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</si>
  <si>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</si>
  <si>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</si>
  <si>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</si>
  <si>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</si>
  <si>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</si>
  <si>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</si>
  <si>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</si>
  <si>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</si>
  <si>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</si>
  <si>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</si>
  <si>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</si>
  <si>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</si>
  <si>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</si>
  <si>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</si>
  <si>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</si>
  <si>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</si>
  <si>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</si>
  <si>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</si>
  <si>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</si>
  <si>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</si>
  <si>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</si>
  <si>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</si>
  <si>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</si>
  <si>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</si>
  <si>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</si>
  <si>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</si>
  <si>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</si>
  <si>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</si>
  <si>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</si>
  <si>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</si>
  <si>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</si>
  <si>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</si>
  <si>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</si>
  <si>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</si>
  <si>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</si>
  <si>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</si>
  <si>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</si>
  <si>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</si>
  <si>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</si>
  <si>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</si>
  <si>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</si>
  <si>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</si>
  <si>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</si>
  <si>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</si>
  <si>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</si>
  <si>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</si>
  <si>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</si>
  <si>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</si>
  <si>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</si>
  <si>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</si>
  <si>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</si>
  <si>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</si>
  <si>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</si>
  <si>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</si>
  <si>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</si>
  <si>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</si>
  <si>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</si>
  <si>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</si>
  <si>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</si>
  <si>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</si>
  <si>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</si>
  <si>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</si>
  <si>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</si>
  <si>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</si>
  <si>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</si>
  <si>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</si>
  <si>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</si>
  <si>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</si>
  <si>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</si>
  <si>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</si>
  <si>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</si>
  <si>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</si>
  <si>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</si>
  <si>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</si>
  <si>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</si>
  <si>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</si>
  <si>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</si>
  <si>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</si>
  <si>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</si>
  <si>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</si>
  <si>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</si>
  <si>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</si>
  <si>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</si>
  <si>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</si>
  <si>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</si>
  <si>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</si>
  <si>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</si>
  <si>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</si>
  <si>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</si>
  <si>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</si>
  <si>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</si>
  <si>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</si>
  <si>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</si>
  <si>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</si>
  <si>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</si>
  <si>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</si>
  <si>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</si>
  <si>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</si>
  <si>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</si>
  <si>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</si>
  <si>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</si>
  <si>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</si>
  <si>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</si>
  <si>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</si>
  <si>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</si>
  <si>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</si>
  <si>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</si>
  <si>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</si>
  <si>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</si>
  <si>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</si>
  <si>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</si>
  <si>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</si>
  <si>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</si>
  <si>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</si>
  <si>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</si>
  <si>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</si>
  <si>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</si>
  <si>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</si>
  <si>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</si>
  <si>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</si>
  <si>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</si>
  <si>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</si>
  <si>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</si>
  <si>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</si>
  <si>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</si>
  <si>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</si>
  <si>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</si>
  <si>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</si>
  <si>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</si>
  <si>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</si>
  <si>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</si>
  <si>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</si>
  <si>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</si>
  <si>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</si>
  <si>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</si>
  <si>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</si>
  <si>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</si>
  <si>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</si>
  <si>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</si>
  <si>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</si>
  <si>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</si>
  <si>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</si>
  <si>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</si>
  <si>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</si>
  <si>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</si>
  <si>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</si>
  <si>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</si>
  <si>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</si>
  <si>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</si>
  <si>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</si>
  <si>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</si>
  <si>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</si>
  <si>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</si>
  <si>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</si>
  <si>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</si>
  <si>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</si>
  <si>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</si>
  <si>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</si>
  <si>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</si>
  <si>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</si>
  <si>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</si>
  <si>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</si>
  <si>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</si>
  <si>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</si>
  <si>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</si>
  <si>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</si>
  <si>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</si>
  <si>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</si>
  <si>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</si>
  <si>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</si>
  <si>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</si>
  <si>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</si>
  <si>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</si>
  <si>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</si>
  <si>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</si>
  <si>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</si>
  <si>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</si>
  <si>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</si>
  <si>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</si>
  <si>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</si>
  <si>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</si>
  <si>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</si>
  <si>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</si>
  <si>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</si>
  <si>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</si>
  <si>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</si>
  <si>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</si>
  <si>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</si>
  <si>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</si>
  <si>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</si>
  <si>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</si>
  <si>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</si>
  <si>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</si>
  <si>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</si>
  <si>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</si>
  <si>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</si>
  <si>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</si>
  <si>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</si>
  <si>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</si>
  <si>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</si>
  <si>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</si>
  <si>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</si>
  <si>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</si>
  <si>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</si>
  <si>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</si>
  <si>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</si>
  <si>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</si>
  <si>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</si>
  <si>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</si>
  <si>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</si>
  <si>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</si>
  <si>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</si>
  <si>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</si>
  <si>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</si>
  <si>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</si>
  <si>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</si>
  <si>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</si>
  <si>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</si>
  <si>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</si>
  <si>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</si>
  <si>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</si>
  <si>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</si>
  <si>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</si>
  <si>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</si>
  <si>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</si>
  <si>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</si>
  <si>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</si>
  <si>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</si>
  <si>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</si>
  <si>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</si>
  <si>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</si>
  <si>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</si>
  <si>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</si>
  <si>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</si>
  <si>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</si>
  <si>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</si>
  <si>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</si>
  <si>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</si>
  <si>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</si>
  <si>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</si>
  <si>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</si>
  <si>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</si>
  <si>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</si>
  <si>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</si>
  <si>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</si>
  <si>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</si>
  <si>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</si>
  <si>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</si>
  <si>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</si>
  <si>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</si>
  <si>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</si>
  <si>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</si>
  <si>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</si>
  <si>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</si>
  <si>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</si>
  <si>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</si>
  <si>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</si>
  <si>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</si>
  <si>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</si>
  <si>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</si>
  <si>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</si>
  <si>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</si>
  <si>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</si>
  <si>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</si>
  <si>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</si>
  <si>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</si>
  <si>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</si>
  <si>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</si>
  <si>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</si>
  <si>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</si>
  <si>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</si>
  <si>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</si>
  <si>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</si>
  <si>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</si>
  <si>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</si>
  <si>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</si>
  <si>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</si>
  <si>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</si>
  <si>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</si>
  <si>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</si>
  <si>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</si>
  <si>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</si>
  <si>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</si>
  <si>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</si>
  <si>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</si>
  <si>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</si>
  <si>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</si>
  <si>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</si>
  <si>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</si>
  <si>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</si>
  <si>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</si>
  <si>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</si>
  <si>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</si>
  <si>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</si>
  <si>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</si>
  <si>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</si>
  <si>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</si>
  <si>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</si>
  <si>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</si>
  <si>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</si>
  <si>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</si>
  <si>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</si>
  <si>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</si>
  <si>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</si>
  <si>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</si>
  <si>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</si>
  <si>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</si>
  <si>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</si>
  <si>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</si>
  <si>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</si>
  <si>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</si>
  <si>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</si>
  <si>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</si>
  <si>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</si>
  <si>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</si>
  <si>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</si>
  <si>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</si>
  <si>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</si>
  <si>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</si>
  <si>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</si>
  <si>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</si>
  <si>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</si>
  <si>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</si>
  <si>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</si>
  <si>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</si>
  <si>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</si>
  <si>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</si>
  <si>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</si>
  <si>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</si>
  <si>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</si>
  <si>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</si>
  <si>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</si>
  <si>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</si>
  <si>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</si>
  <si>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</si>
  <si>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</si>
  <si>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</si>
  <si>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</si>
  <si>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</si>
  <si>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</si>
  <si>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</si>
  <si>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</si>
  <si>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</si>
  <si>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</si>
  <si>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</si>
  <si>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</si>
  <si>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</si>
  <si>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</si>
  <si>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</si>
  <si>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</si>
  <si>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</si>
  <si>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</si>
  <si>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</si>
  <si>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</si>
  <si>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</si>
  <si>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</si>
  <si>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</si>
  <si>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</si>
  <si>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</si>
  <si>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</si>
  <si>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</si>
  <si>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</si>
  <si>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</si>
  <si>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</si>
  <si>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</si>
  <si>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</si>
  <si>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</si>
  <si>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</si>
  <si>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</si>
  <si>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</si>
  <si>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</si>
  <si>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</si>
  <si>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</si>
  <si>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</si>
  <si>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</si>
  <si>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</si>
  <si>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</si>
  <si>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</si>
  <si>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</si>
  <si>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</si>
  <si>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</si>
  <si>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</si>
  <si>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</si>
  <si>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</si>
  <si>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</si>
  <si>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</si>
  <si>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</si>
  <si>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</si>
  <si>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</si>
  <si>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</si>
  <si>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</si>
  <si>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</si>
  <si>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</si>
  <si>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</si>
  <si>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</si>
  <si>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</si>
  <si>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</si>
  <si>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</si>
  <si>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</si>
  <si>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</si>
  <si>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</si>
  <si>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</si>
  <si>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</si>
  <si>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</si>
  <si>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</si>
  <si>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</si>
  <si>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</si>
  <si>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</si>
  <si>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</si>
  <si>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</si>
  <si>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</si>
  <si>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</si>
  <si>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</si>
  <si>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</si>
  <si>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</si>
  <si>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</si>
  <si>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</si>
  <si>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</si>
  <si>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</si>
  <si>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</si>
  <si>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</si>
  <si>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</si>
  <si>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</si>
  <si>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</si>
  <si>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</si>
  <si>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</si>
  <si>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</si>
  <si>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</si>
  <si>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</si>
  <si>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</si>
  <si>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</si>
  <si>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</si>
  <si>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</si>
  <si>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</si>
  <si>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</si>
  <si>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</si>
  <si>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</si>
  <si>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</si>
  <si>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</si>
  <si>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</si>
  <si>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</si>
  <si>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</si>
  <si>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</si>
  <si>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</si>
  <si>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</si>
  <si>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</si>
  <si>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</si>
  <si>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</si>
  <si>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</si>
  <si>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</si>
  <si>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</si>
  <si>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</si>
  <si>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</si>
  <si>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</si>
  <si>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</si>
  <si>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</si>
  <si>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</si>
  <si>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</si>
  <si>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</si>
  <si>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</si>
  <si>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</si>
  <si>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</si>
  <si>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</si>
  <si>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</si>
  <si>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</si>
  <si>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</si>
  <si>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</si>
  <si>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</si>
  <si>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</si>
  <si>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</si>
  <si>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</si>
  <si>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</si>
  <si>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</si>
  <si>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</si>
  <si>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</si>
  <si>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</si>
  <si>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</si>
  <si>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</si>
  <si>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</si>
  <si>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</si>
  <si>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</si>
  <si>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</si>
  <si>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</si>
  <si>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</si>
  <si>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</si>
  <si>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</si>
  <si>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</si>
  <si>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</si>
  <si>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</si>
  <si>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</si>
  <si>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</si>
  <si>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</si>
  <si>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</si>
  <si>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</si>
  <si>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</si>
  <si>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</si>
  <si>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</si>
  <si>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</si>
  <si>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</si>
  <si>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</si>
  <si>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</si>
  <si>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</si>
  <si>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</si>
  <si>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</si>
  <si>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</si>
  <si>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</si>
  <si>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</si>
  <si>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</si>
  <si>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</si>
  <si>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</si>
  <si>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</si>
  <si>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</si>
  <si>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</si>
  <si>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</si>
  <si>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</si>
  <si>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</si>
  <si>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</si>
  <si>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</si>
  <si>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</si>
  <si>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</si>
  <si>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</si>
  <si>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</si>
  <si>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</si>
  <si>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</si>
  <si>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</si>
  <si>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</si>
  <si>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</si>
  <si>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</si>
  <si>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</si>
  <si>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</si>
  <si>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</si>
  <si>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</si>
  <si>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</si>
  <si>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</si>
  <si>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</si>
  <si>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</si>
  <si>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</si>
  <si>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</si>
  <si>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</si>
  <si>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</si>
  <si>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</si>
  <si>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</si>
  <si>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</si>
  <si>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</si>
  <si>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</si>
  <si>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</si>
  <si>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</si>
  <si>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</si>
  <si>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</si>
  <si>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</si>
  <si>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</si>
  <si>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</si>
  <si>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</si>
  <si>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</si>
  <si>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</si>
  <si>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</si>
  <si>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</si>
  <si>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</si>
  <si>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</si>
  <si>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</si>
  <si>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</si>
  <si>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</si>
  <si>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</si>
  <si>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</si>
  <si>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</si>
  <si>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</si>
  <si>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</si>
  <si>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</si>
  <si>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</si>
  <si>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</si>
  <si>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</si>
  <si>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</si>
  <si>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</si>
  <si>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</si>
  <si>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</si>
  <si>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</si>
  <si>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</si>
  <si>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</si>
  <si>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</si>
  <si>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</si>
  <si>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</si>
  <si>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</si>
  <si>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</si>
  <si>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</si>
  <si>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</si>
  <si>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</si>
  <si>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</si>
  <si>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</si>
  <si>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</si>
  <si>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</si>
  <si>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</si>
  <si>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</si>
  <si>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</si>
  <si>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</si>
  <si>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</si>
  <si>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</si>
  <si>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</si>
  <si>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</si>
  <si>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</si>
  <si>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</si>
  <si>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</si>
  <si>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</si>
  <si>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</si>
  <si>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</si>
  <si>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</si>
  <si>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</si>
  <si>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</si>
  <si>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</si>
  <si>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</si>
  <si>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</si>
  <si>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</si>
  <si>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</si>
  <si>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</si>
  <si>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</si>
  <si>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</si>
  <si>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</si>
  <si>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</si>
  <si>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</si>
  <si>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</si>
  <si>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</si>
  <si>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</si>
  <si>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</si>
  <si>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</si>
  <si>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</si>
  <si>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</si>
  <si>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</si>
  <si>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</si>
  <si>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</si>
  <si>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</si>
  <si>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</si>
  <si>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</si>
  <si>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</si>
  <si>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</si>
  <si>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</si>
  <si>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</si>
  <si>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</si>
  <si>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</si>
  <si>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</si>
  <si>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</si>
  <si>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</si>
  <si>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</si>
  <si>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</si>
  <si>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</si>
  <si>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</si>
  <si>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</si>
  <si>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</si>
  <si>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</si>
  <si>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</si>
  <si>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</si>
  <si>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</si>
  <si>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</si>
  <si>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</si>
  <si>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</si>
  <si>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</si>
  <si>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</si>
  <si>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</si>
  <si>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</si>
  <si>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</si>
  <si>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</si>
  <si>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</si>
  <si>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</si>
  <si>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</si>
  <si>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</si>
  <si>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</si>
  <si>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</si>
  <si>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</si>
  <si>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</si>
  <si>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</si>
  <si>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</si>
  <si>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</si>
  <si>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</si>
  <si>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</si>
  <si>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</si>
  <si>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</si>
  <si>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</si>
  <si>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</si>
  <si>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</si>
  <si>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</si>
  <si>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</si>
  <si>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</si>
  <si>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</si>
  <si>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</si>
  <si>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</si>
  <si>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</si>
  <si>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</si>
  <si>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</si>
  <si>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</si>
  <si>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</si>
  <si>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</si>
  <si>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</si>
  <si>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</si>
  <si>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</si>
  <si>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</si>
  <si>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</si>
  <si>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</si>
  <si>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</si>
  <si>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</si>
  <si>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</si>
  <si>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</si>
  <si>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</si>
  <si>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</si>
  <si>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</si>
  <si>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</si>
  <si>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</si>
  <si>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</si>
  <si>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</si>
  <si>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</si>
  <si>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</si>
  <si>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</si>
  <si>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</si>
  <si>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</si>
  <si>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</si>
  <si>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</si>
  <si>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</si>
  <si>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</si>
  <si>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</si>
  <si>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</si>
  <si>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</si>
  <si>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</si>
  <si>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</si>
  <si>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</si>
  <si>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</si>
  <si>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</si>
  <si>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</si>
  <si>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</si>
  <si>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</si>
  <si>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</si>
  <si>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</si>
  <si>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</si>
  <si>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</si>
  <si>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</si>
  <si>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</si>
  <si>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</si>
  <si>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</si>
  <si>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</si>
  <si>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</si>
  <si>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</si>
  <si>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</si>
  <si>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</si>
  <si>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</si>
  <si>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</si>
  <si>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</si>
  <si>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</si>
  <si>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</si>
  <si>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</si>
  <si>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</si>
  <si>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</si>
  <si>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</si>
  <si>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</si>
  <si>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</si>
  <si>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</si>
  <si>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</si>
  <si>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</si>
  <si>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</si>
  <si>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</si>
  <si>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</si>
  <si>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</si>
  <si>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</si>
  <si>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</si>
  <si>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</si>
  <si>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</si>
  <si>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</si>
  <si>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</si>
  <si>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</si>
  <si>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</si>
  <si>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</si>
  <si>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</si>
  <si>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</si>
  <si>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</si>
  <si>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</si>
  <si>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</si>
  <si>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</si>
  <si>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</si>
  <si>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</si>
  <si>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</si>
  <si>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</si>
  <si>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</si>
  <si>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</si>
  <si>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</si>
  <si>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</si>
  <si>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</si>
  <si>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</si>
  <si>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</si>
  <si>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</si>
  <si>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</si>
  <si>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</si>
  <si>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</si>
  <si>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</si>
  <si>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</si>
  <si>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</si>
  <si>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</si>
  <si>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</si>
  <si>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</si>
  <si>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</si>
  <si>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</si>
  <si>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</si>
  <si>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</si>
  <si>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</si>
  <si>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</si>
  <si>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</si>
  <si>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</si>
  <si>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</si>
  <si>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</si>
  <si>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</si>
  <si>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</si>
  <si>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</si>
  <si>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</si>
  <si>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</si>
  <si>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</si>
  <si>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</si>
  <si>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</si>
  <si>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</si>
  <si>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</si>
  <si>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</si>
  <si>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</si>
  <si>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</si>
  <si>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</si>
  <si>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</si>
  <si>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</si>
  <si>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</si>
  <si>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</si>
  <si>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</si>
  <si>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</si>
  <si>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</si>
  <si>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</si>
  <si>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</si>
  <si>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</si>
  <si>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</si>
  <si>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</si>
  <si>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</si>
  <si>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</si>
  <si>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</si>
  <si>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</si>
  <si>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</si>
  <si>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</si>
  <si>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</si>
  <si>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</si>
  <si>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</si>
  <si>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</si>
  <si>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</si>
  <si>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</si>
  <si>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</si>
  <si>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</si>
  <si>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</si>
  <si>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</si>
  <si>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</si>
  <si>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</si>
  <si>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</si>
  <si>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</si>
  <si>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</si>
  <si>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</si>
  <si>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</si>
  <si>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</si>
  <si>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</si>
  <si>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</si>
  <si>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</si>
  <si>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</si>
  <si>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</si>
  <si>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</si>
  <si>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</si>
  <si>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</si>
  <si>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</si>
  <si>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</si>
  <si>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</si>
  <si>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</si>
  <si>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</si>
  <si>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</si>
  <si>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</si>
  <si>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</si>
  <si>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</si>
  <si>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</si>
  <si>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</si>
  <si>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</si>
  <si>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</si>
  <si>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</si>
  <si>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</si>
  <si>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</si>
  <si>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</si>
  <si>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</si>
  <si>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</si>
  <si>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</si>
  <si>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</si>
  <si>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</si>
  <si>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</si>
  <si>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</si>
  <si>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</si>
  <si>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</si>
  <si>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</si>
  <si>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</si>
  <si>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</si>
  <si>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</si>
  <si>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</si>
  <si>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</si>
  <si>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</si>
  <si>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</si>
  <si>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</si>
  <si>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</si>
  <si>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</si>
  <si>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</si>
  <si>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</si>
  <si>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</si>
  <si>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</si>
  <si>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</si>
  <si>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</si>
  <si>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</si>
  <si>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</si>
  <si>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</si>
  <si>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</si>
  <si>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</si>
  <si>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</si>
  <si>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</si>
  <si>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</si>
  <si>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</si>
  <si>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</si>
  <si>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</si>
  <si>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</si>
  <si>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</si>
  <si>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</si>
  <si>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</si>
  <si>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</si>
  <si>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</si>
  <si>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</si>
  <si>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</si>
  <si>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</si>
  <si>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</si>
  <si>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</si>
  <si>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</si>
  <si>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</si>
  <si>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</si>
  <si>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</si>
  <si>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</si>
  <si>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</si>
  <si>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</si>
  <si>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</si>
  <si>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</si>
  <si>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</si>
  <si>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</si>
  <si>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</si>
  <si>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</si>
  <si>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</si>
  <si>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</si>
  <si>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</si>
  <si>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</si>
  <si>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</si>
  <si>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</si>
  <si>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</si>
  <si>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</si>
  <si>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</si>
  <si>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</si>
  <si>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</si>
  <si>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</si>
  <si>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</si>
  <si>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</si>
  <si>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</si>
  <si>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</si>
  <si>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</si>
  <si>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</si>
  <si>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</si>
  <si>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</si>
  <si>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</si>
  <si>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</si>
  <si>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</si>
  <si>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</si>
  <si>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</si>
  <si>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</si>
  <si>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</si>
  <si>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</si>
  <si>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</si>
  <si>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</si>
  <si>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</si>
  <si>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</si>
  <si>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</si>
  <si>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</si>
  <si>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</si>
  <si>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</si>
  <si>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</si>
  <si>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</si>
  <si>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</si>
  <si>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</si>
  <si>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</si>
  <si>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</si>
  <si>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</si>
  <si>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</si>
  <si>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</si>
  <si>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</si>
  <si>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</si>
  <si>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</si>
  <si>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</si>
  <si>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</si>
  <si>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</si>
  <si>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</si>
  <si>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</si>
  <si>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</si>
  <si>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</si>
  <si>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</si>
  <si>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</si>
  <si>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</si>
  <si>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</si>
  <si>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</si>
  <si>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</si>
  <si>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</si>
  <si>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</si>
  <si>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</si>
  <si>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</si>
  <si>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</si>
  <si>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</si>
  <si>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</si>
  <si>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</si>
  <si>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</si>
  <si>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</si>
  <si>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</si>
  <si>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</si>
  <si>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</si>
  <si>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</si>
  <si>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</si>
  <si>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</si>
  <si>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</si>
  <si>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</si>
  <si>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</si>
  <si>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</si>
  <si>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</si>
  <si>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</si>
  <si>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</si>
  <si>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</si>
  <si>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</si>
  <si>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</si>
  <si>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</si>
  <si>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</si>
  <si>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</si>
  <si>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</si>
  <si>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</si>
  <si>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</si>
  <si>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</si>
  <si>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</si>
  <si>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</si>
  <si>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</si>
  <si>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</si>
  <si>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</si>
  <si>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</si>
  <si>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</si>
  <si>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</si>
  <si>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</si>
  <si>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</si>
  <si>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</si>
  <si>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</si>
  <si>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</si>
  <si>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</si>
  <si>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</si>
  <si>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</si>
  <si>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</si>
  <si>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</si>
  <si>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</si>
  <si>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</si>
  <si>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</si>
  <si>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</si>
  <si>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</si>
  <si>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</si>
  <si>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</si>
  <si>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</si>
  <si>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</si>
  <si>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</si>
  <si>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</si>
  <si>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</si>
  <si>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(Multiple Items)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</si>
  <si>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</si>
  <si>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</si>
  <si>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</si>
  <si>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</si>
  <si>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</si>
  <si>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</si>
  <si>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</si>
  <si>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</si>
  <si>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</si>
  <si>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</si>
  <si>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</si>
  <si>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</si>
  <si>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</si>
  <si>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</si>
  <si>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</si>
  <si>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Standard</t>
  </si>
  <si>
    <t>H000004863</t>
  </si>
  <si>
    <t>H000004864</t>
  </si>
  <si>
    <t>H000004865</t>
  </si>
  <si>
    <t>UNKNOWN</t>
  </si>
  <si>
    <t>MERCK SERONO ITALY - BARI (CCH)</t>
  </si>
  <si>
    <t>1250BA - OPERATIONS</t>
  </si>
  <si>
    <t>1250BA - OPERATIONS SUPPORT SERVICES</t>
  </si>
  <si>
    <t>H000001474</t>
  </si>
  <si>
    <t>1250BA - SITE INFRASTRUCTURE</t>
  </si>
  <si>
    <t>1250BA - QUALITY</t>
  </si>
  <si>
    <t>1250BA - OTHERS</t>
  </si>
  <si>
    <t>H000011472</t>
  </si>
  <si>
    <t>1250BA - MANUFACTURING</t>
  </si>
  <si>
    <t>H000012472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</si>
  <si>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</si>
  <si>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</si>
  <si>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</si>
  <si>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</si>
  <si>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</si>
  <si>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</si>
  <si>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</si>
  <si>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</si>
  <si>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</si>
  <si>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</si>
  <si>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</si>
  <si>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</si>
  <si>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</si>
  <si>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</si>
  <si>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</si>
  <si>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</si>
  <si>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</si>
  <si>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</si>
  <si>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</si>
  <si>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</si>
  <si>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</si>
  <si>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</si>
  <si>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</si>
  <si>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</si>
  <si>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</si>
  <si>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</si>
  <si>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</si>
  <si>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</si>
  <si>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</si>
  <si>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</si>
  <si>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</si>
  <si>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</si>
  <si>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</si>
  <si>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</si>
  <si>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</si>
  <si>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</si>
  <si>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</si>
  <si>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</si>
  <si>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</si>
  <si>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</si>
  <si>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</si>
  <si>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</si>
  <si>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</si>
  <si>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</si>
  <si>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</si>
  <si>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</si>
  <si>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</si>
  <si>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</si>
  <si>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DONE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</si>
  <si>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</si>
  <si>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</si>
  <si>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</si>
  <si>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</si>
  <si>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</si>
  <si>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</si>
  <si>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</si>
  <si>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</si>
  <si>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</si>
  <si>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</si>
  <si>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</si>
  <si>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</si>
  <si>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</si>
  <si>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</si>
  <si>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</si>
  <si>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</si>
  <si>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</si>
  <si>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</si>
  <si>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</si>
  <si>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</si>
  <si>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</si>
  <si>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</si>
  <si>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</si>
  <si>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</si>
  <si>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</si>
  <si>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</si>
  <si>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</si>
  <si>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</si>
  <si>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</si>
  <si>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</si>
  <si>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</si>
  <si>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</si>
  <si>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</si>
  <si>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</si>
  <si>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</si>
  <si>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</si>
  <si>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</si>
  <si>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</si>
  <si>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</si>
  <si>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P000000578 XX EL-SC ISC General</t>
  </si>
  <si>
    <t>P000000467 EL-SC-C Customer Fulfillment</t>
  </si>
  <si>
    <t>P000000483 EL-SC-Q Quality &amp; Compliance Management</t>
  </si>
  <si>
    <t>P000000522 EL-FO Planarization ISC &amp; Quality</t>
  </si>
  <si>
    <t>P000001280 DSS Global S&amp;OP / Fulfill</t>
  </si>
  <si>
    <t>P000000584 EL-CC-D Digital Solutions</t>
  </si>
  <si>
    <t>P000000966 EL-ND-N DS&amp;S Production Sites</t>
  </si>
  <si>
    <t>P000000555 EL-CT CTO</t>
  </si>
  <si>
    <t>P000000642 EL-FO-P Patterning Solutions</t>
  </si>
  <si>
    <t>P000000000 Electronics</t>
  </si>
  <si>
    <t>Cluster Synthesis / Purification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</si>
  <si>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</si>
  <si>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</si>
  <si>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</si>
  <si>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</si>
  <si>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</si>
  <si>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</si>
  <si>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</si>
  <si>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</si>
  <si>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</si>
  <si>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</si>
  <si>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</si>
  <si>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</si>
  <si>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</si>
  <si>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</si>
  <si>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</si>
  <si>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</si>
  <si>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</si>
  <si>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</si>
  <si>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</si>
  <si>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</si>
  <si>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</si>
  <si>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</si>
  <si>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</si>
  <si>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</si>
  <si>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</si>
  <si>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</si>
  <si>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</si>
  <si>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</si>
  <si>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</si>
  <si>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</si>
  <si>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</si>
  <si>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</si>
  <si>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</si>
  <si>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</si>
  <si>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</si>
  <si>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</si>
  <si>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</si>
  <si>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</si>
  <si>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</si>
  <si>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</si>
  <si>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</si>
  <si>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</si>
  <si>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</si>
  <si>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</si>
  <si>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</si>
  <si>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</si>
  <si>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</si>
  <si>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to do in 2026; renamed</t>
  </si>
  <si>
    <t>to do in 2026; renamed;mapped</t>
  </si>
  <si>
    <t>to do in 2026;moved</t>
  </si>
  <si>
    <t>to do in 2026; renamed;moved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</si>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</sst>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0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</cellXfs>
  <cellStyles count="90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85780555553" createdVersion="7" refreshedVersion="7" minRefreshableVersion="3" recordCount="171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11"/>
    </cacheField>
    <cacheField name="Forecast?" numFmtId="0">
      <sharedItems/>
    </cacheField>
    <cacheField name="Ticket" numFmtId="0">
      <sharedItems count="90"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  <s v="FR7889853"/>
        <s v="FR7896868"/>
        <s v="FR7917475"/>
        <s v="FR7917547"/>
        <s v="FR7918730"/>
        <s v="FR7920295"/>
        <s v="FR7989109"/>
        <s v="FR7986848"/>
        <s v="FR6801039" u="1"/>
        <s v="FR6711984" u="1"/>
        <s v="FR6797793" u="1"/>
        <s v="FR6914320" u="1"/>
        <s v="FR6884110" u="1"/>
        <s v="FR6737570" u="1"/>
        <s v="FR6855390" u="1"/>
        <s v="FR6712079" u="1"/>
        <s v="FR6837097" u="1"/>
        <s v="FR6803608" u="1"/>
        <s v="FR6808342" u="1"/>
        <s v="FR6853680" u="1"/>
        <s v="FR6831903" u="1"/>
        <s v="FR6700341" u="1"/>
        <s v="FR6736844" u="1"/>
        <s v="FR6762200" u="1"/>
        <s v="FR6821884" u="1"/>
        <s v="FR6799262" u="1"/>
        <s v="FR6894527" u="1"/>
        <s v="FR68795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7">
        <s v="completed"/>
        <s v="done"/>
        <m u="1"/>
        <s v="Not to work on" u="1"/>
        <s v="submitted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">
  <r>
    <n v="1"/>
    <s v="F1"/>
    <x v="0"/>
    <s v="G000000994 "/>
    <m/>
    <s v="G000000529"/>
    <s v="Move"/>
    <x v="0"/>
    <x v="0"/>
    <s v="MGF"/>
    <m/>
    <m/>
    <s v="Francesco Ricioppo"/>
  </r>
  <r>
    <n v="2"/>
    <s v="F1"/>
    <x v="0"/>
    <s v="G000000995 "/>
    <m/>
    <s v="G000000529"/>
    <s v="Move"/>
    <x v="0"/>
    <x v="0"/>
    <s v="MGF"/>
    <m/>
    <m/>
    <s v="Francesco Ricioppo"/>
  </r>
  <r>
    <n v="3"/>
    <s v="F1"/>
    <x v="0"/>
    <s v="G000000993 "/>
    <m/>
    <s v="G000000873"/>
    <s v="Move"/>
    <x v="0"/>
    <x v="0"/>
    <s v="MGF"/>
    <m/>
    <m/>
    <s v="Francesco Ricioppo"/>
  </r>
  <r>
    <n v="4"/>
    <s v="F1"/>
    <x v="1"/>
    <s v="G000001357"/>
    <s v="MBS S&amp;T Learning &amp; Develop., Knwldg Mgt"/>
    <s v="G000001146"/>
    <s v="New"/>
    <x v="0"/>
    <x v="0"/>
    <s v="MGF"/>
    <m/>
    <m/>
    <s v="Yvonne Doernhofer"/>
  </r>
  <r>
    <n v="5"/>
    <s v="F1"/>
    <x v="1"/>
    <s v="G000001191"/>
    <s v="MBS S&amp;T - Business Process Management"/>
    <m/>
    <s v="Rename"/>
    <x v="0"/>
    <x v="0"/>
    <s v="MGF"/>
    <m/>
    <m/>
    <s v="Yvonne Doernhofer"/>
  </r>
  <r>
    <n v="6"/>
    <s v="F1"/>
    <x v="2"/>
    <s v="G000000511"/>
    <m/>
    <s v="G000000873"/>
    <s v="Move"/>
    <x v="0"/>
    <x v="0"/>
    <s v="MGF"/>
    <m/>
    <m/>
    <s v="Francesco Ricioppo"/>
  </r>
  <r>
    <n v="7"/>
    <s v="F1"/>
    <x v="2"/>
    <s v="G000000512"/>
    <m/>
    <s v="G000000873"/>
    <s v="Move"/>
    <x v="0"/>
    <x v="0"/>
    <s v="MGF"/>
    <m/>
    <m/>
    <s v="Francesco Ricioppo"/>
  </r>
  <r>
    <n v="8"/>
    <s v="F1"/>
    <x v="2"/>
    <s v="G000000513"/>
    <m/>
    <s v="G000000873"/>
    <s v="Move"/>
    <x v="0"/>
    <x v="0"/>
    <s v="MGF"/>
    <m/>
    <m/>
    <s v="Francesco Ricioppo"/>
  </r>
  <r>
    <n v="9"/>
    <s v="F1"/>
    <x v="2"/>
    <s v="G000000514"/>
    <m/>
    <s v="G000000873"/>
    <s v="Move"/>
    <x v="0"/>
    <x v="0"/>
    <s v="MGF"/>
    <m/>
    <m/>
    <s v="Francesco Ricioppo"/>
  </r>
  <r>
    <n v="10"/>
    <s v="F1"/>
    <x v="2"/>
    <s v="G000001007"/>
    <m/>
    <s v="G000000873"/>
    <s v="Move"/>
    <x v="0"/>
    <x v="0"/>
    <s v="MGF"/>
    <m/>
    <m/>
    <s v="Francesco Ricioppo"/>
  </r>
  <r>
    <n v="11"/>
    <s v="F1"/>
    <x v="2"/>
    <s v="G000001065"/>
    <m/>
    <s v="G000000873"/>
    <s v="Move"/>
    <x v="0"/>
    <x v="0"/>
    <s v="MGF"/>
    <m/>
    <m/>
    <s v="Francesco Ricioppo"/>
  </r>
  <r>
    <n v="12"/>
    <s v="F1"/>
    <x v="2"/>
    <s v="G000001066"/>
    <m/>
    <s v="G000000873"/>
    <s v="Move"/>
    <x v="0"/>
    <x v="0"/>
    <s v="MGF"/>
    <m/>
    <m/>
    <s v="Francesco Ricioppo"/>
  </r>
  <r>
    <n v="13"/>
    <s v="F1"/>
    <x v="3"/>
    <s v="G000000392"/>
    <s v="SM-PT"/>
    <m/>
    <s v="Rename"/>
    <x v="0"/>
    <x v="0"/>
    <s v="MGF"/>
    <m/>
    <m/>
    <s v="Marcus Morowski"/>
  </r>
  <r>
    <n v="14"/>
    <s v="F1"/>
    <x v="3"/>
    <s v="G000000389"/>
    <s v="SM-PM und PT"/>
    <m/>
    <s v="Rename"/>
    <x v="0"/>
    <x v="0"/>
    <s v="MGF"/>
    <m/>
    <m/>
    <s v="Marcus Morowski"/>
  </r>
  <r>
    <n v="15"/>
    <s v="F1"/>
    <x v="3"/>
    <s v="G000000918"/>
    <s v="SM-PTT Material Management"/>
    <m/>
    <s v="Rename"/>
    <x v="0"/>
    <x v="0"/>
    <s v="MGF"/>
    <m/>
    <m/>
    <s v="Marcus Morowski"/>
  </r>
  <r>
    <n v="16"/>
    <s v="F1"/>
    <x v="3"/>
    <s v="G000000919"/>
    <s v="SM-PTT Technical Warehouse"/>
    <m/>
    <s v="Rename"/>
    <x v="0"/>
    <x v="0"/>
    <s v="MGF"/>
    <m/>
    <m/>
    <s v="Marcus Morowski"/>
  </r>
  <r>
    <n v="17"/>
    <s v="F1"/>
    <x v="3"/>
    <s v="G000000919"/>
    <s v="SM-PTT IVV Allocation CCs"/>
    <m/>
    <s v="Rename"/>
    <x v="0"/>
    <x v="0"/>
    <s v="MGF"/>
    <s v="WTF, duplicated"/>
    <m/>
    <s v="Marcus Morowski"/>
  </r>
  <r>
    <n v="18"/>
    <s v="F1"/>
    <x v="3"/>
    <s v="G000000387"/>
    <s v="SM-PM"/>
    <s v="G000000389"/>
    <s v="Rename/Move"/>
    <x v="0"/>
    <x v="0"/>
    <s v="MGF"/>
    <m/>
    <m/>
    <s v="Marcus Morowski"/>
  </r>
  <r>
    <n v="19"/>
    <s v="F1"/>
    <x v="3"/>
    <s v="G000000391"/>
    <s v="SM-PMA"/>
    <s v="G000000387"/>
    <s v="Rename/Move"/>
    <x v="0"/>
    <x v="0"/>
    <s v="MGF"/>
    <m/>
    <m/>
    <s v="Marcus Morowski"/>
  </r>
  <r>
    <n v="20"/>
    <s v="F1"/>
    <x v="4"/>
    <s v="P000000196"/>
    <s v="PG1 Blending+Packaging"/>
    <m/>
    <s v="Rename"/>
    <x v="0"/>
    <x v="0"/>
    <s v="EL"/>
    <m/>
    <m/>
    <s v="Gerhard Doeller"/>
  </r>
  <r>
    <n v="21"/>
    <s v="F1"/>
    <x v="4"/>
    <s v="P000000197"/>
    <s v="PG2 Coating"/>
    <m/>
    <s v="Rename"/>
    <x v="0"/>
    <x v="0"/>
    <s v="EL"/>
    <m/>
    <m/>
    <s v="Gerhard Doeller"/>
  </r>
  <r>
    <n v="22"/>
    <s v="F1"/>
    <x v="4"/>
    <s v="P000000198"/>
    <s v="PG1 Substrates"/>
    <m/>
    <s v="Rename"/>
    <x v="0"/>
    <x v="0"/>
    <s v="EL"/>
    <m/>
    <m/>
    <s v="Gerhard Doeller"/>
  </r>
  <r>
    <n v="23"/>
    <s v="F1"/>
    <x v="5"/>
    <s v="L000013817"/>
    <s v="Business Integration _GPO "/>
    <s v="L000013445"/>
    <s v="New"/>
    <x v="0"/>
    <x v="0"/>
    <s v="LS"/>
    <m/>
    <m/>
    <s v="Jayson Martinez"/>
  </r>
  <r>
    <n v="24"/>
    <s v="F1"/>
    <x v="5"/>
    <s v="L000013818"/>
    <s v="Business Integration _PS VS "/>
    <s v="L000013417"/>
    <s v="New"/>
    <x v="0"/>
    <x v="0"/>
    <s v="LS"/>
    <m/>
    <m/>
    <s v="Jayson Martinez"/>
  </r>
  <r>
    <n v="25"/>
    <s v="F1"/>
    <x v="5"/>
    <s v="L000013819"/>
    <s v="mRNA and LNP Innovation"/>
    <s v="L000006420"/>
    <s v="New"/>
    <x v="0"/>
    <x v="0"/>
    <s v="LS"/>
    <m/>
    <m/>
    <s v="Jayson Martinez"/>
  </r>
  <r>
    <n v="26"/>
    <s v="F1"/>
    <x v="5"/>
    <s v="L000013820"/>
    <s v="Bioconujation and SM Innovation"/>
    <s v="L000006420"/>
    <s v="New"/>
    <x v="0"/>
    <x v="0"/>
    <s v="LS"/>
    <m/>
    <m/>
    <s v="Jayson Martinez"/>
  </r>
  <r>
    <n v="27"/>
    <s v="F1"/>
    <x v="5"/>
    <s v="L000013821"/>
    <s v="Viral Vectors Innovation"/>
    <s v="L000013174"/>
    <s v="New"/>
    <x v="0"/>
    <x v="0"/>
    <s v="LS"/>
    <m/>
    <m/>
    <s v="Jayson Martinez"/>
  </r>
  <r>
    <n v="28"/>
    <s v="F1"/>
    <x v="5"/>
    <s v="L000013822"/>
    <s v="Biologics Innovation"/>
    <s v="L000013174"/>
    <s v="New"/>
    <x v="0"/>
    <x v="0"/>
    <s v="LS"/>
    <m/>
    <m/>
    <s v="Jayson Martinez"/>
  </r>
  <r>
    <n v="29"/>
    <s v="F1"/>
    <x v="5"/>
    <s v="L000013823"/>
    <s v="PMO CDMO Innovation"/>
    <s v="L000013785"/>
    <s v="New"/>
    <x v="0"/>
    <x v="0"/>
    <s v="LS"/>
    <m/>
    <m/>
    <s v="Jayson Martinez"/>
  </r>
  <r>
    <n v="30"/>
    <s v="F1"/>
    <x v="5"/>
    <s v="L000005722"/>
    <s v="BM - Comm NA - South Pharma"/>
    <m/>
    <s v="Rename"/>
    <x v="0"/>
    <x v="0"/>
    <s v="LS"/>
    <m/>
    <m/>
    <s v="Jayson Martinez"/>
  </r>
  <r>
    <n v="31"/>
    <s v="F1"/>
    <x v="5"/>
    <s v="L000013350"/>
    <s v="CDMO - APAC Sales"/>
    <m/>
    <s v="Rename"/>
    <x v="0"/>
    <x v="0"/>
    <s v="LS"/>
    <m/>
    <m/>
    <s v="Jayson Martinez"/>
  </r>
  <r>
    <n v="32"/>
    <s v="F1"/>
    <x v="5"/>
    <s v="L000006425"/>
    <s v="Synthesis mRNA delivery &amp; PEG's"/>
    <s v="L000013819"/>
    <s v="Rename/Move"/>
    <x v="0"/>
    <x v="0"/>
    <s v="LS"/>
    <m/>
    <m/>
    <s v="Jayson Martinez"/>
  </r>
  <r>
    <n v="33"/>
    <s v="F1"/>
    <x v="5"/>
    <s v="L000006429"/>
    <s v="mRNA Delivery / Manufacturing"/>
    <s v="L000013819"/>
    <s v="Rename/Move"/>
    <x v="0"/>
    <x v="0"/>
    <s v="LS"/>
    <m/>
    <m/>
    <s v="Jayson Martinez"/>
  </r>
  <r>
    <n v="34"/>
    <s v="F1"/>
    <x v="5"/>
    <s v="L000006431"/>
    <s v="ADC Payload Automation &amp; Digital"/>
    <s v="L000013820"/>
    <s v="Rename/Move"/>
    <x v="0"/>
    <x v="0"/>
    <s v="LS"/>
    <m/>
    <m/>
    <s v="Jayson Martinez"/>
  </r>
  <r>
    <n v="35"/>
    <s v="F1"/>
    <x v="5"/>
    <s v="L000011451"/>
    <s v="ADC Bionconjugation Template"/>
    <s v="L000013820"/>
    <s v="Rename/Move"/>
    <x v="0"/>
    <x v="0"/>
    <s v="LS"/>
    <m/>
    <m/>
    <s v="Jayson Martinez"/>
  </r>
  <r>
    <n v="36"/>
    <s v="F1"/>
    <x v="5"/>
    <s v="L000007087"/>
    <s v="VV Innovation"/>
    <s v="L000013821"/>
    <s v="Rename/Move"/>
    <x v="0"/>
    <x v="0"/>
    <s v="LS"/>
    <m/>
    <m/>
    <s v="Jayson Martinez"/>
  </r>
  <r>
    <n v="37"/>
    <s v="F1"/>
    <x v="5"/>
    <s v="L000006414"/>
    <s v="Synthesis &amp; ADC CDMO Management"/>
    <s v="L000013789"/>
    <s v="Rename/Move"/>
    <x v="0"/>
    <x v="0"/>
    <s v="LS"/>
    <m/>
    <m/>
    <s v="Jayson Martinez"/>
  </r>
  <r>
    <n v="38"/>
    <s v="F1"/>
    <x v="5"/>
    <s v="L000013151"/>
    <s v="CDMO Operations"/>
    <s v="L000009201"/>
    <s v="Rename/Move"/>
    <x v="0"/>
    <x v="0"/>
    <s v="LS"/>
    <m/>
    <m/>
    <s v="Jayson Martinez"/>
  </r>
  <r>
    <n v="39"/>
    <s v="F1"/>
    <x v="5"/>
    <s v="L000013152"/>
    <s v="SAC BP &amp; Implementation"/>
    <s v="L000013789"/>
    <s v="Rename/Move"/>
    <x v="0"/>
    <x v="0"/>
    <s v="LS"/>
    <m/>
    <m/>
    <s v="Jayson Martinez"/>
  </r>
  <r>
    <n v="40"/>
    <s v="F1"/>
    <x v="5"/>
    <s v="L000006947"/>
    <s v="BioVV - Management"/>
    <s v="L000013789"/>
    <s v="Rename/Move"/>
    <x v="0"/>
    <x v="0"/>
    <s v="LS"/>
    <m/>
    <m/>
    <s v="Jayson Martinez"/>
  </r>
  <r>
    <n v="41"/>
    <s v="F1"/>
    <x v="5"/>
    <s v="L000006952"/>
    <s v="BioVV - Strategy"/>
    <s v="L000012321"/>
    <s v="Rename/Move"/>
    <x v="0"/>
    <x v="0"/>
    <s v="LS"/>
    <m/>
    <m/>
    <s v="Jayson Martinez"/>
  </r>
  <r>
    <n v="42"/>
    <s v="F1"/>
    <x v="5"/>
    <s v="L000009432"/>
    <s v="CDMO - Carlsbad"/>
    <s v="L000013151"/>
    <s v="Rename/Move"/>
    <x v="0"/>
    <x v="0"/>
    <s v="LS"/>
    <m/>
    <m/>
    <s v="Jayson Martinez"/>
  </r>
  <r>
    <n v="43"/>
    <s v="F1"/>
    <x v="5"/>
    <s v="L000011494"/>
    <s v="CDMO - Martillac"/>
    <s v="L000013151"/>
    <s v="Rename/Move"/>
    <x v="0"/>
    <x v="0"/>
    <s v="LS"/>
    <m/>
    <m/>
    <s v="Jayson Martinez"/>
  </r>
  <r>
    <n v="44"/>
    <s v="F1"/>
    <x v="5"/>
    <s v="L000011503"/>
    <s v="CDMO - Burlington"/>
    <s v="L000013151"/>
    <s v="Rename/Move"/>
    <x v="0"/>
    <x v="0"/>
    <s v="LS"/>
    <m/>
    <m/>
    <s v="Jayson Martinez"/>
  </r>
  <r>
    <n v="45"/>
    <s v="F1"/>
    <x v="5"/>
    <s v="L000013178"/>
    <s v="BioVV - Bus. Planning &amp; Implementation"/>
    <s v="L000013789"/>
    <s v="Rename/Move"/>
    <x v="0"/>
    <x v="0"/>
    <s v="LS"/>
    <m/>
    <m/>
    <s v="Jayson Martinez"/>
  </r>
  <r>
    <n v="46"/>
    <s v="F1"/>
    <x v="5"/>
    <s v="L000013398"/>
    <s v="CDMO - Shanghai"/>
    <s v="L000013151"/>
    <s v="Rename/Move"/>
    <x v="0"/>
    <x v="0"/>
    <s v="LS"/>
    <m/>
    <m/>
    <s v="Jayson Martinez"/>
  </r>
  <r>
    <n v="47"/>
    <s v="F1"/>
    <x v="5"/>
    <s v="L000013527"/>
    <m/>
    <s v="L000013817"/>
    <s v="Move"/>
    <x v="0"/>
    <x v="0"/>
    <s v="LS"/>
    <m/>
    <m/>
    <s v="Jayson Martinez"/>
  </r>
  <r>
    <n v="48"/>
    <s v="F1"/>
    <x v="5"/>
    <s v="L000006951"/>
    <m/>
    <s v="L000013779"/>
    <s v="Move"/>
    <x v="0"/>
    <x v="0"/>
    <s v="LS"/>
    <m/>
    <m/>
    <s v="Jayson Martinez"/>
  </r>
  <r>
    <n v="49"/>
    <s v="F1"/>
    <x v="5"/>
    <s v="L000007094"/>
    <m/>
    <s v="L000013821"/>
    <s v="Move"/>
    <x v="0"/>
    <x v="0"/>
    <s v="LS"/>
    <m/>
    <m/>
    <s v="Jayson Martinez"/>
  </r>
  <r>
    <n v="50"/>
    <s v="F1"/>
    <x v="5"/>
    <s v="L000013272"/>
    <m/>
    <s v="L000013821"/>
    <s v="Move"/>
    <x v="0"/>
    <x v="0"/>
    <s v="LS"/>
    <m/>
    <m/>
    <s v="Jayson Martinez"/>
  </r>
  <r>
    <n v="51"/>
    <s v="F1"/>
    <x v="5"/>
    <s v="L000013808"/>
    <m/>
    <s v="L000013775"/>
    <s v="Move"/>
    <x v="0"/>
    <x v="0"/>
    <s v="LS"/>
    <m/>
    <m/>
    <s v="Jayson Martinez"/>
  </r>
  <r>
    <n v="52"/>
    <s v="F1"/>
    <x v="5"/>
    <s v="L000005433"/>
    <m/>
    <s v="L000005326"/>
    <s v="Move"/>
    <x v="0"/>
    <x v="0"/>
    <s v="LS"/>
    <m/>
    <m/>
    <s v="Jayson Martinez"/>
  </r>
  <r>
    <n v="53"/>
    <s v="F1"/>
    <x v="5"/>
    <s v="L000005673"/>
    <m/>
    <s v="L000005668"/>
    <s v="Move"/>
    <x v="0"/>
    <x v="0"/>
    <s v="LS"/>
    <m/>
    <m/>
    <s v="Jayson Martinez"/>
  </r>
  <r>
    <n v="54"/>
    <s v="F1"/>
    <x v="5"/>
    <s v="L000006391"/>
    <m/>
    <s v="L000013786"/>
    <s v="Move"/>
    <x v="0"/>
    <x v="0"/>
    <s v="LS"/>
    <m/>
    <m/>
    <s v="Jayson Martinez"/>
  </r>
  <r>
    <n v="55"/>
    <s v="F1"/>
    <x v="5"/>
    <s v="L000006420"/>
    <m/>
    <s v="L000013785"/>
    <s v="Move"/>
    <x v="0"/>
    <x v="0"/>
    <s v="LS"/>
    <m/>
    <m/>
    <s v="Jayson Martinez"/>
  </r>
  <r>
    <n v="56"/>
    <s v="F1"/>
    <x v="5"/>
    <s v="L000006448"/>
    <m/>
    <s v="L000012321"/>
    <s v="Move"/>
    <x v="0"/>
    <x v="0"/>
    <s v="LS"/>
    <m/>
    <m/>
    <s v="Jayson Martinez"/>
  </r>
  <r>
    <n v="57"/>
    <s v="F1"/>
    <x v="5"/>
    <s v="L000006496"/>
    <m/>
    <s v="L000013784"/>
    <s v="Move"/>
    <x v="0"/>
    <x v="0"/>
    <s v="LS"/>
    <m/>
    <m/>
    <s v="Jayson Martinez"/>
  </r>
  <r>
    <n v="58"/>
    <s v="F1"/>
    <x v="5"/>
    <s v="L000011470"/>
    <m/>
    <s v="L000013783"/>
    <s v="Move"/>
    <x v="0"/>
    <x v="0"/>
    <s v="LS"/>
    <m/>
    <m/>
    <s v="Jayson Martinez"/>
  </r>
  <r>
    <n v="59"/>
    <s v="F1"/>
    <x v="5"/>
    <s v="L000013666"/>
    <m/>
    <s v="L000013787"/>
    <s v="Move"/>
    <x v="0"/>
    <x v="0"/>
    <s v="LS"/>
    <m/>
    <m/>
    <s v="Jayson Martinez"/>
  </r>
  <r>
    <n v="60"/>
    <s v="F1"/>
    <x v="5"/>
    <s v="L000006936"/>
    <m/>
    <s v="L000013786"/>
    <s v="Move"/>
    <x v="0"/>
    <x v="0"/>
    <s v="LS"/>
    <m/>
    <m/>
    <s v="Jayson Martinez"/>
  </r>
  <r>
    <n v="61"/>
    <s v="F1"/>
    <x v="5"/>
    <s v="L000007043"/>
    <m/>
    <s v="L000013787"/>
    <s v="Move"/>
    <x v="0"/>
    <x v="0"/>
    <s v="LS"/>
    <m/>
    <m/>
    <s v="Jayson Martinez"/>
  </r>
  <r>
    <n v="62"/>
    <s v="F1"/>
    <x v="5"/>
    <s v="L000011506"/>
    <m/>
    <s v="L000013784"/>
    <s v="Move"/>
    <x v="0"/>
    <x v="0"/>
    <s v="LS"/>
    <m/>
    <m/>
    <s v="Jayson Martinez"/>
  </r>
  <r>
    <n v="63"/>
    <s v="F1"/>
    <x v="5"/>
    <s v="L000013174"/>
    <m/>
    <s v="L000013785"/>
    <s v="Move"/>
    <x v="0"/>
    <x v="0"/>
    <s v="LS"/>
    <m/>
    <m/>
    <s v="Jayson Martinez"/>
  </r>
  <r>
    <n v="64"/>
    <s v="F1"/>
    <x v="5"/>
    <s v="L000006295"/>
    <m/>
    <s v="L000013685"/>
    <s v="Move"/>
    <x v="0"/>
    <x v="0"/>
    <s v="LS"/>
    <m/>
    <m/>
    <s v="Jayson Martinez"/>
  </r>
  <r>
    <n v="65"/>
    <s v="F1"/>
    <x v="6"/>
    <s v="G000001358"/>
    <s v="GMV MBS Hub Wroclaw - ABP"/>
    <s v="G000001143"/>
    <s v="New"/>
    <x v="0"/>
    <x v="0"/>
    <s v="MGF"/>
    <m/>
    <m/>
    <s v="Jojeff Tagnong"/>
  </r>
  <r>
    <n v="66"/>
    <s v="F1"/>
    <x v="7"/>
    <s v="P000001254"/>
    <s v="EL-OP-M Metrology &amp; Inspection"/>
    <s v="P000000001"/>
    <s v="New"/>
    <x v="0"/>
    <x v="0"/>
    <s v="EL"/>
    <m/>
    <m/>
    <s v="Eivy Denine Cruz"/>
  </r>
  <r>
    <n v="67"/>
    <s v="F1"/>
    <x v="7"/>
    <s v="P000001255"/>
    <s v="EL-OP-M M&amp;I Sales"/>
    <s v="P000001254"/>
    <s v="New"/>
    <x v="0"/>
    <x v="0"/>
    <s v="EL"/>
    <m/>
    <m/>
    <s v="Eivy Denine Cruz"/>
  </r>
  <r>
    <n v="68"/>
    <s v="F1"/>
    <x v="7"/>
    <s v="P000001256"/>
    <s v="EL-OP-M M&amp;I Marketing"/>
    <s v="P000001254"/>
    <s v="New"/>
    <x v="0"/>
    <x v="0"/>
    <s v="EL"/>
    <m/>
    <m/>
    <s v="Eivy Denine Cruz"/>
  </r>
  <r>
    <n v="69"/>
    <s v="F1"/>
    <x v="7"/>
    <s v="P000001257"/>
    <s v="EL-OP-M M&amp;I Operations"/>
    <s v="P000001254"/>
    <s v="New"/>
    <x v="0"/>
    <x v="0"/>
    <s v="EL"/>
    <m/>
    <m/>
    <s v="Eivy Denine Cruz"/>
  </r>
  <r>
    <n v="70"/>
    <s v="F1"/>
    <x v="7"/>
    <s v="P000001258"/>
    <s v="EL-OP-M M&amp;I R&amp;D"/>
    <s v="P000001254"/>
    <s v="New"/>
    <x v="0"/>
    <x v="0"/>
    <s v="EL"/>
    <m/>
    <m/>
    <s v="Eivy Denine Cruz"/>
  </r>
  <r>
    <n v="71"/>
    <s v="F1"/>
    <x v="7"/>
    <s v="P000001194"/>
    <m/>
    <s v="P000000635"/>
    <s v="Move"/>
    <x v="0"/>
    <x v="0"/>
    <s v="EL"/>
    <m/>
    <m/>
    <s v="Eivy Denine Cruz"/>
  </r>
  <r>
    <n v="72"/>
    <s v="F1"/>
    <x v="7"/>
    <s v="P000000391"/>
    <m/>
    <s v="O000000009"/>
    <s v="Delete"/>
    <x v="0"/>
    <x v="0"/>
    <s v="EL"/>
    <m/>
    <m/>
    <s v="Eivy Denine Cruz"/>
  </r>
  <r>
    <n v="73"/>
    <s v="F1"/>
    <x v="7"/>
    <s v="P000000773"/>
    <m/>
    <s v="O000000009"/>
    <s v="Delete"/>
    <x v="0"/>
    <x v="0"/>
    <s v="EL"/>
    <m/>
    <m/>
    <s v="Eivy Denine Cruz"/>
  </r>
  <r>
    <n v="74"/>
    <s v="F1"/>
    <x v="7"/>
    <s v="P000000543"/>
    <m/>
    <s v="O000000009"/>
    <s v="Delete"/>
    <x v="0"/>
    <x v="0"/>
    <s v="EL"/>
    <m/>
    <m/>
    <s v="Eivy Denine Cruz"/>
  </r>
  <r>
    <n v="75"/>
    <s v="F1"/>
    <x v="7"/>
    <s v="P000000549"/>
    <m/>
    <s v="O000000009"/>
    <s v="Delete"/>
    <x v="0"/>
    <x v="0"/>
    <s v="EL"/>
    <m/>
    <m/>
    <s v="Eivy Denine Cruz"/>
  </r>
  <r>
    <n v="76"/>
    <s v="F1"/>
    <x v="7"/>
    <s v="P000000798"/>
    <m/>
    <s v="O000000009"/>
    <s v="Delete"/>
    <x v="0"/>
    <x v="0"/>
    <s v="EL"/>
    <m/>
    <m/>
    <s v="Eivy Denine Cruz"/>
  </r>
  <r>
    <n v="77"/>
    <s v="F1"/>
    <x v="7"/>
    <s v="P000000799"/>
    <m/>
    <s v="O000000009"/>
    <s v="Delete"/>
    <x v="0"/>
    <x v="0"/>
    <s v="EL"/>
    <m/>
    <m/>
    <s v="Eivy Denine Cruz"/>
  </r>
  <r>
    <n v="78"/>
    <s v="F1"/>
    <x v="7"/>
    <s v="P000000961"/>
    <m/>
    <s v="O000000009"/>
    <s v="Delete"/>
    <x v="0"/>
    <x v="0"/>
    <s v="EL"/>
    <m/>
    <m/>
    <s v="Eivy Denine Cruz"/>
  </r>
  <r>
    <n v="79"/>
    <s v="F1"/>
    <x v="7"/>
    <s v="P000001095"/>
    <m/>
    <s v="O000000009"/>
    <s v="Delete"/>
    <x v="0"/>
    <x v="0"/>
    <s v="EL"/>
    <m/>
    <m/>
    <s v="Eivy Denine Cruz"/>
  </r>
  <r>
    <n v="80"/>
    <s v="F1"/>
    <x v="7"/>
    <s v="P000001096"/>
    <m/>
    <s v="O000000009"/>
    <s v="Delete"/>
    <x v="0"/>
    <x v="0"/>
    <s v="EL"/>
    <m/>
    <m/>
    <s v="Eivy Denine Cruz"/>
  </r>
  <r>
    <n v="81"/>
    <s v="F1"/>
    <x v="7"/>
    <s v="P000001097"/>
    <m/>
    <s v="O000000009"/>
    <s v="Delete"/>
    <x v="0"/>
    <x v="0"/>
    <s v="EL"/>
    <m/>
    <m/>
    <s v="Eivy Denine Cruz"/>
  </r>
  <r>
    <n v="82"/>
    <s v="F1"/>
    <x v="7"/>
    <s v="P000001098"/>
    <m/>
    <s v="O000000009"/>
    <s v="Delete"/>
    <x v="0"/>
    <x v="0"/>
    <s v="EL"/>
    <m/>
    <m/>
    <s v="Eivy Denine Cruz"/>
  </r>
  <r>
    <n v="83"/>
    <s v="F1"/>
    <x v="7"/>
    <s v="P000001099"/>
    <m/>
    <s v="O000000009"/>
    <s v="Delete"/>
    <x v="0"/>
    <x v="0"/>
    <s v="EL"/>
    <m/>
    <m/>
    <s v="Eivy Denine Cruz"/>
  </r>
  <r>
    <n v="84"/>
    <s v="F1"/>
    <x v="7"/>
    <s v="P000001100"/>
    <m/>
    <s v="O000000009"/>
    <s v="Delete"/>
    <x v="0"/>
    <x v="0"/>
    <s v="EL"/>
    <m/>
    <m/>
    <s v="Eivy Denine Cruz"/>
  </r>
  <r>
    <n v="85"/>
    <s v="F1"/>
    <x v="7"/>
    <s v="P000001101"/>
    <m/>
    <s v="O000000009"/>
    <s v="Delete"/>
    <x v="0"/>
    <x v="0"/>
    <s v="EL"/>
    <m/>
    <m/>
    <s v="Eivy Denine Cruz"/>
  </r>
  <r>
    <n v="86"/>
    <s v="F1"/>
    <x v="7"/>
    <s v="P000001163"/>
    <m/>
    <s v="O000000009"/>
    <s v="Delete"/>
    <x v="0"/>
    <x v="0"/>
    <s v="EL"/>
    <m/>
    <m/>
    <s v="Eivy Denine Cruz"/>
  </r>
  <r>
    <n v="87"/>
    <s v="F1"/>
    <x v="7"/>
    <s v="P000001164"/>
    <m/>
    <s v="O000000009"/>
    <s v="Delete"/>
    <x v="0"/>
    <x v="0"/>
    <s v="EL"/>
    <m/>
    <m/>
    <s v="Eivy Denine Cruz"/>
  </r>
  <r>
    <n v="88"/>
    <s v="F1"/>
    <x v="7"/>
    <s v="P000000001"/>
    <s v="EL-OP Optronics"/>
    <m/>
    <s v="Rename"/>
    <x v="0"/>
    <x v="0"/>
    <s v="EL"/>
    <m/>
    <m/>
    <s v="Eivy Denine Cruz"/>
  </r>
  <r>
    <n v="89"/>
    <s v="F1"/>
    <x v="7"/>
    <s v="P000000002"/>
    <s v="EL-OP BU Head &amp; Other"/>
    <m/>
    <s v="Rename"/>
    <x v="0"/>
    <x v="0"/>
    <s v="EL"/>
    <m/>
    <m/>
    <s v="Eivy Denine Cruz"/>
  </r>
  <r>
    <n v="90"/>
    <s v="F1"/>
    <x v="7"/>
    <s v="P000000695"/>
    <s v="EL-OP BU head Organization"/>
    <m/>
    <s v="Rename"/>
    <x v="0"/>
    <x v="0"/>
    <s v="EL"/>
    <m/>
    <m/>
    <s v="Eivy Denine Cruz"/>
  </r>
  <r>
    <n v="91"/>
    <s v="F1"/>
    <x v="7"/>
    <s v="P000000696"/>
    <s v="EL-OP Inventor Remuneration"/>
    <m/>
    <s v="Rename"/>
    <x v="0"/>
    <x v="0"/>
    <s v="EL"/>
    <m/>
    <m/>
    <s v="Eivy Denine Cruz"/>
  </r>
  <r>
    <n v="92"/>
    <s v="F1"/>
    <x v="7"/>
    <s v="P000000697"/>
    <s v="EL-OP Intangible Assets"/>
    <m/>
    <s v="Rename"/>
    <x v="0"/>
    <x v="0"/>
    <s v="EL"/>
    <m/>
    <m/>
    <s v="Eivy Denine Cruz"/>
  </r>
  <r>
    <n v="93"/>
    <s v="F1"/>
    <x v="7"/>
    <s v="P000000698"/>
    <s v="EL-OP Other"/>
    <m/>
    <s v="Rename"/>
    <x v="0"/>
    <x v="0"/>
    <s v="EL"/>
    <m/>
    <m/>
    <s v="Eivy Denine Cruz"/>
  </r>
  <r>
    <n v="94"/>
    <s v="F1"/>
    <x v="7"/>
    <s v="P000000022"/>
    <s v="EL-OP-W LC Windows"/>
    <m/>
    <s v="Rename"/>
    <x v="0"/>
    <x v="0"/>
    <s v="EL"/>
    <m/>
    <m/>
    <s v="Eivy Denine Cruz"/>
  </r>
  <r>
    <n v="95"/>
    <s v="F1"/>
    <x v="7"/>
    <s v="P000000055"/>
    <s v="EL-OP-S Supply Chain Optronics"/>
    <m/>
    <s v="Rename"/>
    <x v="0"/>
    <x v="0"/>
    <s v="EL"/>
    <m/>
    <m/>
    <s v="Eivy Denine Cruz"/>
  </r>
  <r>
    <n v="96"/>
    <s v="F1"/>
    <x v="7"/>
    <s v="P000000505"/>
    <s v="Optronics Production Sites"/>
    <m/>
    <s v="Rename"/>
    <x v="0"/>
    <x v="0"/>
    <s v="EL"/>
    <m/>
    <m/>
    <s v="Eivy Denine Cruz"/>
  </r>
  <r>
    <n v="97"/>
    <s v="F1"/>
    <x v="7"/>
    <s v="P000000056"/>
    <s v="EL-OP-SD Site Darmstadt, Germany"/>
    <m/>
    <s v="Rename"/>
    <x v="0"/>
    <x v="0"/>
    <s v="EL"/>
    <m/>
    <m/>
    <s v="Eivy Denine Cruz"/>
  </r>
  <r>
    <n v="98"/>
    <s v="F1"/>
    <x v="7"/>
    <s v="P000001172"/>
    <s v="EL-OP-SDPP Production Planning"/>
    <m/>
    <s v="Rename"/>
    <x v="0"/>
    <x v="0"/>
    <s v="EL"/>
    <m/>
    <m/>
    <s v="Eivy Denine Cruz"/>
  </r>
  <r>
    <n v="99"/>
    <s v="F1"/>
    <x v="7"/>
    <s v="P000000087"/>
    <s v="EL-OP-SA Site Atsugi, Japan"/>
    <m/>
    <s v="Rename"/>
    <x v="0"/>
    <x v="0"/>
    <s v="EL"/>
    <m/>
    <m/>
    <s v="Eivy Denine Cruz"/>
  </r>
  <r>
    <n v="100"/>
    <s v="F1"/>
    <x v="7"/>
    <s v="P000000097"/>
    <s v="EL-OP-SZ Site Suzhou, China"/>
    <m/>
    <s v="Rename"/>
    <x v="0"/>
    <x v="0"/>
    <s v="EL"/>
    <m/>
    <m/>
    <s v="Eivy Denine Cruz"/>
  </r>
  <r>
    <n v="101"/>
    <s v="F1"/>
    <x v="7"/>
    <s v="P000000107"/>
    <s v="EL-OP-ST Site Taoyuan, Taiwan"/>
    <m/>
    <s v="Rename"/>
    <x v="0"/>
    <x v="0"/>
    <s v="EL"/>
    <m/>
    <m/>
    <s v="Eivy Denine Cruz"/>
  </r>
  <r>
    <n v="102"/>
    <s v="F1"/>
    <x v="7"/>
    <s v="P000000117"/>
    <s v="EL-OP-SH Site Hsinchu, Taiwan"/>
    <m/>
    <s v="Rename"/>
    <x v="0"/>
    <x v="0"/>
    <s v="EL"/>
    <m/>
    <m/>
    <s v="Eivy Denine Cruz"/>
  </r>
  <r>
    <n v="103"/>
    <s v="F1"/>
    <x v="7"/>
    <s v="P000000127"/>
    <s v="EL-OP-SP Site Poseung, S. Korea"/>
    <m/>
    <s v="Rename"/>
    <x v="0"/>
    <x v="0"/>
    <s v="EL"/>
    <m/>
    <m/>
    <s v="Eivy Denine Cruz"/>
  </r>
  <r>
    <n v="104"/>
    <s v="F1"/>
    <x v="7"/>
    <s v="P000000137"/>
    <s v="EL-OP-SS Site Shanghai, China"/>
    <m/>
    <s v="Rename"/>
    <x v="0"/>
    <x v="0"/>
    <s v="EL"/>
    <m/>
    <m/>
    <s v="Eivy Denine Cruz"/>
  </r>
  <r>
    <n v="105"/>
    <s v="F1"/>
    <x v="7"/>
    <s v="P000000506"/>
    <s v="EL-OP-SC Supply Chain Excellence"/>
    <m/>
    <s v="Rename"/>
    <x v="0"/>
    <x v="0"/>
    <s v="EL"/>
    <m/>
    <m/>
    <s v="Eivy Denine Cruz"/>
  </r>
  <r>
    <n v="106"/>
    <s v="F1"/>
    <x v="7"/>
    <s v="P000000507"/>
    <s v="EL-OP-SQ QA Optronics"/>
    <m/>
    <s v="Rename"/>
    <x v="0"/>
    <x v="0"/>
    <s v="EL"/>
    <m/>
    <m/>
    <s v="Eivy Denine Cruz"/>
  </r>
  <r>
    <n v="107"/>
    <s v="F1"/>
    <x v="7"/>
    <s v="P000001167"/>
    <s v="EL-OP-SG Global Demand &amp; Supply Planning"/>
    <m/>
    <s v="Rename"/>
    <x v="0"/>
    <x v="0"/>
    <s v="EL"/>
    <m/>
    <m/>
    <s v="Eivy Denine Cruz"/>
  </r>
  <r>
    <n v="108"/>
    <s v="F1"/>
    <x v="7"/>
    <s v="P000001168"/>
    <s v="EL-OP-SV Value Stream Mngt"/>
    <m/>
    <s v="Rename"/>
    <x v="0"/>
    <x v="0"/>
    <s v="EL"/>
    <m/>
    <m/>
    <s v="Eivy Denine Cruz"/>
  </r>
  <r>
    <n v="109"/>
    <s v="F1"/>
    <x v="7"/>
    <s v="P000001109"/>
    <s v="EL-OP-L LC/DPM"/>
    <m/>
    <s v="Rename"/>
    <x v="0"/>
    <x v="0"/>
    <s v="EL"/>
    <m/>
    <m/>
    <s v="Eivy Denine Cruz"/>
  </r>
  <r>
    <n v="110"/>
    <s v="F1"/>
    <x v="7"/>
    <s v="P000001110"/>
    <s v="EL-OP-LC LC/DPM Sales CN"/>
    <m/>
    <s v="Rename"/>
    <x v="0"/>
    <x v="0"/>
    <s v="EL"/>
    <m/>
    <m/>
    <s v="Eivy Denine Cruz"/>
  </r>
  <r>
    <n v="111"/>
    <s v="F1"/>
    <x v="7"/>
    <s v="P000001111"/>
    <s v="EL-OP-LT LC/DPM Sales TW &amp; JP"/>
    <m/>
    <s v="Rename"/>
    <x v="0"/>
    <x v="0"/>
    <s v="EL"/>
    <m/>
    <m/>
    <s v="Eivy Denine Cruz"/>
  </r>
  <r>
    <n v="112"/>
    <s v="F1"/>
    <x v="7"/>
    <s v="P000001112"/>
    <s v="EL-OP-LM LC/DPM Marketing"/>
    <m/>
    <s v="Rename"/>
    <x v="0"/>
    <x v="0"/>
    <s v="EL"/>
    <m/>
    <m/>
    <s v="Eivy Denine Cruz"/>
  </r>
  <r>
    <n v="113"/>
    <s v="F1"/>
    <x v="7"/>
    <s v="P000001113"/>
    <s v="EL-OP-LM LC/DPM Marketing Organization"/>
    <m/>
    <s v="Rename"/>
    <x v="0"/>
    <x v="0"/>
    <s v="EL"/>
    <m/>
    <m/>
    <s v="Eivy Denine Cruz"/>
  </r>
  <r>
    <n v="114"/>
    <s v="F1"/>
    <x v="7"/>
    <s v="P000001114"/>
    <s v="EL-OP-LM LC/DPM Sales Promotion"/>
    <m/>
    <s v="Rename"/>
    <x v="0"/>
    <x v="0"/>
    <s v="EL"/>
    <m/>
    <m/>
    <s v="Eivy Denine Cruz"/>
  </r>
  <r>
    <n v="115"/>
    <s v="F1"/>
    <x v="7"/>
    <s v="P000001115"/>
    <s v="EL-OP-L LC/DPM Royalties/Commissions"/>
    <m/>
    <s v="Rename"/>
    <x v="0"/>
    <x v="0"/>
    <s v="EL"/>
    <m/>
    <m/>
    <s v="Eivy Denine Cruz"/>
  </r>
  <r>
    <n v="116"/>
    <s v="F1"/>
    <x v="7"/>
    <s v="P000001116"/>
    <s v="EL-OP-L LC/DPM Other"/>
    <m/>
    <s v="Rename"/>
    <x v="0"/>
    <x v="0"/>
    <s v="EL"/>
    <m/>
    <m/>
    <s v="Eivy Denine Cruz"/>
  </r>
  <r>
    <n v="117"/>
    <s v="F1"/>
    <x v="7"/>
    <s v="P000001117"/>
    <s v="EL-OP-LR LC/DPM R&amp;D"/>
    <m/>
    <s v="Rename"/>
    <x v="0"/>
    <x v="0"/>
    <s v="EL"/>
    <m/>
    <m/>
    <s v="Eivy Denine Cruz"/>
  </r>
  <r>
    <n v="118"/>
    <s v="F1"/>
    <x v="7"/>
    <s v="P000001209"/>
    <s v="EL-OP-LR LC/DPM R&amp;D General Expenses"/>
    <m/>
    <s v="Rename"/>
    <x v="0"/>
    <x v="0"/>
    <s v="EL"/>
    <m/>
    <m/>
    <s v="Eivy Denine Cruz"/>
  </r>
  <r>
    <n v="119"/>
    <s v="F1"/>
    <x v="7"/>
    <s v="P000001118"/>
    <s v="EL-OP-O OLED"/>
    <m/>
    <s v="Rename"/>
    <x v="0"/>
    <x v="0"/>
    <s v="EL"/>
    <m/>
    <m/>
    <s v="Eivy Denine Cruz"/>
  </r>
  <r>
    <n v="120"/>
    <s v="F1"/>
    <x v="7"/>
    <s v="P000001119"/>
    <s v="EL-OP-OC OLED Sales CN"/>
    <m/>
    <s v="Rename"/>
    <x v="0"/>
    <x v="0"/>
    <s v="EL"/>
    <m/>
    <m/>
    <s v="Eivy Denine Cruz"/>
  </r>
  <r>
    <n v="121"/>
    <s v="F1"/>
    <x v="7"/>
    <s v="P000001120"/>
    <s v="EL-OP-OK OLED Sales KR"/>
    <m/>
    <s v="Rename"/>
    <x v="0"/>
    <x v="0"/>
    <s v="EL"/>
    <m/>
    <m/>
    <s v="Eivy Denine Cruz"/>
  </r>
  <r>
    <n v="122"/>
    <s v="F1"/>
    <x v="7"/>
    <s v="P000001121"/>
    <s v="EL-OP-OM OLED Marketing"/>
    <m/>
    <s v="Rename"/>
    <x v="0"/>
    <x v="0"/>
    <s v="EL"/>
    <m/>
    <m/>
    <s v="Eivy Denine Cruz"/>
  </r>
  <r>
    <n v="123"/>
    <s v="F1"/>
    <x v="7"/>
    <s v="P000000687"/>
    <s v="XX_EL-OP-M Global Mkt Other"/>
    <m/>
    <s v="Rename"/>
    <x v="0"/>
    <x v="0"/>
    <s v="EL"/>
    <m/>
    <m/>
    <s v="Eivy Denine Cruz"/>
  </r>
  <r>
    <n v="124"/>
    <s v="F1"/>
    <x v="7"/>
    <s v="P000001122"/>
    <s v="EL-OP-OM OLED Marketing Organization"/>
    <m/>
    <s v="Rename"/>
    <x v="0"/>
    <x v="0"/>
    <s v="EL"/>
    <m/>
    <m/>
    <s v="Eivy Denine Cruz"/>
  </r>
  <r>
    <n v="125"/>
    <s v="F1"/>
    <x v="7"/>
    <s v="P000001123"/>
    <s v="EL-OP-OM OLED Sales Promotion"/>
    <m/>
    <s v="Rename"/>
    <x v="0"/>
    <x v="0"/>
    <s v="EL"/>
    <m/>
    <m/>
    <s v="Eivy Denine Cruz"/>
  </r>
  <r>
    <n v="126"/>
    <s v="F1"/>
    <x v="7"/>
    <s v="P000001124"/>
    <s v="EL-OP-O OLED Royalties/Commissions"/>
    <m/>
    <s v="Rename"/>
    <x v="0"/>
    <x v="0"/>
    <s v="EL"/>
    <m/>
    <m/>
    <s v="Eivy Denine Cruz"/>
  </r>
  <r>
    <n v="127"/>
    <s v="F1"/>
    <x v="7"/>
    <s v="P000001125"/>
    <s v="EL-OP-O OLED Other"/>
    <m/>
    <s v="Rename"/>
    <x v="0"/>
    <x v="0"/>
    <s v="EL"/>
    <m/>
    <m/>
    <s v="Eivy Denine Cruz"/>
  </r>
  <r>
    <n v="128"/>
    <s v="F1"/>
    <x v="7"/>
    <s v="P000001126"/>
    <s v="EL-OP-OR OLED R&amp;D"/>
    <m/>
    <s v="Rename"/>
    <x v="0"/>
    <x v="0"/>
    <s v="EL"/>
    <m/>
    <m/>
    <s v="Eivy Denine Cruz"/>
  </r>
  <r>
    <n v="129"/>
    <s v="F1"/>
    <x v="7"/>
    <s v="P000001221"/>
    <s v="EL-OP-OR OLED R&amp;D General Expenses"/>
    <m/>
    <s v="Rename"/>
    <x v="0"/>
    <x v="0"/>
    <s v="EL"/>
    <m/>
    <m/>
    <s v="Eivy Denine Cruz"/>
  </r>
  <r>
    <n v="130"/>
    <s v="F1"/>
    <x v="7"/>
    <s v="P000001127"/>
    <s v="EL-OP-B BS&amp;S"/>
    <m/>
    <s v="Rename"/>
    <x v="0"/>
    <x v="0"/>
    <s v="EL"/>
    <m/>
    <m/>
    <s v="Eivy Denine Cruz"/>
  </r>
  <r>
    <n v="131"/>
    <s v="F1"/>
    <x v="7"/>
    <s v="P000001128"/>
    <s v="EL-OP-BF Optical Technologies"/>
    <m/>
    <s v="Rename"/>
    <x v="0"/>
    <x v="0"/>
    <s v="EL"/>
    <m/>
    <m/>
    <s v="Eivy Denine Cruz"/>
  </r>
  <r>
    <n v="132"/>
    <s v="F1"/>
    <x v="7"/>
    <s v="P000001129"/>
    <s v="EL-OP BF OT Business Development Org"/>
    <m/>
    <s v="Rename"/>
    <x v="0"/>
    <x v="0"/>
    <s v="EL"/>
    <m/>
    <m/>
    <s v="Eivy Denine Cruz"/>
  </r>
  <r>
    <n v="133"/>
    <s v="F1"/>
    <x v="7"/>
    <s v="P000001130"/>
    <s v="EL-OP BF OT R&amp;D"/>
    <m/>
    <s v="Rename"/>
    <x v="0"/>
    <x v="0"/>
    <s v="EL"/>
    <m/>
    <m/>
    <s v="Eivy Denine Cruz"/>
  </r>
  <r>
    <n v="134"/>
    <s v="F1"/>
    <x v="7"/>
    <s v="P000000593"/>
    <s v="OT Projects"/>
    <m/>
    <s v="Rename"/>
    <x v="0"/>
    <x v="0"/>
    <s v="EL"/>
    <m/>
    <m/>
    <s v="Eivy Denine Cruz"/>
  </r>
  <r>
    <n v="135"/>
    <s v="F1"/>
    <x v="7"/>
    <s v="P000001251"/>
    <s v="Antireflection Technology"/>
    <m/>
    <s v="Rename"/>
    <x v="0"/>
    <x v="0"/>
    <s v="EL"/>
    <m/>
    <m/>
    <s v="Eivy Denine Cruz"/>
  </r>
  <r>
    <n v="136"/>
    <s v="F1"/>
    <x v="7"/>
    <s v="P000001252"/>
    <s v="PVH"/>
    <m/>
    <s v="Rename"/>
    <x v="0"/>
    <x v="0"/>
    <s v="EL"/>
    <m/>
    <m/>
    <s v="Eivy Denine Cruz"/>
  </r>
  <r>
    <n v="137"/>
    <s v="F1"/>
    <x v="7"/>
    <s v="P000001243"/>
    <s v="EL-OP BF OT R&amp;D General Expenses"/>
    <m/>
    <s v="Rename"/>
    <x v="0"/>
    <x v="0"/>
    <s v="EL"/>
    <m/>
    <m/>
    <s v="Eivy Denine Cruz"/>
  </r>
  <r>
    <n v="138"/>
    <s v="F1"/>
    <x v="7"/>
    <s v="P000001131"/>
    <s v="EL-OP BF OT Sales Promotion"/>
    <m/>
    <s v="Rename"/>
    <x v="0"/>
    <x v="0"/>
    <s v="EL"/>
    <m/>
    <m/>
    <s v="Eivy Denine Cruz"/>
  </r>
  <r>
    <n v="139"/>
    <s v="F1"/>
    <x v="7"/>
    <s v="P000001132"/>
    <s v="EL-OP BF OT Royalties/Commissions"/>
    <m/>
    <s v="Rename"/>
    <x v="0"/>
    <x v="0"/>
    <s v="EL"/>
    <m/>
    <m/>
    <s v="Eivy Denine Cruz"/>
  </r>
  <r>
    <n v="140"/>
    <s v="F1"/>
    <x v="7"/>
    <s v="P000001133"/>
    <s v="EL-OP BF OT Other"/>
    <m/>
    <s v="Rename"/>
    <x v="0"/>
    <x v="0"/>
    <s v="EL"/>
    <m/>
    <m/>
    <s v="Eivy Denine Cruz"/>
  </r>
  <r>
    <n v="141"/>
    <s v="F1"/>
    <x v="7"/>
    <s v="P000001134"/>
    <s v="EL-OP-B BS&amp;S Organization"/>
    <m/>
    <s v="Rename"/>
    <x v="0"/>
    <x v="0"/>
    <s v="EL"/>
    <m/>
    <m/>
    <s v="Eivy Denine Cruz"/>
  </r>
  <r>
    <n v="142"/>
    <s v="F1"/>
    <x v="7"/>
    <s v="P000001135"/>
    <s v="EL-OP-BN Novel Tools"/>
    <m/>
    <s v="Rename"/>
    <x v="0"/>
    <x v="0"/>
    <s v="EL"/>
    <m/>
    <m/>
    <s v="Eivy Denine Cruz"/>
  </r>
  <r>
    <n v="143"/>
    <s v="F1"/>
    <x v="7"/>
    <s v="P000001136"/>
    <s v="EL-OP-B BS&amp;S MarCom"/>
    <m/>
    <s v="Rename"/>
    <x v="0"/>
    <x v="0"/>
    <s v="EL"/>
    <m/>
    <m/>
    <s v="Eivy Denine Cruz"/>
  </r>
  <r>
    <n v="144"/>
    <s v="F1"/>
    <x v="7"/>
    <s v="P000001137"/>
    <s v="EL-OP-B BS&amp;S Other"/>
    <m/>
    <s v="Rename"/>
    <x v="0"/>
    <x v="0"/>
    <s v="EL"/>
    <m/>
    <m/>
    <s v="Eivy Denine Cruz"/>
  </r>
  <r>
    <n v="145"/>
    <s v="F1"/>
    <x v="7"/>
    <s v="P000000659"/>
    <s v="BOI"/>
    <m/>
    <s v="Rename"/>
    <x v="0"/>
    <x v="0"/>
    <s v="EL"/>
    <m/>
    <m/>
    <s v="Eivy Denine Cruz"/>
  </r>
  <r>
    <n v="146"/>
    <s v="F1"/>
    <x v="7"/>
    <s v="P000000673"/>
    <s v="AR hardware"/>
    <m/>
    <s v="Rename"/>
    <x v="0"/>
    <x v="0"/>
    <s v="EL"/>
    <m/>
    <m/>
    <s v="Eivy Denine Cruz"/>
  </r>
  <r>
    <n v="147"/>
    <s v="F1"/>
    <x v="7"/>
    <s v="P000000674"/>
    <s v="EUVen MORe"/>
    <m/>
    <s v="Rename"/>
    <x v="0"/>
    <x v="0"/>
    <s v="EL"/>
    <m/>
    <m/>
    <s v="Eivy Denine Cruz"/>
  </r>
  <r>
    <n v="148"/>
    <s v="F1"/>
    <x v="7"/>
    <s v="P000000675"/>
    <s v="Mat. Info DRAM"/>
    <m/>
    <s v="Rename"/>
    <x v="0"/>
    <x v="0"/>
    <s v="EL"/>
    <m/>
    <m/>
    <s v="Eivy Denine Cruz"/>
  </r>
  <r>
    <n v="149"/>
    <s v="F1"/>
    <x v="7"/>
    <s v="P000000678"/>
    <s v="OSC"/>
    <m/>
    <s v="Rename"/>
    <x v="0"/>
    <x v="0"/>
    <s v="EL"/>
    <m/>
    <m/>
    <s v="Eivy Denine Cruz"/>
  </r>
  <r>
    <n v="150"/>
    <s v="F1"/>
    <x v="7"/>
    <s v="P000000679"/>
    <s v="Planarization Incubator"/>
    <m/>
    <s v="Rename"/>
    <x v="0"/>
    <x v="0"/>
    <s v="EL"/>
    <m/>
    <m/>
    <s v="Eivy Denine Cruz"/>
  </r>
  <r>
    <n v="151"/>
    <s v="F1"/>
    <x v="7"/>
    <s v="P000000681"/>
    <s v="HIT'M/BN"/>
    <m/>
    <s v="Rename"/>
    <x v="0"/>
    <x v="0"/>
    <s v="EL"/>
    <m/>
    <m/>
    <s v="Eivy Denine Cruz"/>
  </r>
  <r>
    <n v="152"/>
    <s v="F1"/>
    <x v="7"/>
    <s v="P000001052"/>
    <s v="AR VR Lab"/>
    <m/>
    <s v="Rename"/>
    <x v="0"/>
    <x v="0"/>
    <s v="EL"/>
    <m/>
    <m/>
    <s v="Eivy Denine Cruz"/>
  </r>
  <r>
    <n v="153"/>
    <s v="F1"/>
    <x v="7"/>
    <s v="P000001058"/>
    <s v="RM for IJP"/>
    <m/>
    <s v="Rename"/>
    <x v="0"/>
    <x v="0"/>
    <s v="EL"/>
    <m/>
    <m/>
    <s v="Eivy Denine Cruz"/>
  </r>
  <r>
    <n v="154"/>
    <s v="F1"/>
    <x v="7"/>
    <s v="P000001094"/>
    <s v="LTD-MAP"/>
    <m/>
    <s v="Rename"/>
    <x v="0"/>
    <x v="0"/>
    <s v="EL"/>
    <m/>
    <m/>
    <s v="Eivy Denine Cruz"/>
  </r>
  <r>
    <n v="155"/>
    <s v="F1"/>
    <x v="7"/>
    <s v="P000000745"/>
    <s v="CTO Organization"/>
    <m/>
    <s v="Rename"/>
    <x v="0"/>
    <x v="0"/>
    <s v="EL"/>
    <m/>
    <m/>
    <s v="Eivy Denine Cruz"/>
  </r>
  <r>
    <n v="156"/>
    <s v="F1"/>
    <x v="7"/>
    <s v="P000000645"/>
    <s v="MIP Cost Variance"/>
    <m/>
    <s v="Rename"/>
    <x v="0"/>
    <x v="0"/>
    <s v="EL"/>
    <m/>
    <m/>
    <s v="Eivy Denine Cruz"/>
  </r>
  <r>
    <n v="157"/>
    <s v="F1"/>
    <x v="7"/>
    <s v="P000000646"/>
    <s v="CTO Leadership"/>
    <m/>
    <s v="Rename"/>
    <x v="0"/>
    <x v="0"/>
    <s v="EL"/>
    <m/>
    <m/>
    <s v="Eivy Denine Cruz"/>
  </r>
  <r>
    <n v="158"/>
    <s v="F1"/>
    <x v="7"/>
    <s v="P000000648"/>
    <s v="Materials AI"/>
    <m/>
    <s v="Rename"/>
    <x v="0"/>
    <x v="0"/>
    <s v="EL"/>
    <m/>
    <m/>
    <s v="Eivy Denine Cruz"/>
  </r>
  <r>
    <n v="159"/>
    <s v="F1"/>
    <x v="7"/>
    <s v="P000000649"/>
    <s v="Business Development  AR VR"/>
    <m/>
    <s v="Rename"/>
    <x v="0"/>
    <x v="0"/>
    <s v="EL"/>
    <m/>
    <m/>
    <s v="Eivy Denine Cruz"/>
  </r>
  <r>
    <n v="160"/>
    <s v="F1"/>
    <x v="7"/>
    <s v="P000001102"/>
    <s v="Technology Strategy &amp; Roadmap"/>
    <m/>
    <s v="Rename"/>
    <x v="0"/>
    <x v="0"/>
    <s v="EL"/>
    <m/>
    <m/>
    <s v="Eivy Denine Cruz"/>
  </r>
  <r>
    <n v="161"/>
    <s v="F1"/>
    <x v="7"/>
    <s v="P000001103"/>
    <s v="CTO Labs Capex"/>
    <m/>
    <s v="Rename"/>
    <x v="0"/>
    <x v="0"/>
    <s v="EL"/>
    <m/>
    <m/>
    <s v="Eivy Denine Cruz"/>
  </r>
  <r>
    <n v="162"/>
    <s v="F1"/>
    <x v="7"/>
    <s v="P000000484"/>
    <s v="EL-SC-Q Quality &amp; Compliance Mgmt."/>
    <m/>
    <s v="Rename"/>
    <x v="0"/>
    <x v="0"/>
    <s v="EL"/>
    <m/>
    <m/>
    <s v="Eivy Denine Cruz"/>
  </r>
  <r>
    <n v="163"/>
    <s v="F1"/>
    <x v="7"/>
    <s v="P000000487"/>
    <s v="EL-SC-QS Global Supplier Quality"/>
    <m/>
    <s v="Rename"/>
    <x v="0"/>
    <x v="0"/>
    <s v="EL"/>
    <m/>
    <m/>
    <s v="Eivy Denine Cruz"/>
  </r>
  <r>
    <n v="164"/>
    <s v="F1"/>
    <x v="7"/>
    <s v="P000000490"/>
    <s v="EL-SC-QT Trade Compliance China"/>
    <m/>
    <s v="Rename"/>
    <x v="0"/>
    <x v="0"/>
    <s v="EL"/>
    <m/>
    <m/>
    <s v="Eivy Denine Cruz"/>
  </r>
  <r>
    <n v="165"/>
    <s v="F1"/>
    <x v="7"/>
    <s v="P000000497"/>
    <s v="EL-SC-DO Process Development Optronics"/>
    <m/>
    <s v="Rename"/>
    <x v="0"/>
    <x v="0"/>
    <s v="EL"/>
    <m/>
    <m/>
    <s v="Eivy Denine Cruz"/>
  </r>
  <r>
    <n v="166"/>
    <s v="F1"/>
    <x v="7"/>
    <s v="P000001071"/>
    <s v="EL-SC-DO Projects"/>
    <m/>
    <s v="Rename"/>
    <x v="0"/>
    <x v="0"/>
    <s v="EL"/>
    <m/>
    <m/>
    <s v="Eivy Denine Cruz"/>
  </r>
  <r>
    <n v="167"/>
    <s v="F1"/>
    <x v="7"/>
    <s v="P000001072"/>
    <s v="EL-SC-DO Investments"/>
    <m/>
    <s v="Rename"/>
    <x v="0"/>
    <x v="0"/>
    <s v="EL"/>
    <m/>
    <m/>
    <s v="Eivy Denine Cruz"/>
  </r>
  <r>
    <n v="168"/>
    <s v="F1"/>
    <x v="7"/>
    <s v="P000001174"/>
    <s v="EL-SC-DO Process Development OptronicsIO"/>
    <m/>
    <s v="Rename"/>
    <x v="0"/>
    <x v="0"/>
    <s v="EL"/>
    <m/>
    <m/>
    <s v="Eivy Denine Cruz"/>
  </r>
  <r>
    <n v="169"/>
    <s v="F1"/>
    <x v="7"/>
    <s v="P000001081"/>
    <s v="EL-SC-DX Projects"/>
    <m/>
    <s v="Rename"/>
    <x v="0"/>
    <x v="0"/>
    <s v="EL"/>
    <m/>
    <m/>
    <s v="Eivy Denine Cruz"/>
  </r>
  <r>
    <n v="170"/>
    <s v="F1"/>
    <x v="7"/>
    <s v="P000001082"/>
    <s v="EL-SC-DX Investments"/>
    <m/>
    <s v="Rename"/>
    <x v="0"/>
    <x v="0"/>
    <s v="EL"/>
    <m/>
    <m/>
    <s v="Eivy Denine Cruz"/>
  </r>
  <r>
    <n v="171"/>
    <s v="F1"/>
    <x v="7"/>
    <s v="P000000635"/>
    <s v="EL-SC-E Engineering"/>
    <m/>
    <s v="Rename"/>
    <x v="0"/>
    <x v="0"/>
    <s v="EL"/>
    <m/>
    <m/>
    <s v="Eivy Denine Cruz"/>
  </r>
  <r>
    <n v="172"/>
    <s v="F1"/>
    <x v="7"/>
    <s v="P000001187"/>
    <s v="EL-SC-E Engineering Head"/>
    <m/>
    <s v="Rename"/>
    <x v="0"/>
    <x v="0"/>
    <s v="EL"/>
    <m/>
    <m/>
    <s v="Eivy Denine Cruz"/>
  </r>
  <r>
    <n v="173"/>
    <s v="F1"/>
    <x v="7"/>
    <s v="P000001188"/>
    <s v="EL-SC-EC Regional Engineering China/Taiw"/>
    <m/>
    <s v="Rename"/>
    <x v="0"/>
    <x v="0"/>
    <s v="EL"/>
    <m/>
    <m/>
    <s v="Eivy Denine Cruz"/>
  </r>
  <r>
    <n v="174"/>
    <s v="F1"/>
    <x v="7"/>
    <s v="P000001189"/>
    <s v="EL-SC-EK Regional Engineering Korea"/>
    <m/>
    <s v="Rename"/>
    <x v="0"/>
    <x v="0"/>
    <s v="EL"/>
    <m/>
    <m/>
    <s v="Eivy Denine Cruz"/>
  </r>
  <r>
    <n v="175"/>
    <s v="F1"/>
    <x v="7"/>
    <s v="P000001191"/>
    <s v="EL-SC-EE Global Capital Efficiency &amp; Pro"/>
    <m/>
    <s v="Rename"/>
    <x v="0"/>
    <x v="0"/>
    <s v="EL"/>
    <m/>
    <m/>
    <s v="Eivy Denine Cruz"/>
  </r>
  <r>
    <n v="176"/>
    <s v="F1"/>
    <x v="8"/>
    <s v="G000000414 "/>
    <m/>
    <s v="G000000873"/>
    <s v="Move"/>
    <x v="0"/>
    <x v="0"/>
    <s v="MGF"/>
    <m/>
    <m/>
    <s v="Francesco Ricioppo"/>
  </r>
  <r>
    <n v="177"/>
    <s v="F1"/>
    <x v="8"/>
    <s v="G000000415"/>
    <m/>
    <s v="G000000873"/>
    <s v="Move"/>
    <x v="0"/>
    <x v="0"/>
    <s v="MGF"/>
    <m/>
    <m/>
    <s v="Francesco Ricioppo"/>
  </r>
  <r>
    <n v="178"/>
    <s v="F1"/>
    <x v="8"/>
    <s v="G000000879 "/>
    <m/>
    <s v="G000000873"/>
    <s v="Move"/>
    <x v="0"/>
    <x v="0"/>
    <s v="MGF"/>
    <m/>
    <m/>
    <s v="Francesco Ricioppo"/>
  </r>
  <r>
    <n v="179"/>
    <s v="F1"/>
    <x v="8"/>
    <s v="G000000417"/>
    <m/>
    <s v="G000000873"/>
    <s v="Move"/>
    <x v="0"/>
    <x v="0"/>
    <s v="MGF"/>
    <m/>
    <m/>
    <s v="Francesco Ricioppo"/>
  </r>
  <r>
    <n v="180"/>
    <s v="F1"/>
    <x v="8"/>
    <s v="G000000880"/>
    <m/>
    <s v="G000000873"/>
    <s v="Move"/>
    <x v="0"/>
    <x v="0"/>
    <s v="MGF"/>
    <m/>
    <m/>
    <s v="Francesco Ricioppo"/>
  </r>
  <r>
    <n v="181"/>
    <s v="F1"/>
    <x v="8"/>
    <s v="G000000881"/>
    <m/>
    <s v="G000000873"/>
    <s v="Move"/>
    <x v="0"/>
    <x v="0"/>
    <s v="MGF"/>
    <m/>
    <m/>
    <s v="Francesco Ricioppo"/>
  </r>
  <r>
    <n v="182"/>
    <s v="F1"/>
    <x v="8"/>
    <s v="G000000495 "/>
    <m/>
    <s v="G000000523"/>
    <s v="Move"/>
    <x v="0"/>
    <x v="0"/>
    <s v="MGF"/>
    <m/>
    <m/>
    <s v="Francesco Ricioppo"/>
  </r>
  <r>
    <n v="183"/>
    <s v="F1"/>
    <x v="9"/>
    <s v="P000001259"/>
    <s v="EL-PS Support Functions"/>
    <s v="P000000024"/>
    <s v="New"/>
    <x v="0"/>
    <x v="0"/>
    <s v="EL"/>
    <m/>
    <m/>
    <s v="Eivy Denine Cruz"/>
  </r>
  <r>
    <n v="184"/>
    <s v="F1"/>
    <x v="9"/>
    <s v="P000001260"/>
    <s v="EL-PSL Legal"/>
    <s v="P000001259"/>
    <s v="New"/>
    <x v="0"/>
    <x v="0"/>
    <s v="EL"/>
    <m/>
    <m/>
    <s v="Eivy Denine Cruz"/>
  </r>
  <r>
    <n v="185"/>
    <s v="F1"/>
    <x v="9"/>
    <s v="P000001261"/>
    <s v="EL-PSH HR"/>
    <s v="P000001259"/>
    <s v="New"/>
    <x v="0"/>
    <x v="0"/>
    <s v="EL"/>
    <m/>
    <m/>
    <s v="Eivy Denine Cruz"/>
  </r>
  <r>
    <n v="186"/>
    <s v="F1"/>
    <x v="9"/>
    <s v="P000001262"/>
    <s v="EL-PSF Finance"/>
    <s v="P000001259"/>
    <s v="New"/>
    <x v="0"/>
    <x v="0"/>
    <s v="EL"/>
    <m/>
    <m/>
    <s v="Eivy Denine Cruz"/>
  </r>
  <r>
    <n v="187"/>
    <s v="F1"/>
    <x v="9"/>
    <s v="P000001263"/>
    <s v="EL-PSP Procurement"/>
    <s v="P000001259"/>
    <s v="New"/>
    <x v="0"/>
    <x v="0"/>
    <s v="EL"/>
    <m/>
    <m/>
    <s v="Eivy Denine Cruz"/>
  </r>
  <r>
    <n v="188"/>
    <s v="F1"/>
    <x v="9"/>
    <s v="P000001264"/>
    <s v="EL-PSI IT"/>
    <s v="P000001259"/>
    <s v="New"/>
    <x v="0"/>
    <x v="0"/>
    <s v="EL"/>
    <m/>
    <m/>
    <s v="Eivy Denine Cruz"/>
  </r>
  <r>
    <n v="189"/>
    <s v="F1"/>
    <x v="9"/>
    <s v="P000000148"/>
    <s v="EL-PS-O Global Operations General"/>
    <m/>
    <s v="Rename"/>
    <x v="0"/>
    <x v="0"/>
    <s v="EL"/>
    <m/>
    <m/>
    <s v="Eivy Denine Cruz"/>
  </r>
  <r>
    <n v="190"/>
    <s v="F1"/>
    <x v="10"/>
    <s v="G000001023"/>
    <m/>
    <s v="G000000873"/>
    <s v="Move"/>
    <x v="0"/>
    <x v="0"/>
    <s v="MGF"/>
    <m/>
    <m/>
    <s v="Francesco Ricioppo"/>
  </r>
  <r>
    <n v="191"/>
    <s v="F1"/>
    <x v="10"/>
    <s v="G000001024"/>
    <m/>
    <s v="G000000873"/>
    <s v="Move"/>
    <x v="0"/>
    <x v="0"/>
    <s v="MGF"/>
    <m/>
    <m/>
    <s v="Francesco Ricioppo"/>
  </r>
  <r>
    <n v="192"/>
    <s v="F1"/>
    <x v="10"/>
    <s v="G000000950"/>
    <m/>
    <s v="G000000873"/>
    <s v="Move"/>
    <x v="0"/>
    <x v="0"/>
    <s v="MGF"/>
    <m/>
    <m/>
    <s v="Francesco Ricioppo"/>
  </r>
  <r>
    <n v="193"/>
    <s v="F1"/>
    <x v="10"/>
    <s v="G000000415"/>
    <m/>
    <s v="G000000873"/>
    <s v="Move"/>
    <x v="0"/>
    <x v="0"/>
    <s v="MGF"/>
    <m/>
    <m/>
    <s v="Francesco Ricioppo"/>
  </r>
  <r>
    <n v="194"/>
    <s v="F1"/>
    <x v="10"/>
    <s v="G000000414"/>
    <m/>
    <s v="G000000873"/>
    <s v="Move"/>
    <x v="0"/>
    <x v="0"/>
    <s v="MGF"/>
    <m/>
    <m/>
    <s v="Francesco Ricioppo"/>
  </r>
  <r>
    <n v="195"/>
    <s v="F1"/>
    <x v="10"/>
    <s v="G000000417"/>
    <m/>
    <s v="G000000873"/>
    <s v="Move"/>
    <x v="0"/>
    <x v="0"/>
    <s v="MGF"/>
    <m/>
    <m/>
    <s v="Francesco Ricioppo"/>
  </r>
  <r>
    <n v="196"/>
    <s v="F1"/>
    <x v="10"/>
    <s v="G000000880"/>
    <m/>
    <s v="G000000873"/>
    <s v="Move"/>
    <x v="0"/>
    <x v="0"/>
    <s v="MGF"/>
    <m/>
    <m/>
    <s v="Francesco Ricioppo"/>
  </r>
  <r>
    <n v="197"/>
    <s v="F1"/>
    <x v="10"/>
    <s v="G000000881"/>
    <m/>
    <s v="G000000873"/>
    <s v="Move"/>
    <x v="0"/>
    <x v="0"/>
    <s v="MGF"/>
    <m/>
    <m/>
    <s v="Francesco Ricioppo"/>
  </r>
  <r>
    <n v="198"/>
    <s v="F1"/>
    <x v="10"/>
    <s v="G000000363"/>
    <m/>
    <s v="G000000873"/>
    <s v="Move"/>
    <x v="0"/>
    <x v="0"/>
    <s v="MGF"/>
    <m/>
    <m/>
    <s v="Francesco Ricioppo"/>
  </r>
  <r>
    <n v="199"/>
    <s v="F1"/>
    <x v="10"/>
    <s v="G000000888"/>
    <m/>
    <s v="G000000873"/>
    <s v="Move"/>
    <x v="0"/>
    <x v="0"/>
    <s v="MGF"/>
    <m/>
    <m/>
    <s v="Francesco Ricioppo"/>
  </r>
  <r>
    <n v="200"/>
    <s v="F1"/>
    <x v="10"/>
    <s v="G000001008"/>
    <m/>
    <s v="G000000873"/>
    <s v="Move"/>
    <x v="0"/>
    <x v="0"/>
    <s v="MGF"/>
    <m/>
    <m/>
    <s v="Francesco Ricioppo"/>
  </r>
  <r>
    <n v="201"/>
    <s v="F1"/>
    <x v="10"/>
    <s v="G000000471"/>
    <m/>
    <s v="G000000873"/>
    <s v="Move"/>
    <x v="0"/>
    <x v="0"/>
    <s v="MGF"/>
    <m/>
    <m/>
    <s v="Francesco Ricioppo"/>
  </r>
  <r>
    <n v="202"/>
    <s v="F1"/>
    <x v="10"/>
    <s v="G000000467"/>
    <m/>
    <s v="G000000873"/>
    <s v="Move"/>
    <x v="0"/>
    <x v="0"/>
    <s v="MGF"/>
    <m/>
    <m/>
    <s v="Francesco Ricioppo"/>
  </r>
  <r>
    <n v="203"/>
    <s v="F1"/>
    <x v="11"/>
    <s v="P000001265"/>
    <s v="IC Cross charges"/>
    <s v="P000001209"/>
    <s v="New"/>
    <x v="0"/>
    <x v="0"/>
    <s v="EL"/>
    <m/>
    <m/>
    <s v="Eivy Denine Cruz"/>
  </r>
  <r>
    <n v="204"/>
    <s v="F1"/>
    <x v="11"/>
    <s v="P000001266"/>
    <s v="IC Cross charges"/>
    <s v="P000001243"/>
    <s v="New"/>
    <x v="0"/>
    <x v="0"/>
    <s v="EL"/>
    <m/>
    <m/>
    <s v="Eivy Denine Cruz"/>
  </r>
  <r>
    <n v="205"/>
    <s v="F1"/>
    <x v="11"/>
    <s v="P000001267"/>
    <s v="Licrivision"/>
    <s v="P000000590"/>
    <s v="New"/>
    <x v="0"/>
    <x v="0"/>
    <s v="EL"/>
    <m/>
    <m/>
    <s v="Eivy Denine Cruz"/>
  </r>
  <r>
    <n v="206"/>
    <s v="F1"/>
    <x v="12"/>
    <s v="L000013824"/>
    <s v="mRNA CDMO QAO"/>
    <s v="L000013595"/>
    <s v="New"/>
    <x v="0"/>
    <x v="0"/>
    <s v="MGF"/>
    <m/>
    <m/>
    <s v="Marvin Graef"/>
  </r>
  <r>
    <n v="207"/>
    <s v="F1"/>
    <x v="12"/>
    <s v="L000013825"/>
    <s v="mRNA CDMO Support Functions"/>
    <s v="L000013595"/>
    <s v="New"/>
    <x v="0"/>
    <x v="0"/>
    <s v="MGF"/>
    <m/>
    <m/>
    <s v="Marvin Graef"/>
  </r>
  <r>
    <n v="208"/>
    <s v="F1"/>
    <x v="13"/>
    <s v="P000000331"/>
    <s v="Quality Gernsheim"/>
    <m/>
    <s v="Rename"/>
    <x v="0"/>
    <x v="0"/>
    <s v="EL"/>
    <m/>
    <m/>
    <s v="Eivy Denine Cruz"/>
  </r>
  <r>
    <n v="209"/>
    <s v="F2"/>
    <x v="14"/>
    <s v="G000000918"/>
    <m/>
    <s v="G000000392"/>
    <s v="Move"/>
    <x v="0"/>
    <x v="0"/>
    <s v="MGF"/>
    <s v="MOVED in 1000 both KR00"/>
    <m/>
    <s v="Marcus Morowski"/>
  </r>
  <r>
    <n v="210"/>
    <s v="F2"/>
    <x v="15"/>
    <s v="G000000537"/>
    <m/>
    <s v="G000000873"/>
    <s v="Move"/>
    <x v="0"/>
    <x v="0"/>
    <s v="MGF"/>
    <s v="MOVED in 1000 both KR00"/>
    <m/>
    <s v="Francesco Ricioppo"/>
  </r>
  <r>
    <n v="211"/>
    <s v="F2"/>
    <x v="16"/>
    <s v="G000000474"/>
    <m/>
    <s v="G000000397"/>
    <s v="Move"/>
    <x v="0"/>
    <x v="0"/>
    <s v="MGF"/>
    <s v="MOVED in 1000 both KR00"/>
    <m/>
    <s v="Francesco Ricioppo"/>
  </r>
  <r>
    <n v="212"/>
    <s v="F2"/>
    <x v="16"/>
    <s v="G000000478"/>
    <m/>
    <s v="G000000397"/>
    <s v="Move"/>
    <x v="0"/>
    <x v="0"/>
    <s v="MGF"/>
    <s v="MOVED in 1000 both KR00"/>
    <m/>
    <s v="Francesco Ricioppo"/>
  </r>
  <r>
    <n v="213"/>
    <s v="F2"/>
    <x v="16"/>
    <s v="G000000443"/>
    <m/>
    <s v="G000000873"/>
    <s v="Move"/>
    <x v="0"/>
    <x v="0"/>
    <s v="MGF"/>
    <s v="MOVED in 1000 both KR00"/>
    <m/>
    <s v="Francesco Ricioppo"/>
  </r>
  <r>
    <n v="214"/>
    <s v="F2"/>
    <x v="16"/>
    <s v="G000000446"/>
    <m/>
    <s v="G000000873"/>
    <s v="Move"/>
    <x v="0"/>
    <x v="0"/>
    <s v="MGF"/>
    <s v="MOVED in 1000 both KR00"/>
    <m/>
    <s v="Francesco Ricioppo"/>
  </r>
  <r>
    <n v="215"/>
    <s v="F2"/>
    <x v="16"/>
    <s v="G000000447"/>
    <m/>
    <s v="G000000873"/>
    <s v="Move"/>
    <x v="0"/>
    <x v="0"/>
    <s v="MGF"/>
    <s v="MOVED in 1000 both KR00"/>
    <m/>
    <s v="Francesco Ricioppo"/>
  </r>
  <r>
    <n v="216"/>
    <s v="F2"/>
    <x v="17"/>
    <s v="G000000951"/>
    <s v="SC Gebaeude Electronics DA"/>
    <m/>
    <s v="Rename"/>
    <x v="0"/>
    <x v="0"/>
    <s v="MGF"/>
    <s v="Created on both 1000; name is okay"/>
    <m/>
    <s v="Francesco Ricioppo"/>
  </r>
  <r>
    <n v="217"/>
    <s v="F2"/>
    <x v="17"/>
    <s v="G000000531"/>
    <s v="Freiflaechen und allg. Infrastruktur"/>
    <m/>
    <s v="Rename"/>
    <x v="0"/>
    <x v="0"/>
    <s v="MGF"/>
    <s v="Created on both 1000; name is okay"/>
    <m/>
    <s v="Francesco Ricioppo"/>
  </r>
  <r>
    <n v="218"/>
    <s v="F2"/>
    <x v="17"/>
    <s v="G000000532"/>
    <s v="Freiflaechen und Parken"/>
    <m/>
    <s v="Rename"/>
    <x v="0"/>
    <x v="0"/>
    <s v="MGF"/>
    <s v="Created on both 1000; name is okay"/>
    <m/>
    <s v="Francesco Ricioppo"/>
  </r>
  <r>
    <n v="219"/>
    <s v="F2"/>
    <x v="17"/>
    <s v="G000000945"/>
    <s v="Allgemeine Infrastruktur"/>
    <m/>
    <s v="Rename"/>
    <x v="0"/>
    <x v="0"/>
    <s v="MGF"/>
    <s v="Created on both 1000; name is okay"/>
    <m/>
    <s v="Francesco Ricioppo"/>
  </r>
  <r>
    <n v="220"/>
    <s v="F2"/>
    <x v="18"/>
    <s v="G000000089 "/>
    <s v="SM-IE Energy Operations &amp; Management"/>
    <m/>
    <s v="Rename"/>
    <x v="0"/>
    <x v="0"/>
    <s v="MGF"/>
    <s v="Created on both 1000; name is okay"/>
    <m/>
    <s v="Francesco Ricioppo"/>
  </r>
  <r>
    <n v="221"/>
    <s v="F2"/>
    <x v="19"/>
    <s v="G000000472"/>
    <s v="SM-HI Ideenmanagement"/>
    <s v="G000000359"/>
    <s v="Rename/Move"/>
    <x v="0"/>
    <x v="0"/>
    <s v="MGF"/>
    <s v="Created on both 1000; name is okay"/>
    <m/>
    <s v="Francesco Ricioppo"/>
  </r>
  <r>
    <n v="222"/>
    <s v="F2"/>
    <x v="20"/>
    <s v="L000013826"/>
    <s v="LW - Ecommerce Specialist"/>
    <s v="L000013126"/>
    <s v="New"/>
    <x v="0"/>
    <x v="0"/>
    <s v="LS"/>
    <s v="Created on both 1000; name is okay"/>
    <m/>
    <s v="Ruby Grace Garcia"/>
  </r>
  <r>
    <n v="223"/>
    <s v="F2"/>
    <x v="20"/>
    <s v="L000013827"/>
    <s v="LW - Global Digital Camp"/>
    <s v="L000013126"/>
    <s v="New"/>
    <x v="0"/>
    <x v="0"/>
    <s v="LS"/>
    <s v="Created on both 1000; name is okay"/>
    <m/>
    <s v="Ruby Grace Garcia"/>
  </r>
  <r>
    <n v="224"/>
    <s v="F2"/>
    <x v="20"/>
    <s v="L000013828"/>
    <s v="LW - Content Manager"/>
    <s v="L000013126"/>
    <s v="New"/>
    <x v="0"/>
    <x v="0"/>
    <s v="LS"/>
    <s v="Created on both 1000; name is okay"/>
    <m/>
    <s v="Ruby Grace Garcia"/>
  </r>
  <r>
    <n v="225"/>
    <s v="F2"/>
    <x v="20"/>
    <s v="L000013829"/>
    <s v="LW - Mark&amp;Digit Comm Spe"/>
    <s v="L000013126"/>
    <s v="New"/>
    <x v="0"/>
    <x v="0"/>
    <s v="LS"/>
    <s v="Created on both 1000; name is okay"/>
    <m/>
    <s v="Ruby Grace Garcia"/>
  </r>
  <r>
    <n v="226"/>
    <s v="F2"/>
    <x v="20"/>
    <s v="L000013830"/>
    <s v="Schnelldorf DF Operations CCV"/>
    <s v="L000012340"/>
    <s v="New"/>
    <x v="0"/>
    <x v="0"/>
    <s v="LS"/>
    <s v="Created on both 1000; name is okay"/>
    <m/>
    <s v="Ruby Grace Garcia"/>
  </r>
  <r>
    <n v="227"/>
    <s v="F2"/>
    <x v="20"/>
    <s v="L000013831"/>
    <s v="LS ERP Travel"/>
    <s v="L000013799"/>
    <s v="New"/>
    <x v="0"/>
    <x v="0"/>
    <s v="LS"/>
    <s v="Created on both 1000; name is okay"/>
    <m/>
    <s v="Ruby Grace Garcia"/>
  </r>
  <r>
    <n v="228"/>
    <s v="F2"/>
    <x v="20"/>
    <s v="L000013832"/>
    <s v="Darmstadt Freight Services -G"/>
    <s v="L000009975"/>
    <s v="New"/>
    <x v="0"/>
    <x v="0"/>
    <s v="LS"/>
    <s v="Created on both 1000; name is okay"/>
    <m/>
    <s v="Ruby Grace Garcia"/>
  </r>
  <r>
    <n v="229"/>
    <s v="F2"/>
    <x v="20"/>
    <s v="L000013833"/>
    <s v="Gernsheim Operations"/>
    <s v="L000013451"/>
    <s v="New"/>
    <x v="0"/>
    <x v="0"/>
    <s v="LS"/>
    <s v="Created on both 1000; name is okay"/>
    <m/>
    <s v="Ruby Grace Garcia"/>
  </r>
  <r>
    <n v="230"/>
    <s v="F2"/>
    <x v="20"/>
    <s v="L000013834"/>
    <s v="PG-3 Production"/>
    <s v="L000013833"/>
    <s v="New"/>
    <x v="0"/>
    <x v="0"/>
    <s v="LS"/>
    <s v="Created on both 1000; name is okay"/>
    <m/>
    <s v="Ruby Grace Garcia"/>
  </r>
  <r>
    <n v="231"/>
    <s v="F2"/>
    <x v="20"/>
    <s v="L000013835"/>
    <s v="PG-8 Production"/>
    <s v="L000013833"/>
    <s v="New"/>
    <x v="0"/>
    <x v="0"/>
    <s v="LS"/>
    <s v="Created on both 1000; name is okay"/>
    <m/>
    <s v="Ruby Grace Garcia"/>
  </r>
  <r>
    <n v="232"/>
    <s v="F2"/>
    <x v="20"/>
    <s v="L000013836"/>
    <s v="LSS Digital Transformation"/>
    <s v="L000013779"/>
    <s v="New"/>
    <x v="0"/>
    <x v="0"/>
    <s v="LS"/>
    <s v="Created on both 1000; name is okay"/>
    <m/>
    <s v="Ruby Grace Garcia"/>
  </r>
  <r>
    <n v="233"/>
    <s v="F2"/>
    <x v="20"/>
    <s v="L000013837"/>
    <s v="GoGlobal Program PS Marketing Center"/>
    <s v="L000013854"/>
    <s v="New"/>
    <x v="0"/>
    <x v="0"/>
    <s v="LS"/>
    <s v="Created on both 1000; name is okay"/>
    <m/>
    <s v="Ruby Grace Garcia"/>
  </r>
  <r>
    <n v="234"/>
    <s v="F2"/>
    <x v="20"/>
    <s v="L000013838"/>
    <s v="GoGlobal Program Downstream Franchises"/>
    <s v="L000013856"/>
    <s v="New"/>
    <x v="0"/>
    <x v="0"/>
    <s v="LS"/>
    <s v="Created on both 1000; name is okay"/>
    <m/>
    <s v="Ruby Grace Garcia"/>
  </r>
  <r>
    <n v="235"/>
    <s v="F2"/>
    <x v="20"/>
    <s v="L000013839"/>
    <s v="GoGlobal Program UPM"/>
    <s v="L000013553"/>
    <s v="New"/>
    <x v="0"/>
    <x v="0"/>
    <s v="LS"/>
    <s v="Created on both 1000; name is okay"/>
    <m/>
    <s v="Ruby Grace Garcia"/>
  </r>
  <r>
    <n v="236"/>
    <s v="F2"/>
    <x v="20"/>
    <s v="L000013840"/>
    <s v="Process Liquids &amp; Buffers"/>
    <s v="L000013553"/>
    <s v="New"/>
    <x v="0"/>
    <x v="0"/>
    <s v="LS"/>
    <s v="Created on both 1000; name is okay"/>
    <m/>
    <s v="Ruby Grace Garcia"/>
  </r>
  <r>
    <n v="237"/>
    <s v="F2"/>
    <x v="20"/>
    <s v="L000013841"/>
    <s v="Cell Lines &amp; CCM"/>
    <s v="L000013553"/>
    <s v="New"/>
    <x v="0"/>
    <x v="0"/>
    <s v="LS"/>
    <s v="Created on both 1000; name is okay"/>
    <m/>
    <s v="Ruby Grace Garcia"/>
  </r>
  <r>
    <n v="238"/>
    <s v="F2"/>
    <x v="20"/>
    <s v="L000013842"/>
    <s v="UPM - Strategy &amp; Execution"/>
    <s v="L000013553"/>
    <s v="New"/>
    <x v="0"/>
    <x v="0"/>
    <s v="LS"/>
    <s v="Created on both 1000; name is okay"/>
    <m/>
    <s v="Ruby Grace Garcia"/>
  </r>
  <r>
    <n v="239"/>
    <s v="F2"/>
    <x v="20"/>
    <s v="L000013843"/>
    <s v="Solid &amp; Liquid Formulations"/>
    <s v="L000013553"/>
    <s v="New"/>
    <x v="0"/>
    <x v="0"/>
    <s v="LS"/>
    <s v="Created on both 1000; name is okay"/>
    <m/>
    <s v="Ruby Grace Garcia"/>
  </r>
  <r>
    <n v="240"/>
    <s v="F2"/>
    <x v="20"/>
    <s v="L000013844"/>
    <s v="Excipients Liquid Applications"/>
    <s v="L000013553"/>
    <s v="New"/>
    <x v="0"/>
    <x v="0"/>
    <s v="LS"/>
    <s v="Created on both 1000; name is okay"/>
    <m/>
    <s v="Ruby Grace Garcia"/>
  </r>
  <r>
    <n v="241"/>
    <s v="F2"/>
    <x v="20"/>
    <s v="L000013845"/>
    <s v="UPM Management"/>
    <s v="L000013553"/>
    <s v="New"/>
    <x v="0"/>
    <x v="0"/>
    <s v="LS"/>
    <s v="Created on both 1000; name is okay"/>
    <m/>
    <s v="Ruby Grace Garcia"/>
  </r>
  <r>
    <n v="242"/>
    <s v="F2"/>
    <x v="20"/>
    <s v="L000013846"/>
    <s v="Single Use - Hardware Services"/>
    <s v="L000013554"/>
    <s v="New"/>
    <x v="0"/>
    <x v="0"/>
    <s v="LS"/>
    <s v="Created on both 1000; name is okay"/>
    <m/>
    <s v="Ruby Grace Garcia"/>
  </r>
  <r>
    <n v="243"/>
    <s v="F2"/>
    <x v="20"/>
    <s v="L000013847"/>
    <s v="Single Use - Management"/>
    <s v="L000013554"/>
    <s v="New"/>
    <x v="0"/>
    <x v="0"/>
    <s v="LS"/>
    <s v="Created on both 1000; name is okay"/>
    <m/>
    <s v="Ruby Grace Garcia"/>
  </r>
  <r>
    <n v="244"/>
    <s v="F2"/>
    <x v="20"/>
    <s v="L000013848"/>
    <s v="Single Use - Core"/>
    <s v="L000013554"/>
    <s v="New"/>
    <x v="0"/>
    <x v="0"/>
    <s v="LS"/>
    <s v="Created on both 1000; name is okay"/>
    <m/>
    <s v="Ruby Grace Garcia"/>
  </r>
  <r>
    <n v="245"/>
    <s v="F2"/>
    <x v="20"/>
    <s v="L000013849"/>
    <s v="Single Use - Growth Segments"/>
    <s v="L000013554"/>
    <s v="New"/>
    <x v="0"/>
    <x v="0"/>
    <s v="LS"/>
    <s v="Created on both 1000; name is okay"/>
    <m/>
    <s v="Ruby Grace Garcia"/>
  </r>
  <r>
    <n v="246"/>
    <s v="F2"/>
    <x v="20"/>
    <s v="L000013850"/>
    <s v="Single Use - Integrated Platform Solut"/>
    <s v="L000013554"/>
    <s v="New"/>
    <x v="0"/>
    <x v="0"/>
    <s v="LS"/>
    <s v="Created on both 1000; name is okay"/>
    <m/>
    <s v="Ruby Grace Garcia"/>
  </r>
  <r>
    <n v="247"/>
    <s v="F2"/>
    <x v="20"/>
    <s v="L000013851"/>
    <s v="Single Use - Market Positioning"/>
    <s v="L000013554"/>
    <s v="New"/>
    <x v="0"/>
    <x v="0"/>
    <s v="LS"/>
    <s v="Created on both 1000; name is okay"/>
    <m/>
    <s v="Ruby Grace Garcia"/>
  </r>
  <r>
    <n v="248"/>
    <s v="F2"/>
    <x v="2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249"/>
    <s v="F2"/>
    <x v="20"/>
    <s v="L000013853"/>
    <s v="Single Use - Portfolio Operations"/>
    <s v="L000013554"/>
    <s v="New"/>
    <x v="0"/>
    <x v="0"/>
    <s v="LS"/>
    <s v="Created on both 1000; name is okay"/>
    <m/>
    <s v="Ruby Grace Garcia"/>
  </r>
  <r>
    <n v="250"/>
    <s v="F2"/>
    <x v="20"/>
    <s v="L000013854"/>
    <s v="PS Marketing Center"/>
    <s v="L000006294"/>
    <s v="New"/>
    <x v="0"/>
    <x v="0"/>
    <s v="LS"/>
    <s v="Created on both 1000; name is okay"/>
    <m/>
    <s v="Ruby Grace Garcia"/>
  </r>
  <r>
    <n v="251"/>
    <s v="F2"/>
    <x v="20"/>
    <s v="L000013855"/>
    <s v="Focused Modalities and BP&amp;I"/>
    <s v="L000013854"/>
    <s v="New"/>
    <x v="0"/>
    <x v="0"/>
    <s v="LS"/>
    <s v="Created on both 1000; name is okay"/>
    <m/>
    <s v="Ruby Grace Garcia"/>
  </r>
  <r>
    <n v="252"/>
    <s v="F2"/>
    <x v="2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253"/>
    <s v="F2"/>
    <x v="20"/>
    <s v="L000013857"/>
    <s v="Downstream Management"/>
    <s v="L000013856"/>
    <s v="New"/>
    <x v="0"/>
    <x v="0"/>
    <s v="LS"/>
    <s v="Created on both 1000; name is okay"/>
    <m/>
    <s v="Ruby Grace Garcia"/>
  </r>
  <r>
    <n v="254"/>
    <s v="F2"/>
    <x v="2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255"/>
    <s v="F2"/>
    <x v="20"/>
    <s v="L000013859"/>
    <s v="Downstream Strategy &amp; Execution"/>
    <s v="L000013856"/>
    <s v="New"/>
    <x v="0"/>
    <x v="0"/>
    <s v="LS"/>
    <s v="Created on both 1000; name is okay"/>
    <m/>
    <s v="Ruby Grace Garcia"/>
  </r>
  <r>
    <n v="256"/>
    <s v="F2"/>
    <x v="20"/>
    <s v="L000013860"/>
    <s v="Validation Services &amp; Quality"/>
    <s v="L000013856"/>
    <s v="New"/>
    <x v="0"/>
    <x v="0"/>
    <s v="LS"/>
    <s v="Created on both 1000; name is okay"/>
    <m/>
    <s v="Ruby Grace Garcia"/>
  </r>
  <r>
    <n v="257"/>
    <s v="F2"/>
    <x v="20"/>
    <s v="L000013861"/>
    <s v="CDMO &amp; Bioprocess Materials"/>
    <s v="L000011390"/>
    <s v="New"/>
    <x v="0"/>
    <x v="0"/>
    <s v="LS"/>
    <s v="Created on both 1000; name is okay"/>
    <m/>
    <s v="Ruby Grace Garcia"/>
  </r>
  <r>
    <n v="258"/>
    <s v="F2"/>
    <x v="20"/>
    <s v="L000013862"/>
    <s v="Reg Mgmt &amp; Trade Comp."/>
    <s v="L000011390"/>
    <s v="New"/>
    <x v="0"/>
    <x v="0"/>
    <s v="LS"/>
    <s v="Created on both 1000; name is okay"/>
    <m/>
    <s v="Ruby Grace Garcia"/>
  </r>
  <r>
    <n v="259"/>
    <s v="F2"/>
    <x v="20"/>
    <s v="L000013863"/>
    <s v="DV Validation Management"/>
    <s v="L000011357"/>
    <s v="New"/>
    <x v="0"/>
    <x v="0"/>
    <s v="LS"/>
    <s v="Created on both 1000; name is okay"/>
    <m/>
    <s v="Ruby Grace Garcia"/>
  </r>
  <r>
    <n v="260"/>
    <s v="F2"/>
    <x v="20"/>
    <s v="L000013864"/>
    <s v="LSS Engineering"/>
    <s v="L000013452"/>
    <s v="New"/>
    <x v="0"/>
    <x v="0"/>
    <s v="LS"/>
    <s v="Created on both 1000; name is okay"/>
    <m/>
    <s v="Ruby Grace Garcia"/>
  </r>
  <r>
    <n v="261"/>
    <s v="F2"/>
    <x v="20"/>
    <s v="L000013865"/>
    <s v="E&amp;T LT"/>
    <s v="L000013452"/>
    <s v="New"/>
    <x v="0"/>
    <x v="0"/>
    <s v="LS"/>
    <s v="Created on both 1000; name is okay"/>
    <m/>
    <s v="Ruby Grace Garcia"/>
  </r>
  <r>
    <n v="262"/>
    <s v="F2"/>
    <x v="20"/>
    <s v="L000013866"/>
    <s v="Proj &amp; Eng - EMEA"/>
    <s v="L000013452"/>
    <s v="New"/>
    <x v="0"/>
    <x v="0"/>
    <s v="LS"/>
    <s v="Created on both 1000; name is okay"/>
    <m/>
    <s v="Ruby Grace Garcia"/>
  </r>
  <r>
    <n v="263"/>
    <s v="F2"/>
    <x v="20"/>
    <s v="L000013867"/>
    <s v="Global Eng &amp; SMEs"/>
    <s v="L000013452"/>
    <s v="New"/>
    <x v="0"/>
    <x v="0"/>
    <s v="LS"/>
    <s v="Created on both 1000; name is okay"/>
    <m/>
    <s v="Ruby Grace Garcia"/>
  </r>
  <r>
    <n v="264"/>
    <s v="F2"/>
    <x v="20"/>
    <s v="L000013868"/>
    <s v="LS-SC-EW Global Eng &amp;SMEs"/>
    <s v="L000013867"/>
    <s v="New"/>
    <x v="0"/>
    <x v="0"/>
    <s v="LS"/>
    <s v="Created on both 1000; name is okay"/>
    <m/>
    <s v="Ruby Grace Garcia"/>
  </r>
  <r>
    <n v="265"/>
    <s v="F2"/>
    <x v="20"/>
    <s v="L000013869"/>
    <s v="LS-SC-EWA FEE&amp;D"/>
    <s v="L000013867"/>
    <s v="New"/>
    <x v="0"/>
    <x v="0"/>
    <s v="LS"/>
    <s v="Created on both 1000; name is okay"/>
    <m/>
    <s v="Ruby Grace Garcia"/>
  </r>
  <r>
    <n v="266"/>
    <s v="F2"/>
    <x v="20"/>
    <s v="L000013870"/>
    <s v="LS-SC-EWB Global Project Controls"/>
    <s v="L000013867"/>
    <s v="New"/>
    <x v="0"/>
    <x v="0"/>
    <s v="LS"/>
    <s v="Created on both 1000; name is okay"/>
    <m/>
    <s v="Ruby Grace Garcia"/>
  </r>
  <r>
    <n v="267"/>
    <s v="F2"/>
    <x v="20"/>
    <s v="L000013871"/>
    <s v="LS-SC-EWC Global CSA Engineering"/>
    <s v="L000013867"/>
    <s v="New"/>
    <x v="0"/>
    <x v="0"/>
    <s v="LS"/>
    <s v="Created on both 1000; name is okay"/>
    <m/>
    <s v="Ruby Grace Garcia"/>
  </r>
  <r>
    <n v="268"/>
    <s v="F2"/>
    <x v="20"/>
    <s v="L000013872"/>
    <s v="LS-SC-EWDBA Membrane"/>
    <s v="L000013867"/>
    <s v="New"/>
    <x v="0"/>
    <x v="0"/>
    <s v="LS"/>
    <s v="Created on both 1000; name is okay"/>
    <m/>
    <s v="Ruby Grace Garcia"/>
  </r>
  <r>
    <n v="269"/>
    <s v="F2"/>
    <x v="20"/>
    <s v="L000013873"/>
    <s v="LS-SC-EWE GA &amp; OT Eng"/>
    <s v="L000013867"/>
    <s v="New"/>
    <x v="0"/>
    <x v="0"/>
    <s v="LS"/>
    <s v="Created on both 1000; name is okay"/>
    <m/>
    <s v="Ruby Grace Garcia"/>
  </r>
  <r>
    <n v="270"/>
    <s v="F2"/>
    <x v="20"/>
    <s v="L000013874"/>
    <s v="LS-SC-EWG Global Process Engineering"/>
    <s v="L000013867"/>
    <s v="New"/>
    <x v="0"/>
    <x v="0"/>
    <s v="LS"/>
    <s v="Created on both 1000; name is okay"/>
    <m/>
    <s v="Ruby Grace Garcia"/>
  </r>
  <r>
    <n v="271"/>
    <s v="F2"/>
    <x v="20"/>
    <s v="L000013801"/>
    <s v="GES"/>
    <m/>
    <s v="Rename"/>
    <x v="0"/>
    <x v="0"/>
    <s v="LS"/>
    <s v="Created on both 1000; name is okay"/>
    <m/>
    <s v="Ruby Grace Garcia"/>
  </r>
  <r>
    <n v="272"/>
    <s v="F2"/>
    <x v="20"/>
    <s v="L000013803"/>
    <s v="STO - Mgmt, Commercial, Change &amp; Comms"/>
    <m/>
    <s v="Rename"/>
    <x v="0"/>
    <x v="0"/>
    <s v="LS"/>
    <s v="Created on both 1000; name is okay"/>
    <m/>
    <s v="Ruby Grace Garcia"/>
  </r>
  <r>
    <n v="273"/>
    <s v="F2"/>
    <x v="20"/>
    <s v="L000013519"/>
    <s v="PS Business Franchises - to be deleted"/>
    <m/>
    <s v="Rename"/>
    <x v="0"/>
    <x v="0"/>
    <s v="LS"/>
    <s v="Created on both 1000; name is okay"/>
    <m/>
    <s v="Ruby Grace Garcia"/>
  </r>
  <r>
    <n v="274"/>
    <s v="F2"/>
    <x v="20"/>
    <s v="L000007285"/>
    <s v="PSMMOR1975.5032 5032-PSC-Cust to be del"/>
    <m/>
    <s v="Rename"/>
    <x v="0"/>
    <x v="0"/>
    <s v="LS"/>
    <s v="Created on both 1000; name is okay"/>
    <m/>
    <s v="Ruby Grace Garcia"/>
  </r>
  <r>
    <n v="275"/>
    <s v="F2"/>
    <x v="20"/>
    <s v="L000007286"/>
    <s v="PS1000BE40MS1006-PGSTS-LE Lab to be del"/>
    <m/>
    <s v="Rename"/>
    <x v="0"/>
    <x v="0"/>
    <s v="LS"/>
    <s v="Created on both 1000; name is okay"/>
    <m/>
    <s v="Ruby Grace Garcia"/>
  </r>
  <r>
    <n v="276"/>
    <s v="F2"/>
    <x v="20"/>
    <s v="L000007513"/>
    <s v="PS01010000699601-TM lab &amp; ed to be del"/>
    <m/>
    <s v="Rename"/>
    <x v="0"/>
    <x v="0"/>
    <s v="LS"/>
    <s v="Created on both 1000; name is okay"/>
    <m/>
    <s v="Ruby Grace Garcia"/>
  </r>
  <r>
    <n v="277"/>
    <s v="F2"/>
    <x v="20"/>
    <s v="L000013292"/>
    <s v="Global Services Offerings to be del"/>
    <m/>
    <s v="Rename"/>
    <x v="0"/>
    <x v="0"/>
    <s v="LS"/>
    <s v="Created on both 1000; name is okay"/>
    <m/>
    <s v="Ruby Grace Garcia"/>
  </r>
  <r>
    <n v="278"/>
    <s v="F2"/>
    <x v="20"/>
    <s v="L000013557"/>
    <s v="GTM Modality Focus -to be deleted"/>
    <m/>
    <s v="Rename"/>
    <x v="0"/>
    <x v="0"/>
    <s v="LS"/>
    <s v="Created on both 1000; name is okay"/>
    <m/>
    <s v="Ruby Grace Garcia"/>
  </r>
  <r>
    <n v="279"/>
    <s v="F2"/>
    <x v="20"/>
    <s v="L000013559"/>
    <s v="Portfolio Operations - to be deleted"/>
    <m/>
    <s v="Rename"/>
    <x v="0"/>
    <x v="0"/>
    <s v="LS"/>
    <s v="Created on both 1000; name is okay"/>
    <m/>
    <s v="Ruby Grace Garcia"/>
  </r>
  <r>
    <n v="280"/>
    <s v="F2"/>
    <x v="20"/>
    <s v="L000013561"/>
    <s v="Bus Plannning &amp; Implement - to be del"/>
    <m/>
    <s v="Rename"/>
    <x v="0"/>
    <x v="0"/>
    <s v="LS"/>
    <s v="Created on both 1000; name is okay"/>
    <m/>
    <s v="Ruby Grace Garcia"/>
  </r>
  <r>
    <n v="281"/>
    <s v="F2"/>
    <x v="20"/>
    <s v="L000013529"/>
    <s v="PS Digital Experience - to be deleted"/>
    <m/>
    <s v="Rename"/>
    <x v="0"/>
    <x v="0"/>
    <s v="LS"/>
    <s v="Created on both 1000; name is okay"/>
    <m/>
    <s v="Ruby Grace Garcia"/>
  </r>
  <r>
    <n v="282"/>
    <s v="F2"/>
    <x v="20"/>
    <s v="L000011397"/>
    <s v="LS-QRP Pharma, Food Mat. &amp; Medical Dev."/>
    <m/>
    <s v="Rename"/>
    <x v="0"/>
    <x v="0"/>
    <s v="LS"/>
    <s v="Created on both 1000; name is okay"/>
    <m/>
    <s v="Ruby Grace Garcia"/>
  </r>
  <r>
    <n v="283"/>
    <s v="F2"/>
    <x v="20"/>
    <s v="L000011361"/>
    <s v="LS-QD DA Audits"/>
    <m/>
    <s v="Rename"/>
    <x v="0"/>
    <x v="0"/>
    <s v="LS"/>
    <s v="Created on both 1000; name is okay"/>
    <m/>
    <s v="Ruby Grace Garcia"/>
  </r>
  <r>
    <n v="284"/>
    <s v="F2"/>
    <x v="20"/>
    <s v="L000012190"/>
    <s v="Ext Manuf Production -G"/>
    <s v="L000013770"/>
    <s v="Rename/Move"/>
    <x v="0"/>
    <x v="0"/>
    <s v="LS"/>
    <s v="Created on both 1000; name is okay"/>
    <m/>
    <s v="Ruby Grace Garcia"/>
  </r>
  <r>
    <n v="285"/>
    <s v="F2"/>
    <x v="20"/>
    <s v="L000010054"/>
    <s v="Ext Manuf Production Applied-G"/>
    <s v="L000012190"/>
    <s v="Rename/Move"/>
    <x v="0"/>
    <x v="0"/>
    <s v="LS"/>
    <s v="Created on both 1000; name is okay"/>
    <m/>
    <s v="Ruby Grace Garcia"/>
  </r>
  <r>
    <n v="286"/>
    <s v="F2"/>
    <x v="20"/>
    <s v="L000010055"/>
    <s v="Ext Manuf Production Process-G"/>
    <s v="L000012190"/>
    <s v="Rename/Move"/>
    <x v="0"/>
    <x v="0"/>
    <s v="LS"/>
    <s v="Created on both 1000; name is okay"/>
    <m/>
    <s v="Ruby Grace Garcia"/>
  </r>
  <r>
    <n v="287"/>
    <s v="F2"/>
    <x v="2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288"/>
    <s v="F2"/>
    <x v="2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289"/>
    <s v="F2"/>
    <x v="20"/>
    <s v="L000006518"/>
    <s v="Mirus Bio Forecast"/>
    <s v="L000013154"/>
    <s v="Rename/Move"/>
    <x v="0"/>
    <x v="0"/>
    <s v="LS"/>
    <s v="Created on both 1000; name is okay"/>
    <m/>
    <s v="Ruby Grace Garcia"/>
  </r>
  <r>
    <n v="290"/>
    <s v="F2"/>
    <x v="20"/>
    <s v="L000012318"/>
    <s v="GoGlobal Program Single Use"/>
    <s v="L000013554"/>
    <s v="Rename/Move"/>
    <x v="0"/>
    <x v="0"/>
    <s v="LS"/>
    <s v="Created on both 1000; name is okay"/>
    <m/>
    <s v="Ruby Grace Garcia"/>
  </r>
  <r>
    <n v="291"/>
    <s v="F2"/>
    <x v="2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292"/>
    <s v="F2"/>
    <x v="20"/>
    <s v="L000013179"/>
    <s v="UPM Marketing Mgmt -G"/>
    <s v="L000013845"/>
    <s v="Rename/Move"/>
    <x v="0"/>
    <x v="0"/>
    <s v="LS"/>
    <s v="Created on both 1000; name is okay"/>
    <m/>
    <s v="Ruby Grace Garcia"/>
  </r>
  <r>
    <n v="293"/>
    <s v="F2"/>
    <x v="2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294"/>
    <s v="F2"/>
    <x v="20"/>
    <s v="L000013558"/>
    <s v="Marketing and Brand"/>
    <s v="L000013854"/>
    <s v="Rename/Move"/>
    <x v="0"/>
    <x v="0"/>
    <s v="LS"/>
    <s v="Created on both 1000; name is okay"/>
    <m/>
    <s v="Ruby Grace Garcia"/>
  </r>
  <r>
    <n v="295"/>
    <s v="F2"/>
    <x v="20"/>
    <s v="L000013143"/>
    <s v="UPM Portfolio Operations"/>
    <s v="L000013553"/>
    <s v="Rename/Move"/>
    <x v="0"/>
    <x v="0"/>
    <s v="LS"/>
    <s v="Created on both 1000; name is okay"/>
    <m/>
    <s v="Ruby Grace Garcia"/>
  </r>
  <r>
    <n v="296"/>
    <s v="F2"/>
    <x v="20"/>
    <s v="L000013560"/>
    <s v="Pricing and Governance"/>
    <s v="L000013854"/>
    <s v="Rename/Move"/>
    <x v="0"/>
    <x v="0"/>
    <s v="LS"/>
    <s v="Created on both 1000; name is okay"/>
    <m/>
    <s v="Ruby Grace Garcia"/>
  </r>
  <r>
    <n v="297"/>
    <s v="F2"/>
    <x v="2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298"/>
    <s v="F2"/>
    <x v="20"/>
    <s v="L000006562"/>
    <s v="UPM Royalties"/>
    <s v="L000013845"/>
    <s v="Rename/Move"/>
    <x v="0"/>
    <x v="0"/>
    <s v="LS"/>
    <s v="Created on both 1000; name is okay"/>
    <m/>
    <s v="Ruby Grace Garcia"/>
  </r>
  <r>
    <n v="299"/>
    <s v="F2"/>
    <x v="2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300"/>
    <s v="F2"/>
    <x v="20"/>
    <s v="L000013139"/>
    <s v="UPM Management"/>
    <s v="L000013845"/>
    <s v="Rename/Move"/>
    <x v="0"/>
    <x v="0"/>
    <s v="LS"/>
    <s v="Created on both 1000; name is okay"/>
    <m/>
    <s v="Ruby Grace Garcia"/>
  </r>
  <r>
    <n v="301"/>
    <s v="F2"/>
    <x v="20"/>
    <s v="L000011729"/>
    <s v="CRM Operations"/>
    <s v="L000012364"/>
    <s v="Rename/Move"/>
    <x v="0"/>
    <x v="0"/>
    <s v="LS"/>
    <s v="Created on both 1000; name is okay"/>
    <m/>
    <s v="Ruby Grace Garcia"/>
  </r>
  <r>
    <n v="302"/>
    <s v="F2"/>
    <x v="20"/>
    <s v="L000013532"/>
    <s v="eCommerce"/>
    <s v="L000013854"/>
    <s v="Rename/Move"/>
    <x v="0"/>
    <x v="0"/>
    <s v="LS"/>
    <s v="Created on both 1000; name is okay"/>
    <m/>
    <s v="Ruby Grace Garcia"/>
  </r>
  <r>
    <n v="303"/>
    <s v="F2"/>
    <x v="20"/>
    <s v="L000005965"/>
    <m/>
    <s v="L000012017"/>
    <s v="Move"/>
    <x v="0"/>
    <x v="0"/>
    <s v="LS"/>
    <s v="MOVED in 1000"/>
    <m/>
    <s v="Ruby Grace Garcia"/>
  </r>
  <r>
    <n v="304"/>
    <s v="F2"/>
    <x v="20"/>
    <s v="L000012018"/>
    <m/>
    <s v="L000012017"/>
    <s v="Move"/>
    <x v="0"/>
    <x v="0"/>
    <s v="LS"/>
    <s v="MOVED in 1000"/>
    <m/>
    <s v="Ruby Grace Garcia"/>
  </r>
  <r>
    <n v="305"/>
    <s v="F2"/>
    <x v="20"/>
    <s v="L000013177"/>
    <m/>
    <s v="L000012017"/>
    <s v="Move"/>
    <x v="0"/>
    <x v="0"/>
    <s v="LS"/>
    <s v="MOVED in 1000"/>
    <m/>
    <s v="Ruby Grace Garcia"/>
  </r>
  <r>
    <n v="306"/>
    <s v="F2"/>
    <x v="20"/>
    <s v="L000006078"/>
    <m/>
    <s v="L000013126"/>
    <s v="Move"/>
    <x v="0"/>
    <x v="0"/>
    <s v="LS"/>
    <s v="MOVED in 1000"/>
    <m/>
    <s v="Ruby Grace Garcia"/>
  </r>
  <r>
    <n v="307"/>
    <s v="F2"/>
    <x v="20"/>
    <s v="L000006079"/>
    <m/>
    <s v="L000013126"/>
    <s v="Move"/>
    <x v="0"/>
    <x v="0"/>
    <s v="LS"/>
    <s v="MOVED in 1000"/>
    <m/>
    <s v="Ruby Grace Garcia"/>
  </r>
  <r>
    <n v="308"/>
    <s v="F2"/>
    <x v="20"/>
    <s v="L000006085"/>
    <m/>
    <s v="L000013198"/>
    <s v="Move"/>
    <x v="0"/>
    <x v="0"/>
    <s v="LS"/>
    <s v="MOVED in 1000"/>
    <m/>
    <s v="Ruby Grace Garcia"/>
  </r>
  <r>
    <n v="309"/>
    <s v="F2"/>
    <x v="20"/>
    <s v="L000013312"/>
    <m/>
    <s v="L000013126"/>
    <s v="Move"/>
    <x v="0"/>
    <x v="0"/>
    <s v="LS"/>
    <s v="MOVED in 1000"/>
    <m/>
    <s v="Ruby Grace Garcia"/>
  </r>
  <r>
    <n v="310"/>
    <s v="F2"/>
    <x v="20"/>
    <s v="L000013502"/>
    <m/>
    <s v="L000012340"/>
    <s v="Move"/>
    <x v="0"/>
    <x v="0"/>
    <s v="LS"/>
    <s v="MOVED in 1000"/>
    <m/>
    <s v="Ruby Grace Garcia"/>
  </r>
  <r>
    <n v="311"/>
    <s v="F2"/>
    <x v="20"/>
    <s v="L000010074"/>
    <m/>
    <s v="L000013451"/>
    <s v="Move"/>
    <x v="0"/>
    <x v="0"/>
    <s v="LS"/>
    <s v="MOVED in 1000"/>
    <m/>
    <s v="Ruby Grace Garcia"/>
  </r>
  <r>
    <n v="312"/>
    <s v="F2"/>
    <x v="20"/>
    <s v="L000013371"/>
    <m/>
    <s v="L000013779"/>
    <s v="Move"/>
    <x v="0"/>
    <x v="0"/>
    <s v="LS"/>
    <s v="MOVED in 1000"/>
    <m/>
    <s v="Ruby Grace Garcia"/>
  </r>
  <r>
    <n v="313"/>
    <s v="F2"/>
    <x v="20"/>
    <s v="L000013372"/>
    <m/>
    <s v="L000013779"/>
    <s v="Move"/>
    <x v="0"/>
    <x v="0"/>
    <s v="LS"/>
    <s v="MOVED in 1000"/>
    <m/>
    <s v="Ruby Grace Garcia"/>
  </r>
  <r>
    <n v="314"/>
    <s v="F2"/>
    <x v="20"/>
    <s v="L000006677"/>
    <m/>
    <s v="L000013289"/>
    <s v="Move"/>
    <x v="0"/>
    <x v="0"/>
    <s v="LS"/>
    <s v="MOVED in 1000"/>
    <m/>
    <s v="Ruby Grace Garcia"/>
  </r>
  <r>
    <n v="315"/>
    <s v="F2"/>
    <x v="20"/>
    <s v="L000006678"/>
    <m/>
    <s v="L000013289"/>
    <s v="Move"/>
    <x v="0"/>
    <x v="0"/>
    <s v="LS"/>
    <s v="MOVED in 1000"/>
    <m/>
    <s v="Ruby Grace Garcia"/>
  </r>
  <r>
    <n v="316"/>
    <s v="F2"/>
    <x v="20"/>
    <s v="L000012755"/>
    <m/>
    <s v="L000012348"/>
    <s v="Move"/>
    <x v="0"/>
    <x v="0"/>
    <s v="LS"/>
    <s v="MOVED in 1000"/>
    <m/>
    <s v="Ruby Grace Garcia"/>
  </r>
  <r>
    <n v="317"/>
    <s v="F2"/>
    <x v="20"/>
    <s v="L000006557"/>
    <m/>
    <s v="L000013558"/>
    <s v="Move"/>
    <x v="0"/>
    <x v="0"/>
    <s v="LS"/>
    <s v="MOVED in 1000"/>
    <m/>
    <s v="Ruby Grace Garcia"/>
  </r>
  <r>
    <n v="318"/>
    <s v="F2"/>
    <x v="20"/>
    <s v="L000012679"/>
    <m/>
    <s v="L000013558"/>
    <s v="Move"/>
    <x v="0"/>
    <x v="0"/>
    <s v="LS"/>
    <s v="MOVED in 1000"/>
    <m/>
    <s v="Ruby Grace Garcia"/>
  </r>
  <r>
    <n v="319"/>
    <s v="F2"/>
    <x v="20"/>
    <s v="L000012606"/>
    <m/>
    <s v="L000013850"/>
    <s v="Move"/>
    <x v="0"/>
    <x v="0"/>
    <s v="LS"/>
    <s v="MOVED in 1000"/>
    <m/>
    <s v="Ruby Grace Garcia"/>
  </r>
  <r>
    <n v="320"/>
    <s v="F2"/>
    <x v="20"/>
    <s v="L000006987"/>
    <m/>
    <s v="L000013846"/>
    <s v="Move"/>
    <x v="0"/>
    <x v="0"/>
    <s v="LS"/>
    <s v="MOVED in 1000"/>
    <m/>
    <s v="Ruby Grace Garcia"/>
  </r>
  <r>
    <n v="321"/>
    <s v="F2"/>
    <x v="20"/>
    <s v="L000012357"/>
    <m/>
    <s v="L000013846"/>
    <s v="Move"/>
    <x v="0"/>
    <x v="0"/>
    <s v="LS"/>
    <s v="MOVED in 1000"/>
    <m/>
    <s v="Ruby Grace Garcia"/>
  </r>
  <r>
    <n v="322"/>
    <s v="F2"/>
    <x v="20"/>
    <s v="L000013161"/>
    <m/>
    <s v="L000013860"/>
    <s v="Move"/>
    <x v="0"/>
    <x v="0"/>
    <s v="LS"/>
    <s v="MOVED in 1000"/>
    <m/>
    <s v="Ruby Grace Garcia"/>
  </r>
  <r>
    <n v="323"/>
    <s v="F2"/>
    <x v="20"/>
    <s v="L000013635"/>
    <m/>
    <s v="L000013846"/>
    <s v="Move"/>
    <x v="0"/>
    <x v="0"/>
    <s v="LS"/>
    <s v="MOVED in 1000"/>
    <m/>
    <s v="Ruby Grace Garcia"/>
  </r>
  <r>
    <n v="324"/>
    <s v="F2"/>
    <x v="20"/>
    <s v="L000013636"/>
    <m/>
    <s v="L000013860"/>
    <s v="Move"/>
    <x v="0"/>
    <x v="0"/>
    <s v="LS"/>
    <s v="MOVED in 1000"/>
    <m/>
    <s v="Ruby Grace Garcia"/>
  </r>
  <r>
    <n v="325"/>
    <s v="F2"/>
    <x v="20"/>
    <s v="L000013637"/>
    <m/>
    <s v="L000013846"/>
    <s v="Move"/>
    <x v="0"/>
    <x v="0"/>
    <s v="LS"/>
    <s v="MOVED in 1000"/>
    <m/>
    <s v="Ruby Grace Garcia"/>
  </r>
  <r>
    <n v="326"/>
    <s v="F2"/>
    <x v="20"/>
    <s v="L000013553"/>
    <m/>
    <s v="L000006294"/>
    <s v="Move"/>
    <x v="0"/>
    <x v="0"/>
    <s v="LS"/>
    <s v="MOVED in 1000"/>
    <m/>
    <s v="Ruby Grace Garcia"/>
  </r>
  <r>
    <n v="327"/>
    <s v="F2"/>
    <x v="20"/>
    <s v="L000006593"/>
    <m/>
    <s v="L000013845"/>
    <s v="Move"/>
    <x v="0"/>
    <x v="0"/>
    <s v="LS"/>
    <s v="MOVED in 1000"/>
    <m/>
    <s v="Ruby Grace Garcia"/>
  </r>
  <r>
    <n v="328"/>
    <s v="F2"/>
    <x v="20"/>
    <s v="L000011440"/>
    <m/>
    <s v="L000013843"/>
    <s v="Move"/>
    <x v="0"/>
    <x v="0"/>
    <s v="LS"/>
    <s v="MOVED in 1000"/>
    <m/>
    <s v="Ruby Grace Garcia"/>
  </r>
  <r>
    <n v="329"/>
    <s v="F2"/>
    <x v="20"/>
    <s v="L000011442"/>
    <m/>
    <s v="L000013843"/>
    <s v="Move"/>
    <x v="0"/>
    <x v="0"/>
    <s v="LS"/>
    <s v="MOVED in 1000"/>
    <m/>
    <s v="Ruby Grace Garcia"/>
  </r>
  <r>
    <n v="330"/>
    <s v="F2"/>
    <x v="20"/>
    <s v="L000013563"/>
    <m/>
    <s v="L000013845"/>
    <s v="Move"/>
    <x v="0"/>
    <x v="0"/>
    <s v="LS"/>
    <s v="MOVED in 1000"/>
    <m/>
    <s v="Ruby Grace Garcia"/>
  </r>
  <r>
    <n v="331"/>
    <s v="F2"/>
    <x v="20"/>
    <s v="L000013555"/>
    <m/>
    <s v="L000013856"/>
    <s v="Move"/>
    <x v="0"/>
    <x v="0"/>
    <s v="LS"/>
    <s v="MOVED in 1000"/>
    <m/>
    <s v="Ruby Grace Garcia"/>
  </r>
  <r>
    <n v="332"/>
    <s v="F2"/>
    <x v="20"/>
    <s v="L000006575"/>
    <m/>
    <s v="L000013853"/>
    <s v="Move"/>
    <x v="0"/>
    <x v="0"/>
    <s v="LS"/>
    <s v="MOVED in 1000"/>
    <m/>
    <s v="Ruby Grace Garcia"/>
  </r>
  <r>
    <n v="333"/>
    <s v="F2"/>
    <x v="20"/>
    <s v="L000006578"/>
    <m/>
    <s v="L000013858"/>
    <s v="Move"/>
    <x v="0"/>
    <x v="0"/>
    <s v="LS"/>
    <s v="MOVED in 1000"/>
    <m/>
    <s v="Ruby Grace Garcia"/>
  </r>
  <r>
    <n v="334"/>
    <s v="F2"/>
    <x v="20"/>
    <s v="L000011402"/>
    <m/>
    <s v="L000013858"/>
    <s v="Move"/>
    <x v="0"/>
    <x v="0"/>
    <s v="LS"/>
    <s v="MOVED in 1000"/>
    <m/>
    <s v="Ruby Grace Garcia"/>
  </r>
  <r>
    <n v="335"/>
    <s v="F2"/>
    <x v="20"/>
    <s v="L000012682"/>
    <m/>
    <s v="L000013858"/>
    <s v="Move"/>
    <x v="0"/>
    <x v="0"/>
    <s v="LS"/>
    <s v="MOVED in 1000"/>
    <m/>
    <s v="Ruby Grace Garcia"/>
  </r>
  <r>
    <n v="336"/>
    <s v="F2"/>
    <x v="20"/>
    <s v="L000012687"/>
    <m/>
    <s v="L000013858"/>
    <s v="Move"/>
    <x v="0"/>
    <x v="0"/>
    <s v="LS"/>
    <s v="MOVED in 1000"/>
    <m/>
    <s v="Ruby Grace Garcia"/>
  </r>
  <r>
    <n v="337"/>
    <s v="F2"/>
    <x v="20"/>
    <s v="L000012722"/>
    <m/>
    <s v="L000013858"/>
    <s v="Move"/>
    <x v="0"/>
    <x v="0"/>
    <s v="LS"/>
    <s v="MOVED in 1000"/>
    <m/>
    <s v="Ruby Grace Garcia"/>
  </r>
  <r>
    <n v="338"/>
    <s v="F2"/>
    <x v="20"/>
    <s v="L000006553"/>
    <m/>
    <s v="L000013553"/>
    <s v="Move"/>
    <x v="0"/>
    <x v="0"/>
    <s v="LS"/>
    <s v="MOVED in 1000"/>
    <m/>
    <s v="Ruby Grace Garcia"/>
  </r>
  <r>
    <n v="339"/>
    <s v="F2"/>
    <x v="20"/>
    <s v="L000006555"/>
    <m/>
    <s v="L000013553"/>
    <s v="Move"/>
    <x v="0"/>
    <x v="0"/>
    <s v="LS"/>
    <s v="MOVED in 1000"/>
    <m/>
    <s v="Ruby Grace Garcia"/>
  </r>
  <r>
    <n v="340"/>
    <s v="F2"/>
    <x v="20"/>
    <s v="L000011434"/>
    <m/>
    <s v="L000013554"/>
    <s v="Move"/>
    <x v="0"/>
    <x v="0"/>
    <s v="LS"/>
    <s v="MOVED in 1000"/>
    <m/>
    <s v="Ruby Grace Garcia"/>
  </r>
  <r>
    <n v="341"/>
    <s v="F2"/>
    <x v="20"/>
    <s v="L000012688"/>
    <m/>
    <s v="L000013554"/>
    <s v="Move"/>
    <x v="0"/>
    <x v="0"/>
    <s v="LS"/>
    <s v="MOVED in 1000"/>
    <m/>
    <s v="Ruby Grace Garcia"/>
  </r>
  <r>
    <n v="342"/>
    <s v="F2"/>
    <x v="20"/>
    <s v="L000012724"/>
    <m/>
    <s v="L000013553"/>
    <s v="Move"/>
    <x v="0"/>
    <x v="0"/>
    <s v="LS"/>
    <s v="MOVED in 1000"/>
    <m/>
    <s v="Ruby Grace Garcia"/>
  </r>
  <r>
    <n v="343"/>
    <s v="F2"/>
    <x v="20"/>
    <s v="L000012732"/>
    <m/>
    <s v="L000006562"/>
    <s v="Move"/>
    <x v="0"/>
    <x v="0"/>
    <s v="LS"/>
    <s v="MOVED in 1000"/>
    <m/>
    <s v="Ruby Grace Garcia"/>
  </r>
  <r>
    <n v="344"/>
    <s v="F2"/>
    <x v="20"/>
    <s v="L000012832"/>
    <m/>
    <s v="L000013554"/>
    <s v="Move"/>
    <x v="0"/>
    <x v="0"/>
    <s v="LS"/>
    <s v="MOVED in 1000"/>
    <m/>
    <s v="Ruby Grace Garcia"/>
  </r>
  <r>
    <n v="345"/>
    <s v="F2"/>
    <x v="20"/>
    <s v="L000006558"/>
    <m/>
    <s v="L000013854"/>
    <s v="Move"/>
    <x v="0"/>
    <x v="0"/>
    <s v="LS"/>
    <s v="MOVED in 1000"/>
    <m/>
    <s v="Ruby Grace Garcia"/>
  </r>
  <r>
    <n v="346"/>
    <s v="F2"/>
    <x v="20"/>
    <s v="L000007464"/>
    <m/>
    <s v="L000013531"/>
    <s v="Move"/>
    <x v="0"/>
    <x v="0"/>
    <s v="LS"/>
    <s v="MOVED in 1000"/>
    <m/>
    <s v="Ruby Grace Garcia"/>
  </r>
  <r>
    <n v="347"/>
    <s v="F2"/>
    <x v="20"/>
    <s v="L000007467"/>
    <m/>
    <s v="L000013530"/>
    <s v="Move"/>
    <x v="0"/>
    <x v="0"/>
    <s v="LS"/>
    <s v="MOVED in 1000"/>
    <m/>
    <s v="Ruby Grace Garcia"/>
  </r>
  <r>
    <n v="348"/>
    <s v="F2"/>
    <x v="20"/>
    <s v="L000007540"/>
    <m/>
    <s v="L000013530"/>
    <s v="Move"/>
    <x v="0"/>
    <x v="0"/>
    <s v="LS"/>
    <s v="MOVED in 1000"/>
    <m/>
    <s v="Ruby Grace Garcia"/>
  </r>
  <r>
    <n v="349"/>
    <s v="F2"/>
    <x v="20"/>
    <s v="L000011730"/>
    <m/>
    <s v="L000012361"/>
    <s v="Move"/>
    <x v="0"/>
    <x v="0"/>
    <s v="LS"/>
    <s v="MOVED in 1000"/>
    <m/>
    <s v="Ruby Grace Garcia"/>
  </r>
  <r>
    <n v="350"/>
    <s v="F2"/>
    <x v="20"/>
    <s v="L000013530"/>
    <m/>
    <s v="L000011719"/>
    <s v="Move"/>
    <x v="0"/>
    <x v="0"/>
    <s v="LS"/>
    <s v="MOVED in 1000"/>
    <m/>
    <s v="Ruby Grace Garcia"/>
  </r>
  <r>
    <n v="351"/>
    <s v="F2"/>
    <x v="20"/>
    <s v="L000013531"/>
    <m/>
    <s v="L000013854"/>
    <s v="Move"/>
    <x v="0"/>
    <x v="0"/>
    <s v="LS"/>
    <s v="MOVED in 1000"/>
    <m/>
    <s v="Ruby Grace Garcia"/>
  </r>
  <r>
    <n v="352"/>
    <s v="F2"/>
    <x v="20"/>
    <s v="L000007117"/>
    <m/>
    <s v="L000013855"/>
    <s v="Move"/>
    <x v="0"/>
    <x v="0"/>
    <s v="LS"/>
    <s v="MOVED in 1000"/>
    <m/>
    <s v="Ruby Grace Garcia"/>
  </r>
  <r>
    <n v="353"/>
    <s v="F2"/>
    <x v="20"/>
    <s v="L000013550"/>
    <m/>
    <s v="L000013855"/>
    <s v="Move"/>
    <x v="0"/>
    <x v="0"/>
    <s v="LS"/>
    <s v="MOVED in 1000"/>
    <m/>
    <s v="Ruby Grace Garcia"/>
  </r>
  <r>
    <n v="354"/>
    <s v="F2"/>
    <x v="20"/>
    <s v="L000011148"/>
    <m/>
    <s v="L000013387"/>
    <s v="Move"/>
    <x v="0"/>
    <x v="0"/>
    <s v="LS"/>
    <s v="MOVED in 1000"/>
    <m/>
    <s v="Ruby Grace Garcia"/>
  </r>
  <r>
    <n v="355"/>
    <s v="F2"/>
    <x v="20"/>
    <s v="L000011152"/>
    <m/>
    <s v="L000013275"/>
    <s v="Move"/>
    <x v="0"/>
    <x v="0"/>
    <s v="LS"/>
    <s v="MOVED in 1000"/>
    <m/>
    <s v="Ruby Grace Garcia"/>
  </r>
  <r>
    <n v="356"/>
    <s v="F2"/>
    <x v="20"/>
    <s v="L000013435"/>
    <m/>
    <s v="L000010042"/>
    <s v="Move"/>
    <x v="0"/>
    <x v="0"/>
    <s v="LS"/>
    <s v="MOVED in 1000"/>
    <m/>
    <s v="Ruby Grace Garcia"/>
  </r>
  <r>
    <n v="357"/>
    <s v="F2"/>
    <x v="20"/>
    <s v="L000013732"/>
    <m/>
    <s v="L000010042"/>
    <s v="Move"/>
    <x v="0"/>
    <x v="0"/>
    <s v="LS"/>
    <s v="MOVED in 1000"/>
    <m/>
    <s v="Ruby Grace Garcia"/>
  </r>
  <r>
    <n v="358"/>
    <s v="F2"/>
    <x v="20"/>
    <s v="L000013816"/>
    <m/>
    <s v="L000013448"/>
    <s v="Move"/>
    <x v="0"/>
    <x v="0"/>
    <s v="LS"/>
    <s v="MOVED in 1000"/>
    <m/>
    <s v="Ruby Grace Garcia"/>
  </r>
  <r>
    <n v="359"/>
    <s v="F2"/>
    <x v="20"/>
    <s v="L000013618"/>
    <m/>
    <s v="L000009432"/>
    <s v="Move"/>
    <x v="0"/>
    <x v="0"/>
    <s v="LS"/>
    <s v="MOVED in 1000"/>
    <m/>
    <s v="Ruby Grace Garcia"/>
  </r>
  <r>
    <n v="360"/>
    <s v="F2"/>
    <x v="20"/>
    <s v="L000005915"/>
    <m/>
    <s v="L000013610"/>
    <s v="Move"/>
    <x v="0"/>
    <x v="0"/>
    <s v="LS"/>
    <s v="MOVED in 1000"/>
    <m/>
    <s v="Ruby Grace Garcia"/>
  </r>
  <r>
    <n v="361"/>
    <s v="F2"/>
    <x v="20"/>
    <s v="L000006676"/>
    <m/>
    <s v="L000013679"/>
    <s v="Move"/>
    <x v="0"/>
    <x v="0"/>
    <s v="LS"/>
    <s v="MOVED in 1000"/>
    <m/>
    <s v="Ruby Grace Garcia"/>
  </r>
  <r>
    <n v="362"/>
    <s v="F2"/>
    <x v="20"/>
    <s v="L000012830"/>
    <m/>
    <s v="L000013679"/>
    <s v="Move"/>
    <x v="0"/>
    <x v="0"/>
    <s v="LS"/>
    <s v="MOVED in 1000"/>
    <m/>
    <s v="Ruby Grace Garcia"/>
  </r>
  <r>
    <n v="363"/>
    <s v="F2"/>
    <x v="20"/>
    <s v="L000006956"/>
    <m/>
    <s v="L000013685"/>
    <s v="Move"/>
    <x v="0"/>
    <x v="0"/>
    <s v="LS"/>
    <s v="MOVED in 1000"/>
    <m/>
    <s v="Ruby Grace Garcia"/>
  </r>
  <r>
    <n v="364"/>
    <s v="F2"/>
    <x v="20"/>
    <s v="L000006957"/>
    <m/>
    <s v="L000013685"/>
    <s v="Move"/>
    <x v="0"/>
    <x v="0"/>
    <s v="LS"/>
    <s v="MOVED in 1000"/>
    <m/>
    <s v="Ruby Grace Garcia"/>
  </r>
  <r>
    <n v="365"/>
    <s v="F2"/>
    <x v="20"/>
    <s v="L000006960"/>
    <m/>
    <s v="L000013685"/>
    <s v="Move"/>
    <x v="0"/>
    <x v="0"/>
    <s v="LS"/>
    <s v="MOVED in 1000"/>
    <m/>
    <s v="Ruby Grace Garcia"/>
  </r>
  <r>
    <n v="366"/>
    <s v="F2"/>
    <x v="20"/>
    <s v="L000007073"/>
    <m/>
    <s v="L000013685"/>
    <s v="Move"/>
    <x v="0"/>
    <x v="0"/>
    <s v="LS"/>
    <s v="MOVED in 1000"/>
    <m/>
    <s v="Ruby Grace Garcia"/>
  </r>
  <r>
    <n v="367"/>
    <s v="F2"/>
    <x v="20"/>
    <s v="L000011517"/>
    <m/>
    <s v="L000013685"/>
    <s v="Move"/>
    <x v="0"/>
    <x v="0"/>
    <s v="LS"/>
    <s v="MOVED in 1000"/>
    <m/>
    <s v="Ruby Grace Garcia"/>
  </r>
  <r>
    <n v="368"/>
    <s v="F2"/>
    <x v="20"/>
    <s v="L000012599"/>
    <m/>
    <s v="L000013685"/>
    <s v="Move"/>
    <x v="0"/>
    <x v="0"/>
    <s v="LS"/>
    <s v="MOVED in 1000"/>
    <m/>
    <s v="Ruby Grace Garcia"/>
  </r>
  <r>
    <n v="369"/>
    <s v="F2"/>
    <x v="20"/>
    <s v="L000013359"/>
    <m/>
    <s v="L000013685"/>
    <s v="Move"/>
    <x v="0"/>
    <x v="0"/>
    <s v="LS"/>
    <s v="MOVED in 1000"/>
    <m/>
    <s v="Ruby Grace Garcia"/>
  </r>
  <r>
    <n v="370"/>
    <s v="F2"/>
    <x v="20"/>
    <s v="L000013184"/>
    <m/>
    <s v="L000013685"/>
    <s v="Move"/>
    <x v="0"/>
    <x v="0"/>
    <s v="LS"/>
    <s v="MOVED in 1000"/>
    <m/>
    <s v="Ruby Grace Garcia"/>
  </r>
  <r>
    <n v="371"/>
    <s v="F2"/>
    <x v="20"/>
    <s v="L000013366"/>
    <m/>
    <s v="L000013685"/>
    <s v="Move"/>
    <x v="0"/>
    <x v="0"/>
    <s v="LS"/>
    <s v="MOVED in 1000"/>
    <m/>
    <s v="Ruby Grace Garcia"/>
  </r>
  <r>
    <n v="372"/>
    <s v="F2"/>
    <x v="20"/>
    <s v="L000013368"/>
    <m/>
    <s v="L000013685"/>
    <s v="Move"/>
    <x v="0"/>
    <x v="0"/>
    <s v="LS"/>
    <s v="MOVED in 1000"/>
    <m/>
    <s v="Ruby Grace Garcia"/>
  </r>
  <r>
    <n v="373"/>
    <s v="F2"/>
    <x v="20"/>
    <s v="L000013369"/>
    <m/>
    <s v="L000013685"/>
    <s v="Move"/>
    <x v="0"/>
    <x v="0"/>
    <s v="LS"/>
    <s v="MOVED in 1000"/>
    <m/>
    <s v="Ruby Grace Garcia"/>
  </r>
  <r>
    <n v="374"/>
    <s v="F2"/>
    <x v="20"/>
    <s v="L000006951"/>
    <m/>
    <s v="L000013685"/>
    <s v="Move"/>
    <x v="0"/>
    <x v="0"/>
    <s v="LS"/>
    <s v="MOVED in 1000"/>
    <m/>
    <s v="Ruby Grace Garcia"/>
  </r>
  <r>
    <n v="375"/>
    <s v="F2"/>
    <x v="20"/>
    <s v="L000006170"/>
    <m/>
    <s v="L000013680"/>
    <s v="Move"/>
    <x v="0"/>
    <x v="0"/>
    <s v="LS"/>
    <s v="MOVED in 1000"/>
    <m/>
    <s v="Ruby Grace Garcia"/>
  </r>
  <r>
    <n v="376"/>
    <s v="F2"/>
    <x v="20"/>
    <s v="L000012443"/>
    <m/>
    <s v="L000013680"/>
    <s v="Move"/>
    <x v="0"/>
    <x v="0"/>
    <s v="LS"/>
    <s v="MOVED in 1000"/>
    <m/>
    <s v="Ruby Grace Garcia"/>
  </r>
  <r>
    <n v="377"/>
    <s v="F2"/>
    <x v="20"/>
    <s v="L000012917"/>
    <m/>
    <s v="L000013680"/>
    <s v="Move"/>
    <x v="0"/>
    <x v="0"/>
    <s v="LS"/>
    <s v="MOVED in 1000"/>
    <m/>
    <s v="Ruby Grace Garcia"/>
  </r>
  <r>
    <n v="378"/>
    <s v="F2"/>
    <x v="20"/>
    <s v="L000011350"/>
    <m/>
    <s v="L000013687"/>
    <s v="Move"/>
    <x v="0"/>
    <x v="0"/>
    <s v="LS"/>
    <s v="MOVED in 1000"/>
    <m/>
    <s v="Ruby Grace Garcia"/>
  </r>
  <r>
    <n v="379"/>
    <s v="F2"/>
    <x v="20"/>
    <s v="L000012849"/>
    <m/>
    <s v="L000013687"/>
    <s v="Move"/>
    <x v="0"/>
    <x v="0"/>
    <s v="LS"/>
    <s v="MOVED in 1000"/>
    <m/>
    <s v="Ruby Grace Garcia"/>
  </r>
  <r>
    <n v="380"/>
    <s v="F2"/>
    <x v="20"/>
    <s v="L000012850"/>
    <m/>
    <s v="L000013687"/>
    <s v="Move"/>
    <x v="0"/>
    <x v="0"/>
    <s v="LS"/>
    <s v="MOVED in 1000"/>
    <m/>
    <s v="Ruby Grace Garcia"/>
  </r>
  <r>
    <n v="381"/>
    <s v="F2"/>
    <x v="20"/>
    <s v="L000012852"/>
    <m/>
    <s v="L000013687"/>
    <s v="Move"/>
    <x v="0"/>
    <x v="0"/>
    <s v="LS"/>
    <s v="MOVED in 1000"/>
    <m/>
    <s v="Ruby Grace Garcia"/>
  </r>
  <r>
    <n v="382"/>
    <s v="F2"/>
    <x v="20"/>
    <s v="L000012853"/>
    <m/>
    <s v="L000013687"/>
    <s v="Move"/>
    <x v="0"/>
    <x v="0"/>
    <s v="LS"/>
    <s v="MOVED in 1000"/>
    <m/>
    <s v="Ruby Grace Garcia"/>
  </r>
  <r>
    <n v="383"/>
    <s v="F2"/>
    <x v="20"/>
    <s v="L000012854"/>
    <m/>
    <s v="L000013687"/>
    <s v="Move"/>
    <x v="0"/>
    <x v="0"/>
    <s v="LS"/>
    <s v="MOVED in 1000"/>
    <m/>
    <s v="Ruby Grace Garcia"/>
  </r>
  <r>
    <n v="384"/>
    <s v="F2"/>
    <x v="20"/>
    <s v="L000012855"/>
    <m/>
    <s v="L000013687"/>
    <s v="Move"/>
    <x v="0"/>
    <x v="0"/>
    <s v="LS"/>
    <s v="MOVED in 1000"/>
    <m/>
    <s v="Ruby Grace Garcia"/>
  </r>
  <r>
    <n v="385"/>
    <s v="F2"/>
    <x v="20"/>
    <s v="L000012856"/>
    <m/>
    <s v="L000013687"/>
    <s v="Move"/>
    <x v="0"/>
    <x v="0"/>
    <s v="LS"/>
    <s v="MOVED in 1000"/>
    <m/>
    <s v="Ruby Grace Garcia"/>
  </r>
  <r>
    <n v="386"/>
    <s v="F2"/>
    <x v="20"/>
    <s v="L000012857"/>
    <m/>
    <s v="L000013687"/>
    <s v="Move"/>
    <x v="0"/>
    <x v="0"/>
    <s v="LS"/>
    <s v="MOVED in 1000"/>
    <m/>
    <s v="Ruby Grace Garcia"/>
  </r>
  <r>
    <n v="387"/>
    <s v="F2"/>
    <x v="20"/>
    <s v="L000012858"/>
    <m/>
    <s v="L000013687"/>
    <s v="Move"/>
    <x v="0"/>
    <x v="0"/>
    <s v="LS"/>
    <s v="MOVED in 1000"/>
    <m/>
    <s v="Ruby Grace Garcia"/>
  </r>
  <r>
    <n v="388"/>
    <s v="F2"/>
    <x v="20"/>
    <s v="L000012911"/>
    <m/>
    <s v="L000013687"/>
    <s v="Move"/>
    <x v="0"/>
    <x v="0"/>
    <s v="LS"/>
    <s v="MOVED in 1000"/>
    <m/>
    <s v="Ruby Grace Garcia"/>
  </r>
  <r>
    <n v="389"/>
    <s v="F2"/>
    <x v="20"/>
    <s v="L000013075"/>
    <m/>
    <s v="L000013687"/>
    <s v="Move"/>
    <x v="0"/>
    <x v="0"/>
    <s v="LS"/>
    <s v="MOVED in 1000"/>
    <m/>
    <s v="Ruby Grace Garcia"/>
  </r>
  <r>
    <n v="390"/>
    <s v="F2"/>
    <x v="20"/>
    <s v="L000013076"/>
    <m/>
    <s v="L000013687"/>
    <s v="Move"/>
    <x v="0"/>
    <x v="0"/>
    <s v="LS"/>
    <s v="MOVED in 1000"/>
    <m/>
    <s v="Ruby Grace Garcia"/>
  </r>
  <r>
    <n v="391"/>
    <s v="F2"/>
    <x v="20"/>
    <s v="L000013077"/>
    <m/>
    <s v="L000013687"/>
    <s v="Move"/>
    <x v="0"/>
    <x v="0"/>
    <s v="LS"/>
    <s v="MOVED in 1000"/>
    <m/>
    <s v="Ruby Grace Garcia"/>
  </r>
  <r>
    <n v="392"/>
    <s v="F2"/>
    <x v="20"/>
    <s v="L000013085"/>
    <m/>
    <s v="L000013687"/>
    <s v="Move"/>
    <x v="0"/>
    <x v="0"/>
    <s v="LS"/>
    <s v="MOVED in 1000"/>
    <m/>
    <s v="Ruby Grace Garcia"/>
  </r>
  <r>
    <n v="393"/>
    <s v="F2"/>
    <x v="20"/>
    <s v="L000013086"/>
    <m/>
    <s v="L000013687"/>
    <s v="Move"/>
    <x v="0"/>
    <x v="0"/>
    <s v="LS"/>
    <s v="MOVED in 1000"/>
    <m/>
    <s v="Ruby Grace Garcia"/>
  </r>
  <r>
    <n v="394"/>
    <s v="F2"/>
    <x v="20"/>
    <s v="L000011049"/>
    <m/>
    <s v="L000013687"/>
    <s v="Move"/>
    <x v="0"/>
    <x v="0"/>
    <s v="LS"/>
    <s v="MOVED in 1000"/>
    <m/>
    <s v="Ruby Grace Garcia"/>
  </r>
  <r>
    <n v="395"/>
    <s v="F2"/>
    <x v="20"/>
    <s v="L000011050"/>
    <m/>
    <s v="L000013687"/>
    <s v="Move"/>
    <x v="0"/>
    <x v="0"/>
    <s v="LS"/>
    <s v="MOVED in 1000"/>
    <m/>
    <s v="Ruby Grace Garcia"/>
  </r>
  <r>
    <n v="396"/>
    <s v="F2"/>
    <x v="20"/>
    <s v="L000011051"/>
    <m/>
    <s v="L000013687"/>
    <s v="Move"/>
    <x v="0"/>
    <x v="0"/>
    <s v="LS"/>
    <s v="MOVED in 1000"/>
    <m/>
    <s v="Ruby Grace Garcia"/>
  </r>
  <r>
    <n v="397"/>
    <s v="F2"/>
    <x v="20"/>
    <s v="L000011052"/>
    <m/>
    <s v="L000013687"/>
    <s v="Move"/>
    <x v="0"/>
    <x v="0"/>
    <s v="LS"/>
    <s v="MOVED in 1000"/>
    <m/>
    <s v="Ruby Grace Garcia"/>
  </r>
  <r>
    <n v="398"/>
    <s v="F2"/>
    <x v="20"/>
    <s v="L000011053"/>
    <m/>
    <s v="L000013687"/>
    <s v="Move"/>
    <x v="0"/>
    <x v="0"/>
    <s v="LS"/>
    <s v="MOVED in 1000"/>
    <m/>
    <s v="Ruby Grace Garcia"/>
  </r>
  <r>
    <n v="399"/>
    <s v="F2"/>
    <x v="20"/>
    <s v="L000011054"/>
    <m/>
    <s v="L000013687"/>
    <s v="Move"/>
    <x v="0"/>
    <x v="0"/>
    <s v="LS"/>
    <s v="MOVED in 1000"/>
    <m/>
    <s v="Ruby Grace Garcia"/>
  </r>
  <r>
    <n v="400"/>
    <s v="F2"/>
    <x v="20"/>
    <s v="L000011055"/>
    <m/>
    <s v="L000013687"/>
    <s v="Move"/>
    <x v="0"/>
    <x v="0"/>
    <s v="LS"/>
    <s v="MOVED in 1000"/>
    <m/>
    <s v="Ruby Grace Garcia"/>
  </r>
  <r>
    <n v="401"/>
    <s v="F2"/>
    <x v="20"/>
    <s v="L000011056"/>
    <m/>
    <s v="L000013687"/>
    <s v="Move"/>
    <x v="0"/>
    <x v="0"/>
    <s v="LS"/>
    <s v="MOVED in 1000"/>
    <m/>
    <s v="Ruby Grace Garcia"/>
  </r>
  <r>
    <n v="402"/>
    <s v="F2"/>
    <x v="20"/>
    <s v="L000011057"/>
    <m/>
    <s v="L000013687"/>
    <s v="Move"/>
    <x v="0"/>
    <x v="0"/>
    <s v="LS"/>
    <s v="MOVED in 1000"/>
    <m/>
    <s v="Ruby Grace Garcia"/>
  </r>
  <r>
    <n v="403"/>
    <s v="F2"/>
    <x v="20"/>
    <s v="L000011058"/>
    <m/>
    <s v="L000013687"/>
    <s v="Move"/>
    <x v="0"/>
    <x v="0"/>
    <s v="LS"/>
    <s v="MOVED in 1000"/>
    <m/>
    <s v="Ruby Grace Garcia"/>
  </r>
  <r>
    <n v="404"/>
    <s v="F2"/>
    <x v="20"/>
    <s v="L000011059"/>
    <m/>
    <s v="L000013687"/>
    <s v="Move"/>
    <x v="0"/>
    <x v="0"/>
    <s v="LS"/>
    <s v="MOVED in 1000"/>
    <m/>
    <s v="Ruby Grace Garcia"/>
  </r>
  <r>
    <n v="405"/>
    <s v="F2"/>
    <x v="20"/>
    <s v="L000011060"/>
    <m/>
    <s v="L000013687"/>
    <s v="Move"/>
    <x v="0"/>
    <x v="0"/>
    <s v="LS"/>
    <s v="MOVED in 1000"/>
    <m/>
    <s v="Ruby Grace Garcia"/>
  </r>
  <r>
    <n v="406"/>
    <s v="F2"/>
    <x v="20"/>
    <s v="L000011061"/>
    <m/>
    <s v="L000013687"/>
    <s v="Move"/>
    <x v="0"/>
    <x v="0"/>
    <s v="LS"/>
    <s v="MOVED in 1000"/>
    <m/>
    <s v="Ruby Grace Garcia"/>
  </r>
  <r>
    <n v="407"/>
    <s v="F2"/>
    <x v="20"/>
    <s v="L000011062"/>
    <m/>
    <s v="L000013687"/>
    <s v="Move"/>
    <x v="0"/>
    <x v="0"/>
    <s v="LS"/>
    <s v="MOVED in 1000"/>
    <m/>
    <s v="Ruby Grace Garcia"/>
  </r>
  <r>
    <n v="408"/>
    <s v="F2"/>
    <x v="20"/>
    <s v="L000011063"/>
    <m/>
    <s v="L000013687"/>
    <s v="Move"/>
    <x v="0"/>
    <x v="0"/>
    <s v="LS"/>
    <s v="MOVED in 1000"/>
    <m/>
    <s v="Ruby Grace Garcia"/>
  </r>
  <r>
    <n v="409"/>
    <s v="F2"/>
    <x v="20"/>
    <s v="L000012973"/>
    <m/>
    <s v="L000013687"/>
    <s v="Move"/>
    <x v="0"/>
    <x v="0"/>
    <s v="LS"/>
    <s v="MOVED in 1000"/>
    <m/>
    <s v="Ruby Grace Garcia"/>
  </r>
  <r>
    <n v="410"/>
    <s v="F2"/>
    <x v="20"/>
    <s v="L000013741"/>
    <m/>
    <s v="L000013687"/>
    <s v="Move"/>
    <x v="0"/>
    <x v="0"/>
    <s v="LS"/>
    <s v="MOVED in 1000"/>
    <m/>
    <s v="Ruby Grace Garcia"/>
  </r>
  <r>
    <n v="411"/>
    <s v="F2"/>
    <x v="20"/>
    <s v="L000013742"/>
    <m/>
    <s v="L000013687"/>
    <s v="Move"/>
    <x v="0"/>
    <x v="0"/>
    <s v="LS"/>
    <s v="MOVED in 1000"/>
    <m/>
    <s v="Ruby Grace Garcia"/>
  </r>
  <r>
    <n v="412"/>
    <s v="F2"/>
    <x v="20"/>
    <s v="L000013743"/>
    <m/>
    <s v="L000013687"/>
    <s v="Move"/>
    <x v="0"/>
    <x v="0"/>
    <s v="LS"/>
    <s v="MOVED in 1000"/>
    <m/>
    <s v="Ruby Grace Garcia"/>
  </r>
  <r>
    <n v="413"/>
    <s v="F2"/>
    <x v="20"/>
    <s v="L000013744"/>
    <m/>
    <s v="L000013687"/>
    <s v="Move"/>
    <x v="0"/>
    <x v="0"/>
    <s v="LS"/>
    <s v="MOVED in 1000"/>
    <m/>
    <s v="Ruby Grace Garcia"/>
  </r>
  <r>
    <n v="414"/>
    <s v="F2"/>
    <x v="20"/>
    <s v="L000013745"/>
    <m/>
    <s v="L000013687"/>
    <s v="Move"/>
    <x v="0"/>
    <x v="0"/>
    <s v="LS"/>
    <s v="MOVED in 1000"/>
    <m/>
    <s v="Ruby Grace Garcia"/>
  </r>
  <r>
    <n v="415"/>
    <s v="F2"/>
    <x v="20"/>
    <s v="L000013746"/>
    <m/>
    <s v="L000013687"/>
    <s v="Move"/>
    <x v="0"/>
    <x v="0"/>
    <s v="LS"/>
    <s v="MOVED in 1000"/>
    <m/>
    <s v="Ruby Grace Garcia"/>
  </r>
  <r>
    <n v="416"/>
    <s v="F2"/>
    <x v="20"/>
    <s v="L000013747"/>
    <m/>
    <s v="L000013687"/>
    <s v="Move"/>
    <x v="0"/>
    <x v="0"/>
    <s v="LS"/>
    <s v="MOVED in 1000"/>
    <m/>
    <s v="Ruby Grace Garcia"/>
  </r>
  <r>
    <n v="417"/>
    <s v="F2"/>
    <x v="20"/>
    <s v="L000013748"/>
    <m/>
    <s v="L000013687"/>
    <s v="Move"/>
    <x v="0"/>
    <x v="0"/>
    <s v="LS"/>
    <s v="MOVED in 1000"/>
    <m/>
    <s v="Ruby Grace Garcia"/>
  </r>
  <r>
    <n v="418"/>
    <s v="F2"/>
    <x v="20"/>
    <s v="L000013749"/>
    <m/>
    <s v="L000013687"/>
    <s v="Move"/>
    <x v="0"/>
    <x v="0"/>
    <s v="LS"/>
    <s v="MOVED in 1000"/>
    <m/>
    <s v="Ruby Grace Garcia"/>
  </r>
  <r>
    <n v="419"/>
    <s v="F2"/>
    <x v="20"/>
    <s v="L000013750"/>
    <m/>
    <s v="L000013687"/>
    <s v="Move"/>
    <x v="0"/>
    <x v="0"/>
    <s v="LS"/>
    <s v="MOVED in 1000"/>
    <m/>
    <s v="Ruby Grace Garcia"/>
  </r>
  <r>
    <n v="420"/>
    <s v="F2"/>
    <x v="20"/>
    <s v="L000013751"/>
    <m/>
    <s v="L000013687"/>
    <s v="Move"/>
    <x v="0"/>
    <x v="0"/>
    <s v="LS"/>
    <s v="MOVED in 1000"/>
    <m/>
    <s v="Ruby Grace Garcia"/>
  </r>
  <r>
    <n v="421"/>
    <s v="F2"/>
    <x v="20"/>
    <s v="L000013752"/>
    <m/>
    <s v="L000013687"/>
    <s v="Move"/>
    <x v="0"/>
    <x v="0"/>
    <s v="LS"/>
    <s v="MOVED in 1000"/>
    <m/>
    <s v="Ruby Grace Garcia"/>
  </r>
  <r>
    <n v="422"/>
    <s v="F2"/>
    <x v="20"/>
    <s v="L000013753"/>
    <m/>
    <s v="L000013687"/>
    <s v="Move"/>
    <x v="0"/>
    <x v="0"/>
    <s v="LS"/>
    <s v="MOVED in 1000"/>
    <m/>
    <s v="Ruby Grace Garcia"/>
  </r>
  <r>
    <n v="423"/>
    <s v="F2"/>
    <x v="20"/>
    <s v="L000013755"/>
    <m/>
    <s v="L000013687"/>
    <s v="Move"/>
    <x v="0"/>
    <x v="0"/>
    <s v="LS"/>
    <s v="MOVED in 1000"/>
    <m/>
    <s v="Ruby Grace Garcia"/>
  </r>
  <r>
    <n v="424"/>
    <s v="F2"/>
    <x v="20"/>
    <s v="L000013757"/>
    <m/>
    <s v="L000013687"/>
    <s v="Move"/>
    <x v="0"/>
    <x v="0"/>
    <s v="LS"/>
    <s v="MOVED in 1000"/>
    <m/>
    <s v="Ruby Grace Garcia"/>
  </r>
  <r>
    <n v="425"/>
    <s v="F2"/>
    <x v="20"/>
    <s v="L000013758"/>
    <m/>
    <s v="L000013687"/>
    <s v="Move"/>
    <x v="0"/>
    <x v="0"/>
    <s v="LS"/>
    <s v="MOVED in 1000"/>
    <m/>
    <s v="Ruby Grace Garcia"/>
  </r>
  <r>
    <n v="426"/>
    <s v="F2"/>
    <x v="20"/>
    <s v="L000013759"/>
    <m/>
    <s v="L000013687"/>
    <s v="Move"/>
    <x v="0"/>
    <x v="0"/>
    <s v="LS"/>
    <s v="MOVED in 1000"/>
    <m/>
    <s v="Ruby Grace Garcia"/>
  </r>
  <r>
    <n v="427"/>
    <s v="F2"/>
    <x v="20"/>
    <s v="L000013760"/>
    <m/>
    <s v="L000013687"/>
    <s v="Move"/>
    <x v="0"/>
    <x v="0"/>
    <s v="LS"/>
    <s v="MOVED in 1000"/>
    <m/>
    <s v="Ruby Grace Garcia"/>
  </r>
  <r>
    <n v="428"/>
    <s v="F2"/>
    <x v="20"/>
    <s v="L000013776"/>
    <m/>
    <s v="L000013687"/>
    <s v="Move"/>
    <x v="0"/>
    <x v="0"/>
    <s v="LS"/>
    <s v="MOVED in 1000"/>
    <m/>
    <s v="Ruby Grace Garcia"/>
  </r>
  <r>
    <n v="429"/>
    <s v="F2"/>
    <x v="20"/>
    <s v="L000013777"/>
    <m/>
    <s v="L000013687"/>
    <s v="Move"/>
    <x v="0"/>
    <x v="0"/>
    <s v="LS"/>
    <s v="MOVED in 1000"/>
    <m/>
    <s v="Ruby Grace Garcia"/>
  </r>
  <r>
    <n v="430"/>
    <s v="F2"/>
    <x v="20"/>
    <s v="L000013778"/>
    <m/>
    <s v="L000013687"/>
    <s v="Move"/>
    <x v="0"/>
    <x v="0"/>
    <s v="LS"/>
    <s v="MOVED in 1000"/>
    <m/>
    <s v="Ruby Grace Garcia"/>
  </r>
  <r>
    <n v="431"/>
    <s v="F2"/>
    <x v="20"/>
    <s v="L000013761"/>
    <m/>
    <s v="L000013687"/>
    <s v="Move"/>
    <x v="0"/>
    <x v="0"/>
    <s v="LS"/>
    <s v="MOVED in 1000"/>
    <m/>
    <s v="Ruby Grace Garcia"/>
  </r>
  <r>
    <n v="432"/>
    <s v="F2"/>
    <x v="20"/>
    <s v="L000011127"/>
    <m/>
    <s v="L000013687"/>
    <s v="Move"/>
    <x v="0"/>
    <x v="0"/>
    <s v="LS"/>
    <s v="MOVED in 1000"/>
    <m/>
    <s v="Ruby Grace Garcia"/>
  </r>
  <r>
    <n v="433"/>
    <s v="F2"/>
    <x v="20"/>
    <s v="L000011352"/>
    <m/>
    <s v="L000013687"/>
    <s v="Move"/>
    <x v="0"/>
    <x v="0"/>
    <s v="LS"/>
    <s v="MOVED in 1000"/>
    <m/>
    <s v="Ruby Grace Garcia"/>
  </r>
  <r>
    <n v="434"/>
    <s v="F2"/>
    <x v="20"/>
    <s v="L000013762"/>
    <m/>
    <s v="L000013687"/>
    <s v="Move"/>
    <x v="0"/>
    <x v="0"/>
    <s v="LS"/>
    <s v="MOVED in 1000"/>
    <m/>
    <s v="Ruby Grace Garcia"/>
  </r>
  <r>
    <n v="435"/>
    <s v="F2"/>
    <x v="20"/>
    <s v="L000013763"/>
    <m/>
    <s v="L000013687"/>
    <s v="Move"/>
    <x v="0"/>
    <x v="0"/>
    <s v="LS"/>
    <s v="MOVED in 1000"/>
    <m/>
    <s v="Ruby Grace Garcia"/>
  </r>
  <r>
    <n v="436"/>
    <s v="F2"/>
    <x v="20"/>
    <s v="L000013764"/>
    <m/>
    <s v="L000013687"/>
    <s v="Move"/>
    <x v="0"/>
    <x v="0"/>
    <s v="LS"/>
    <s v="MOVED in 1000"/>
    <m/>
    <s v="Ruby Grace Garcia"/>
  </r>
  <r>
    <n v="437"/>
    <s v="F2"/>
    <x v="20"/>
    <s v="L000013765"/>
    <m/>
    <s v="L000013687"/>
    <s v="Move"/>
    <x v="0"/>
    <x v="0"/>
    <s v="LS"/>
    <s v="MOVED in 1000"/>
    <m/>
    <s v="Ruby Grace Garcia"/>
  </r>
  <r>
    <n v="438"/>
    <s v="F2"/>
    <x v="20"/>
    <s v="L000013766"/>
    <m/>
    <s v="L000013687"/>
    <s v="Move"/>
    <x v="0"/>
    <x v="0"/>
    <s v="LS"/>
    <s v="MOVED in 1000"/>
    <m/>
    <s v="Ruby Grace Garcia"/>
  </r>
  <r>
    <n v="439"/>
    <s v="F2"/>
    <x v="20"/>
    <s v="L000013767"/>
    <m/>
    <s v="L000013687"/>
    <s v="Move"/>
    <x v="0"/>
    <x v="0"/>
    <s v="LS"/>
    <s v="MOVED in 1000"/>
    <m/>
    <s v="Ruby Grace Garcia"/>
  </r>
  <r>
    <n v="440"/>
    <s v="F2"/>
    <x v="20"/>
    <s v="L000013768"/>
    <m/>
    <s v="L000013687"/>
    <s v="Move"/>
    <x v="0"/>
    <x v="0"/>
    <s v="LS"/>
    <s v="MOVED in 1000"/>
    <m/>
    <s v="Ruby Grace Garcia"/>
  </r>
  <r>
    <n v="441"/>
    <s v="F2"/>
    <x v="20"/>
    <s v="L000013769"/>
    <m/>
    <s v="L000013687"/>
    <s v="Move"/>
    <x v="0"/>
    <x v="0"/>
    <s v="LS"/>
    <s v="MOVED in 1000"/>
    <m/>
    <s v="Ruby Grace Garcia"/>
  </r>
  <r>
    <n v="442"/>
    <s v="F2"/>
    <x v="21"/>
    <s v="G000001265"/>
    <s v="GMR MBS Innovation &amp; Data-Int.Automation"/>
    <m/>
    <s v="Rename"/>
    <x v="0"/>
    <x v="0"/>
    <s v="MGF"/>
    <s v="Created on both 1000; name is okay"/>
    <m/>
    <s v="Jojeff Tagnong"/>
  </r>
  <r>
    <n v="443"/>
    <s v="F2"/>
    <x v="21"/>
    <s v="G000001211"/>
    <s v="GLW MBS FS&amp;P PO-Perform.Mgmt &amp;Compl. PO"/>
    <m/>
    <s v="Rename"/>
    <x v="0"/>
    <x v="0"/>
    <s v="MGF"/>
    <s v="Created on both 1000; name is okay"/>
    <m/>
    <s v="Jojeff Tagnong"/>
  </r>
  <r>
    <n v="444"/>
    <s v="F2"/>
    <x v="21"/>
    <s v="G000001219"/>
    <s v="GMG MBS FS&amp;P Ent.S.-Communication Serv."/>
    <m/>
    <s v="Rename"/>
    <x v="0"/>
    <x v="0"/>
    <s v="MGF"/>
    <s v="Created on both 1000; name is okay"/>
    <m/>
    <s v="Jojeff Tagnong"/>
  </r>
  <r>
    <n v="445"/>
    <s v="F2"/>
    <x v="21"/>
    <s v="G000000006"/>
    <s v="F79 CO - Group Controlling"/>
    <m/>
    <s v="Rename"/>
    <x v="0"/>
    <x v="0"/>
    <s v="MGF"/>
    <s v="Created on both 1000; name is okay"/>
    <m/>
    <s v="Jojeff Tagnong"/>
  </r>
  <r>
    <n v="446"/>
    <s v="F2"/>
    <x v="21"/>
    <s v="G000000008"/>
    <s v="GK3 CO - Group Controlling (L2)"/>
    <m/>
    <s v="Rename"/>
    <x v="0"/>
    <x v="0"/>
    <s v="MGF"/>
    <s v="Created on both 1000; name is okay"/>
    <m/>
    <s v="Jojeff Tagnong"/>
  </r>
  <r>
    <n v="447"/>
    <s v="F2"/>
    <x v="21"/>
    <s v="G000001287"/>
    <s v="GYG MBS Hub Bangalore - SLS Buss Operati"/>
    <m/>
    <s v="Rename"/>
    <x v="0"/>
    <x v="0"/>
    <s v="MGF"/>
    <s v="Created on both 1000; name is okay"/>
    <m/>
    <s v="Jojeff Tagnong"/>
  </r>
  <r>
    <n v="448"/>
    <s v="F2"/>
    <x v="21"/>
    <s v="G000001288"/>
    <s v="GYG MBS Hub Bangalore - SLS Biomonitor"/>
    <m/>
    <s v="Rename"/>
    <x v="0"/>
    <x v="0"/>
    <s v="MGF"/>
    <s v="Created on both 1000; name is okay"/>
    <m/>
    <s v="Jojeff Tagnong"/>
  </r>
  <r>
    <n v="449"/>
    <s v="F2"/>
    <x v="21"/>
    <s v="G000001289"/>
    <s v="GYG MBS Hub Bangalore - SLS Diagnistics"/>
    <m/>
    <s v="Rename"/>
    <x v="0"/>
    <x v="0"/>
    <s v="MGF"/>
    <s v="Created on both 1000; name is okay"/>
    <m/>
    <s v="Jojeff Tagnong"/>
  </r>
  <r>
    <n v="450"/>
    <s v="F2"/>
    <x v="21"/>
    <s v="G000001290"/>
    <s v="GYG MBS Hub Bangalore - SLS Lab Water"/>
    <m/>
    <s v="Rename"/>
    <x v="0"/>
    <x v="0"/>
    <s v="MGF"/>
    <s v="Created on both 1000; name is okay"/>
    <m/>
    <s v="Jojeff Tagnong"/>
  </r>
  <r>
    <n v="451"/>
    <s v="F2"/>
    <x v="21"/>
    <s v="G000001291"/>
    <s v="GYG MBS Hub Bangalore - SLS eCommerce"/>
    <m/>
    <s v="Rename"/>
    <x v="0"/>
    <x v="0"/>
    <s v="MGF"/>
    <s v="Created on both 1000; name is okay"/>
    <m/>
    <s v="Jojeff Tagnong"/>
  </r>
  <r>
    <n v="452"/>
    <s v="F2"/>
    <x v="21"/>
    <s v="G000001292"/>
    <s v="GYG MBS Hub Bangalore - SLS  Chemistry"/>
    <m/>
    <s v="Rename"/>
    <x v="0"/>
    <x v="0"/>
    <s v="MGF"/>
    <s v="Created on both 1000; name is okay"/>
    <m/>
    <s v="Jojeff Tagnong"/>
  </r>
  <r>
    <n v="453"/>
    <s v="F2"/>
    <x v="21"/>
    <s v="G000001293"/>
    <s v="GYG MBS Hub Bangalore - SLS Comm America"/>
    <m/>
    <s v="Rename"/>
    <x v="0"/>
    <x v="0"/>
    <s v="MGF"/>
    <s v="Created on both 1000; name is okay"/>
    <m/>
    <s v="Jojeff Tagnong"/>
  </r>
  <r>
    <n v="454"/>
    <s v="F2"/>
    <x v="21"/>
    <s v="G000001294"/>
    <s v="GYG MBS Hub Bangalore - SLS Comm APAC"/>
    <m/>
    <s v="Rename"/>
    <x v="0"/>
    <x v="0"/>
    <s v="MGF"/>
    <s v="Created on both 1000; name is okay"/>
    <m/>
    <s v="Jojeff Tagnong"/>
  </r>
  <r>
    <n v="455"/>
    <s v="F2"/>
    <x v="21"/>
    <s v="G000001295"/>
    <s v="GYG MBS Hub Bangalore - SLS Comm EMEA"/>
    <m/>
    <s v="Rename"/>
    <x v="0"/>
    <x v="0"/>
    <s v="MGF"/>
    <s v="Created on both 1000; name is okay"/>
    <m/>
    <s v="Jojeff Tagnong"/>
  </r>
  <r>
    <n v="456"/>
    <s v="F2"/>
    <x v="21"/>
    <s v="G000001296"/>
    <s v="GYG MBS Hub Bangalore - SLS Biology"/>
    <m/>
    <s v="Rename"/>
    <x v="0"/>
    <x v="0"/>
    <s v="MGF"/>
    <s v="Created on both 1000; name is okay"/>
    <m/>
    <s v="Jojeff Tagnong"/>
  </r>
  <r>
    <n v="457"/>
    <s v="F2"/>
    <x v="21"/>
    <s v="G000001299"/>
    <s v="GYH MBS Hub Bangalore - LSS ContractTest"/>
    <m/>
    <s v="Rename"/>
    <x v="0"/>
    <x v="0"/>
    <s v="MGF"/>
    <s v="Created on both 1000; name is okay"/>
    <m/>
    <s v="Jojeff Tagnong"/>
  </r>
  <r>
    <n v="458"/>
    <s v="F2"/>
    <x v="21"/>
    <s v="G000001302"/>
    <s v="GYI MBS Hub Bangalore - PS Global Strat"/>
    <m/>
    <s v="Rename"/>
    <x v="0"/>
    <x v="0"/>
    <s v="MGF"/>
    <s v="Created on both 1000; name is okay"/>
    <m/>
    <s v="Jojeff Tagnong"/>
  </r>
  <r>
    <n v="459"/>
    <s v="F2"/>
    <x v="21"/>
    <s v="G000001303"/>
    <s v="GYI MBS Hub Bangalore - PS Buss Franch"/>
    <m/>
    <s v="Rename"/>
    <x v="0"/>
    <x v="0"/>
    <s v="MGF"/>
    <s v="Created on both 1000; name is okay"/>
    <m/>
    <s v="Jojeff Tagnong"/>
  </r>
  <r>
    <n v="460"/>
    <s v="F2"/>
    <x v="21"/>
    <s v="G000001306"/>
    <s v="GYJ MBS Hub Bangalore - ISCO Supp Chain"/>
    <m/>
    <s v="Rename"/>
    <x v="0"/>
    <x v="0"/>
    <s v="MGF"/>
    <s v="Created on both 1000; name is okay"/>
    <m/>
    <s v="Jojeff Tagnong"/>
  </r>
  <r>
    <n v="461"/>
    <s v="F2"/>
    <x v="21"/>
    <s v="G000001307"/>
    <s v="GYJ MBS Hub Bangalore - ISCO Glob Plant"/>
    <m/>
    <s v="Rename"/>
    <x v="0"/>
    <x v="0"/>
    <s v="MGF"/>
    <s v="Created on both 1000; name is okay"/>
    <m/>
    <s v="Jojeff Tagnong"/>
  </r>
  <r>
    <n v="462"/>
    <s v="F2"/>
    <x v="21"/>
    <s v="G000001308"/>
    <s v="GYJ MBS Hub Bangalore - ISCO WH &amp; Dis"/>
    <m/>
    <s v="Rename"/>
    <x v="0"/>
    <x v="0"/>
    <s v="MGF"/>
    <s v="Created on both 1000; name is okay"/>
    <m/>
    <s v="Jojeff Tagnong"/>
  </r>
  <r>
    <n v="463"/>
    <s v="F2"/>
    <x v="21"/>
    <s v="G000001309"/>
    <s v="GYJ MBS Hub Bangalore - ISCO Val Stream"/>
    <m/>
    <s v="Rename"/>
    <x v="0"/>
    <x v="0"/>
    <s v="MGF"/>
    <s v="Created on both 1000; name is okay"/>
    <m/>
    <s v="Jojeff Tagnong"/>
  </r>
  <r>
    <n v="464"/>
    <s v="F2"/>
    <x v="21"/>
    <s v="G000001310"/>
    <s v="GYJ MBS Hub Bangalore - ISCO WCOGS"/>
    <m/>
    <s v="Rename"/>
    <x v="0"/>
    <x v="0"/>
    <s v="MGF"/>
    <s v="Created on both 1000; name is okay"/>
    <m/>
    <s v="Jojeff Tagnong"/>
  </r>
  <r>
    <n v="465"/>
    <s v="F2"/>
    <x v="21"/>
    <s v="G000001311"/>
    <s v="GYJ MBS Hub Bangalore - ISCO Tech &amp; Eng."/>
    <m/>
    <s v="Rename"/>
    <x v="0"/>
    <x v="0"/>
    <s v="MGF"/>
    <s v="Created on both 1000; name is okay"/>
    <m/>
    <s v="Jojeff Tagnong"/>
  </r>
  <r>
    <n v="466"/>
    <s v="F2"/>
    <x v="21"/>
    <s v="G000001314"/>
    <s v="GYK MBS Hub Bangalore - EF GSS COE Buss"/>
    <m/>
    <s v="Rename"/>
    <x v="0"/>
    <x v="0"/>
    <s v="MGF"/>
    <s v="Created on both 1000; name is okay"/>
    <m/>
    <s v="Jojeff Tagnong"/>
  </r>
  <r>
    <n v="467"/>
    <s v="F2"/>
    <x v="21"/>
    <s v="G000001315"/>
    <s v="GYK MBS Hub Bangalore - EF GSS COE STO"/>
    <m/>
    <s v="Rename"/>
    <x v="0"/>
    <x v="0"/>
    <s v="MGF"/>
    <s v="Created on both 1000; name is okay"/>
    <m/>
    <s v="Jojeff Tagnong"/>
  </r>
  <r>
    <n v="468"/>
    <s v="F2"/>
    <x v="21"/>
    <s v="G000001316"/>
    <s v="GYK MBS Hub Bangalore - EF GSS COE Tech"/>
    <m/>
    <s v="Rename"/>
    <x v="0"/>
    <x v="0"/>
    <s v="MGF"/>
    <s v="Created on both 1000; name is okay"/>
    <m/>
    <s v="Jojeff Tagnong"/>
  </r>
  <r>
    <n v="469"/>
    <s v="F2"/>
    <x v="21"/>
    <s v="G000001317"/>
    <s v="GYK MBS Hub Bangalore - EF GSS COE QRM"/>
    <m/>
    <s v="Rename"/>
    <x v="0"/>
    <x v="0"/>
    <s v="MGF"/>
    <s v="Created on both 1000; name is okay"/>
    <m/>
    <s v="Jojeff Tagnong"/>
  </r>
  <r>
    <n v="470"/>
    <s v="F2"/>
    <x v="21"/>
    <s v="G000001318"/>
    <s v="GYK MBS Hub Bangalore - EF GSS COE Sour."/>
    <m/>
    <s v="Rename"/>
    <x v="0"/>
    <x v="0"/>
    <s v="MGF"/>
    <s v="Created on both 1000; name is okay"/>
    <m/>
    <s v="Jojeff Tagnong"/>
  </r>
  <r>
    <n v="471"/>
    <s v="F2"/>
    <x v="21"/>
    <s v="G000001319"/>
    <s v="GYK MBS Hub Bangalore - EF GSS COE Admin"/>
    <m/>
    <s v="Rename"/>
    <x v="0"/>
    <x v="0"/>
    <s v="MGF"/>
    <s v="Created on both 1000; name is okay"/>
    <m/>
    <s v="Jojeff Tagnong"/>
  </r>
  <r>
    <n v="472"/>
    <s v="F2"/>
    <x v="21"/>
    <s v="G000001322"/>
    <s v="GYL MBS I&amp;D - SLS Business Operation"/>
    <m/>
    <s v="Rename"/>
    <x v="0"/>
    <x v="0"/>
    <s v="MGF"/>
    <s v="Created on both 1000; name is okay"/>
    <m/>
    <s v="Jojeff Tagnong"/>
  </r>
  <r>
    <n v="473"/>
    <s v="F2"/>
    <x v="21"/>
    <s v="G000001323"/>
    <s v="GYL MBS I&amp;D - SLS Biomonitoring"/>
    <m/>
    <s v="Rename"/>
    <x v="0"/>
    <x v="0"/>
    <s v="MGF"/>
    <s v="Created on both 1000; name is okay"/>
    <m/>
    <s v="Jojeff Tagnong"/>
  </r>
  <r>
    <n v="474"/>
    <s v="F2"/>
    <x v="21"/>
    <s v="G000001324"/>
    <s v="GYL MBS I&amp;D - SLS Diagnistics &amp; Reg. Ma"/>
    <m/>
    <s v="Rename"/>
    <x v="0"/>
    <x v="0"/>
    <s v="MGF"/>
    <s v="Created on both 1000; name is okay"/>
    <m/>
    <s v="Jojeff Tagnong"/>
  </r>
  <r>
    <n v="475"/>
    <s v="F2"/>
    <x v="21"/>
    <s v="G000001325"/>
    <s v="GYL MBS I&amp;D - SLS Lab Water"/>
    <m/>
    <s v="Rename"/>
    <x v="0"/>
    <x v="0"/>
    <s v="MGF"/>
    <s v="Created on both 1000; name is okay"/>
    <m/>
    <s v="Jojeff Tagnong"/>
  </r>
  <r>
    <n v="476"/>
    <s v="F2"/>
    <x v="21"/>
    <s v="G000001326"/>
    <s v="GYL MBS I&amp;D - SLS eCommerce"/>
    <m/>
    <s v="Rename"/>
    <x v="0"/>
    <x v="0"/>
    <s v="MGF"/>
    <s v="Created on both 1000; name is okay"/>
    <m/>
    <s v="Jojeff Tagnong"/>
  </r>
  <r>
    <n v="477"/>
    <s v="F2"/>
    <x v="21"/>
    <s v="G000001327"/>
    <s v="GYL MBS I&amp;D - SLS  Chemistry"/>
    <m/>
    <s v="Rename"/>
    <x v="0"/>
    <x v="0"/>
    <s v="MGF"/>
    <s v="Created on both 1000; name is okay"/>
    <m/>
    <s v="Jojeff Tagnong"/>
  </r>
  <r>
    <n v="478"/>
    <s v="F2"/>
    <x v="21"/>
    <s v="G000001328"/>
    <s v="GYL MBS I&amp;D - SLS Comm Americas"/>
    <m/>
    <s v="Rename"/>
    <x v="0"/>
    <x v="0"/>
    <s v="MGF"/>
    <s v="Created on both 1000; name is okay"/>
    <m/>
    <s v="Jojeff Tagnong"/>
  </r>
  <r>
    <n v="479"/>
    <s v="F2"/>
    <x v="21"/>
    <s v="G000001329"/>
    <s v="GYL MBS I&amp;D - SLS SLS Commercial APAC"/>
    <m/>
    <s v="Rename"/>
    <x v="0"/>
    <x v="0"/>
    <s v="MGF"/>
    <s v="Created on both 1000; name is okay"/>
    <m/>
    <s v="Jojeff Tagnong"/>
  </r>
  <r>
    <n v="480"/>
    <s v="F2"/>
    <x v="21"/>
    <s v="G000001330"/>
    <s v="GYL MBS I&amp;D - SLS SLS Commercial EMEA"/>
    <m/>
    <s v="Rename"/>
    <x v="0"/>
    <x v="0"/>
    <s v="MGF"/>
    <s v="Created on both 1000; name is okay"/>
    <m/>
    <s v="Jojeff Tagnong"/>
  </r>
  <r>
    <n v="481"/>
    <s v="F2"/>
    <x v="21"/>
    <s v="G000001331"/>
    <s v="GYL MBS I&amp;D - SLS Biology"/>
    <m/>
    <s v="Rename"/>
    <x v="0"/>
    <x v="0"/>
    <s v="MGF"/>
    <s v="Created on both 1000; name is okay"/>
    <m/>
    <s v="Jojeff Tagnong"/>
  </r>
  <r>
    <n v="482"/>
    <s v="F2"/>
    <x v="21"/>
    <s v="G000001334"/>
    <s v="GYM MBS I&amp;D - LSS Contract Testing Serv"/>
    <m/>
    <s v="Rename"/>
    <x v="0"/>
    <x v="0"/>
    <s v="MGF"/>
    <s v="Created on both 1000; name is okay"/>
    <m/>
    <s v="Jojeff Tagnong"/>
  </r>
  <r>
    <n v="483"/>
    <s v="F2"/>
    <x v="21"/>
    <s v="G000001337"/>
    <s v="GYN MBS I&amp;D - PS Global Strat Accounts &amp;"/>
    <m/>
    <s v="Rename"/>
    <x v="0"/>
    <x v="0"/>
    <s v="MGF"/>
    <s v="Created on both 1000; name is okay"/>
    <m/>
    <s v="Jojeff Tagnong"/>
  </r>
  <r>
    <n v="484"/>
    <s v="F2"/>
    <x v="21"/>
    <s v="G000001338"/>
    <s v="GYN MBS I&amp;D - PS Business Franchises"/>
    <m/>
    <s v="Rename"/>
    <x v="0"/>
    <x v="0"/>
    <s v="MGF"/>
    <s v="Created on both 1000; name is okay"/>
    <m/>
    <s v="Jojeff Tagnong"/>
  </r>
  <r>
    <n v="485"/>
    <s v="F2"/>
    <x v="21"/>
    <s v="G000001341"/>
    <s v="GYO MBS I&amp;D - ISCO Supply Chain &amp; Distri"/>
    <m/>
    <s v="Rename"/>
    <x v="0"/>
    <x v="0"/>
    <s v="MGF"/>
    <s v="Created on both 1000; name is okay"/>
    <m/>
    <s v="Jojeff Tagnong"/>
  </r>
  <r>
    <n v="486"/>
    <s v="F2"/>
    <x v="21"/>
    <s v="G000001342"/>
    <s v="GYO MBS I&amp;D - ISCO Global Plant Op"/>
    <m/>
    <s v="Rename"/>
    <x v="0"/>
    <x v="0"/>
    <s v="MGF"/>
    <s v="Created on both 1000; name is okay"/>
    <m/>
    <s v="Jojeff Tagnong"/>
  </r>
  <r>
    <n v="487"/>
    <s v="F2"/>
    <x v="21"/>
    <s v="G000001343"/>
    <s v="GYO MBS I&amp;D - ISCO Warehouse &amp; Distri"/>
    <m/>
    <s v="Rename"/>
    <x v="0"/>
    <x v="0"/>
    <s v="MGF"/>
    <s v="Created on both 1000; name is okay"/>
    <m/>
    <s v="Jojeff Tagnong"/>
  </r>
  <r>
    <n v="488"/>
    <s v="F2"/>
    <x v="21"/>
    <s v="G000001344"/>
    <s v="GYO MBS I&amp;D - ISCO PS Value Stream"/>
    <m/>
    <s v="Rename"/>
    <x v="0"/>
    <x v="0"/>
    <s v="MGF"/>
    <s v="Created on both 1000; name is okay"/>
    <m/>
    <s v="Jojeff Tagnong"/>
  </r>
  <r>
    <n v="489"/>
    <s v="F2"/>
    <x v="21"/>
    <s v="G000001345"/>
    <s v="GYO MBS I&amp;D - ISCO WCOGS"/>
    <m/>
    <s v="Rename"/>
    <x v="0"/>
    <x v="0"/>
    <s v="MGF"/>
    <s v="Created on both 1000; name is okay"/>
    <m/>
    <s v="Jojeff Tagnong"/>
  </r>
  <r>
    <n v="490"/>
    <s v="F2"/>
    <x v="21"/>
    <s v="G000001346"/>
    <s v="GYO MBS I&amp;D - ISCO Tech &amp; Eng."/>
    <m/>
    <s v="Rename"/>
    <x v="0"/>
    <x v="0"/>
    <s v="MGF"/>
    <s v="Created on both 1000; name is okay"/>
    <m/>
    <s v="Jojeff Tagnong"/>
  </r>
  <r>
    <n v="491"/>
    <s v="F2"/>
    <x v="21"/>
    <s v="G000001349"/>
    <s v="GYP MBS I&amp;D - EF GSS COE Buss &amp; Market S"/>
    <m/>
    <s v="Rename"/>
    <x v="0"/>
    <x v="0"/>
    <s v="MGF"/>
    <s v="Created on both 1000; name is okay"/>
    <m/>
    <s v="Jojeff Tagnong"/>
  </r>
  <r>
    <n v="492"/>
    <s v="F2"/>
    <x v="21"/>
    <s v="G000001350"/>
    <s v="GYP MBS I&amp;D - EF GSS COE STO"/>
    <m/>
    <s v="Rename"/>
    <x v="0"/>
    <x v="0"/>
    <s v="MGF"/>
    <s v="Created on both 1000; name is okay"/>
    <m/>
    <s v="Jojeff Tagnong"/>
  </r>
  <r>
    <n v="493"/>
    <s v="F2"/>
    <x v="21"/>
    <s v="G000001351"/>
    <s v="GYP MBS I&amp;D - EF GSS COE Tech Office"/>
    <m/>
    <s v="Rename"/>
    <x v="0"/>
    <x v="0"/>
    <s v="MGF"/>
    <s v="Created on both 1000; name is okay"/>
    <m/>
    <s v="Jojeff Tagnong"/>
  </r>
  <r>
    <n v="494"/>
    <s v="F2"/>
    <x v="21"/>
    <s v="G000001352"/>
    <s v="GYP MBS I&amp;D - EF GSS COE LS QRM"/>
    <m/>
    <s v="Rename"/>
    <x v="0"/>
    <x v="0"/>
    <s v="MGF"/>
    <s v="Created on both 1000; name is okay"/>
    <m/>
    <s v="Jojeff Tagnong"/>
  </r>
  <r>
    <n v="495"/>
    <s v="F2"/>
    <x v="21"/>
    <s v="G000001353"/>
    <s v="GYP MBS I&amp;D - EF GSS COE EF Sourcing"/>
    <m/>
    <s v="Rename"/>
    <x v="0"/>
    <x v="0"/>
    <s v="MGF"/>
    <s v="Created on both 1000; name is okay"/>
    <m/>
    <s v="Jojeff Tagnong"/>
  </r>
  <r>
    <n v="496"/>
    <s v="F2"/>
    <x v="21"/>
    <s v="G000001354"/>
    <s v="GYP MBS I&amp;D - EF GSS COE Administration"/>
    <m/>
    <s v="Rename"/>
    <x v="0"/>
    <x v="0"/>
    <s v="MGF"/>
    <s v="Created on both 1000; name is okay"/>
    <m/>
    <s v="Jojeff Tagnong"/>
  </r>
  <r>
    <n v="497"/>
    <s v="F2"/>
    <x v="21"/>
    <s v="G000001359"/>
    <s v="FK6 BX-P - Re-Allocatable External Costs"/>
    <s v="G000000613"/>
    <s v="New"/>
    <x v="0"/>
    <x v="0"/>
    <s v="MGF"/>
    <s v="Created on both 1000; name is okay"/>
    <m/>
    <s v="Jojeff Tagnong"/>
  </r>
  <r>
    <n v="498"/>
    <s v="F2"/>
    <x v="21"/>
    <s v="G000001360"/>
    <s v="G7J Lumina FTO &amp; FTOM"/>
    <s v="G000000622"/>
    <s v="New"/>
    <x v="0"/>
    <x v="0"/>
    <s v="MGF"/>
    <s v="Created on both 1000; name is okay"/>
    <m/>
    <s v="Jojeff Tagnong"/>
  </r>
  <r>
    <n v="499"/>
    <s v="F2"/>
    <x v="21"/>
    <s v="G000001361"/>
    <s v="G7K Lumina Planning &amp; Reporting"/>
    <s v="G000000622"/>
    <s v="New"/>
    <x v="0"/>
    <x v="0"/>
    <s v="MGF"/>
    <s v="Created on both 1000; name is okay"/>
    <m/>
    <s v="Jojeff Tagnong"/>
  </r>
  <r>
    <n v="500"/>
    <s v="F2"/>
    <x v="21"/>
    <s v="G000001362"/>
    <s v="G7L Lumina Reporting &amp; GP Processes"/>
    <s v="G000000622"/>
    <s v="New"/>
    <x v="0"/>
    <x v="0"/>
    <s v="MGF"/>
    <s v="Created on both 1000; name is okay"/>
    <m/>
    <s v="Jojeff Tagnong"/>
  </r>
  <r>
    <n v="501"/>
    <s v="F2"/>
    <x v="2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502"/>
    <s v="F2"/>
    <x v="21"/>
    <s v="G000001364"/>
    <s v="G7N Lumina Regulatory Requirements"/>
    <s v="G000000622"/>
    <s v="New"/>
    <x v="0"/>
    <x v="0"/>
    <s v="MGF"/>
    <s v="Created on both 1000; name is okay"/>
    <m/>
    <s v="Jojeff Tagnong"/>
  </r>
  <r>
    <n v="503"/>
    <s v="F2"/>
    <x v="21"/>
    <s v="G000001365"/>
    <s v="G7O Process Excellence"/>
    <s v="G000000622"/>
    <s v="New"/>
    <x v="0"/>
    <x v="0"/>
    <s v="MGF"/>
    <s v="Created on both 1000; name is okay"/>
    <m/>
    <s v="Jojeff Tagnong"/>
  </r>
  <r>
    <n v="504"/>
    <s v="F2"/>
    <x v="21"/>
    <s v="G000001366"/>
    <s v="G7P LEAP"/>
    <s v="G000000622"/>
    <s v="New"/>
    <x v="0"/>
    <x v="0"/>
    <s v="MGF"/>
    <s v="Created on both 1000; name is okay"/>
    <m/>
    <s v="Jojeff Tagnong"/>
  </r>
  <r>
    <n v="505"/>
    <s v="F2"/>
    <x v="21"/>
    <s v="G000001367"/>
    <s v="FAX MBS Invoice to Cash"/>
    <s v="G000000184"/>
    <s v="New"/>
    <x v="0"/>
    <x v="0"/>
    <s v="MGF"/>
    <s v="Created on both 1000; name is okay"/>
    <m/>
    <s v="Jojeff Tagnong"/>
  </r>
  <r>
    <n v="506"/>
    <s v="F2"/>
    <x v="21"/>
    <s v="G000001368"/>
    <s v="FAX - MGF Reporting"/>
    <s v="G000001367"/>
    <s v="New"/>
    <x v="0"/>
    <x v="0"/>
    <s v="MGF"/>
    <s v="Created on both 1000; name is okay"/>
    <m/>
    <s v="Jojeff Tagnong"/>
  </r>
  <r>
    <n v="507"/>
    <s v="F2"/>
    <x v="21"/>
    <s v="G000001369"/>
    <s v="FAX - non-MGF Reporting"/>
    <s v="G000001367"/>
    <s v="New"/>
    <x v="0"/>
    <x v="0"/>
    <s v="MGF"/>
    <s v="Created on both 1000; name is okay"/>
    <m/>
    <s v="Jojeff Tagnong"/>
  </r>
  <r>
    <n v="508"/>
    <s v="F2"/>
    <x v="21"/>
    <s v="G000001370"/>
    <s v="GMW MBS Invoice to Cash"/>
    <s v="G000001368"/>
    <s v="New"/>
    <x v="0"/>
    <x v="0"/>
    <s v="MGF"/>
    <s v="Created on both 1000; name is okay"/>
    <m/>
    <s v="Jojeff Tagnong"/>
  </r>
  <r>
    <n v="509"/>
    <s v="F2"/>
    <x v="21"/>
    <s v="G000001371"/>
    <s v="FAX MBS - Intercompany Charges"/>
    <s v="G000001369"/>
    <s v="New"/>
    <x v="0"/>
    <x v="0"/>
    <s v="MGF"/>
    <s v="Created on both 1000; name is okay"/>
    <m/>
    <s v="Jojeff Tagnong"/>
  </r>
  <r>
    <n v="510"/>
    <s v="F2"/>
    <x v="21"/>
    <s v="G000001372"/>
    <s v="FAX MBS - Exceptionals"/>
    <s v="G000001369"/>
    <s v="New"/>
    <x v="0"/>
    <x v="0"/>
    <s v="MGF"/>
    <s v="Created on both 1000; name is okay"/>
    <m/>
    <s v="Jojeff Tagnong"/>
  </r>
  <r>
    <n v="511"/>
    <s v="F2"/>
    <x v="21"/>
    <s v="G000001373"/>
    <s v="GMX MBS Hub Manila - ABP"/>
    <s v="G000001142"/>
    <s v="New"/>
    <x v="0"/>
    <x v="0"/>
    <s v="MGF"/>
    <s v="Created on both 1000; name is okay"/>
    <m/>
    <s v="Jojeff Tagnong"/>
  </r>
  <r>
    <n v="512"/>
    <s v="F2"/>
    <x v="21"/>
    <s v="G000001374"/>
    <s v="GMY MBS Hub Bangalore - ABP"/>
    <s v="G000001144"/>
    <s v="New"/>
    <x v="0"/>
    <x v="0"/>
    <s v="MGF"/>
    <s v="Created on both 1000; name is okay"/>
    <m/>
    <s v="Jojeff Tagnong"/>
  </r>
  <r>
    <n v="513"/>
    <s v="F2"/>
    <x v="21"/>
    <s v="G000000563"/>
    <m/>
    <s v="O000000009"/>
    <s v="Delete"/>
    <x v="0"/>
    <x v="0"/>
    <s v="MGF"/>
    <s v="Created on both 1000; name is okay"/>
    <m/>
    <s v="Jojeff Tagnong"/>
  </r>
  <r>
    <n v="514"/>
    <s v="F2"/>
    <x v="22"/>
    <s v="P000001268"/>
    <s v="Brand Development"/>
    <s v="P000001200"/>
    <s v="New"/>
    <x v="0"/>
    <x v="0"/>
    <s v="EL"/>
    <s v="Created on both 1000; name is okay"/>
    <m/>
    <s v="Eivy Denine Cruz"/>
  </r>
  <r>
    <n v="515"/>
    <s v="F2"/>
    <x v="22"/>
    <s v="P000001269"/>
    <s v="Books &amp; Records"/>
    <s v="P000001200"/>
    <s v="New"/>
    <x v="0"/>
    <x v="0"/>
    <s v="EL"/>
    <s v="Created on both 1000; name is okay"/>
    <m/>
    <s v="Eivy Denine Cruz"/>
  </r>
  <r>
    <n v="516"/>
    <s v="F2"/>
    <x v="22"/>
    <s v="P000001270"/>
    <s v="Functional built-ups"/>
    <s v="P000001200"/>
    <s v="New"/>
    <x v="0"/>
    <x v="0"/>
    <s v="EL"/>
    <s v="Created on both 1000; name is okay"/>
    <m/>
    <s v="Eivy Denine Cruz"/>
  </r>
  <r>
    <n v="517"/>
    <s v="F2"/>
    <x v="22"/>
    <s v="P000001271"/>
    <s v="SPICE HR"/>
    <s v="P000001208"/>
    <s v="New"/>
    <x v="0"/>
    <x v="0"/>
    <s v="EL"/>
    <s v="Created on both 1000; name is okay"/>
    <m/>
    <s v="Eivy Denine Cruz"/>
  </r>
  <r>
    <n v="518"/>
    <s v="F2"/>
    <x v="22"/>
    <s v="P000001272"/>
    <s v="EL-SC-ED ELDP"/>
    <s v="P000000635"/>
    <s v="New"/>
    <x v="0"/>
    <x v="0"/>
    <s v="EL"/>
    <s v="Created on both 1000; name is okay"/>
    <m/>
    <s v="Eivy Denine Cruz"/>
  </r>
  <r>
    <n v="519"/>
    <s v="F2"/>
    <x v="22"/>
    <s v="P000001273"/>
    <s v="Non-transferring assets"/>
    <s v="P000001208"/>
    <s v="New"/>
    <x v="0"/>
    <x v="0"/>
    <s v="EL"/>
    <s v="Created on both 1000; name is okay"/>
    <m/>
    <s v="Eivy Denine Cruz"/>
  </r>
  <r>
    <n v="520"/>
    <s v="F2"/>
    <x v="22"/>
    <s v="P000001274"/>
    <s v="EL-ND BU Head &amp; Other"/>
    <s v="P000000554"/>
    <s v="New"/>
    <x v="0"/>
    <x v="0"/>
    <s v="EL"/>
    <s v="Created on both 1000; name is okay"/>
    <m/>
    <s v="Eivy Denine Cruz"/>
  </r>
  <r>
    <n v="521"/>
    <s v="F2"/>
    <x v="22"/>
    <s v="P000001275"/>
    <s v="EL-ND DSS Global ISC"/>
    <s v="P000000554"/>
    <s v="New"/>
    <x v="0"/>
    <x v="0"/>
    <s v="EL"/>
    <s v="Created on both 1000; name is okay"/>
    <m/>
    <s v="Eivy Denine Cruz"/>
  </r>
  <r>
    <n v="522"/>
    <s v="F2"/>
    <x v="22"/>
    <s v="P000001276"/>
    <s v="EL-ND DSS Global Head"/>
    <s v="P000000554"/>
    <s v="New"/>
    <x v="0"/>
    <x v="0"/>
    <s v="EL"/>
    <s v="Created on both 1000; name is okay"/>
    <m/>
    <s v="Eivy Denine Cruz"/>
  </r>
  <r>
    <n v="523"/>
    <s v="F2"/>
    <x v="2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524"/>
    <s v="F2"/>
    <x v="22"/>
    <s v="P000001278"/>
    <s v="DSS Global Production"/>
    <s v="P000001275"/>
    <s v="New"/>
    <x v="0"/>
    <x v="0"/>
    <s v="EL"/>
    <s v="Created on both 1000; name is okay"/>
    <m/>
    <s v="Eivy Denine Cruz"/>
  </r>
  <r>
    <n v="525"/>
    <s v="F2"/>
    <x v="22"/>
    <s v="P000001279"/>
    <s v="DSS Global Services"/>
    <s v="P000001275"/>
    <s v="New"/>
    <x v="0"/>
    <x v="0"/>
    <s v="EL"/>
    <s v="Created on both 1000; name is okay"/>
    <m/>
    <s v="Eivy Denine Cruz"/>
  </r>
  <r>
    <n v="526"/>
    <s v="F2"/>
    <x v="22"/>
    <s v="P000001280"/>
    <s v="DSS Global S&amp;OP / Fulfill"/>
    <s v="P000001275"/>
    <s v="New"/>
    <x v="0"/>
    <x v="0"/>
    <s v="EL"/>
    <s v="Created on both 1000; name is okay"/>
    <m/>
    <s v="Eivy Denine Cruz"/>
  </r>
  <r>
    <n v="527"/>
    <s v="F2"/>
    <x v="22"/>
    <s v="P000001281"/>
    <s v="DSS Global Mfg. &amp; Sus. Eng."/>
    <s v="P000001275"/>
    <s v="New"/>
    <x v="0"/>
    <x v="0"/>
    <s v="EL"/>
    <s v="Created on both 1000; name is okay"/>
    <m/>
    <s v="Eivy Denine Cruz"/>
  </r>
  <r>
    <n v="528"/>
    <s v="F2"/>
    <x v="22"/>
    <s v="P000001282"/>
    <s v="DSS Data &amp; Digital"/>
    <s v="P000001275"/>
    <s v="New"/>
    <x v="0"/>
    <x v="0"/>
    <s v="EL"/>
    <s v="Created on both 1000; name is okay"/>
    <m/>
    <s v="Eivy Denine Cruz"/>
  </r>
  <r>
    <n v="529"/>
    <s v="F2"/>
    <x v="22"/>
    <s v="P000001283"/>
    <s v="DSS Global Quality"/>
    <s v="P000001276"/>
    <s v="New"/>
    <x v="0"/>
    <x v="0"/>
    <s v="EL"/>
    <s v="Created on both 1000; name is okay"/>
    <m/>
    <s v="Eivy Denine Cruz"/>
  </r>
  <r>
    <n v="530"/>
    <s v="F2"/>
    <x v="22"/>
    <s v="P000001284"/>
    <s v="DSS Global Product Mgmt"/>
    <s v="P000001276"/>
    <s v="New"/>
    <x v="0"/>
    <x v="0"/>
    <s v="EL"/>
    <s v="Created on both 1000; name is okay"/>
    <m/>
    <s v="Eivy Denine Cruz"/>
  </r>
  <r>
    <n v="531"/>
    <s v="F2"/>
    <x v="22"/>
    <s v="P000001285"/>
    <s v="DSS Global Prj Ex. &amp; Port. Mgmt"/>
    <s v="P000001276"/>
    <s v="New"/>
    <x v="0"/>
    <x v="0"/>
    <s v="EL"/>
    <s v="Created on both 1000; name is okay"/>
    <m/>
    <s v="Eivy Denine Cruz"/>
  </r>
  <r>
    <n v="532"/>
    <s v="F2"/>
    <x v="22"/>
    <s v="P000001286"/>
    <s v="DSS Global Commercial"/>
    <s v="P000001276"/>
    <s v="New"/>
    <x v="0"/>
    <x v="0"/>
    <s v="EL"/>
    <s v="Created on both 1000; name is okay"/>
    <m/>
    <s v="Eivy Denine Cruz"/>
  </r>
  <r>
    <n v="533"/>
    <s v="F2"/>
    <x v="22"/>
    <s v="P000001287"/>
    <s v="DSS Global Business Excellence"/>
    <s v="P000001276"/>
    <s v="New"/>
    <x v="0"/>
    <x v="0"/>
    <s v="EL"/>
    <s v="Created on both 1000; name is okay"/>
    <m/>
    <s v="Eivy Denine Cruz"/>
  </r>
  <r>
    <n v="534"/>
    <s v="F2"/>
    <x v="22"/>
    <s v="P000001288"/>
    <s v="Sales Projects"/>
    <s v="P000001277"/>
    <s v="New"/>
    <x v="0"/>
    <x v="0"/>
    <s v="EL"/>
    <s v="Created on both 1000; name is okay"/>
    <m/>
    <s v="Eivy Denine Cruz"/>
  </r>
  <r>
    <n v="535"/>
    <s v="F2"/>
    <x v="22"/>
    <s v="P000001289"/>
    <s v="Production - Vultee"/>
    <s v="P000001278"/>
    <s v="New"/>
    <x v="0"/>
    <x v="0"/>
    <s v="EL"/>
    <s v="Created on both 1000; name is okay"/>
    <m/>
    <s v="Eivy Denine Cruz"/>
  </r>
  <r>
    <n v="536"/>
    <s v="F2"/>
    <x v="22"/>
    <s v="P000001290"/>
    <s v="Production - Chandler"/>
    <s v="P000001278"/>
    <s v="New"/>
    <x v="0"/>
    <x v="0"/>
    <s v="EL"/>
    <s v="Created on both 1000; name is okay"/>
    <m/>
    <s v="Eivy Denine Cruz"/>
  </r>
  <r>
    <n v="537"/>
    <s v="F2"/>
    <x v="22"/>
    <s v="P000001291"/>
    <s v="Production - Ansan"/>
    <s v="P000001278"/>
    <s v="New"/>
    <x v="0"/>
    <x v="0"/>
    <s v="EL"/>
    <s v="Created on both 1000; name is okay"/>
    <m/>
    <s v="Eivy Denine Cruz"/>
  </r>
  <r>
    <n v="538"/>
    <s v="F2"/>
    <x v="22"/>
    <s v="P000001292"/>
    <s v="Production - Kaoshiung"/>
    <s v="P000001278"/>
    <s v="New"/>
    <x v="0"/>
    <x v="0"/>
    <s v="EL"/>
    <s v="Created on both 1000; name is okay"/>
    <m/>
    <s v="Eivy Denine Cruz"/>
  </r>
  <r>
    <n v="539"/>
    <s v="F2"/>
    <x v="22"/>
    <s v="P000001293"/>
    <s v="Production - Waigaoqiao"/>
    <s v="P000001278"/>
    <s v="New"/>
    <x v="0"/>
    <x v="0"/>
    <s v="EL"/>
    <s v="Created on both 1000; name is okay"/>
    <m/>
    <s v="Eivy Denine Cruz"/>
  </r>
  <r>
    <n v="540"/>
    <s v="F2"/>
    <x v="22"/>
    <s v="P000001294"/>
    <s v="Services - NA/EUR"/>
    <s v="P000001279"/>
    <s v="New"/>
    <x v="0"/>
    <x v="0"/>
    <s v="EL"/>
    <s v="Created on both 1000; name is okay"/>
    <m/>
    <s v="Eivy Denine Cruz"/>
  </r>
  <r>
    <n v="541"/>
    <s v="F2"/>
    <x v="22"/>
    <s v="P000001295"/>
    <s v="Services - Asia exKR"/>
    <s v="P000001279"/>
    <s v="New"/>
    <x v="0"/>
    <x v="0"/>
    <s v="EL"/>
    <s v="Created on both 1000; name is okay"/>
    <m/>
    <s v="Eivy Denine Cruz"/>
  </r>
  <r>
    <n v="542"/>
    <s v="F2"/>
    <x v="22"/>
    <s v="P000001296"/>
    <s v="Services - KR"/>
    <s v="P000001279"/>
    <s v="New"/>
    <x v="0"/>
    <x v="0"/>
    <s v="EL"/>
    <s v="Created on both 1000; name is okay"/>
    <m/>
    <s v="Eivy Denine Cruz"/>
  </r>
  <r>
    <n v="543"/>
    <s v="F2"/>
    <x v="22"/>
    <s v="P000001297"/>
    <s v="S&amp;OP - NA/EUR"/>
    <s v="P000001280"/>
    <s v="New"/>
    <x v="0"/>
    <x v="0"/>
    <s v="EL"/>
    <s v="Created on both 1000; name is okay"/>
    <m/>
    <s v="Eivy Denine Cruz"/>
  </r>
  <r>
    <n v="544"/>
    <s v="F2"/>
    <x v="22"/>
    <s v="P000001298"/>
    <s v="S&amp;OP - Asia exKR"/>
    <s v="P000001280"/>
    <s v="New"/>
    <x v="0"/>
    <x v="0"/>
    <s v="EL"/>
    <s v="Created on both 1000; name is okay"/>
    <m/>
    <s v="Eivy Denine Cruz"/>
  </r>
  <r>
    <n v="545"/>
    <s v="F2"/>
    <x v="22"/>
    <s v="P000001299"/>
    <s v="S&amp;OP - KR"/>
    <s v="P000001280"/>
    <s v="New"/>
    <x v="0"/>
    <x v="0"/>
    <s v="EL"/>
    <s v="Created on both 1000; name is okay"/>
    <m/>
    <s v="Eivy Denine Cruz"/>
  </r>
  <r>
    <n v="546"/>
    <s v="F2"/>
    <x v="22"/>
    <s v="P000001300"/>
    <s v="Mfg. &amp; Sus. Eng. -  NA/EUR"/>
    <s v="P000001281"/>
    <s v="New"/>
    <x v="0"/>
    <x v="0"/>
    <s v="EL"/>
    <s v="Created on both 1000; name is okay"/>
    <m/>
    <s v="Eivy Denine Cruz"/>
  </r>
  <r>
    <n v="547"/>
    <s v="F2"/>
    <x v="22"/>
    <s v="P000001301"/>
    <s v="Mfg. &amp; Sus. Eng. -  Asia exKR"/>
    <s v="P000001281"/>
    <s v="New"/>
    <x v="0"/>
    <x v="0"/>
    <s v="EL"/>
    <s v="Created on both 1000; name is okay"/>
    <m/>
    <s v="Eivy Denine Cruz"/>
  </r>
  <r>
    <n v="548"/>
    <s v="F2"/>
    <x v="22"/>
    <s v="P000001302"/>
    <s v="Mfg. &amp; Sus. Eng. -  KR"/>
    <s v="P000001281"/>
    <s v="New"/>
    <x v="0"/>
    <x v="0"/>
    <s v="EL"/>
    <s v="Created on both 1000; name is okay"/>
    <m/>
    <s v="Eivy Denine Cruz"/>
  </r>
  <r>
    <n v="549"/>
    <s v="F2"/>
    <x v="22"/>
    <s v="P000001303"/>
    <s v="Quality - NA/EUR"/>
    <s v="P000001283"/>
    <s v="New"/>
    <x v="0"/>
    <x v="0"/>
    <s v="EL"/>
    <s v="Created on both 1000; name is okay"/>
    <m/>
    <s v="Eivy Denine Cruz"/>
  </r>
  <r>
    <n v="550"/>
    <s v="F2"/>
    <x v="22"/>
    <s v="P000001304"/>
    <s v="Quality - Asia exKR"/>
    <s v="P000001283"/>
    <s v="New"/>
    <x v="0"/>
    <x v="0"/>
    <s v="EL"/>
    <s v="Created on both 1000; name is okay"/>
    <m/>
    <s v="Eivy Denine Cruz"/>
  </r>
  <r>
    <n v="551"/>
    <s v="F2"/>
    <x v="22"/>
    <s v="P000001305"/>
    <s v="Quality - KR"/>
    <s v="P000001283"/>
    <s v="New"/>
    <x v="0"/>
    <x v="0"/>
    <s v="EL"/>
    <s v="Created on both 1000; name is okay"/>
    <m/>
    <s v="Eivy Denine Cruz"/>
  </r>
  <r>
    <n v="552"/>
    <s v="F2"/>
    <x v="22"/>
    <s v="P000001306"/>
    <s v="Product Mgmt - NA/EUR"/>
    <s v="P000001284"/>
    <s v="New"/>
    <x v="0"/>
    <x v="0"/>
    <s v="EL"/>
    <s v="Created on both 1000; name is okay"/>
    <m/>
    <s v="Eivy Denine Cruz"/>
  </r>
  <r>
    <n v="553"/>
    <s v="F2"/>
    <x v="22"/>
    <s v="P000001307"/>
    <s v="Product Mgmt - Asia exKR"/>
    <s v="P000001284"/>
    <s v="New"/>
    <x v="0"/>
    <x v="0"/>
    <s v="EL"/>
    <s v="Created on both 1000; name is okay"/>
    <m/>
    <s v="Eivy Denine Cruz"/>
  </r>
  <r>
    <n v="554"/>
    <s v="F2"/>
    <x v="22"/>
    <s v="P000001308"/>
    <s v="Product Mgmt - KR"/>
    <s v="P000001284"/>
    <s v="New"/>
    <x v="0"/>
    <x v="0"/>
    <s v="EL"/>
    <s v="Created on both 1000; name is okay"/>
    <m/>
    <s v="Eivy Denine Cruz"/>
  </r>
  <r>
    <n v="555"/>
    <s v="F2"/>
    <x v="22"/>
    <s v="P000001309"/>
    <s v="Prj. Ex. &amp; Port. Mgmt – NA/EUR"/>
    <s v="P000001285"/>
    <s v="New"/>
    <x v="0"/>
    <x v="0"/>
    <s v="EL"/>
    <s v="Created on both 1000; name is okay"/>
    <m/>
    <s v="Eivy Denine Cruz"/>
  </r>
  <r>
    <n v="556"/>
    <s v="F2"/>
    <x v="22"/>
    <s v="P000001310"/>
    <s v="Prj. Ex. &amp; Port. Mgmt – Asia exKR"/>
    <s v="P000001285"/>
    <s v="New"/>
    <x v="0"/>
    <x v="0"/>
    <s v="EL"/>
    <s v="Created on both 1000; name is okay"/>
    <m/>
    <s v="Eivy Denine Cruz"/>
  </r>
  <r>
    <n v="557"/>
    <s v="F2"/>
    <x v="2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558"/>
    <s v="F2"/>
    <x v="22"/>
    <s v="P000001312"/>
    <s v="Commercial - NA/EUR"/>
    <s v="P000001286"/>
    <s v="New"/>
    <x v="0"/>
    <x v="0"/>
    <s v="EL"/>
    <s v="Created on both 1000; name is okay"/>
    <m/>
    <s v="Eivy Denine Cruz"/>
  </r>
  <r>
    <n v="559"/>
    <s v="F2"/>
    <x v="22"/>
    <s v="P000001313"/>
    <s v="Commercial - Asia ex KR"/>
    <s v="P000001286"/>
    <s v="New"/>
    <x v="0"/>
    <x v="0"/>
    <s v="EL"/>
    <s v="Created on both 1000; name is okay"/>
    <m/>
    <s v="Eivy Denine Cruz"/>
  </r>
  <r>
    <n v="560"/>
    <s v="F2"/>
    <x v="22"/>
    <s v="P000001314"/>
    <s v="Commercial - Korea"/>
    <s v="P000001286"/>
    <s v="New"/>
    <x v="0"/>
    <x v="0"/>
    <s v="EL"/>
    <s v="Created on both 1000; name is okay"/>
    <m/>
    <s v="Eivy Denine Cruz"/>
  </r>
  <r>
    <n v="561"/>
    <s v="F2"/>
    <x v="22"/>
    <s v="P000001315"/>
    <s v="Business Excellence - NA/EUR"/>
    <s v="P000001287"/>
    <s v="New"/>
    <x v="0"/>
    <x v="0"/>
    <s v="EL"/>
    <s v="Created on both 1000; name is okay"/>
    <m/>
    <s v="Eivy Denine Cruz"/>
  </r>
  <r>
    <n v="562"/>
    <s v="F2"/>
    <x v="22"/>
    <s v="P000001316"/>
    <s v="Business Excellence - Asia ex KR"/>
    <s v="P000001287"/>
    <s v="New"/>
    <x v="0"/>
    <x v="0"/>
    <s v="EL"/>
    <s v="Created on both 1000; name is okay"/>
    <m/>
    <s v="Eivy Denine Cruz"/>
  </r>
  <r>
    <n v="563"/>
    <s v="F2"/>
    <x v="22"/>
    <s v="P000001317"/>
    <s v="Business Excellence - Korea"/>
    <s v="P000001287"/>
    <s v="New"/>
    <x v="0"/>
    <x v="0"/>
    <s v="EL"/>
    <s v="Created on both 1000; name is okay"/>
    <m/>
    <s v="Eivy Denine Cruz"/>
  </r>
  <r>
    <n v="564"/>
    <s v="F2"/>
    <x v="22"/>
    <s v="P000001318"/>
    <s v="EL-BP-Q Sourcing Surface Solutions"/>
    <s v="P000000748"/>
    <s v="New"/>
    <x v="0"/>
    <x v="0"/>
    <s v="EL"/>
    <s v="Created on both 1000; name is okay"/>
    <m/>
    <s v="Eivy Denine Cruz"/>
  </r>
  <r>
    <n v="565"/>
    <s v="F2"/>
    <x v="22"/>
    <s v="P000001319"/>
    <s v="Classic IT"/>
    <s v="P000000758"/>
    <s v="New"/>
    <x v="0"/>
    <x v="0"/>
    <s v="EL"/>
    <s v="Created on both 1000; name is okay"/>
    <m/>
    <s v="Eivy Denine Cruz"/>
  </r>
  <r>
    <n v="566"/>
    <s v="F2"/>
    <x v="22"/>
    <s v="P000001320"/>
    <s v="IT Projects"/>
    <s v="P000000758"/>
    <s v="New"/>
    <x v="0"/>
    <x v="0"/>
    <s v="EL"/>
    <s v="Created on both 1000; name is okay"/>
    <m/>
    <s v="Eivy Denine Cruz"/>
  </r>
  <r>
    <n v="567"/>
    <s v="F2"/>
    <x v="22"/>
    <s v="P000001321"/>
    <s v="Cyber Security"/>
    <s v="P000000758"/>
    <s v="New"/>
    <x v="0"/>
    <x v="0"/>
    <s v="EL"/>
    <s v="Created on both 1000; name is okay"/>
    <m/>
    <s v="Eivy Denine Cruz"/>
  </r>
  <r>
    <n v="568"/>
    <s v="F2"/>
    <x v="2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569"/>
    <s v="F2"/>
    <x v="22"/>
    <s v="P000001323"/>
    <s v="BP Digital &amp; Data"/>
    <s v="P000000758"/>
    <s v="New"/>
    <x v="0"/>
    <x v="0"/>
    <s v="EL"/>
    <s v="Created on both 1000; name is okay"/>
    <m/>
    <s v="Eivy Denine Cruz"/>
  </r>
  <r>
    <n v="570"/>
    <s v="F2"/>
    <x v="22"/>
    <s v="P000001324"/>
    <s v="EL-BP Go Globals"/>
    <s v="P000000748"/>
    <s v="New"/>
    <x v="0"/>
    <x v="0"/>
    <s v="EL"/>
    <s v="Created on both 1000; name is okay"/>
    <m/>
    <s v="Eivy Denine Cruz"/>
  </r>
  <r>
    <n v="571"/>
    <s v="F2"/>
    <x v="22"/>
    <s v="P000000594"/>
    <s v="EL-OP Patents"/>
    <m/>
    <s v="Rename"/>
    <x v="0"/>
    <x v="0"/>
    <s v="EL"/>
    <s v="Created on both 1000; name is okay"/>
    <m/>
    <s v="Eivy Denine Cruz"/>
  </r>
  <r>
    <n v="572"/>
    <s v="F2"/>
    <x v="22"/>
    <s v="P000001199"/>
    <s v="EL-OP Historical cost objects"/>
    <m/>
    <s v="Rename"/>
    <x v="0"/>
    <x v="0"/>
    <s v="EL"/>
    <s v="Created on both 1000; name is okay"/>
    <m/>
    <s v="Eivy Denine Cruz"/>
  </r>
  <r>
    <n v="573"/>
    <s v="F2"/>
    <x v="22"/>
    <s v="P000000417"/>
    <s v="EL Local Functions"/>
    <m/>
    <s v="Rename"/>
    <x v="0"/>
    <x v="0"/>
    <s v="EL"/>
    <s v="Created on both 1000; name is okay"/>
    <m/>
    <s v="Eivy Denine Cruz"/>
  </r>
  <r>
    <n v="574"/>
    <s v="F2"/>
    <x v="22"/>
    <s v="P000000425"/>
    <s v="EL Other DivCO"/>
    <m/>
    <s v="Rename"/>
    <x v="0"/>
    <x v="0"/>
    <s v="EL"/>
    <s v="Created on both 1000; name is okay"/>
    <m/>
    <s v="Eivy Denine Cruz"/>
  </r>
  <r>
    <n v="575"/>
    <s v="F2"/>
    <x v="22"/>
    <s v="P000000965"/>
    <s v="EL Overarching"/>
    <m/>
    <s v="Rename"/>
    <x v="0"/>
    <x v="0"/>
    <s v="EL"/>
    <s v="Created on both 1000; name is okay"/>
    <m/>
    <s v="Eivy Denine Cruz"/>
  </r>
  <r>
    <n v="576"/>
    <s v="F2"/>
    <x v="22"/>
    <s v="P000000426"/>
    <s v="EL Exceptionals"/>
    <m/>
    <s v="Rename"/>
    <x v="0"/>
    <x v="0"/>
    <s v="EL"/>
    <s v="Created on both 1000; name is okay"/>
    <m/>
    <s v="Eivy Denine Cruz"/>
  </r>
  <r>
    <n v="577"/>
    <s v="F2"/>
    <x v="22"/>
    <s v="P000001204"/>
    <s v="Legal C/O of POG-8 &amp; POG-3"/>
    <m/>
    <s v="Rename"/>
    <x v="0"/>
    <x v="0"/>
    <s v="EL"/>
    <s v="Created on both 1000; name is okay"/>
    <m/>
    <s v="Eivy Denine Cruz"/>
  </r>
  <r>
    <n v="578"/>
    <s v="F2"/>
    <x v="22"/>
    <s v="P000001207"/>
    <s v="GES Backfills &amp; support"/>
    <m/>
    <s v="Rename"/>
    <x v="0"/>
    <x v="0"/>
    <s v="EL"/>
    <s v="Created on both 1000; name is okay"/>
    <m/>
    <s v="Eivy Denine Cruz"/>
  </r>
  <r>
    <n v="579"/>
    <s v="F2"/>
    <x v="22"/>
    <s v="P000000428"/>
    <s v="EL Technical Cost Center"/>
    <m/>
    <s v="Rename"/>
    <x v="0"/>
    <x v="0"/>
    <s v="EL"/>
    <s v="Created on both 1000; name is okay"/>
    <m/>
    <s v="Eivy Denine Cruz"/>
  </r>
  <r>
    <n v="580"/>
    <s v="F2"/>
    <x v="22"/>
    <s v="P000000575"/>
    <s v="EL Non-Active Cost Objects"/>
    <m/>
    <s v="Rename"/>
    <x v="0"/>
    <x v="0"/>
    <s v="EL"/>
    <s v="Created on both 1000; name is okay"/>
    <m/>
    <s v="Eivy Denine Cruz"/>
  </r>
  <r>
    <n v="581"/>
    <s v="F2"/>
    <x v="22"/>
    <s v="P000000577"/>
    <s v="EL Other Overarching"/>
    <m/>
    <s v="Rename"/>
    <x v="0"/>
    <x v="0"/>
    <s v="EL"/>
    <s v="Created on both 1000; name is okay"/>
    <m/>
    <s v="Eivy Denine Cruz"/>
  </r>
  <r>
    <n v="582"/>
    <s v="F2"/>
    <x v="22"/>
    <s v="P000000520"/>
    <s v="EL-FO-P Patterning ISC &amp; Quality"/>
    <m/>
    <s v="Rename"/>
    <x v="0"/>
    <x v="0"/>
    <s v="EL"/>
    <s v="Created on both 1000; name is okay"/>
    <m/>
    <s v="Eivy Denine Cruz"/>
  </r>
  <r>
    <n v="583"/>
    <s v="F2"/>
    <x v="22"/>
    <s v="P000000534"/>
    <s v="EL-FO-P Patterning Commercial"/>
    <m/>
    <s v="Rename"/>
    <x v="0"/>
    <x v="0"/>
    <s v="EL"/>
    <s v="Created on both 1000; name is okay"/>
    <m/>
    <s v="Eivy Denine Cruz"/>
  </r>
  <r>
    <n v="584"/>
    <s v="F2"/>
    <x v="22"/>
    <s v="P000000545"/>
    <s v="EL-FO-PR Patterning R&amp;D"/>
    <m/>
    <s v="Rename"/>
    <x v="0"/>
    <x v="0"/>
    <s v="EL"/>
    <s v="Created on both 1000; name is okay"/>
    <m/>
    <s v="Eivy Denine Cruz"/>
  </r>
  <r>
    <n v="585"/>
    <s v="F2"/>
    <x v="22"/>
    <s v="P000001165"/>
    <s v="EL-FO-P Patterning Silica"/>
    <m/>
    <s v="Rename"/>
    <x v="0"/>
    <x v="0"/>
    <s v="EL"/>
    <s v="Created on both 1000; name is okay"/>
    <m/>
    <s v="Eivy Denine Cruz"/>
  </r>
  <r>
    <n v="586"/>
    <s v="F2"/>
    <x v="22"/>
    <s v="P000000526"/>
    <s v="EL-TF-D  ISC &amp; Quality"/>
    <m/>
    <s v="Rename"/>
    <x v="0"/>
    <x v="0"/>
    <s v="EL"/>
    <s v="Created on both 1000; name is okay"/>
    <m/>
    <s v="Eivy Denine Cruz"/>
  </r>
  <r>
    <n v="587"/>
    <s v="F2"/>
    <x v="22"/>
    <s v="P000000533"/>
    <s v="EL-TF Thin Film Commercial"/>
    <m/>
    <s v="Rename"/>
    <x v="0"/>
    <x v="0"/>
    <s v="EL"/>
    <s v="Created on both 1000; name is okay"/>
    <m/>
    <s v="Eivy Denine Cruz"/>
  </r>
  <r>
    <n v="588"/>
    <s v="F2"/>
    <x v="23"/>
    <s v="H000004394"/>
    <s v="Global Health"/>
    <s v="H000000172"/>
    <s v="New"/>
    <x v="0"/>
    <x v="0"/>
    <s v="HC"/>
    <s v="Created on both 1000; name is okay"/>
    <m/>
    <s v="Henry Ifurung Jr."/>
  </r>
  <r>
    <n v="589"/>
    <s v="F2"/>
    <x v="23"/>
    <s v="H000004395"/>
    <s v="IF-China &amp; International exc GH"/>
    <s v="H000000172"/>
    <s v="New"/>
    <x v="0"/>
    <x v="0"/>
    <s v="HC"/>
    <s v="Created on both 1000; name is okay"/>
    <m/>
    <s v="Henry Ifurung Jr."/>
  </r>
  <r>
    <n v="590"/>
    <s v="F2"/>
    <x v="23"/>
    <s v="H000000173"/>
    <m/>
    <s v="H000004395"/>
    <s v="Move"/>
    <x v="0"/>
    <x v="0"/>
    <s v="HC"/>
    <s v="MOVED in 1000"/>
    <m/>
    <s v="Henry Ifurung Jr."/>
  </r>
  <r>
    <n v="591"/>
    <s v="F2"/>
    <x v="23"/>
    <s v="H000000175"/>
    <m/>
    <s v="H000004395"/>
    <s v="Move"/>
    <x v="0"/>
    <x v="0"/>
    <s v="HC"/>
    <s v="MOVED in 1000"/>
    <m/>
    <s v="Henry Ifurung Jr."/>
  </r>
  <r>
    <n v="592"/>
    <s v="F2"/>
    <x v="23"/>
    <s v="H000000177"/>
    <m/>
    <s v="H000004395"/>
    <s v="Move"/>
    <x v="0"/>
    <x v="0"/>
    <s v="HC"/>
    <s v="MOVED in 1000"/>
    <m/>
    <s v="Henry Ifurung Jr."/>
  </r>
  <r>
    <n v="593"/>
    <s v="F2"/>
    <x v="23"/>
    <s v="H000000387"/>
    <m/>
    <s v="H000004395"/>
    <s v="Move"/>
    <x v="0"/>
    <x v="0"/>
    <s v="HC"/>
    <s v="MOVED in 1000"/>
    <m/>
    <s v="Henry Ifurung Jr."/>
  </r>
  <r>
    <n v="594"/>
    <s v="F2"/>
    <x v="23"/>
    <s v="H000000448"/>
    <m/>
    <s v="H000004395"/>
    <s v="Move"/>
    <x v="0"/>
    <x v="0"/>
    <s v="HC"/>
    <s v="MOVED in 1000"/>
    <m/>
    <s v="Henry Ifurung Jr."/>
  </r>
  <r>
    <n v="595"/>
    <s v="F2"/>
    <x v="24"/>
    <s v="G000000400"/>
    <s v="SM-G MRE Total"/>
    <s v="G000000846"/>
    <s v="Rename/Move"/>
    <x v="0"/>
    <x v="0"/>
    <s v="MGF"/>
    <m/>
    <m/>
    <s v="Francesco Ricioppo"/>
  </r>
  <r>
    <n v="596"/>
    <s v="F2"/>
    <x v="24"/>
    <s v="G000000404"/>
    <s v="MRE GHM"/>
    <s v="G000000400"/>
    <s v="Rename/Move"/>
    <x v="0"/>
    <x v="0"/>
    <s v="MGF"/>
    <m/>
    <m/>
    <s v="Francesco Ricioppo"/>
  </r>
  <r>
    <n v="597"/>
    <s v="F2"/>
    <x v="24"/>
    <s v="G000000414"/>
    <s v="MRE all Buildings GHM"/>
    <s v="G000000404"/>
    <s v="Rename/Move"/>
    <x v="0"/>
    <x v="0"/>
    <s v="MGF"/>
    <m/>
    <m/>
    <s v="Francesco Ricioppo"/>
  </r>
  <r>
    <n v="598"/>
    <s v="F2"/>
    <x v="24"/>
    <s v="G000000415"/>
    <s v="MSM Buildings GHM"/>
    <s v="G000000414"/>
    <s v="Rename/Move"/>
    <x v="0"/>
    <x v="0"/>
    <s v="MGF"/>
    <m/>
    <m/>
    <s v="Francesco Ricioppo"/>
  </r>
  <r>
    <n v="599"/>
    <s v="F2"/>
    <x v="24"/>
    <s v="G000000417"/>
    <s v="Full Service"/>
    <s v="G000000415"/>
    <s v="Rename/Move"/>
    <x v="0"/>
    <x v="0"/>
    <s v="MGF"/>
    <m/>
    <m/>
    <s v="Francesco Ricioppo"/>
  </r>
  <r>
    <n v="600"/>
    <s v="F2"/>
    <x v="24"/>
    <s v="G000000443"/>
    <s v="Shell &amp; Core"/>
    <s v="G000000415"/>
    <s v="Rename/Move"/>
    <x v="0"/>
    <x v="0"/>
    <s v="MGF"/>
    <m/>
    <m/>
    <s v="Francesco Ricioppo"/>
  </r>
  <r>
    <n v="601"/>
    <s v="F2"/>
    <x v="24"/>
    <s v="G000000446"/>
    <s v="Lease &amp; Hold"/>
    <s v="G000000415"/>
    <s v="Rename/Move"/>
    <x v="0"/>
    <x v="0"/>
    <s v="MGF"/>
    <m/>
    <m/>
    <s v="Francesco Ricioppo"/>
  </r>
  <r>
    <n v="602"/>
    <s v="F2"/>
    <x v="24"/>
    <s v="G000000463"/>
    <s v="LS Buildings GHM"/>
    <s v="G000000414"/>
    <s v="Rename/Move"/>
    <x v="0"/>
    <x v="0"/>
    <s v="MGF"/>
    <m/>
    <m/>
    <s v="Francesco Ricioppo"/>
  </r>
  <r>
    <n v="603"/>
    <s v="F2"/>
    <x v="24"/>
    <s v="G000000464"/>
    <s v="Full Service"/>
    <s v="G000000463"/>
    <s v="Rename/Move"/>
    <x v="0"/>
    <x v="0"/>
    <s v="MGF"/>
    <m/>
    <m/>
    <s v="Francesco Ricioppo"/>
  </r>
  <r>
    <n v="604"/>
    <s v="F2"/>
    <x v="24"/>
    <s v="G000000467"/>
    <s v="Shell &amp; Core"/>
    <s v="G000000463"/>
    <s v="Rename/Move"/>
    <x v="0"/>
    <x v="0"/>
    <s v="MGF"/>
    <m/>
    <m/>
    <s v="Francesco Ricioppo"/>
  </r>
  <r>
    <n v="605"/>
    <s v="F2"/>
    <x v="24"/>
    <s v="G000000468"/>
    <s v="Lease &amp; Hold"/>
    <s v="G000000463"/>
    <s v="Rename/Move"/>
    <x v="0"/>
    <x v="0"/>
    <s v="MGF"/>
    <m/>
    <m/>
    <s v="Francesco Ricioppo"/>
  </r>
  <r>
    <n v="606"/>
    <s v="F2"/>
    <x v="24"/>
    <s v="G000000471"/>
    <s v="Susonity Buildings GHM"/>
    <s v="G000000414"/>
    <s v="Rename/Move"/>
    <x v="0"/>
    <x v="0"/>
    <s v="MGF"/>
    <m/>
    <m/>
    <s v="Francesco Ricioppo"/>
  </r>
  <r>
    <n v="607"/>
    <s v="F2"/>
    <x v="24"/>
    <s v="G000000511"/>
    <s v="Full Service"/>
    <s v="G000000471"/>
    <s v="Rename/Move"/>
    <x v="0"/>
    <x v="0"/>
    <s v="MGF"/>
    <m/>
    <m/>
    <s v="Francesco Ricioppo"/>
  </r>
  <r>
    <n v="608"/>
    <s v="F2"/>
    <x v="24"/>
    <s v="G000000512"/>
    <s v="Shell &amp; Core"/>
    <s v="G000000471"/>
    <s v="Rename/Move"/>
    <x v="0"/>
    <x v="0"/>
    <s v="MGF"/>
    <m/>
    <m/>
    <s v="Francesco Ricioppo"/>
  </r>
  <r>
    <n v="609"/>
    <s v="F2"/>
    <x v="24"/>
    <s v="G000000513"/>
    <s v="Lease &amp; Hold"/>
    <s v="G000000471"/>
    <s v="Rename/Move"/>
    <x v="0"/>
    <x v="0"/>
    <s v="MGF"/>
    <m/>
    <m/>
    <s v="Francesco Ricioppo"/>
  </r>
  <r>
    <n v="610"/>
    <s v="F2"/>
    <x v="24"/>
    <s v="G000000514"/>
    <s v="Open Areas GHM"/>
    <s v="G000000404"/>
    <s v="Rename/Move"/>
    <x v="0"/>
    <x v="0"/>
    <s v="MGF"/>
    <m/>
    <m/>
    <s v="Francesco Ricioppo"/>
  </r>
  <r>
    <n v="611"/>
    <s v="F2"/>
    <x v="24"/>
    <s v="G000000537"/>
    <s v="Allocation Cost Centers GHM"/>
    <s v="G000000404"/>
    <s v="Rename/Move"/>
    <x v="0"/>
    <x v="0"/>
    <s v="MGF"/>
    <m/>
    <m/>
    <s v="Francesco Ricioppo"/>
  </r>
  <r>
    <n v="612"/>
    <s v="F2"/>
    <x v="24"/>
    <s v="G000000869"/>
    <s v="KGaA GHM"/>
    <s v="G000000400"/>
    <s v="Rename/Move"/>
    <x v="0"/>
    <x v="0"/>
    <s v="MGF"/>
    <m/>
    <m/>
    <s v="Francesco Ricioppo"/>
  </r>
  <r>
    <n v="613"/>
    <s v="F2"/>
    <x v="24"/>
    <s v="G000000870"/>
    <s v="KGaA all Buildings GHM"/>
    <s v="G000000869"/>
    <s v="Rename/Move"/>
    <x v="0"/>
    <x v="0"/>
    <s v="MGF"/>
    <m/>
    <m/>
    <s v="Francesco Ricioppo"/>
  </r>
  <r>
    <n v="614"/>
    <s v="F2"/>
    <x v="24"/>
    <s v="G000000871"/>
    <s v="MSM Buildings GHM"/>
    <s v="G000000870"/>
    <s v="Rename/Move"/>
    <x v="0"/>
    <x v="0"/>
    <s v="MGF"/>
    <m/>
    <m/>
    <s v="Francesco Ricioppo"/>
  </r>
  <r>
    <n v="615"/>
    <s v="F2"/>
    <x v="24"/>
    <s v="G000000872"/>
    <s v="Full Service"/>
    <s v="G000000871"/>
    <s v="Rename/Move"/>
    <x v="0"/>
    <x v="0"/>
    <s v="MGF"/>
    <m/>
    <m/>
    <s v="Francesco Ricioppo"/>
  </r>
  <r>
    <n v="616"/>
    <s v="F2"/>
    <x v="24"/>
    <s v="G000000879"/>
    <s v="Shell &amp; Core"/>
    <s v="G000000871"/>
    <s v="Rename/Move"/>
    <x v="0"/>
    <x v="0"/>
    <s v="MGF"/>
    <m/>
    <m/>
    <s v="Francesco Ricioppo"/>
  </r>
  <r>
    <n v="617"/>
    <s v="F2"/>
    <x v="24"/>
    <s v="G000000880"/>
    <s v="Lease &amp; Hold"/>
    <s v="G000000871"/>
    <s v="Rename/Move"/>
    <x v="0"/>
    <x v="0"/>
    <s v="MGF"/>
    <m/>
    <m/>
    <s v="Francesco Ricioppo"/>
  </r>
  <r>
    <n v="618"/>
    <s v="F2"/>
    <x v="24"/>
    <s v="G000000881"/>
    <s v="LS Buildings GHM"/>
    <s v="G000000870"/>
    <s v="Rename/Move"/>
    <x v="0"/>
    <x v="0"/>
    <s v="MGF"/>
    <m/>
    <m/>
    <s v="Francesco Ricioppo"/>
  </r>
  <r>
    <n v="619"/>
    <s v="F2"/>
    <x v="24"/>
    <s v="G000000887"/>
    <s v="Full Service"/>
    <s v="G000000881"/>
    <s v="Rename/Move"/>
    <x v="0"/>
    <x v="0"/>
    <s v="MGF"/>
    <m/>
    <m/>
    <s v="Francesco Ricioppo"/>
  </r>
  <r>
    <n v="620"/>
    <s v="F2"/>
    <x v="24"/>
    <s v="G000000888"/>
    <s v="Shell &amp; Core"/>
    <s v="G000000881"/>
    <s v="Rename/Move"/>
    <x v="0"/>
    <x v="0"/>
    <s v="MGF"/>
    <m/>
    <m/>
    <s v="Francesco Ricioppo"/>
  </r>
  <r>
    <n v="621"/>
    <s v="F2"/>
    <x v="24"/>
    <s v="G000000915"/>
    <s v="Lease &amp; Hold"/>
    <s v="G000000881"/>
    <s v="Rename/Move"/>
    <x v="0"/>
    <x v="0"/>
    <s v="MGF"/>
    <m/>
    <m/>
    <s v="Francesco Ricioppo"/>
  </r>
  <r>
    <n v="622"/>
    <s v="F2"/>
    <x v="24"/>
    <s v="G000000949"/>
    <s v="Susonity Buildings GHM"/>
    <s v="G000000870"/>
    <s v="Rename/Move"/>
    <x v="0"/>
    <x v="0"/>
    <s v="MGF"/>
    <m/>
    <m/>
    <s v="Francesco Ricioppo"/>
  </r>
  <r>
    <n v="623"/>
    <s v="F2"/>
    <x v="24"/>
    <s v="G000000950"/>
    <s v="Full Service"/>
    <s v="G000000949"/>
    <s v="Rename/Move"/>
    <x v="0"/>
    <x v="0"/>
    <s v="MGF"/>
    <m/>
    <m/>
    <s v="Francesco Ricioppo"/>
  </r>
  <r>
    <n v="624"/>
    <s v="F2"/>
    <x v="24"/>
    <s v="G000000993"/>
    <s v="Shell &amp; Core"/>
    <s v="G000000949"/>
    <s v="Rename/Move"/>
    <x v="0"/>
    <x v="0"/>
    <s v="MGF"/>
    <m/>
    <m/>
    <s v="Francesco Ricioppo"/>
  </r>
  <r>
    <n v="625"/>
    <s v="F2"/>
    <x v="24"/>
    <s v="G000000996"/>
    <s v="Lease &amp; Hold"/>
    <s v="G000000949"/>
    <s v="Rename/Move"/>
    <x v="0"/>
    <x v="0"/>
    <s v="MGF"/>
    <m/>
    <m/>
    <s v="Francesco Ricioppo"/>
  </r>
  <r>
    <n v="626"/>
    <s v="F2"/>
    <x v="24"/>
    <s v="G000000997"/>
    <s v="Open Areas GHM"/>
    <s v="G000000869"/>
    <s v="Rename/Move"/>
    <x v="0"/>
    <x v="0"/>
    <s v="MGF"/>
    <m/>
    <m/>
    <s v="Francesco Ricioppo"/>
  </r>
  <r>
    <n v="627"/>
    <s v="F2"/>
    <x v="24"/>
    <s v="G000000998"/>
    <s v="KGaA Deconstruction"/>
    <s v="G000000869"/>
    <s v="Rename/Move"/>
    <x v="0"/>
    <x v="0"/>
    <s v="MGF"/>
    <m/>
    <m/>
    <s v="Francesco Ricioppo"/>
  </r>
  <r>
    <n v="628"/>
    <s v="F2"/>
    <x v="25"/>
    <s v="RDC0000138"/>
    <s v="NBE DMPK"/>
    <s v="RDC0000130"/>
    <s v="New"/>
    <x v="0"/>
    <x v="0"/>
    <s v="MGF"/>
    <m/>
    <m/>
    <s v="Erjo Miguel Tagle"/>
  </r>
  <r>
    <n v="629"/>
    <s v="F2"/>
    <x v="25"/>
    <s v="RDC0000139"/>
    <s v="NCE DMPK "/>
    <s v="RDC0000130"/>
    <s v="New"/>
    <x v="0"/>
    <x v="0"/>
    <s v="MGF"/>
    <m/>
    <m/>
    <s v="Erjo Miguel Tagle"/>
  </r>
  <r>
    <n v="630"/>
    <s v="F2"/>
    <x v="25"/>
    <s v="RDC0000141"/>
    <s v="ADC Technologies"/>
    <s v="RDC0000130"/>
    <s v="New"/>
    <x v="0"/>
    <x v="0"/>
    <s v="MGF"/>
    <m/>
    <m/>
    <s v="Erjo Miguel Tagle"/>
  </r>
  <r>
    <n v="631"/>
    <s v="F2"/>
    <x v="26"/>
    <s v="G000001375"/>
    <s v="FIT DS - DES DDIT"/>
    <s v="G000000001"/>
    <s v="New"/>
    <x v="0"/>
    <x v="0"/>
    <s v="MGF"/>
    <m/>
    <m/>
    <s v="Jojeff Tagnong"/>
  </r>
  <r>
    <n v="632"/>
    <s v="F2"/>
    <x v="26"/>
    <s v="G000001376"/>
    <s v="DS - MGF Reporting"/>
    <s v="G000001375"/>
    <s v="New"/>
    <x v="0"/>
    <x v="0"/>
    <s v="MGF"/>
    <m/>
    <m/>
    <s v="Jojeff Tagnong"/>
  </r>
  <r>
    <n v="633"/>
    <s v="F2"/>
    <x v="26"/>
    <s v="G000001377"/>
    <s v="DS - non-MGF Reporting"/>
    <s v="G000001375"/>
    <s v="New"/>
    <x v="0"/>
    <x v="0"/>
    <s v="MGF"/>
    <m/>
    <m/>
    <s v="Jojeff Tagnong"/>
  </r>
  <r>
    <n v="634"/>
    <s v="F2"/>
    <x v="26"/>
    <s v="G000001378"/>
    <s v="GWD DS - DES DDIT (L2)"/>
    <s v="G000001376"/>
    <s v="New"/>
    <x v="0"/>
    <x v="0"/>
    <s v="MGF"/>
    <m/>
    <m/>
    <s v="Jojeff Tagnong"/>
  </r>
  <r>
    <n v="635"/>
    <s v="F2"/>
    <x v="26"/>
    <s v="G000001379"/>
    <s v="FIT DS - Intercompany Charges"/>
    <s v="G000001377"/>
    <s v="New"/>
    <x v="0"/>
    <x v="0"/>
    <s v="MGF"/>
    <m/>
    <m/>
    <s v="Jojeff Tagnong"/>
  </r>
  <r>
    <n v="636"/>
    <s v="F2"/>
    <x v="26"/>
    <s v="G000001380"/>
    <s v="FIT DS - Exceptionals"/>
    <s v="G000001377"/>
    <s v="New"/>
    <x v="0"/>
    <x v="0"/>
    <s v="MGF"/>
    <m/>
    <m/>
    <s v="Jojeff Tagnong"/>
  </r>
  <r>
    <n v="637"/>
    <s v="F2"/>
    <x v="26"/>
    <s v="G000001381"/>
    <s v="GWE DS - DES Gov. and Transf. Office"/>
    <s v="G000001376"/>
    <s v="New"/>
    <x v="0"/>
    <x v="0"/>
    <s v="MGF"/>
    <m/>
    <m/>
    <s v="Jojeff Tagnong"/>
  </r>
  <r>
    <n v="638"/>
    <s v="F2"/>
    <x v="27"/>
    <s v="H000004364_x000a_"/>
    <m/>
    <s v="H000000562_x000a_"/>
    <s v="Move"/>
    <x v="0"/>
    <x v="0"/>
    <s v="HC"/>
    <m/>
    <m/>
    <s v="Julia Reifschneider"/>
  </r>
  <r>
    <n v="639"/>
    <s v="F3"/>
    <x v="28"/>
    <s v="H000004396"/>
    <s v="Rare Tumors"/>
    <s v="H000000000"/>
    <s v="New"/>
    <x v="0"/>
    <x v="0"/>
    <s v="HC"/>
    <m/>
    <m/>
    <s v="Henry Ifurung Jr."/>
  </r>
  <r>
    <n v="640"/>
    <s v="F3"/>
    <x v="29"/>
    <s v="P000000188"/>
    <m/>
    <s v="L000013447"/>
    <s v="Move"/>
    <x v="0"/>
    <x v="0"/>
    <s v="LS"/>
    <s v="renamed/moved"/>
    <m/>
    <s v="Roselle Delos Angeles"/>
  </r>
  <r>
    <n v="641"/>
    <s v="F3"/>
    <x v="29"/>
    <s v="P000000333"/>
    <m/>
    <s v="L000013447"/>
    <s v="Move"/>
    <x v="0"/>
    <x v="0"/>
    <s v="LS"/>
    <s v="renamed/moved"/>
    <m/>
    <s v="Roselle Delos Angeles"/>
  </r>
  <r>
    <n v="642"/>
    <s v="F3"/>
    <x v="30"/>
    <s v="H000004397"/>
    <s v="1954 AU Start-up Helvetia"/>
    <s v="H000000488"/>
    <s v="New"/>
    <x v="0"/>
    <x v="0"/>
    <s v="HC"/>
    <m/>
    <m/>
    <s v="Maria Victoria Reynoso Rodriguez"/>
  </r>
  <r>
    <n v="643"/>
    <s v="F3"/>
    <x v="31"/>
    <s v="G000000944"/>
    <m/>
    <s v="G000000873"/>
    <s v="Move"/>
    <x v="0"/>
    <x v="0"/>
    <s v="MGF"/>
    <s v="renamed/moved"/>
    <m/>
    <s v="John Mark Sandoy"/>
  </r>
  <r>
    <n v="644"/>
    <s v="F3"/>
    <x v="32"/>
    <s v="H000000729"/>
    <s v="Regulatory Affairs EU&amp;SIC"/>
    <m/>
    <s v="Rename"/>
    <x v="0"/>
    <x v="0"/>
    <s v="HC"/>
    <s v="renamed"/>
    <m/>
    <s v="Gay Geanuza del Mundo"/>
  </r>
  <r>
    <n v="645"/>
    <s v="F3"/>
    <x v="33"/>
    <s v="H000004398"/>
    <s v="SCALA_1022 RDO"/>
    <s v="H000000772"/>
    <s v="New"/>
    <x v="0"/>
    <x v="0"/>
    <s v="MGF"/>
    <s v="named and assigned"/>
    <m/>
    <s v="Erjo Miguel Tagle"/>
  </r>
  <r>
    <n v="646"/>
    <s v="F3"/>
    <x v="33"/>
    <s v="H000004399"/>
    <s v="SCALA_1820 Q319"/>
    <s v="H000000772"/>
    <s v="New"/>
    <x v="0"/>
    <x v="0"/>
    <s v="MGF"/>
    <s v="named and assigned"/>
    <m/>
    <s v="Erjo Miguel Tagle"/>
  </r>
  <r>
    <n v="647"/>
    <s v="F3"/>
    <x v="33"/>
    <s v="H000004400"/>
    <s v="SCALA_1820 Q326"/>
    <s v="H000000773"/>
    <s v="New"/>
    <x v="0"/>
    <x v="0"/>
    <s v="MGF"/>
    <s v="named and assigned"/>
    <m/>
    <s v="Erjo Miguel Tagle"/>
  </r>
  <r>
    <n v="648"/>
    <s v="F3"/>
    <x v="33"/>
    <s v="H000004401"/>
    <s v="SCALA_1248 VR00"/>
    <s v="H000000773"/>
    <s v="New"/>
    <x v="0"/>
    <x v="0"/>
    <s v="MGF"/>
    <s v="named and assigned"/>
    <m/>
    <s v="Erjo Miguel Tagle"/>
  </r>
  <r>
    <n v="649"/>
    <s v="F3"/>
    <x v="33"/>
    <s v="H000004402"/>
    <s v="SCALA_1826 450"/>
    <s v="H000004379"/>
    <s v="New"/>
    <x v="0"/>
    <x v="0"/>
    <s v="MGF"/>
    <s v="named and assigned"/>
    <m/>
    <s v="Erjo Miguel Tagle"/>
  </r>
  <r>
    <n v="650"/>
    <s v="F3"/>
    <x v="34"/>
    <s v="G000001387"/>
    <s v="EF-DS-TAI Intelligent Automation"/>
    <s v="G000000246"/>
    <s v="New"/>
    <x v="0"/>
    <x v="0"/>
    <s v="MGF"/>
    <s v="named and assigned"/>
    <m/>
    <s v="Jojeff Tagnong"/>
  </r>
  <r>
    <n v="651"/>
    <s v="F3"/>
    <x v="34"/>
    <s v="G000001388"/>
    <s v="EF-DS-TPR Global ERP GES BP"/>
    <s v="G000000340"/>
    <s v="New"/>
    <x v="0"/>
    <x v="0"/>
    <s v="MGF"/>
    <s v="named and assigned"/>
    <m/>
    <s v="Jojeff Tagnong"/>
  </r>
  <r>
    <n v="652"/>
    <s v="F3"/>
    <x v="34"/>
    <s v="G000001389"/>
    <s v="EF-DS-DD Data Science &amp; AI"/>
    <s v="G000001118"/>
    <s v="New"/>
    <x v="0"/>
    <x v="0"/>
    <s v="MGF"/>
    <s v="named and assigned"/>
    <m/>
    <s v="Jojeff Tagnong"/>
  </r>
  <r>
    <n v="653"/>
    <s v="F3"/>
    <x v="34"/>
    <s v="G000001390"/>
    <s v="EF-DS-DDC SBS-SLS CPI"/>
    <s v="G000001389"/>
    <s v="New"/>
    <x v="0"/>
    <x v="0"/>
    <s v="MGF"/>
    <s v="named and assigned"/>
    <m/>
    <s v="Jojeff Tagnong"/>
  </r>
  <r>
    <n v="654"/>
    <s v="F3"/>
    <x v="34"/>
    <s v="G000001391"/>
    <s v="EF-DS-DDD SBS-SLS Pricing Ops"/>
    <s v="G000001389"/>
    <s v="New"/>
    <x v="0"/>
    <x v="0"/>
    <s v="MGF"/>
    <s v="named and assigned"/>
    <m/>
    <s v="Jojeff Tagnong"/>
  </r>
  <r>
    <n v="655"/>
    <s v="F3"/>
    <x v="34"/>
    <s v="G000001392"/>
    <s v="EF-DS-DM Master Data Management"/>
    <s v="G000001118"/>
    <s v="New"/>
    <x v="0"/>
    <x v="0"/>
    <s v="MGF"/>
    <s v="named and assigned"/>
    <m/>
    <s v="Jojeff Tagnong"/>
  </r>
  <r>
    <n v="656"/>
    <s v="F3"/>
    <x v="34"/>
    <s v="G000001393"/>
    <s v="EF-DS-DME Master Data Excellence"/>
    <s v="G000001392"/>
    <s v="New"/>
    <x v="0"/>
    <x v="0"/>
    <s v="MGF"/>
    <s v="named and assigned"/>
    <m/>
    <s v="Jojeff Tagnong"/>
  </r>
  <r>
    <n v="657"/>
    <s v="F3"/>
    <x v="34"/>
    <s v="G000001394"/>
    <s v="EF-DS-DMF Finance Master Data &amp; Ref Data"/>
    <s v="G000001392"/>
    <s v="New"/>
    <x v="0"/>
    <x v="0"/>
    <s v="MGF"/>
    <s v="named and assigned"/>
    <m/>
    <s v="Jojeff Tagnong"/>
  </r>
  <r>
    <n v="658"/>
    <s v="F3"/>
    <x v="34"/>
    <s v="G000001395"/>
    <s v="EF-DS-DMG Global Material Master Data"/>
    <s v="G000001392"/>
    <s v="New"/>
    <x v="0"/>
    <x v="0"/>
    <s v="MGF"/>
    <s v="named and assigned"/>
    <m/>
    <s v="Jojeff Tagnong"/>
  </r>
  <r>
    <n v="659"/>
    <s v="F3"/>
    <x v="34"/>
    <s v="G000001396"/>
    <s v="EF-DS-DC Data &amp; AI Practices"/>
    <s v="G000001118"/>
    <s v="New"/>
    <x v="0"/>
    <x v="0"/>
    <s v="MGF"/>
    <s v="named and assigned"/>
    <m/>
    <s v="Jojeff Tagnong"/>
  </r>
  <r>
    <n v="660"/>
    <s v="F3"/>
    <x v="34"/>
    <s v="G000001397"/>
    <s v="EF-DS-DCA Agile Practice"/>
    <s v="G000001396"/>
    <s v="New"/>
    <x v="0"/>
    <x v="0"/>
    <s v="MGF"/>
    <s v="named and assigned"/>
    <m/>
    <s v="Jojeff Tagnong"/>
  </r>
  <r>
    <n v="661"/>
    <s v="F3"/>
    <x v="34"/>
    <s v="G000001398"/>
    <s v="EF-DS-DCD Data Warehouse Engr Practice"/>
    <s v="G000001396"/>
    <s v="New"/>
    <x v="0"/>
    <x v="0"/>
    <s v="MGF"/>
    <s v="named and assigned"/>
    <m/>
    <s v="Jojeff Tagnong"/>
  </r>
  <r>
    <n v="662"/>
    <s v="F3"/>
    <x v="34"/>
    <s v="G000001399"/>
    <s v="EF-DS-DCE Data Engineering Practice"/>
    <s v="G000001396"/>
    <s v="New"/>
    <x v="0"/>
    <x v="0"/>
    <s v="MGF"/>
    <s v="named and assigned"/>
    <m/>
    <s v="Jojeff Tagnong"/>
  </r>
  <r>
    <n v="663"/>
    <s v="F3"/>
    <x v="34"/>
    <s v="G000001400"/>
    <s v="EF-DS-DCI Insights Engineering Practice"/>
    <s v="G000001396"/>
    <s v="New"/>
    <x v="0"/>
    <x v="0"/>
    <s v="MGF"/>
    <s v="named and assigned"/>
    <m/>
    <s v="Jojeff Tagnong"/>
  </r>
  <r>
    <n v="664"/>
    <s v="F3"/>
    <x v="34"/>
    <s v="G000001401"/>
    <s v="EF-DS-DCM AI &amp; Machine Learning Practice"/>
    <s v="G000001396"/>
    <s v="New"/>
    <x v="0"/>
    <x v="0"/>
    <s v="MGF"/>
    <s v="named and assigned"/>
    <m/>
    <s v="Jojeff Tagnong"/>
  </r>
  <r>
    <n v="665"/>
    <s v="F3"/>
    <x v="34"/>
    <s v="G000001402"/>
    <s v="EF-DS-DCP Process Intelligence Practice"/>
    <s v="G000001396"/>
    <s v="New"/>
    <x v="0"/>
    <x v="0"/>
    <s v="MGF"/>
    <s v="named and assigned"/>
    <m/>
    <s v="Jojeff Tagnong"/>
  </r>
  <r>
    <n v="666"/>
    <s v="F3"/>
    <x v="34"/>
    <s v="G000001403"/>
    <s v="EF-DS-DCU UPTIMIZE Platf. Engr Practice"/>
    <s v="G000001396"/>
    <s v="New"/>
    <x v="0"/>
    <x v="0"/>
    <s v="MGF"/>
    <s v="named and assigned"/>
    <m/>
    <s v="Jojeff Tagnong"/>
  </r>
  <r>
    <n v="667"/>
    <s v="F3"/>
    <x v="34"/>
    <s v="G000001404"/>
    <s v="EF-DS-DG Data &amp; AI Governance"/>
    <s v="G000001118"/>
    <s v="New"/>
    <x v="0"/>
    <x v="0"/>
    <s v="MGF"/>
    <s v="named and assigned"/>
    <m/>
    <s v="Jojeff Tagnong"/>
  </r>
  <r>
    <n v="668"/>
    <s v="F3"/>
    <x v="34"/>
    <s v="G000001405"/>
    <s v="EF-DS-DI Data Culture"/>
    <s v="G000001118"/>
    <s v="New"/>
    <x v="0"/>
    <x v="0"/>
    <s v="MGF"/>
    <s v="named and assigned"/>
    <m/>
    <s v="Jojeff Tagnong"/>
  </r>
  <r>
    <n v="669"/>
    <s v="F3"/>
    <x v="34"/>
    <s v="G000001406"/>
    <s v="EF-DS-DIT"/>
    <s v="G000001405"/>
    <s v="New"/>
    <x v="0"/>
    <x v="0"/>
    <s v="MGF"/>
    <s v="named and assigned"/>
    <m/>
    <s v="Jojeff Tagnong"/>
  </r>
  <r>
    <n v="670"/>
    <s v="F3"/>
    <x v="34"/>
    <s v="G000001407"/>
    <s v="EF-DS-DP Data &amp; AI Products"/>
    <s v="G000001118"/>
    <s v="New"/>
    <x v="0"/>
    <x v="0"/>
    <s v="MGF"/>
    <s v="named and assigned"/>
    <m/>
    <s v="Jojeff Tagnong"/>
  </r>
  <r>
    <n v="671"/>
    <s v="F3"/>
    <x v="34"/>
    <s v="G000001408"/>
    <s v="EF-DS-DPA Data Analytics &amp; AI Portfolio"/>
    <s v="G000001407"/>
    <s v="New"/>
    <x v="0"/>
    <x v="0"/>
    <s v="MGF"/>
    <s v="named and assigned"/>
    <m/>
    <s v="Jojeff Tagnong"/>
  </r>
  <r>
    <n v="672"/>
    <s v="F3"/>
    <x v="34"/>
    <s v="G000001409"/>
    <s v="EF-DS-DPD Data Products Portfolio"/>
    <s v="G000001407"/>
    <s v="New"/>
    <x v="0"/>
    <x v="0"/>
    <s v="MGF"/>
    <s v="named and assigned"/>
    <m/>
    <s v="Jojeff Tagnong"/>
  </r>
  <r>
    <n v="673"/>
    <s v="F3"/>
    <x v="34"/>
    <s v="G000001410"/>
    <s v="EF-DS-DPE Data &amp; AI Archi. &amp; Excellence?"/>
    <s v="G000001407"/>
    <s v="New"/>
    <x v="0"/>
    <x v="0"/>
    <s v="MGF"/>
    <s v="named and assigned"/>
    <m/>
    <s v="Jojeff Tagnong"/>
  </r>
  <r>
    <n v="674"/>
    <s v="F3"/>
    <x v="34"/>
    <s v="G000001411"/>
    <s v="EF-DS-DPF Data &amp; AI Financial Management"/>
    <s v="G000001407"/>
    <s v="New"/>
    <x v="0"/>
    <x v="0"/>
    <s v="MGF"/>
    <s v="named and assigned"/>
    <m/>
    <s v="Jojeff Tagnong"/>
  </r>
  <r>
    <n v="675"/>
    <s v="F3"/>
    <x v="34"/>
    <s v="G000001412"/>
    <s v="EF-DS-DPL Data Platform Portfolio"/>
    <s v="G000001407"/>
    <s v="New"/>
    <x v="0"/>
    <x v="0"/>
    <s v="MGF"/>
    <s v="named and assigned"/>
    <m/>
    <s v="Jojeff Tagnong"/>
  </r>
  <r>
    <n v="676"/>
    <s v="F3"/>
    <x v="34"/>
    <s v="G000001413"/>
    <s v="EF-DS-DS Data &amp; AI Strategy"/>
    <s v="G000001118"/>
    <s v="New"/>
    <x v="0"/>
    <x v="0"/>
    <s v="MGF"/>
    <s v="named and assigned"/>
    <m/>
    <s v="Jojeff Tagnong"/>
  </r>
  <r>
    <n v="677"/>
    <s v="F3"/>
    <x v="34"/>
    <s v="G000001414"/>
    <s v="EF-DS-DT Data &amp; AI Tech Innovation"/>
    <s v="G000001118"/>
    <s v="New"/>
    <x v="0"/>
    <x v="0"/>
    <s v="MGF"/>
    <s v="named and assigned"/>
    <m/>
    <s v="Jojeff Tagnong"/>
  </r>
  <r>
    <n v="678"/>
    <s v="F3"/>
    <x v="34"/>
    <s v="G000001415"/>
    <s v="EF-DS-DTA Data &amp; AI Tech Innovation A"/>
    <s v="G000001414"/>
    <s v="New"/>
    <x v="0"/>
    <x v="0"/>
    <s v="MGF"/>
    <s v="named and assigned"/>
    <m/>
    <s v="Jojeff Tagnong"/>
  </r>
  <r>
    <n v="679"/>
    <s v="F3"/>
    <x v="34"/>
    <s v="G000001416"/>
    <s v="EF-DS-SE Integrated Process Excellence"/>
    <s v="G000001381"/>
    <s v="New"/>
    <x v="0"/>
    <x v="0"/>
    <s v="MGF"/>
    <s v="named and assigned"/>
    <m/>
    <s v="Jojeff Tagnong"/>
  </r>
  <r>
    <n v="680"/>
    <s v="F3"/>
    <x v="34"/>
    <s v="G000001417"/>
    <s v="EF-DS-SGB DDIT Sustainability Management"/>
    <s v="G000000726"/>
    <s v="New"/>
    <x v="0"/>
    <x v="0"/>
    <s v="MGF"/>
    <s v="named and assigned"/>
    <m/>
    <s v="Jojeff Tagnong"/>
  </r>
  <r>
    <n v="681"/>
    <s v="F3"/>
    <x v="34"/>
    <s v="G000001418"/>
    <s v="EF-DS-SGM IT Mergers &amp; Acquisition"/>
    <s v="G000000726"/>
    <s v="New"/>
    <x v="0"/>
    <x v="0"/>
    <s v="MGF"/>
    <s v="named and assigned"/>
    <m/>
    <s v="Jojeff Tagnong"/>
  </r>
  <r>
    <n v="682"/>
    <s v="F3"/>
    <x v="34"/>
    <s v="G000001419"/>
    <s v="EF-DS-SI Integr &amp; Transformation Project"/>
    <s v="G000001381"/>
    <s v="New"/>
    <x v="0"/>
    <x v="0"/>
    <s v="MGF"/>
    <s v="named and assigned"/>
    <m/>
    <s v="Jojeff Tagnong"/>
  </r>
  <r>
    <n v="683"/>
    <s v="F3"/>
    <x v="34"/>
    <s v="G000001420"/>
    <s v="EF-DS-SIY Program &amp; Proj Portfolio Mgmt."/>
    <s v="G000001419"/>
    <s v="New"/>
    <x v="0"/>
    <x v="0"/>
    <s v="MGF"/>
    <s v="named and assigned"/>
    <m/>
    <s v="Jojeff Tagnong"/>
  </r>
  <r>
    <n v="684"/>
    <s v="F3"/>
    <x v="34"/>
    <s v="G000001421"/>
    <s v="EF-DS-SOY Strategy Activation"/>
    <s v="G000000789"/>
    <s v="New"/>
    <x v="0"/>
    <x v="0"/>
    <s v="MGF"/>
    <s v="named and assigned"/>
    <m/>
    <s v="Jojeff Tagnong"/>
  </r>
  <r>
    <n v="685"/>
    <s v="F3"/>
    <x v="34"/>
    <s v="G000001422"/>
    <s v="EF-DS-SV Strategic Intel &amp; ValueCreation"/>
    <s v="G000001381"/>
    <s v="New"/>
    <x v="0"/>
    <x v="0"/>
    <s v="MGF"/>
    <s v="named and assigned"/>
    <m/>
    <s v="Jojeff Tagnong"/>
  </r>
  <r>
    <n v="686"/>
    <s v="F3"/>
    <x v="34"/>
    <s v="IT06021800"/>
    <s v="EF-DS-TAI Intelligent Automation"/>
    <s v="G000001387"/>
    <s v="New"/>
    <x v="0"/>
    <x v="0"/>
    <s v="MGF"/>
    <s v="named and assigned"/>
    <m/>
    <s v="Jojeff Tagnong"/>
  </r>
  <r>
    <n v="687"/>
    <s v="F3"/>
    <x v="34"/>
    <s v="IT06101000"/>
    <s v="EF-DS-TPR Global ERP GES BP"/>
    <s v="G000001388"/>
    <s v="New"/>
    <x v="0"/>
    <x v="0"/>
    <s v="MGF"/>
    <s v="named and assigned"/>
    <m/>
    <s v="Jojeff Tagnong"/>
  </r>
  <r>
    <n v="688"/>
    <s v="F3"/>
    <x v="34"/>
    <s v="IT07020000"/>
    <s v="EF-DS-DD Data Science &amp; AI"/>
    <s v="G000001389"/>
    <s v="New"/>
    <x v="0"/>
    <x v="0"/>
    <s v="MGF"/>
    <s v="named and assigned"/>
    <m/>
    <s v="Jojeff Tagnong"/>
  </r>
  <r>
    <n v="689"/>
    <s v="F3"/>
    <x v="34"/>
    <s v="IT07020100"/>
    <s v="EF-DS-DDC SBS-SLS CPI"/>
    <s v="G000001390"/>
    <s v="New"/>
    <x v="0"/>
    <x v="0"/>
    <s v="MGF"/>
    <s v="named and assigned"/>
    <m/>
    <s v="Jojeff Tagnong"/>
  </r>
  <r>
    <n v="690"/>
    <s v="F3"/>
    <x v="34"/>
    <s v="IT07020200"/>
    <s v="EF-DS-DDD SBS-SLS Pricing Ops"/>
    <s v="G000001391"/>
    <s v="New"/>
    <x v="0"/>
    <x v="0"/>
    <s v="MGF"/>
    <s v="named and assigned"/>
    <m/>
    <s v="Jojeff Tagnong"/>
  </r>
  <r>
    <n v="691"/>
    <s v="F3"/>
    <x v="34"/>
    <s v="IT07030000"/>
    <s v="EF-DS-DM Master Data Management"/>
    <s v="G000001392"/>
    <s v="New"/>
    <x v="0"/>
    <x v="0"/>
    <s v="MGF"/>
    <s v="named and assigned"/>
    <m/>
    <s v="Jojeff Tagnong"/>
  </r>
  <r>
    <n v="692"/>
    <s v="F3"/>
    <x v="34"/>
    <s v="IT07030100"/>
    <s v="EF-DS-DME Master Data Excellence"/>
    <s v="G000001393"/>
    <s v="New"/>
    <x v="0"/>
    <x v="0"/>
    <s v="MGF"/>
    <s v="named and assigned"/>
    <m/>
    <s v="Jojeff Tagnong"/>
  </r>
  <r>
    <n v="693"/>
    <s v="F3"/>
    <x v="34"/>
    <s v="IT07030200"/>
    <s v="EF-DS-DMF Finance Master Data &amp; Ref Data"/>
    <s v="G000001394"/>
    <s v="New"/>
    <x v="0"/>
    <x v="0"/>
    <s v="MGF"/>
    <s v="named and assigned"/>
    <m/>
    <s v="Jojeff Tagnong"/>
  </r>
  <r>
    <n v="694"/>
    <s v="F3"/>
    <x v="34"/>
    <s v="IT07030300"/>
    <s v="EF-DS-DMG Global Material Master Data"/>
    <s v="G000001395"/>
    <s v="New"/>
    <x v="0"/>
    <x v="0"/>
    <s v="MGF"/>
    <s v="named and assigned"/>
    <m/>
    <s v="Jojeff Tagnong"/>
  </r>
  <r>
    <n v="695"/>
    <s v="F3"/>
    <x v="34"/>
    <s v="IT07040000"/>
    <s v="EF-DS-DC Data &amp; AI Practices"/>
    <s v="G000001396"/>
    <s v="New"/>
    <x v="0"/>
    <x v="0"/>
    <s v="MGF"/>
    <s v="named and assigned"/>
    <m/>
    <s v="Jojeff Tagnong"/>
  </r>
  <r>
    <n v="696"/>
    <s v="F3"/>
    <x v="34"/>
    <s v="IT07040100"/>
    <s v="EF-DS-DCA Agile Practice"/>
    <s v="G000001397"/>
    <s v="New"/>
    <x v="0"/>
    <x v="0"/>
    <s v="MGF"/>
    <s v="named and assigned"/>
    <m/>
    <s v="Jojeff Tagnong"/>
  </r>
  <r>
    <n v="697"/>
    <s v="F3"/>
    <x v="34"/>
    <s v="IT07040200"/>
    <s v="EF-DS-DCD Data Warehouse Engr Practice"/>
    <s v="G000001398"/>
    <s v="New"/>
    <x v="0"/>
    <x v="0"/>
    <s v="MGF"/>
    <s v="named and assigned"/>
    <m/>
    <s v="Jojeff Tagnong"/>
  </r>
  <r>
    <n v="698"/>
    <s v="F3"/>
    <x v="34"/>
    <s v="IT07040300"/>
    <s v="EF-DS-DCE Data Engineering Practice"/>
    <s v="G000001399"/>
    <s v="New"/>
    <x v="0"/>
    <x v="0"/>
    <s v="MGF"/>
    <s v="named and assigned"/>
    <m/>
    <s v="Jojeff Tagnong"/>
  </r>
  <r>
    <n v="699"/>
    <s v="F3"/>
    <x v="34"/>
    <s v="IT07040400"/>
    <s v="EF-DS-DCI Insights Engineering Practice"/>
    <s v="G000001400"/>
    <s v="New"/>
    <x v="0"/>
    <x v="0"/>
    <s v="MGF"/>
    <s v="named and assigned"/>
    <m/>
    <s v="Jojeff Tagnong"/>
  </r>
  <r>
    <n v="700"/>
    <s v="F3"/>
    <x v="34"/>
    <s v="IT07040500"/>
    <s v="EF-DS-DCM AI &amp; Machine Learning Practice"/>
    <s v="G000001401"/>
    <s v="New"/>
    <x v="0"/>
    <x v="0"/>
    <s v="MGF"/>
    <s v="named and assigned"/>
    <m/>
    <s v="Jojeff Tagnong"/>
  </r>
  <r>
    <n v="701"/>
    <s v="F3"/>
    <x v="34"/>
    <s v="IT07040600"/>
    <s v="EF-DS-DCP Process Intelligence Practice"/>
    <s v="G000001402"/>
    <s v="New"/>
    <x v="0"/>
    <x v="0"/>
    <s v="MGF"/>
    <s v="named and assigned"/>
    <m/>
    <s v="Jojeff Tagnong"/>
  </r>
  <r>
    <n v="702"/>
    <s v="F3"/>
    <x v="34"/>
    <s v="IT07040700"/>
    <s v="EF-DS-DCU UPTIMIZE Platf. Engr Practice"/>
    <s v="G000001403"/>
    <s v="New"/>
    <x v="0"/>
    <x v="0"/>
    <s v="MGF"/>
    <s v="named and assigned"/>
    <m/>
    <s v="Jojeff Tagnong"/>
  </r>
  <r>
    <n v="703"/>
    <s v="F3"/>
    <x v="34"/>
    <s v="IT07050000"/>
    <s v="EF-DS-DG Data &amp; AI Governance"/>
    <s v="G000001404"/>
    <s v="New"/>
    <x v="0"/>
    <x v="0"/>
    <s v="MGF"/>
    <s v="named and assigned"/>
    <m/>
    <s v="Jojeff Tagnong"/>
  </r>
  <r>
    <n v="704"/>
    <s v="F3"/>
    <x v="34"/>
    <s v="IT07060000"/>
    <s v="EF-DS-DI Data Culture"/>
    <s v="G000001405"/>
    <s v="New"/>
    <x v="0"/>
    <x v="0"/>
    <s v="MGF"/>
    <s v="named and assigned"/>
    <m/>
    <s v="Jojeff Tagnong"/>
  </r>
  <r>
    <n v="705"/>
    <s v="F3"/>
    <x v="34"/>
    <s v="IT07060100"/>
    <s v="EF-DS-DIT"/>
    <s v="G000001406"/>
    <s v="New"/>
    <x v="0"/>
    <x v="0"/>
    <s v="MGF"/>
    <s v="named and assigned"/>
    <m/>
    <s v="Jojeff Tagnong"/>
  </r>
  <r>
    <n v="706"/>
    <s v="F3"/>
    <x v="34"/>
    <s v="IT07070000"/>
    <s v="EF-DS-DP Data &amp; AI Products"/>
    <s v="G000001407"/>
    <s v="New"/>
    <x v="0"/>
    <x v="0"/>
    <s v="MGF"/>
    <s v="named and assigned"/>
    <m/>
    <s v="Jojeff Tagnong"/>
  </r>
  <r>
    <n v="707"/>
    <s v="F3"/>
    <x v="34"/>
    <s v="IT07070100"/>
    <s v="EF-DS-DPA Data Analytics &amp; AI Portfolio"/>
    <s v="G000001408"/>
    <s v="New"/>
    <x v="0"/>
    <x v="0"/>
    <s v="MGF"/>
    <s v="named and assigned"/>
    <m/>
    <s v="Jojeff Tagnong"/>
  </r>
  <r>
    <n v="708"/>
    <s v="F3"/>
    <x v="34"/>
    <s v="IT07070200"/>
    <s v="EF-DS-DPD Data Products Portfolio"/>
    <s v="G000001409"/>
    <s v="New"/>
    <x v="0"/>
    <x v="0"/>
    <s v="MGF"/>
    <s v="named and assigned"/>
    <m/>
    <s v="Jojeff Tagnong"/>
  </r>
  <r>
    <n v="709"/>
    <s v="F3"/>
    <x v="34"/>
    <s v="IT07070300"/>
    <s v="EF-DS-DPE Data &amp; AI Archi. &amp; Excellence?"/>
    <s v="G000001410"/>
    <s v="New"/>
    <x v="0"/>
    <x v="0"/>
    <s v="MGF"/>
    <s v="named and assigned"/>
    <m/>
    <s v="Jojeff Tagnong"/>
  </r>
  <r>
    <n v="710"/>
    <s v="F3"/>
    <x v="34"/>
    <s v="IT07070400"/>
    <s v="EF-DS-DPF Data &amp; AI Financial Management"/>
    <s v="G000001411"/>
    <s v="New"/>
    <x v="0"/>
    <x v="0"/>
    <s v="MGF"/>
    <s v="named and assigned"/>
    <m/>
    <s v="Jojeff Tagnong"/>
  </r>
  <r>
    <n v="711"/>
    <s v="F3"/>
    <x v="34"/>
    <s v="IT07070500"/>
    <s v="EF-DS-DPL Data Platform Portfolio"/>
    <s v="G000001412"/>
    <s v="New"/>
    <x v="0"/>
    <x v="0"/>
    <s v="MGF"/>
    <s v="named and assigned"/>
    <m/>
    <s v="Jojeff Tagnong"/>
  </r>
  <r>
    <n v="712"/>
    <s v="F3"/>
    <x v="34"/>
    <s v="IT07080000"/>
    <s v="EF-DS-DS Data &amp; AI Strategy"/>
    <s v="G000001413"/>
    <s v="New"/>
    <x v="0"/>
    <x v="0"/>
    <s v="MGF"/>
    <s v="named and assigned"/>
    <m/>
    <s v="Jojeff Tagnong"/>
  </r>
  <r>
    <n v="713"/>
    <s v="F3"/>
    <x v="34"/>
    <s v="IT07090000"/>
    <s v="EF-DS-DT Data &amp; AI Tech Innovation"/>
    <s v="G000001414"/>
    <s v="New"/>
    <x v="0"/>
    <x v="0"/>
    <s v="MGF"/>
    <s v="named and assigned"/>
    <m/>
    <s v="Jojeff Tagnong"/>
  </r>
  <r>
    <n v="714"/>
    <s v="F3"/>
    <x v="34"/>
    <s v="IT07090100"/>
    <s v="EF-DS-DTA Data &amp; AI Tech Innovation A"/>
    <s v="G000001415"/>
    <s v="New"/>
    <x v="0"/>
    <x v="0"/>
    <s v="MGF"/>
    <s v="named and assigned"/>
    <m/>
    <s v="Jojeff Tagnong"/>
  </r>
  <r>
    <n v="715"/>
    <s v="F3"/>
    <x v="34"/>
    <s v="IT09000000"/>
    <s v="EF-DS-S DES Strategy, Gover. &amp; Transf"/>
    <s v="G000001381"/>
    <s v="New"/>
    <x v="0"/>
    <x v="0"/>
    <s v="MGF"/>
    <s v="done"/>
    <m/>
    <s v="Jojeff Tagnong"/>
  </r>
  <r>
    <n v="716"/>
    <s v="F3"/>
    <x v="34"/>
    <s v="IT09010000"/>
    <s v="EF-DS-SE Integrated Process Excellence"/>
    <s v="G000001416"/>
    <s v="New"/>
    <x v="0"/>
    <x v="0"/>
    <s v="MGF"/>
    <s v="named and assigned"/>
    <m/>
    <s v="Jojeff Tagnong"/>
  </r>
  <r>
    <n v="717"/>
    <s v="F3"/>
    <x v="34"/>
    <s v="IT09020200"/>
    <s v="EF-DS-SGB DDIT Sustainability Management"/>
    <s v="G000001417"/>
    <s v="New"/>
    <x v="0"/>
    <x v="0"/>
    <s v="MGF"/>
    <s v="named and assigned"/>
    <m/>
    <s v="Jojeff Tagnong"/>
  </r>
  <r>
    <n v="718"/>
    <s v="F3"/>
    <x v="34"/>
    <s v="IT09020300"/>
    <s v="EF-DS-SGM IT Mergers &amp; Acquisition"/>
    <s v="G000001418"/>
    <s v="New"/>
    <x v="0"/>
    <x v="0"/>
    <s v="MGF"/>
    <s v="named and assigned"/>
    <m/>
    <s v="Jojeff Tagnong"/>
  </r>
  <r>
    <n v="719"/>
    <s v="F3"/>
    <x v="34"/>
    <s v="IT09030000"/>
    <s v="EF-DS-SI Integr &amp; Transformation Project"/>
    <s v="G000001419"/>
    <s v="New"/>
    <x v="0"/>
    <x v="0"/>
    <s v="MGF"/>
    <s v="named and assigned"/>
    <m/>
    <s v="Jojeff Tagnong"/>
  </r>
  <r>
    <n v="720"/>
    <s v="F3"/>
    <x v="34"/>
    <s v="IT09030100"/>
    <s v="EF-DS-SIY Program &amp; Proj Portfolio Mgmt."/>
    <s v="G000001420"/>
    <s v="New"/>
    <x v="0"/>
    <x v="0"/>
    <s v="MGF"/>
    <s v="named and assigned"/>
    <m/>
    <s v="Jojeff Tagnong"/>
  </r>
  <r>
    <n v="721"/>
    <s v="F3"/>
    <x v="34"/>
    <s v="IT09040000"/>
    <s v="EF-DS-SO SGT Office, Comm &amp; Portf Mgmt"/>
    <s v="G000000789"/>
    <s v="New"/>
    <x v="0"/>
    <x v="0"/>
    <s v="MGF"/>
    <s v="named and assigned"/>
    <m/>
    <s v="Jojeff Tagnong"/>
  </r>
  <r>
    <n v="722"/>
    <s v="F3"/>
    <x v="34"/>
    <s v="IT09040100"/>
    <s v="EF-DS-SOD DDIT Portfolio Mgmt &amp; Projects"/>
    <s v="G000000838"/>
    <s v="New"/>
    <x v="0"/>
    <x v="0"/>
    <s v="MGF"/>
    <s v="named and assigned"/>
    <m/>
    <s v="Jojeff Tagnong"/>
  </r>
  <r>
    <n v="723"/>
    <s v="F3"/>
    <x v="34"/>
    <s v="IT09040200"/>
    <s v="EF-DS-SOS Change Management"/>
    <s v="G000000839"/>
    <s v="New"/>
    <x v="0"/>
    <x v="0"/>
    <s v="MGF"/>
    <s v="named and assigned"/>
    <m/>
    <s v="Jojeff Tagnong"/>
  </r>
  <r>
    <n v="724"/>
    <s v="F3"/>
    <x v="34"/>
    <s v="IT09040300"/>
    <s v="EF-DS-SOY Strategy Activation"/>
    <s v="G000001421"/>
    <s v="New"/>
    <x v="0"/>
    <x v="0"/>
    <s v="MGF"/>
    <s v="named and assigned"/>
    <m/>
    <s v="Jojeff Tagnong"/>
  </r>
  <r>
    <n v="725"/>
    <s v="F3"/>
    <x v="34"/>
    <s v="IT09050000"/>
    <s v="EF-DS-SV Strategic Intel &amp; ValueCreation"/>
    <s v="G000001422"/>
    <s v="New"/>
    <x v="0"/>
    <x v="0"/>
    <s v="MGF"/>
    <s v="named and assigned"/>
    <m/>
    <s v="Jojeff Tagnong"/>
  </r>
  <r>
    <n v="726"/>
    <s v="F3"/>
    <x v="34"/>
    <s v="G000000244"/>
    <s v="EF-DS-T Group IT_I"/>
    <m/>
    <s v="Rename"/>
    <x v="0"/>
    <x v="0"/>
    <s v="MGF"/>
    <s v="renamed"/>
    <m/>
    <s v="Jojeff Tagnong"/>
  </r>
  <r>
    <n v="727"/>
    <s v="F3"/>
    <x v="34"/>
    <s v="IT06000000"/>
    <s v="EF-DS-T Group IT"/>
    <m/>
    <s v="Rename"/>
    <x v="0"/>
    <x v="0"/>
    <s v="MGF"/>
    <s v="renamed"/>
    <m/>
    <s v="Jojeff Tagnong"/>
  </r>
  <r>
    <n v="728"/>
    <s v="F3"/>
    <x v="34"/>
    <s v="G000000245"/>
    <s v="EF-DS-TC Head Office &amp; CISO"/>
    <m/>
    <s v="Rename"/>
    <x v="0"/>
    <x v="0"/>
    <s v="MGF"/>
    <s v="renamed"/>
    <m/>
    <s v="Jojeff Tagnong"/>
  </r>
  <r>
    <n v="729"/>
    <s v="F3"/>
    <x v="34"/>
    <s v="G000000627"/>
    <s v="EF-DS-TC Head Office &amp; CISO_I"/>
    <m/>
    <s v="Rename"/>
    <x v="0"/>
    <x v="0"/>
    <s v="MGF"/>
    <s v="renamed"/>
    <m/>
    <s v="Jojeff Tagnong"/>
  </r>
  <r>
    <n v="730"/>
    <s v="F3"/>
    <x v="34"/>
    <s v="IT06010000"/>
    <s v="EF-DS-TC Head Office &amp; CISO"/>
    <m/>
    <s v="Rename"/>
    <x v="0"/>
    <x v="0"/>
    <s v="MGF"/>
    <s v="renamed"/>
    <m/>
    <s v="Jojeff Tagnong"/>
  </r>
  <r>
    <n v="731"/>
    <s v="F3"/>
    <x v="34"/>
    <s v="G000000246"/>
    <s v="EF-DS-TA Application Technology"/>
    <m/>
    <s v="Rename"/>
    <x v="0"/>
    <x v="0"/>
    <s v="MGF"/>
    <s v="renamed"/>
    <m/>
    <s v="Jojeff Tagnong"/>
  </r>
  <r>
    <n v="732"/>
    <s v="F3"/>
    <x v="34"/>
    <s v="G000000247"/>
    <s v="EF-DS-TA Application Technology_I"/>
    <m/>
    <s v="Rename"/>
    <x v="0"/>
    <x v="0"/>
    <s v="MGF"/>
    <s v="renamed"/>
    <m/>
    <s v="Jojeff Tagnong"/>
  </r>
  <r>
    <n v="733"/>
    <s v="F3"/>
    <x v="34"/>
    <s v="IT06020000"/>
    <s v="EF-DS-TA Application Technology"/>
    <m/>
    <s v="Rename"/>
    <x v="0"/>
    <x v="0"/>
    <s v="MGF"/>
    <s v="renamed"/>
    <m/>
    <s v="Jojeff Tagnong"/>
  </r>
  <r>
    <n v="734"/>
    <s v="F3"/>
    <x v="34"/>
    <s v="G000000253"/>
    <s v="EF-DS-TAM Manufacturing, SCM &amp; Quality"/>
    <m/>
    <s v="Rename"/>
    <x v="0"/>
    <x v="0"/>
    <s v="MGF"/>
    <s v="renamed"/>
    <m/>
    <s v="Jojeff Tagnong"/>
  </r>
  <r>
    <n v="735"/>
    <s v="F3"/>
    <x v="34"/>
    <s v="IT06020600"/>
    <s v="EF-DS-TAM Manufacturing, SCM &amp; Quality"/>
    <m/>
    <s v="Rename"/>
    <x v="0"/>
    <x v="0"/>
    <s v="MGF"/>
    <s v="renamed"/>
    <m/>
    <s v="Jojeff Tagnong"/>
  </r>
  <r>
    <n v="736"/>
    <s v="F3"/>
    <x v="34"/>
    <s v="G000000255"/>
    <s v="EF-DS-TAR R&amp;D"/>
    <m/>
    <s v="Rename"/>
    <x v="0"/>
    <x v="0"/>
    <s v="MGF"/>
    <s v="renamed"/>
    <m/>
    <s v="Jojeff Tagnong"/>
  </r>
  <r>
    <n v="737"/>
    <s v="F3"/>
    <x v="34"/>
    <s v="IT06020800"/>
    <s v="EF-DS-TAR R&amp;D"/>
    <m/>
    <s v="Rename"/>
    <x v="0"/>
    <x v="0"/>
    <s v="MGF"/>
    <s v="renamed"/>
    <m/>
    <s v="Jojeff Tagnong"/>
  </r>
  <r>
    <n v="738"/>
    <s v="F3"/>
    <x v="34"/>
    <s v="G000000256"/>
    <s v="EF-DS-TAS Marketing &amp; Sales"/>
    <m/>
    <s v="Rename"/>
    <x v="0"/>
    <x v="0"/>
    <s v="MGF"/>
    <s v="renamed"/>
    <m/>
    <s v="Jojeff Tagnong"/>
  </r>
  <r>
    <n v="739"/>
    <s v="F3"/>
    <x v="34"/>
    <s v="IT06020900"/>
    <s v="EF-DS-TAS Marketing &amp; Sales"/>
    <m/>
    <s v="Rename"/>
    <x v="0"/>
    <x v="0"/>
    <s v="MGF"/>
    <s v="renamed"/>
    <m/>
    <s v="Jojeff Tagnong"/>
  </r>
  <r>
    <n v="740"/>
    <s v="F3"/>
    <x v="34"/>
    <s v="G000000736"/>
    <s v="EF-DS-TAC Custom Apps &amp; New Technology"/>
    <m/>
    <s v="Rename"/>
    <x v="0"/>
    <x v="0"/>
    <s v="MGF"/>
    <s v="renamed"/>
    <m/>
    <s v="Jojeff Tagnong"/>
  </r>
  <r>
    <n v="741"/>
    <s v="F3"/>
    <x v="34"/>
    <s v="IT06021200"/>
    <s v="EF-DS-TAC Custom Apps &amp; New Technology"/>
    <m/>
    <s v="Rename"/>
    <x v="0"/>
    <x v="0"/>
    <s v="MGF"/>
    <s v="renamed"/>
    <m/>
    <s v="Jojeff Tagnong"/>
  </r>
  <r>
    <n v="742"/>
    <s v="F3"/>
    <x v="34"/>
    <s v="G000000893"/>
    <s v="EF-DS-TAT Automation Strategy"/>
    <m/>
    <s v="Rename"/>
    <x v="0"/>
    <x v="0"/>
    <s v="MGF"/>
    <s v="renamed"/>
    <m/>
    <s v="Jojeff Tagnong"/>
  </r>
  <r>
    <n v="743"/>
    <s v="F3"/>
    <x v="34"/>
    <s v="IT06021400"/>
    <s v="EF-DS-TAT Automation Strategy"/>
    <m/>
    <s v="Rename"/>
    <x v="0"/>
    <x v="0"/>
    <s v="MGF"/>
    <s v="renamed"/>
    <m/>
    <s v="Jojeff Tagnong"/>
  </r>
  <r>
    <n v="744"/>
    <s v="F3"/>
    <x v="34"/>
    <s v="G000001099"/>
    <s v="EF-DS-TAZ IT-App Tech CoE"/>
    <m/>
    <s v="Rename"/>
    <x v="0"/>
    <x v="0"/>
    <s v="MGF"/>
    <s v="renamed"/>
    <m/>
    <s v="Jojeff Tagnong"/>
  </r>
  <r>
    <n v="745"/>
    <s v="F3"/>
    <x v="34"/>
    <s v="IT06021500"/>
    <s v="EF-DS-TAZ IT-App Tech CoE"/>
    <m/>
    <s v="Rename"/>
    <x v="0"/>
    <x v="0"/>
    <s v="MGF"/>
    <s v="renamed"/>
    <m/>
    <s v="Jojeff Tagnong"/>
  </r>
  <r>
    <n v="746"/>
    <s v="F3"/>
    <x v="34"/>
    <s v="G000000272"/>
    <s v="EF-DS-TI Infrastructure Technology"/>
    <m/>
    <s v="Rename"/>
    <x v="0"/>
    <x v="0"/>
    <s v="MGF"/>
    <s v="renamed"/>
    <m/>
    <s v="Jojeff Tagnong"/>
  </r>
  <r>
    <n v="747"/>
    <s v="F3"/>
    <x v="34"/>
    <s v="G000000273"/>
    <s v="EF-DS-TI Infrastructure Technology_I"/>
    <m/>
    <s v="Rename"/>
    <x v="0"/>
    <x v="0"/>
    <s v="MGF"/>
    <s v="renamed"/>
    <m/>
    <s v="Jojeff Tagnong"/>
  </r>
  <r>
    <n v="748"/>
    <s v="F3"/>
    <x v="34"/>
    <s v="IT06040000"/>
    <s v="EF-DS-TI Infrastructure Technology"/>
    <m/>
    <s v="Rename"/>
    <x v="0"/>
    <x v="0"/>
    <s v="MGF"/>
    <s v="renamed"/>
    <m/>
    <s v="Jojeff Tagnong"/>
  </r>
  <r>
    <n v="749"/>
    <s v="F3"/>
    <x v="34"/>
    <s v="G000000275"/>
    <s v="EF-DS-TIP Portfolio &amp; Performance Mgmt"/>
    <m/>
    <s v="Rename"/>
    <x v="0"/>
    <x v="0"/>
    <s v="MGF"/>
    <s v="renamed"/>
    <m/>
    <s v="Jojeff Tagnong"/>
  </r>
  <r>
    <n v="750"/>
    <s v="F3"/>
    <x v="34"/>
    <s v="IT06040200"/>
    <s v="EF-DS-TIP Portfolio &amp; Performance Mgmt"/>
    <m/>
    <s v="Rename"/>
    <x v="0"/>
    <x v="0"/>
    <s v="MGF"/>
    <s v="renamed"/>
    <m/>
    <s v="Jojeff Tagnong"/>
  </r>
  <r>
    <n v="751"/>
    <s v="F3"/>
    <x v="34"/>
    <s v="G000000276"/>
    <s v="EF-DS-TIK Data Center &amp; Cloud Strategy"/>
    <m/>
    <s v="Rename"/>
    <x v="0"/>
    <x v="0"/>
    <s v="MGF"/>
    <s v="renamed"/>
    <m/>
    <s v="Jojeff Tagnong"/>
  </r>
  <r>
    <n v="752"/>
    <s v="F3"/>
    <x v="34"/>
    <s v="IT06040300"/>
    <s v="EF-DS-TIK Data Center &amp; Cloud Strategy"/>
    <m/>
    <s v="Rename"/>
    <x v="0"/>
    <x v="0"/>
    <s v="MGF"/>
    <s v="renamed"/>
    <m/>
    <s v="Jojeff Tagnong"/>
  </r>
  <r>
    <n v="753"/>
    <s v="F3"/>
    <x v="34"/>
    <s v="G000000277"/>
    <s v="EF-DS-TID Network Management"/>
    <m/>
    <s v="Rename"/>
    <x v="0"/>
    <x v="0"/>
    <s v="MGF"/>
    <s v="renamed"/>
    <m/>
    <s v="Jojeff Tagnong"/>
  </r>
  <r>
    <n v="754"/>
    <s v="F3"/>
    <x v="34"/>
    <s v="IT06040500"/>
    <s v="EF-DS-TID Network Management"/>
    <m/>
    <s v="Rename"/>
    <x v="0"/>
    <x v="0"/>
    <s v="MGF"/>
    <s v="renamed"/>
    <m/>
    <s v="Jojeff Tagnong"/>
  </r>
  <r>
    <n v="755"/>
    <s v="F3"/>
    <x v="34"/>
    <s v="G000000279"/>
    <s v="EF-DS-TIF Digital Plant Infrastructure"/>
    <m/>
    <s v="Rename"/>
    <x v="0"/>
    <x v="0"/>
    <s v="MGF"/>
    <s v="renamed"/>
    <m/>
    <s v="Jojeff Tagnong"/>
  </r>
  <r>
    <n v="756"/>
    <s v="F3"/>
    <x v="34"/>
    <s v="IT06041000"/>
    <s v="EF-DS-TIF Digital Plant Infrastructure"/>
    <m/>
    <s v="Rename"/>
    <x v="0"/>
    <x v="0"/>
    <s v="MGF"/>
    <s v="renamed"/>
    <m/>
    <s v="Jojeff Tagnong"/>
  </r>
  <r>
    <n v="757"/>
    <s v="F3"/>
    <x v="34"/>
    <s v="G000000282"/>
    <s v="EF-DS-TIW Digital Workplace"/>
    <m/>
    <s v="Rename"/>
    <x v="0"/>
    <x v="0"/>
    <s v="MGF"/>
    <s v="renamed"/>
    <m/>
    <s v="Jojeff Tagnong"/>
  </r>
  <r>
    <n v="758"/>
    <s v="F3"/>
    <x v="34"/>
    <s v="IT06042100"/>
    <s v="EF-DS-TIW Digital Workplace"/>
    <m/>
    <s v="Rename"/>
    <x v="0"/>
    <x v="0"/>
    <s v="MGF"/>
    <s v="renamed"/>
    <m/>
    <s v="Jojeff Tagnong"/>
  </r>
  <r>
    <n v="759"/>
    <s v="F3"/>
    <x v="34"/>
    <s v="G000000895"/>
    <s v="EF-DS-TIT Technology Office"/>
    <m/>
    <s v="Rename"/>
    <x v="0"/>
    <x v="0"/>
    <s v="MGF"/>
    <s v="renamed"/>
    <m/>
    <s v="Jojeff Tagnong"/>
  </r>
  <r>
    <n v="760"/>
    <s v="F3"/>
    <x v="34"/>
    <s v="IT06042400"/>
    <s v="EF-DS-TIT Technology Office"/>
    <m/>
    <s v="Rename"/>
    <x v="0"/>
    <x v="0"/>
    <s v="MGF"/>
    <s v="renamed"/>
    <m/>
    <s v="Jojeff Tagnong"/>
  </r>
  <r>
    <n v="761"/>
    <s v="F3"/>
    <x v="34"/>
    <s v="G000001240"/>
    <s v="EF-DS-TIO Technology Platform Operations"/>
    <m/>
    <s v="Rename"/>
    <x v="0"/>
    <x v="0"/>
    <s v="MGF"/>
    <s v="renamed"/>
    <m/>
    <s v="Jojeff Tagnong"/>
  </r>
  <r>
    <n v="762"/>
    <s v="F3"/>
    <x v="34"/>
    <s v="IT06042500"/>
    <s v="EF-DS-TIO Technology Platform Operations"/>
    <m/>
    <s v="Rename"/>
    <x v="0"/>
    <x v="0"/>
    <s v="MGF"/>
    <s v="renamed"/>
    <m/>
    <s v="Jojeff Tagnong"/>
  </r>
  <r>
    <n v="763"/>
    <s v="F3"/>
    <x v="34"/>
    <s v="G000000317"/>
    <s v="EF-DS-TE DDIT - EF"/>
    <m/>
    <s v="Rename"/>
    <x v="0"/>
    <x v="0"/>
    <s v="MGF"/>
    <s v="renamed"/>
    <m/>
    <s v="Jojeff Tagnong"/>
  </r>
  <r>
    <n v="764"/>
    <s v="F3"/>
    <x v="34"/>
    <s v="G000000318"/>
    <s v="EF-DS-TE DDIT - EF"/>
    <m/>
    <s v="Rename"/>
    <x v="0"/>
    <x v="0"/>
    <s v="MGF"/>
    <s v="renamed"/>
    <m/>
    <s v="Jojeff Tagnong"/>
  </r>
  <r>
    <n v="765"/>
    <s v="F3"/>
    <x v="34"/>
    <s v="IT06070000"/>
    <s v="EF-DS-TE DDIT - EF"/>
    <m/>
    <s v="Rename"/>
    <x v="0"/>
    <x v="0"/>
    <s v="MGF"/>
    <s v="renamed"/>
    <m/>
    <s v="Jojeff Tagnong"/>
  </r>
  <r>
    <n v="766"/>
    <s v="F3"/>
    <x v="34"/>
    <s v="G000000324"/>
    <s v="EF-DS-TET Portfolio, Tranf. &amp; Performanc"/>
    <m/>
    <s v="Rename"/>
    <x v="0"/>
    <x v="0"/>
    <s v="MGF"/>
    <s v="renamed"/>
    <m/>
    <s v="Jojeff Tagnong"/>
  </r>
  <r>
    <n v="767"/>
    <s v="F3"/>
    <x v="34"/>
    <s v="IT06070600"/>
    <s v="EF-DS-TET Portfolio, Tranf. &amp; Performanc"/>
    <m/>
    <s v="Rename"/>
    <x v="0"/>
    <x v="0"/>
    <s v="MGF"/>
    <s v="renamed"/>
    <m/>
    <s v="Jojeff Tagnong"/>
  </r>
  <r>
    <n v="768"/>
    <s v="F3"/>
    <x v="34"/>
    <s v="G000000325"/>
    <s v="EF-DS-TEH DDIT - HR &amp; Other EF"/>
    <m/>
    <s v="Rename"/>
    <x v="0"/>
    <x v="0"/>
    <s v="MGF"/>
    <s v="renamed"/>
    <m/>
    <s v="Jojeff Tagnong"/>
  </r>
  <r>
    <n v="769"/>
    <s v="F3"/>
    <x v="34"/>
    <s v="IT06070700"/>
    <s v="EF-DS-TEH DDIT - HR &amp; Other EF"/>
    <m/>
    <s v="Rename"/>
    <x v="0"/>
    <x v="0"/>
    <s v="MGF"/>
    <s v="renamed"/>
    <m/>
    <s v="Jojeff Tagnong"/>
  </r>
  <r>
    <n v="770"/>
    <s v="F3"/>
    <x v="34"/>
    <s v="G000000786"/>
    <s v="EF-DS-TEF DDIT - Finance"/>
    <m/>
    <s v="Rename"/>
    <x v="0"/>
    <x v="0"/>
    <s v="MGF"/>
    <s v="renamed"/>
    <m/>
    <s v="Jojeff Tagnong"/>
  </r>
  <r>
    <n v="771"/>
    <s v="F3"/>
    <x v="34"/>
    <s v="IT06071100"/>
    <s v="EF-DS-TEF DDIT - Finance"/>
    <m/>
    <s v="Rename"/>
    <x v="0"/>
    <x v="0"/>
    <s v="MGF"/>
    <s v="renamed"/>
    <m/>
    <s v="Jojeff Tagnong"/>
  </r>
  <r>
    <n v="772"/>
    <s v="F3"/>
    <x v="34"/>
    <s v="G000001123"/>
    <s v="EF-DS-TED Data Office Enabling Functions"/>
    <m/>
    <s v="Rename"/>
    <x v="0"/>
    <x v="0"/>
    <s v="MGF"/>
    <s v="renamed"/>
    <m/>
    <s v="Jojeff Tagnong"/>
  </r>
  <r>
    <n v="773"/>
    <s v="F3"/>
    <x v="34"/>
    <s v="IT06071400"/>
    <s v="EF-DS-TED Data Office Enabling Functions"/>
    <m/>
    <s v="Rename"/>
    <x v="0"/>
    <x v="0"/>
    <s v="MGF"/>
    <s v="renamed"/>
    <m/>
    <s v="Jojeff Tagnong"/>
  </r>
  <r>
    <n v="774"/>
    <s v="F3"/>
    <x v="34"/>
    <s v="G000001233"/>
    <s v="EF-DS-TEA EF Group Applications"/>
    <m/>
    <s v="Rename"/>
    <x v="0"/>
    <x v="0"/>
    <s v="MGF"/>
    <s v="renamed"/>
    <m/>
    <s v="Jojeff Tagnong"/>
  </r>
  <r>
    <n v="775"/>
    <s v="F3"/>
    <x v="34"/>
    <s v="IT06071800"/>
    <s v="EF-DS-TEA EF Group Applications"/>
    <m/>
    <s v="Rename"/>
    <x v="0"/>
    <x v="0"/>
    <s v="MGF"/>
    <s v="renamed"/>
    <m/>
    <s v="Jojeff Tagnong"/>
  </r>
  <r>
    <n v="776"/>
    <s v="F3"/>
    <x v="34"/>
    <s v="G000001234"/>
    <s v="EF-DS-TEI MITC Management"/>
    <m/>
    <s v="Rename"/>
    <x v="0"/>
    <x v="0"/>
    <s v="MGF"/>
    <s v="renamed"/>
    <m/>
    <s v="Jojeff Tagnong"/>
  </r>
  <r>
    <n v="777"/>
    <s v="F3"/>
    <x v="34"/>
    <s v="IT06071900"/>
    <s v="EF-DS-TEI MITC Management"/>
    <m/>
    <s v="Rename"/>
    <x v="0"/>
    <x v="0"/>
    <s v="MGF"/>
    <s v="renamed"/>
    <m/>
    <s v="Jojeff Tagnong"/>
  </r>
  <r>
    <n v="778"/>
    <s v="F3"/>
    <x v="34"/>
    <s v="G000001276"/>
    <s v="EF-DS-TEG MBS &amp; Procurement"/>
    <m/>
    <s v="Rename"/>
    <x v="0"/>
    <x v="0"/>
    <s v="MGF"/>
    <s v="renamed"/>
    <m/>
    <s v="Jojeff Tagnong"/>
  </r>
  <r>
    <n v="779"/>
    <s v="F3"/>
    <x v="34"/>
    <s v="IT06072000"/>
    <s v="EF-DS-TEG MBS &amp; Procurement"/>
    <m/>
    <s v="Rename"/>
    <x v="0"/>
    <x v="0"/>
    <s v="MGF"/>
    <s v="renamed"/>
    <m/>
    <s v="Jojeff Tagnong"/>
  </r>
  <r>
    <n v="780"/>
    <s v="F3"/>
    <x v="34"/>
    <s v="G000001277"/>
    <s v="EF-DS-TEO Strategy &amp; Transformation"/>
    <m/>
    <s v="Rename"/>
    <x v="0"/>
    <x v="0"/>
    <s v="MGF"/>
    <s v="renamed"/>
    <m/>
    <s v="Jojeff Tagnong"/>
  </r>
  <r>
    <n v="781"/>
    <s v="F3"/>
    <x v="34"/>
    <s v="IT06072100"/>
    <s v="EF-DS-TEO Strategy &amp; Transformation"/>
    <m/>
    <s v="Rename"/>
    <x v="0"/>
    <x v="0"/>
    <s v="MGF"/>
    <s v="renamed"/>
    <m/>
    <s v="Jojeff Tagnong"/>
  </r>
  <r>
    <n v="782"/>
    <s v="F3"/>
    <x v="34"/>
    <s v="G000001278"/>
    <s v="EF-DS-TEX Architechture &amp; Security"/>
    <m/>
    <s v="Rename"/>
    <x v="0"/>
    <x v="0"/>
    <s v="MGF"/>
    <s v="renamed"/>
    <m/>
    <s v="Jojeff Tagnong"/>
  </r>
  <r>
    <n v="783"/>
    <s v="F3"/>
    <x v="34"/>
    <s v="IT06072200"/>
    <s v="EF-DS-TEX Architechture &amp; Security"/>
    <m/>
    <s v="Rename"/>
    <x v="0"/>
    <x v="0"/>
    <s v="MGF"/>
    <s v="renamed"/>
    <m/>
    <s v="Jojeff Tagnong"/>
  </r>
  <r>
    <n v="784"/>
    <s v="F3"/>
    <x v="34"/>
    <s v="G000000336"/>
    <s v="EF-DS-TX IT Special Topics"/>
    <m/>
    <s v="Rename"/>
    <x v="0"/>
    <x v="0"/>
    <s v="MGF"/>
    <s v="renamed"/>
    <m/>
    <s v="Jojeff Tagnong"/>
  </r>
  <r>
    <n v="785"/>
    <s v="F3"/>
    <x v="34"/>
    <s v="G000000337"/>
    <s v="EF-DS-TXE Elevate IT"/>
    <m/>
    <s v="Rename"/>
    <x v="0"/>
    <x v="0"/>
    <s v="MGF"/>
    <s v="renamed"/>
    <m/>
    <s v="Jojeff Tagnong"/>
  </r>
  <r>
    <n v="786"/>
    <s v="F3"/>
    <x v="34"/>
    <s v="IT06090100"/>
    <s v="EF-DS-TXE Elevate IT"/>
    <m/>
    <s v="Rename"/>
    <x v="0"/>
    <x v="0"/>
    <s v="MGF"/>
    <s v="renamed"/>
    <m/>
    <s v="Jojeff Tagnong"/>
  </r>
  <r>
    <n v="787"/>
    <s v="F3"/>
    <x v="34"/>
    <s v="G000000338"/>
    <s v="EF-DS-TXS Integration"/>
    <m/>
    <s v="Rename"/>
    <x v="0"/>
    <x v="0"/>
    <s v="MGF"/>
    <s v="renamed"/>
    <m/>
    <s v="Jojeff Tagnong"/>
  </r>
  <r>
    <n v="788"/>
    <s v="F3"/>
    <x v="34"/>
    <s v="IT06090200"/>
    <s v="EF-DS-TXS Integration"/>
    <m/>
    <s v="Rename"/>
    <x v="0"/>
    <x v="0"/>
    <s v="MGF"/>
    <s v="renamed"/>
    <m/>
    <s v="Jojeff Tagnong"/>
  </r>
  <r>
    <n v="789"/>
    <s v="F3"/>
    <x v="34"/>
    <s v="G000000339"/>
    <s v="EF-DS-TXV Various"/>
    <m/>
    <s v="Rename"/>
    <x v="0"/>
    <x v="0"/>
    <s v="MGF"/>
    <s v="renamed"/>
    <m/>
    <s v="Jojeff Tagnong"/>
  </r>
  <r>
    <n v="790"/>
    <s v="F3"/>
    <x v="34"/>
    <s v="IT06090300"/>
    <s v="EF-DS-TXV Various"/>
    <m/>
    <s v="Rename"/>
    <x v="0"/>
    <x v="0"/>
    <s v="MGF"/>
    <s v="renamed"/>
    <m/>
    <s v="Jojeff Tagnong"/>
  </r>
  <r>
    <n v="791"/>
    <s v="F3"/>
    <x v="34"/>
    <s v="G000000744"/>
    <s v="EF-DS-TX IT Special Topics_I"/>
    <m/>
    <s v="Rename"/>
    <x v="0"/>
    <x v="0"/>
    <s v="MGF"/>
    <s v="renamed"/>
    <m/>
    <s v="Jojeff Tagnong"/>
  </r>
  <r>
    <n v="792"/>
    <s v="F3"/>
    <x v="34"/>
    <s v="IT06090000"/>
    <s v="EF-DS-TX IT Special Topics"/>
    <m/>
    <s v="Rename"/>
    <x v="0"/>
    <x v="0"/>
    <s v="MGF"/>
    <s v="renamed"/>
    <m/>
    <s v="Jojeff Tagnong"/>
  </r>
  <r>
    <n v="793"/>
    <s v="F3"/>
    <x v="34"/>
    <s v="G000000340"/>
    <s v="EF-DS-TP Global ERP"/>
    <m/>
    <s v="Rename"/>
    <x v="0"/>
    <x v="0"/>
    <s v="MGF"/>
    <s v="renamed"/>
    <m/>
    <s v="Jojeff Tagnong"/>
  </r>
  <r>
    <n v="794"/>
    <s v="F3"/>
    <x v="34"/>
    <s v="G000000341"/>
    <s v="EF-DS-TP Global ERP_I"/>
    <m/>
    <s v="Rename"/>
    <x v="0"/>
    <x v="0"/>
    <s v="MGF"/>
    <s v="renamed"/>
    <m/>
    <s v="Jojeff Tagnong"/>
  </r>
  <r>
    <n v="795"/>
    <s v="F3"/>
    <x v="34"/>
    <s v="IT06100000"/>
    <s v="EF-DS-TP Global ERP"/>
    <m/>
    <s v="Rename"/>
    <x v="0"/>
    <x v="0"/>
    <s v="MGF"/>
    <s v="renamed"/>
    <m/>
    <s v="Jojeff Tagnong"/>
  </r>
  <r>
    <n v="796"/>
    <s v="F3"/>
    <x v="34"/>
    <s v="G000000342"/>
    <s v="EF-DS-TPC SAP Center of Competence"/>
    <m/>
    <s v="Rename"/>
    <x v="0"/>
    <x v="0"/>
    <s v="MGF"/>
    <s v="renamed"/>
    <m/>
    <s v="Jojeff Tagnong"/>
  </r>
  <r>
    <n v="797"/>
    <s v="F3"/>
    <x v="34"/>
    <s v="IT06100100"/>
    <s v="EF-DS-TPC SAP Center of Competence"/>
    <m/>
    <s v="Rename"/>
    <x v="0"/>
    <x v="0"/>
    <s v="MGF"/>
    <s v="renamed"/>
    <m/>
    <s v="Jojeff Tagnong"/>
  </r>
  <r>
    <n v="798"/>
    <s v="F3"/>
    <x v="34"/>
    <s v="G000001235"/>
    <s v="EF-DS-TPA Corporate ERP Apps"/>
    <m/>
    <s v="Rename"/>
    <x v="0"/>
    <x v="0"/>
    <s v="MGF"/>
    <s v="renamed"/>
    <m/>
    <s v="Jojeff Tagnong"/>
  </r>
  <r>
    <n v="799"/>
    <s v="F3"/>
    <x v="34"/>
    <s v="IT06100600"/>
    <s v="EF-DS-TPA Corporate ERP Apps"/>
    <m/>
    <s v="Rename"/>
    <x v="0"/>
    <x v="0"/>
    <s v="MGF"/>
    <s v="renamed"/>
    <m/>
    <s v="Jojeff Tagnong"/>
  </r>
  <r>
    <n v="800"/>
    <s v="F3"/>
    <x v="34"/>
    <s v="G000001238"/>
    <s v="EF-DS-TPB Strategy Realisation &amp; BTP"/>
    <m/>
    <s v="Rename"/>
    <x v="0"/>
    <x v="0"/>
    <s v="MGF"/>
    <s v="renamed"/>
    <m/>
    <s v="Jojeff Tagnong"/>
  </r>
  <r>
    <n v="801"/>
    <s v="F3"/>
    <x v="34"/>
    <s v="IT06100700"/>
    <s v="EF-DS-TPB Strategy Realisation &amp; BTP"/>
    <m/>
    <s v="Rename"/>
    <x v="0"/>
    <x v="0"/>
    <s v="MGF"/>
    <s v="renamed"/>
    <m/>
    <s v="Jojeff Tagnong"/>
  </r>
  <r>
    <n v="802"/>
    <s v="F3"/>
    <x v="34"/>
    <s v="G000001239"/>
    <s v="EF-DS-TPD Data Migration &amp; Integration"/>
    <m/>
    <s v="Rename"/>
    <x v="0"/>
    <x v="0"/>
    <s v="MGF"/>
    <s v="renamed"/>
    <m/>
    <s v="Jojeff Tagnong"/>
  </r>
  <r>
    <n v="803"/>
    <s v="F3"/>
    <x v="34"/>
    <s v="IT06100800"/>
    <s v="EF-DS-TPD Data Migration &amp; Integration"/>
    <m/>
    <s v="Rename"/>
    <x v="0"/>
    <x v="0"/>
    <s v="MGF"/>
    <s v="renamed"/>
    <m/>
    <s v="Jojeff Tagnong"/>
  </r>
  <r>
    <n v="804"/>
    <s v="F3"/>
    <x v="34"/>
    <s v="G000001356"/>
    <s v="EF-DS-TPX ERP Architecture &amp; X-Services"/>
    <m/>
    <s v="Rename"/>
    <x v="0"/>
    <x v="0"/>
    <s v="MGF"/>
    <s v="renamed"/>
    <m/>
    <s v="Jojeff Tagnong"/>
  </r>
  <r>
    <n v="805"/>
    <s v="F3"/>
    <x v="34"/>
    <s v="IT06100900"/>
    <s v="EF-DS-TPX ERP Architecture &amp; X-Services"/>
    <m/>
    <s v="Rename"/>
    <x v="0"/>
    <x v="0"/>
    <s v="MGF"/>
    <s v="renamed"/>
    <m/>
    <s v="Jojeff Tagnong"/>
  </r>
  <r>
    <n v="806"/>
    <s v="F3"/>
    <x v="34"/>
    <s v="G000000346"/>
    <s v="EF-DS-TY IT-Decentral"/>
    <m/>
    <s v="Rename"/>
    <x v="0"/>
    <x v="0"/>
    <s v="MGF"/>
    <s v="renamed"/>
    <m/>
    <s v="Jojeff Tagnong"/>
  </r>
  <r>
    <n v="807"/>
    <s v="F3"/>
    <x v="34"/>
    <s v="G000000347"/>
    <s v="EF-DS-TYL Decentral LS"/>
    <m/>
    <s v="Rename"/>
    <x v="0"/>
    <x v="0"/>
    <s v="MGF"/>
    <s v="renamed"/>
    <m/>
    <s v="Jojeff Tagnong"/>
  </r>
  <r>
    <n v="808"/>
    <s v="F3"/>
    <x v="34"/>
    <s v="G000000751"/>
    <s v="EF-DS-TYL Decentral LS_I"/>
    <m/>
    <s v="Rename"/>
    <x v="0"/>
    <x v="0"/>
    <s v="MGF"/>
    <s v="renamed"/>
    <m/>
    <s v="Jojeff Tagnong"/>
  </r>
  <r>
    <n v="809"/>
    <s v="F3"/>
    <x v="34"/>
    <s v="IT06900100"/>
    <s v="EF-DS-TYL Decentral LS"/>
    <m/>
    <s v="Rename"/>
    <x v="0"/>
    <x v="0"/>
    <s v="MGF"/>
    <s v="renamed"/>
    <m/>
    <s v="Jojeff Tagnong"/>
  </r>
  <r>
    <n v="810"/>
    <s v="F3"/>
    <x v="34"/>
    <s v="G000000750"/>
    <s v="EF-DS-TY IT-Decentral_I"/>
    <m/>
    <s v="Rename"/>
    <x v="0"/>
    <x v="0"/>
    <s v="MGF"/>
    <s v="renamed"/>
    <m/>
    <s v="Jojeff Tagnong"/>
  </r>
  <r>
    <n v="811"/>
    <s v="F3"/>
    <x v="34"/>
    <s v="IT06900000"/>
    <s v="EF-DS-TY IT-Decentral"/>
    <m/>
    <s v="Rename"/>
    <x v="0"/>
    <x v="0"/>
    <s v="MGF"/>
    <s v="renamed"/>
    <m/>
    <s v="Jojeff Tagnong"/>
  </r>
  <r>
    <n v="812"/>
    <s v="F3"/>
    <x v="34"/>
    <s v="IT07000000"/>
    <s v="EF-DS-D Merck Data &amp; AI Organization"/>
    <m/>
    <s v="Rename"/>
    <x v="0"/>
    <x v="0"/>
    <s v="MGF"/>
    <s v="renamed"/>
    <m/>
    <s v="Jojeff Tagnong"/>
  </r>
  <r>
    <n v="813"/>
    <s v="F3"/>
    <x v="34"/>
    <s v="L000013388"/>
    <s v="LS-DI Life Science Data, Digital &amp; IT"/>
    <m/>
    <s v="Rename"/>
    <x v="0"/>
    <x v="0"/>
    <s v="MGF"/>
    <s v="renamed"/>
    <m/>
    <s v="Jojeff Tagnong"/>
  </r>
  <r>
    <n v="814"/>
    <s v="F3"/>
    <x v="34"/>
    <s v="L000013775"/>
    <s v="LS-DI Life Science Data, Digital &amp; IT"/>
    <m/>
    <s v="Rename"/>
    <x v="0"/>
    <x v="0"/>
    <s v="MGF"/>
    <s v="renamed"/>
    <m/>
    <s v="Jojeff Tagnong"/>
  </r>
  <r>
    <n v="815"/>
    <s v="F3"/>
    <x v="34"/>
    <s v="L000013389"/>
    <s v="LS-DI Life Science Data, Digital &amp; IT_I"/>
    <m/>
    <s v="Rename"/>
    <x v="0"/>
    <x v="0"/>
    <s v="MGF"/>
    <s v="renamed"/>
    <m/>
    <s v="Jojeff Tagnong"/>
  </r>
  <r>
    <n v="816"/>
    <s v="F3"/>
    <x v="34"/>
    <s v="IT06050000"/>
    <s v="LS-DI Life Science Data, Digital &amp; IT"/>
    <m/>
    <s v="Rename"/>
    <x v="0"/>
    <x v="0"/>
    <s v="MGF"/>
    <s v="renamed"/>
    <m/>
    <s v="Jojeff Tagnong"/>
  </r>
  <r>
    <n v="817"/>
    <s v="F3"/>
    <x v="34"/>
    <s v="L000013390"/>
    <s v="LS-DI-I Manufacturing &amp; QC Lab Operation"/>
    <m/>
    <s v="Rename"/>
    <x v="0"/>
    <x v="0"/>
    <s v="MGF"/>
    <s v="renamed"/>
    <m/>
    <s v="Jojeff Tagnong"/>
  </r>
  <r>
    <n v="818"/>
    <s v="F3"/>
    <x v="34"/>
    <s v="IT06050300"/>
    <s v="LS-DI-I Manufacturing &amp; QC Lab Operation"/>
    <m/>
    <s v="Rename"/>
    <x v="0"/>
    <x v="0"/>
    <s v="MGF"/>
    <s v="renamed"/>
    <m/>
    <s v="Jojeff Tagnong"/>
  </r>
  <r>
    <n v="819"/>
    <s v="F3"/>
    <x v="34"/>
    <s v="L000013391"/>
    <s v="LS-DI-N Life Science ERP"/>
    <m/>
    <s v="Rename"/>
    <x v="0"/>
    <x v="0"/>
    <s v="MGF"/>
    <s v="renamed"/>
    <m/>
    <s v="Jojeff Tagnong"/>
  </r>
  <r>
    <n v="820"/>
    <s v="F3"/>
    <x v="34"/>
    <s v="IT06050400"/>
    <s v="LS-DI-N Life Science ERP"/>
    <m/>
    <s v="Rename"/>
    <x v="0"/>
    <x v="0"/>
    <s v="MGF"/>
    <s v="renamed"/>
    <m/>
    <s v="Jojeff Tagnong"/>
  </r>
  <r>
    <n v="821"/>
    <s v="F3"/>
    <x v="34"/>
    <s v="L000013392"/>
    <s v="LS-DI-S S&amp;T, Performance &amp; Porfolio Mgmt"/>
    <m/>
    <s v="Rename"/>
    <x v="0"/>
    <x v="0"/>
    <s v="MGF"/>
    <s v="renamed"/>
    <m/>
    <s v="Jojeff Tagnong"/>
  </r>
  <r>
    <n v="822"/>
    <s v="F3"/>
    <x v="34"/>
    <s v="IT06050500"/>
    <s v="LS-DI-S S&amp;T, Performance &amp; Porfolio Mgmt"/>
    <m/>
    <s v="Rename"/>
    <x v="0"/>
    <x v="0"/>
    <s v="MGF"/>
    <s v="renamed"/>
    <m/>
    <s v="Jojeff Tagnong"/>
  </r>
  <r>
    <n v="823"/>
    <s v="F3"/>
    <x v="34"/>
    <s v="L000013393"/>
    <s v="LS-DI-T Marketing &amp; Commercial"/>
    <m/>
    <s v="Rename"/>
    <x v="0"/>
    <x v="0"/>
    <s v="MGF"/>
    <s v="renamed"/>
    <m/>
    <s v="Jojeff Tagnong"/>
  </r>
  <r>
    <n v="824"/>
    <s v="F3"/>
    <x v="34"/>
    <s v="IT06050700"/>
    <s v="LS-DI-T Marketing &amp; Commercial"/>
    <m/>
    <s v="Rename"/>
    <x v="0"/>
    <x v="0"/>
    <s v="MGF"/>
    <s v="renamed"/>
    <m/>
    <s v="Jojeff Tagnong"/>
  </r>
  <r>
    <n v="825"/>
    <s v="F3"/>
    <x v="34"/>
    <s v="L000013395"/>
    <s v="LS-DI-C LS Arch, CyberSec, BMA, IT Compl"/>
    <m/>
    <s v="Rename"/>
    <x v="0"/>
    <x v="0"/>
    <s v="MGF"/>
    <s v="renamed"/>
    <m/>
    <s v="Jojeff Tagnong"/>
  </r>
  <r>
    <n v="826"/>
    <s v="F3"/>
    <x v="34"/>
    <s v="IT06050200"/>
    <s v="LS-DI-C LS Arch, CyberSec, BMA, IT Compl"/>
    <m/>
    <s v="Rename"/>
    <x v="0"/>
    <x v="0"/>
    <s v="MGF"/>
    <s v="renamed"/>
    <m/>
    <s v="Jojeff Tagnong"/>
  </r>
  <r>
    <n v="827"/>
    <s v="F3"/>
    <x v="34"/>
    <s v="L000013397"/>
    <s v="LS-DI-M Supply Chain Planning Reg &amp; Dist"/>
    <m/>
    <s v="Rename"/>
    <x v="0"/>
    <x v="0"/>
    <s v="MGF"/>
    <s v="renamed"/>
    <m/>
    <s v="Jojeff Tagnong"/>
  </r>
  <r>
    <n v="828"/>
    <s v="F3"/>
    <x v="34"/>
    <s v="IT06050600"/>
    <s v="LS-DI-M Supply Chain Planning Reg &amp; Dist"/>
    <m/>
    <s v="Rename"/>
    <x v="0"/>
    <x v="0"/>
    <s v="MGF"/>
    <s v="renamed"/>
    <m/>
    <s v="Jojeff Tagnong"/>
  </r>
  <r>
    <n v="829"/>
    <s v="F3"/>
    <x v="34"/>
    <s v="L000013599"/>
    <s v="LS-DI-B Business IT"/>
    <m/>
    <s v="Rename"/>
    <x v="0"/>
    <x v="0"/>
    <s v="MGF"/>
    <s v="renamed"/>
    <m/>
    <s v="Jojeff Tagnong"/>
  </r>
  <r>
    <n v="830"/>
    <s v="F3"/>
    <x v="34"/>
    <s v="IT06051000"/>
    <s v="LS-DI-B Business IT"/>
    <m/>
    <s v="Rename"/>
    <x v="0"/>
    <x v="0"/>
    <s v="MGF"/>
    <s v="renamed"/>
    <m/>
    <s v="Jojeff Tagnong"/>
  </r>
  <r>
    <n v="831"/>
    <s v="F3"/>
    <x v="34"/>
    <s v="L000013808"/>
    <s v="LS-DI-O ONE ERP"/>
    <m/>
    <s v="Rename"/>
    <x v="0"/>
    <x v="0"/>
    <s v="MGF"/>
    <s v="renamed"/>
    <m/>
    <s v="Jojeff Tagnong"/>
  </r>
  <r>
    <n v="832"/>
    <s v="F3"/>
    <x v="34"/>
    <s v="G000000727"/>
    <s v="EF-DS-SG Govern., Compliance &amp; Quality_I"/>
    <m/>
    <s v="Rename"/>
    <x v="0"/>
    <x v="0"/>
    <s v="MGF"/>
    <s v="renamed"/>
    <m/>
    <s v="Jojeff Tagnong"/>
  </r>
  <r>
    <n v="833"/>
    <s v="F3"/>
    <x v="34"/>
    <s v="G000000730"/>
    <s v="EF-DS-SGT IT Service Cont &amp; IT Risk Mmgt"/>
    <m/>
    <s v="Rename"/>
    <x v="0"/>
    <x v="0"/>
    <s v="MGF"/>
    <s v="renamed"/>
    <m/>
    <s v="Jojeff Tagnong"/>
  </r>
  <r>
    <n v="834"/>
    <s v="F3"/>
    <x v="34"/>
    <s v="G000000785"/>
    <s v="EF-DS-SGA IT Audit &amp; Compliance"/>
    <m/>
    <s v="Rename"/>
    <x v="0"/>
    <x v="0"/>
    <s v="MGF"/>
    <s v="renamed"/>
    <m/>
    <s v="Jojeff Tagnong"/>
  </r>
  <r>
    <n v="835"/>
    <s v="F3"/>
    <x v="34"/>
    <s v="G000000894"/>
    <s v="EF-DS-SGS IT Service Management"/>
    <m/>
    <s v="Rename"/>
    <x v="0"/>
    <x v="0"/>
    <s v="MGF"/>
    <s v="renamed"/>
    <m/>
    <s v="Jojeff Tagnong"/>
  </r>
  <r>
    <n v="836"/>
    <s v="F3"/>
    <x v="34"/>
    <s v="G000000838"/>
    <s v="EF-DS-SOD DDIT Portfolio Mgmt &amp; Projects"/>
    <m/>
    <s v="Rename"/>
    <x v="0"/>
    <x v="0"/>
    <s v="MGF"/>
    <s v="renamed"/>
    <m/>
    <s v="Jojeff Tagnong"/>
  </r>
  <r>
    <n v="837"/>
    <s v="F3"/>
    <x v="34"/>
    <s v="G000000839"/>
    <s v="EF-DS-SOS Change Management"/>
    <m/>
    <s v="Rename"/>
    <x v="0"/>
    <x v="0"/>
    <s v="MGF"/>
    <s v="renamed"/>
    <m/>
    <s v="Jojeff Tagnong"/>
  </r>
  <r>
    <n v="838"/>
    <s v="F3"/>
    <x v="34"/>
    <s v="G000001375"/>
    <s v="FIT DS - Digital Enterprise Solutions"/>
    <m/>
    <s v="Rename"/>
    <x v="0"/>
    <x v="0"/>
    <s v="MGF"/>
    <s v="renamed"/>
    <m/>
    <s v="Jojeff Tagnong"/>
  </r>
  <r>
    <n v="839"/>
    <s v="F3"/>
    <x v="34"/>
    <s v="G000000789"/>
    <s v="EF-DS-SO SGT Office, Comm &amp; Portf Mgmt"/>
    <s v="G000001381"/>
    <s v="Rename/Move"/>
    <x v="0"/>
    <x v="0"/>
    <s v="MGF"/>
    <s v="renamed/moved"/>
    <m/>
    <s v="Jojeff Tagnong"/>
  </r>
  <r>
    <n v="840"/>
    <s v="F3"/>
    <x v="34"/>
    <s v="G000000726"/>
    <s v="EF-DS-SG Govern., Compliance &amp; Quality"/>
    <s v="G000001381"/>
    <s v="Rename/Move"/>
    <x v="0"/>
    <x v="0"/>
    <s v="MGF"/>
    <s v="renamed/moved"/>
    <m/>
    <s v="Jojeff Tagnong"/>
  </r>
  <r>
    <n v="841"/>
    <s v="F3"/>
    <x v="34"/>
    <s v="G000001118"/>
    <s v="EF-DS-D Merck Data &amp; AI Organization"/>
    <s v="G000001375"/>
    <s v="Rename/Move"/>
    <x v="0"/>
    <x v="0"/>
    <s v="MGF"/>
    <s v="renamed/moved"/>
    <m/>
    <s v="Jojeff Tagnong"/>
  </r>
  <r>
    <n v="842"/>
    <s v="F3"/>
    <x v="34"/>
    <s v="G000000243"/>
    <s v="EF-DS-T Group IT"/>
    <s v="G000001375"/>
    <s v="Rename/Move"/>
    <x v="0"/>
    <x v="0"/>
    <s v="MGF"/>
    <s v="renamed/moved"/>
    <m/>
    <s v="Jojeff Tagnong"/>
  </r>
  <r>
    <n v="843"/>
    <s v="F3"/>
    <x v="34"/>
    <s v="G000001381"/>
    <s v="EF-DS-S DES Strategy, Govern. &amp; Transf."/>
    <s v="G000001375"/>
    <s v="Rename/Move"/>
    <x v="0"/>
    <x v="0"/>
    <s v="MGF"/>
    <s v="renamed/moved"/>
    <m/>
    <s v="Jojeff Tagnong"/>
  </r>
  <r>
    <n v="844"/>
    <s v="F3"/>
    <x v="34"/>
    <s v="G000001378"/>
    <s v="EF-DS- DES E2E Automation"/>
    <s v="G000001375"/>
    <s v="Rename/Move"/>
    <x v="0"/>
    <x v="0"/>
    <s v="MGF"/>
    <s v="renamed/moved"/>
    <m/>
    <s v="Jojeff Tagnong"/>
  </r>
  <r>
    <n v="845"/>
    <s v="F3"/>
    <x v="34"/>
    <s v="G000000184"/>
    <m/>
    <s v="G000001375"/>
    <s v="Move"/>
    <x v="0"/>
    <x v="0"/>
    <s v="MGF"/>
    <s v="renamed/moved"/>
    <m/>
    <s v="Jojeff Tagnong"/>
  </r>
  <r>
    <n v="846"/>
    <s v="F3"/>
    <x v="34"/>
    <s v="G000001376"/>
    <m/>
    <s v="O000000009"/>
    <s v="Delete"/>
    <x v="0"/>
    <x v="0"/>
    <s v="MGF"/>
    <s v="renamed/moved"/>
    <m/>
    <s v="Jojeff Tagnong"/>
  </r>
  <r>
    <n v="847"/>
    <s v="F3"/>
    <x v="34"/>
    <s v="G000001377"/>
    <m/>
    <s v="O000000009"/>
    <s v="Delete"/>
    <x v="0"/>
    <x v="0"/>
    <s v="MGF"/>
    <s v="renamed/moved"/>
    <m/>
    <s v="Jojeff Tagnong"/>
  </r>
  <r>
    <n v="848"/>
    <s v="F3"/>
    <x v="35"/>
    <s v="IT06051100"/>
    <s v="LS-DI-O ONE ERP"/>
    <s v="L000013808"/>
    <s v="New"/>
    <x v="0"/>
    <x v="0"/>
    <s v="LS"/>
    <s v="named and assigned"/>
    <m/>
    <s v="Jay-R Lizardo"/>
  </r>
  <r>
    <n v="849"/>
    <s v="F3"/>
    <x v="36"/>
    <s v="G000001423"/>
    <s v="EF-DS-TXT FIC ERP Compliance"/>
    <s v="G000000336"/>
    <s v="New"/>
    <x v="0"/>
    <x v="0"/>
    <s v="MGF"/>
    <s v="named and assigned"/>
    <m/>
    <s v="Jojeff Tagnong"/>
  </r>
  <r>
    <n v="850"/>
    <s v="F3"/>
    <x v="36"/>
    <s v="IT06090400"/>
    <s v="EF-DS-TXT FIC ERP Compliance"/>
    <s v="G000001423"/>
    <s v="New"/>
    <x v="0"/>
    <x v="0"/>
    <s v="MGF"/>
    <s v="named and assigned"/>
    <m/>
    <s v="Jojeff Tagnong"/>
  </r>
  <r>
    <n v="851"/>
    <s v="F3"/>
    <x v="36"/>
    <s v="G000001424"/>
    <s v="GO2 HR - HR MZS"/>
    <s v="G000000588"/>
    <s v="New"/>
    <x v="0"/>
    <x v="0"/>
    <s v="MGF"/>
    <s v="named and assigned"/>
    <m/>
    <s v="Jojeff Tagnong"/>
  </r>
  <r>
    <n v="852"/>
    <s v="F3"/>
    <x v="36"/>
    <s v="G000001425"/>
    <s v="FAY IX - Individual Tax Office"/>
    <s v="G000000001"/>
    <s v="New"/>
    <x v="0"/>
    <x v="0"/>
    <s v="MGF"/>
    <s v="named and assigned"/>
    <m/>
    <s v="Jojeff Tagnong"/>
  </r>
  <r>
    <n v="853"/>
    <s v="F3"/>
    <x v="36"/>
    <s v="G000001426"/>
    <s v="IX - MGF Reporting"/>
    <s v="G000001425"/>
    <s v="New"/>
    <x v="0"/>
    <x v="0"/>
    <s v="MGF"/>
    <s v="named and assigned"/>
    <m/>
    <s v="Jojeff Tagnong"/>
  </r>
  <r>
    <n v="854"/>
    <s v="F3"/>
    <x v="36"/>
    <s v="G000001427"/>
    <s v="IX - non-MGF Reporting"/>
    <s v="G000001425"/>
    <s v="New"/>
    <x v="0"/>
    <x v="0"/>
    <s v="MGF"/>
    <s v="named and assigned"/>
    <m/>
    <s v="Jojeff Tagnong"/>
  </r>
  <r>
    <n v="855"/>
    <s v="F3"/>
    <x v="36"/>
    <s v="G000001428"/>
    <s v="GO1 IX - Individual Tax Office (L2)"/>
    <s v="G000001426"/>
    <s v="New"/>
    <x v="0"/>
    <x v="0"/>
    <s v="MGF"/>
    <s v="named and assigned"/>
    <m/>
    <s v="Jojeff Tagnong"/>
  </r>
  <r>
    <n v="856"/>
    <s v="F3"/>
    <x v="36"/>
    <s v="G000001429"/>
    <s v="FAY IX - Intercompany Charges"/>
    <s v="G000001427"/>
    <s v="New"/>
    <x v="0"/>
    <x v="0"/>
    <s v="MGF"/>
    <s v="named and assigned"/>
    <m/>
    <s v="Jojeff Tagnong"/>
  </r>
  <r>
    <n v="857"/>
    <s v="F3"/>
    <x v="36"/>
    <s v="G000001430"/>
    <s v="FAY IX - Exceptionals"/>
    <s v="G000001427"/>
    <s v="New"/>
    <x v="0"/>
    <x v="0"/>
    <s v="MGF"/>
    <s v="named and assigned"/>
    <m/>
    <s v="Jojeff Tagnong"/>
  </r>
  <r>
    <n v="858"/>
    <s v="F3"/>
    <x v="36"/>
    <s v="G000001360"/>
    <s v="G7J DX - Lumina FTO &amp; FTOM"/>
    <m/>
    <s v="Rename"/>
    <x v="0"/>
    <x v="0"/>
    <s v="MGF"/>
    <s v="named and assigned"/>
    <m/>
    <s v="Jojeff Tagnong"/>
  </r>
  <r>
    <n v="859"/>
    <s v="F3"/>
    <x v="36"/>
    <s v="G000001361"/>
    <s v="G7K DX - Lumina Planning &amp; Reporting"/>
    <m/>
    <s v="Rename"/>
    <x v="0"/>
    <x v="0"/>
    <s v="MGF"/>
    <s v="named and assigned"/>
    <m/>
    <s v="Jojeff Tagnong"/>
  </r>
  <r>
    <n v="860"/>
    <s v="F3"/>
    <x v="36"/>
    <s v="G000001362"/>
    <s v="G7L DX - Lumina Reporting &amp; GP Processes"/>
    <m/>
    <s v="Rename"/>
    <x v="0"/>
    <x v="0"/>
    <s v="MGF"/>
    <s v="named and assigned"/>
    <m/>
    <s v="Jojeff Tagnong"/>
  </r>
  <r>
    <n v="861"/>
    <s v="F3"/>
    <x v="36"/>
    <s v="G000001363"/>
    <s v="G7M DX - Lumina Rep Del Fact &amp; Tech&amp;Data"/>
    <m/>
    <s v="Rename"/>
    <x v="0"/>
    <x v="0"/>
    <s v="MGF"/>
    <s v="named and assigned"/>
    <m/>
    <s v="Jojeff Tagnong"/>
  </r>
  <r>
    <n v="862"/>
    <s v="F3"/>
    <x v="36"/>
    <s v="G000001364"/>
    <s v="G7N DX - Lumina Regulatory Requirements"/>
    <m/>
    <s v="Rename"/>
    <x v="0"/>
    <x v="0"/>
    <s v="MGF"/>
    <s v="named and assigned"/>
    <m/>
    <s v="Jojeff Tagnong"/>
  </r>
  <r>
    <n v="863"/>
    <s v="F3"/>
    <x v="36"/>
    <s v="G000001365"/>
    <s v="G7O DX - Process Excellence"/>
    <m/>
    <s v="Rename"/>
    <x v="0"/>
    <x v="0"/>
    <s v="MGF"/>
    <s v="named and assigned"/>
    <m/>
    <s v="Jojeff Tagnong"/>
  </r>
  <r>
    <n v="864"/>
    <s v="F3"/>
    <x v="36"/>
    <s v="G000001366"/>
    <s v="G7P DX - LEAP"/>
    <m/>
    <s v="Rename"/>
    <x v="0"/>
    <x v="0"/>
    <s v="MGF"/>
    <s v="named and assigned"/>
    <m/>
    <s v="Jojeff Tagnong"/>
  </r>
  <r>
    <n v="865"/>
    <s v="F3"/>
    <x v="36"/>
    <s v="G000000477"/>
    <m/>
    <s v="G000001424"/>
    <s v="Move"/>
    <x v="0"/>
    <x v="0"/>
    <s v="MGF"/>
    <s v="renamed/moved"/>
    <m/>
    <s v="Jojeff Tagnong"/>
  </r>
  <r>
    <n v="866"/>
    <s v="F3"/>
    <x v="36"/>
    <s v="G000000465"/>
    <m/>
    <s v="G000001424"/>
    <s v="Move"/>
    <x v="0"/>
    <x v="0"/>
    <s v="MGF"/>
    <s v="renamed/moved"/>
    <m/>
    <s v="Jojeff Tagnong"/>
  </r>
  <r>
    <n v="867"/>
    <s v="F3"/>
    <x v="37"/>
    <s v="P000001325"/>
    <s v="DSS Global Head of Innovation"/>
    <s v="P000001274"/>
    <s v="New"/>
    <x v="0"/>
    <x v="0"/>
    <s v="EL"/>
    <s v="named and assigned"/>
    <m/>
    <s v="Roselle Delos Angeles"/>
  </r>
  <r>
    <n v="868"/>
    <s v="F3"/>
    <x v="37"/>
    <s v="P000001326"/>
    <s v="DSS Head of Innovation - NA/EUR"/>
    <s v="P000001325"/>
    <s v="New"/>
    <x v="0"/>
    <x v="0"/>
    <s v="EL"/>
    <s v="named and assigned"/>
    <m/>
    <s v="Roselle Delos Angeles"/>
  </r>
  <r>
    <n v="869"/>
    <s v="F3"/>
    <x v="37"/>
    <s v="P000001327"/>
    <s v="DSS Head of Innovation - KR"/>
    <s v="P000001325"/>
    <s v="New"/>
    <x v="0"/>
    <x v="0"/>
    <s v="EL"/>
    <s v="named and assigned"/>
    <m/>
    <s v="Roselle Delos Angeles"/>
  </r>
  <r>
    <n v="870"/>
    <s v="F3"/>
    <x v="37"/>
    <s v="P000001328"/>
    <s v="DSS Head of Innovation - Asia exKR"/>
    <s v="P000001325"/>
    <s v="New"/>
    <x v="0"/>
    <x v="0"/>
    <s v="EL"/>
    <s v="named and assigned"/>
    <m/>
    <s v="Roselle Delos Angeles"/>
  </r>
  <r>
    <n v="871"/>
    <s v="F3"/>
    <x v="37"/>
    <s v="P000001329"/>
    <s v="CF EU Freight"/>
    <s v="P000000472"/>
    <s v="New"/>
    <x v="0"/>
    <x v="0"/>
    <s v="EL"/>
    <s v="named and assigned"/>
    <m/>
    <s v="Roselle Delos Angeles"/>
  </r>
  <r>
    <n v="872"/>
    <s v="F3"/>
    <x v="37"/>
    <s v="P000001330"/>
    <s v="CF EU Warehouse/Distribution"/>
    <s v="P000000472"/>
    <s v="New"/>
    <x v="0"/>
    <x v="0"/>
    <s v="EL"/>
    <s v="named and assigned"/>
    <m/>
    <s v="Roselle Delos Angeles"/>
  </r>
  <r>
    <n v="873"/>
    <s v="F3"/>
    <x v="37"/>
    <s v="P000001331"/>
    <s v="CF EU Customs/Duties"/>
    <s v="P000000472"/>
    <s v="New"/>
    <x v="0"/>
    <x v="0"/>
    <s v="EL"/>
    <s v="named and assigned"/>
    <m/>
    <s v="Roselle Delos Angeles"/>
  </r>
  <r>
    <n v="874"/>
    <s v="F3"/>
    <x v="37"/>
    <s v="P000001332"/>
    <s v="CF EU Global Demand Planning/Cust Svc"/>
    <s v="P000000472"/>
    <s v="New"/>
    <x v="0"/>
    <x v="0"/>
    <s v="EL"/>
    <s v="named and assigned"/>
    <m/>
    <s v="Roselle Delos Angeles"/>
  </r>
  <r>
    <n v="875"/>
    <s v="F3"/>
    <x v="37"/>
    <s v="P000001333"/>
    <s v="CF EU Warehouse"/>
    <s v="P000001330"/>
    <s v="New"/>
    <x v="0"/>
    <x v="0"/>
    <s v="EL"/>
    <s v="named and assigned"/>
    <m/>
    <s v="Roselle Delos Angeles"/>
  </r>
  <r>
    <n v="876"/>
    <s v="F3"/>
    <x v="37"/>
    <s v="P000001334"/>
    <s v="CF EU Admin/Overhead"/>
    <s v="P000001330"/>
    <s v="New"/>
    <x v="0"/>
    <x v="0"/>
    <s v="EL"/>
    <s v="named and assigned"/>
    <m/>
    <s v="Roselle Delos Angeles"/>
  </r>
  <r>
    <n v="877"/>
    <s v="F3"/>
    <x v="37"/>
    <s v="P000000535"/>
    <s v="EL-FO Planarization Commercial"/>
    <m/>
    <s v="Rename"/>
    <x v="0"/>
    <x v="0"/>
    <s v="EL"/>
    <s v="done"/>
    <m/>
    <s v="Roselle Delos Angeles"/>
  </r>
  <r>
    <n v="878"/>
    <s v="F3"/>
    <x v="37"/>
    <s v="P000000522"/>
    <s v="EL-FO Planarization ISC &amp; Quality"/>
    <m/>
    <s v="Rename"/>
    <x v="0"/>
    <x v="0"/>
    <s v="EL"/>
    <s v="done"/>
    <m/>
    <s v="Roselle Delos Angeles"/>
  </r>
  <r>
    <n v="879"/>
    <s v="F3"/>
    <x v="37"/>
    <s v="P000001195"/>
    <s v="EL-SC-ET Engineering Centre of Excellenc"/>
    <m/>
    <s v="Rename"/>
    <x v="0"/>
    <x v="0"/>
    <s v="EL"/>
    <s v="done"/>
    <m/>
    <s v="Roselle Delos Angeles"/>
  </r>
  <r>
    <n v="880"/>
    <s v="F3"/>
    <x v="37"/>
    <s v="P000001191"/>
    <s v="EL-SC-EE Global Project Development &amp; Ca"/>
    <m/>
    <s v="Rename"/>
    <x v="0"/>
    <x v="0"/>
    <s v="EL"/>
    <s v="done"/>
    <m/>
    <s v="Roselle Delos Angeles"/>
  </r>
  <r>
    <n v="881"/>
    <s v="F3"/>
    <x v="37"/>
    <s v="P000000547"/>
    <s v="EL-SG Specialty Gases R&amp;D"/>
    <m/>
    <s v="Rename"/>
    <x v="0"/>
    <x v="0"/>
    <s v="EL"/>
    <s v="done"/>
    <m/>
    <s v="Roselle Delos Angeles"/>
  </r>
  <r>
    <n v="882"/>
    <s v="F3"/>
    <x v="37"/>
    <s v="P000000536"/>
    <s v="EL-SG Specialty Gases Commercial"/>
    <m/>
    <s v="Rename"/>
    <x v="0"/>
    <x v="0"/>
    <s v="EL"/>
    <s v="done"/>
    <m/>
    <s v="Roselle Delos Angeles"/>
  </r>
  <r>
    <n v="883"/>
    <s v="F3"/>
    <x v="37"/>
    <s v="P000000513"/>
    <s v="EL-SG Specialty Gases ISC &amp; Quality"/>
    <m/>
    <s v="Rename"/>
    <x v="0"/>
    <x v="0"/>
    <s v="EL"/>
    <s v="done"/>
    <m/>
    <s v="Roselle Delos Angeles"/>
  </r>
  <r>
    <n v="884"/>
    <s v="F3"/>
    <x v="37"/>
    <s v="P000001310"/>
    <s v="Prj. Ex. &amp; Port. Mgmt Asia ex KR"/>
    <m/>
    <s v="Rename"/>
    <x v="0"/>
    <x v="0"/>
    <s v="EL"/>
    <s v="done"/>
    <m/>
    <s v="Roselle Delos Angeles"/>
  </r>
  <r>
    <n v="885"/>
    <s v="F3"/>
    <x v="37"/>
    <s v="P000001309"/>
    <s v="Prj. Ex. &amp; Port. Mgmt NA/EUR"/>
    <m/>
    <s v="Rename"/>
    <x v="0"/>
    <x v="0"/>
    <s v="EL"/>
    <s v="done"/>
    <m/>
    <s v="Roselle Delos Angeles"/>
  </r>
  <r>
    <n v="886"/>
    <s v="F3"/>
    <x v="38"/>
    <s v="G000001423"/>
    <s v="EF-DS-TXT FIC ERP Compliance"/>
    <m/>
    <s v="Rename"/>
    <x v="0"/>
    <x v="0"/>
    <s v="MGF"/>
    <s v="renamed"/>
    <m/>
    <s v="Jojeff Tagnong"/>
  </r>
  <r>
    <n v="887"/>
    <s v="F3"/>
    <x v="38"/>
    <s v="IT06090400"/>
    <s v="EF-DS-TXT FIC ERP Compliance"/>
    <m/>
    <s v="Rename"/>
    <x v="0"/>
    <x v="0"/>
    <s v="MGF"/>
    <s v="renamed"/>
    <m/>
    <s v="Jojeff Tagnong"/>
  </r>
  <r>
    <n v="888"/>
    <s v="F3"/>
    <x v="39"/>
    <s v="L000013875"/>
    <s v="Urbana Operations - G"/>
    <s v="L000013447"/>
    <s v="New"/>
    <x v="0"/>
    <x v="0"/>
    <s v="LS"/>
    <s v="named and assigned"/>
    <m/>
    <s v="Ruby Grace Garcia"/>
  </r>
  <r>
    <n v="889"/>
    <s v="F3"/>
    <x v="39"/>
    <s v="L000013876"/>
    <s v="IVDR Cell Marque - G"/>
    <s v="L000013447"/>
    <s v="New"/>
    <x v="0"/>
    <x v="0"/>
    <s v="LS"/>
    <s v="named and assigned"/>
    <m/>
    <s v="Ruby Grace Garcia"/>
  </r>
  <r>
    <n v="890"/>
    <s v="F3"/>
    <x v="39"/>
    <s v="L000013877"/>
    <s v="Sheboygan P&amp;T - G"/>
    <s v="L000013445"/>
    <s v="New"/>
    <x v="0"/>
    <x v="0"/>
    <s v="LS"/>
    <s v="named and assigned"/>
    <m/>
    <s v="Ruby Grace Garcia"/>
  </r>
  <r>
    <n v="891"/>
    <s v="F3"/>
    <x v="39"/>
    <s v="L000013878"/>
    <s v="Natrix Operations - G"/>
    <s v="L000013445"/>
    <s v="New"/>
    <x v="0"/>
    <x v="0"/>
    <s v="LS"/>
    <s v="named and assigned"/>
    <m/>
    <s v="Ruby Grace Garcia"/>
  </r>
  <r>
    <n v="892"/>
    <s v="F3"/>
    <x v="39"/>
    <s v="L000013879"/>
    <s v="Regional management_US West"/>
    <s v="L000013448"/>
    <s v="New"/>
    <x v="0"/>
    <x v="0"/>
    <s v="LS"/>
    <s v="named and assigned"/>
    <m/>
    <s v="Ruby Grace Garcia"/>
  </r>
  <r>
    <n v="893"/>
    <s v="F3"/>
    <x v="39"/>
    <s v="L000013880"/>
    <s v="PS Commercial China"/>
    <s v="L000006294"/>
    <s v="New"/>
    <x v="0"/>
    <x v="0"/>
    <s v="LS"/>
    <s v="named and assigned"/>
    <m/>
    <s v="Ruby Grace Garcia"/>
  </r>
  <r>
    <n v="894"/>
    <s v="F3"/>
    <x v="39"/>
    <s v="L000013881"/>
    <s v="Marketing Strategy &amp; Planning"/>
    <s v="L000013854"/>
    <s v="New"/>
    <x v="0"/>
    <x v="0"/>
    <s v="LS"/>
    <s v="named and assigned"/>
    <m/>
    <s v="Ruby Grace Garcia"/>
  </r>
  <r>
    <n v="895"/>
    <s v="F3"/>
    <x v="39"/>
    <s v="L000013882"/>
    <s v="Digital Marketing &amp; Operations"/>
    <s v="L000013854"/>
    <s v="New"/>
    <x v="0"/>
    <x v="0"/>
    <s v="LS"/>
    <s v="named and assigned"/>
    <m/>
    <s v="Ruby Grace Garcia"/>
  </r>
  <r>
    <n v="896"/>
    <s v="F3"/>
    <x v="39"/>
    <s v="L000013883"/>
    <s v="Marketing Technology"/>
    <s v="L000013882"/>
    <s v="New"/>
    <x v="0"/>
    <x v="0"/>
    <s v="LS"/>
    <s v="named and assigned"/>
    <m/>
    <s v="Ruby Grace Garcia"/>
  </r>
  <r>
    <n v="897"/>
    <s v="F3"/>
    <x v="39"/>
    <s v="L000013884"/>
    <s v="Technology Fund Projects WAU"/>
    <s v="L000013326"/>
    <s v="New"/>
    <x v="0"/>
    <x v="0"/>
    <s v="LS"/>
    <s v="named and assigned"/>
    <m/>
    <s v="Ruby Grace Garcia"/>
  </r>
  <r>
    <n v="898"/>
    <s v="F3"/>
    <x v="39"/>
    <s v="L000013885"/>
    <s v="R&amp;D and Portfolio Strategy"/>
    <s v="L000013275"/>
    <s v="New"/>
    <x v="0"/>
    <x v="0"/>
    <s v="LS"/>
    <s v="named and assigned"/>
    <m/>
    <s v="Ruby Grace Garcia"/>
  </r>
  <r>
    <n v="899"/>
    <s v="F3"/>
    <x v="39"/>
    <s v="L000013886"/>
    <s v="Technology Strategy"/>
    <s v="L000013275"/>
    <s v="New"/>
    <x v="0"/>
    <x v="0"/>
    <s v="LS"/>
    <s v="named and assigned"/>
    <m/>
    <s v="Ruby Grace Garcia"/>
  </r>
  <r>
    <n v="900"/>
    <s v="F3"/>
    <x v="39"/>
    <s v="L000013887"/>
    <s v="Lumina AP accrual"/>
    <s v="L000011136"/>
    <s v="New"/>
    <x v="0"/>
    <x v="0"/>
    <s v="LS"/>
    <s v="named and assigned"/>
    <m/>
    <s v="Ruby Grace Garcia"/>
  </r>
  <r>
    <n v="901"/>
    <s v="F3"/>
    <x v="39"/>
    <s v="L000013888"/>
    <s v="Placeholder 1"/>
    <s v="L000011136"/>
    <s v="New"/>
    <x v="0"/>
    <x v="0"/>
    <s v="LS"/>
    <s v="named and assigned"/>
    <m/>
    <s v="Ruby Grace Garcia"/>
  </r>
  <r>
    <n v="902"/>
    <s v="F3"/>
    <x v="39"/>
    <s v="L000013889"/>
    <s v="Placeholder 2"/>
    <s v="L000011136"/>
    <s v="New"/>
    <x v="0"/>
    <x v="0"/>
    <s v="LS"/>
    <s v="named and assigned"/>
    <m/>
    <s v="Ruby Grace Garcia"/>
  </r>
  <r>
    <n v="903"/>
    <s v="F3"/>
    <x v="39"/>
    <s v="L000013890"/>
    <s v="Placeholder 3"/>
    <s v="L000011136"/>
    <s v="New"/>
    <x v="0"/>
    <x v="0"/>
    <s v="LS"/>
    <s v="named and assigned"/>
    <m/>
    <s v="Ruby Grace Garcia"/>
  </r>
  <r>
    <n v="904"/>
    <s v="F3"/>
    <x v="39"/>
    <s v="L000013891"/>
    <s v="LW- Product Management"/>
    <s v="L000005964"/>
    <s v="New"/>
    <x v="0"/>
    <x v="0"/>
    <s v="LS"/>
    <s v="named and assigned"/>
    <m/>
    <s v="Ruby Grace Garcia"/>
  </r>
  <r>
    <n v="905"/>
    <s v="F3"/>
    <x v="39"/>
    <s v="L000013892"/>
    <s v="LW LATAM"/>
    <s v="L000005964"/>
    <s v="New"/>
    <x v="0"/>
    <x v="0"/>
    <s v="LS"/>
    <s v="named and assigned"/>
    <m/>
    <s v="Ruby Grace Garcia"/>
  </r>
  <r>
    <n v="906"/>
    <s v="F3"/>
    <x v="39"/>
    <s v="L000013893"/>
    <s v="LW EEMEA"/>
    <s v="L000005964"/>
    <s v="New"/>
    <x v="0"/>
    <x v="0"/>
    <s v="LS"/>
    <s v="named and assigned"/>
    <m/>
    <s v="Ruby Grace Garcia"/>
  </r>
  <r>
    <n v="907"/>
    <s v="F3"/>
    <x v="39"/>
    <s v="L000013560"/>
    <s v="Pricing Strategy &amp; Operations"/>
    <m/>
    <s v="Rename"/>
    <x v="0"/>
    <x v="0"/>
    <s v="LS"/>
    <s v="renamed"/>
    <m/>
    <s v="Ruby Grace Garcia"/>
  </r>
  <r>
    <n v="908"/>
    <s v="F3"/>
    <x v="39"/>
    <s v="L000013558"/>
    <s v="Brand, Content &amp; Engagement"/>
    <m/>
    <s v="Rename"/>
    <x v="0"/>
    <x v="0"/>
    <s v="LS"/>
    <s v="renamed"/>
    <m/>
    <s v="Ruby Grace Garcia"/>
  </r>
  <r>
    <n v="909"/>
    <s v="F3"/>
    <x v="39"/>
    <s v="L000013531"/>
    <s v="Customer Digital Products"/>
    <m/>
    <s v="Rename"/>
    <x v="0"/>
    <x v="0"/>
    <s v="LS"/>
    <s v="renamed"/>
    <m/>
    <s v="Ruby Grace Garcia"/>
  </r>
  <r>
    <n v="910"/>
    <s v="F3"/>
    <x v="39"/>
    <s v="L000006558"/>
    <s v="PS Marketing Center Management"/>
    <m/>
    <s v="Rename"/>
    <x v="0"/>
    <x v="0"/>
    <s v="LS"/>
    <s v="renamed"/>
    <m/>
    <s v="Ruby Grace Garcia"/>
  </r>
  <r>
    <n v="911"/>
    <s v="F3"/>
    <x v="39"/>
    <s v="L000011734"/>
    <s v="GSA Mgt &amp; BP&amp;I"/>
    <m/>
    <s v="Rename"/>
    <x v="0"/>
    <x v="0"/>
    <s v="LS"/>
    <s v="renamed"/>
    <m/>
    <s v="Ruby Grace Garcia"/>
  </r>
  <r>
    <n v="912"/>
    <s v="F3"/>
    <x v="39"/>
    <s v="L000011664"/>
    <s v="PS Commercial APeC"/>
    <m/>
    <s v="Rename"/>
    <x v="0"/>
    <x v="0"/>
    <s v="LS"/>
    <s v="renamed"/>
    <m/>
    <s v="Ruby Grace Garcia"/>
  </r>
  <r>
    <n v="913"/>
    <s v="F3"/>
    <x v="39"/>
    <s v="L000013275"/>
    <s v="Life Science Technology Office"/>
    <m/>
    <s v="Rename"/>
    <x v="0"/>
    <x v="0"/>
    <s v="LS"/>
    <s v="renamed"/>
    <m/>
    <s v="Ruby Grace Garcia"/>
  </r>
  <r>
    <n v="914"/>
    <s v="F3"/>
    <x v="39"/>
    <s v="L000013466"/>
    <s v="DICE Digital Center of Excellence"/>
    <m/>
    <s v="Rename"/>
    <x v="0"/>
    <x v="0"/>
    <s v="LS"/>
    <s v="renamed"/>
    <m/>
    <s v="Ruby Grace Garcia"/>
  </r>
  <r>
    <n v="915"/>
    <s v="F3"/>
    <x v="39"/>
    <s v="L000013473"/>
    <s v="DICE Strategy &amp; Transformation"/>
    <m/>
    <s v="Rename"/>
    <x v="0"/>
    <x v="0"/>
    <s v="LS"/>
    <s v="renamed"/>
    <m/>
    <s v="Ruby Grace Garcia"/>
  </r>
  <r>
    <n v="916"/>
    <s v="F3"/>
    <x v="39"/>
    <s v="L000013472"/>
    <s v="DICE Digital COE"/>
    <m/>
    <s v="Rename"/>
    <x v="0"/>
    <x v="0"/>
    <s v="LS"/>
    <s v="renamed"/>
    <m/>
    <s v="Ruby Grace Garcia"/>
  </r>
  <r>
    <n v="917"/>
    <s v="F3"/>
    <x v="39"/>
    <s v="L000013469"/>
    <s v="DICE Prod Eng &amp; Computational Science"/>
    <m/>
    <s v="Rename"/>
    <x v="0"/>
    <x v="0"/>
    <s v="LS"/>
    <s v="renamed"/>
    <m/>
    <s v="Ruby Grace Garcia"/>
  </r>
  <r>
    <n v="918"/>
    <s v="F3"/>
    <x v="39"/>
    <s v="L000013628"/>
    <s v="Digital Chemistry Solutions Engineering"/>
    <m/>
    <s v="Rename"/>
    <x v="0"/>
    <x v="0"/>
    <s v="LS"/>
    <s v="renamed"/>
    <m/>
    <s v="Ruby Grace Garcia"/>
  </r>
  <r>
    <n v="919"/>
    <s v="F3"/>
    <x v="39"/>
    <s v="L000013627"/>
    <s v="DEI Instrument Connectivity Engineering"/>
    <m/>
    <s v="Rename"/>
    <x v="0"/>
    <x v="0"/>
    <s v="LS"/>
    <s v="renamed"/>
    <m/>
    <s v="Ruby Grace Garcia"/>
  </r>
  <r>
    <n v="920"/>
    <s v="F3"/>
    <x v="39"/>
    <s v="L000013626"/>
    <s v="Computational Science"/>
    <m/>
    <s v="Rename"/>
    <x v="0"/>
    <x v="0"/>
    <s v="LS"/>
    <s v="renamed"/>
    <m/>
    <s v="Ruby Grace Garcia"/>
  </r>
  <r>
    <n v="921"/>
    <s v="F3"/>
    <x v="39"/>
    <s v="L000013470"/>
    <s v="Scientific Systems Engineering"/>
    <m/>
    <s v="Rename"/>
    <x v="0"/>
    <x v="0"/>
    <s v="LS"/>
    <s v="renamed"/>
    <m/>
    <s v="Ruby Grace Garcia"/>
  </r>
  <r>
    <n v="922"/>
    <s v="F3"/>
    <x v="39"/>
    <s v="L000013468"/>
    <s v="DICE Bus Process Capabilities &amp; Stds"/>
    <m/>
    <s v="Rename"/>
    <x v="0"/>
    <x v="0"/>
    <s v="LS"/>
    <s v="renamed"/>
    <m/>
    <s v="Ruby Grace Garcia"/>
  </r>
  <r>
    <n v="923"/>
    <s v="F3"/>
    <x v="39"/>
    <s v="L000013467"/>
    <s v="DICE Platform &amp; Engineering  Enablement"/>
    <m/>
    <s v="Rename"/>
    <x v="0"/>
    <x v="0"/>
    <s v="LS"/>
    <s v="renamed"/>
    <m/>
    <s v="Ruby Grace Garcia"/>
  </r>
  <r>
    <n v="924"/>
    <s v="F3"/>
    <x v="39"/>
    <s v="L000013277"/>
    <s v="Strategic Projects"/>
    <m/>
    <s v="Rename"/>
    <x v="0"/>
    <x v="0"/>
    <s v="LS"/>
    <s v="renamed"/>
    <m/>
    <s v="Ruby Grace Garcia"/>
  </r>
  <r>
    <n v="925"/>
    <s v="F3"/>
    <x v="39"/>
    <s v="L000011336"/>
    <s v="Technology Pioneering Group"/>
    <m/>
    <s v="Rename"/>
    <x v="0"/>
    <x v="0"/>
    <s v="LS"/>
    <s v="renamed"/>
    <m/>
    <s v="Ruby Grace Garcia"/>
  </r>
  <r>
    <n v="926"/>
    <s v="F3"/>
    <x v="39"/>
    <s v="L000013622"/>
    <s v="ERP Business Program"/>
    <m/>
    <s v="Rename"/>
    <x v="0"/>
    <x v="0"/>
    <s v="LS"/>
    <s v="renamed"/>
    <m/>
    <s v="Ruby Grace Garcia"/>
  </r>
  <r>
    <n v="927"/>
    <s v="F3"/>
    <x v="39"/>
    <s v="L000010079"/>
    <s v="Darmstadt Site"/>
    <m/>
    <s v="Rename"/>
    <x v="0"/>
    <x v="0"/>
    <s v="LS"/>
    <s v="renamed"/>
    <m/>
    <s v="Ruby Grace Garcia"/>
  </r>
  <r>
    <n v="928"/>
    <s v="F3"/>
    <x v="39"/>
    <s v="L000013247"/>
    <s v="LS Production Darmstadt"/>
    <m/>
    <s v="Rename"/>
    <x v="0"/>
    <x v="0"/>
    <s v="LS"/>
    <s v="renamed"/>
    <m/>
    <s v="Ruby Grace Garcia"/>
  </r>
  <r>
    <n v="929"/>
    <s v="F3"/>
    <x v="39"/>
    <s v="L000011750"/>
    <s v="Dealer-Marketing"/>
    <m/>
    <s v="Rename"/>
    <x v="0"/>
    <x v="0"/>
    <s v="LS"/>
    <s v="renamed"/>
    <m/>
    <s v="Ruby Grace Garcia"/>
  </r>
  <r>
    <n v="930"/>
    <s v="F3"/>
    <x v="39"/>
    <s v="L000008992"/>
    <s v="SFDC-DE"/>
    <m/>
    <s v="Rename"/>
    <x v="0"/>
    <x v="0"/>
    <s v="LS"/>
    <s v="renamed"/>
    <m/>
    <s v="Ruby Grace Garcia"/>
  </r>
  <r>
    <n v="931"/>
    <s v="F3"/>
    <x v="39"/>
    <s v="L000008614"/>
    <s v="Techn. Mgmt"/>
    <m/>
    <s v="Rename"/>
    <x v="0"/>
    <x v="0"/>
    <s v="LS"/>
    <s v="renamed"/>
    <m/>
    <s v="Ruby Grace Garcia"/>
  </r>
  <r>
    <n v="932"/>
    <s v="F3"/>
    <x v="39"/>
    <s v="L000008568"/>
    <s v="Head of Tech Service, FM &amp; SFDC"/>
    <m/>
    <s v="Rename"/>
    <x v="0"/>
    <x v="0"/>
    <s v="LS"/>
    <s v="renamed"/>
    <m/>
    <s v="Ruby Grace Garcia"/>
  </r>
  <r>
    <n v="933"/>
    <s v="F3"/>
    <x v="39"/>
    <s v="L000013703"/>
    <s v="Marketing Ops"/>
    <m/>
    <s v="Rename"/>
    <x v="0"/>
    <x v="0"/>
    <s v="LS"/>
    <s v="renamed"/>
    <m/>
    <s v="Ruby Grace Garcia"/>
  </r>
  <r>
    <n v="934"/>
    <s v="F3"/>
    <x v="39"/>
    <s v="L000013701"/>
    <s v="LW NA"/>
    <m/>
    <s v="Rename"/>
    <x v="0"/>
    <x v="0"/>
    <s v="LS"/>
    <s v="renamed"/>
    <m/>
    <s v="Ruby Grace Garcia"/>
  </r>
  <r>
    <n v="935"/>
    <s v="F3"/>
    <x v="39"/>
    <s v="L000013694"/>
    <s v="LW WE"/>
    <m/>
    <s v="Rename"/>
    <x v="0"/>
    <x v="0"/>
    <s v="LS"/>
    <s v="renamed"/>
    <m/>
    <s v="Ruby Grace Garcia"/>
  </r>
  <r>
    <n v="936"/>
    <s v="F3"/>
    <x v="39"/>
    <s v="L000013388"/>
    <s v="LS-DDIT Life Science"/>
    <m/>
    <s v="Rename"/>
    <x v="0"/>
    <x v="0"/>
    <s v="LS"/>
    <s v="renamed"/>
    <m/>
    <s v="Ruby Grace Garcia"/>
  </r>
  <r>
    <n v="937"/>
    <s v="F3"/>
    <x v="39"/>
    <s v="L000013855"/>
    <m/>
    <s v="L000013881"/>
    <s v="Move"/>
    <x v="0"/>
    <x v="0"/>
    <s v="LS"/>
    <s v="moved"/>
    <m/>
    <s v="Ruby Grace Garcia"/>
  </r>
  <r>
    <n v="938"/>
    <s v="F3"/>
    <x v="39"/>
    <s v="L000007478"/>
    <m/>
    <s v="L000013531"/>
    <s v="Move"/>
    <x v="0"/>
    <x v="0"/>
    <s v="LS"/>
    <s v="moved"/>
    <m/>
    <s v="Ruby Grace Garcia"/>
  </r>
  <r>
    <n v="939"/>
    <s v="F3"/>
    <x v="39"/>
    <s v="L000013532"/>
    <m/>
    <s v="L000013882"/>
    <s v="Move"/>
    <x v="0"/>
    <x v="0"/>
    <s v="LS"/>
    <s v="moved"/>
    <m/>
    <s v="Ruby Grace Garcia"/>
  </r>
  <r>
    <n v="940"/>
    <s v="F3"/>
    <x v="39"/>
    <s v="L000012674"/>
    <m/>
    <s v="L000006568"/>
    <s v="Move"/>
    <x v="0"/>
    <x v="0"/>
    <s v="LS"/>
    <s v="moved"/>
    <m/>
    <s v="Ruby Grace Garcia"/>
  </r>
  <r>
    <n v="941"/>
    <s v="F3"/>
    <x v="39"/>
    <s v="L000012586"/>
    <m/>
    <s v="L000013847"/>
    <s v="Move"/>
    <x v="0"/>
    <x v="0"/>
    <s v="LS"/>
    <s v="moved"/>
    <m/>
    <s v="Ruby Grace Garcia"/>
  </r>
  <r>
    <n v="942"/>
    <s v="F3"/>
    <x v="39"/>
    <s v="L000006565"/>
    <m/>
    <s v="L000013847"/>
    <s v="Move"/>
    <x v="0"/>
    <x v="0"/>
    <s v="LS"/>
    <s v="moved"/>
    <m/>
    <s v="Ruby Grace Garcia"/>
  </r>
  <r>
    <n v="943"/>
    <s v="F3"/>
    <x v="39"/>
    <s v="L000006563"/>
    <m/>
    <s v="L000013847"/>
    <s v="Move"/>
    <x v="0"/>
    <x v="0"/>
    <s v="LS"/>
    <s v="moved"/>
    <m/>
    <s v="Ruby Grace Garcia"/>
  </r>
  <r>
    <n v="944"/>
    <s v="F3"/>
    <x v="39"/>
    <s v="L000013564"/>
    <m/>
    <s v="L000013880"/>
    <s v="Move"/>
    <x v="0"/>
    <x v="0"/>
    <s v="LS"/>
    <s v="moved"/>
    <m/>
    <s v="Ruby Grace Garcia"/>
  </r>
  <r>
    <n v="945"/>
    <s v="F3"/>
    <x v="39"/>
    <s v="L000011665"/>
    <m/>
    <s v="L000013880"/>
    <s v="Move"/>
    <x v="0"/>
    <x v="0"/>
    <s v="LS"/>
    <s v="moved"/>
    <m/>
    <s v="Ruby Grace Garcia"/>
  </r>
  <r>
    <n v="946"/>
    <s v="F3"/>
    <x v="39"/>
    <s v="L000011328"/>
    <m/>
    <s v="L000013734"/>
    <s v="Move"/>
    <x v="0"/>
    <x v="0"/>
    <s v="LS"/>
    <s v="moved"/>
    <m/>
    <s v="Ruby Grace Garcia"/>
  </r>
  <r>
    <n v="947"/>
    <s v="F3"/>
    <x v="39"/>
    <s v="L000011139"/>
    <m/>
    <s v="L000013388"/>
    <s v="Move"/>
    <x v="0"/>
    <x v="0"/>
    <s v="LS"/>
    <s v="moved"/>
    <m/>
    <s v="Ruby Grace Garcia"/>
  </r>
  <r>
    <n v="948"/>
    <s v="F3"/>
    <x v="39"/>
    <s v="L000007598"/>
    <m/>
    <s v="L000013388"/>
    <s v="Move"/>
    <x v="0"/>
    <x v="0"/>
    <s v="LS"/>
    <s v="moved"/>
    <m/>
    <s v="Ruby Grace Garcia"/>
  </r>
  <r>
    <n v="949"/>
    <s v="F3"/>
    <x v="39"/>
    <s v="L000006209"/>
    <m/>
    <s v="L000013891"/>
    <s v="Move"/>
    <x v="0"/>
    <x v="0"/>
    <s v="LS"/>
    <s v="moved"/>
    <m/>
    <s v="Ruby Grace Garcia"/>
  </r>
  <r>
    <n v="950"/>
    <s v="F3"/>
    <x v="39"/>
    <s v="L000012335"/>
    <m/>
    <s v="L000013892"/>
    <s v="Move"/>
    <x v="0"/>
    <x v="0"/>
    <s v="LS"/>
    <s v="moved"/>
    <m/>
    <s v="Ruby Grace Garcia"/>
  </r>
  <r>
    <n v="951"/>
    <s v="F3"/>
    <x v="39"/>
    <s v="L000013195"/>
    <m/>
    <s v="L000013893"/>
    <s v="Move"/>
    <x v="0"/>
    <x v="0"/>
    <s v="LS"/>
    <s v="moved"/>
    <m/>
    <s v="Ruby Grace Garcia"/>
  </r>
  <r>
    <n v="952"/>
    <s v="F3"/>
    <x v="39"/>
    <s v="L000005336"/>
    <m/>
    <s v="L000013736"/>
    <s v="Move"/>
    <x v="0"/>
    <x v="0"/>
    <s v="LS"/>
    <s v="moved"/>
    <m/>
    <s v="Ruby Grace Garcia"/>
  </r>
  <r>
    <n v="953"/>
    <s v="F3"/>
    <x v="39"/>
    <s v="L000013129"/>
    <m/>
    <s v="L000013679"/>
    <s v="Delete"/>
    <x v="0"/>
    <x v="0"/>
    <s v="LS"/>
    <s v="moved"/>
    <m/>
    <s v="Ruby Grace Garcia"/>
  </r>
  <r>
    <n v="954"/>
    <s v="F3"/>
    <x v="39"/>
    <s v="L000013145"/>
    <m/>
    <s v="L000013679"/>
    <s v="Delete"/>
    <x v="0"/>
    <x v="0"/>
    <s v="LS"/>
    <s v="moved"/>
    <m/>
    <s v="Ruby Grace Garcia"/>
  </r>
  <r>
    <n v="955"/>
    <s v="F3"/>
    <x v="39"/>
    <s v="L000011455"/>
    <m/>
    <s v="L000013679"/>
    <s v="Delete"/>
    <x v="0"/>
    <x v="0"/>
    <s v="LS"/>
    <s v="moved"/>
    <m/>
    <s v="Ruby Grace Garcia"/>
  </r>
  <r>
    <n v="956"/>
    <s v="F3"/>
    <x v="39"/>
    <s v="L000011454"/>
    <m/>
    <s v="L000013679"/>
    <s v="Delete"/>
    <x v="0"/>
    <x v="0"/>
    <s v="LS"/>
    <s v="moved"/>
    <m/>
    <s v="Ruby Grace Garcia"/>
  </r>
  <r>
    <n v="957"/>
    <s v="F3"/>
    <x v="39"/>
    <s v="L000011453"/>
    <m/>
    <s v="L000013679"/>
    <s v="Delete"/>
    <x v="0"/>
    <x v="0"/>
    <s v="LS"/>
    <s v="moved"/>
    <m/>
    <s v="Ruby Grace Garcia"/>
  </r>
  <r>
    <n v="958"/>
    <s v="F3"/>
    <x v="39"/>
    <s v="L000006463"/>
    <m/>
    <s v="L000013679"/>
    <s v="Delete"/>
    <x v="0"/>
    <x v="0"/>
    <s v="LS"/>
    <s v="moved"/>
    <m/>
    <s v="Ruby Grace Garcia"/>
  </r>
  <r>
    <n v="959"/>
    <s v="F3"/>
    <x v="39"/>
    <s v="L000006455"/>
    <m/>
    <s v="L000013679"/>
    <s v="Delete"/>
    <x v="0"/>
    <x v="0"/>
    <s v="LS"/>
    <s v="moved"/>
    <m/>
    <s v="Ruby Grace Garcia"/>
  </r>
  <r>
    <n v="960"/>
    <s v="F3"/>
    <x v="39"/>
    <s v="L000006451"/>
    <m/>
    <s v="L000013679"/>
    <s v="Delete"/>
    <x v="0"/>
    <x v="0"/>
    <s v="LS"/>
    <s v="moved"/>
    <m/>
    <s v="Ruby Grace Garcia"/>
  </r>
  <r>
    <n v="961"/>
    <s v="F3"/>
    <x v="39"/>
    <s v="L000006450"/>
    <m/>
    <s v="L000013679"/>
    <s v="Delete"/>
    <x v="0"/>
    <x v="0"/>
    <s v="LS"/>
    <s v="moved"/>
    <m/>
    <s v="Ruby Grace Garcia"/>
  </r>
  <r>
    <n v="962"/>
    <s v="F3"/>
    <x v="39"/>
    <s v="L000013740"/>
    <m/>
    <s v="L000013687"/>
    <s v="Delete"/>
    <x v="0"/>
    <x v="0"/>
    <s v="LS"/>
    <s v="moved"/>
    <m/>
    <s v="Ruby Grace Garcia"/>
  </r>
  <r>
    <n v="963"/>
    <s v="F3"/>
    <x v="39"/>
    <s v="L000013754"/>
    <m/>
    <s v="L000013687"/>
    <s v="Delete"/>
    <x v="0"/>
    <x v="0"/>
    <s v="LS"/>
    <s v="moved"/>
    <m/>
    <s v="Ruby Grace Garcia"/>
  </r>
  <r>
    <n v="964"/>
    <s v="F3"/>
    <x v="39"/>
    <s v="L000013756"/>
    <m/>
    <s v="L000013687"/>
    <s v="Delete"/>
    <x v="0"/>
    <x v="0"/>
    <s v="LS"/>
    <s v="moved"/>
    <m/>
    <s v="Ruby Grace Garcia"/>
  </r>
  <r>
    <n v="965"/>
    <s v="F3"/>
    <x v="39"/>
    <s v="L000012281"/>
    <m/>
    <s v="L000013687"/>
    <s v="Delete"/>
    <x v="0"/>
    <x v="0"/>
    <s v="LS"/>
    <s v="moved"/>
    <m/>
    <s v="Ruby Grace Garcia"/>
  </r>
  <r>
    <n v="966"/>
    <s v="F3"/>
    <x v="39"/>
    <s v="L000012968"/>
    <m/>
    <s v="L000013687"/>
    <s v="Delete"/>
    <x v="0"/>
    <x v="0"/>
    <s v="LS"/>
    <s v="moved"/>
    <m/>
    <s v="Ruby Grace Garcia"/>
  </r>
  <r>
    <n v="967"/>
    <s v="F3"/>
    <x v="39"/>
    <s v="L000012280"/>
    <m/>
    <s v="L000013687"/>
    <s v="Delete"/>
    <x v="0"/>
    <x v="0"/>
    <s v="LS"/>
    <s v="moved"/>
    <m/>
    <s v="Ruby Grace Garcia"/>
  </r>
  <r>
    <n v="968"/>
    <s v="F3"/>
    <x v="39"/>
    <s v="L000012430"/>
    <m/>
    <s v="L000013687"/>
    <s v="Delete"/>
    <x v="0"/>
    <x v="0"/>
    <s v="LS"/>
    <s v="moved"/>
    <m/>
    <s v="Ruby Grace Garcia"/>
  </r>
  <r>
    <n v="969"/>
    <s v="F3"/>
    <x v="39"/>
    <s v="L000012967"/>
    <m/>
    <s v="L000013687"/>
    <s v="Delete"/>
    <x v="0"/>
    <x v="0"/>
    <s v="LS"/>
    <s v="moved"/>
    <m/>
    <s v="Ruby Grace Garcia"/>
  </r>
  <r>
    <n v="970"/>
    <s v="F3"/>
    <x v="39"/>
    <s v="L000011337"/>
    <m/>
    <s v="L000013687"/>
    <s v="Delete"/>
    <x v="0"/>
    <x v="0"/>
    <s v="LS"/>
    <s v="moved"/>
    <m/>
    <s v="Ruby Grace Garcia"/>
  </r>
  <r>
    <n v="971"/>
    <s v="F3"/>
    <x v="39"/>
    <s v="L000013108"/>
    <m/>
    <s v="L000013687"/>
    <s v="Delete"/>
    <x v="0"/>
    <x v="0"/>
    <s v="LS"/>
    <s v="moved"/>
    <m/>
    <s v="Ruby Grace Garcia"/>
  </r>
  <r>
    <n v="972"/>
    <s v="F3"/>
    <x v="39"/>
    <s v="L000011154"/>
    <m/>
    <s v="L000013687"/>
    <s v="Delete"/>
    <x v="0"/>
    <x v="0"/>
    <s v="LS"/>
    <s v="moved"/>
    <m/>
    <s v="Ruby Grace Garcia"/>
  </r>
  <r>
    <n v="973"/>
    <s v="F3"/>
    <x v="39"/>
    <s v="L000011153"/>
    <m/>
    <s v="L000013687"/>
    <s v="Delete"/>
    <x v="0"/>
    <x v="0"/>
    <s v="LS"/>
    <s v="moved"/>
    <m/>
    <s v="Ruby Grace Garcia"/>
  </r>
  <r>
    <n v="974"/>
    <s v="F3"/>
    <x v="39"/>
    <s v="L000013620"/>
    <m/>
    <s v="L000013687"/>
    <s v="Delete"/>
    <x v="0"/>
    <x v="0"/>
    <s v="LS"/>
    <s v="moved"/>
    <m/>
    <s v="Ruby Grace Garcia"/>
  </r>
  <r>
    <n v="975"/>
    <s v="F3"/>
    <x v="39"/>
    <s v="L000013686"/>
    <m/>
    <s v="L000013687"/>
    <s v="Delete"/>
    <x v="0"/>
    <x v="0"/>
    <s v="LS"/>
    <s v="moved"/>
    <m/>
    <s v="Ruby Grace Garcia"/>
  </r>
  <r>
    <n v="976"/>
    <s v="F3"/>
    <x v="39"/>
    <s v="L000013374"/>
    <m/>
    <s v="L000013687"/>
    <s v="Delete"/>
    <x v="0"/>
    <x v="0"/>
    <s v="LS"/>
    <s v="moved"/>
    <m/>
    <s v="Ruby Grace Garcia"/>
  </r>
  <r>
    <n v="977"/>
    <s v="F3"/>
    <x v="40"/>
    <s v="G000001431"/>
    <s v="FPI SP - Spice income allocation"/>
    <s v="G000000001"/>
    <s v="New"/>
    <x v="0"/>
    <x v="0"/>
    <s v="MGF"/>
    <s v="pending approval"/>
    <m/>
    <s v="Jojeff Tagnong"/>
  </r>
  <r>
    <n v="978"/>
    <s v="F3"/>
    <x v="40"/>
    <s v="G000001432"/>
    <s v="SP - MGF Reporting"/>
    <s v="G000001431"/>
    <s v="New"/>
    <x v="0"/>
    <x v="0"/>
    <s v="MGF"/>
    <s v="pending approval"/>
    <m/>
    <s v="Jojeff Tagnong"/>
  </r>
  <r>
    <n v="979"/>
    <s v="F3"/>
    <x v="40"/>
    <s v="G000001433"/>
    <s v="SP - non-MGF Reporting"/>
    <s v="G000001431"/>
    <s v="New"/>
    <x v="0"/>
    <x v="0"/>
    <s v="MGF"/>
    <s v="pending approval"/>
    <m/>
    <s v="Jojeff Tagnong"/>
  </r>
  <r>
    <n v="980"/>
    <s v="F3"/>
    <x v="40"/>
    <s v="G000001434"/>
    <s v="GO3 SP - FPI Spice SM"/>
    <s v="G000001432"/>
    <s v="New"/>
    <x v="0"/>
    <x v="0"/>
    <s v="MGF"/>
    <s v="pending approval"/>
    <m/>
    <s v="Jojeff Tagnong"/>
  </r>
  <r>
    <n v="981"/>
    <s v="F3"/>
    <x v="40"/>
    <s v="G000001435"/>
    <s v="GO4 SP - FPI Spice IT"/>
    <s v="G000001432"/>
    <s v="New"/>
    <x v="0"/>
    <x v="0"/>
    <s v="MGF"/>
    <s v="pending approval"/>
    <m/>
    <s v="Jojeff Tagnong"/>
  </r>
  <r>
    <n v="982"/>
    <s v="F3"/>
    <x v="40"/>
    <s v="G000001436"/>
    <s v="GO5 SP - FPI Spice GES"/>
    <s v="G000001432"/>
    <s v="New"/>
    <x v="0"/>
    <x v="0"/>
    <s v="MGF"/>
    <s v="pending approval"/>
    <m/>
    <s v="Jojeff Tagnong"/>
  </r>
  <r>
    <n v="983"/>
    <s v="F3"/>
    <x v="40"/>
    <s v="G000001437"/>
    <s v="GO6 SP - FPI Spice EF"/>
    <s v="G000001432"/>
    <s v="New"/>
    <x v="0"/>
    <x v="0"/>
    <s v="MGF"/>
    <s v="pending approval"/>
    <m/>
    <s v="Jojeff Tagnong"/>
  </r>
  <r>
    <n v="984"/>
    <s v="F3"/>
    <x v="40"/>
    <s v="G000001438"/>
    <s v="GO7 SP - FPI Spice dummy"/>
    <s v="G000001432"/>
    <s v="New"/>
    <x v="0"/>
    <x v="0"/>
    <s v="MGF"/>
    <s v="pending approval"/>
    <m/>
    <s v="Jojeff Tagnong"/>
  </r>
  <r>
    <n v="985"/>
    <s v="F3"/>
    <x v="40"/>
    <s v="G000001439"/>
    <s v="FPI SP - Intercompany Charges"/>
    <s v="G000001433"/>
    <s v="New"/>
    <x v="0"/>
    <x v="0"/>
    <s v="MGF"/>
    <s v="pending approval"/>
    <m/>
    <s v="Jojeff Tagnong"/>
  </r>
  <r>
    <n v="986"/>
    <s v="F3"/>
    <x v="40"/>
    <s v="G000001440"/>
    <s v="FPI SP - Exceptionals"/>
    <s v="G000001433"/>
    <s v="New"/>
    <x v="0"/>
    <x v="0"/>
    <s v="MGF"/>
    <s v="pending approval"/>
    <m/>
    <s v="Jojeff Tagnong"/>
  </r>
  <r>
    <n v="987"/>
    <s v="F3"/>
    <x v="41"/>
    <s v="L000013894"/>
    <s v="LS-DI-R Innovation, R&amp;D, NPI &amp; Mast Data"/>
    <s v="L000013389"/>
    <s v="New"/>
    <x v="0"/>
    <x v="0"/>
    <s v="LS"/>
    <s v="pending approval"/>
    <m/>
    <s v="Jay-R Lizardo"/>
  </r>
  <r>
    <n v="988"/>
    <s v="F3"/>
    <x v="41"/>
    <s v="IT06051200"/>
    <s v="LS-DI-R Innovation, R&amp;D, NPI &amp; Mast Data"/>
    <s v="L000013894"/>
    <s v="New"/>
    <x v="0"/>
    <x v="0"/>
    <s v="LS"/>
    <s v="pending approval"/>
    <m/>
    <s v="Jay-R Lizardo"/>
  </r>
  <r>
    <n v="989"/>
    <s v="F3"/>
    <x v="41"/>
    <s v="L000013895"/>
    <s v="EF-DS-SEB Business Excellence"/>
    <s v="G000001416"/>
    <s v="New"/>
    <x v="0"/>
    <x v="0"/>
    <s v="LS"/>
    <s v="pending approval"/>
    <m/>
    <s v="Jay-R Lizardo"/>
  </r>
  <r>
    <n v="990"/>
    <s v="F3"/>
    <x v="41"/>
    <s v="IT09010100"/>
    <s v="EF-DS-SEB Business Excellence"/>
    <s v="L000013895"/>
    <s v="New"/>
    <x v="0"/>
    <x v="0"/>
    <s v="LS"/>
    <s v="pending approval"/>
    <m/>
    <s v="Jay-R Lizardo"/>
  </r>
  <r>
    <n v="991"/>
    <s v="F3"/>
    <x v="41"/>
    <s v="L000013896"/>
    <s v="EF-DS-SEM Performance Management"/>
    <s v="G000001416"/>
    <s v="New"/>
    <x v="0"/>
    <x v="0"/>
    <s v="LS"/>
    <s v="pending approval"/>
    <m/>
    <s v="Jay-R Lizardo"/>
  </r>
  <r>
    <n v="992"/>
    <s v="F3"/>
    <x v="41"/>
    <s v="IT09010200"/>
    <s v="EF-DS-SEM Performance Management"/>
    <s v="L000013896"/>
    <s v="New"/>
    <x v="0"/>
    <x v="0"/>
    <s v="LS"/>
    <s v="pending approval"/>
    <m/>
    <s v="Jay-R Lizardo"/>
  </r>
  <r>
    <n v="993"/>
    <s v="F3"/>
    <x v="41"/>
    <s v="L000013897"/>
    <s v="EF-DS-SEY Business Process Mgt. / L&amp;D"/>
    <s v="G000001416"/>
    <s v="New"/>
    <x v="0"/>
    <x v="0"/>
    <s v="LS"/>
    <s v="pending approval"/>
    <m/>
    <s v="Jay-R Lizardo"/>
  </r>
  <r>
    <n v="994"/>
    <s v="F3"/>
    <x v="41"/>
    <s v="IT09010300"/>
    <s v="EF-DS-SEY Business Process Mgt. / L&amp;D"/>
    <s v="L000013897"/>
    <s v="New"/>
    <x v="0"/>
    <x v="0"/>
    <s v="LS"/>
    <s v="pending approval"/>
    <m/>
    <s v="Jay-R Lizardo"/>
  </r>
  <r>
    <n v="995"/>
    <s v="F3"/>
    <x v="41"/>
    <s v="L000013898"/>
    <s v="EF-DS-DMS Supplier Master Data"/>
    <s v="G000001392"/>
    <s v="New"/>
    <x v="0"/>
    <x v="0"/>
    <s v="LS"/>
    <s v="pending approval"/>
    <m/>
    <s v="Jay-R Lizardo"/>
  </r>
  <r>
    <n v="996"/>
    <s v="F3"/>
    <x v="41"/>
    <s v="IT07030400"/>
    <s v="EF-DS-DMS Supplier Master Data"/>
    <s v="L000013898"/>
    <s v="New"/>
    <x v="0"/>
    <x v="0"/>
    <s v="LS"/>
    <s v="pending approval"/>
    <m/>
    <s v="Jay-R Lizardo"/>
  </r>
  <r>
    <n v="997"/>
    <s v="F3"/>
    <x v="42"/>
    <s v="L000013899"/>
    <s v="MEMPHIS 3PL WH"/>
    <s v="L000009795"/>
    <s v="New"/>
    <x v="0"/>
    <x v="0"/>
    <s v="LS"/>
    <s v="pending approval"/>
    <m/>
    <s v="Jay Schafer"/>
  </r>
  <r>
    <n v="998"/>
    <s v="F3"/>
    <x v="43"/>
    <s v="H000000616"/>
    <s v="Global CMC Development"/>
    <m/>
    <s v="Rename"/>
    <x v="0"/>
    <x v="0"/>
    <s v="HC"/>
    <s v="renamed"/>
    <m/>
    <s v="Henry Ifurung Jr."/>
  </r>
  <r>
    <n v="999"/>
    <s v="F3"/>
    <x v="43"/>
    <s v="H000000643"/>
    <s v="Global GCD"/>
    <m/>
    <s v="Rename"/>
    <x v="0"/>
    <x v="0"/>
    <s v="HC"/>
    <s v="renamed"/>
    <m/>
    <s v="Henry Ifurung Jr."/>
  </r>
  <r>
    <n v="1000"/>
    <s v="F3"/>
    <x v="43"/>
    <s v="H000000860"/>
    <s v="Darmstadt GCD"/>
    <m/>
    <s v="Rename"/>
    <x v="0"/>
    <x v="0"/>
    <s v="HC"/>
    <s v="renamed"/>
    <m/>
    <s v="Henry Ifurung Jr."/>
  </r>
  <r>
    <n v="1001"/>
    <s v="F3"/>
    <x v="43"/>
    <s v="H000000676"/>
    <s v="Local HCQ"/>
    <m/>
    <s v="Rename"/>
    <x v="0"/>
    <x v="0"/>
    <s v="HC"/>
    <s v="renamed"/>
    <m/>
    <s v="Henry Ifurung Jr."/>
  </r>
  <r>
    <n v="1002"/>
    <s v="F3"/>
    <x v="44"/>
    <s v="P000000007"/>
    <m/>
    <s v="P000000000"/>
    <s v="Move"/>
    <x v="0"/>
    <x v="0"/>
    <e v="#N/A"/>
    <s v="pending approval"/>
    <m/>
    <s v="Monika Swiatek"/>
  </r>
  <r>
    <n v="1003"/>
    <s v="F3"/>
    <x v="45"/>
    <s v="L000010198"/>
    <m/>
    <s v="L000013877"/>
    <s v="Move"/>
    <x v="0"/>
    <x v="0"/>
    <s v="LS"/>
    <s v="pending approval"/>
    <m/>
    <s v="Ruby Grace Garcia"/>
  </r>
  <r>
    <n v="1004"/>
    <s v="F3"/>
    <x v="45"/>
    <s v="L000013496"/>
    <m/>
    <s v="L000013877"/>
    <s v="Move"/>
    <x v="0"/>
    <x v="0"/>
    <s v="LS"/>
    <s v="pending approval"/>
    <m/>
    <s v="Ruby Grace Garcia"/>
  </r>
  <r>
    <n v="1005"/>
    <s v="F3"/>
    <x v="46"/>
    <s v="IT09020400"/>
    <s v="EF-DS-SGS IT Service Management"/>
    <s v="G000000730"/>
    <s v="New"/>
    <x v="0"/>
    <x v="0"/>
    <s v="MGF"/>
    <m/>
    <m/>
    <s v="Joshua Cachola"/>
  </r>
  <r>
    <n v="1006"/>
    <s v="F3"/>
    <x v="46"/>
    <s v="IT09020500"/>
    <s v="EF-DS-SGT IT Service Continuity &amp; IT Risk Management"/>
    <s v="G000000894"/>
    <s v="New"/>
    <x v="0"/>
    <x v="0"/>
    <s v="MGF"/>
    <m/>
    <m/>
    <s v="Joshua Cachola"/>
  </r>
  <r>
    <n v="1007"/>
    <s v="F3"/>
    <x v="47"/>
    <s v="IT06071200"/>
    <m/>
    <s v="G000001276"/>
    <s v="Move"/>
    <x v="0"/>
    <x v="0"/>
    <s v="LS"/>
    <m/>
    <m/>
    <s v="Jay-R Lizardo"/>
  </r>
  <r>
    <n v="1008"/>
    <s v="F3"/>
    <x v="47"/>
    <s v="IT06071300"/>
    <m/>
    <s v="G000001276"/>
    <s v="Move"/>
    <x v="0"/>
    <x v="0"/>
    <s v="LS"/>
    <m/>
    <m/>
    <s v="Jay-R Lizardo"/>
  </r>
  <r>
    <n v="1009"/>
    <s v="F3"/>
    <x v="47"/>
    <s v="IT07010200"/>
    <m/>
    <s v="G000001396"/>
    <s v="Move"/>
    <x v="0"/>
    <x v="0"/>
    <s v="LS"/>
    <m/>
    <m/>
    <s v="Jay-R Lizardo"/>
  </r>
  <r>
    <n v="1010"/>
    <s v="F3"/>
    <x v="47"/>
    <s v="IT06021100"/>
    <m/>
    <s v="G000001235"/>
    <s v="Move"/>
    <x v="0"/>
    <x v="0"/>
    <s v="LS"/>
    <m/>
    <m/>
    <s v="Jay-R Lizardo"/>
  </r>
  <r>
    <n v="1011"/>
    <s v="F3"/>
    <x v="47"/>
    <s v="IT06020300"/>
    <m/>
    <s v="G000001235"/>
    <s v="Move"/>
    <x v="0"/>
    <x v="0"/>
    <s v="LS"/>
    <m/>
    <m/>
    <s v="Jay-R Lizardo"/>
  </r>
  <r>
    <n v="1012"/>
    <s v="F3"/>
    <x v="48"/>
    <s v="H000004403"/>
    <s v="Site Operations US"/>
    <s v="H000000829"/>
    <s v="New"/>
    <x v="0"/>
    <x v="0"/>
    <s v="HC"/>
    <m/>
    <m/>
    <s v="Gay Geanuza del Mundo"/>
  </r>
  <r>
    <n v="1013"/>
    <s v="F3"/>
    <x v="49"/>
    <s v="G000001441"/>
    <s v="EF-DS-SEB Business Excellence"/>
    <s v="G000001416"/>
    <s v="New"/>
    <x v="0"/>
    <x v="0"/>
    <s v="LS"/>
    <m/>
    <m/>
    <s v="Jay-R Lizardo"/>
  </r>
  <r>
    <n v="1014"/>
    <s v="F3"/>
    <x v="49"/>
    <s v="G000001442"/>
    <s v="EF-DS-SEM Performance Management"/>
    <s v="G000001416"/>
    <s v="New"/>
    <x v="0"/>
    <x v="0"/>
    <s v="LS"/>
    <m/>
    <m/>
    <s v="Jay-R Lizardo"/>
  </r>
  <r>
    <n v="1015"/>
    <s v="F3"/>
    <x v="49"/>
    <s v="G000001443"/>
    <s v="EF-DS-SEY Business Process Mgt. / L&amp;D"/>
    <s v="G000001416"/>
    <s v="New"/>
    <x v="0"/>
    <x v="0"/>
    <s v="LS"/>
    <m/>
    <m/>
    <s v="Jay-R Lizardo"/>
  </r>
  <r>
    <n v="1016"/>
    <s v="F3"/>
    <x v="49"/>
    <s v="G000001444"/>
    <s v="EF-DS-DMS Supplier Master Data"/>
    <s v="G000001392"/>
    <s v="New"/>
    <x v="0"/>
    <x v="0"/>
    <s v="LS"/>
    <m/>
    <m/>
    <s v="Jay-R Lizardo"/>
  </r>
  <r>
    <n v="1017"/>
    <s v="F3"/>
    <x v="49"/>
    <s v="IT09010100"/>
    <m/>
    <s v="G000001441"/>
    <s v="Move"/>
    <x v="0"/>
    <x v="0"/>
    <s v="LS"/>
    <m/>
    <m/>
    <s v="Jay-R Lizardo"/>
  </r>
  <r>
    <n v="1018"/>
    <s v="F3"/>
    <x v="49"/>
    <s v="IT09010200"/>
    <m/>
    <s v="G000001442"/>
    <s v="Move"/>
    <x v="0"/>
    <x v="0"/>
    <s v="LS"/>
    <m/>
    <m/>
    <s v="Jay-R Lizardo"/>
  </r>
  <r>
    <n v="1019"/>
    <s v="F3"/>
    <x v="49"/>
    <s v="IT09010300"/>
    <m/>
    <s v="G000001443"/>
    <s v="Move"/>
    <x v="0"/>
    <x v="0"/>
    <s v="LS"/>
    <m/>
    <m/>
    <s v="Jay-R Lizardo"/>
  </r>
  <r>
    <n v="1020"/>
    <s v="F3"/>
    <x v="49"/>
    <s v="IT07030400"/>
    <m/>
    <s v="G000001444"/>
    <s v="Move"/>
    <x v="0"/>
    <x v="0"/>
    <s v="LS"/>
    <m/>
    <m/>
    <s v="Jay-R Lizardo"/>
  </r>
  <r>
    <n v="1021"/>
    <s v="F3"/>
    <x v="49"/>
    <s v="L000013895"/>
    <m/>
    <m/>
    <s v="Delete"/>
    <x v="0"/>
    <x v="0"/>
    <s v="LS"/>
    <m/>
    <m/>
    <s v="Jay-R Lizardo"/>
  </r>
  <r>
    <n v="1022"/>
    <s v="F3"/>
    <x v="49"/>
    <s v="L000013896"/>
    <m/>
    <m/>
    <s v="Delete"/>
    <x v="0"/>
    <x v="0"/>
    <s v="LS"/>
    <m/>
    <m/>
    <s v="Jay-R Lizardo"/>
  </r>
  <r>
    <n v="1023"/>
    <s v="F3"/>
    <x v="49"/>
    <s v="L000013897"/>
    <m/>
    <m/>
    <s v="Delete"/>
    <x v="0"/>
    <x v="0"/>
    <s v="LS"/>
    <m/>
    <m/>
    <s v="Jay-R Lizardo"/>
  </r>
  <r>
    <n v="1024"/>
    <s v="F3"/>
    <x v="49"/>
    <s v="L000013898"/>
    <m/>
    <m/>
    <s v="Delete"/>
    <x v="0"/>
    <x v="0"/>
    <s v="LS"/>
    <m/>
    <m/>
    <s v="Jay-R Lizardo"/>
  </r>
  <r>
    <n v="1025"/>
    <s v="F3"/>
    <x v="50"/>
    <s v="H000000676"/>
    <m/>
    <s v="H000000616"/>
    <s v="Move"/>
    <x v="0"/>
    <x v="0"/>
    <s v="HC"/>
    <m/>
    <m/>
    <s v="Henry Ifurung Jr."/>
  </r>
  <r>
    <n v="1026"/>
    <s v="F3"/>
    <x v="51"/>
    <s v="G000001445"/>
    <s v="EF-DS-HI Intelligent Automation"/>
    <s v="G000001378"/>
    <s v="New"/>
    <x v="0"/>
    <x v="0"/>
    <s v="LS"/>
    <m/>
    <m/>
    <s v="Jay-R Lizardo"/>
  </r>
  <r>
    <n v="1027"/>
    <s v="F3"/>
    <x v="51"/>
    <s v="IT01000100"/>
    <s v="EF-DS-HI Intelligent Automation"/>
    <s v="G000001445"/>
    <s v="New"/>
    <x v="0"/>
    <x v="0"/>
    <s v="LS"/>
    <m/>
    <m/>
    <s v="Jay-R Lizardo"/>
  </r>
  <r>
    <n v="1028"/>
    <s v="F3"/>
    <x v="51"/>
    <s v="G000001446"/>
    <s v="EF-DS-HT Automation Technology"/>
    <s v="G000001378"/>
    <s v="New"/>
    <x v="0"/>
    <x v="0"/>
    <s v="LS"/>
    <m/>
    <m/>
    <s v="Jay-R Lizardo"/>
  </r>
  <r>
    <n v="1029"/>
    <s v="F3"/>
    <x v="51"/>
    <s v="IT01000200"/>
    <s v="EF-DS-HT Automation Technology"/>
    <s v="G000001446"/>
    <s v="New"/>
    <x v="0"/>
    <x v="0"/>
    <s v="LS"/>
    <m/>
    <m/>
    <s v="Jay-R Lizardo"/>
  </r>
  <r>
    <n v="1030"/>
    <s v="F3"/>
    <x v="51"/>
    <s v="IT01000000"/>
    <s v="EF-DS-H Hyperautomation"/>
    <s v="G000001378"/>
    <s v="New"/>
    <x v="0"/>
    <x v="0"/>
    <s v="LS"/>
    <m/>
    <m/>
    <s v="Jay-R Lizardo"/>
  </r>
  <r>
    <n v="1031"/>
    <s v="F3"/>
    <x v="51"/>
    <s v="G000001378"/>
    <s v="EF-DS-H Hyperautomation"/>
    <m/>
    <s v="Rename"/>
    <x v="0"/>
    <x v="0"/>
    <s v="LS"/>
    <m/>
    <m/>
    <s v="Jay-R Lizardo"/>
  </r>
  <r>
    <n v="1032"/>
    <s v="F3"/>
    <x v="51"/>
    <s v="L000013894"/>
    <m/>
    <s v="L000013775"/>
    <s v="Move"/>
    <x v="0"/>
    <x v="0"/>
    <s v="LS"/>
    <m/>
    <m/>
    <s v="Jay-R Lizardo"/>
  </r>
  <r>
    <n v="1033"/>
    <s v="F3"/>
    <x v="52"/>
    <s v="G000001102"/>
    <s v="F87 ST - Bluehouse NextGen Drug Del."/>
    <m/>
    <s v="Rename"/>
    <x v="0"/>
    <x v="0"/>
    <s v="MGF"/>
    <m/>
    <m/>
    <s v="Jojeff Tagnong"/>
  </r>
  <r>
    <n v="1034"/>
    <s v="F3"/>
    <x v="53"/>
    <s v="H000004404"/>
    <s v="GPA People cost"/>
    <s v="H000000164"/>
    <s v="New"/>
    <x v="0"/>
    <x v="0"/>
    <s v="HC"/>
    <m/>
    <m/>
    <s v="Henry Ifurung Jr."/>
  </r>
  <r>
    <n v="1035"/>
    <s v="F3"/>
    <x v="53"/>
    <s v="H000004405"/>
    <s v="GPA Program spend"/>
    <s v="H000000164"/>
    <s v="New"/>
    <x v="0"/>
    <x v="0"/>
    <s v="HC"/>
    <m/>
    <m/>
    <s v="Henry Ifurung Jr."/>
  </r>
  <r>
    <n v="1036"/>
    <s v="F3"/>
    <x v="53"/>
    <s v="H000004406"/>
    <s v="GPA Other"/>
    <s v="H000000164"/>
    <s v="New"/>
    <x v="0"/>
    <x v="0"/>
    <s v="HC"/>
    <m/>
    <m/>
    <s v="Henry Ifurung Jr."/>
  </r>
  <r>
    <n v="1037"/>
    <s v="F3"/>
    <x v="54"/>
    <s v="H000004407"/>
    <s v="RT Europe COM"/>
    <s v="H000004396"/>
    <s v="New"/>
    <x v="0"/>
    <x v="0"/>
    <s v="HC"/>
    <m/>
    <m/>
    <s v="Henry Ifurung Jr."/>
  </r>
  <r>
    <n v="1038"/>
    <s v="F3"/>
    <x v="54"/>
    <s v="H000004408"/>
    <s v="RT Europe Hub COM"/>
    <s v="H000004407"/>
    <s v="New"/>
    <x v="0"/>
    <x v="0"/>
    <s v="HC"/>
    <m/>
    <m/>
    <s v="Henry Ifurung Jr."/>
  </r>
  <r>
    <n v="1039"/>
    <s v="F3"/>
    <x v="54"/>
    <s v="H000004409"/>
    <s v="RT Europe MED"/>
    <s v="H000004396"/>
    <s v="New"/>
    <x v="0"/>
    <x v="0"/>
    <s v="HC"/>
    <m/>
    <m/>
    <s v="Henry Ifurung Jr."/>
  </r>
  <r>
    <n v="1040"/>
    <s v="F3"/>
    <x v="54"/>
    <s v="H000004410"/>
    <s v="RT Europe Hub MED"/>
    <s v="H000004409"/>
    <s v="New"/>
    <x v="0"/>
    <x v="0"/>
    <s v="HC"/>
    <m/>
    <m/>
    <s v="Henry Ifurung Jr."/>
  </r>
  <r>
    <n v="1041"/>
    <s v="F3"/>
    <x v="54"/>
    <s v="H000004411"/>
    <s v="RT Germany Commercial"/>
    <s v="H000004409"/>
    <s v="New"/>
    <x v="0"/>
    <x v="0"/>
    <s v="HC"/>
    <m/>
    <m/>
    <s v="Henry Ifurung Jr."/>
  </r>
  <r>
    <n v="1042"/>
    <s v="F3"/>
    <x v="54"/>
    <s v="H000004412"/>
    <s v="RT Germany Field Force"/>
    <s v="H000004411"/>
    <s v="New"/>
    <x v="0"/>
    <x v="0"/>
    <s v="HC"/>
    <m/>
    <m/>
    <s v="Henry Ifurung Jr."/>
  </r>
  <r>
    <n v="1043"/>
    <s v="F3"/>
    <x v="54"/>
    <s v="H000004413"/>
    <s v="RT Germany Marketing"/>
    <s v="H000004411"/>
    <s v="New"/>
    <x v="0"/>
    <x v="0"/>
    <s v="HC"/>
    <m/>
    <m/>
    <s v="Henry Ifurung Jr."/>
  </r>
  <r>
    <n v="1044"/>
    <s v="F3"/>
    <x v="54"/>
    <s v="H000004414"/>
    <s v="RT Germany  Sales Promotion"/>
    <s v="H000004411"/>
    <s v="New"/>
    <x v="0"/>
    <x v="0"/>
    <s v="HC"/>
    <m/>
    <m/>
    <s v="Henry Ifurung Jr."/>
  </r>
  <r>
    <n v="1045"/>
    <s v="F3"/>
    <x v="54"/>
    <s v="H000004415"/>
    <s v="RT Ogsiveo Sales Promotion - Activities"/>
    <s v="H000004414"/>
    <s v="New"/>
    <x v="0"/>
    <x v="0"/>
    <s v="HC"/>
    <m/>
    <m/>
    <s v="Henry Ifurung Jr."/>
  </r>
  <r>
    <n v="1046"/>
    <s v="F3"/>
    <x v="54"/>
    <s v="H000004416"/>
    <s v="RT Ezmekly Sales Promotion - Activities"/>
    <s v="H000004414"/>
    <s v="New"/>
    <x v="0"/>
    <x v="0"/>
    <s v="HC"/>
    <m/>
    <m/>
    <s v="Henry Ifurung Jr."/>
  </r>
  <r>
    <n v="1047"/>
    <s v="F3"/>
    <x v="54"/>
    <s v="H000004417"/>
    <s v="RT Germany - General"/>
    <s v="H000004411"/>
    <s v="New"/>
    <x v="0"/>
    <x v="0"/>
    <s v="HC"/>
    <m/>
    <m/>
    <s v="Henry Ifurung Jr."/>
  </r>
  <r>
    <n v="1048"/>
    <s v="F3"/>
    <x v="54"/>
    <s v="H000004418"/>
    <s v="RT - General Management"/>
    <s v="H000004417"/>
    <s v="New"/>
    <x v="0"/>
    <x v="0"/>
    <s v="HC"/>
    <m/>
    <m/>
    <s v="Henry Ifurung Jr."/>
  </r>
  <r>
    <n v="1049"/>
    <s v="F3"/>
    <x v="54"/>
    <s v="H000004419"/>
    <s v="RT Germany - MAP"/>
    <s v="H000004417"/>
    <s v="New"/>
    <x v="0"/>
    <x v="0"/>
    <s v="HC"/>
    <m/>
    <m/>
    <s v="Henry Ifurung Jr."/>
  </r>
  <r>
    <n v="1050"/>
    <s v="F3"/>
    <x v="54"/>
    <s v="H000004420"/>
    <s v="RT Germany  - GAP"/>
    <s v="H000004417"/>
    <s v="New"/>
    <x v="0"/>
    <x v="0"/>
    <s v="HC"/>
    <m/>
    <m/>
    <s v="Henry Ifurung Jr."/>
  </r>
  <r>
    <n v="1051"/>
    <s v="F3"/>
    <x v="54"/>
    <s v="H000004421"/>
    <s v="RT Germany  - Business Ops"/>
    <s v="H000004417"/>
    <s v="New"/>
    <x v="0"/>
    <x v="0"/>
    <s v="HC"/>
    <m/>
    <m/>
    <s v="Henry Ifurung Jr."/>
  </r>
  <r>
    <n v="1052"/>
    <s v="F3"/>
    <x v="54"/>
    <s v="H000004422"/>
    <s v="RT Germany - Other Operating Expense"/>
    <s v="H000004417"/>
    <s v="New"/>
    <x v="0"/>
    <x v="0"/>
    <s v="HC"/>
    <m/>
    <m/>
    <s v="Henry Ifurung Jr."/>
  </r>
  <r>
    <n v="1053"/>
    <s v="F3"/>
    <x v="54"/>
    <s v="H000004423"/>
    <s v="RT Germany Medical &amp; local R&amp;D"/>
    <s v="H000004409"/>
    <s v="New"/>
    <x v="0"/>
    <x v="0"/>
    <s v="HC"/>
    <m/>
    <m/>
    <s v="Henry Ifurung Jr."/>
  </r>
  <r>
    <n v="1054"/>
    <s v="F3"/>
    <x v="54"/>
    <s v="H000004424"/>
    <s v="RT Germany  - Medical cost center"/>
    <s v="H000004423"/>
    <s v="New"/>
    <x v="0"/>
    <x v="0"/>
    <s v="HC"/>
    <m/>
    <m/>
    <s v="Henry Ifurung Jr."/>
  </r>
  <r>
    <n v="1055"/>
    <s v="F3"/>
    <x v="54"/>
    <s v="H000004425"/>
    <s v="RT Germany - Medical Non-R&amp;D Activities"/>
    <s v="H000004423"/>
    <s v="New"/>
    <x v="0"/>
    <x v="0"/>
    <s v="HC"/>
    <m/>
    <m/>
    <s v="Henry Ifurung Jr."/>
  </r>
  <r>
    <n v="1056"/>
    <s v="F3"/>
    <x v="54"/>
    <s v="H000004426"/>
    <s v="RT - Ogsiveo Medical Activities"/>
    <s v="H000004425"/>
    <s v="New"/>
    <x v="0"/>
    <x v="0"/>
    <s v="HC"/>
    <m/>
    <m/>
    <s v="Henry Ifurung Jr."/>
  </r>
  <r>
    <n v="1057"/>
    <s v="F3"/>
    <x v="54"/>
    <s v="H000004427"/>
    <s v="RT - Ezmekly Medical Activities"/>
    <s v="H000004425"/>
    <s v="New"/>
    <x v="0"/>
    <x v="0"/>
    <s v="HC"/>
    <m/>
    <m/>
    <s v="Henry Ifurung Jr."/>
  </r>
  <r>
    <n v="1058"/>
    <s v="F3"/>
    <x v="54"/>
    <s v="H000004428"/>
    <s v="RT Germany - Local R&amp;D - Studies"/>
    <s v="H000004423"/>
    <s v="New"/>
    <x v="0"/>
    <x v="0"/>
    <s v="HC"/>
    <m/>
    <m/>
    <s v="Henry Ifurung Jr."/>
  </r>
  <r>
    <n v="1059"/>
    <s v="F3"/>
    <x v="54"/>
    <s v="H000004429"/>
    <s v="RT Germany - Ogsiveo Local R&amp;D Studies"/>
    <s v="H000004428"/>
    <s v="New"/>
    <x v="0"/>
    <x v="0"/>
    <s v="HC"/>
    <m/>
    <m/>
    <s v="Henry Ifurung Jr."/>
  </r>
  <r>
    <n v="1060"/>
    <s v="F3"/>
    <x v="54"/>
    <s v="H000004430"/>
    <s v="RT Germany - Ezmekly Local R&amp;D Studies"/>
    <s v="H000004428"/>
    <s v="New"/>
    <x v="0"/>
    <x v="0"/>
    <s v="HC"/>
    <m/>
    <m/>
    <s v="Henry Ifurung Jr."/>
  </r>
  <r>
    <n v="1061"/>
    <s v="F3"/>
    <x v="55"/>
    <s v="RDC0000091"/>
    <s v="Global Health other"/>
    <s v="RDC0000068"/>
    <s v="Rename/Move"/>
    <x v="0"/>
    <x v="0"/>
    <s v="MGF"/>
    <m/>
    <m/>
    <s v="Erjo Miguel Tagle"/>
  </r>
  <r>
    <n v="1062"/>
    <s v="F3"/>
    <x v="55"/>
    <s v="RDC0000092"/>
    <s v="Global Health Institute"/>
    <s v="RDC0000068"/>
    <s v="Rename/Move"/>
    <x v="0"/>
    <x v="0"/>
    <s v="MGF"/>
    <m/>
    <m/>
    <s v="Erjo Miguel Tagle"/>
  </r>
  <r>
    <n v="1063"/>
    <s v="F3"/>
    <x v="55"/>
    <s v="RDC0000093"/>
    <s v="Global Health IC"/>
    <s v="RDC0000992"/>
    <s v="Rename/Move"/>
    <x v="0"/>
    <x v="0"/>
    <s v="MGF"/>
    <m/>
    <m/>
    <s v="Erjo Miguel Tagle"/>
  </r>
  <r>
    <n v="1064"/>
    <s v="F3"/>
    <x v="56"/>
    <s v="H000004411"/>
    <m/>
    <s v="H000004407"/>
    <s v="Move"/>
    <x v="0"/>
    <x v="0"/>
    <s v="HC"/>
    <m/>
    <m/>
    <s v="Henry Ifurung Jr."/>
  </r>
  <r>
    <n v="1065"/>
    <s v="F3"/>
    <x v="57"/>
    <s v="G000001447"/>
    <s v="EF-DS-HE Integrated Process Excellence"/>
    <s v="G000001378"/>
    <s v="New"/>
    <x v="0"/>
    <x v="0"/>
    <s v="LS"/>
    <m/>
    <m/>
    <s v="Jay-R Lizardo"/>
  </r>
  <r>
    <n v="1066"/>
    <s v="F3"/>
    <x v="57"/>
    <s v="IT01000300"/>
    <s v="EF-DS-HE Integrated Process Excellence"/>
    <s v="G000001447"/>
    <s v="New"/>
    <x v="0"/>
    <x v="0"/>
    <s v="LS"/>
    <m/>
    <m/>
    <s v="Jay-R Lizardo"/>
  </r>
  <r>
    <n v="1067"/>
    <s v="F3"/>
    <x v="57"/>
    <s v="G000001448"/>
    <s v="EF-DS-HP Process Intelligence Practice"/>
    <s v="G000001378"/>
    <s v="New"/>
    <x v="0"/>
    <x v="0"/>
    <s v="LS"/>
    <m/>
    <m/>
    <s v="Jay-R Lizardo"/>
  </r>
  <r>
    <n v="1068"/>
    <s v="F3"/>
    <x v="57"/>
    <s v="IT01000400"/>
    <s v="EF-DS-HP Process Intelligence Practice"/>
    <s v="G000001448"/>
    <s v="New"/>
    <x v="0"/>
    <x v="0"/>
    <s v="LS"/>
    <m/>
    <m/>
    <s v="Jay-R Lizardo"/>
  </r>
  <r>
    <n v="1069"/>
    <s v="F3"/>
    <x v="57"/>
    <s v="G000001449"/>
    <s v="EF-DS-HS ServiceNow CoE"/>
    <s v="G000001378"/>
    <s v="New"/>
    <x v="0"/>
    <x v="0"/>
    <s v="LS"/>
    <m/>
    <m/>
    <s v="Jay-R Lizardo"/>
  </r>
  <r>
    <n v="1070"/>
    <s v="F3"/>
    <x v="57"/>
    <s v="IT01000500"/>
    <s v="EF-DS-HS ServiceNow CoE"/>
    <s v="G000001449"/>
    <s v="New"/>
    <x v="0"/>
    <x v="0"/>
    <s v="LS"/>
    <m/>
    <m/>
    <s v="Jay-R Lizardo"/>
  </r>
  <r>
    <n v="1071"/>
    <s v="F3"/>
    <x v="57"/>
    <s v="G000001446"/>
    <s v="EF-DS-HA Automation Strategy"/>
    <m/>
    <s v="Rename"/>
    <x v="0"/>
    <x v="0"/>
    <s v="LS"/>
    <m/>
    <m/>
    <s v="Jay-R Lizardo"/>
  </r>
  <r>
    <n v="1072"/>
    <s v="F3"/>
    <x v="57"/>
    <s v="IT01000200"/>
    <s v="EF-DS-HA Automation Strategy"/>
    <m/>
    <s v="Rename"/>
    <x v="0"/>
    <x v="0"/>
    <s v="LS"/>
    <m/>
    <m/>
    <s v="Jay-R Lizardo"/>
  </r>
  <r>
    <n v="1073"/>
    <s v="F3"/>
    <x v="58"/>
    <s v="L000013900"/>
    <s v="eCommerce Products -G"/>
    <s v="L000007597"/>
    <s v="New"/>
    <x v="0"/>
    <x v="0"/>
    <s v="LS"/>
    <m/>
    <m/>
    <s v="Hui Zhang"/>
  </r>
  <r>
    <n v="1074"/>
    <s v="F0"/>
    <x v="59"/>
    <s v="H000004431"/>
    <s v="Healthcare Digital Projects"/>
    <s v="H000000456"/>
    <s v="New"/>
    <x v="0"/>
    <x v="0"/>
    <s v="LS"/>
    <m/>
    <m/>
    <s v="Jay-R Lizardo"/>
  </r>
  <r>
    <n v="1075"/>
    <s v="F0"/>
    <x v="59"/>
    <s v="IT08010000"/>
    <s v="HC_(non-IT)"/>
    <s v="H000004431"/>
    <s v="New"/>
    <x v="0"/>
    <x v="0"/>
    <s v="LS"/>
    <m/>
    <m/>
    <s v="Jay-R Lizardo"/>
  </r>
  <r>
    <n v="1076"/>
    <s v="F0"/>
    <x v="60"/>
    <s v="H000004432"/>
    <s v="RT UK Commercial"/>
    <s v="H000004407"/>
    <s v="New"/>
    <x v="0"/>
    <x v="0"/>
    <s v="HC"/>
    <m/>
    <m/>
    <s v="Henry Ifurung Jr."/>
  </r>
  <r>
    <n v="1077"/>
    <s v="F0"/>
    <x v="60"/>
    <s v="H000004433"/>
    <s v="RT UK Field Force"/>
    <s v="H000004432"/>
    <s v="New"/>
    <x v="0"/>
    <x v="0"/>
    <s v="HC"/>
    <m/>
    <m/>
    <s v="Henry Ifurung Jr."/>
  </r>
  <r>
    <n v="1078"/>
    <s v="F0"/>
    <x v="60"/>
    <s v="H000004434"/>
    <s v="RT UK Marketing"/>
    <s v="H000004432"/>
    <s v="New"/>
    <x v="0"/>
    <x v="0"/>
    <s v="HC"/>
    <m/>
    <m/>
    <s v="Henry Ifurung Jr."/>
  </r>
  <r>
    <n v="1079"/>
    <s v="F0"/>
    <x v="60"/>
    <s v="H000004435"/>
    <s v="RT UK Sales Promotion"/>
    <s v="H000004432"/>
    <s v="New"/>
    <x v="0"/>
    <x v="0"/>
    <s v="HC"/>
    <m/>
    <m/>
    <s v="Henry Ifurung Jr."/>
  </r>
  <r>
    <n v="1080"/>
    <s v="F0"/>
    <x v="60"/>
    <s v="H000004436"/>
    <s v="RT UK Ogsiveo Sales Promotion"/>
    <s v="H000004435"/>
    <s v="New"/>
    <x v="0"/>
    <x v="0"/>
    <s v="HC"/>
    <m/>
    <m/>
    <s v="Henry Ifurung Jr."/>
  </r>
  <r>
    <n v="1081"/>
    <s v="F0"/>
    <x v="60"/>
    <s v="H000004437"/>
    <s v="RT UK Ezmekly Sales Promotion"/>
    <s v="H000004435"/>
    <s v="New"/>
    <x v="0"/>
    <x v="0"/>
    <s v="HC"/>
    <m/>
    <m/>
    <s v="Henry Ifurung Jr."/>
  </r>
  <r>
    <n v="1082"/>
    <s v="F0"/>
    <x v="60"/>
    <s v="H000004438"/>
    <s v="RT UK - General"/>
    <s v="H000004432"/>
    <s v="New"/>
    <x v="0"/>
    <x v="0"/>
    <s v="HC"/>
    <m/>
    <m/>
    <s v="Henry Ifurung Jr."/>
  </r>
  <r>
    <n v="1083"/>
    <s v="F0"/>
    <x v="60"/>
    <s v="H000004439"/>
    <s v="RT UK - General Management"/>
    <s v="H000004438"/>
    <s v="New"/>
    <x v="0"/>
    <x v="0"/>
    <s v="HC"/>
    <m/>
    <m/>
    <s v="Henry Ifurung Jr."/>
  </r>
  <r>
    <n v="1084"/>
    <s v="F0"/>
    <x v="60"/>
    <s v="H000004440"/>
    <s v="RT UK - MAP"/>
    <s v="H000004438"/>
    <s v="New"/>
    <x v="0"/>
    <x v="0"/>
    <s v="HC"/>
    <m/>
    <m/>
    <s v="Henry Ifurung Jr."/>
  </r>
  <r>
    <n v="1085"/>
    <s v="F0"/>
    <x v="60"/>
    <s v="H000004441"/>
    <s v="RT UK - GAP"/>
    <s v="H000004438"/>
    <s v="New"/>
    <x v="0"/>
    <x v="0"/>
    <s v="HC"/>
    <m/>
    <m/>
    <s v="Henry Ifurung Jr."/>
  </r>
  <r>
    <n v="1086"/>
    <s v="F0"/>
    <x v="60"/>
    <s v="H000004442"/>
    <s v="RT UK - Business Ops"/>
    <s v="H000004438"/>
    <s v="New"/>
    <x v="0"/>
    <x v="0"/>
    <s v="HC"/>
    <m/>
    <m/>
    <s v="Henry Ifurung Jr."/>
  </r>
  <r>
    <n v="1087"/>
    <s v="F0"/>
    <x v="60"/>
    <s v="H000004443"/>
    <s v="RT UK - Other Operating Expense"/>
    <s v="H000004438"/>
    <s v="New"/>
    <x v="0"/>
    <x v="0"/>
    <s v="HC"/>
    <m/>
    <m/>
    <s v="Henry Ifurung Jr."/>
  </r>
  <r>
    <n v="1088"/>
    <s v="F0"/>
    <x v="60"/>
    <s v="H000004444"/>
    <s v="RT UK Medical &amp; local R&amp;D"/>
    <s v="H000004409"/>
    <s v="New"/>
    <x v="0"/>
    <x v="0"/>
    <s v="HC"/>
    <m/>
    <m/>
    <s v="Henry Ifurung Jr."/>
  </r>
  <r>
    <n v="1089"/>
    <s v="F0"/>
    <x v="60"/>
    <s v="H000004445"/>
    <s v="RT UK - Medical cost center"/>
    <s v="H000004444"/>
    <s v="New"/>
    <x v="0"/>
    <x v="0"/>
    <s v="HC"/>
    <m/>
    <m/>
    <s v="Henry Ifurung Jr."/>
  </r>
  <r>
    <n v="1090"/>
    <s v="F0"/>
    <x v="60"/>
    <s v="H000004446"/>
    <s v="RT UK - Medical Non-R&amp;D Activities"/>
    <s v="H000004444"/>
    <s v="New"/>
    <x v="0"/>
    <x v="0"/>
    <s v="HC"/>
    <m/>
    <m/>
    <s v="Henry Ifurung Jr."/>
  </r>
  <r>
    <n v="1091"/>
    <s v="F0"/>
    <x v="60"/>
    <s v="H000004447"/>
    <s v="RT UK Ogsiveo Medical Activities"/>
    <s v="H000004446"/>
    <s v="New"/>
    <x v="0"/>
    <x v="0"/>
    <s v="HC"/>
    <m/>
    <m/>
    <s v="Henry Ifurung Jr."/>
  </r>
  <r>
    <n v="1092"/>
    <s v="F0"/>
    <x v="60"/>
    <s v="H000004448"/>
    <s v="RT UK Ezmekly Medical Activities"/>
    <s v="H000004446"/>
    <s v="New"/>
    <x v="0"/>
    <x v="0"/>
    <s v="HC"/>
    <m/>
    <m/>
    <s v="Henry Ifurung Jr."/>
  </r>
  <r>
    <n v="1093"/>
    <s v="F0"/>
    <x v="60"/>
    <s v="H000004449"/>
    <s v="RT UK Local R&amp;D - Studies"/>
    <s v="H000004444"/>
    <s v="New"/>
    <x v="0"/>
    <x v="0"/>
    <s v="HC"/>
    <m/>
    <m/>
    <s v="Henry Ifurung Jr."/>
  </r>
  <r>
    <n v="1094"/>
    <s v="F0"/>
    <x v="60"/>
    <s v="H000004450"/>
    <s v="RT UK Ogsiveo Local R&amp;D Studies"/>
    <s v="H000004449"/>
    <s v="New"/>
    <x v="0"/>
    <x v="0"/>
    <s v="HC"/>
    <m/>
    <m/>
    <s v="Henry Ifurung Jr."/>
  </r>
  <r>
    <n v="1095"/>
    <s v="F0"/>
    <x v="60"/>
    <s v="H000004451"/>
    <s v="RT UK Ezmekly Local R&amp;D Studies"/>
    <s v="H000004449"/>
    <s v="New"/>
    <x v="0"/>
    <x v="0"/>
    <s v="HC"/>
    <m/>
    <m/>
    <s v="Henry Ifurung Jr."/>
  </r>
  <r>
    <n v="1096"/>
    <s v="F0"/>
    <x v="60"/>
    <s v="H000004452"/>
    <s v="RT Spain Commercial"/>
    <s v="H000004407"/>
    <s v="New"/>
    <x v="0"/>
    <x v="0"/>
    <s v="HC"/>
    <m/>
    <m/>
    <s v="Henry Ifurung Jr."/>
  </r>
  <r>
    <n v="1097"/>
    <s v="F0"/>
    <x v="60"/>
    <s v="H000004453"/>
    <s v="RT Spain Field Force"/>
    <s v="H000004452"/>
    <s v="New"/>
    <x v="0"/>
    <x v="0"/>
    <s v="HC"/>
    <m/>
    <m/>
    <s v="Henry Ifurung Jr."/>
  </r>
  <r>
    <n v="1098"/>
    <s v="F0"/>
    <x v="60"/>
    <s v="H000004454"/>
    <s v="RT Spain Marketing"/>
    <s v="H000004452"/>
    <s v="New"/>
    <x v="0"/>
    <x v="0"/>
    <s v="HC"/>
    <m/>
    <m/>
    <s v="Henry Ifurung Jr."/>
  </r>
  <r>
    <n v="1099"/>
    <s v="F0"/>
    <x v="60"/>
    <s v="H000004455"/>
    <s v="RT Spain Sales Promotion"/>
    <s v="H000004452"/>
    <s v="New"/>
    <x v="0"/>
    <x v="0"/>
    <s v="HC"/>
    <m/>
    <m/>
    <s v="Henry Ifurung Jr."/>
  </r>
  <r>
    <n v="1100"/>
    <s v="F0"/>
    <x v="60"/>
    <s v="H000004456"/>
    <s v="RT Spain Ogsiveo Sales Promotion"/>
    <s v="H000004455"/>
    <s v="New"/>
    <x v="0"/>
    <x v="0"/>
    <s v="HC"/>
    <m/>
    <m/>
    <s v="Henry Ifurung Jr."/>
  </r>
  <r>
    <n v="1101"/>
    <s v="F0"/>
    <x v="60"/>
    <s v="H000004457"/>
    <s v="RT Spain Ezmekly Sales Promotion"/>
    <s v="H000004455"/>
    <s v="New"/>
    <x v="0"/>
    <x v="0"/>
    <s v="HC"/>
    <m/>
    <m/>
    <s v="Henry Ifurung Jr."/>
  </r>
  <r>
    <n v="1102"/>
    <s v="F0"/>
    <x v="60"/>
    <s v="H000004458"/>
    <s v="RT Spain - General"/>
    <s v="H000004452"/>
    <s v="New"/>
    <x v="0"/>
    <x v="0"/>
    <s v="HC"/>
    <m/>
    <m/>
    <s v="Henry Ifurung Jr."/>
  </r>
  <r>
    <n v="1103"/>
    <s v="F0"/>
    <x v="60"/>
    <s v="H000004459"/>
    <s v="RT Spain - General Management"/>
    <s v="H000004458"/>
    <s v="New"/>
    <x v="0"/>
    <x v="0"/>
    <s v="HC"/>
    <m/>
    <m/>
    <s v="Henry Ifurung Jr."/>
  </r>
  <r>
    <n v="1104"/>
    <s v="F0"/>
    <x v="60"/>
    <s v="H000004460"/>
    <s v="RT Spain - MAP"/>
    <s v="H000004458"/>
    <s v="New"/>
    <x v="0"/>
    <x v="0"/>
    <s v="HC"/>
    <m/>
    <m/>
    <s v="Henry Ifurung Jr."/>
  </r>
  <r>
    <n v="1105"/>
    <s v="F0"/>
    <x v="60"/>
    <s v="H000004461"/>
    <s v="RT Spain - GAP"/>
    <s v="H000004458"/>
    <s v="New"/>
    <x v="0"/>
    <x v="0"/>
    <s v="HC"/>
    <m/>
    <m/>
    <s v="Henry Ifurung Jr."/>
  </r>
  <r>
    <n v="1106"/>
    <s v="F0"/>
    <x v="60"/>
    <s v="H000004462"/>
    <s v="RT Spain - Business Ops"/>
    <s v="H000004458"/>
    <s v="New"/>
    <x v="0"/>
    <x v="0"/>
    <s v="HC"/>
    <m/>
    <m/>
    <s v="Henry Ifurung Jr."/>
  </r>
  <r>
    <n v="1107"/>
    <s v="F0"/>
    <x v="60"/>
    <s v="H000004463"/>
    <s v="RT Spain - Other Operating Expense"/>
    <s v="H000004458"/>
    <s v="New"/>
    <x v="0"/>
    <x v="0"/>
    <s v="HC"/>
    <m/>
    <m/>
    <s v="Henry Ifurung Jr."/>
  </r>
  <r>
    <n v="1108"/>
    <s v="F0"/>
    <x v="60"/>
    <s v="H000004464"/>
    <s v="RT Spain Medical &amp; local R&amp;D"/>
    <s v="H000004409"/>
    <s v="New"/>
    <x v="0"/>
    <x v="0"/>
    <s v="HC"/>
    <m/>
    <m/>
    <s v="Henry Ifurung Jr."/>
  </r>
  <r>
    <n v="1109"/>
    <s v="F0"/>
    <x v="60"/>
    <s v="H000004465"/>
    <s v="RT Spain - Medical cost center"/>
    <s v="H000004464"/>
    <s v="New"/>
    <x v="0"/>
    <x v="0"/>
    <s v="HC"/>
    <m/>
    <m/>
    <s v="Henry Ifurung Jr."/>
  </r>
  <r>
    <n v="1110"/>
    <s v="F0"/>
    <x v="60"/>
    <s v="H000004466"/>
    <s v="RT Spain - Medical Non-R&amp;D Activities"/>
    <s v="H000004464"/>
    <s v="New"/>
    <x v="0"/>
    <x v="0"/>
    <s v="HC"/>
    <m/>
    <m/>
    <s v="Henry Ifurung Jr."/>
  </r>
  <r>
    <n v="1111"/>
    <s v="F0"/>
    <x v="60"/>
    <s v="H000004467"/>
    <s v="RT Spain Ogsiveo Medical Activities"/>
    <s v="H000004466"/>
    <s v="New"/>
    <x v="0"/>
    <x v="0"/>
    <s v="HC"/>
    <m/>
    <m/>
    <s v="Henry Ifurung Jr."/>
  </r>
  <r>
    <n v="1112"/>
    <s v="F0"/>
    <x v="60"/>
    <s v="H000004468"/>
    <s v="RT Spain Ezmekly Medical Activities"/>
    <s v="H000004466"/>
    <s v="New"/>
    <x v="0"/>
    <x v="0"/>
    <s v="HC"/>
    <m/>
    <m/>
    <s v="Henry Ifurung Jr."/>
  </r>
  <r>
    <n v="1113"/>
    <s v="F0"/>
    <x v="60"/>
    <s v="H000004469"/>
    <s v="RT Spain Local R&amp;D - Studies"/>
    <s v="H000004464"/>
    <s v="New"/>
    <x v="0"/>
    <x v="0"/>
    <s v="HC"/>
    <m/>
    <m/>
    <s v="Henry Ifurung Jr."/>
  </r>
  <r>
    <n v="1114"/>
    <s v="F0"/>
    <x v="60"/>
    <s v="H000004470"/>
    <s v="RT Spain Ogsiveo Local R&amp;D Studies"/>
    <s v="H000004469"/>
    <s v="New"/>
    <x v="0"/>
    <x v="0"/>
    <s v="HC"/>
    <m/>
    <m/>
    <s v="Henry Ifurung Jr."/>
  </r>
  <r>
    <n v="1115"/>
    <s v="F0"/>
    <x v="60"/>
    <s v="H000004471"/>
    <s v="RT Spain Ezmekly Local R&amp;D Studies"/>
    <s v="H000004469"/>
    <s v="New"/>
    <x v="0"/>
    <x v="0"/>
    <s v="HC"/>
    <m/>
    <m/>
    <s v="Henry Ifurung Jr."/>
  </r>
  <r>
    <n v="1116"/>
    <s v="F0"/>
    <x v="60"/>
    <s v="H000004472"/>
    <s v="RT Italy Commercial"/>
    <s v="H000004407"/>
    <s v="New"/>
    <x v="0"/>
    <x v="0"/>
    <s v="HC"/>
    <m/>
    <m/>
    <s v="Henry Ifurung Jr."/>
  </r>
  <r>
    <n v="1117"/>
    <s v="F0"/>
    <x v="60"/>
    <s v="H000004473"/>
    <s v="RT Italy Field Force"/>
    <s v="H000004472"/>
    <s v="New"/>
    <x v="0"/>
    <x v="0"/>
    <s v="HC"/>
    <m/>
    <m/>
    <s v="Henry Ifurung Jr."/>
  </r>
  <r>
    <n v="1118"/>
    <s v="F0"/>
    <x v="60"/>
    <s v="H000004474"/>
    <s v="RT Italy Marketing"/>
    <s v="H000004472"/>
    <s v="New"/>
    <x v="0"/>
    <x v="0"/>
    <s v="HC"/>
    <m/>
    <m/>
    <s v="Henry Ifurung Jr."/>
  </r>
  <r>
    <n v="1119"/>
    <s v="F0"/>
    <x v="60"/>
    <s v="H000004475"/>
    <s v="RT Italy Sales Promotion"/>
    <s v="H000004472"/>
    <s v="New"/>
    <x v="0"/>
    <x v="0"/>
    <s v="HC"/>
    <m/>
    <m/>
    <s v="Henry Ifurung Jr."/>
  </r>
  <r>
    <n v="1120"/>
    <s v="F0"/>
    <x v="60"/>
    <s v="H000004476"/>
    <s v="RT Italy Ogsiveo Sales Promotion"/>
    <s v="H000004475"/>
    <s v="New"/>
    <x v="0"/>
    <x v="0"/>
    <s v="HC"/>
    <m/>
    <m/>
    <s v="Henry Ifurung Jr."/>
  </r>
  <r>
    <n v="1121"/>
    <s v="F0"/>
    <x v="60"/>
    <s v="H000004477"/>
    <s v="RT Italy Ezmekly Sales Promotion"/>
    <s v="H000004475"/>
    <s v="New"/>
    <x v="0"/>
    <x v="0"/>
    <s v="HC"/>
    <m/>
    <m/>
    <s v="Henry Ifurung Jr."/>
  </r>
  <r>
    <n v="1122"/>
    <s v="F0"/>
    <x v="60"/>
    <s v="H000004478"/>
    <s v="RT Italy - General"/>
    <s v="H000004472"/>
    <s v="New"/>
    <x v="0"/>
    <x v="0"/>
    <s v="HC"/>
    <m/>
    <m/>
    <s v="Henry Ifurung Jr."/>
  </r>
  <r>
    <n v="1123"/>
    <s v="F0"/>
    <x v="60"/>
    <s v="H000004479"/>
    <s v="RT Italy - General Management"/>
    <s v="H000004478"/>
    <s v="New"/>
    <x v="0"/>
    <x v="0"/>
    <s v="HC"/>
    <m/>
    <m/>
    <s v="Henry Ifurung Jr."/>
  </r>
  <r>
    <n v="1124"/>
    <s v="F0"/>
    <x v="60"/>
    <s v="H000004480"/>
    <s v="RT Italy - MAP"/>
    <s v="H000004478"/>
    <s v="New"/>
    <x v="0"/>
    <x v="0"/>
    <s v="HC"/>
    <m/>
    <m/>
    <s v="Henry Ifurung Jr."/>
  </r>
  <r>
    <n v="1125"/>
    <s v="F0"/>
    <x v="60"/>
    <s v="H000004481"/>
    <s v="RT Italy - GAP"/>
    <s v="H000004478"/>
    <s v="New"/>
    <x v="0"/>
    <x v="0"/>
    <s v="HC"/>
    <m/>
    <m/>
    <s v="Henry Ifurung Jr."/>
  </r>
  <r>
    <n v="1126"/>
    <s v="F0"/>
    <x v="60"/>
    <s v="H000004482"/>
    <s v="RT Italy - Business Ops"/>
    <s v="H000004478"/>
    <s v="New"/>
    <x v="0"/>
    <x v="0"/>
    <s v="HC"/>
    <m/>
    <m/>
    <s v="Henry Ifurung Jr."/>
  </r>
  <r>
    <n v="1127"/>
    <s v="F0"/>
    <x v="60"/>
    <s v="H000004483"/>
    <s v="RT Italy - Other Operating Expense"/>
    <s v="H000004478"/>
    <s v="New"/>
    <x v="0"/>
    <x v="0"/>
    <s v="HC"/>
    <m/>
    <m/>
    <s v="Henry Ifurung Jr."/>
  </r>
  <r>
    <n v="1128"/>
    <s v="F0"/>
    <x v="60"/>
    <s v="H000004484"/>
    <s v="RT Italy Medical &amp; local R&amp;D"/>
    <s v="H000004409"/>
    <s v="New"/>
    <x v="0"/>
    <x v="0"/>
    <s v="HC"/>
    <m/>
    <m/>
    <s v="Henry Ifurung Jr."/>
  </r>
  <r>
    <n v="1129"/>
    <s v="F0"/>
    <x v="60"/>
    <s v="H000004485"/>
    <s v="RT Italy - Medical cost center"/>
    <s v="H000004484"/>
    <s v="New"/>
    <x v="0"/>
    <x v="0"/>
    <s v="HC"/>
    <m/>
    <m/>
    <s v="Henry Ifurung Jr."/>
  </r>
  <r>
    <n v="1130"/>
    <s v="F0"/>
    <x v="60"/>
    <s v="H000004486"/>
    <s v="RT Italy - Medical Non-R&amp;D Activities"/>
    <s v="H000004484"/>
    <s v="New"/>
    <x v="0"/>
    <x v="0"/>
    <s v="HC"/>
    <m/>
    <m/>
    <s v="Henry Ifurung Jr."/>
  </r>
  <r>
    <n v="1131"/>
    <s v="F0"/>
    <x v="60"/>
    <s v="H000004487"/>
    <s v="RT Italy Ogsiveo Medical Activities"/>
    <s v="H000004486"/>
    <s v="New"/>
    <x v="0"/>
    <x v="0"/>
    <s v="HC"/>
    <m/>
    <m/>
    <s v="Henry Ifurung Jr."/>
  </r>
  <r>
    <n v="1132"/>
    <s v="F0"/>
    <x v="60"/>
    <s v="H000004488"/>
    <s v="RT Italy Ezmekly Medical Activities"/>
    <s v="H000004486"/>
    <s v="New"/>
    <x v="0"/>
    <x v="0"/>
    <s v="HC"/>
    <m/>
    <m/>
    <s v="Henry Ifurung Jr."/>
  </r>
  <r>
    <n v="1133"/>
    <s v="F0"/>
    <x v="60"/>
    <s v="H000004489"/>
    <s v="RT Italy Local R&amp;D - Studies"/>
    <s v="H000004484"/>
    <s v="New"/>
    <x v="0"/>
    <x v="0"/>
    <s v="HC"/>
    <m/>
    <m/>
    <s v="Henry Ifurung Jr."/>
  </r>
  <r>
    <n v="1134"/>
    <s v="F0"/>
    <x v="60"/>
    <s v="H000004490"/>
    <s v="RT Italy Ogsiveo Local R&amp;D Studies"/>
    <s v="H000004489"/>
    <s v="New"/>
    <x v="0"/>
    <x v="0"/>
    <s v="HC"/>
    <m/>
    <m/>
    <s v="Henry Ifurung Jr."/>
  </r>
  <r>
    <n v="1135"/>
    <s v="F0"/>
    <x v="60"/>
    <s v="H000004491"/>
    <s v="RT Italy Ezmekly Local R&amp;D Studies"/>
    <s v="H000004489"/>
    <s v="New"/>
    <x v="0"/>
    <x v="0"/>
    <s v="HC"/>
    <m/>
    <m/>
    <s v="Henry Ifurung Jr."/>
  </r>
  <r>
    <n v="1136"/>
    <s v="F0"/>
    <x v="60"/>
    <s v="H000004492"/>
    <s v="RT France Commercial"/>
    <s v="H000004407"/>
    <s v="New"/>
    <x v="0"/>
    <x v="0"/>
    <s v="HC"/>
    <m/>
    <m/>
    <s v="Henry Ifurung Jr."/>
  </r>
  <r>
    <n v="1137"/>
    <s v="F0"/>
    <x v="60"/>
    <s v="H000004493"/>
    <s v="RT France Field Force"/>
    <s v="H000004492"/>
    <s v="New"/>
    <x v="0"/>
    <x v="0"/>
    <s v="HC"/>
    <m/>
    <m/>
    <s v="Henry Ifurung Jr."/>
  </r>
  <r>
    <n v="1138"/>
    <s v="F0"/>
    <x v="60"/>
    <s v="H000004494"/>
    <s v="RT France Marketing"/>
    <s v="H000004492"/>
    <s v="New"/>
    <x v="0"/>
    <x v="0"/>
    <s v="HC"/>
    <m/>
    <m/>
    <s v="Henry Ifurung Jr."/>
  </r>
  <r>
    <n v="1139"/>
    <s v="F0"/>
    <x v="60"/>
    <s v="H000004495"/>
    <s v="RT France Sales Promotion"/>
    <s v="H000004492"/>
    <s v="New"/>
    <x v="0"/>
    <x v="0"/>
    <s v="HC"/>
    <m/>
    <m/>
    <s v="Henry Ifurung Jr."/>
  </r>
  <r>
    <n v="1140"/>
    <s v="F0"/>
    <x v="60"/>
    <s v="H000004496"/>
    <s v="RT France Ogsiveo Sales Promotion"/>
    <s v="H000004495"/>
    <s v="New"/>
    <x v="0"/>
    <x v="0"/>
    <s v="HC"/>
    <m/>
    <m/>
    <s v="Henry Ifurung Jr."/>
  </r>
  <r>
    <n v="1141"/>
    <s v="F0"/>
    <x v="60"/>
    <s v="H000004497"/>
    <s v="RT France Ezmekly Sales Promotion"/>
    <s v="H000004495"/>
    <s v="New"/>
    <x v="0"/>
    <x v="0"/>
    <s v="HC"/>
    <m/>
    <m/>
    <s v="Henry Ifurung Jr."/>
  </r>
  <r>
    <n v="1142"/>
    <s v="F0"/>
    <x v="60"/>
    <s v="H000004498"/>
    <s v="RT France - General"/>
    <s v="H000004492"/>
    <s v="New"/>
    <x v="0"/>
    <x v="0"/>
    <s v="HC"/>
    <m/>
    <m/>
    <s v="Henry Ifurung Jr."/>
  </r>
  <r>
    <n v="1143"/>
    <s v="F0"/>
    <x v="60"/>
    <s v="H000004499"/>
    <s v="RT France - General Management"/>
    <s v="H000004498"/>
    <s v="New"/>
    <x v="0"/>
    <x v="0"/>
    <s v="HC"/>
    <m/>
    <m/>
    <s v="Henry Ifurung Jr."/>
  </r>
  <r>
    <n v="1144"/>
    <s v="F0"/>
    <x v="60"/>
    <s v="H000004500"/>
    <s v="RT France - MAP"/>
    <s v="H000004498"/>
    <s v="New"/>
    <x v="0"/>
    <x v="0"/>
    <s v="HC"/>
    <m/>
    <m/>
    <s v="Henry Ifurung Jr."/>
  </r>
  <r>
    <n v="1145"/>
    <s v="F0"/>
    <x v="60"/>
    <s v="H000004501"/>
    <s v="RT France - GAP"/>
    <s v="H000004498"/>
    <s v="New"/>
    <x v="0"/>
    <x v="0"/>
    <s v="HC"/>
    <m/>
    <m/>
    <s v="Henry Ifurung Jr."/>
  </r>
  <r>
    <n v="1146"/>
    <s v="F0"/>
    <x v="60"/>
    <s v="H000004502"/>
    <s v="RT France - Business Ops"/>
    <s v="H000004498"/>
    <s v="New"/>
    <x v="0"/>
    <x v="0"/>
    <s v="HC"/>
    <m/>
    <m/>
    <s v="Henry Ifurung Jr."/>
  </r>
  <r>
    <n v="1147"/>
    <s v="F0"/>
    <x v="60"/>
    <s v="H000004503"/>
    <s v="RT France - Other Operating Expense"/>
    <s v="H000004498"/>
    <s v="New"/>
    <x v="0"/>
    <x v="0"/>
    <s v="HC"/>
    <m/>
    <m/>
    <s v="Henry Ifurung Jr."/>
  </r>
  <r>
    <n v="1148"/>
    <s v="F0"/>
    <x v="60"/>
    <s v="H000004504"/>
    <s v="RT France Medical &amp; local R&amp;D"/>
    <s v="H000004409"/>
    <s v="New"/>
    <x v="0"/>
    <x v="0"/>
    <s v="HC"/>
    <m/>
    <m/>
    <s v="Henry Ifurung Jr."/>
  </r>
  <r>
    <n v="1149"/>
    <s v="F0"/>
    <x v="60"/>
    <s v="H000004505"/>
    <s v="RT France - Medical cost center"/>
    <s v="H000004504"/>
    <s v="New"/>
    <x v="0"/>
    <x v="0"/>
    <s v="HC"/>
    <m/>
    <m/>
    <s v="Henry Ifurung Jr."/>
  </r>
  <r>
    <n v="1150"/>
    <s v="F0"/>
    <x v="60"/>
    <s v="H000004506"/>
    <s v="RT France - Medical Non-R&amp;D Activities"/>
    <s v="H000004504"/>
    <s v="New"/>
    <x v="0"/>
    <x v="0"/>
    <s v="HC"/>
    <m/>
    <m/>
    <s v="Henry Ifurung Jr."/>
  </r>
  <r>
    <n v="1151"/>
    <s v="F0"/>
    <x v="60"/>
    <s v="H000004507"/>
    <s v="RT France Ogsiveo Medical Activities"/>
    <s v="H000004506"/>
    <s v="New"/>
    <x v="0"/>
    <x v="0"/>
    <s v="HC"/>
    <m/>
    <m/>
    <s v="Henry Ifurung Jr."/>
  </r>
  <r>
    <n v="1152"/>
    <s v="F0"/>
    <x v="60"/>
    <s v="H000004508"/>
    <s v="RT France Ezmekly Medical Activities"/>
    <s v="H000004506"/>
    <s v="New"/>
    <x v="0"/>
    <x v="0"/>
    <s v="HC"/>
    <m/>
    <m/>
    <s v="Henry Ifurung Jr."/>
  </r>
  <r>
    <n v="1153"/>
    <s v="F0"/>
    <x v="60"/>
    <s v="H000004509"/>
    <s v="RT France Local R&amp;D - Studies"/>
    <s v="H000004504"/>
    <s v="New"/>
    <x v="0"/>
    <x v="0"/>
    <s v="HC"/>
    <m/>
    <m/>
    <s v="Henry Ifurung Jr."/>
  </r>
  <r>
    <n v="1154"/>
    <s v="F0"/>
    <x v="60"/>
    <s v="H000004510"/>
    <s v="RT France Ogsiveo Local R&amp;D Studies"/>
    <s v="H000004509"/>
    <s v="New"/>
    <x v="0"/>
    <x v="0"/>
    <s v="HC"/>
    <m/>
    <m/>
    <s v="Henry Ifurung Jr."/>
  </r>
  <r>
    <n v="1155"/>
    <s v="F0"/>
    <x v="60"/>
    <s v="H000004511"/>
    <s v="RT France Ezmekly Local R&amp;D Studies"/>
    <s v="H000004509"/>
    <s v="New"/>
    <x v="0"/>
    <x v="0"/>
    <s v="HC"/>
    <m/>
    <m/>
    <s v="Henry Ifurung Jr."/>
  </r>
  <r>
    <n v="1156"/>
    <s v="F0"/>
    <x v="60"/>
    <s v="H000004512"/>
    <s v="RT Austria Commercial"/>
    <s v="H000004407"/>
    <s v="New"/>
    <x v="0"/>
    <x v="0"/>
    <s v="HC"/>
    <m/>
    <m/>
    <s v="Henry Ifurung Jr."/>
  </r>
  <r>
    <n v="1157"/>
    <s v="F0"/>
    <x v="60"/>
    <s v="H000004513"/>
    <s v="RT Austria Field Force"/>
    <s v="H000004512"/>
    <s v="New"/>
    <x v="0"/>
    <x v="0"/>
    <s v="HC"/>
    <m/>
    <m/>
    <s v="Henry Ifurung Jr."/>
  </r>
  <r>
    <n v="1158"/>
    <s v="F0"/>
    <x v="60"/>
    <s v="H000004514"/>
    <s v="RT Austria Marketing"/>
    <s v="H000004512"/>
    <s v="New"/>
    <x v="0"/>
    <x v="0"/>
    <s v="HC"/>
    <m/>
    <m/>
    <s v="Henry Ifurung Jr."/>
  </r>
  <r>
    <n v="1159"/>
    <s v="F0"/>
    <x v="60"/>
    <s v="H000004515"/>
    <s v="RT Austria Sales Promotion"/>
    <s v="H000004512"/>
    <s v="New"/>
    <x v="0"/>
    <x v="0"/>
    <s v="HC"/>
    <m/>
    <m/>
    <s v="Henry Ifurung Jr."/>
  </r>
  <r>
    <n v="1160"/>
    <s v="F0"/>
    <x v="60"/>
    <s v="H000004516"/>
    <s v="RT Austria Ogsiveo Sales Promotion"/>
    <s v="H000004515"/>
    <s v="New"/>
    <x v="0"/>
    <x v="0"/>
    <s v="HC"/>
    <m/>
    <m/>
    <s v="Henry Ifurung Jr."/>
  </r>
  <r>
    <n v="1161"/>
    <s v="F0"/>
    <x v="60"/>
    <s v="H000004517"/>
    <s v="RT Austria Ezmekly Sales Promotion"/>
    <s v="H000004515"/>
    <s v="New"/>
    <x v="0"/>
    <x v="0"/>
    <s v="HC"/>
    <m/>
    <m/>
    <s v="Henry Ifurung Jr."/>
  </r>
  <r>
    <n v="1162"/>
    <s v="F0"/>
    <x v="60"/>
    <s v="H000004518"/>
    <s v="RT Austria - General"/>
    <s v="H000004512"/>
    <s v="New"/>
    <x v="0"/>
    <x v="0"/>
    <s v="HC"/>
    <m/>
    <m/>
    <s v="Henry Ifurung Jr."/>
  </r>
  <r>
    <n v="1163"/>
    <s v="F0"/>
    <x v="60"/>
    <s v="H000004519"/>
    <s v="RT Austria - General Management"/>
    <s v="H000004518"/>
    <s v="New"/>
    <x v="0"/>
    <x v="0"/>
    <s v="HC"/>
    <m/>
    <m/>
    <s v="Henry Ifurung Jr."/>
  </r>
  <r>
    <n v="1164"/>
    <s v="F0"/>
    <x v="60"/>
    <s v="H000004520"/>
    <s v="RT Austria - MAP"/>
    <s v="H000004518"/>
    <s v="New"/>
    <x v="0"/>
    <x v="0"/>
    <s v="HC"/>
    <m/>
    <m/>
    <s v="Henry Ifurung Jr."/>
  </r>
  <r>
    <n v="1165"/>
    <s v="F0"/>
    <x v="60"/>
    <s v="H000004521"/>
    <s v="RT Austria - GAP"/>
    <s v="H000004518"/>
    <s v="New"/>
    <x v="0"/>
    <x v="0"/>
    <s v="HC"/>
    <m/>
    <m/>
    <s v="Henry Ifurung Jr."/>
  </r>
  <r>
    <n v="1166"/>
    <s v="F0"/>
    <x v="60"/>
    <s v="H000004522"/>
    <s v="RT Austria - Business Ops"/>
    <s v="H000004518"/>
    <s v="New"/>
    <x v="0"/>
    <x v="0"/>
    <s v="HC"/>
    <m/>
    <m/>
    <s v="Henry Ifurung Jr."/>
  </r>
  <r>
    <n v="1167"/>
    <s v="F0"/>
    <x v="60"/>
    <s v="H000004523"/>
    <s v="RT Austria - Other Operating Expense"/>
    <s v="H000004518"/>
    <s v="New"/>
    <x v="0"/>
    <x v="0"/>
    <s v="HC"/>
    <m/>
    <m/>
    <s v="Henry Ifurung Jr."/>
  </r>
  <r>
    <n v="1168"/>
    <s v="F0"/>
    <x v="60"/>
    <s v="H000004524"/>
    <s v="RT Austria Medical &amp; local R&amp;D"/>
    <s v="H000004409"/>
    <s v="New"/>
    <x v="0"/>
    <x v="0"/>
    <s v="HC"/>
    <m/>
    <m/>
    <s v="Henry Ifurung Jr."/>
  </r>
  <r>
    <n v="1169"/>
    <s v="F0"/>
    <x v="60"/>
    <s v="H000004525"/>
    <s v="RT Austria - Medical cost center"/>
    <s v="H000004524"/>
    <s v="New"/>
    <x v="0"/>
    <x v="0"/>
    <s v="HC"/>
    <m/>
    <m/>
    <s v="Henry Ifurung Jr."/>
  </r>
  <r>
    <n v="1170"/>
    <s v="F0"/>
    <x v="60"/>
    <s v="H000004526"/>
    <s v="RT Austria - Medical Non-R&amp;D Activities"/>
    <s v="H000004524"/>
    <s v="New"/>
    <x v="0"/>
    <x v="0"/>
    <s v="HC"/>
    <m/>
    <m/>
    <s v="Henry Ifurung Jr."/>
  </r>
  <r>
    <n v="1171"/>
    <s v="F0"/>
    <x v="60"/>
    <s v="H000004527"/>
    <s v="RT Austria Ogsiveo Medical Activities"/>
    <s v="H000004526"/>
    <s v="New"/>
    <x v="0"/>
    <x v="0"/>
    <s v="HC"/>
    <m/>
    <m/>
    <s v="Henry Ifurung Jr."/>
  </r>
  <r>
    <n v="1172"/>
    <s v="F0"/>
    <x v="60"/>
    <s v="H000004528"/>
    <s v="RT Austria Ezmekly Medical Activities"/>
    <s v="H000004526"/>
    <s v="New"/>
    <x v="0"/>
    <x v="0"/>
    <s v="HC"/>
    <m/>
    <m/>
    <s v="Henry Ifurung Jr."/>
  </r>
  <r>
    <n v="1173"/>
    <s v="F0"/>
    <x v="60"/>
    <s v="H000004529"/>
    <s v="RT Austria Local R&amp;D - Studies"/>
    <s v="H000004524"/>
    <s v="New"/>
    <x v="0"/>
    <x v="0"/>
    <s v="HC"/>
    <m/>
    <m/>
    <s v="Henry Ifurung Jr."/>
  </r>
  <r>
    <n v="1174"/>
    <s v="F0"/>
    <x v="60"/>
    <s v="H000004530"/>
    <s v="RT Austria Ogsiveo Local R&amp;D Studies"/>
    <s v="H000004529"/>
    <s v="New"/>
    <x v="0"/>
    <x v="0"/>
    <s v="HC"/>
    <m/>
    <m/>
    <s v="Henry Ifurung Jr."/>
  </r>
  <r>
    <n v="1175"/>
    <s v="F0"/>
    <x v="60"/>
    <s v="H000004531"/>
    <s v="RT Austria Ezmekly Local R&amp;D Studies"/>
    <s v="H000004529"/>
    <s v="New"/>
    <x v="0"/>
    <x v="0"/>
    <s v="HC"/>
    <m/>
    <m/>
    <s v="Henry Ifurung Jr."/>
  </r>
  <r>
    <n v="1176"/>
    <s v="F0"/>
    <x v="60"/>
    <s v="H000004532"/>
    <s v="RT Switzerland Commercial"/>
    <s v="H000004407"/>
    <s v="New"/>
    <x v="0"/>
    <x v="0"/>
    <s v="HC"/>
    <m/>
    <m/>
    <s v="Henry Ifurung Jr."/>
  </r>
  <r>
    <n v="1177"/>
    <s v="F0"/>
    <x v="60"/>
    <s v="H000004533"/>
    <s v="RT Switzerland Field Force"/>
    <s v="H000004532"/>
    <s v="New"/>
    <x v="0"/>
    <x v="0"/>
    <s v="HC"/>
    <m/>
    <m/>
    <s v="Henry Ifurung Jr."/>
  </r>
  <r>
    <n v="1178"/>
    <s v="F0"/>
    <x v="60"/>
    <s v="H000004534"/>
    <s v="RT Switzerland Marketing"/>
    <s v="H000004532"/>
    <s v="New"/>
    <x v="0"/>
    <x v="0"/>
    <s v="HC"/>
    <m/>
    <m/>
    <s v="Henry Ifurung Jr."/>
  </r>
  <r>
    <n v="1179"/>
    <s v="F0"/>
    <x v="60"/>
    <s v="H000004535"/>
    <s v="RT Switzerland Sales Promotion"/>
    <s v="H000004532"/>
    <s v="New"/>
    <x v="0"/>
    <x v="0"/>
    <s v="HC"/>
    <m/>
    <m/>
    <s v="Henry Ifurung Jr."/>
  </r>
  <r>
    <n v="1180"/>
    <s v="F0"/>
    <x v="60"/>
    <s v="H000004536"/>
    <s v="RT Switzerland Ogsiveo Sales Promotion"/>
    <s v="H000004535"/>
    <s v="New"/>
    <x v="0"/>
    <x v="0"/>
    <s v="HC"/>
    <m/>
    <m/>
    <s v="Henry Ifurung Jr."/>
  </r>
  <r>
    <n v="1181"/>
    <s v="F0"/>
    <x v="60"/>
    <s v="H000004537"/>
    <s v="RT Switzerland Ezmekly Sales Promotion"/>
    <s v="H000004535"/>
    <s v="New"/>
    <x v="0"/>
    <x v="0"/>
    <s v="HC"/>
    <m/>
    <m/>
    <s v="Henry Ifurung Jr."/>
  </r>
  <r>
    <n v="1182"/>
    <s v="F0"/>
    <x v="60"/>
    <s v="H000004538"/>
    <s v="RT Switzerland - General"/>
    <s v="H000004532"/>
    <s v="New"/>
    <x v="0"/>
    <x v="0"/>
    <s v="HC"/>
    <m/>
    <m/>
    <s v="Henry Ifurung Jr."/>
  </r>
  <r>
    <n v="1183"/>
    <s v="F0"/>
    <x v="60"/>
    <s v="H000004539"/>
    <s v="RT Switzerland - General Management"/>
    <s v="H000004538"/>
    <s v="New"/>
    <x v="0"/>
    <x v="0"/>
    <s v="HC"/>
    <m/>
    <m/>
    <s v="Henry Ifurung Jr."/>
  </r>
  <r>
    <n v="1184"/>
    <s v="F0"/>
    <x v="60"/>
    <s v="H000004540"/>
    <s v="RT Switzerland - MAP"/>
    <s v="H000004538"/>
    <s v="New"/>
    <x v="0"/>
    <x v="0"/>
    <s v="HC"/>
    <m/>
    <m/>
    <s v="Henry Ifurung Jr."/>
  </r>
  <r>
    <n v="1185"/>
    <s v="F0"/>
    <x v="60"/>
    <s v="H000004541"/>
    <s v="RT Switzerland - GAP"/>
    <s v="H000004538"/>
    <s v="New"/>
    <x v="0"/>
    <x v="0"/>
    <s v="HC"/>
    <m/>
    <m/>
    <s v="Henry Ifurung Jr."/>
  </r>
  <r>
    <n v="1186"/>
    <s v="F0"/>
    <x v="60"/>
    <s v="H000004542"/>
    <s v="RT Switzerland - Business Ops"/>
    <s v="H000004538"/>
    <s v="New"/>
    <x v="0"/>
    <x v="0"/>
    <s v="HC"/>
    <m/>
    <m/>
    <s v="Henry Ifurung Jr."/>
  </r>
  <r>
    <n v="1187"/>
    <s v="F0"/>
    <x v="60"/>
    <s v="H000004543"/>
    <s v="RT Switzerland - Other Operating Expense"/>
    <s v="H000004538"/>
    <s v="New"/>
    <x v="0"/>
    <x v="0"/>
    <s v="HC"/>
    <m/>
    <m/>
    <s v="Henry Ifurung Jr."/>
  </r>
  <r>
    <n v="1188"/>
    <s v="F0"/>
    <x v="60"/>
    <s v="H000004544"/>
    <s v="RT Switzerland Medical &amp; local R&amp;D"/>
    <s v="H000004409"/>
    <s v="New"/>
    <x v="0"/>
    <x v="0"/>
    <s v="HC"/>
    <m/>
    <m/>
    <s v="Henry Ifurung Jr."/>
  </r>
  <r>
    <n v="1189"/>
    <s v="F0"/>
    <x v="60"/>
    <s v="H000004545"/>
    <s v="RT Switzerland - Medical cost center"/>
    <s v="H000004544"/>
    <s v="New"/>
    <x v="0"/>
    <x v="0"/>
    <s v="HC"/>
    <m/>
    <m/>
    <s v="Henry Ifurung Jr."/>
  </r>
  <r>
    <n v="1190"/>
    <s v="F0"/>
    <x v="60"/>
    <s v="H000004546"/>
    <s v="RT Switzerland - Medical Non-R&amp;D Act"/>
    <s v="H000004544"/>
    <s v="New"/>
    <x v="0"/>
    <x v="0"/>
    <s v="HC"/>
    <m/>
    <m/>
    <s v="Henry Ifurung Jr."/>
  </r>
  <r>
    <n v="1191"/>
    <s v="F0"/>
    <x v="60"/>
    <s v="H000004547"/>
    <s v="RT Switzerland Ogsiveo Medical Act"/>
    <s v="H000004546"/>
    <s v="New"/>
    <x v="0"/>
    <x v="0"/>
    <s v="HC"/>
    <m/>
    <m/>
    <s v="Henry Ifurung Jr."/>
  </r>
  <r>
    <n v="1192"/>
    <s v="F0"/>
    <x v="60"/>
    <s v="H000004548"/>
    <s v="RT Switzerland Ezmekly Medical Act"/>
    <s v="H000004546"/>
    <s v="New"/>
    <x v="0"/>
    <x v="0"/>
    <s v="HC"/>
    <m/>
    <m/>
    <s v="Henry Ifurung Jr."/>
  </r>
  <r>
    <n v="1193"/>
    <s v="F0"/>
    <x v="60"/>
    <s v="H000004549"/>
    <s v="RT Switzerland Local R&amp;D - Studies"/>
    <s v="H000004544"/>
    <s v="New"/>
    <x v="0"/>
    <x v="0"/>
    <s v="HC"/>
    <m/>
    <m/>
    <s v="Henry Ifurung Jr."/>
  </r>
  <r>
    <n v="1194"/>
    <s v="F0"/>
    <x v="60"/>
    <s v="H000004550"/>
    <s v="RT Switzerland Ogsiveo Local R&amp;D Studies"/>
    <s v="H000004549"/>
    <s v="New"/>
    <x v="0"/>
    <x v="0"/>
    <s v="HC"/>
    <m/>
    <m/>
    <s v="Henry Ifurung Jr."/>
  </r>
  <r>
    <n v="1195"/>
    <s v="F0"/>
    <x v="60"/>
    <s v="H000004551"/>
    <s v="RT Switzerland Ezmekly Local R&amp;D Studies"/>
    <s v="H000004549"/>
    <s v="New"/>
    <x v="0"/>
    <x v="0"/>
    <s v="HC"/>
    <m/>
    <m/>
    <s v="Henry Ifurung Jr."/>
  </r>
  <r>
    <n v="1196"/>
    <s v="F0"/>
    <x v="60"/>
    <s v="H000004552"/>
    <s v="RT Portugal Commercial"/>
    <s v="H000004407"/>
    <s v="New"/>
    <x v="0"/>
    <x v="0"/>
    <s v="HC"/>
    <m/>
    <m/>
    <s v="Henry Ifurung Jr."/>
  </r>
  <r>
    <n v="1197"/>
    <s v="F0"/>
    <x v="60"/>
    <s v="H000004553"/>
    <s v="RT Portugal Field Force"/>
    <s v="H000004552"/>
    <s v="New"/>
    <x v="0"/>
    <x v="0"/>
    <s v="HC"/>
    <m/>
    <m/>
    <s v="Henry Ifurung Jr."/>
  </r>
  <r>
    <n v="1198"/>
    <s v="F0"/>
    <x v="60"/>
    <s v="H000004554"/>
    <s v="RT Portugal Marketing"/>
    <s v="H000004552"/>
    <s v="New"/>
    <x v="0"/>
    <x v="0"/>
    <s v="HC"/>
    <m/>
    <m/>
    <s v="Henry Ifurung Jr."/>
  </r>
  <r>
    <n v="1199"/>
    <s v="F0"/>
    <x v="60"/>
    <s v="H000004555"/>
    <s v="RT Portugal Sales Promotion"/>
    <s v="H000004552"/>
    <s v="New"/>
    <x v="0"/>
    <x v="0"/>
    <s v="HC"/>
    <m/>
    <m/>
    <s v="Henry Ifurung Jr."/>
  </r>
  <r>
    <n v="1200"/>
    <s v="F0"/>
    <x v="60"/>
    <s v="H000004556"/>
    <s v="RT Portugal Ogsiveo Sales Promotion"/>
    <s v="H000004555"/>
    <s v="New"/>
    <x v="0"/>
    <x v="0"/>
    <s v="HC"/>
    <m/>
    <m/>
    <s v="Henry Ifurung Jr."/>
  </r>
  <r>
    <n v="1201"/>
    <s v="F0"/>
    <x v="60"/>
    <s v="H000004557"/>
    <s v="RT Portugal Ezmekly Sales Promotion"/>
    <s v="H000004555"/>
    <s v="New"/>
    <x v="0"/>
    <x v="0"/>
    <s v="HC"/>
    <m/>
    <m/>
    <s v="Henry Ifurung Jr."/>
  </r>
  <r>
    <n v="1202"/>
    <s v="F0"/>
    <x v="60"/>
    <s v="H000004558"/>
    <s v="RT Portugal - General"/>
    <s v="H000004552"/>
    <s v="New"/>
    <x v="0"/>
    <x v="0"/>
    <s v="HC"/>
    <m/>
    <m/>
    <s v="Henry Ifurung Jr."/>
  </r>
  <r>
    <n v="1203"/>
    <s v="F0"/>
    <x v="60"/>
    <s v="H000004559"/>
    <s v="RT Portugal - General Management"/>
    <s v="H000004558"/>
    <s v="New"/>
    <x v="0"/>
    <x v="0"/>
    <s v="HC"/>
    <m/>
    <m/>
    <s v="Henry Ifurung Jr."/>
  </r>
  <r>
    <n v="1204"/>
    <s v="F0"/>
    <x v="60"/>
    <s v="H000004560"/>
    <s v="RT Portugal - MAP"/>
    <s v="H000004558"/>
    <s v="New"/>
    <x v="0"/>
    <x v="0"/>
    <s v="HC"/>
    <m/>
    <m/>
    <s v="Henry Ifurung Jr."/>
  </r>
  <r>
    <n v="1205"/>
    <s v="F0"/>
    <x v="60"/>
    <s v="H000004561"/>
    <s v="RT Portugal - GAP"/>
    <s v="H000004558"/>
    <s v="New"/>
    <x v="0"/>
    <x v="0"/>
    <s v="HC"/>
    <m/>
    <m/>
    <s v="Henry Ifurung Jr."/>
  </r>
  <r>
    <n v="1206"/>
    <s v="F0"/>
    <x v="60"/>
    <s v="H000004562"/>
    <s v="RT Portugal - Business Ops"/>
    <s v="H000004558"/>
    <s v="New"/>
    <x v="0"/>
    <x v="0"/>
    <s v="HC"/>
    <m/>
    <m/>
    <s v="Henry Ifurung Jr."/>
  </r>
  <r>
    <n v="1207"/>
    <s v="F0"/>
    <x v="60"/>
    <s v="H000004563"/>
    <s v="RT Portugal - Other Operating Expense"/>
    <s v="H000004558"/>
    <s v="New"/>
    <x v="0"/>
    <x v="0"/>
    <s v="HC"/>
    <m/>
    <m/>
    <s v="Henry Ifurung Jr."/>
  </r>
  <r>
    <n v="1208"/>
    <s v="F0"/>
    <x v="60"/>
    <s v="H000004564"/>
    <s v="RT Portugal Medical &amp; local R&amp;D"/>
    <s v="H000004409"/>
    <s v="New"/>
    <x v="0"/>
    <x v="0"/>
    <s v="HC"/>
    <m/>
    <m/>
    <s v="Henry Ifurung Jr."/>
  </r>
  <r>
    <n v="1209"/>
    <s v="F0"/>
    <x v="60"/>
    <s v="H000004565"/>
    <s v="RT Portugal - Medical cost center"/>
    <s v="H000004564"/>
    <s v="New"/>
    <x v="0"/>
    <x v="0"/>
    <s v="HC"/>
    <m/>
    <m/>
    <s v="Henry Ifurung Jr."/>
  </r>
  <r>
    <n v="1210"/>
    <s v="F0"/>
    <x v="60"/>
    <s v="H000004566"/>
    <s v="RT Portugal - Medical Non-R&amp;D Activities"/>
    <s v="H000004564"/>
    <s v="New"/>
    <x v="0"/>
    <x v="0"/>
    <s v="HC"/>
    <m/>
    <m/>
    <s v="Henry Ifurung Jr."/>
  </r>
  <r>
    <n v="1211"/>
    <s v="F0"/>
    <x v="60"/>
    <s v="H000004567"/>
    <s v="RT Portugal Ogsiveo Medical Activities"/>
    <s v="H000004566"/>
    <s v="New"/>
    <x v="0"/>
    <x v="0"/>
    <s v="HC"/>
    <m/>
    <m/>
    <s v="Henry Ifurung Jr."/>
  </r>
  <r>
    <n v="1212"/>
    <s v="F0"/>
    <x v="60"/>
    <s v="H000004568"/>
    <s v="RT Portugal Ezmekly Medical Activities"/>
    <s v="H000004566"/>
    <s v="New"/>
    <x v="0"/>
    <x v="0"/>
    <s v="HC"/>
    <m/>
    <m/>
    <s v="Henry Ifurung Jr."/>
  </r>
  <r>
    <n v="1213"/>
    <s v="F0"/>
    <x v="60"/>
    <s v="H000004569"/>
    <s v="RT Portugal Local R&amp;D - Studies"/>
    <s v="H000004564"/>
    <s v="New"/>
    <x v="0"/>
    <x v="0"/>
    <s v="HC"/>
    <m/>
    <m/>
    <s v="Henry Ifurung Jr."/>
  </r>
  <r>
    <n v="1214"/>
    <s v="F0"/>
    <x v="60"/>
    <s v="H000004570"/>
    <s v="RT Portugal Ogsiveo Local R&amp;D Studies"/>
    <s v="H000004569"/>
    <s v="New"/>
    <x v="0"/>
    <x v="0"/>
    <s v="HC"/>
    <m/>
    <m/>
    <s v="Henry Ifurung Jr."/>
  </r>
  <r>
    <n v="1215"/>
    <s v="F0"/>
    <x v="60"/>
    <s v="H000004571"/>
    <s v="RT Portugal Ezmekly Local R&amp;D Studies"/>
    <s v="H000004569"/>
    <s v="New"/>
    <x v="0"/>
    <x v="0"/>
    <s v="HC"/>
    <m/>
    <m/>
    <s v="Henry Ifurung Jr."/>
  </r>
  <r>
    <n v="1216"/>
    <s v="F0"/>
    <x v="60"/>
    <s v="H000004572"/>
    <s v="RT Israel Commercial"/>
    <s v="H000004407"/>
    <s v="New"/>
    <x v="0"/>
    <x v="0"/>
    <s v="HC"/>
    <m/>
    <m/>
    <s v="Henry Ifurung Jr."/>
  </r>
  <r>
    <n v="1217"/>
    <s v="F0"/>
    <x v="60"/>
    <s v="H000004573"/>
    <s v="RT Israel Field Force"/>
    <s v="H000004572"/>
    <s v="New"/>
    <x v="0"/>
    <x v="0"/>
    <s v="HC"/>
    <m/>
    <m/>
    <s v="Henry Ifurung Jr."/>
  </r>
  <r>
    <n v="1218"/>
    <s v="F0"/>
    <x v="60"/>
    <s v="H000004574"/>
    <s v="RT Israel Marketing"/>
    <s v="H000004572"/>
    <s v="New"/>
    <x v="0"/>
    <x v="0"/>
    <s v="HC"/>
    <m/>
    <m/>
    <s v="Henry Ifurung Jr."/>
  </r>
  <r>
    <n v="1219"/>
    <s v="F0"/>
    <x v="60"/>
    <s v="H000004575"/>
    <s v="RT Israel Sales Promotion"/>
    <s v="H000004572"/>
    <s v="New"/>
    <x v="0"/>
    <x v="0"/>
    <s v="HC"/>
    <m/>
    <m/>
    <s v="Henry Ifurung Jr."/>
  </r>
  <r>
    <n v="1220"/>
    <s v="F0"/>
    <x v="60"/>
    <s v="H000004576"/>
    <s v="RT Israel Ogsiveo Sales Promotion"/>
    <s v="H000004575"/>
    <s v="New"/>
    <x v="0"/>
    <x v="0"/>
    <s v="HC"/>
    <m/>
    <m/>
    <s v="Henry Ifurung Jr."/>
  </r>
  <r>
    <n v="1221"/>
    <s v="F0"/>
    <x v="60"/>
    <s v="H000004577"/>
    <s v="RT Israel Ezmekly Sales Promotion"/>
    <s v="H000004575"/>
    <s v="New"/>
    <x v="0"/>
    <x v="0"/>
    <s v="HC"/>
    <m/>
    <m/>
    <s v="Henry Ifurung Jr."/>
  </r>
  <r>
    <n v="1222"/>
    <s v="F0"/>
    <x v="60"/>
    <s v="H000004578"/>
    <s v="RT Israel - General"/>
    <s v="H000004572"/>
    <s v="New"/>
    <x v="0"/>
    <x v="0"/>
    <s v="HC"/>
    <m/>
    <m/>
    <s v="Henry Ifurung Jr."/>
  </r>
  <r>
    <n v="1223"/>
    <s v="F0"/>
    <x v="60"/>
    <s v="H000004579"/>
    <s v="RT Israel - General Management"/>
    <s v="H000004578"/>
    <s v="New"/>
    <x v="0"/>
    <x v="0"/>
    <s v="HC"/>
    <m/>
    <m/>
    <s v="Henry Ifurung Jr."/>
  </r>
  <r>
    <n v="1224"/>
    <s v="F0"/>
    <x v="60"/>
    <s v="H000004580"/>
    <s v="RT Israel - MAP"/>
    <s v="H000004578"/>
    <s v="New"/>
    <x v="0"/>
    <x v="0"/>
    <s v="HC"/>
    <m/>
    <m/>
    <s v="Henry Ifurung Jr."/>
  </r>
  <r>
    <n v="1225"/>
    <s v="F0"/>
    <x v="60"/>
    <s v="H000004581"/>
    <s v="RT Israel - GAP"/>
    <s v="H000004578"/>
    <s v="New"/>
    <x v="0"/>
    <x v="0"/>
    <s v="HC"/>
    <m/>
    <m/>
    <s v="Henry Ifurung Jr."/>
  </r>
  <r>
    <n v="1226"/>
    <s v="F0"/>
    <x v="60"/>
    <s v="H000004582"/>
    <s v="RT Israel - Business Ops"/>
    <s v="H000004578"/>
    <s v="New"/>
    <x v="0"/>
    <x v="0"/>
    <s v="HC"/>
    <m/>
    <m/>
    <s v="Henry Ifurung Jr."/>
  </r>
  <r>
    <n v="1227"/>
    <s v="F0"/>
    <x v="60"/>
    <s v="H000004583"/>
    <s v="RT Israel - Other Operating Expense"/>
    <s v="H000004578"/>
    <s v="New"/>
    <x v="0"/>
    <x v="0"/>
    <s v="HC"/>
    <m/>
    <m/>
    <s v="Henry Ifurung Jr."/>
  </r>
  <r>
    <n v="1228"/>
    <s v="F0"/>
    <x v="60"/>
    <s v="H000004584"/>
    <s v="RT Israel Medical &amp; local R&amp;D"/>
    <s v="H000004409"/>
    <s v="New"/>
    <x v="0"/>
    <x v="0"/>
    <s v="HC"/>
    <m/>
    <m/>
    <s v="Henry Ifurung Jr."/>
  </r>
  <r>
    <n v="1229"/>
    <s v="F0"/>
    <x v="60"/>
    <s v="H000004585"/>
    <s v="RT Israel - Medical cost center"/>
    <s v="H000004584"/>
    <s v="New"/>
    <x v="0"/>
    <x v="0"/>
    <s v="HC"/>
    <m/>
    <m/>
    <s v="Henry Ifurung Jr."/>
  </r>
  <r>
    <n v="1230"/>
    <s v="F0"/>
    <x v="60"/>
    <s v="H000004586"/>
    <s v="RT Israel - Medical Non-R&amp;D Activities"/>
    <s v="H000004584"/>
    <s v="New"/>
    <x v="0"/>
    <x v="0"/>
    <s v="HC"/>
    <m/>
    <m/>
    <s v="Henry Ifurung Jr."/>
  </r>
  <r>
    <n v="1231"/>
    <s v="F0"/>
    <x v="60"/>
    <s v="H000004587"/>
    <s v="RT Israel Ogsiveo Medical Activities"/>
    <s v="H000004586"/>
    <s v="New"/>
    <x v="0"/>
    <x v="0"/>
    <s v="HC"/>
    <m/>
    <m/>
    <s v="Henry Ifurung Jr."/>
  </r>
  <r>
    <n v="1232"/>
    <s v="F0"/>
    <x v="60"/>
    <s v="H000004588"/>
    <s v="RT Israel Ezmekly Medical Activities"/>
    <s v="H000004586"/>
    <s v="New"/>
    <x v="0"/>
    <x v="0"/>
    <s v="HC"/>
    <m/>
    <m/>
    <s v="Henry Ifurung Jr."/>
  </r>
  <r>
    <n v="1233"/>
    <s v="F0"/>
    <x v="60"/>
    <s v="H000004589"/>
    <s v="RT Israel Local R&amp;D - Studies"/>
    <s v="H000004584"/>
    <s v="New"/>
    <x v="0"/>
    <x v="0"/>
    <s v="HC"/>
    <m/>
    <m/>
    <s v="Henry Ifurung Jr."/>
  </r>
  <r>
    <n v="1234"/>
    <s v="F0"/>
    <x v="60"/>
    <s v="H000004590"/>
    <s v="RT Israel Ogsiveo Local R&amp;D Studies"/>
    <s v="H000004589"/>
    <s v="New"/>
    <x v="0"/>
    <x v="0"/>
    <s v="HC"/>
    <m/>
    <m/>
    <s v="Henry Ifurung Jr."/>
  </r>
  <r>
    <n v="1235"/>
    <s v="F0"/>
    <x v="60"/>
    <s v="H000004591"/>
    <s v="RT Israel Ezmekly Local R&amp;D Studies"/>
    <s v="H000004589"/>
    <s v="New"/>
    <x v="0"/>
    <x v="0"/>
    <s v="HC"/>
    <m/>
    <m/>
    <s v="Henry Ifurung Jr."/>
  </r>
  <r>
    <n v="1236"/>
    <s v="F0"/>
    <x v="60"/>
    <s v="H000004592"/>
    <s v="RT Poland Commercial"/>
    <s v="H000004407"/>
    <s v="New"/>
    <x v="0"/>
    <x v="0"/>
    <s v="HC"/>
    <m/>
    <m/>
    <s v="Henry Ifurung Jr."/>
  </r>
  <r>
    <n v="1237"/>
    <s v="F0"/>
    <x v="60"/>
    <s v="H000004593"/>
    <s v="RT Poland Field Force"/>
    <s v="H000004592"/>
    <s v="New"/>
    <x v="0"/>
    <x v="0"/>
    <s v="HC"/>
    <m/>
    <m/>
    <s v="Henry Ifurung Jr."/>
  </r>
  <r>
    <n v="1238"/>
    <s v="F0"/>
    <x v="60"/>
    <s v="H000004594"/>
    <s v="RT Poland Marketing"/>
    <s v="H000004592"/>
    <s v="New"/>
    <x v="0"/>
    <x v="0"/>
    <s v="HC"/>
    <m/>
    <m/>
    <s v="Henry Ifurung Jr."/>
  </r>
  <r>
    <n v="1239"/>
    <s v="F0"/>
    <x v="60"/>
    <s v="H000004595"/>
    <s v="RT Poland Sales Promotion"/>
    <s v="H000004592"/>
    <s v="New"/>
    <x v="0"/>
    <x v="0"/>
    <s v="HC"/>
    <m/>
    <m/>
    <s v="Henry Ifurung Jr."/>
  </r>
  <r>
    <n v="1240"/>
    <s v="F0"/>
    <x v="60"/>
    <s v="H000004596"/>
    <s v="RT Poland Ogsiveo Sales Promotion"/>
    <s v="H000004595"/>
    <s v="New"/>
    <x v="0"/>
    <x v="0"/>
    <s v="HC"/>
    <m/>
    <m/>
    <s v="Henry Ifurung Jr."/>
  </r>
  <r>
    <n v="1241"/>
    <s v="F0"/>
    <x v="60"/>
    <s v="H000004597"/>
    <s v="RT Poland Ezmekly Sales Promotion"/>
    <s v="H000004595"/>
    <s v="New"/>
    <x v="0"/>
    <x v="0"/>
    <s v="HC"/>
    <m/>
    <m/>
    <s v="Henry Ifurung Jr."/>
  </r>
  <r>
    <n v="1242"/>
    <s v="F0"/>
    <x v="60"/>
    <s v="H000004598"/>
    <s v="RT Poland - General"/>
    <s v="H000004592"/>
    <s v="New"/>
    <x v="0"/>
    <x v="0"/>
    <s v="HC"/>
    <m/>
    <m/>
    <s v="Henry Ifurung Jr."/>
  </r>
  <r>
    <n v="1243"/>
    <s v="F0"/>
    <x v="60"/>
    <s v="H000004599"/>
    <s v="RT Poland - General Management"/>
    <s v="H000004598"/>
    <s v="New"/>
    <x v="0"/>
    <x v="0"/>
    <s v="HC"/>
    <m/>
    <m/>
    <s v="Henry Ifurung Jr."/>
  </r>
  <r>
    <n v="1244"/>
    <s v="F0"/>
    <x v="60"/>
    <s v="H000004600"/>
    <s v="RT Poland - MAP"/>
    <s v="H000004598"/>
    <s v="New"/>
    <x v="0"/>
    <x v="0"/>
    <s v="HC"/>
    <m/>
    <m/>
    <s v="Henry Ifurung Jr."/>
  </r>
  <r>
    <n v="1245"/>
    <s v="F0"/>
    <x v="60"/>
    <s v="H000004601"/>
    <s v="RT Poland - GAP"/>
    <s v="H000004598"/>
    <s v="New"/>
    <x v="0"/>
    <x v="0"/>
    <s v="HC"/>
    <m/>
    <m/>
    <s v="Henry Ifurung Jr."/>
  </r>
  <r>
    <n v="1246"/>
    <s v="F0"/>
    <x v="60"/>
    <s v="H000004602"/>
    <s v="RT Poland - Business Ops"/>
    <s v="H000004598"/>
    <s v="New"/>
    <x v="0"/>
    <x v="0"/>
    <s v="HC"/>
    <m/>
    <m/>
    <s v="Henry Ifurung Jr."/>
  </r>
  <r>
    <n v="1247"/>
    <s v="F0"/>
    <x v="60"/>
    <s v="H000004603"/>
    <s v="RT Poland - Other Operating Expense"/>
    <s v="H000004598"/>
    <s v="New"/>
    <x v="0"/>
    <x v="0"/>
    <s v="HC"/>
    <m/>
    <m/>
    <s v="Henry Ifurung Jr."/>
  </r>
  <r>
    <n v="1248"/>
    <s v="F0"/>
    <x v="60"/>
    <s v="H000004604"/>
    <s v="RT Poland Medical &amp; local R&amp;D"/>
    <s v="H000004409"/>
    <s v="New"/>
    <x v="0"/>
    <x v="0"/>
    <s v="HC"/>
    <m/>
    <m/>
    <s v="Henry Ifurung Jr."/>
  </r>
  <r>
    <n v="1249"/>
    <s v="F0"/>
    <x v="60"/>
    <s v="H000004605"/>
    <s v="RT Poland - Medical cost center"/>
    <s v="H000004604"/>
    <s v="New"/>
    <x v="0"/>
    <x v="0"/>
    <s v="HC"/>
    <m/>
    <m/>
    <s v="Henry Ifurung Jr."/>
  </r>
  <r>
    <n v="1250"/>
    <s v="F0"/>
    <x v="60"/>
    <s v="H000004606"/>
    <s v="RT Poland - Medical Non-R&amp;D Activities"/>
    <s v="H000004604"/>
    <s v="New"/>
    <x v="0"/>
    <x v="0"/>
    <s v="HC"/>
    <m/>
    <m/>
    <s v="Henry Ifurung Jr."/>
  </r>
  <r>
    <n v="1251"/>
    <s v="F0"/>
    <x v="60"/>
    <s v="H000004607"/>
    <s v="RT Poland Ogsiveo Medical Activities"/>
    <s v="H000004606"/>
    <s v="New"/>
    <x v="0"/>
    <x v="0"/>
    <s v="HC"/>
    <m/>
    <m/>
    <s v="Henry Ifurung Jr."/>
  </r>
  <r>
    <n v="1252"/>
    <s v="F0"/>
    <x v="60"/>
    <s v="H000004608"/>
    <s v="RT Poland Ezmekly Medical Activities"/>
    <s v="H000004606"/>
    <s v="New"/>
    <x v="0"/>
    <x v="0"/>
    <s v="HC"/>
    <m/>
    <m/>
    <s v="Henry Ifurung Jr."/>
  </r>
  <r>
    <n v="1253"/>
    <s v="F0"/>
    <x v="60"/>
    <s v="H000004609"/>
    <s v="RT Poland Local R&amp;D - Studies"/>
    <s v="H000004604"/>
    <s v="New"/>
    <x v="0"/>
    <x v="0"/>
    <s v="HC"/>
    <m/>
    <m/>
    <s v="Henry Ifurung Jr."/>
  </r>
  <r>
    <n v="1254"/>
    <s v="F0"/>
    <x v="60"/>
    <s v="H000004610"/>
    <s v="RT Poland Ogsiveo Local R&amp;D Studies"/>
    <s v="H000004609"/>
    <s v="New"/>
    <x v="0"/>
    <x v="0"/>
    <s v="HC"/>
    <m/>
    <m/>
    <s v="Henry Ifurung Jr."/>
  </r>
  <r>
    <n v="1255"/>
    <s v="F0"/>
    <x v="60"/>
    <s v="H000004611"/>
    <s v="RT Poland Ezmekly Local R&amp;D Studies"/>
    <s v="H000004609"/>
    <s v="New"/>
    <x v="0"/>
    <x v="0"/>
    <s v="HC"/>
    <m/>
    <m/>
    <s v="Henry Ifurung Jr."/>
  </r>
  <r>
    <n v="1256"/>
    <s v="F0"/>
    <x v="60"/>
    <s v="H000004612"/>
    <s v="RT Belgium Commercial"/>
    <s v="H000004407"/>
    <s v="New"/>
    <x v="0"/>
    <x v="0"/>
    <s v="HC"/>
    <m/>
    <m/>
    <s v="Henry Ifurung Jr."/>
  </r>
  <r>
    <n v="1257"/>
    <s v="F0"/>
    <x v="60"/>
    <s v="H000004613"/>
    <s v="RT Belgium Field Force"/>
    <s v="H000004612"/>
    <s v="New"/>
    <x v="0"/>
    <x v="0"/>
    <s v="HC"/>
    <m/>
    <m/>
    <s v="Henry Ifurung Jr."/>
  </r>
  <r>
    <n v="1258"/>
    <s v="F0"/>
    <x v="60"/>
    <s v="H000004614"/>
    <s v="RT Belgium Marketing"/>
    <s v="H000004612"/>
    <s v="New"/>
    <x v="0"/>
    <x v="0"/>
    <s v="HC"/>
    <m/>
    <m/>
    <s v="Henry Ifurung Jr."/>
  </r>
  <r>
    <n v="1259"/>
    <s v="F0"/>
    <x v="60"/>
    <s v="H000004615"/>
    <s v="RT Belgium Sales Promotion"/>
    <s v="H000004612"/>
    <s v="New"/>
    <x v="0"/>
    <x v="0"/>
    <s v="HC"/>
    <m/>
    <m/>
    <s v="Henry Ifurung Jr."/>
  </r>
  <r>
    <n v="1260"/>
    <s v="F0"/>
    <x v="60"/>
    <s v="H000004616"/>
    <s v="RT Belgium Ogsiveo Sales Promotion"/>
    <s v="H000004615"/>
    <s v="New"/>
    <x v="0"/>
    <x v="0"/>
    <s v="HC"/>
    <m/>
    <m/>
    <s v="Henry Ifurung Jr."/>
  </r>
  <r>
    <n v="1261"/>
    <s v="F0"/>
    <x v="60"/>
    <s v="H000004617"/>
    <s v="RT Belgium Ezmekly Sales Promotion"/>
    <s v="H000004615"/>
    <s v="New"/>
    <x v="0"/>
    <x v="0"/>
    <s v="HC"/>
    <m/>
    <m/>
    <s v="Henry Ifurung Jr."/>
  </r>
  <r>
    <n v="1262"/>
    <s v="F0"/>
    <x v="60"/>
    <s v="H000004618"/>
    <s v="RT Belgium - General"/>
    <s v="H000004612"/>
    <s v="New"/>
    <x v="0"/>
    <x v="0"/>
    <s v="HC"/>
    <m/>
    <m/>
    <s v="Henry Ifurung Jr."/>
  </r>
  <r>
    <n v="1263"/>
    <s v="F0"/>
    <x v="60"/>
    <s v="H000004619"/>
    <s v="RT Belgium - General Management"/>
    <s v="H000004618"/>
    <s v="New"/>
    <x v="0"/>
    <x v="0"/>
    <s v="HC"/>
    <m/>
    <m/>
    <s v="Henry Ifurung Jr."/>
  </r>
  <r>
    <n v="1264"/>
    <s v="F0"/>
    <x v="60"/>
    <s v="H000004620"/>
    <s v="RT Belgium - MAP"/>
    <s v="H000004618"/>
    <s v="New"/>
    <x v="0"/>
    <x v="0"/>
    <s v="HC"/>
    <m/>
    <m/>
    <s v="Henry Ifurung Jr."/>
  </r>
  <r>
    <n v="1265"/>
    <s v="F0"/>
    <x v="60"/>
    <s v="H000004621"/>
    <s v="RT Belgium - GAP"/>
    <s v="H000004618"/>
    <s v="New"/>
    <x v="0"/>
    <x v="0"/>
    <s v="HC"/>
    <m/>
    <m/>
    <s v="Henry Ifurung Jr."/>
  </r>
  <r>
    <n v="1266"/>
    <s v="F0"/>
    <x v="60"/>
    <s v="H000004622"/>
    <s v="RT Belgium - Business Ops"/>
    <s v="H000004618"/>
    <s v="New"/>
    <x v="0"/>
    <x v="0"/>
    <s v="HC"/>
    <m/>
    <m/>
    <s v="Henry Ifurung Jr."/>
  </r>
  <r>
    <n v="1267"/>
    <s v="F0"/>
    <x v="60"/>
    <s v="H000004623"/>
    <s v="RT Belgium - Other Operating Expense"/>
    <s v="H000004618"/>
    <s v="New"/>
    <x v="0"/>
    <x v="0"/>
    <s v="HC"/>
    <m/>
    <m/>
    <s v="Henry Ifurung Jr."/>
  </r>
  <r>
    <n v="1268"/>
    <s v="F0"/>
    <x v="60"/>
    <s v="H000004624"/>
    <s v="RT Belgium Medical &amp; local R&amp;D"/>
    <s v="H000004409"/>
    <s v="New"/>
    <x v="0"/>
    <x v="0"/>
    <s v="HC"/>
    <m/>
    <m/>
    <s v="Henry Ifurung Jr."/>
  </r>
  <r>
    <n v="1269"/>
    <s v="F0"/>
    <x v="60"/>
    <s v="H000004625"/>
    <s v="RT Belgium - Medical cost center"/>
    <s v="H000004624"/>
    <s v="New"/>
    <x v="0"/>
    <x v="0"/>
    <s v="HC"/>
    <m/>
    <m/>
    <s v="Henry Ifurung Jr."/>
  </r>
  <r>
    <n v="1270"/>
    <s v="F0"/>
    <x v="60"/>
    <s v="H000004626"/>
    <s v="RT Belgium - Medical Non-R&amp;D Activities"/>
    <s v="H000004624"/>
    <s v="New"/>
    <x v="0"/>
    <x v="0"/>
    <s v="HC"/>
    <m/>
    <m/>
    <s v="Henry Ifurung Jr."/>
  </r>
  <r>
    <n v="1271"/>
    <s v="F0"/>
    <x v="60"/>
    <s v="H000004627"/>
    <s v="RT Belgium Ogsiveo Medical Activities"/>
    <s v="H000004626"/>
    <s v="New"/>
    <x v="0"/>
    <x v="0"/>
    <s v="HC"/>
    <m/>
    <m/>
    <s v="Henry Ifurung Jr."/>
  </r>
  <r>
    <n v="1272"/>
    <s v="F0"/>
    <x v="60"/>
    <s v="H000004628"/>
    <s v="RT Belgium Ezmekly Medical Activities"/>
    <s v="H000004626"/>
    <s v="New"/>
    <x v="0"/>
    <x v="0"/>
    <s v="HC"/>
    <m/>
    <m/>
    <s v="Henry Ifurung Jr."/>
  </r>
  <r>
    <n v="1273"/>
    <s v="F0"/>
    <x v="60"/>
    <s v="H000004629"/>
    <s v="RT Belgium Local R&amp;D - Studies"/>
    <s v="H000004624"/>
    <s v="New"/>
    <x v="0"/>
    <x v="0"/>
    <s v="HC"/>
    <m/>
    <m/>
    <s v="Henry Ifurung Jr."/>
  </r>
  <r>
    <n v="1274"/>
    <s v="F0"/>
    <x v="60"/>
    <s v="H000004630"/>
    <s v="RT Belgium Ogsiveo Local R&amp;D Studies"/>
    <s v="H000004629"/>
    <s v="New"/>
    <x v="0"/>
    <x v="0"/>
    <s v="HC"/>
    <m/>
    <m/>
    <s v="Henry Ifurung Jr."/>
  </r>
  <r>
    <n v="1275"/>
    <s v="F0"/>
    <x v="60"/>
    <s v="H000004631"/>
    <s v="RT Belgium Ezmekly Local R&amp;D Studies"/>
    <s v="H000004629"/>
    <s v="New"/>
    <x v="0"/>
    <x v="0"/>
    <s v="HC"/>
    <m/>
    <m/>
    <s v="Henry Ifurung Jr."/>
  </r>
  <r>
    <n v="1276"/>
    <s v="F0"/>
    <x v="60"/>
    <s v="H000004632"/>
    <s v="RT Netherlands Commercial"/>
    <s v="H000004407"/>
    <s v="New"/>
    <x v="0"/>
    <x v="0"/>
    <s v="HC"/>
    <m/>
    <m/>
    <s v="Henry Ifurung Jr."/>
  </r>
  <r>
    <n v="1277"/>
    <s v="F0"/>
    <x v="60"/>
    <s v="H000004633"/>
    <s v="RT Netherlands Field Force"/>
    <s v="H000004632"/>
    <s v="New"/>
    <x v="0"/>
    <x v="0"/>
    <s v="HC"/>
    <m/>
    <m/>
    <s v="Henry Ifurung Jr."/>
  </r>
  <r>
    <n v="1278"/>
    <s v="F0"/>
    <x v="60"/>
    <s v="H000004634"/>
    <s v="RT Netherlands Marketing"/>
    <s v="H000004632"/>
    <s v="New"/>
    <x v="0"/>
    <x v="0"/>
    <s v="HC"/>
    <m/>
    <m/>
    <s v="Henry Ifurung Jr."/>
  </r>
  <r>
    <n v="1279"/>
    <s v="F0"/>
    <x v="60"/>
    <s v="H000004635"/>
    <s v="RT Netherlands Sales Promotion"/>
    <s v="H000004632"/>
    <s v="New"/>
    <x v="0"/>
    <x v="0"/>
    <s v="HC"/>
    <m/>
    <m/>
    <s v="Henry Ifurung Jr."/>
  </r>
  <r>
    <n v="1280"/>
    <s v="F0"/>
    <x v="60"/>
    <s v="H000004636"/>
    <s v="RT Netherlands Ogsiveo Sales Promotion"/>
    <s v="H000004635"/>
    <s v="New"/>
    <x v="0"/>
    <x v="0"/>
    <s v="HC"/>
    <m/>
    <m/>
    <s v="Henry Ifurung Jr."/>
  </r>
  <r>
    <n v="1281"/>
    <s v="F0"/>
    <x v="60"/>
    <s v="H000004637"/>
    <s v="RT Netherlands Ezmekly Sales Promotion"/>
    <s v="H000004635"/>
    <s v="New"/>
    <x v="0"/>
    <x v="0"/>
    <s v="HC"/>
    <m/>
    <m/>
    <s v="Henry Ifurung Jr."/>
  </r>
  <r>
    <n v="1282"/>
    <s v="F0"/>
    <x v="60"/>
    <s v="H000004638"/>
    <s v="RT Netherlands - General"/>
    <s v="H000004632"/>
    <s v="New"/>
    <x v="0"/>
    <x v="0"/>
    <s v="HC"/>
    <m/>
    <m/>
    <s v="Henry Ifurung Jr."/>
  </r>
  <r>
    <n v="1283"/>
    <s v="F0"/>
    <x v="60"/>
    <s v="H000004639"/>
    <s v="RT Netherlands - General Management"/>
    <s v="H000004638"/>
    <s v="New"/>
    <x v="0"/>
    <x v="0"/>
    <s v="HC"/>
    <m/>
    <m/>
    <s v="Henry Ifurung Jr."/>
  </r>
  <r>
    <n v="1284"/>
    <s v="F0"/>
    <x v="60"/>
    <s v="H000004640"/>
    <s v="RT Netherlands - MAP"/>
    <s v="H000004638"/>
    <s v="New"/>
    <x v="0"/>
    <x v="0"/>
    <s v="HC"/>
    <m/>
    <m/>
    <s v="Henry Ifurung Jr."/>
  </r>
  <r>
    <n v="1285"/>
    <s v="F0"/>
    <x v="60"/>
    <s v="H000004641"/>
    <s v="RT Netherlands - GAP"/>
    <s v="H000004638"/>
    <s v="New"/>
    <x v="0"/>
    <x v="0"/>
    <s v="HC"/>
    <m/>
    <m/>
    <s v="Henry Ifurung Jr."/>
  </r>
  <r>
    <n v="1286"/>
    <s v="F0"/>
    <x v="60"/>
    <s v="H000004642"/>
    <s v="RT Netherlands - Business Ops"/>
    <s v="H000004638"/>
    <s v="New"/>
    <x v="0"/>
    <x v="0"/>
    <s v="HC"/>
    <m/>
    <m/>
    <s v="Henry Ifurung Jr."/>
  </r>
  <r>
    <n v="1287"/>
    <s v="F0"/>
    <x v="60"/>
    <s v="H000004643"/>
    <s v="RT Netherlands - Other Operating Expense"/>
    <s v="H000004638"/>
    <s v="New"/>
    <x v="0"/>
    <x v="0"/>
    <s v="HC"/>
    <m/>
    <m/>
    <s v="Henry Ifurung Jr."/>
  </r>
  <r>
    <n v="1288"/>
    <s v="F0"/>
    <x v="60"/>
    <s v="H000004644"/>
    <s v="RT Netherlands Medical &amp; local R&amp;D"/>
    <s v="H000004409"/>
    <s v="New"/>
    <x v="0"/>
    <x v="0"/>
    <s v="HC"/>
    <m/>
    <m/>
    <s v="Henry Ifurung Jr."/>
  </r>
  <r>
    <n v="1289"/>
    <s v="F0"/>
    <x v="60"/>
    <s v="H000004645"/>
    <s v="RT Netherlands - Medical cost center"/>
    <s v="H000004644"/>
    <s v="New"/>
    <x v="0"/>
    <x v="0"/>
    <s v="HC"/>
    <m/>
    <m/>
    <s v="Henry Ifurung Jr."/>
  </r>
  <r>
    <n v="1290"/>
    <s v="F0"/>
    <x v="60"/>
    <s v="H000004646"/>
    <s v="RT Netherlands - Medical Non-R&amp;D Act"/>
    <s v="H000004644"/>
    <s v="New"/>
    <x v="0"/>
    <x v="0"/>
    <s v="HC"/>
    <m/>
    <m/>
    <s v="Henry Ifurung Jr."/>
  </r>
  <r>
    <n v="1291"/>
    <s v="F0"/>
    <x v="60"/>
    <s v="H000004647"/>
    <s v="RT Netherlands Ogsiveo Medical Act"/>
    <s v="H000004646"/>
    <s v="New"/>
    <x v="0"/>
    <x v="0"/>
    <s v="HC"/>
    <m/>
    <m/>
    <s v="Henry Ifurung Jr."/>
  </r>
  <r>
    <n v="1292"/>
    <s v="F0"/>
    <x v="60"/>
    <s v="H000004648"/>
    <s v="RT Netherlands Ezmekly Medical Act"/>
    <s v="H000004646"/>
    <s v="New"/>
    <x v="0"/>
    <x v="0"/>
    <s v="HC"/>
    <m/>
    <m/>
    <s v="Henry Ifurung Jr."/>
  </r>
  <r>
    <n v="1293"/>
    <s v="F0"/>
    <x v="60"/>
    <s v="H000004649"/>
    <s v="RT Netherlands Local R&amp;D - Studies"/>
    <s v="H000004644"/>
    <s v="New"/>
    <x v="0"/>
    <x v="0"/>
    <s v="HC"/>
    <m/>
    <m/>
    <s v="Henry Ifurung Jr."/>
  </r>
  <r>
    <n v="1294"/>
    <s v="F0"/>
    <x v="60"/>
    <s v="H000004650"/>
    <s v="RT Netherlands Ogsiveo Local R&amp;D Studies"/>
    <s v="H000004649"/>
    <s v="New"/>
    <x v="0"/>
    <x v="0"/>
    <s v="HC"/>
    <m/>
    <m/>
    <s v="Henry Ifurung Jr."/>
  </r>
  <r>
    <n v="1295"/>
    <s v="F0"/>
    <x v="60"/>
    <s v="H000004651"/>
    <s v="RT Netherlands Ezmekly Local R&amp;D Studies"/>
    <s v="H000004649"/>
    <s v="New"/>
    <x v="0"/>
    <x v="0"/>
    <s v="HC"/>
    <m/>
    <m/>
    <s v="Henry Ifurung Jr."/>
  </r>
  <r>
    <n v="1296"/>
    <s v="F0"/>
    <x v="60"/>
    <s v="H000004652"/>
    <s v="RT Romania Commercial"/>
    <s v="H000004407"/>
    <s v="New"/>
    <x v="0"/>
    <x v="0"/>
    <s v="HC"/>
    <m/>
    <m/>
    <s v="Henry Ifurung Jr."/>
  </r>
  <r>
    <n v="1297"/>
    <s v="F0"/>
    <x v="60"/>
    <s v="H000004653"/>
    <s v="RT Romania Field Force"/>
    <s v="H000004652"/>
    <s v="New"/>
    <x v="0"/>
    <x v="0"/>
    <s v="HC"/>
    <m/>
    <m/>
    <s v="Henry Ifurung Jr."/>
  </r>
  <r>
    <n v="1298"/>
    <s v="F0"/>
    <x v="60"/>
    <s v="H000004654"/>
    <s v="RT Romania Marketing"/>
    <s v="H000004652"/>
    <s v="New"/>
    <x v="0"/>
    <x v="0"/>
    <s v="HC"/>
    <m/>
    <m/>
    <s v="Henry Ifurung Jr."/>
  </r>
  <r>
    <n v="1299"/>
    <s v="F0"/>
    <x v="60"/>
    <s v="H000004655"/>
    <s v="RT Romania Sales Promotion"/>
    <s v="H000004652"/>
    <s v="New"/>
    <x v="0"/>
    <x v="0"/>
    <s v="HC"/>
    <m/>
    <m/>
    <s v="Henry Ifurung Jr."/>
  </r>
  <r>
    <n v="1300"/>
    <s v="F0"/>
    <x v="60"/>
    <s v="H000004656"/>
    <s v="RT Romania Ogsiveo Sales Promotion"/>
    <s v="H000004655"/>
    <s v="New"/>
    <x v="0"/>
    <x v="0"/>
    <s v="HC"/>
    <m/>
    <m/>
    <s v="Henry Ifurung Jr."/>
  </r>
  <r>
    <n v="1301"/>
    <s v="F0"/>
    <x v="60"/>
    <s v="H000004657"/>
    <s v="RT Romania Ezmekly Sales Promotion"/>
    <s v="H000004655"/>
    <s v="New"/>
    <x v="0"/>
    <x v="0"/>
    <s v="HC"/>
    <m/>
    <m/>
    <s v="Henry Ifurung Jr."/>
  </r>
  <r>
    <n v="1302"/>
    <s v="F0"/>
    <x v="60"/>
    <s v="H000004658"/>
    <s v="RT Romania - General"/>
    <s v="H000004652"/>
    <s v="New"/>
    <x v="0"/>
    <x v="0"/>
    <s v="HC"/>
    <m/>
    <m/>
    <s v="Henry Ifurung Jr."/>
  </r>
  <r>
    <n v="1303"/>
    <s v="F0"/>
    <x v="60"/>
    <s v="H000004659"/>
    <s v="RT Romania - General Management"/>
    <s v="H000004658"/>
    <s v="New"/>
    <x v="0"/>
    <x v="0"/>
    <s v="HC"/>
    <m/>
    <m/>
    <s v="Henry Ifurung Jr."/>
  </r>
  <r>
    <n v="1304"/>
    <s v="F0"/>
    <x v="60"/>
    <s v="H000004660"/>
    <s v="RT Romania - MAP"/>
    <s v="H000004658"/>
    <s v="New"/>
    <x v="0"/>
    <x v="0"/>
    <s v="HC"/>
    <m/>
    <m/>
    <s v="Henry Ifurung Jr."/>
  </r>
  <r>
    <n v="1305"/>
    <s v="F0"/>
    <x v="60"/>
    <s v="H000004661"/>
    <s v="RT Romania - GAP"/>
    <s v="H000004658"/>
    <s v="New"/>
    <x v="0"/>
    <x v="0"/>
    <s v="HC"/>
    <m/>
    <m/>
    <s v="Henry Ifurung Jr."/>
  </r>
  <r>
    <n v="1306"/>
    <s v="F0"/>
    <x v="60"/>
    <s v="H000004662"/>
    <s v="RT Romania - Business Ops"/>
    <s v="H000004658"/>
    <s v="New"/>
    <x v="0"/>
    <x v="0"/>
    <s v="HC"/>
    <m/>
    <m/>
    <s v="Henry Ifurung Jr."/>
  </r>
  <r>
    <n v="1307"/>
    <s v="F0"/>
    <x v="60"/>
    <s v="H000004663"/>
    <s v="RT Romania - Other Operating Expense"/>
    <s v="H000004658"/>
    <s v="New"/>
    <x v="0"/>
    <x v="0"/>
    <s v="HC"/>
    <m/>
    <m/>
    <s v="Henry Ifurung Jr."/>
  </r>
  <r>
    <n v="1308"/>
    <s v="F0"/>
    <x v="60"/>
    <s v="H000004664"/>
    <s v="RT Romania Medical &amp; local R&amp;D"/>
    <s v="H000004409"/>
    <s v="New"/>
    <x v="0"/>
    <x v="0"/>
    <s v="HC"/>
    <m/>
    <m/>
    <s v="Henry Ifurung Jr."/>
  </r>
  <r>
    <n v="1309"/>
    <s v="F0"/>
    <x v="60"/>
    <s v="H000004665"/>
    <s v="RT Romania - Medical cost center"/>
    <s v="H000004664"/>
    <s v="New"/>
    <x v="0"/>
    <x v="0"/>
    <s v="HC"/>
    <m/>
    <m/>
    <s v="Henry Ifurung Jr."/>
  </r>
  <r>
    <n v="1310"/>
    <s v="F0"/>
    <x v="60"/>
    <s v="H000004666"/>
    <s v="RT Romania - Medical Non-R&amp;D Activities"/>
    <s v="H000004664"/>
    <s v="New"/>
    <x v="0"/>
    <x v="0"/>
    <s v="HC"/>
    <m/>
    <m/>
    <s v="Henry Ifurung Jr."/>
  </r>
  <r>
    <n v="1311"/>
    <s v="F0"/>
    <x v="60"/>
    <s v="H000004667"/>
    <s v="RT Romania Ogsiveo Medical Activities"/>
    <s v="H000004666"/>
    <s v="New"/>
    <x v="0"/>
    <x v="0"/>
    <s v="HC"/>
    <m/>
    <m/>
    <s v="Henry Ifurung Jr."/>
  </r>
  <r>
    <n v="1312"/>
    <s v="F0"/>
    <x v="60"/>
    <s v="H000004668"/>
    <s v="RT Romania Ezmekly Medical Activities"/>
    <s v="H000004666"/>
    <s v="New"/>
    <x v="0"/>
    <x v="0"/>
    <s v="HC"/>
    <m/>
    <m/>
    <s v="Henry Ifurung Jr."/>
  </r>
  <r>
    <n v="1313"/>
    <s v="F0"/>
    <x v="60"/>
    <s v="H000004669"/>
    <s v="RT Romania Local R&amp;D - Studies"/>
    <s v="H000004664"/>
    <s v="New"/>
    <x v="0"/>
    <x v="0"/>
    <s v="HC"/>
    <m/>
    <m/>
    <s v="Henry Ifurung Jr."/>
  </r>
  <r>
    <n v="1314"/>
    <s v="F0"/>
    <x v="60"/>
    <s v="H000004670"/>
    <s v="RT Romania Ogsiveo Local R&amp;D Studies"/>
    <s v="H000004669"/>
    <s v="New"/>
    <x v="0"/>
    <x v="0"/>
    <s v="HC"/>
    <m/>
    <m/>
    <s v="Henry Ifurung Jr."/>
  </r>
  <r>
    <n v="1315"/>
    <s v="F0"/>
    <x v="60"/>
    <s v="H000004671"/>
    <s v="RT Romania Ezmekly Local R&amp;D Studies"/>
    <s v="H000004669"/>
    <s v="New"/>
    <x v="0"/>
    <x v="0"/>
    <s v="HC"/>
    <m/>
    <m/>
    <s v="Henry Ifurung Jr."/>
  </r>
  <r>
    <n v="1316"/>
    <s v="F0"/>
    <x v="60"/>
    <s v="H000004672"/>
    <s v="RT Denmark Commercial"/>
    <s v="H000004407"/>
    <s v="New"/>
    <x v="0"/>
    <x v="0"/>
    <s v="HC"/>
    <m/>
    <m/>
    <s v="Henry Ifurung Jr."/>
  </r>
  <r>
    <n v="1317"/>
    <s v="F0"/>
    <x v="60"/>
    <s v="H000004673"/>
    <s v="RT Denmark Field Force"/>
    <s v="H000004672"/>
    <s v="New"/>
    <x v="0"/>
    <x v="0"/>
    <s v="HC"/>
    <m/>
    <m/>
    <s v="Henry Ifurung Jr."/>
  </r>
  <r>
    <n v="1318"/>
    <s v="F0"/>
    <x v="60"/>
    <s v="H000004674"/>
    <s v="RT Denmark Marketing"/>
    <s v="H000004672"/>
    <s v="New"/>
    <x v="0"/>
    <x v="0"/>
    <s v="HC"/>
    <m/>
    <m/>
    <s v="Henry Ifurung Jr."/>
  </r>
  <r>
    <n v="1319"/>
    <s v="F0"/>
    <x v="60"/>
    <s v="H000004675"/>
    <s v="RT Denmark Sales Promotion"/>
    <s v="H000004672"/>
    <s v="New"/>
    <x v="0"/>
    <x v="0"/>
    <s v="HC"/>
    <m/>
    <m/>
    <s v="Henry Ifurung Jr."/>
  </r>
  <r>
    <n v="1320"/>
    <s v="F0"/>
    <x v="60"/>
    <s v="H000004676"/>
    <s v="RT Denmark Ogsiveo Sales Promotion"/>
    <s v="H000004675"/>
    <s v="New"/>
    <x v="0"/>
    <x v="0"/>
    <s v="HC"/>
    <m/>
    <m/>
    <s v="Henry Ifurung Jr."/>
  </r>
  <r>
    <n v="1321"/>
    <s v="F0"/>
    <x v="60"/>
    <s v="H000004677"/>
    <s v="RT Denmark Ezmekly Sales Promotion"/>
    <s v="H000004675"/>
    <s v="New"/>
    <x v="0"/>
    <x v="0"/>
    <s v="HC"/>
    <m/>
    <m/>
    <s v="Henry Ifurung Jr."/>
  </r>
  <r>
    <n v="1322"/>
    <s v="F0"/>
    <x v="60"/>
    <s v="H000004678"/>
    <s v="RT Denmark - General"/>
    <s v="H000004672"/>
    <s v="New"/>
    <x v="0"/>
    <x v="0"/>
    <s v="HC"/>
    <m/>
    <m/>
    <s v="Henry Ifurung Jr."/>
  </r>
  <r>
    <n v="1323"/>
    <s v="F0"/>
    <x v="60"/>
    <s v="H000004679"/>
    <s v="RT Denmark - General Management"/>
    <s v="H000004678"/>
    <s v="New"/>
    <x v="0"/>
    <x v="0"/>
    <s v="HC"/>
    <m/>
    <m/>
    <s v="Henry Ifurung Jr."/>
  </r>
  <r>
    <n v="1324"/>
    <s v="F0"/>
    <x v="60"/>
    <s v="H000004680"/>
    <s v="RT Denmark - MAP"/>
    <s v="H000004678"/>
    <s v="New"/>
    <x v="0"/>
    <x v="0"/>
    <s v="HC"/>
    <m/>
    <m/>
    <s v="Henry Ifurung Jr."/>
  </r>
  <r>
    <n v="1325"/>
    <s v="F0"/>
    <x v="60"/>
    <s v="H000004681"/>
    <s v="RT Denmark - GAP"/>
    <s v="H000004678"/>
    <s v="New"/>
    <x v="0"/>
    <x v="0"/>
    <s v="HC"/>
    <m/>
    <m/>
    <s v="Henry Ifurung Jr."/>
  </r>
  <r>
    <n v="1326"/>
    <s v="F0"/>
    <x v="60"/>
    <s v="H000004682"/>
    <s v="RT Denmark - Business Ops"/>
    <s v="H000004678"/>
    <s v="New"/>
    <x v="0"/>
    <x v="0"/>
    <s v="HC"/>
    <m/>
    <m/>
    <s v="Henry Ifurung Jr."/>
  </r>
  <r>
    <n v="1327"/>
    <s v="F0"/>
    <x v="60"/>
    <s v="H000004683"/>
    <s v="RT Denmark - Other Operating Expense"/>
    <s v="H000004678"/>
    <s v="New"/>
    <x v="0"/>
    <x v="0"/>
    <s v="HC"/>
    <m/>
    <m/>
    <s v="Henry Ifurung Jr."/>
  </r>
  <r>
    <n v="1328"/>
    <s v="F0"/>
    <x v="60"/>
    <s v="H000004684"/>
    <s v="RT Denmark Medical &amp; local R&amp;D"/>
    <s v="H000004409"/>
    <s v="New"/>
    <x v="0"/>
    <x v="0"/>
    <s v="HC"/>
    <m/>
    <m/>
    <s v="Henry Ifurung Jr."/>
  </r>
  <r>
    <n v="1329"/>
    <s v="F0"/>
    <x v="60"/>
    <s v="H000004685"/>
    <s v="RT Denmark - Medical cost center"/>
    <s v="H000004684"/>
    <s v="New"/>
    <x v="0"/>
    <x v="0"/>
    <s v="HC"/>
    <m/>
    <m/>
    <s v="Henry Ifurung Jr."/>
  </r>
  <r>
    <n v="1330"/>
    <s v="F0"/>
    <x v="60"/>
    <s v="H000004686"/>
    <s v="RT Denmark - Medical Non-R&amp;D Activities"/>
    <s v="H000004684"/>
    <s v="New"/>
    <x v="0"/>
    <x v="0"/>
    <s v="HC"/>
    <m/>
    <m/>
    <s v="Henry Ifurung Jr."/>
  </r>
  <r>
    <n v="1331"/>
    <s v="F0"/>
    <x v="60"/>
    <s v="H000004687"/>
    <s v="RT Denmark Ogsiveo Medical Activities"/>
    <s v="H000004686"/>
    <s v="New"/>
    <x v="0"/>
    <x v="0"/>
    <s v="HC"/>
    <m/>
    <m/>
    <s v="Henry Ifurung Jr."/>
  </r>
  <r>
    <n v="1332"/>
    <s v="F0"/>
    <x v="60"/>
    <s v="H000004688"/>
    <s v="RT Denmark Ezmekly Medical Activities"/>
    <s v="H000004686"/>
    <s v="New"/>
    <x v="0"/>
    <x v="0"/>
    <s v="HC"/>
    <m/>
    <m/>
    <s v="Henry Ifurung Jr."/>
  </r>
  <r>
    <n v="1333"/>
    <s v="F0"/>
    <x v="60"/>
    <s v="H000004689"/>
    <s v="RT Denmark Local R&amp;D - Studies"/>
    <s v="H000004684"/>
    <s v="New"/>
    <x v="0"/>
    <x v="0"/>
    <s v="HC"/>
    <m/>
    <m/>
    <s v="Henry Ifurung Jr."/>
  </r>
  <r>
    <n v="1334"/>
    <s v="F0"/>
    <x v="60"/>
    <s v="H000004690"/>
    <s v="RT Denmark Ogsiveo Local R&amp;D Studies"/>
    <s v="H000004689"/>
    <s v="New"/>
    <x v="0"/>
    <x v="0"/>
    <s v="HC"/>
    <m/>
    <m/>
    <s v="Henry Ifurung Jr."/>
  </r>
  <r>
    <n v="1335"/>
    <s v="F0"/>
    <x v="60"/>
    <s v="H000004691"/>
    <s v="RT Denmark Ezmekly Local R&amp;D Studies"/>
    <s v="H000004689"/>
    <s v="New"/>
    <x v="0"/>
    <x v="0"/>
    <s v="HC"/>
    <m/>
    <m/>
    <s v="Henry Ifurung Jr."/>
  </r>
  <r>
    <n v="1336"/>
    <s v="F0"/>
    <x v="60"/>
    <s v="H000004692"/>
    <s v="RT Sweden Commercial"/>
    <s v="H000004407"/>
    <s v="New"/>
    <x v="0"/>
    <x v="0"/>
    <s v="HC"/>
    <m/>
    <m/>
    <s v="Henry Ifurung Jr."/>
  </r>
  <r>
    <n v="1337"/>
    <s v="F0"/>
    <x v="60"/>
    <s v="H000004693"/>
    <s v="RT Sweden Field Force"/>
    <s v="H000004692"/>
    <s v="New"/>
    <x v="0"/>
    <x v="0"/>
    <s v="HC"/>
    <m/>
    <m/>
    <s v="Henry Ifurung Jr."/>
  </r>
  <r>
    <n v="1338"/>
    <s v="F0"/>
    <x v="60"/>
    <s v="H000004694"/>
    <s v="RT Sweden Marketing"/>
    <s v="H000004692"/>
    <s v="New"/>
    <x v="0"/>
    <x v="0"/>
    <s v="HC"/>
    <m/>
    <m/>
    <s v="Henry Ifurung Jr."/>
  </r>
  <r>
    <n v="1339"/>
    <s v="F0"/>
    <x v="60"/>
    <s v="H000004695"/>
    <s v="RT Sweden Sales Promotion"/>
    <s v="H000004692"/>
    <s v="New"/>
    <x v="0"/>
    <x v="0"/>
    <s v="HC"/>
    <m/>
    <m/>
    <s v="Henry Ifurung Jr."/>
  </r>
  <r>
    <n v="1340"/>
    <s v="F0"/>
    <x v="60"/>
    <s v="H000004696"/>
    <s v="RT Sweden Ogsiveo Sales Promotion"/>
    <s v="H000004695"/>
    <s v="New"/>
    <x v="0"/>
    <x v="0"/>
    <s v="HC"/>
    <m/>
    <m/>
    <s v="Henry Ifurung Jr."/>
  </r>
  <r>
    <n v="1341"/>
    <s v="F0"/>
    <x v="60"/>
    <s v="H000004697"/>
    <s v="RT Sweden Ezmekly Sales Promotion"/>
    <s v="H000004695"/>
    <s v="New"/>
    <x v="0"/>
    <x v="0"/>
    <s v="HC"/>
    <m/>
    <m/>
    <s v="Henry Ifurung Jr."/>
  </r>
  <r>
    <n v="1342"/>
    <s v="F0"/>
    <x v="60"/>
    <s v="H000004698"/>
    <s v="RT Sweden - General"/>
    <s v="H000004692"/>
    <s v="New"/>
    <x v="0"/>
    <x v="0"/>
    <s v="HC"/>
    <m/>
    <m/>
    <s v="Henry Ifurung Jr."/>
  </r>
  <r>
    <n v="1343"/>
    <s v="F0"/>
    <x v="60"/>
    <s v="H000004699"/>
    <s v="RT Sweden - General Management"/>
    <s v="H000004698"/>
    <s v="New"/>
    <x v="0"/>
    <x v="0"/>
    <s v="HC"/>
    <m/>
    <m/>
    <s v="Henry Ifurung Jr."/>
  </r>
  <r>
    <n v="1344"/>
    <s v="F0"/>
    <x v="60"/>
    <s v="H000004700"/>
    <s v="RT Sweden - MAP"/>
    <s v="H000004698"/>
    <s v="New"/>
    <x v="0"/>
    <x v="0"/>
    <s v="HC"/>
    <m/>
    <m/>
    <s v="Henry Ifurung Jr."/>
  </r>
  <r>
    <n v="1345"/>
    <s v="F0"/>
    <x v="60"/>
    <s v="H000004701"/>
    <s v="RT Sweden - GAP"/>
    <s v="H000004698"/>
    <s v="New"/>
    <x v="0"/>
    <x v="0"/>
    <s v="HC"/>
    <m/>
    <m/>
    <s v="Henry Ifurung Jr."/>
  </r>
  <r>
    <n v="1346"/>
    <s v="F0"/>
    <x v="60"/>
    <s v="H000004702"/>
    <s v="RT Sweden - Business Ops"/>
    <s v="H000004698"/>
    <s v="New"/>
    <x v="0"/>
    <x v="0"/>
    <s v="HC"/>
    <m/>
    <m/>
    <s v="Henry Ifurung Jr."/>
  </r>
  <r>
    <n v="1347"/>
    <s v="F0"/>
    <x v="60"/>
    <s v="H000004703"/>
    <s v="RT Sweden - Other Operating Expense"/>
    <s v="H000004698"/>
    <s v="New"/>
    <x v="0"/>
    <x v="0"/>
    <s v="HC"/>
    <m/>
    <m/>
    <s v="Henry Ifurung Jr."/>
  </r>
  <r>
    <n v="1348"/>
    <s v="F0"/>
    <x v="60"/>
    <s v="H000004704"/>
    <s v="RT Sweden Medical &amp; local R&amp;D"/>
    <s v="H000004409"/>
    <s v="New"/>
    <x v="0"/>
    <x v="0"/>
    <s v="HC"/>
    <m/>
    <m/>
    <s v="Henry Ifurung Jr."/>
  </r>
  <r>
    <n v="1349"/>
    <s v="F0"/>
    <x v="60"/>
    <s v="H000004705"/>
    <s v="RT Sweden - Medical cost center"/>
    <s v="H000004704"/>
    <s v="New"/>
    <x v="0"/>
    <x v="0"/>
    <s v="HC"/>
    <m/>
    <m/>
    <s v="Henry Ifurung Jr."/>
  </r>
  <r>
    <n v="1350"/>
    <s v="F0"/>
    <x v="60"/>
    <s v="H000004706"/>
    <s v="RT Sweden - Medical Non-R&amp;D Activities"/>
    <s v="H000004704"/>
    <s v="New"/>
    <x v="0"/>
    <x v="0"/>
    <s v="HC"/>
    <m/>
    <m/>
    <s v="Henry Ifurung Jr."/>
  </r>
  <r>
    <n v="1351"/>
    <s v="F0"/>
    <x v="60"/>
    <s v="H000004707"/>
    <s v="RT Sweden Ogsiveo Medical Activities"/>
    <s v="H000004706"/>
    <s v="New"/>
    <x v="0"/>
    <x v="0"/>
    <s v="HC"/>
    <m/>
    <m/>
    <s v="Henry Ifurung Jr."/>
  </r>
  <r>
    <n v="1352"/>
    <s v="F0"/>
    <x v="60"/>
    <s v="H000004708"/>
    <s v="RT Sweden Ezmekly Medical Activities"/>
    <s v="H000004706"/>
    <s v="New"/>
    <x v="0"/>
    <x v="0"/>
    <s v="HC"/>
    <m/>
    <m/>
    <s v="Henry Ifurung Jr."/>
  </r>
  <r>
    <n v="1353"/>
    <s v="F0"/>
    <x v="60"/>
    <s v="H000004709"/>
    <s v="RT Sweden Local R&amp;D - Studies"/>
    <s v="H000004704"/>
    <s v="New"/>
    <x v="0"/>
    <x v="0"/>
    <s v="HC"/>
    <m/>
    <m/>
    <s v="Henry Ifurung Jr."/>
  </r>
  <r>
    <n v="1354"/>
    <s v="F0"/>
    <x v="60"/>
    <s v="H000004710"/>
    <s v="RT Sweden Ogsiveo Local R&amp;D Studies"/>
    <s v="H000004709"/>
    <s v="New"/>
    <x v="0"/>
    <x v="0"/>
    <s v="HC"/>
    <m/>
    <m/>
    <s v="Henry Ifurung Jr."/>
  </r>
  <r>
    <n v="1355"/>
    <s v="F0"/>
    <x v="60"/>
    <s v="H000004711"/>
    <s v="RT Sweden Ezmekly Local R&amp;D Studies"/>
    <s v="H000004709"/>
    <s v="New"/>
    <x v="0"/>
    <x v="0"/>
    <s v="HC"/>
    <m/>
    <m/>
    <s v="Henry Ifurung Jr."/>
  </r>
  <r>
    <n v="1356"/>
    <s v="F0"/>
    <x v="60"/>
    <s v="H000004712"/>
    <s v="RT Finland Commercial"/>
    <s v="H000004407"/>
    <s v="New"/>
    <x v="0"/>
    <x v="0"/>
    <s v="HC"/>
    <m/>
    <m/>
    <s v="Henry Ifurung Jr."/>
  </r>
  <r>
    <n v="1357"/>
    <s v="F0"/>
    <x v="60"/>
    <s v="H000004713"/>
    <s v="RT Finland Field Force"/>
    <s v="H000004712"/>
    <s v="New"/>
    <x v="0"/>
    <x v="0"/>
    <s v="HC"/>
    <m/>
    <m/>
    <s v="Henry Ifurung Jr."/>
  </r>
  <r>
    <n v="1358"/>
    <s v="F0"/>
    <x v="60"/>
    <s v="H000004714"/>
    <s v="RT Finland Marketing"/>
    <s v="H000004712"/>
    <s v="New"/>
    <x v="0"/>
    <x v="0"/>
    <s v="HC"/>
    <m/>
    <m/>
    <s v="Henry Ifurung Jr."/>
  </r>
  <r>
    <n v="1359"/>
    <s v="F0"/>
    <x v="60"/>
    <s v="H000004715"/>
    <s v="RT Finland Sales Promotion"/>
    <s v="H000004712"/>
    <s v="New"/>
    <x v="0"/>
    <x v="0"/>
    <s v="HC"/>
    <m/>
    <m/>
    <s v="Henry Ifurung Jr."/>
  </r>
  <r>
    <n v="1360"/>
    <s v="F0"/>
    <x v="60"/>
    <s v="H000004716"/>
    <s v="RT Finland Ogsiveo Sales Promotion"/>
    <s v="H000004715"/>
    <s v="New"/>
    <x v="0"/>
    <x v="0"/>
    <s v="HC"/>
    <m/>
    <m/>
    <s v="Henry Ifurung Jr."/>
  </r>
  <r>
    <n v="1361"/>
    <s v="F0"/>
    <x v="60"/>
    <s v="H000004717"/>
    <s v="RT Finland Ezmekly Sales Promotion"/>
    <s v="H000004715"/>
    <s v="New"/>
    <x v="0"/>
    <x v="0"/>
    <s v="HC"/>
    <m/>
    <m/>
    <s v="Henry Ifurung Jr."/>
  </r>
  <r>
    <n v="1362"/>
    <s v="F0"/>
    <x v="60"/>
    <s v="H000004718"/>
    <s v="RT Finland - General"/>
    <s v="H000004712"/>
    <s v="New"/>
    <x v="0"/>
    <x v="0"/>
    <s v="HC"/>
    <m/>
    <m/>
    <s v="Henry Ifurung Jr."/>
  </r>
  <r>
    <n v="1363"/>
    <s v="F0"/>
    <x v="60"/>
    <s v="H000004719"/>
    <s v="RT Finland - General Management"/>
    <s v="H000004718"/>
    <s v="New"/>
    <x v="0"/>
    <x v="0"/>
    <s v="HC"/>
    <m/>
    <m/>
    <s v="Henry Ifurung Jr."/>
  </r>
  <r>
    <n v="1364"/>
    <s v="F0"/>
    <x v="60"/>
    <s v="H000004720"/>
    <s v="RT Finland - MAP"/>
    <s v="H000004718"/>
    <s v="New"/>
    <x v="0"/>
    <x v="0"/>
    <s v="HC"/>
    <m/>
    <m/>
    <s v="Henry Ifurung Jr."/>
  </r>
  <r>
    <n v="1365"/>
    <s v="F0"/>
    <x v="60"/>
    <s v="H000004721"/>
    <s v="RT Finland - GAP"/>
    <s v="H000004718"/>
    <s v="New"/>
    <x v="0"/>
    <x v="0"/>
    <s v="HC"/>
    <m/>
    <m/>
    <s v="Henry Ifurung Jr."/>
  </r>
  <r>
    <n v="1366"/>
    <s v="F0"/>
    <x v="60"/>
    <s v="H000004722"/>
    <s v="RT Finland - Business Ops"/>
    <s v="H000004718"/>
    <s v="New"/>
    <x v="0"/>
    <x v="0"/>
    <s v="HC"/>
    <m/>
    <m/>
    <s v="Henry Ifurung Jr."/>
  </r>
  <r>
    <n v="1367"/>
    <s v="F0"/>
    <x v="60"/>
    <s v="H000004723"/>
    <s v="RT Finland - Other Operating Expense"/>
    <s v="H000004718"/>
    <s v="New"/>
    <x v="0"/>
    <x v="0"/>
    <s v="HC"/>
    <m/>
    <m/>
    <s v="Henry Ifurung Jr."/>
  </r>
  <r>
    <n v="1368"/>
    <s v="F0"/>
    <x v="60"/>
    <s v="H000004724"/>
    <s v="RT Finland Medical &amp; local R&amp;D"/>
    <s v="H000004409"/>
    <s v="New"/>
    <x v="0"/>
    <x v="0"/>
    <s v="HC"/>
    <m/>
    <m/>
    <s v="Henry Ifurung Jr."/>
  </r>
  <r>
    <n v="1369"/>
    <s v="F0"/>
    <x v="60"/>
    <s v="H000004725"/>
    <s v="RT Finland - Medical cost center"/>
    <s v="H000004724"/>
    <s v="New"/>
    <x v="0"/>
    <x v="0"/>
    <s v="HC"/>
    <m/>
    <m/>
    <s v="Henry Ifurung Jr."/>
  </r>
  <r>
    <n v="1370"/>
    <s v="F0"/>
    <x v="60"/>
    <s v="H000004726"/>
    <s v="RT Finland - Medical Non-R&amp;D Activities"/>
    <s v="H000004724"/>
    <s v="New"/>
    <x v="0"/>
    <x v="0"/>
    <s v="HC"/>
    <m/>
    <m/>
    <s v="Henry Ifurung Jr."/>
  </r>
  <r>
    <n v="1371"/>
    <s v="F0"/>
    <x v="60"/>
    <s v="H000004727"/>
    <s v="RT Finland Ogsiveo Medical Activities"/>
    <s v="H000004726"/>
    <s v="New"/>
    <x v="0"/>
    <x v="0"/>
    <s v="HC"/>
    <m/>
    <m/>
    <s v="Henry Ifurung Jr."/>
  </r>
  <r>
    <n v="1372"/>
    <s v="F0"/>
    <x v="60"/>
    <s v="H000004728"/>
    <s v="RT Finland Ezmekly Medical Activities"/>
    <s v="H000004726"/>
    <s v="New"/>
    <x v="0"/>
    <x v="0"/>
    <s v="HC"/>
    <m/>
    <m/>
    <s v="Henry Ifurung Jr."/>
  </r>
  <r>
    <n v="1373"/>
    <s v="F0"/>
    <x v="60"/>
    <s v="H000004729"/>
    <s v="RT Finland Local R&amp;D - Studies"/>
    <s v="H000004724"/>
    <s v="New"/>
    <x v="0"/>
    <x v="0"/>
    <s v="HC"/>
    <m/>
    <m/>
    <s v="Henry Ifurung Jr."/>
  </r>
  <r>
    <n v="1374"/>
    <s v="F0"/>
    <x v="60"/>
    <s v="H000004730"/>
    <s v="RT Finland Ogsiveo Local R&amp;D Studies"/>
    <s v="H000004729"/>
    <s v="New"/>
    <x v="0"/>
    <x v="0"/>
    <s v="HC"/>
    <m/>
    <m/>
    <s v="Henry Ifurung Jr."/>
  </r>
  <r>
    <n v="1375"/>
    <s v="F0"/>
    <x v="60"/>
    <s v="H000004731"/>
    <s v="RT Finland Ezmekly Local R&amp;D Studies"/>
    <s v="H000004729"/>
    <s v="New"/>
    <x v="0"/>
    <x v="0"/>
    <s v="HC"/>
    <m/>
    <m/>
    <s v="Henry Ifurung Jr."/>
  </r>
  <r>
    <n v="1376"/>
    <s v="F0"/>
    <x v="60"/>
    <s v="H000004732"/>
    <s v="RT Norway Commercial"/>
    <s v="H000004407"/>
    <s v="New"/>
    <x v="0"/>
    <x v="0"/>
    <s v="HC"/>
    <m/>
    <m/>
    <s v="Henry Ifurung Jr."/>
  </r>
  <r>
    <n v="1377"/>
    <s v="F0"/>
    <x v="60"/>
    <s v="H000004733"/>
    <s v="RT Norway Field Force"/>
    <s v="H000004732"/>
    <s v="New"/>
    <x v="0"/>
    <x v="0"/>
    <s v="HC"/>
    <m/>
    <m/>
    <s v="Henry Ifurung Jr."/>
  </r>
  <r>
    <n v="1378"/>
    <s v="F0"/>
    <x v="60"/>
    <s v="H000004734"/>
    <s v="RT Norway Marketing"/>
    <s v="H000004732"/>
    <s v="New"/>
    <x v="0"/>
    <x v="0"/>
    <s v="HC"/>
    <m/>
    <m/>
    <s v="Henry Ifurung Jr."/>
  </r>
  <r>
    <n v="1379"/>
    <s v="F0"/>
    <x v="60"/>
    <s v="H000004735"/>
    <s v="RT Norway Sales Promotion"/>
    <s v="H000004732"/>
    <s v="New"/>
    <x v="0"/>
    <x v="0"/>
    <s v="HC"/>
    <m/>
    <m/>
    <s v="Henry Ifurung Jr."/>
  </r>
  <r>
    <n v="1380"/>
    <s v="F0"/>
    <x v="60"/>
    <s v="H000004736"/>
    <s v="RT Norway Ogsiveo Sales Promotion"/>
    <s v="H000004735"/>
    <s v="New"/>
    <x v="0"/>
    <x v="0"/>
    <s v="HC"/>
    <m/>
    <m/>
    <s v="Henry Ifurung Jr."/>
  </r>
  <r>
    <n v="1381"/>
    <s v="F0"/>
    <x v="60"/>
    <s v="H000004737"/>
    <s v="RT Norway Ezmekly Sales Promotion"/>
    <s v="H000004735"/>
    <s v="New"/>
    <x v="0"/>
    <x v="0"/>
    <s v="HC"/>
    <m/>
    <m/>
    <s v="Henry Ifurung Jr."/>
  </r>
  <r>
    <n v="1382"/>
    <s v="F0"/>
    <x v="60"/>
    <s v="H000004738"/>
    <s v="RT Norway - General"/>
    <s v="H000004732"/>
    <s v="New"/>
    <x v="0"/>
    <x v="0"/>
    <s v="HC"/>
    <m/>
    <m/>
    <s v="Henry Ifurung Jr."/>
  </r>
  <r>
    <n v="1383"/>
    <s v="F0"/>
    <x v="60"/>
    <s v="H000004739"/>
    <s v="RT Norway - General Management"/>
    <s v="H000004738"/>
    <s v="New"/>
    <x v="0"/>
    <x v="0"/>
    <s v="HC"/>
    <m/>
    <m/>
    <s v="Henry Ifurung Jr."/>
  </r>
  <r>
    <n v="1384"/>
    <s v="F0"/>
    <x v="60"/>
    <s v="H000004740"/>
    <s v="RT Norway - MAP"/>
    <s v="H000004738"/>
    <s v="New"/>
    <x v="0"/>
    <x v="0"/>
    <s v="HC"/>
    <m/>
    <m/>
    <s v="Henry Ifurung Jr."/>
  </r>
  <r>
    <n v="1385"/>
    <s v="F0"/>
    <x v="60"/>
    <s v="H000004741"/>
    <s v="RT Norway - GAP"/>
    <s v="H000004738"/>
    <s v="New"/>
    <x v="0"/>
    <x v="0"/>
    <s v="HC"/>
    <m/>
    <m/>
    <s v="Henry Ifurung Jr."/>
  </r>
  <r>
    <n v="1386"/>
    <s v="F0"/>
    <x v="60"/>
    <s v="H000004742"/>
    <s v="RT Norway - Business Ops"/>
    <s v="H000004738"/>
    <s v="New"/>
    <x v="0"/>
    <x v="0"/>
    <s v="HC"/>
    <m/>
    <m/>
    <s v="Henry Ifurung Jr."/>
  </r>
  <r>
    <n v="1387"/>
    <s v="F0"/>
    <x v="60"/>
    <s v="H000004743"/>
    <s v="RT Norway - Other Operating Expense"/>
    <s v="H000004738"/>
    <s v="New"/>
    <x v="0"/>
    <x v="0"/>
    <s v="HC"/>
    <m/>
    <m/>
    <s v="Henry Ifurung Jr."/>
  </r>
  <r>
    <n v="1388"/>
    <s v="F0"/>
    <x v="60"/>
    <s v="H000004744"/>
    <s v="RT Norway Medical &amp; local R&amp;D"/>
    <s v="H000004409"/>
    <s v="New"/>
    <x v="0"/>
    <x v="0"/>
    <s v="HC"/>
    <m/>
    <m/>
    <s v="Henry Ifurung Jr."/>
  </r>
  <r>
    <n v="1389"/>
    <s v="F0"/>
    <x v="60"/>
    <s v="H000004745"/>
    <s v="RT Norway - Medical cost center"/>
    <s v="H000004744"/>
    <s v="New"/>
    <x v="0"/>
    <x v="0"/>
    <s v="HC"/>
    <m/>
    <m/>
    <s v="Henry Ifurung Jr."/>
  </r>
  <r>
    <n v="1390"/>
    <s v="F0"/>
    <x v="60"/>
    <s v="H000004746"/>
    <s v="RT Norway - Medical Non-R&amp;D Activities"/>
    <s v="H000004744"/>
    <s v="New"/>
    <x v="0"/>
    <x v="0"/>
    <s v="HC"/>
    <m/>
    <m/>
    <s v="Henry Ifurung Jr."/>
  </r>
  <r>
    <n v="1391"/>
    <s v="F0"/>
    <x v="60"/>
    <s v="H000004747"/>
    <s v="RT Norway Ogsiveo Medical Activities"/>
    <s v="H000004746"/>
    <s v="New"/>
    <x v="0"/>
    <x v="0"/>
    <s v="HC"/>
    <m/>
    <m/>
    <s v="Henry Ifurung Jr."/>
  </r>
  <r>
    <n v="1392"/>
    <s v="F0"/>
    <x v="60"/>
    <s v="H000004748"/>
    <s v="RT Norway Ezmekly Medical Activities"/>
    <s v="H000004746"/>
    <s v="New"/>
    <x v="0"/>
    <x v="0"/>
    <s v="HC"/>
    <m/>
    <m/>
    <s v="Henry Ifurung Jr."/>
  </r>
  <r>
    <n v="1393"/>
    <s v="F0"/>
    <x v="60"/>
    <s v="H000004749"/>
    <s v="RT Norway Local R&amp;D - Studies"/>
    <s v="H000004744"/>
    <s v="New"/>
    <x v="0"/>
    <x v="0"/>
    <s v="HC"/>
    <m/>
    <m/>
    <s v="Henry Ifurung Jr."/>
  </r>
  <r>
    <n v="1394"/>
    <s v="F0"/>
    <x v="60"/>
    <s v="H000004750"/>
    <s v="RT Norway Ogsiveo Local R&amp;D Studies"/>
    <s v="H000004749"/>
    <s v="New"/>
    <x v="0"/>
    <x v="0"/>
    <s v="HC"/>
    <m/>
    <m/>
    <s v="Henry Ifurung Jr."/>
  </r>
  <r>
    <n v="1395"/>
    <s v="F0"/>
    <x v="60"/>
    <s v="H000004751"/>
    <s v="RT Norway Ezmekly Local R&amp;D Studies"/>
    <s v="H000004749"/>
    <s v="New"/>
    <x v="0"/>
    <x v="0"/>
    <s v="HC"/>
    <m/>
    <m/>
    <s v="Henry Ifurung Jr."/>
  </r>
  <r>
    <n v="1396"/>
    <s v="F0"/>
    <x v="60"/>
    <s v="H000004752"/>
    <s v="RT Czech Rep Commercial"/>
    <s v="H000004407"/>
    <s v="New"/>
    <x v="0"/>
    <x v="0"/>
    <s v="HC"/>
    <m/>
    <m/>
    <s v="Henry Ifurung Jr."/>
  </r>
  <r>
    <n v="1397"/>
    <s v="F0"/>
    <x v="60"/>
    <s v="H000004753"/>
    <s v="RT Czech Rep Field Force"/>
    <s v="H000004752"/>
    <s v="New"/>
    <x v="0"/>
    <x v="0"/>
    <s v="HC"/>
    <m/>
    <m/>
    <s v="Henry Ifurung Jr."/>
  </r>
  <r>
    <n v="1398"/>
    <s v="F0"/>
    <x v="60"/>
    <s v="H000004754"/>
    <s v="RT Czech Rep Marketing"/>
    <s v="H000004752"/>
    <s v="New"/>
    <x v="0"/>
    <x v="0"/>
    <s v="HC"/>
    <m/>
    <m/>
    <s v="Henry Ifurung Jr."/>
  </r>
  <r>
    <n v="1399"/>
    <s v="F0"/>
    <x v="60"/>
    <s v="H000004755"/>
    <s v="RT Czech Rep Sales Promotion"/>
    <s v="H000004752"/>
    <s v="New"/>
    <x v="0"/>
    <x v="0"/>
    <s v="HC"/>
    <m/>
    <m/>
    <s v="Henry Ifurung Jr."/>
  </r>
  <r>
    <n v="1400"/>
    <s v="F0"/>
    <x v="60"/>
    <s v="H000004756"/>
    <s v="RT Czech Rep Ogsiveo Sales Promotion"/>
    <s v="H000004755"/>
    <s v="New"/>
    <x v="0"/>
    <x v="0"/>
    <s v="HC"/>
    <m/>
    <m/>
    <s v="Henry Ifurung Jr."/>
  </r>
  <r>
    <n v="1401"/>
    <s v="F0"/>
    <x v="60"/>
    <s v="H000004757"/>
    <s v="RT Czech Rep Ezmekly Sales Promotion"/>
    <s v="H000004755"/>
    <s v="New"/>
    <x v="0"/>
    <x v="0"/>
    <s v="HC"/>
    <m/>
    <m/>
    <s v="Henry Ifurung Jr."/>
  </r>
  <r>
    <n v="1402"/>
    <s v="F0"/>
    <x v="60"/>
    <s v="H000004758"/>
    <s v="RT Czech Rep - General"/>
    <s v="H000004752"/>
    <s v="New"/>
    <x v="0"/>
    <x v="0"/>
    <s v="HC"/>
    <m/>
    <m/>
    <s v="Henry Ifurung Jr."/>
  </r>
  <r>
    <n v="1403"/>
    <s v="F0"/>
    <x v="60"/>
    <s v="H000004759"/>
    <s v="RT Czech Rep - General Management"/>
    <s v="H000004758"/>
    <s v="New"/>
    <x v="0"/>
    <x v="0"/>
    <s v="HC"/>
    <m/>
    <m/>
    <s v="Henry Ifurung Jr."/>
  </r>
  <r>
    <n v="1404"/>
    <s v="F0"/>
    <x v="60"/>
    <s v="H000004760"/>
    <s v="RT Czech Rep - MAP"/>
    <s v="H000004758"/>
    <s v="New"/>
    <x v="0"/>
    <x v="0"/>
    <s v="HC"/>
    <m/>
    <m/>
    <s v="Henry Ifurung Jr."/>
  </r>
  <r>
    <n v="1405"/>
    <s v="F0"/>
    <x v="60"/>
    <s v="H000004761"/>
    <s v="RT Czech Rep - GAP"/>
    <s v="H000004758"/>
    <s v="New"/>
    <x v="0"/>
    <x v="0"/>
    <s v="HC"/>
    <m/>
    <m/>
    <s v="Henry Ifurung Jr."/>
  </r>
  <r>
    <n v="1406"/>
    <s v="F0"/>
    <x v="60"/>
    <s v="H000004762"/>
    <s v="RT Czech Rep - Business Ops"/>
    <s v="H000004758"/>
    <s v="New"/>
    <x v="0"/>
    <x v="0"/>
    <s v="HC"/>
    <m/>
    <m/>
    <s v="Henry Ifurung Jr."/>
  </r>
  <r>
    <n v="1407"/>
    <s v="F0"/>
    <x v="60"/>
    <s v="H000004763"/>
    <s v="RT Czech Rep - Other Operating Expense"/>
    <s v="H000004758"/>
    <s v="New"/>
    <x v="0"/>
    <x v="0"/>
    <s v="HC"/>
    <m/>
    <m/>
    <s v="Henry Ifurung Jr."/>
  </r>
  <r>
    <n v="1408"/>
    <s v="F0"/>
    <x v="60"/>
    <s v="H000004764"/>
    <s v="RT Czech Rep Medical &amp; local R&amp;D"/>
    <s v="H000004409"/>
    <s v="New"/>
    <x v="0"/>
    <x v="0"/>
    <s v="HC"/>
    <m/>
    <m/>
    <s v="Henry Ifurung Jr."/>
  </r>
  <r>
    <n v="1409"/>
    <s v="F0"/>
    <x v="60"/>
    <s v="H000004765"/>
    <s v="RT Czech Rep - Medical cost center"/>
    <s v="H000004764"/>
    <s v="New"/>
    <x v="0"/>
    <x v="0"/>
    <s v="HC"/>
    <m/>
    <m/>
    <s v="Henry Ifurung Jr."/>
  </r>
  <r>
    <n v="1410"/>
    <s v="F0"/>
    <x v="60"/>
    <s v="H000004766"/>
    <s v="RT Czech Rep-Medical Non-R&amp;D Activities"/>
    <s v="H000004764"/>
    <s v="New"/>
    <x v="0"/>
    <x v="0"/>
    <s v="HC"/>
    <m/>
    <m/>
    <s v="Henry Ifurung Jr."/>
  </r>
  <r>
    <n v="1411"/>
    <s v="F0"/>
    <x v="60"/>
    <s v="H000004767"/>
    <s v="RT Czech Rep Ogsiveo Medical Activities"/>
    <s v="H000004766"/>
    <s v="New"/>
    <x v="0"/>
    <x v="0"/>
    <s v="HC"/>
    <m/>
    <m/>
    <s v="Henry Ifurung Jr."/>
  </r>
  <r>
    <n v="1412"/>
    <s v="F0"/>
    <x v="60"/>
    <s v="H000004768"/>
    <s v="RT Czech Rep Ezmekly Medical Activities"/>
    <s v="H000004766"/>
    <s v="New"/>
    <x v="0"/>
    <x v="0"/>
    <s v="HC"/>
    <m/>
    <m/>
    <s v="Henry Ifurung Jr."/>
  </r>
  <r>
    <n v="1413"/>
    <s v="F0"/>
    <x v="60"/>
    <s v="H000004769"/>
    <s v="RT Czech Rep Local R&amp;D - Studies"/>
    <s v="H000004764"/>
    <s v="New"/>
    <x v="0"/>
    <x v="0"/>
    <s v="HC"/>
    <m/>
    <m/>
    <s v="Henry Ifurung Jr."/>
  </r>
  <r>
    <n v="1414"/>
    <s v="F0"/>
    <x v="60"/>
    <s v="H000004770"/>
    <s v="RT Czech Rep Ogsiveo Local R&amp;D Studies"/>
    <s v="H000004769"/>
    <s v="New"/>
    <x v="0"/>
    <x v="0"/>
    <s v="HC"/>
    <m/>
    <m/>
    <s v="Henry Ifurung Jr."/>
  </r>
  <r>
    <n v="1415"/>
    <s v="F0"/>
    <x v="60"/>
    <s v="H000004771"/>
    <s v="RT Czech Rep Ezmekly Local R&amp;D Studies"/>
    <s v="H000004769"/>
    <s v="New"/>
    <x v="0"/>
    <x v="0"/>
    <s v="HC"/>
    <m/>
    <m/>
    <s v="Henry Ifurung Jr."/>
  </r>
  <r>
    <n v="1416"/>
    <s v="F0"/>
    <x v="60"/>
    <s v="H000004772"/>
    <s v="RT Hungary Commercial"/>
    <s v="H000004407"/>
    <s v="New"/>
    <x v="0"/>
    <x v="0"/>
    <s v="HC"/>
    <m/>
    <m/>
    <s v="Henry Ifurung Jr."/>
  </r>
  <r>
    <n v="1417"/>
    <s v="F0"/>
    <x v="60"/>
    <s v="H000004773"/>
    <s v="RT Hungary Field Force"/>
    <s v="H000004772"/>
    <s v="New"/>
    <x v="0"/>
    <x v="0"/>
    <s v="HC"/>
    <m/>
    <m/>
    <s v="Henry Ifurung Jr."/>
  </r>
  <r>
    <n v="1418"/>
    <s v="F0"/>
    <x v="60"/>
    <s v="H000004774"/>
    <s v="RT Hungary Marketing"/>
    <s v="H000004772"/>
    <s v="New"/>
    <x v="0"/>
    <x v="0"/>
    <s v="HC"/>
    <m/>
    <m/>
    <s v="Henry Ifurung Jr."/>
  </r>
  <r>
    <n v="1419"/>
    <s v="F0"/>
    <x v="60"/>
    <s v="H000004775"/>
    <s v="RT Hungary Sales Promotion"/>
    <s v="H000004772"/>
    <s v="New"/>
    <x v="0"/>
    <x v="0"/>
    <s v="HC"/>
    <m/>
    <m/>
    <s v="Henry Ifurung Jr."/>
  </r>
  <r>
    <n v="1420"/>
    <s v="F0"/>
    <x v="60"/>
    <s v="H000004776"/>
    <s v="RT Hungary Ogsiveo Sales Promotion"/>
    <s v="H000004775"/>
    <s v="New"/>
    <x v="0"/>
    <x v="0"/>
    <s v="HC"/>
    <m/>
    <m/>
    <s v="Henry Ifurung Jr."/>
  </r>
  <r>
    <n v="1421"/>
    <s v="F0"/>
    <x v="60"/>
    <s v="H000004777"/>
    <s v="RT Hungary Ezmekly Sales Promotion"/>
    <s v="H000004775"/>
    <s v="New"/>
    <x v="0"/>
    <x v="0"/>
    <s v="HC"/>
    <m/>
    <m/>
    <s v="Henry Ifurung Jr."/>
  </r>
  <r>
    <n v="1422"/>
    <s v="F0"/>
    <x v="60"/>
    <s v="H000004778"/>
    <s v="RT Hungary - General"/>
    <s v="H000004772"/>
    <s v="New"/>
    <x v="0"/>
    <x v="0"/>
    <s v="HC"/>
    <m/>
    <m/>
    <s v="Henry Ifurung Jr."/>
  </r>
  <r>
    <n v="1423"/>
    <s v="F0"/>
    <x v="60"/>
    <s v="H000004779"/>
    <s v="RT Hungary - General Management"/>
    <s v="H000004778"/>
    <s v="New"/>
    <x v="0"/>
    <x v="0"/>
    <s v="HC"/>
    <m/>
    <m/>
    <s v="Henry Ifurung Jr."/>
  </r>
  <r>
    <n v="1424"/>
    <s v="F0"/>
    <x v="60"/>
    <s v="H000004780"/>
    <s v="RT Hungary - MAP"/>
    <s v="H000004778"/>
    <s v="New"/>
    <x v="0"/>
    <x v="0"/>
    <s v="HC"/>
    <m/>
    <m/>
    <s v="Henry Ifurung Jr."/>
  </r>
  <r>
    <n v="1425"/>
    <s v="F0"/>
    <x v="60"/>
    <s v="H000004781"/>
    <s v="RT Hungary - GAP"/>
    <s v="H000004778"/>
    <s v="New"/>
    <x v="0"/>
    <x v="0"/>
    <s v="HC"/>
    <m/>
    <m/>
    <s v="Henry Ifurung Jr."/>
  </r>
  <r>
    <n v="1426"/>
    <s v="F0"/>
    <x v="60"/>
    <s v="H000004782"/>
    <s v="RT Hungary - Business Ops"/>
    <s v="H000004778"/>
    <s v="New"/>
    <x v="0"/>
    <x v="0"/>
    <s v="HC"/>
    <m/>
    <m/>
    <s v="Henry Ifurung Jr."/>
  </r>
  <r>
    <n v="1427"/>
    <s v="F0"/>
    <x v="60"/>
    <s v="H000004783"/>
    <s v="RT Hungary - Other Operating Expense"/>
    <s v="H000004778"/>
    <s v="New"/>
    <x v="0"/>
    <x v="0"/>
    <s v="HC"/>
    <m/>
    <m/>
    <s v="Henry Ifurung Jr."/>
  </r>
  <r>
    <n v="1428"/>
    <s v="F0"/>
    <x v="60"/>
    <s v="H000004784"/>
    <s v="RT Hungary Medical &amp; local R&amp;D"/>
    <s v="H000004409"/>
    <s v="New"/>
    <x v="0"/>
    <x v="0"/>
    <s v="HC"/>
    <m/>
    <m/>
    <s v="Henry Ifurung Jr."/>
  </r>
  <r>
    <n v="1429"/>
    <s v="F0"/>
    <x v="60"/>
    <s v="H000004785"/>
    <s v="RT Hungary - Medical cost center"/>
    <s v="H000004784"/>
    <s v="New"/>
    <x v="0"/>
    <x v="0"/>
    <s v="HC"/>
    <m/>
    <m/>
    <s v="Henry Ifurung Jr."/>
  </r>
  <r>
    <n v="1430"/>
    <s v="F0"/>
    <x v="60"/>
    <s v="H000004786"/>
    <s v="RT Hungary - Medical Non-R&amp;D Activities"/>
    <s v="H000004784"/>
    <s v="New"/>
    <x v="0"/>
    <x v="0"/>
    <s v="HC"/>
    <m/>
    <m/>
    <s v="Henry Ifurung Jr."/>
  </r>
  <r>
    <n v="1431"/>
    <s v="F0"/>
    <x v="60"/>
    <s v="H000004787"/>
    <s v="RT Hungary Ogsiveo Medical Activities"/>
    <s v="H000004786"/>
    <s v="New"/>
    <x v="0"/>
    <x v="0"/>
    <s v="HC"/>
    <m/>
    <m/>
    <s v="Henry Ifurung Jr."/>
  </r>
  <r>
    <n v="1432"/>
    <s v="F0"/>
    <x v="60"/>
    <s v="H000004788"/>
    <s v="RT Hungary Ezmekly Medical Activities"/>
    <s v="H000004786"/>
    <s v="New"/>
    <x v="0"/>
    <x v="0"/>
    <s v="HC"/>
    <m/>
    <m/>
    <s v="Henry Ifurung Jr."/>
  </r>
  <r>
    <n v="1433"/>
    <s v="F0"/>
    <x v="60"/>
    <s v="H000004789"/>
    <s v="RT Hungary Local R&amp;D - Studies"/>
    <s v="H000004784"/>
    <s v="New"/>
    <x v="0"/>
    <x v="0"/>
    <s v="HC"/>
    <m/>
    <m/>
    <s v="Henry Ifurung Jr."/>
  </r>
  <r>
    <n v="1434"/>
    <s v="F0"/>
    <x v="60"/>
    <s v="H000004790"/>
    <s v="RT Hungary Ogsiveo Local R&amp;D Studies"/>
    <s v="H000004789"/>
    <s v="New"/>
    <x v="0"/>
    <x v="0"/>
    <s v="HC"/>
    <m/>
    <m/>
    <s v="Henry Ifurung Jr."/>
  </r>
  <r>
    <n v="1435"/>
    <s v="F0"/>
    <x v="60"/>
    <s v="H000004791"/>
    <s v="RT Hungary Ezmekly Local R&amp;D Studies"/>
    <s v="H000004789"/>
    <s v="New"/>
    <x v="0"/>
    <x v="0"/>
    <s v="HC"/>
    <m/>
    <m/>
    <s v="Henry Ifurung Jr."/>
  </r>
  <r>
    <n v="1436"/>
    <s v="F0"/>
    <x v="60"/>
    <s v="H000004792"/>
    <s v="RT Greece Commercial"/>
    <s v="H000004407"/>
    <s v="New"/>
    <x v="0"/>
    <x v="0"/>
    <s v="HC"/>
    <m/>
    <m/>
    <s v="Henry Ifurung Jr."/>
  </r>
  <r>
    <n v="1437"/>
    <s v="F0"/>
    <x v="60"/>
    <s v="H000004793"/>
    <s v="RT Greece Field Force"/>
    <s v="H000004792"/>
    <s v="New"/>
    <x v="0"/>
    <x v="0"/>
    <s v="HC"/>
    <m/>
    <m/>
    <s v="Henry Ifurung Jr."/>
  </r>
  <r>
    <n v="1438"/>
    <s v="F0"/>
    <x v="60"/>
    <s v="H000004794"/>
    <s v="RT Greece Marketing"/>
    <s v="H000004792"/>
    <s v="New"/>
    <x v="0"/>
    <x v="0"/>
    <s v="HC"/>
    <m/>
    <m/>
    <s v="Henry Ifurung Jr."/>
  </r>
  <r>
    <n v="1439"/>
    <s v="F0"/>
    <x v="60"/>
    <s v="H000004795"/>
    <s v="RT Greece Sales Promotion"/>
    <s v="H000004792"/>
    <s v="New"/>
    <x v="0"/>
    <x v="0"/>
    <s v="HC"/>
    <m/>
    <m/>
    <s v="Henry Ifurung Jr."/>
  </r>
  <r>
    <n v="1440"/>
    <s v="F0"/>
    <x v="60"/>
    <s v="H000004796"/>
    <s v="RT Greece Ogsiveo Sales Promotion"/>
    <s v="H000004795"/>
    <s v="New"/>
    <x v="0"/>
    <x v="0"/>
    <s v="HC"/>
    <m/>
    <m/>
    <s v="Henry Ifurung Jr."/>
  </r>
  <r>
    <n v="1441"/>
    <s v="F0"/>
    <x v="60"/>
    <s v="H000004797"/>
    <s v="RT Greece Ezmekly Sales Promotion"/>
    <s v="H000004795"/>
    <s v="New"/>
    <x v="0"/>
    <x v="0"/>
    <s v="HC"/>
    <m/>
    <m/>
    <s v="Henry Ifurung Jr."/>
  </r>
  <r>
    <n v="1442"/>
    <s v="F0"/>
    <x v="60"/>
    <s v="H000004798"/>
    <s v="RT Greece - General"/>
    <s v="H000004792"/>
    <s v="New"/>
    <x v="0"/>
    <x v="0"/>
    <s v="HC"/>
    <m/>
    <m/>
    <s v="Henry Ifurung Jr."/>
  </r>
  <r>
    <n v="1443"/>
    <s v="F0"/>
    <x v="60"/>
    <s v="H000004799"/>
    <s v="RT Greece - General Management"/>
    <s v="H000004798"/>
    <s v="New"/>
    <x v="0"/>
    <x v="0"/>
    <s v="HC"/>
    <m/>
    <m/>
    <s v="Henry Ifurung Jr."/>
  </r>
  <r>
    <n v="1444"/>
    <s v="F0"/>
    <x v="60"/>
    <s v="H000004800"/>
    <s v="RT Greece - MAP"/>
    <s v="H000004798"/>
    <s v="New"/>
    <x v="0"/>
    <x v="0"/>
    <s v="HC"/>
    <m/>
    <m/>
    <s v="Henry Ifurung Jr."/>
  </r>
  <r>
    <n v="1445"/>
    <s v="F0"/>
    <x v="60"/>
    <s v="H000004801"/>
    <s v="RT Greece - GAP"/>
    <s v="H000004798"/>
    <s v="New"/>
    <x v="0"/>
    <x v="0"/>
    <s v="HC"/>
    <m/>
    <m/>
    <s v="Henry Ifurung Jr."/>
  </r>
  <r>
    <n v="1446"/>
    <s v="F0"/>
    <x v="60"/>
    <s v="H000004802"/>
    <s v="RT Greece - Business Ops"/>
    <s v="H000004798"/>
    <s v="New"/>
    <x v="0"/>
    <x v="0"/>
    <s v="HC"/>
    <m/>
    <m/>
    <s v="Henry Ifurung Jr."/>
  </r>
  <r>
    <n v="1447"/>
    <s v="F0"/>
    <x v="60"/>
    <s v="H000004803"/>
    <s v="RT Greece - Other Operating Expense"/>
    <s v="H000004798"/>
    <s v="New"/>
    <x v="0"/>
    <x v="0"/>
    <s v="HC"/>
    <m/>
    <m/>
    <s v="Henry Ifurung Jr."/>
  </r>
  <r>
    <n v="1448"/>
    <s v="F0"/>
    <x v="60"/>
    <s v="H000004804"/>
    <s v="RT Greece Medical &amp; local R&amp;D"/>
    <s v="H000004409"/>
    <s v="New"/>
    <x v="0"/>
    <x v="0"/>
    <s v="HC"/>
    <m/>
    <m/>
    <s v="Henry Ifurung Jr."/>
  </r>
  <r>
    <n v="1449"/>
    <s v="F0"/>
    <x v="60"/>
    <s v="H000004805"/>
    <s v="RT Greece - Medical cost center"/>
    <s v="H000004804"/>
    <s v="New"/>
    <x v="0"/>
    <x v="0"/>
    <s v="HC"/>
    <m/>
    <m/>
    <s v="Henry Ifurung Jr."/>
  </r>
  <r>
    <n v="1450"/>
    <s v="F0"/>
    <x v="60"/>
    <s v="H000004806"/>
    <s v="RT Greece - Medical Non-R&amp;D Activities"/>
    <s v="H000004804"/>
    <s v="New"/>
    <x v="0"/>
    <x v="0"/>
    <s v="HC"/>
    <m/>
    <m/>
    <s v="Henry Ifurung Jr."/>
  </r>
  <r>
    <n v="1451"/>
    <s v="F0"/>
    <x v="60"/>
    <s v="H000004807"/>
    <s v="RT Greece Ogsiveo Medical Activities"/>
    <s v="H000004806"/>
    <s v="New"/>
    <x v="0"/>
    <x v="0"/>
    <s v="HC"/>
    <m/>
    <m/>
    <s v="Henry Ifurung Jr."/>
  </r>
  <r>
    <n v="1452"/>
    <s v="F0"/>
    <x v="60"/>
    <s v="H000004808"/>
    <s v="RT Greece Ezmekly Medical Activities"/>
    <s v="H000004806"/>
    <s v="New"/>
    <x v="0"/>
    <x v="0"/>
    <s v="HC"/>
    <m/>
    <m/>
    <s v="Henry Ifurung Jr."/>
  </r>
  <r>
    <n v="1453"/>
    <s v="F0"/>
    <x v="60"/>
    <s v="H000004809"/>
    <s v="RT Greece Local R&amp;D - Studies"/>
    <s v="H000004804"/>
    <s v="New"/>
    <x v="0"/>
    <x v="0"/>
    <s v="HC"/>
    <m/>
    <m/>
    <s v="Henry Ifurung Jr."/>
  </r>
  <r>
    <n v="1454"/>
    <s v="F0"/>
    <x v="60"/>
    <s v="H000004810"/>
    <s v="RT Greece Ogsiveo Local R&amp;D Studies"/>
    <s v="H000004809"/>
    <s v="New"/>
    <x v="0"/>
    <x v="0"/>
    <s v="HC"/>
    <m/>
    <m/>
    <s v="Henry Ifurung Jr."/>
  </r>
  <r>
    <n v="1455"/>
    <s v="F0"/>
    <x v="60"/>
    <s v="H000004811"/>
    <s v="RT Greece Ezmekly Local R&amp;D Studies"/>
    <s v="H000004809"/>
    <s v="New"/>
    <x v="0"/>
    <x v="0"/>
    <s v="HC"/>
    <m/>
    <m/>
    <s v="Henry Ifurung Jr."/>
  </r>
  <r>
    <n v="1456"/>
    <s v="F0"/>
    <x v="60"/>
    <s v="H000004812"/>
    <s v="RT Slovenia Commercial"/>
    <s v="H000004407"/>
    <s v="New"/>
    <x v="0"/>
    <x v="0"/>
    <s v="HC"/>
    <m/>
    <m/>
    <s v="Henry Ifurung Jr."/>
  </r>
  <r>
    <n v="1457"/>
    <s v="F0"/>
    <x v="60"/>
    <s v="H000004813"/>
    <s v="RT Slovenia Field Force"/>
    <s v="H000004812"/>
    <s v="New"/>
    <x v="0"/>
    <x v="0"/>
    <s v="HC"/>
    <m/>
    <m/>
    <s v="Henry Ifurung Jr."/>
  </r>
  <r>
    <n v="1458"/>
    <s v="F0"/>
    <x v="60"/>
    <s v="H000004814"/>
    <s v="RT Slovenia Marketing"/>
    <s v="H000004812"/>
    <s v="New"/>
    <x v="0"/>
    <x v="0"/>
    <s v="HC"/>
    <m/>
    <m/>
    <s v="Henry Ifurung Jr."/>
  </r>
  <r>
    <n v="1459"/>
    <s v="F0"/>
    <x v="60"/>
    <s v="H000004815"/>
    <s v="RT Slovenia Sales Promotion"/>
    <s v="H000004812"/>
    <s v="New"/>
    <x v="0"/>
    <x v="0"/>
    <s v="HC"/>
    <m/>
    <m/>
    <s v="Henry Ifurung Jr."/>
  </r>
  <r>
    <n v="1460"/>
    <s v="F0"/>
    <x v="60"/>
    <s v="H000004816"/>
    <s v="RT Slovenia Ogsiveo Sales Promotion"/>
    <s v="H000004815"/>
    <s v="New"/>
    <x v="0"/>
    <x v="0"/>
    <s v="HC"/>
    <m/>
    <m/>
    <s v="Henry Ifurung Jr."/>
  </r>
  <r>
    <n v="1461"/>
    <s v="F0"/>
    <x v="60"/>
    <s v="H000004817"/>
    <s v="RT Slovenia Ezmekly Sales Promotion"/>
    <s v="H000004815"/>
    <s v="New"/>
    <x v="0"/>
    <x v="0"/>
    <s v="HC"/>
    <m/>
    <m/>
    <s v="Henry Ifurung Jr."/>
  </r>
  <r>
    <n v="1462"/>
    <s v="F0"/>
    <x v="60"/>
    <s v="H000004818"/>
    <s v="RT Slovenia - General"/>
    <s v="H000004812"/>
    <s v="New"/>
    <x v="0"/>
    <x v="0"/>
    <s v="HC"/>
    <m/>
    <m/>
    <s v="Henry Ifurung Jr."/>
  </r>
  <r>
    <n v="1463"/>
    <s v="F0"/>
    <x v="60"/>
    <s v="H000004819"/>
    <s v="RT Slovenia - General Management"/>
    <s v="H000004818"/>
    <s v="New"/>
    <x v="0"/>
    <x v="0"/>
    <s v="HC"/>
    <m/>
    <m/>
    <s v="Henry Ifurung Jr."/>
  </r>
  <r>
    <n v="1464"/>
    <s v="F0"/>
    <x v="60"/>
    <s v="H000004820"/>
    <s v="RT Slovenia - MAP"/>
    <s v="H000004818"/>
    <s v="New"/>
    <x v="0"/>
    <x v="0"/>
    <s v="HC"/>
    <m/>
    <m/>
    <s v="Henry Ifurung Jr."/>
  </r>
  <r>
    <n v="1465"/>
    <s v="F0"/>
    <x v="60"/>
    <s v="H000004821"/>
    <s v="RT Slovenia - GAP"/>
    <s v="H000004818"/>
    <s v="New"/>
    <x v="0"/>
    <x v="0"/>
    <s v="HC"/>
    <m/>
    <m/>
    <s v="Henry Ifurung Jr."/>
  </r>
  <r>
    <n v="1466"/>
    <s v="F0"/>
    <x v="60"/>
    <s v="H000004822"/>
    <s v="RT Slovenia - Business Ops"/>
    <s v="H000004818"/>
    <s v="New"/>
    <x v="0"/>
    <x v="0"/>
    <s v="HC"/>
    <m/>
    <m/>
    <s v="Henry Ifurung Jr."/>
  </r>
  <r>
    <n v="1467"/>
    <s v="F0"/>
    <x v="60"/>
    <s v="H000004823"/>
    <s v="RT Slovenia - Other Operating Expense"/>
    <s v="H000004818"/>
    <s v="New"/>
    <x v="0"/>
    <x v="0"/>
    <s v="HC"/>
    <m/>
    <m/>
    <s v="Henry Ifurung Jr."/>
  </r>
  <r>
    <n v="1468"/>
    <s v="F0"/>
    <x v="60"/>
    <s v="H000004824"/>
    <s v="RT Slovenia Medical &amp; local R&amp;D"/>
    <s v="H000004409"/>
    <s v="New"/>
    <x v="0"/>
    <x v="0"/>
    <s v="HC"/>
    <m/>
    <m/>
    <s v="Henry Ifurung Jr."/>
  </r>
  <r>
    <n v="1469"/>
    <s v="F0"/>
    <x v="60"/>
    <s v="H000004825"/>
    <s v="RT Slovenia - Medical cost center"/>
    <s v="H000004824"/>
    <s v="New"/>
    <x v="0"/>
    <x v="0"/>
    <s v="HC"/>
    <m/>
    <m/>
    <s v="Henry Ifurung Jr."/>
  </r>
  <r>
    <n v="1470"/>
    <s v="F0"/>
    <x v="60"/>
    <s v="H000004826"/>
    <s v="RT Slovenia - Medical Non-R&amp;D Activities"/>
    <s v="H000004824"/>
    <s v="New"/>
    <x v="0"/>
    <x v="0"/>
    <s v="HC"/>
    <m/>
    <m/>
    <s v="Henry Ifurung Jr."/>
  </r>
  <r>
    <n v="1471"/>
    <s v="F0"/>
    <x v="60"/>
    <s v="H000004827"/>
    <s v="RT Slovenia Ogsiveo Medical Activities"/>
    <s v="H000004826"/>
    <s v="New"/>
    <x v="0"/>
    <x v="0"/>
    <s v="HC"/>
    <m/>
    <m/>
    <s v="Henry Ifurung Jr."/>
  </r>
  <r>
    <n v="1472"/>
    <s v="F0"/>
    <x v="60"/>
    <s v="H000004828"/>
    <s v="RT Slovenia Ezmekly Medical Activities"/>
    <s v="H000004826"/>
    <s v="New"/>
    <x v="0"/>
    <x v="0"/>
    <s v="HC"/>
    <m/>
    <m/>
    <s v="Henry Ifurung Jr."/>
  </r>
  <r>
    <n v="1473"/>
    <s v="F0"/>
    <x v="60"/>
    <s v="H000004829"/>
    <s v="RT Slovenia Local R&amp;D - Studies"/>
    <s v="H000004824"/>
    <s v="New"/>
    <x v="0"/>
    <x v="0"/>
    <s v="HC"/>
    <m/>
    <m/>
    <s v="Henry Ifurung Jr."/>
  </r>
  <r>
    <n v="1474"/>
    <s v="F0"/>
    <x v="60"/>
    <s v="H000004830"/>
    <s v="RT Slovenia Ogsiveo Local R&amp;D Studies"/>
    <s v="H000004829"/>
    <s v="New"/>
    <x v="0"/>
    <x v="0"/>
    <s v="HC"/>
    <m/>
    <m/>
    <s v="Henry Ifurung Jr."/>
  </r>
  <r>
    <n v="1475"/>
    <s v="F0"/>
    <x v="60"/>
    <s v="H000004831"/>
    <s v="RT Slovenia Ezmekly Local R&amp;D Studies"/>
    <s v="H000004829"/>
    <s v="New"/>
    <x v="0"/>
    <x v="0"/>
    <s v="HC"/>
    <m/>
    <m/>
    <s v="Henry Ifurung Jr."/>
  </r>
  <r>
    <n v="1476"/>
    <s v="F0"/>
    <x v="60"/>
    <s v="H000004832"/>
    <s v="RT Bulgaria Commercial"/>
    <s v="H000004407"/>
    <s v="New"/>
    <x v="0"/>
    <x v="0"/>
    <s v="HC"/>
    <m/>
    <m/>
    <s v="Henry Ifurung Jr."/>
  </r>
  <r>
    <n v="1477"/>
    <s v="F0"/>
    <x v="60"/>
    <s v="H000004833"/>
    <s v="RT Bulgaria Field Force"/>
    <s v="H000004832"/>
    <s v="New"/>
    <x v="0"/>
    <x v="0"/>
    <s v="HC"/>
    <m/>
    <m/>
    <s v="Henry Ifurung Jr."/>
  </r>
  <r>
    <n v="1478"/>
    <s v="F0"/>
    <x v="60"/>
    <s v="H000004834"/>
    <s v="RT Bulgaria Marketing"/>
    <s v="H000004832"/>
    <s v="New"/>
    <x v="0"/>
    <x v="0"/>
    <s v="HC"/>
    <m/>
    <m/>
    <s v="Henry Ifurung Jr."/>
  </r>
  <r>
    <n v="1479"/>
    <s v="F0"/>
    <x v="60"/>
    <s v="H000004835"/>
    <s v="RT Bulgaria Sales Promotion"/>
    <s v="H000004832"/>
    <s v="New"/>
    <x v="0"/>
    <x v="0"/>
    <s v="HC"/>
    <m/>
    <m/>
    <s v="Henry Ifurung Jr."/>
  </r>
  <r>
    <n v="1480"/>
    <s v="F0"/>
    <x v="60"/>
    <s v="H000004836"/>
    <s v="RT Bulgaria Ogsiveo Sales Promotion"/>
    <s v="H000004835"/>
    <s v="New"/>
    <x v="0"/>
    <x v="0"/>
    <s v="HC"/>
    <m/>
    <m/>
    <s v="Henry Ifurung Jr."/>
  </r>
  <r>
    <n v="1481"/>
    <s v="F0"/>
    <x v="60"/>
    <s v="H000004837"/>
    <s v="RT Bulgaria Ezmekly Sales Promotion"/>
    <s v="H000004835"/>
    <s v="New"/>
    <x v="0"/>
    <x v="0"/>
    <s v="HC"/>
    <m/>
    <m/>
    <s v="Henry Ifurung Jr."/>
  </r>
  <r>
    <n v="1482"/>
    <s v="F0"/>
    <x v="60"/>
    <s v="H000004838"/>
    <s v="RT Bulgaria - General"/>
    <s v="H000004832"/>
    <s v="New"/>
    <x v="0"/>
    <x v="0"/>
    <s v="HC"/>
    <m/>
    <m/>
    <s v="Henry Ifurung Jr."/>
  </r>
  <r>
    <n v="1483"/>
    <s v="F0"/>
    <x v="60"/>
    <s v="H000004839"/>
    <s v="RT Bulgaria - General Management"/>
    <s v="H000004838"/>
    <s v="New"/>
    <x v="0"/>
    <x v="0"/>
    <s v="HC"/>
    <m/>
    <m/>
    <s v="Henry Ifurung Jr."/>
  </r>
  <r>
    <n v="1484"/>
    <s v="F0"/>
    <x v="60"/>
    <s v="H000004840"/>
    <s v="RT Bulgaria - MAP"/>
    <s v="H000004838"/>
    <s v="New"/>
    <x v="0"/>
    <x v="0"/>
    <s v="HC"/>
    <m/>
    <m/>
    <s v="Henry Ifurung Jr."/>
  </r>
  <r>
    <n v="1485"/>
    <s v="F0"/>
    <x v="60"/>
    <s v="H000004841"/>
    <s v="RT Bulgaria - GAP"/>
    <s v="H000004838"/>
    <s v="New"/>
    <x v="0"/>
    <x v="0"/>
    <s v="HC"/>
    <m/>
    <m/>
    <s v="Henry Ifurung Jr."/>
  </r>
  <r>
    <n v="1486"/>
    <s v="F0"/>
    <x v="60"/>
    <s v="H000004842"/>
    <s v="RT Bulgaria - Business Ops"/>
    <s v="H000004838"/>
    <s v="New"/>
    <x v="0"/>
    <x v="0"/>
    <s v="HC"/>
    <m/>
    <m/>
    <s v="Henry Ifurung Jr."/>
  </r>
  <r>
    <n v="1487"/>
    <s v="F0"/>
    <x v="60"/>
    <s v="H000004843"/>
    <s v="RT Bulgaria - Other Operating Expense"/>
    <s v="H000004838"/>
    <s v="New"/>
    <x v="0"/>
    <x v="0"/>
    <s v="HC"/>
    <m/>
    <m/>
    <s v="Henry Ifurung Jr."/>
  </r>
  <r>
    <n v="1488"/>
    <s v="F0"/>
    <x v="60"/>
    <s v="H000004844"/>
    <s v="RT Bulgaria Medical &amp; local R&amp;D"/>
    <s v="H000004409"/>
    <s v="New"/>
    <x v="0"/>
    <x v="0"/>
    <s v="HC"/>
    <m/>
    <m/>
    <s v="Henry Ifurung Jr."/>
  </r>
  <r>
    <n v="1489"/>
    <s v="F0"/>
    <x v="60"/>
    <s v="H000004845"/>
    <s v="RT Bulgaria - Medical cost center"/>
    <s v="H000004844"/>
    <s v="New"/>
    <x v="0"/>
    <x v="0"/>
    <s v="HC"/>
    <m/>
    <m/>
    <s v="Henry Ifurung Jr."/>
  </r>
  <r>
    <n v="1490"/>
    <s v="F0"/>
    <x v="60"/>
    <s v="H000004846"/>
    <s v="RT Bulgaria - Medical Non-R&amp;D Activities"/>
    <s v="H000004844"/>
    <s v="New"/>
    <x v="0"/>
    <x v="0"/>
    <s v="HC"/>
    <m/>
    <m/>
    <s v="Henry Ifurung Jr."/>
  </r>
  <r>
    <n v="1491"/>
    <s v="F0"/>
    <x v="60"/>
    <s v="H000004847"/>
    <s v="RT Bulgaria Ogsiveo Medical Activities"/>
    <s v="H000004846"/>
    <s v="New"/>
    <x v="0"/>
    <x v="0"/>
    <s v="HC"/>
    <m/>
    <m/>
    <s v="Henry Ifurung Jr."/>
  </r>
  <r>
    <n v="1492"/>
    <s v="F0"/>
    <x v="60"/>
    <s v="H000004848"/>
    <s v="RT Bulgaria Ezmekly Medical Activities"/>
    <s v="H000004846"/>
    <s v="New"/>
    <x v="0"/>
    <x v="0"/>
    <s v="HC"/>
    <m/>
    <m/>
    <s v="Henry Ifurung Jr."/>
  </r>
  <r>
    <n v="1493"/>
    <s v="F0"/>
    <x v="60"/>
    <s v="H000004849"/>
    <s v="RT Bulgaria Local R&amp;D - Studies"/>
    <s v="H000004844"/>
    <s v="New"/>
    <x v="0"/>
    <x v="0"/>
    <s v="HC"/>
    <m/>
    <m/>
    <s v="Henry Ifurung Jr."/>
  </r>
  <r>
    <n v="1494"/>
    <s v="F0"/>
    <x v="60"/>
    <s v="H000004850"/>
    <s v="RT Bulgaria Ogsiveo Local R&amp;D Studies"/>
    <s v="H000004849"/>
    <s v="New"/>
    <x v="0"/>
    <x v="0"/>
    <s v="HC"/>
    <m/>
    <m/>
    <s v="Henry Ifurung Jr."/>
  </r>
  <r>
    <n v="1495"/>
    <s v="F0"/>
    <x v="60"/>
    <s v="H000004851"/>
    <s v="RT Bulgaria Ezmekly Local R&amp;D Studies"/>
    <s v="H000004849"/>
    <s v="New"/>
    <x v="0"/>
    <x v="0"/>
    <s v="HC"/>
    <m/>
    <m/>
    <s v="Henry Ifurung Jr."/>
  </r>
  <r>
    <n v="1496"/>
    <s v="F0"/>
    <x v="61"/>
    <s v="H000001071"/>
    <m/>
    <s v="H000000868"/>
    <s v="Move"/>
    <x v="0"/>
    <x v="0"/>
    <s v="MGF"/>
    <m/>
    <m/>
    <s v="Erjo Miguel Tagle"/>
  </r>
  <r>
    <n v="1497"/>
    <s v="F0"/>
    <x v="62"/>
    <s v="H000004852"/>
    <s v="North Cone"/>
    <s v="H000000332"/>
    <s v="New"/>
    <x v="0"/>
    <x v="0"/>
    <s v="HC"/>
    <m/>
    <m/>
    <s v="Henry Ifurung Jr."/>
  </r>
  <r>
    <n v="1498"/>
    <s v="F0"/>
    <x v="62"/>
    <s v="H000001105"/>
    <m/>
    <s v="H000004852"/>
    <s v="Move"/>
    <x v="0"/>
    <x v="0"/>
    <s v="HC"/>
    <m/>
    <m/>
    <s v="Henry Ifurung Jr."/>
  </r>
  <r>
    <n v="1499"/>
    <s v="F0"/>
    <x v="62"/>
    <s v="H000000340"/>
    <m/>
    <s v="H000004852"/>
    <s v="Move"/>
    <x v="0"/>
    <x v="0"/>
    <s v="HC"/>
    <m/>
    <m/>
    <s v="Henry Ifurung Jr."/>
  </r>
  <r>
    <n v="1500"/>
    <s v="F0"/>
    <x v="63"/>
    <s v="H000004853"/>
    <s v="CN - FD ISS MKT Dragon"/>
    <s v="H000001455"/>
    <s v="New"/>
    <x v="0"/>
    <x v="0"/>
    <s v="HC"/>
    <m/>
    <m/>
    <s v="John Poulie Borromeo"/>
  </r>
  <r>
    <n v="1501"/>
    <s v="F0"/>
    <x v="63"/>
    <s v="H000004854"/>
    <s v="CN - FD SP MKT Dragon"/>
    <s v="H000001485"/>
    <s v="New"/>
    <x v="0"/>
    <x v="0"/>
    <s v="HC"/>
    <m/>
    <m/>
    <s v="John Poulie Borromeo"/>
  </r>
  <r>
    <n v="1502"/>
    <s v="F0"/>
    <x v="63"/>
    <s v="H000004855"/>
    <s v="CN - CM&amp;E FF Thyrotropin"/>
    <s v="H000001341"/>
    <s v="New"/>
    <x v="0"/>
    <x v="0"/>
    <s v="HC"/>
    <m/>
    <m/>
    <s v="John Poulie Borromeo"/>
  </r>
  <r>
    <n v="1503"/>
    <s v="F0"/>
    <x v="63"/>
    <s v="H000004856"/>
    <s v="CN - CM&amp;E FF Retail"/>
    <s v="H000001341"/>
    <s v="New"/>
    <x v="0"/>
    <x v="0"/>
    <s v="HC"/>
    <m/>
    <m/>
    <s v="John Poulie Borromeo"/>
  </r>
  <r>
    <n v="1504"/>
    <s v="F0"/>
    <x v="63"/>
    <s v="H000004857"/>
    <s v="CN - CM&amp;E ISS Thyrotropin"/>
    <s v="H000001361"/>
    <s v="New"/>
    <x v="0"/>
    <x v="0"/>
    <s v="HC"/>
    <m/>
    <m/>
    <s v="John Poulie Borromeo"/>
  </r>
  <r>
    <n v="1505"/>
    <s v="F0"/>
    <x v="63"/>
    <s v="H000004858"/>
    <s v="CN - CM&amp;E ISS Retail"/>
    <s v="H000001361"/>
    <s v="New"/>
    <x v="0"/>
    <x v="0"/>
    <s v="HC"/>
    <m/>
    <m/>
    <s v="John Poulie Borromeo"/>
  </r>
  <r>
    <n v="1506"/>
    <s v="F0"/>
    <x v="63"/>
    <s v="H000004859"/>
    <s v="CN - CM&amp;E FF Thyrotropin Sales"/>
    <s v="H000004855"/>
    <s v="New"/>
    <x v="0"/>
    <x v="0"/>
    <s v="HC"/>
    <m/>
    <m/>
    <s v="John Poulie Borromeo"/>
  </r>
  <r>
    <n v="1507"/>
    <s v="F0"/>
    <x v="63"/>
    <s v="H000004860"/>
    <s v="CN - CM&amp;E FF Retail Sales"/>
    <s v="H000004856"/>
    <s v="New"/>
    <x v="0"/>
    <x v="0"/>
    <s v="HC"/>
    <m/>
    <m/>
    <s v="John Poulie Borromeo"/>
  </r>
  <r>
    <n v="1508"/>
    <s v="F0"/>
    <x v="63"/>
    <s v="H000004861"/>
    <s v="CN - CM&amp;E ISS Thyrotropin MKT"/>
    <s v="H000004857"/>
    <s v="New"/>
    <x v="0"/>
    <x v="0"/>
    <s v="HC"/>
    <m/>
    <m/>
    <s v="John Poulie Borromeo"/>
  </r>
  <r>
    <n v="1509"/>
    <s v="F0"/>
    <x v="63"/>
    <s v="H000004862"/>
    <s v="CN - CM&amp;E ISS Retail MKT"/>
    <s v="H000004858"/>
    <s v="New"/>
    <x v="0"/>
    <x v="0"/>
    <s v="HC"/>
    <m/>
    <m/>
    <s v="John Poulie Borromeo"/>
  </r>
  <r>
    <n v="1510"/>
    <s v="F0"/>
    <x v="63"/>
    <s v="H000001556"/>
    <s v="CN - SEI"/>
    <m/>
    <s v="Rename"/>
    <x v="0"/>
    <x v="0"/>
    <s v="HC"/>
    <m/>
    <m/>
    <s v="John Poulie Borromeo"/>
  </r>
  <r>
    <n v="1511"/>
    <s v="F0"/>
    <x v="63"/>
    <s v="H000001557"/>
    <s v="CN - Field Force SEI"/>
    <m/>
    <s v="Rename"/>
    <x v="0"/>
    <x v="0"/>
    <s v="HC"/>
    <m/>
    <m/>
    <s v="John Poulie Borromeo"/>
  </r>
  <r>
    <n v="1512"/>
    <s v="F0"/>
    <x v="63"/>
    <s v="H000001564"/>
    <s v="CN - Sales promotion activities SEI"/>
    <m/>
    <s v="Rename"/>
    <x v="0"/>
    <x v="0"/>
    <s v="HC"/>
    <m/>
    <m/>
    <s v="John Poulie Borromeo"/>
  </r>
  <r>
    <n v="1513"/>
    <s v="F0"/>
    <x v="63"/>
    <s v="H000001565"/>
    <s v="CN - GMA"/>
    <m/>
    <s v="Rename"/>
    <x v="0"/>
    <x v="0"/>
    <s v="HC"/>
    <m/>
    <m/>
    <s v="John Poulie Borromeo"/>
  </r>
  <r>
    <n v="1514"/>
    <s v="F0"/>
    <x v="63"/>
    <s v="H000001566"/>
    <s v="CN - Field Force GMA"/>
    <m/>
    <s v="Rename"/>
    <x v="0"/>
    <x v="0"/>
    <s v="HC"/>
    <m/>
    <m/>
    <s v="John Poulie Borromeo"/>
  </r>
  <r>
    <n v="1515"/>
    <s v="F0"/>
    <x v="63"/>
    <s v="H000001580"/>
    <s v="CN - Internal sales service GMA"/>
    <m/>
    <s v="Rename"/>
    <x v="0"/>
    <x v="0"/>
    <s v="HC"/>
    <m/>
    <m/>
    <s v="John Poulie Borromeo"/>
  </r>
  <r>
    <n v="1516"/>
    <s v="F0"/>
    <x v="63"/>
    <s v="H000001589"/>
    <s v="CN - Sales promotion activities GMA"/>
    <m/>
    <s v="Rename"/>
    <x v="0"/>
    <x v="0"/>
    <s v="HC"/>
    <m/>
    <m/>
    <s v="John Poulie Borromeo"/>
  </r>
  <r>
    <n v="1517"/>
    <s v="F0"/>
    <x v="64"/>
    <s v="G000001450"/>
    <s v="GMZ MBS Hub Bangalore - L&amp;D"/>
    <s v="G000001144"/>
    <s v="New"/>
    <x v="0"/>
    <x v="1"/>
    <s v="MGF"/>
    <s v="named/assigned"/>
    <e v="#N/A"/>
    <s v="Jojeff Tagnong"/>
  </r>
  <r>
    <n v="1518"/>
    <s v="F0"/>
    <x v="64"/>
    <s v="G000001451"/>
    <s v="GO8 HR - Healthcare Center and Wellbeing"/>
    <s v="G000000588"/>
    <s v="New"/>
    <x v="0"/>
    <x v="1"/>
    <s v="MGF"/>
    <s v="named/assigned"/>
    <e v="#N/A"/>
    <s v="Jojeff Tagnong"/>
  </r>
  <r>
    <n v="1519"/>
    <s v="F0"/>
    <x v="64"/>
    <s v="G000001452"/>
    <s v="F84 PS - Databases"/>
    <s v="G000000591"/>
    <s v="New"/>
    <x v="0"/>
    <x v="1"/>
    <s v="MGF"/>
    <s v="named/assigned"/>
    <e v="#N/A"/>
    <s v="Jojeff Tagnong"/>
  </r>
  <r>
    <n v="1520"/>
    <s v="F0"/>
    <x v="64"/>
    <s v="G000001453"/>
    <s v="F87 ST - SMARTfacturing Ripple"/>
    <s v="G000000597"/>
    <s v="New"/>
    <x v="0"/>
    <x v="1"/>
    <s v="MGF"/>
    <s v="named/assigned"/>
    <e v="#N/A"/>
    <s v="Jojeff Tagnong"/>
  </r>
  <r>
    <n v="1521"/>
    <s v="F0"/>
    <x v="64"/>
    <s v="G000001454"/>
    <s v="F87 ST - SMARTfacturing Ripple HC"/>
    <s v="G000001453"/>
    <s v="New"/>
    <x v="0"/>
    <x v="1"/>
    <s v="MGF"/>
    <s v="named/assigned"/>
    <e v="#N/A"/>
    <s v="Jojeff Tagnong"/>
  </r>
  <r>
    <n v="1522"/>
    <s v="F0"/>
    <x v="64"/>
    <s v="G000001455"/>
    <s v="F87 ST - SMARTfacturing Ripple LS"/>
    <s v="G000001453"/>
    <s v="New"/>
    <x v="0"/>
    <x v="1"/>
    <s v="MGF"/>
    <s v="named/assigned"/>
    <e v="#N/A"/>
    <s v="Jojeff Tagnong"/>
  </r>
  <r>
    <n v="1523"/>
    <s v="F0"/>
    <x v="64"/>
    <s v="G000001456"/>
    <s v="F87 ST - SMARTfacturing Ripple EL"/>
    <s v="G000001453"/>
    <s v="New"/>
    <x v="0"/>
    <x v="1"/>
    <s v="MGF"/>
    <s v="named/assigned"/>
    <e v="#N/A"/>
    <s v="Jojeff Tagnong"/>
  </r>
  <r>
    <n v="1524"/>
    <s v="F0"/>
    <x v="64"/>
    <s v="G000000828"/>
    <s v="GYF MBS PS&amp;P ES - Market BPE"/>
    <m/>
    <s v="Rename"/>
    <x v="0"/>
    <x v="1"/>
    <s v="MGF"/>
    <s v="named"/>
    <m/>
    <s v="Jojeff Tagnong"/>
  </r>
  <r>
    <n v="1525"/>
    <s v="F0"/>
    <x v="64"/>
    <s v="G000000044"/>
    <s v="FF1 GR - Group Reporting"/>
    <m/>
    <s v="Rename"/>
    <x v="0"/>
    <x v="1"/>
    <s v="MGF"/>
    <s v="named"/>
    <m/>
    <s v="Jojeff Tagnong"/>
  </r>
  <r>
    <n v="1526"/>
    <s v="F0"/>
    <x v="64"/>
    <s v="G000000574"/>
    <s v="GR - MGF Reporting"/>
    <m/>
    <s v="Rename"/>
    <x v="0"/>
    <x v="1"/>
    <s v="MGF"/>
    <s v="named"/>
    <m/>
    <s v="Jojeff Tagnong"/>
  </r>
  <r>
    <n v="1527"/>
    <s v="F0"/>
    <x v="64"/>
    <s v="G000000575"/>
    <s v="GR - non-MGF Reporting"/>
    <m/>
    <s v="Rename"/>
    <x v="0"/>
    <x v="1"/>
    <s v="MGF"/>
    <s v="named"/>
    <m/>
    <s v="Jojeff Tagnong"/>
  </r>
  <r>
    <n v="1528"/>
    <s v="F0"/>
    <x v="64"/>
    <s v="G000000046"/>
    <s v="GX6 GR - Group Financial Reporting"/>
    <m/>
    <s v="Rename"/>
    <x v="0"/>
    <x v="1"/>
    <s v="MGF"/>
    <s v="named"/>
    <m/>
    <s v="Jojeff Tagnong"/>
  </r>
  <r>
    <n v="1529"/>
    <s v="F0"/>
    <x v="64"/>
    <s v="G000000045"/>
    <s v="FF1 GR - Intercompany Charges"/>
    <m/>
    <s v="Rename"/>
    <x v="0"/>
    <x v="1"/>
    <s v="MGF"/>
    <s v="named"/>
    <m/>
    <s v="Jojeff Tagnong"/>
  </r>
  <r>
    <n v="1530"/>
    <s v="F0"/>
    <x v="64"/>
    <s v="G000000047"/>
    <s v="FF1 GR - Exceptionals"/>
    <m/>
    <s v="Rename"/>
    <x v="0"/>
    <x v="1"/>
    <s v="MGF"/>
    <s v="named"/>
    <m/>
    <s v="Jojeff Tagnong"/>
  </r>
  <r>
    <n v="1531"/>
    <s v="F0"/>
    <x v="64"/>
    <s v="G000001272"/>
    <s v="GXA GR - Sustainability Management"/>
    <m/>
    <s v="Rename"/>
    <x v="0"/>
    <x v="1"/>
    <s v="MGF"/>
    <s v="named"/>
    <m/>
    <s v="Jojeff Tagnong"/>
  </r>
  <r>
    <n v="1532"/>
    <s v="F0"/>
    <x v="64"/>
    <s v="G000001286"/>
    <s v="GYG MBS Hub Bangalore - SLS"/>
    <m/>
    <s v="Rename"/>
    <x v="0"/>
    <x v="1"/>
    <s v="MGF"/>
    <s v="named"/>
    <m/>
    <s v="Jojeff Tagnong"/>
  </r>
  <r>
    <n v="1533"/>
    <s v="F0"/>
    <x v="64"/>
    <s v="G000001298"/>
    <s v="GYH MBS Hub Bangalore - LSS"/>
    <m/>
    <s v="Rename"/>
    <x v="0"/>
    <x v="1"/>
    <s v="MGF"/>
    <s v="named"/>
    <m/>
    <s v="Jojeff Tagnong"/>
  </r>
  <r>
    <n v="1534"/>
    <s v="F0"/>
    <x v="64"/>
    <s v="G000001301"/>
    <s v="GYI MBS Hub Bangalore - PS"/>
    <m/>
    <s v="Rename"/>
    <x v="0"/>
    <x v="1"/>
    <s v="MGF"/>
    <s v="named"/>
    <m/>
    <s v="Jojeff Tagnong"/>
  </r>
  <r>
    <n v="1535"/>
    <s v="F0"/>
    <x v="64"/>
    <s v="G000001305"/>
    <s v="GYJ MBS Hub Bangalore - ISCO"/>
    <m/>
    <s v="Rename"/>
    <x v="0"/>
    <x v="1"/>
    <s v="MGF"/>
    <s v="named"/>
    <m/>
    <s v="Jojeff Tagnong"/>
  </r>
  <r>
    <n v="1536"/>
    <s v="F0"/>
    <x v="64"/>
    <s v="G000001313"/>
    <s v="GYK MBS Hub Bangalore - EF GSS COE"/>
    <m/>
    <s v="Rename"/>
    <x v="0"/>
    <x v="1"/>
    <s v="MGF"/>
    <s v="named"/>
    <m/>
    <s v="Jojeff Tagnong"/>
  </r>
  <r>
    <n v="1537"/>
    <s v="F0"/>
    <x v="64"/>
    <s v="G000001174"/>
    <s v="GNX MBS Hub Wroclaw - I2C EMEA"/>
    <m/>
    <s v="Rename"/>
    <x v="0"/>
    <x v="1"/>
    <s v="MGF"/>
    <s v="named"/>
    <m/>
    <s v="Jojeff Tagnong"/>
  </r>
  <r>
    <n v="1538"/>
    <s v="F0"/>
    <x v="64"/>
    <s v="G000001176"/>
    <s v="GNZ MBS Hub Wroclaw - R2R EMEA"/>
    <m/>
    <s v="Rename"/>
    <x v="0"/>
    <x v="1"/>
    <s v="MGF"/>
    <s v="named"/>
    <m/>
    <s v="Jojeff Tagnong"/>
  </r>
  <r>
    <n v="1539"/>
    <s v="F0"/>
    <x v="64"/>
    <s v="G000001263"/>
    <s v="GMP MBS Hub Wroclaw - R2R Germany"/>
    <m/>
    <s v="Rename"/>
    <x v="0"/>
    <x v="1"/>
    <s v="MGF"/>
    <s v="named"/>
    <m/>
    <s v="Jojeff Tagnong"/>
  </r>
  <r>
    <n v="1540"/>
    <s v="F0"/>
    <x v="64"/>
    <s v="G000001231"/>
    <s v="GMK RC - Governance, Risk &amp; Control"/>
    <s v="G000000574"/>
    <s v="Rename/Move"/>
    <x v="0"/>
    <x v="1"/>
    <s v="MGF"/>
    <s v="named/moved"/>
    <s v="G000001229"/>
    <s v="Jojeff Tagnong"/>
  </r>
  <r>
    <n v="1541"/>
    <s v="F0"/>
    <x v="64"/>
    <s v="G000000706"/>
    <m/>
    <s v="O000000009"/>
    <s v="Delete"/>
    <x v="0"/>
    <x v="1"/>
    <s v="MGF"/>
    <s v="named/moved; Please dump all objects to O000000007 – Closed Cost Centers"/>
    <m/>
    <s v="Jojeff Tagnong"/>
  </r>
  <r>
    <n v="1542"/>
    <s v="F0"/>
    <x v="64"/>
    <s v="G000000709"/>
    <m/>
    <s v="O000000009"/>
    <s v="Delete"/>
    <x v="0"/>
    <x v="1"/>
    <s v="MGF"/>
    <s v="named/moved; Please dump all objects to O000000007 – Closed Cost Centers"/>
    <m/>
    <s v="Jojeff Tagnong"/>
  </r>
  <r>
    <n v="1543"/>
    <s v="F0"/>
    <x v="64"/>
    <s v="G000001228"/>
    <m/>
    <s v="O000000009"/>
    <s v="Delete"/>
    <x v="0"/>
    <x v="1"/>
    <s v="MGF"/>
    <s v="named/moved; Please dump all objects to O000000007 – Closed Cost Centers"/>
    <m/>
    <s v="Jojeff Tagnong"/>
  </r>
  <r>
    <n v="1544"/>
    <s v="F0"/>
    <x v="64"/>
    <s v="G000001229"/>
    <m/>
    <s v="O000000009"/>
    <s v="Delete"/>
    <x v="0"/>
    <x v="1"/>
    <s v="MGF"/>
    <s v="named/moved; Please dump all objects to O000000007 – Closed Cost Centers"/>
    <m/>
    <s v="Jojeff Tagnong"/>
  </r>
  <r>
    <n v="1545"/>
    <s v="F0"/>
    <x v="64"/>
    <s v="G000001230"/>
    <m/>
    <s v="O000000009"/>
    <s v="Delete"/>
    <x v="0"/>
    <x v="1"/>
    <s v="MGF"/>
    <s v="named/moved; Please dump all objects to O000000007 – Closed Cost Centers"/>
    <m/>
    <s v="Jojeff Tagnong"/>
  </r>
  <r>
    <n v="1546"/>
    <s v="F0"/>
    <x v="64"/>
    <s v="G000001260"/>
    <m/>
    <s v="O000000009"/>
    <s v="Delete"/>
    <x v="0"/>
    <x v="1"/>
    <s v="MGF"/>
    <s v="named/moved; Please dump all objects to O000000007 – Closed Cost Centers"/>
    <m/>
    <s v="Jojeff Tagnong"/>
  </r>
  <r>
    <n v="1547"/>
    <s v="F0"/>
    <x v="64"/>
    <s v="G000001261"/>
    <m/>
    <s v="O000000009"/>
    <s v="Delete"/>
    <x v="0"/>
    <x v="1"/>
    <s v="MGF"/>
    <s v="named/moved; Please dump all objects to O000000007 – Closed Cost Centers"/>
    <m/>
    <s v="Jojeff Tagnong"/>
  </r>
  <r>
    <n v="1548"/>
    <s v="F0"/>
    <x v="64"/>
    <s v="G000000560"/>
    <m/>
    <s v="O000000009"/>
    <s v="Delete"/>
    <x v="0"/>
    <x v="1"/>
    <s v="MGF"/>
    <s v="named/moved; Please dump all objects to O000000007 – Closed Cost Centers"/>
    <m/>
    <s v="Jojeff Tagnong"/>
  </r>
  <r>
    <n v="1549"/>
    <s v="F0"/>
    <x v="65"/>
    <s v="L000013901"/>
    <s v="mRNA Innovation"/>
    <s v="L000013819"/>
    <s v="New"/>
    <x v="0"/>
    <x v="1"/>
    <s v="LS"/>
    <s v="named/assigned"/>
    <e v="#N/A"/>
    <s v="Ruby Grace Garcia"/>
  </r>
  <r>
    <n v="1550"/>
    <s v="F0"/>
    <x v="65"/>
    <s v="L000013902"/>
    <s v="LS Business Growth &amp; Customer Value"/>
    <s v="L000013623"/>
    <s v="New"/>
    <x v="0"/>
    <x v="1"/>
    <s v="LS"/>
    <s v="named/assigned"/>
    <e v="#N/A"/>
    <s v="Ruby Grace Garcia"/>
  </r>
  <r>
    <n v="1551"/>
    <s v="F0"/>
    <x v="65"/>
    <s v="L000013903"/>
    <s v="LS China Core &amp; Capabilities"/>
    <s v="L000013623"/>
    <s v="New"/>
    <x v="0"/>
    <x v="1"/>
    <s v="LS"/>
    <s v="named/assigned"/>
    <e v="#N/A"/>
    <s v="Ruby Grace Garcia"/>
  </r>
  <r>
    <n v="1552"/>
    <s v="F0"/>
    <x v="65"/>
    <s v="L000013904"/>
    <s v="Buiness Process Excellence"/>
    <s v="L000013623"/>
    <s v="New"/>
    <x v="0"/>
    <x v="1"/>
    <s v="LS"/>
    <s v="named/assigned"/>
    <e v="#N/A"/>
    <s v="Ruby Grace Garcia"/>
  </r>
  <r>
    <n v="1553"/>
    <s v="F0"/>
    <x v="65"/>
    <s v="L000013905"/>
    <s v="Project Eagle"/>
    <s v="L000011321"/>
    <s v="New"/>
    <x v="0"/>
    <x v="1"/>
    <s v="LS"/>
    <s v="named/assigned"/>
    <e v="#N/A"/>
    <s v="Ruby Grace Garcia"/>
  </r>
  <r>
    <n v="1554"/>
    <s v="F0"/>
    <x v="65"/>
    <s v="L000013906"/>
    <s v="Technology Fund Projects - UWMadison"/>
    <s v="L000013326"/>
    <s v="New"/>
    <x v="0"/>
    <x v="1"/>
    <s v="LS"/>
    <s v="named/assigned"/>
    <e v="#N/A"/>
    <s v="Ruby Grace Garcia"/>
  </r>
  <r>
    <n v="1555"/>
    <s v="F0"/>
    <x v="65"/>
    <s v="L000013907"/>
    <s v="Technology Fund Projects - UPENN"/>
    <s v="L000013326"/>
    <s v="New"/>
    <x v="0"/>
    <x v="1"/>
    <s v="LS"/>
    <s v="named/assigned"/>
    <e v="#N/A"/>
    <s v="Ruby Grace Garcia"/>
  </r>
  <r>
    <n v="1556"/>
    <s v="F0"/>
    <x v="65"/>
    <s v="L000013908"/>
    <s v="GSA Attrition"/>
    <s v="L000011690"/>
    <s v="New"/>
    <x v="0"/>
    <x v="1"/>
    <s v="LS"/>
    <s v="named/assigned"/>
    <e v="#N/A"/>
    <s v="Ruby Grace Garcia"/>
  </r>
  <r>
    <n v="1557"/>
    <s v="F0"/>
    <x v="65"/>
    <s v="L000013909"/>
    <s v="GSA Adjustments"/>
    <s v="L000011690"/>
    <s v="New"/>
    <x v="0"/>
    <x v="1"/>
    <s v="LS"/>
    <s v="named/assigned"/>
    <e v="#N/A"/>
    <s v="Ruby Grace Garcia"/>
  </r>
  <r>
    <n v="1558"/>
    <s v="F0"/>
    <x v="65"/>
    <s v="L000013910"/>
    <s v="TFF"/>
    <s v="L000013856"/>
    <s v="New"/>
    <x v="0"/>
    <x v="1"/>
    <s v="LS"/>
    <s v="named/assigned"/>
    <e v="#N/A"/>
    <s v="Ruby Grace Garcia"/>
  </r>
  <r>
    <n v="1559"/>
    <s v="F0"/>
    <x v="65"/>
    <s v="L000013911"/>
    <s v="Virus"/>
    <s v="L000013856"/>
    <s v="New"/>
    <x v="0"/>
    <x v="1"/>
    <s v="LS"/>
    <s v="named/assigned"/>
    <e v="#N/A"/>
    <s v="Ruby Grace Garcia"/>
  </r>
  <r>
    <n v="1560"/>
    <s v="F0"/>
    <x v="65"/>
    <s v="L000013912"/>
    <s v="Chromatography"/>
    <s v="L000013856"/>
    <s v="New"/>
    <x v="0"/>
    <x v="1"/>
    <s v="LS"/>
    <s v="named/assigned"/>
    <e v="#N/A"/>
    <s v="Ruby Grace Garcia"/>
  </r>
  <r>
    <n v="1561"/>
    <s v="F0"/>
    <x v="65"/>
    <s v="L000013913"/>
    <s v="Clarification"/>
    <s v="L000013856"/>
    <s v="New"/>
    <x v="0"/>
    <x v="1"/>
    <s v="LS"/>
    <s v="named/assigned"/>
    <e v="#N/A"/>
    <s v="Ruby Grace Garcia"/>
  </r>
  <r>
    <n v="1562"/>
    <s v="F0"/>
    <x v="65"/>
    <s v="L000013914"/>
    <s v="Aseptic"/>
    <s v="L000013856"/>
    <s v="New"/>
    <x v="0"/>
    <x v="1"/>
    <s v="LS"/>
    <s v="named/assigned"/>
    <e v="#N/A"/>
    <s v="Ruby Grace Garcia"/>
  </r>
  <r>
    <n v="1563"/>
    <s v="F0"/>
    <x v="65"/>
    <s v="L000013915"/>
    <s v="Supply Communications &amp; Change Execution"/>
    <s v="L000011719"/>
    <s v="New"/>
    <x v="0"/>
    <x v="1"/>
    <s v="LS"/>
    <s v="named/assigned"/>
    <e v="#N/A"/>
    <s v="Ruby Grace Garcia"/>
  </r>
  <r>
    <n v="1564"/>
    <s v="F0"/>
    <x v="65"/>
    <s v="L000013388"/>
    <s v="LS-DDIT Life Science"/>
    <m/>
    <s v="Rename"/>
    <x v="0"/>
    <x v="1"/>
    <s v="LS"/>
    <s v="named"/>
    <m/>
    <s v="Ruby Grace Garcia"/>
  </r>
  <r>
    <n v="1565"/>
    <s v="F0"/>
    <x v="65"/>
    <s v="L000011321"/>
    <s v="LS Strategy &amp; BD"/>
    <m/>
    <s v="Rename"/>
    <x v="0"/>
    <x v="1"/>
    <s v="LS"/>
    <s v="named"/>
    <m/>
    <s v="Ruby Grace Garcia"/>
  </r>
  <r>
    <n v="1566"/>
    <s v="F0"/>
    <x v="65"/>
    <s v="L000013625"/>
    <s v="Tech Leadership Fund - LS Product Design"/>
    <m/>
    <s v="Rename"/>
    <x v="0"/>
    <x v="1"/>
    <s v="LS"/>
    <s v="named"/>
    <m/>
    <s v="Ruby Grace Garcia"/>
  </r>
  <r>
    <n v="1567"/>
    <s v="F0"/>
    <x v="65"/>
    <s v="L000013375"/>
    <s v="LS Finance"/>
    <m/>
    <s v="Rename"/>
    <x v="0"/>
    <x v="1"/>
    <s v="LS"/>
    <s v="named"/>
    <m/>
    <s v="Ruby Grace Garcia"/>
  </r>
  <r>
    <n v="1568"/>
    <s v="F0"/>
    <x v="65"/>
    <s v="L000012328"/>
    <s v="GSA Cluster 1"/>
    <m/>
    <s v="Rename"/>
    <x v="0"/>
    <x v="1"/>
    <s v="LS"/>
    <s v="named"/>
    <m/>
    <s v="Ruby Grace Garcia"/>
  </r>
  <r>
    <n v="1569"/>
    <s v="F0"/>
    <x v="65"/>
    <s v="L000012329"/>
    <s v="GSA Cluster 3"/>
    <m/>
    <s v="Rename"/>
    <x v="0"/>
    <x v="1"/>
    <s v="LS"/>
    <s v="named"/>
    <m/>
    <s v="Ruby Grace Garcia"/>
  </r>
  <r>
    <n v="1570"/>
    <s v="F0"/>
    <x v="65"/>
    <s v="L000012330"/>
    <s v="GSA Cluster 5"/>
    <m/>
    <s v="Rename"/>
    <x v="0"/>
    <x v="1"/>
    <s v="LS"/>
    <s v="named"/>
    <m/>
    <s v="Ruby Grace Garcia"/>
  </r>
  <r>
    <n v="1571"/>
    <s v="F0"/>
    <x v="65"/>
    <s v="L000012332"/>
    <s v="GSA Cluster 4"/>
    <m/>
    <s v="Rename"/>
    <x v="0"/>
    <x v="1"/>
    <s v="LS"/>
    <s v="named"/>
    <m/>
    <s v="Ruby Grace Garcia"/>
  </r>
  <r>
    <n v="1572"/>
    <s v="F0"/>
    <x v="65"/>
    <s v="L000013520"/>
    <s v="GSA Innovative Solutions"/>
    <m/>
    <s v="Rename"/>
    <x v="0"/>
    <x v="1"/>
    <s v="LS"/>
    <s v="named"/>
    <m/>
    <s v="Ruby Grace Garcia"/>
  </r>
  <r>
    <n v="1573"/>
    <s v="F0"/>
    <x v="65"/>
    <s v="L000013523"/>
    <s v="GSA Cluster 2"/>
    <m/>
    <s v="Rename"/>
    <x v="0"/>
    <x v="1"/>
    <s v="LS"/>
    <s v="named"/>
    <m/>
    <s v="Ruby Grace Garcia"/>
  </r>
  <r>
    <n v="1574"/>
    <s v="F0"/>
    <x v="65"/>
    <s v="L000006562"/>
    <s v="UPM Royalty Expenses"/>
    <m/>
    <s v="Rename"/>
    <x v="0"/>
    <x v="1"/>
    <s v="LS"/>
    <s v="named"/>
    <m/>
    <s v="Ruby Grace Garcia"/>
  </r>
  <r>
    <n v="1575"/>
    <s v="F0"/>
    <x v="65"/>
    <s v="L000013139"/>
    <s v="UPM Royalty Income"/>
    <m/>
    <s v="Rename"/>
    <x v="0"/>
    <x v="1"/>
    <s v="LS"/>
    <s v="named"/>
    <m/>
    <s v="Ruby Grace Garcia"/>
  </r>
  <r>
    <n v="1576"/>
    <s v="F0"/>
    <x v="65"/>
    <s v="L000006435"/>
    <s v="Innovation Others &amp; Capitalization"/>
    <s v="L000013785"/>
    <s v="Rename/Move"/>
    <x v="0"/>
    <x v="1"/>
    <s v="LS"/>
    <s v="named/moved"/>
    <m/>
    <s v="Ruby Grace Garcia"/>
  </r>
  <r>
    <n v="1577"/>
    <s v="F0"/>
    <x v="65"/>
    <s v="L000006552"/>
    <s v="Bioprocessing royalties"/>
    <s v="L000013847"/>
    <s v="Rename/Move"/>
    <x v="0"/>
    <x v="1"/>
    <s v="LS"/>
    <s v="named/moved"/>
    <m/>
    <s v="Ruby Grace Garcia"/>
  </r>
  <r>
    <n v="1578"/>
    <s v="F0"/>
    <x v="65"/>
    <s v="L000006432"/>
    <m/>
    <s v="L000013785"/>
    <s v="Move"/>
    <x v="0"/>
    <x v="1"/>
    <s v="LS"/>
    <s v="named/moved"/>
    <m/>
    <s v="Ruby Grace Garcia"/>
  </r>
  <r>
    <n v="1579"/>
    <s v="F0"/>
    <x v="65"/>
    <s v="L000013819"/>
    <m/>
    <s v="L000013785"/>
    <s v="Move"/>
    <x v="0"/>
    <x v="1"/>
    <s v="LS"/>
    <s v="named/moved"/>
    <m/>
    <s v="Ruby Grace Garcia"/>
  </r>
  <r>
    <n v="1580"/>
    <s v="F0"/>
    <x v="65"/>
    <s v="L000013820"/>
    <m/>
    <s v="L000013785"/>
    <s v="Move"/>
    <x v="0"/>
    <x v="1"/>
    <s v="LS"/>
    <s v="named/moved"/>
    <m/>
    <s v="Ruby Grace Garcia"/>
  </r>
  <r>
    <n v="1581"/>
    <s v="F0"/>
    <x v="65"/>
    <s v="L000007087"/>
    <m/>
    <s v="L000013785"/>
    <s v="Move"/>
    <x v="0"/>
    <x v="1"/>
    <s v="LS"/>
    <s v="named/moved"/>
    <m/>
    <s v="Ruby Grace Garcia"/>
  </r>
  <r>
    <n v="1582"/>
    <s v="F0"/>
    <x v="65"/>
    <s v="L000008862"/>
    <m/>
    <s v="L000008669"/>
    <s v="Move"/>
    <x v="0"/>
    <x v="1"/>
    <s v="LS"/>
    <s v="named/moved"/>
    <m/>
    <s v="Ruby Grace Garcia"/>
  </r>
  <r>
    <n v="1583"/>
    <s v="F0"/>
    <x v="65"/>
    <s v="L000013589"/>
    <m/>
    <s v="L000013859"/>
    <s v="Move"/>
    <x v="0"/>
    <x v="1"/>
    <s v="LS"/>
    <s v="named/moved"/>
    <m/>
    <s v="Ruby Grace Garcia"/>
  </r>
  <r>
    <n v="1584"/>
    <s v="F0"/>
    <x v="65"/>
    <s v="L000006600"/>
    <m/>
    <s v="L000013563"/>
    <s v="Move"/>
    <x v="0"/>
    <x v="1"/>
    <s v="LS"/>
    <s v="named/moved"/>
    <m/>
    <s v="Ruby Grace Garcia"/>
  </r>
  <r>
    <n v="1585"/>
    <s v="F0"/>
    <x v="65"/>
    <s v="L000012678"/>
    <m/>
    <s v="L000013850"/>
    <s v="Move"/>
    <x v="0"/>
    <x v="1"/>
    <s v="LS"/>
    <s v="named/moved"/>
    <m/>
    <s v="Ruby Grace Garcia"/>
  </r>
  <r>
    <n v="1586"/>
    <s v="F0"/>
    <x v="65"/>
    <s v="L000011434"/>
    <m/>
    <s v="L000013850"/>
    <s v="Move"/>
    <x v="0"/>
    <x v="1"/>
    <s v="LS"/>
    <s v="named/moved"/>
    <m/>
    <s v="Ruby Grace Garcia"/>
  </r>
  <r>
    <n v="1587"/>
    <s v="F0"/>
    <x v="65"/>
    <s v="L000006569"/>
    <m/>
    <s v="L000013856"/>
    <s v="Move"/>
    <x v="0"/>
    <x v="1"/>
    <s v="LS"/>
    <s v="named/moved"/>
    <m/>
    <s v="Ruby Grace Garcia"/>
  </r>
  <r>
    <n v="1588"/>
    <s v="F0"/>
    <x v="65"/>
    <s v="L000006570"/>
    <m/>
    <s v="L000013910"/>
    <s v="Move"/>
    <x v="0"/>
    <x v="1"/>
    <s v="LS"/>
    <s v="named/moved"/>
    <m/>
    <s v="Ruby Grace Garcia"/>
  </r>
  <r>
    <n v="1589"/>
    <s v="F0"/>
    <x v="65"/>
    <s v="L000006571"/>
    <m/>
    <s v="L000013914"/>
    <s v="Move"/>
    <x v="0"/>
    <x v="1"/>
    <s v="LS"/>
    <s v="named/moved"/>
    <m/>
    <s v="Ruby Grace Garcia"/>
  </r>
  <r>
    <n v="1590"/>
    <s v="F0"/>
    <x v="65"/>
    <s v="L000006572"/>
    <m/>
    <s v="L000013913"/>
    <s v="Move"/>
    <x v="0"/>
    <x v="1"/>
    <s v="LS"/>
    <s v="named/moved"/>
    <m/>
    <s v="Ruby Grace Garcia"/>
  </r>
  <r>
    <n v="1591"/>
    <s v="F0"/>
    <x v="65"/>
    <s v="L000006578"/>
    <m/>
    <s v="L000013915"/>
    <s v="Move"/>
    <x v="0"/>
    <x v="1"/>
    <s v="LS"/>
    <s v="named/moved"/>
    <m/>
    <s v="Ruby Grace Garcia"/>
  </r>
  <r>
    <n v="1592"/>
    <s v="F0"/>
    <x v="65"/>
    <s v="L000012682"/>
    <m/>
    <s v="L000013915"/>
    <s v="Move"/>
    <x v="0"/>
    <x v="1"/>
    <s v="LS"/>
    <s v="named/moved"/>
    <m/>
    <s v="Ruby Grace Garcia"/>
  </r>
  <r>
    <n v="1593"/>
    <s v="F0"/>
    <x v="65"/>
    <s v="L000005386"/>
    <m/>
    <s v="L000013680"/>
    <s v="Delete"/>
    <x v="0"/>
    <x v="1"/>
    <s v="LS"/>
    <s v="named/moved"/>
    <m/>
    <s v="Ruby Grace Garcia"/>
  </r>
  <r>
    <n v="1594"/>
    <s v="F0"/>
    <x v="65"/>
    <s v="L000005404"/>
    <m/>
    <s v="L000013680"/>
    <s v="Delete"/>
    <x v="0"/>
    <x v="1"/>
    <s v="LS"/>
    <s v="named/moved"/>
    <m/>
    <s v="Ruby Grace Garcia"/>
  </r>
  <r>
    <n v="1595"/>
    <s v="F0"/>
    <x v="65"/>
    <s v="L000011969"/>
    <m/>
    <s v="L000013680"/>
    <s v="Delete"/>
    <x v="0"/>
    <x v="1"/>
    <s v="LS"/>
    <s v="named/moved"/>
    <m/>
    <s v="Ruby Grace Garcia"/>
  </r>
  <r>
    <n v="1596"/>
    <s v="F0"/>
    <x v="65"/>
    <s v="L000012785"/>
    <m/>
    <s v="L000013680"/>
    <s v="Delete"/>
    <x v="0"/>
    <x v="1"/>
    <s v="LS"/>
    <s v="named/moved"/>
    <m/>
    <s v="Ruby Grace Garcia"/>
  </r>
  <r>
    <n v="1597"/>
    <s v="F0"/>
    <x v="65"/>
    <s v="L000005422"/>
    <m/>
    <s v="L000013680"/>
    <s v="Delete"/>
    <x v="0"/>
    <x v="1"/>
    <s v="LS"/>
    <s v="named/moved"/>
    <m/>
    <s v="Ruby Grace Garcia"/>
  </r>
  <r>
    <n v="1598"/>
    <s v="F0"/>
    <x v="65"/>
    <s v="L000012494"/>
    <m/>
    <s v="L000013680"/>
    <s v="Delete"/>
    <x v="0"/>
    <x v="1"/>
    <s v="LS"/>
    <s v="named/moved"/>
    <m/>
    <s v="Ruby Grace Garcia"/>
  </r>
  <r>
    <n v="1599"/>
    <s v="F0"/>
    <x v="65"/>
    <s v="L000005380"/>
    <m/>
    <s v="L000013680"/>
    <s v="Delete"/>
    <x v="0"/>
    <x v="1"/>
    <s v="LS"/>
    <s v="named/moved"/>
    <m/>
    <s v="Ruby Grace Garcia"/>
  </r>
  <r>
    <n v="1600"/>
    <s v="F0"/>
    <x v="65"/>
    <s v="L000005417"/>
    <m/>
    <s v="L000013680"/>
    <s v="Delete"/>
    <x v="0"/>
    <x v="1"/>
    <s v="LS"/>
    <s v="named/moved"/>
    <m/>
    <s v="Ruby Grace Garcia"/>
  </r>
  <r>
    <n v="1601"/>
    <s v="F0"/>
    <x v="65"/>
    <s v="L000011992"/>
    <m/>
    <s v="L000013680"/>
    <s v="Delete"/>
    <x v="0"/>
    <x v="1"/>
    <s v="LS"/>
    <s v="named/moved"/>
    <m/>
    <s v="Ruby Grace Garcia"/>
  </r>
  <r>
    <n v="1602"/>
    <s v="F0"/>
    <x v="65"/>
    <s v="L000013524"/>
    <m/>
    <s v="L000013679"/>
    <s v="Delete"/>
    <x v="0"/>
    <x v="1"/>
    <s v="LS"/>
    <s v="named/moved"/>
    <m/>
    <s v="Ruby Grace Garcia"/>
  </r>
  <r>
    <n v="1603"/>
    <s v="F0"/>
    <x v="65"/>
    <s v="L000013525"/>
    <m/>
    <s v="L000013679"/>
    <s v="Delete"/>
    <x v="0"/>
    <x v="1"/>
    <s v="LS"/>
    <s v="named/moved"/>
    <m/>
    <s v="Ruby Grace Garcia"/>
  </r>
  <r>
    <n v="1604"/>
    <s v="F0"/>
    <x v="65"/>
    <s v="L000012331"/>
    <m/>
    <s v="L000013679"/>
    <s v="Delete"/>
    <x v="0"/>
    <x v="1"/>
    <s v="LS"/>
    <s v="named/moved"/>
    <m/>
    <s v="Ruby Grace Garcia"/>
  </r>
  <r>
    <n v="1605"/>
    <s v="F0"/>
    <x v="65"/>
    <s v="L000006587"/>
    <m/>
    <s v="L000013679"/>
    <s v="Delete"/>
    <x v="0"/>
    <x v="1"/>
    <s v="LS"/>
    <s v="named/moved"/>
    <m/>
    <s v="Ruby Grace Garcia"/>
  </r>
  <r>
    <n v="1606"/>
    <s v="F0"/>
    <x v="65"/>
    <s v="L000006588"/>
    <m/>
    <s v="L000013679"/>
    <s v="Delete"/>
    <x v="0"/>
    <x v="1"/>
    <s v="LS"/>
    <s v="named/moved"/>
    <m/>
    <s v="Ruby Grace Garcia"/>
  </r>
  <r>
    <n v="1607"/>
    <s v="F0"/>
    <x v="65"/>
    <s v="L000006589"/>
    <m/>
    <s v="L000013679"/>
    <s v="Delete"/>
    <x v="0"/>
    <x v="1"/>
    <s v="LS"/>
    <s v="named/moved"/>
    <m/>
    <s v="Ruby Grace Garcia"/>
  </r>
  <r>
    <n v="1608"/>
    <s v="F0"/>
    <x v="65"/>
    <s v="L000006590"/>
    <m/>
    <s v="L000013679"/>
    <s v="Delete"/>
    <x v="0"/>
    <x v="1"/>
    <s v="LS"/>
    <s v="named/moved"/>
    <m/>
    <s v="Ruby Grace Garcia"/>
  </r>
  <r>
    <n v="1609"/>
    <s v="F0"/>
    <x v="65"/>
    <s v="L000006591"/>
    <m/>
    <s v="L000013679"/>
    <s v="Delete"/>
    <x v="0"/>
    <x v="1"/>
    <s v="LS"/>
    <s v="named/moved"/>
    <m/>
    <s v="Ruby Grace Garcia"/>
  </r>
  <r>
    <n v="1610"/>
    <s v="F0"/>
    <x v="65"/>
    <s v="L000007088"/>
    <m/>
    <s v="L000013679"/>
    <s v="Delete"/>
    <x v="0"/>
    <x v="1"/>
    <s v="LS"/>
    <s v="named/moved"/>
    <m/>
    <s v="Ruby Grace Garcia"/>
  </r>
  <r>
    <n v="1611"/>
    <s v="F0"/>
    <x v="65"/>
    <s v="L000007038"/>
    <m/>
    <s v="L000013679"/>
    <s v="Delete"/>
    <x v="0"/>
    <x v="1"/>
    <s v="LS"/>
    <s v="named/moved"/>
    <m/>
    <s v="Ruby Grace Garcia"/>
  </r>
  <r>
    <n v="1612"/>
    <s v="F0"/>
    <x v="65"/>
    <s v="L000011508"/>
    <m/>
    <s v="L000013679"/>
    <s v="Delete"/>
    <x v="0"/>
    <x v="1"/>
    <s v="LS"/>
    <s v="named/moved"/>
    <m/>
    <s v="Ruby Grace Garcia"/>
  </r>
  <r>
    <n v="1613"/>
    <s v="F0"/>
    <x v="65"/>
    <s v="L000011511"/>
    <m/>
    <s v="L000013679"/>
    <s v="Delete"/>
    <x v="0"/>
    <x v="1"/>
    <s v="LS"/>
    <s v="named/moved"/>
    <m/>
    <s v="Ruby Grace Garcia"/>
  </r>
  <r>
    <n v="1614"/>
    <s v="F0"/>
    <x v="65"/>
    <s v="L000011514"/>
    <m/>
    <s v="L000013679"/>
    <s v="Delete"/>
    <x v="0"/>
    <x v="1"/>
    <s v="LS"/>
    <s v="named/moved"/>
    <m/>
    <s v="Ruby Grace Garcia"/>
  </r>
  <r>
    <n v="1615"/>
    <s v="F0"/>
    <x v="65"/>
    <s v="L000012861"/>
    <m/>
    <s v="L000013679"/>
    <s v="Delete"/>
    <x v="0"/>
    <x v="1"/>
    <s v="LS"/>
    <s v="named/moved"/>
    <m/>
    <s v="Ruby Grace Garcia"/>
  </r>
  <r>
    <n v="1616"/>
    <s v="F0"/>
    <x v="65"/>
    <s v="L000013218"/>
    <m/>
    <s v="L000013679"/>
    <s v="Delete"/>
    <x v="0"/>
    <x v="1"/>
    <s v="LS"/>
    <s v="named/moved"/>
    <m/>
    <s v="Ruby Grace Garcia"/>
  </r>
  <r>
    <n v="1617"/>
    <s v="F0"/>
    <x v="65"/>
    <s v="L000006525"/>
    <m/>
    <s v="L000013679"/>
    <s v="Delete"/>
    <x v="0"/>
    <x v="1"/>
    <s v="LS"/>
    <s v="named/moved"/>
    <m/>
    <s v="Ruby Grace Garcia"/>
  </r>
  <r>
    <n v="1618"/>
    <s v="F0"/>
    <x v="65"/>
    <s v="L000006528"/>
    <m/>
    <s v="L000013679"/>
    <s v="Delete"/>
    <x v="0"/>
    <x v="1"/>
    <s v="LS"/>
    <s v="named/moved"/>
    <m/>
    <s v="Ruby Grace Garcia"/>
  </r>
  <r>
    <n v="1619"/>
    <s v="F0"/>
    <x v="65"/>
    <s v="L000006532"/>
    <m/>
    <s v="L000013679"/>
    <s v="Delete"/>
    <x v="0"/>
    <x v="1"/>
    <s v="LS"/>
    <s v="named/moved"/>
    <m/>
    <s v="Ruby Grace Garcia"/>
  </r>
  <r>
    <n v="1620"/>
    <s v="F0"/>
    <x v="66"/>
    <s v="IT09020100"/>
    <s v="EF-DS-SGA IT Audit &amp; Compliance"/>
    <s v="G000000785"/>
    <s v="New"/>
    <x v="0"/>
    <x v="1"/>
    <s v="LS"/>
    <s v="named/assigned"/>
    <e v="#N/A"/>
    <s v="Jay-R Lizardo"/>
  </r>
  <r>
    <n v="1621"/>
    <s v="F0"/>
    <x v="67"/>
    <s v="P000001335"/>
    <s v=" EL Insurance"/>
    <s v="P000000962"/>
    <s v="New"/>
    <x v="0"/>
    <x v="1"/>
    <s v="EL"/>
    <s v="named/assigned"/>
    <e v="#N/A"/>
    <s v="Roselle Delos Angeles"/>
  </r>
  <r>
    <n v="1622"/>
    <s v="F0"/>
    <x v="67"/>
    <s v="P000001336"/>
    <s v=" GoGlobal Trainee Program"/>
    <s v="P000000757"/>
    <s v="New"/>
    <x v="0"/>
    <x v="1"/>
    <s v="EL"/>
    <s v="named/assigned"/>
    <e v="#N/A"/>
    <s v="Roselle Delos Angeles"/>
  </r>
  <r>
    <n v="1623"/>
    <s v="F0"/>
    <x v="67"/>
    <s v="P000001337"/>
    <s v="EL-SC-DG Semiconductor"/>
    <s v="P000000494"/>
    <s v="New"/>
    <x v="0"/>
    <x v="1"/>
    <s v="EL"/>
    <s v="named/assigned"/>
    <e v="#N/A"/>
    <s v="Roselle Delos Angeles"/>
  </r>
  <r>
    <n v="1624"/>
    <s v="F0"/>
    <x v="67"/>
    <s v="P000001338"/>
    <s v="EL-SC-DU Service Lab"/>
    <s v="P000000494"/>
    <s v="New"/>
    <x v="0"/>
    <x v="1"/>
    <s v="EL"/>
    <s v="named/assigned"/>
    <e v="#N/A"/>
    <s v="Roselle Delos Angeles"/>
  </r>
  <r>
    <n v="1625"/>
    <s v="F0"/>
    <x v="67"/>
    <s v="P000001339"/>
    <s v="EL-BP-IR Electronics ERP"/>
    <s v="P000000758"/>
    <s v="New"/>
    <x v="0"/>
    <x v="1"/>
    <s v="EL"/>
    <s v="named/assigned"/>
    <e v="#N/A"/>
    <s v="Roselle Delos Angeles"/>
  </r>
  <r>
    <n v="1626"/>
    <s v="F0"/>
    <x v="67"/>
    <s v="P000001340"/>
    <s v="EL-BP-IQ Portfolio &amp; Strategy"/>
    <s v="P000001319 "/>
    <s v="New"/>
    <x v="0"/>
    <x v="1"/>
    <s v="EL"/>
    <s v="named/assigned"/>
    <e v="#N/A"/>
    <s v="Roselle Delos Angeles"/>
  </r>
  <r>
    <n v="1627"/>
    <s v="F0"/>
    <x v="67"/>
    <s v="P000001341"/>
    <s v="EL-BP-IEM Data Solutions"/>
    <s v="P000000765"/>
    <s v="New"/>
    <x v="0"/>
    <x v="1"/>
    <s v="EL"/>
    <s v="named/assigned"/>
    <e v="#N/A"/>
    <s v="Roselle Delos Angeles"/>
  </r>
  <r>
    <n v="1628"/>
    <s v="F0"/>
    <x v="67"/>
    <s v="P000001342"/>
    <s v="EL-BP-IE Electronics Processes TechOps"/>
    <s v="P000000758"/>
    <s v="New"/>
    <x v="0"/>
    <x v="1"/>
    <s v="EL"/>
    <s v="named/assigned"/>
    <e v="#N/A"/>
    <s v="Roselle Delos Angeles"/>
  </r>
  <r>
    <n v="1629"/>
    <s v="F0"/>
    <x v="67"/>
    <s v="P000001343"/>
    <s v="SPICE Capital Gains"/>
    <s v="P000001198"/>
    <s v="New"/>
    <x v="0"/>
    <x v="1"/>
    <s v="EL"/>
    <s v="named/assigned"/>
    <e v="#N/A"/>
    <s v="Roselle Delos Angeles"/>
  </r>
  <r>
    <n v="1630"/>
    <s v="F0"/>
    <x v="67"/>
    <s v="P000001344"/>
    <s v="CF Asia 1 Freight"/>
    <s v="P000000469"/>
    <s v="New"/>
    <x v="0"/>
    <x v="1"/>
    <s v="EL"/>
    <s v="named/assigned"/>
    <e v="#N/A"/>
    <s v="Roselle Delos Angeles"/>
  </r>
  <r>
    <n v="1631"/>
    <s v="F0"/>
    <x v="67"/>
    <s v="P000001345"/>
    <s v="CF Asia 1 Warehouse/Distribution"/>
    <s v="P000000469"/>
    <s v="New"/>
    <x v="0"/>
    <x v="1"/>
    <s v="EL"/>
    <s v="named/assigned"/>
    <e v="#N/A"/>
    <s v="Roselle Delos Angeles"/>
  </r>
  <r>
    <n v="1632"/>
    <s v="F0"/>
    <x v="67"/>
    <s v="P000001346"/>
    <s v="CF Asia 1 Warehouse "/>
    <s v="P000001345"/>
    <s v="New"/>
    <x v="0"/>
    <x v="1"/>
    <s v="EL"/>
    <s v="named/assigned"/>
    <e v="#N/A"/>
    <s v="Roselle Delos Angeles"/>
  </r>
  <r>
    <n v="1633"/>
    <s v="F0"/>
    <x v="67"/>
    <s v="P000001347"/>
    <s v="CF Asia 1 Admin/Overhead"/>
    <s v="P000001345"/>
    <s v="New"/>
    <x v="0"/>
    <x v="1"/>
    <s v="EL"/>
    <s v="named/assigned"/>
    <e v="#N/A"/>
    <s v="Roselle Delos Angeles"/>
  </r>
  <r>
    <n v="1634"/>
    <s v="F0"/>
    <x v="67"/>
    <s v="P000001348"/>
    <s v="CF Asia 1 Customs/Duties"/>
    <s v="P000000469"/>
    <s v="New"/>
    <x v="0"/>
    <x v="1"/>
    <s v="EL"/>
    <s v="named/assigned"/>
    <e v="#N/A"/>
    <s v="Roselle Delos Angeles"/>
  </r>
  <r>
    <n v="1635"/>
    <s v="F0"/>
    <x v="67"/>
    <s v="P000001349"/>
    <s v="CF Asia 1 Global Demand Plan/Cust Svc"/>
    <s v="P000000469"/>
    <s v="New"/>
    <x v="0"/>
    <x v="1"/>
    <s v="EL"/>
    <s v="named/assigned"/>
    <e v="#N/A"/>
    <s v="Roselle Delos Angeles"/>
  </r>
  <r>
    <n v="1636"/>
    <s v="F0"/>
    <x v="67"/>
    <s v="P000001350"/>
    <s v="CF Asia 2 Freight"/>
    <s v="P000000470"/>
    <s v="New"/>
    <x v="0"/>
    <x v="1"/>
    <s v="EL"/>
    <s v="named/assigned"/>
    <e v="#N/A"/>
    <s v="Roselle Delos Angeles"/>
  </r>
  <r>
    <n v="1637"/>
    <s v="F0"/>
    <x v="67"/>
    <s v="P000001351"/>
    <s v="CF Asia 2 Warehouse/Distribution"/>
    <s v="P000000470"/>
    <s v="New"/>
    <x v="0"/>
    <x v="1"/>
    <s v="EL"/>
    <s v="named/assigned"/>
    <e v="#N/A"/>
    <s v="Roselle Delos Angeles"/>
  </r>
  <r>
    <n v="1638"/>
    <s v="F0"/>
    <x v="67"/>
    <s v="P000001352"/>
    <s v="CF Asia 2 Warehouse "/>
    <s v="P000001351"/>
    <s v="New"/>
    <x v="0"/>
    <x v="1"/>
    <s v="EL"/>
    <s v="named/assigned"/>
    <e v="#N/A"/>
    <s v="Roselle Delos Angeles"/>
  </r>
  <r>
    <n v="1639"/>
    <s v="F0"/>
    <x v="67"/>
    <s v="P000001353"/>
    <s v="CF Asia 2 Admin/Overhead"/>
    <s v="P000001351"/>
    <s v="New"/>
    <x v="0"/>
    <x v="1"/>
    <s v="EL"/>
    <s v="named/assigned"/>
    <e v="#N/A"/>
    <s v="Roselle Delos Angeles"/>
  </r>
  <r>
    <n v="1640"/>
    <s v="F0"/>
    <x v="67"/>
    <s v="P000001354"/>
    <s v="CF Asia 2 Customs/Duties"/>
    <s v="P000000470"/>
    <s v="New"/>
    <x v="0"/>
    <x v="1"/>
    <s v="EL"/>
    <s v="named/assigned"/>
    <e v="#N/A"/>
    <s v="Roselle Delos Angeles"/>
  </r>
  <r>
    <n v="1641"/>
    <s v="F0"/>
    <x v="67"/>
    <s v="P000001355"/>
    <s v="CF Asia 2 Global Demand Plan/Cust Svc"/>
    <s v="P000000470"/>
    <s v="New"/>
    <x v="0"/>
    <x v="1"/>
    <s v="EL"/>
    <s v="named/assigned"/>
    <e v="#N/A"/>
    <s v="Roselle Delos Angeles"/>
  </r>
  <r>
    <n v="1642"/>
    <s v="F0"/>
    <x v="67"/>
    <s v="P000001356"/>
    <s v="CF US Freight"/>
    <s v="P000000475"/>
    <s v="New"/>
    <x v="0"/>
    <x v="1"/>
    <s v="EL"/>
    <s v="named/assigned"/>
    <e v="#N/A"/>
    <s v="Roselle Delos Angeles"/>
  </r>
  <r>
    <n v="1643"/>
    <s v="F0"/>
    <x v="67"/>
    <s v="P000001357"/>
    <s v="CF US Warehouse/Distribution"/>
    <s v="P000000475"/>
    <s v="New"/>
    <x v="0"/>
    <x v="1"/>
    <s v="EL"/>
    <s v="named/assigned"/>
    <e v="#N/A"/>
    <s v="Roselle Delos Angeles"/>
  </r>
  <r>
    <n v="1644"/>
    <s v="F0"/>
    <x v="67"/>
    <s v="P000001358"/>
    <s v="CF US Warehouse "/>
    <s v="P000001357"/>
    <s v="New"/>
    <x v="0"/>
    <x v="1"/>
    <s v="EL"/>
    <s v="named/assigned"/>
    <e v="#N/A"/>
    <s v="Roselle Delos Angeles"/>
  </r>
  <r>
    <n v="1645"/>
    <s v="F0"/>
    <x v="67"/>
    <s v="P000001359"/>
    <s v="CF US Admin/Overhead"/>
    <s v="P000001357"/>
    <s v="New"/>
    <x v="0"/>
    <x v="1"/>
    <s v="EL"/>
    <s v="named/assigned"/>
    <e v="#N/A"/>
    <s v="Roselle Delos Angeles"/>
  </r>
  <r>
    <n v="1646"/>
    <s v="F0"/>
    <x v="67"/>
    <s v="P000001360"/>
    <s v="CF US Customs/Duties"/>
    <s v="P000000475"/>
    <s v="New"/>
    <x v="0"/>
    <x v="1"/>
    <s v="EL"/>
    <s v="named/assigned"/>
    <e v="#N/A"/>
    <s v="Roselle Delos Angeles"/>
  </r>
  <r>
    <n v="1647"/>
    <s v="F0"/>
    <x v="67"/>
    <s v="P000001361"/>
    <s v="CF US Global Demand Plan/Cust Svc"/>
    <s v="P000000475"/>
    <s v="New"/>
    <x v="0"/>
    <x v="1"/>
    <s v="EL"/>
    <s v="named/assigned"/>
    <e v="#N/A"/>
    <s v="Roselle Delos Angeles"/>
  </r>
  <r>
    <n v="1648"/>
    <s v="F0"/>
    <x v="67"/>
    <s v="P000001362"/>
    <s v="CF EU Others"/>
    <s v="P000000472"/>
    <s v="New"/>
    <x v="0"/>
    <x v="1"/>
    <s v="EL"/>
    <s v="named/assigned"/>
    <e v="#N/A"/>
    <s v="Roselle Delos Angeles"/>
  </r>
  <r>
    <n v="1649"/>
    <s v="F0"/>
    <x v="67"/>
    <s v="P000001363"/>
    <s v="CF Asia 1 Others"/>
    <s v="P000000469"/>
    <s v="New"/>
    <x v="0"/>
    <x v="1"/>
    <s v="EL"/>
    <s v="named/assigned"/>
    <e v="#N/A"/>
    <s v="Roselle Delos Angeles"/>
  </r>
  <r>
    <n v="1650"/>
    <s v="F0"/>
    <x v="67"/>
    <s v="P000001364"/>
    <s v="CF Asia 2 Others"/>
    <s v="P000000470"/>
    <s v="New"/>
    <x v="0"/>
    <x v="1"/>
    <s v="EL"/>
    <s v="named/assigned"/>
    <e v="#N/A"/>
    <s v="Roselle Delos Angeles"/>
  </r>
  <r>
    <n v="1651"/>
    <s v="F0"/>
    <x v="67"/>
    <s v="P000001365"/>
    <s v="CF US Others"/>
    <s v="P000000475"/>
    <s v="New"/>
    <x v="0"/>
    <x v="1"/>
    <s v="EL"/>
    <s v="named/assigned"/>
    <e v="#N/A"/>
    <s v="Roselle Delos Angeles"/>
  </r>
  <r>
    <n v="1652"/>
    <s v="F0"/>
    <x v="67"/>
    <s v="P000001366"/>
    <s v="GrEx, THF-TW-KA2, Kaohsiung, Taiwan"/>
    <s v="P000000808"/>
    <s v="New"/>
    <x v="0"/>
    <x v="1"/>
    <s v="EL"/>
    <s v="named/assigned"/>
    <e v="#N/A"/>
    <s v="Roselle Delos Angeles"/>
  </r>
  <r>
    <n v="1653"/>
    <s v="F0"/>
    <x v="67"/>
    <s v="P000001367"/>
    <s v="Non-GrEx, THF-TW-KA2, Kaohsiung, Taiwan"/>
    <s v="P000000808"/>
    <s v="New"/>
    <x v="0"/>
    <x v="1"/>
    <s v="EL"/>
    <s v="named/assigned"/>
    <e v="#N/A"/>
    <s v="Roselle Delos Angeles"/>
  </r>
  <r>
    <n v="1654"/>
    <s v="F0"/>
    <x v="67"/>
    <s v="P000001368"/>
    <s v="THF-TW-KA2 Production (T1)"/>
    <s v="P000000808"/>
    <s v="New"/>
    <x v="0"/>
    <x v="1"/>
    <s v="EL"/>
    <s v="named/assigned"/>
    <e v="#N/A"/>
    <s v="Roselle Delos Angeles"/>
  </r>
  <r>
    <n v="1655"/>
    <s v="F0"/>
    <x v="67"/>
    <s v="P000001369"/>
    <s v="THF-TW-KA2 Analytics (T6c)"/>
    <s v="P000000808"/>
    <s v="New"/>
    <x v="0"/>
    <x v="1"/>
    <s v="EL"/>
    <s v="named/assigned"/>
    <e v="#N/A"/>
    <s v="Roselle Delos Angeles"/>
  </r>
  <r>
    <n v="1656"/>
    <s v="F0"/>
    <x v="67"/>
    <s v="P000001370"/>
    <s v="THF-TW-KA2 Maintenance/Engineering (T3)"/>
    <s v="P000000808"/>
    <s v="New"/>
    <x v="0"/>
    <x v="1"/>
    <s v="EL"/>
    <s v="named/assigned"/>
    <e v="#N/A"/>
    <s v="Roselle Delos Angeles"/>
  </r>
  <r>
    <n v="1657"/>
    <s v="F0"/>
    <x v="67"/>
    <s v="P000001371"/>
    <s v="THF-TW-KA2 Energies/Utilities(T4)"/>
    <s v="P000000808"/>
    <s v="New"/>
    <x v="0"/>
    <x v="1"/>
    <s v="EL"/>
    <s v="named/assigned"/>
    <e v="#N/A"/>
    <s v="Roselle Delos Angeles"/>
  </r>
  <r>
    <n v="1658"/>
    <s v="F0"/>
    <x v="67"/>
    <s v="P000001372"/>
    <s v="THF-TW-KA2 Environmental(T5)"/>
    <s v="P000000808"/>
    <s v="New"/>
    <x v="0"/>
    <x v="1"/>
    <s v="EL"/>
    <s v="named/assigned"/>
    <e v="#N/A"/>
    <s v="Roselle Delos Angeles"/>
  </r>
  <r>
    <n v="1659"/>
    <s v="F0"/>
    <x v="67"/>
    <s v="P000001373"/>
    <s v="THF-TW-KA2 Prod.infrast.&amp;non-off-buil."/>
    <s v="P000000808"/>
    <s v="New"/>
    <x v="0"/>
    <x v="1"/>
    <s v="EL"/>
    <s v="named/assigned"/>
    <e v="#N/A"/>
    <s v="Roselle Delos Angeles"/>
  </r>
  <r>
    <n v="1660"/>
    <s v="F0"/>
    <x v="67"/>
    <s v="P000001374"/>
    <s v="THF-TW-KA2 Incom. storage&amp;handling (T7)"/>
    <s v="P000000808"/>
    <s v="New"/>
    <x v="0"/>
    <x v="1"/>
    <s v="EL"/>
    <s v="named/assigned"/>
    <e v="#N/A"/>
    <s v="Roselle Delos Angeles"/>
  </r>
  <r>
    <n v="1661"/>
    <s v="F0"/>
    <x v="67"/>
    <s v="P000001375"/>
    <s v="THF-TW-KA2 Local Prod.Dev. &amp; Opt."/>
    <s v="P000000808"/>
    <s v="New"/>
    <x v="0"/>
    <x v="1"/>
    <s v="EL"/>
    <s v="named/assigned"/>
    <e v="#N/A"/>
    <s v="Roselle Delos Angeles"/>
  </r>
  <r>
    <n v="1662"/>
    <s v="F0"/>
    <x v="67"/>
    <s v="P000001376"/>
    <s v="THF-TW-KA2 Other"/>
    <s v="P000000808"/>
    <s v="New"/>
    <x v="0"/>
    <x v="1"/>
    <s v="EL"/>
    <s v="named/assigned"/>
    <e v="#N/A"/>
    <s v="Roselle Delos Angeles"/>
  </r>
  <r>
    <n v="1663"/>
    <s v="F0"/>
    <x v="67"/>
    <s v="P000001377"/>
    <s v="THF-TW-KA2  Local Quality "/>
    <s v="P000000808"/>
    <s v="New"/>
    <x v="0"/>
    <x v="1"/>
    <s v="EL"/>
    <s v="named/assigned"/>
    <e v="#N/A"/>
    <s v="Roselle Delos Angeles"/>
  </r>
  <r>
    <n v="1664"/>
    <s v="F0"/>
    <x v="67"/>
    <s v="P000001378"/>
    <s v="THF-TW-KA2  Warehouse"/>
    <s v="P000000808"/>
    <s v="New"/>
    <x v="0"/>
    <x v="1"/>
    <s v="EL"/>
    <s v="named/assigned"/>
    <e v="#N/A"/>
    <s v="Roselle Delos Angeles"/>
  </r>
  <r>
    <n v="1665"/>
    <s v="F0"/>
    <x v="67"/>
    <s v="P000001379"/>
    <s v="EL AP Accruals"/>
    <s v="P000000962"/>
    <s v="New"/>
    <x v="0"/>
    <x v="1"/>
    <s v="EL"/>
    <s v="named/assigned"/>
    <e v="#N/A"/>
    <s v="Roselle Delos Angeles"/>
  </r>
  <r>
    <n v="1666"/>
    <s v="F0"/>
    <x v="67"/>
    <s v="P000001380"/>
    <s v="EL-CN-S9 Customer Fulfillment China"/>
    <s v="P000000571"/>
    <s v="New"/>
    <x v="0"/>
    <x v="1"/>
    <s v="EL"/>
    <s v="named/assigned"/>
    <e v="#N/A"/>
    <s v="Roselle Delos Angeles"/>
  </r>
  <r>
    <n v="1667"/>
    <s v="F0"/>
    <x v="67"/>
    <s v="P000001166"/>
    <m/>
    <s v="P000000757"/>
    <s v="Move"/>
    <x v="0"/>
    <x v="1"/>
    <s v="EL"/>
    <s v="named/moved"/>
    <s v="P000000748"/>
    <s v="Roselle Delos Angeles"/>
  </r>
  <r>
    <n v="1668"/>
    <s v="F0"/>
    <x v="67"/>
    <s v="P000001178"/>
    <m/>
    <s v="P000000494"/>
    <s v="Move"/>
    <x v="0"/>
    <x v="1"/>
    <s v="EL"/>
    <s v="named/moved"/>
    <s v="P000000500"/>
    <s v="Roselle Delos Angeles"/>
  </r>
  <r>
    <n v="1669"/>
    <s v="F0"/>
    <x v="67"/>
    <s v="P000000759"/>
    <m/>
    <s v="P000001319 "/>
    <s v="Move"/>
    <x v="0"/>
    <x v="1"/>
    <s v="EL"/>
    <s v="named/moved"/>
    <s v="P000000758"/>
    <s v="Roselle Delos Angeles"/>
  </r>
  <r>
    <n v="1670"/>
    <s v="F0"/>
    <x v="67"/>
    <s v="P000000766"/>
    <m/>
    <s v="P000001319 "/>
    <s v="Move"/>
    <x v="0"/>
    <x v="1"/>
    <s v="EL"/>
    <s v="named/moved"/>
    <s v="P000000758"/>
    <s v="Roselle Delos Angeles"/>
  </r>
  <r>
    <n v="1671"/>
    <s v="F0"/>
    <x v="67"/>
    <s v="P000000767"/>
    <m/>
    <s v="P000001319 "/>
    <s v="Move"/>
    <x v="0"/>
    <x v="1"/>
    <s v="EL"/>
    <s v="named/moved"/>
    <s v="P000000758"/>
    <s v="Roselle Delos Angeles"/>
  </r>
  <r>
    <n v="1672"/>
    <s v="F0"/>
    <x v="67"/>
    <s v="P000000768"/>
    <m/>
    <s v="P000001319 "/>
    <s v="Move"/>
    <x v="0"/>
    <x v="1"/>
    <s v="EL"/>
    <s v="named/moved"/>
    <s v="P000000758"/>
    <s v="Roselle Delos Angeles"/>
  </r>
  <r>
    <n v="1673"/>
    <s v="F0"/>
    <x v="67"/>
    <s v="P000000760"/>
    <m/>
    <s v="P000001319 "/>
    <s v="Move"/>
    <x v="0"/>
    <x v="1"/>
    <s v="EL"/>
    <s v="named/moved"/>
    <s v="P000000758"/>
    <s v="Roselle Delos Angeles"/>
  </r>
  <r>
    <n v="1674"/>
    <s v="F0"/>
    <x v="67"/>
    <s v="P000000762"/>
    <m/>
    <s v="P000001319 "/>
    <s v="Move"/>
    <x v="0"/>
    <x v="1"/>
    <s v="EL"/>
    <s v="named/moved"/>
    <s v="P000000758"/>
    <s v="Roselle Delos Angeles"/>
  </r>
  <r>
    <n v="1675"/>
    <s v="F0"/>
    <x v="67"/>
    <s v="P000000765"/>
    <m/>
    <s v="P000001319 "/>
    <s v="Move"/>
    <x v="0"/>
    <x v="1"/>
    <s v="EL"/>
    <s v="named/moved"/>
    <s v="P000000758"/>
    <s v="Roselle Delos Angeles"/>
  </r>
  <r>
    <n v="1676"/>
    <s v="F0"/>
    <x v="67"/>
    <s v="P000000411"/>
    <m/>
    <s v="P000000962"/>
    <s v="Move"/>
    <x v="0"/>
    <x v="1"/>
    <s v="EL"/>
    <s v="named/moved"/>
    <s v="P000001159"/>
    <s v="Roselle Delos Angeles"/>
  </r>
  <r>
    <n v="1677"/>
    <s v="F0"/>
    <x v="67"/>
    <s v="P000000662"/>
    <m/>
    <s v="O000000009"/>
    <s v="Delete"/>
    <x v="0"/>
    <x v="1"/>
    <s v="EL"/>
    <s v="named/moved"/>
    <m/>
    <s v="Roselle Delos Angeles"/>
  </r>
  <r>
    <n v="1678"/>
    <s v="F0"/>
    <x v="67"/>
    <s v="P000000663"/>
    <m/>
    <s v="O000000009"/>
    <s v="Delete"/>
    <x v="0"/>
    <x v="1"/>
    <s v="EL"/>
    <s v="named/moved"/>
    <m/>
    <s v="Roselle Delos Angeles"/>
  </r>
  <r>
    <n v="1679"/>
    <s v="F0"/>
    <x v="67"/>
    <s v="P000000760"/>
    <s v="EL-BP-IO Business Partner Optronics"/>
    <m/>
    <s v="Rename"/>
    <x v="0"/>
    <x v="1"/>
    <s v="EL"/>
    <s v="named"/>
    <m/>
    <s v="Roselle Delos Angeles"/>
  </r>
  <r>
    <n v="1680"/>
    <s v="F0"/>
    <x v="67"/>
    <s v="P000000762"/>
    <s v="EL-BP-IA Architecture, Engineering &amp; Ops"/>
    <m/>
    <s v="Rename"/>
    <x v="0"/>
    <x v="1"/>
    <s v="EL"/>
    <s v="named"/>
    <m/>
    <s v="Roselle Delos Angeles"/>
  </r>
  <r>
    <n v="1681"/>
    <s v="F0"/>
    <x v="67"/>
    <s v="P000000765"/>
    <s v="EL-BP-IE Electronics Processes"/>
    <m/>
    <s v="Rename"/>
    <x v="0"/>
    <x v="1"/>
    <s v="EL"/>
    <s v="named"/>
    <m/>
    <s v="Roselle Delos Angeles"/>
  </r>
  <r>
    <n v="1682"/>
    <s v="F0"/>
    <x v="67"/>
    <s v="P000000763"/>
    <s v="EL-BP SPICE"/>
    <m/>
    <s v="Rename"/>
    <x v="0"/>
    <x v="1"/>
    <s v="EL"/>
    <s v="named"/>
    <m/>
    <s v="Roselle Delos Angeles"/>
  </r>
  <r>
    <n v="1683"/>
    <s v="F0"/>
    <x v="68"/>
    <s v="G000000317"/>
    <s v="EF-DS-E DDIT Enabling Functions"/>
    <s v="G000001375"/>
    <s v="Rename/Move"/>
    <x v="0"/>
    <x v="1"/>
    <s v="MGF"/>
    <s v="todo in 2026"/>
    <m/>
    <s v="Jay-R Lizardo"/>
  </r>
  <r>
    <n v="1684"/>
    <s v="F0"/>
    <x v="69"/>
    <s v="G000001457"/>
    <s v="EF-DS-SIA Integration &amp; Transformation A"/>
    <s v="G000001419"/>
    <s v="New"/>
    <x v="0"/>
    <x v="1"/>
    <s v="MGF"/>
    <s v="todo in 2026"/>
    <m/>
    <s v="Jay-R Lizardo"/>
  </r>
  <r>
    <n v="1685"/>
    <s v="F0"/>
    <x v="69"/>
    <s v="IT09030200"/>
    <s v="EF-DS-SIA Integration &amp; Transformation A"/>
    <s v="G000001457"/>
    <s v="Rename/Move"/>
    <x v="0"/>
    <x v="1"/>
    <s v="MGF"/>
    <s v="todo in 2026"/>
    <m/>
    <s v="Jay-R Lizardo"/>
  </r>
  <r>
    <n v="1686"/>
    <s v="F0"/>
    <x v="69"/>
    <s v="G000001458"/>
    <s v="EF-DS-SIE Integration &amp; Transformation E"/>
    <s v="G000001419"/>
    <s v="New"/>
    <x v="0"/>
    <x v="1"/>
    <s v="MGF"/>
    <s v="todo in 2026"/>
    <m/>
    <s v="Jay-R Lizardo"/>
  </r>
  <r>
    <n v="1687"/>
    <s v="F0"/>
    <x v="69"/>
    <s v="IT09030300"/>
    <s v="EF-DS-SIE Integration &amp; Transformation E"/>
    <s v="G000001458"/>
    <s v="Rename/Move"/>
    <x v="0"/>
    <x v="1"/>
    <s v="MGF"/>
    <s v="todo in 2026"/>
    <m/>
    <s v="Jay-R Lizardo"/>
  </r>
  <r>
    <n v="1688"/>
    <s v="F0"/>
    <x v="69"/>
    <s v="G000001459"/>
    <s v="EF-DS-SIP Integration &amp; Transformation P"/>
    <s v="G000001419"/>
    <s v="New"/>
    <x v="0"/>
    <x v="1"/>
    <s v="MGF"/>
    <s v="todo in 2026"/>
    <m/>
    <s v="Jay-R Lizardo"/>
  </r>
  <r>
    <n v="1689"/>
    <s v="F0"/>
    <x v="69"/>
    <s v="IT09030400"/>
    <s v="EF-DS-SIP Integration &amp; Transformation P"/>
    <s v="G000001459"/>
    <s v="Rename/Move"/>
    <x v="0"/>
    <x v="1"/>
    <s v="MGF"/>
    <s v="todo in 2026"/>
    <m/>
    <s v="Jay-R Lizardo"/>
  </r>
  <r>
    <n v="1690"/>
    <s v="F0"/>
    <x v="69"/>
    <s v="G000001460"/>
    <s v="EF-DS-SOM Performance Management"/>
    <s v="G000000789"/>
    <s v="New"/>
    <x v="0"/>
    <x v="1"/>
    <s v="MGF"/>
    <s v="todo in 2026"/>
    <m/>
    <s v="Jay-R Lizardo"/>
  </r>
  <r>
    <n v="1691"/>
    <s v="F0"/>
    <x v="69"/>
    <s v="IT09040400"/>
    <s v="EF-DS-SOM Performance Management"/>
    <s v="G000001460"/>
    <s v="Rename/Move"/>
    <x v="0"/>
    <x v="1"/>
    <s v="MGF"/>
    <s v="todo in 2026"/>
    <m/>
    <s v="Jay-R Lizardo"/>
  </r>
  <r>
    <n v="1692"/>
    <s v="F0"/>
    <x v="69"/>
    <s v="G000000318"/>
    <s v="EF-DS-E DDIT Enabling Functions"/>
    <m/>
    <s v="Rename"/>
    <x v="0"/>
    <x v="1"/>
    <s v="MGF"/>
    <s v="todo in 2026"/>
    <m/>
    <s v="Jay-R Lizardo"/>
  </r>
  <r>
    <n v="1693"/>
    <s v="F0"/>
    <x v="69"/>
    <s v="G000000324"/>
    <s v="EF-DS-ET Portfolio Mngmt &amp; Excellence"/>
    <m/>
    <s v="Rename"/>
    <x v="0"/>
    <x v="1"/>
    <s v="MGF"/>
    <s v="todo in 2026"/>
    <m/>
    <s v="Jay-R Lizardo"/>
  </r>
  <r>
    <n v="1694"/>
    <s v="F0"/>
    <x v="69"/>
    <s v="G000000325"/>
    <s v="EF-DS-EH Busi Partnering HR &amp; Various EF"/>
    <m/>
    <s v="Rename"/>
    <x v="0"/>
    <x v="1"/>
    <s v="MGF"/>
    <s v="todo in 2026"/>
    <m/>
    <s v="Jay-R Lizardo"/>
  </r>
  <r>
    <n v="1695"/>
    <s v="F0"/>
    <x v="69"/>
    <s v="G000000786"/>
    <s v="EF-DS-EF Business Partnering Finance"/>
    <m/>
    <s v="Rename"/>
    <x v="0"/>
    <x v="1"/>
    <s v="MGF"/>
    <s v="todo in 2026"/>
    <m/>
    <s v="Jay-R Lizardo"/>
  </r>
  <r>
    <n v="1696"/>
    <s v="F0"/>
    <x v="69"/>
    <s v="G000001123"/>
    <s v="EF-DS-ED Data &amp; AI Organization"/>
    <m/>
    <s v="Rename"/>
    <x v="0"/>
    <x v="1"/>
    <s v="MGF"/>
    <s v="todo in 2026"/>
    <m/>
    <s v="Jay-R Lizardo"/>
  </r>
  <r>
    <n v="1697"/>
    <s v="F0"/>
    <x v="69"/>
    <s v="G000001233"/>
    <s v="EF-DS-EA Group Solutions"/>
    <m/>
    <s v="Rename"/>
    <x v="0"/>
    <x v="1"/>
    <s v="MGF"/>
    <s v="todo in 2026"/>
    <m/>
    <s v="Jay-R Lizardo"/>
  </r>
  <r>
    <n v="1698"/>
    <s v="F0"/>
    <x v="69"/>
    <s v="G000001234"/>
    <s v="EF-DS-EI MITC Office"/>
    <m/>
    <s v="Rename"/>
    <x v="0"/>
    <x v="1"/>
    <s v="MGF"/>
    <s v="todo in 2026"/>
    <m/>
    <s v="Jay-R Lizardo"/>
  </r>
  <r>
    <n v="1699"/>
    <s v="F0"/>
    <x v="69"/>
    <s v="G000001276"/>
    <s v="EF-DS-EG Busi Partner Procurement&amp;GES"/>
    <m/>
    <s v="Rename"/>
    <x v="0"/>
    <x v="1"/>
    <s v="MGF"/>
    <s v="todo in 2026"/>
    <m/>
    <s v="Jay-R Lizardo"/>
  </r>
  <r>
    <n v="1700"/>
    <s v="F0"/>
    <x v="69"/>
    <s v="G000001277"/>
    <s v="EF-DS-EO Strategy &amp; Transformation"/>
    <m/>
    <s v="Rename"/>
    <x v="0"/>
    <x v="1"/>
    <s v="MGF"/>
    <s v="todo in 2026"/>
    <m/>
    <s v="Jay-R Lizardo"/>
  </r>
  <r>
    <n v="1701"/>
    <s v="F0"/>
    <x v="69"/>
    <s v="G000001278"/>
    <s v="EF-DS-EX Architecture &amp; Security"/>
    <m/>
    <s v="Rename"/>
    <x v="0"/>
    <x v="1"/>
    <s v="MGF"/>
    <s v="todo in 2026"/>
    <m/>
    <s v="Jay-R Lizardo"/>
  </r>
  <r>
    <n v="1702"/>
    <s v="F0"/>
    <x v="69"/>
    <s v="IT06070000"/>
    <s v="EF-DS-E DDIT Enabling Functions"/>
    <m/>
    <s v="Rename"/>
    <x v="0"/>
    <x v="1"/>
    <s v="MGF"/>
    <s v="todo in 2026"/>
    <m/>
    <s v="Jay-R Lizardo"/>
  </r>
  <r>
    <n v="1703"/>
    <s v="F0"/>
    <x v="69"/>
    <s v="IT06070600"/>
    <s v="EF-DS-ET Portfolio Mngmt &amp; Excellence"/>
    <m/>
    <s v="Rename"/>
    <x v="0"/>
    <x v="1"/>
    <s v="MGF"/>
    <s v="todo in 2026"/>
    <m/>
    <s v="Jay-R Lizardo"/>
  </r>
  <r>
    <n v="1704"/>
    <s v="F0"/>
    <x v="69"/>
    <s v="IT06070700"/>
    <s v="EF-DS-EH Busi Partnering HR &amp; Various EF"/>
    <m/>
    <s v="Rename"/>
    <x v="0"/>
    <x v="1"/>
    <s v="MGF"/>
    <s v="todo in 2026"/>
    <m/>
    <s v="Jay-R Lizardo"/>
  </r>
  <r>
    <n v="1705"/>
    <s v="F0"/>
    <x v="69"/>
    <s v="IT06071100"/>
    <s v="EF-DS-EF Business Partnering Finance"/>
    <m/>
    <s v="Rename"/>
    <x v="0"/>
    <x v="1"/>
    <s v="MGF"/>
    <s v="todo in 2026"/>
    <m/>
    <s v="Jay-R Lizardo"/>
  </r>
  <r>
    <n v="1706"/>
    <s v="F0"/>
    <x v="69"/>
    <s v="IT06071400"/>
    <s v="EF-DS-ED Data &amp; AI Organization"/>
    <m/>
    <s v="Rename"/>
    <x v="0"/>
    <x v="1"/>
    <s v="MGF"/>
    <s v="todo in 2026"/>
    <m/>
    <s v="Jay-R Lizardo"/>
  </r>
  <r>
    <n v="1707"/>
    <s v="F0"/>
    <x v="69"/>
    <s v="IT06071800"/>
    <s v="EF-DS-EA Group Solutions"/>
    <m/>
    <s v="Rename"/>
    <x v="0"/>
    <x v="1"/>
    <s v="MGF"/>
    <s v="todo in 2026"/>
    <m/>
    <s v="Jay-R Lizardo"/>
  </r>
  <r>
    <n v="1708"/>
    <s v="F0"/>
    <x v="69"/>
    <s v="IT06071900"/>
    <s v="EF-DS-EI MITC Office"/>
    <m/>
    <s v="Rename"/>
    <x v="0"/>
    <x v="1"/>
    <s v="MGF"/>
    <s v="todo in 2026"/>
    <m/>
    <s v="Jay-R Lizardo"/>
  </r>
  <r>
    <n v="1709"/>
    <s v="F0"/>
    <x v="69"/>
    <s v="IT06072000"/>
    <s v="EF-DS-EG Busi Partner Procurement&amp;GES"/>
    <m/>
    <s v="Rename"/>
    <x v="0"/>
    <x v="1"/>
    <s v="MGF"/>
    <s v="todo in 2026"/>
    <m/>
    <s v="Jay-R Lizardo"/>
  </r>
  <r>
    <n v="1710"/>
    <s v="F0"/>
    <x v="69"/>
    <s v="IT06072100"/>
    <s v="EF-DS-EO Strategy &amp; Transformation"/>
    <m/>
    <s v="Rename"/>
    <x v="0"/>
    <x v="1"/>
    <s v="MGF"/>
    <s v="todo in 2026"/>
    <m/>
    <s v="Jay-R Lizardo"/>
  </r>
  <r>
    <n v="1711"/>
    <s v="F0"/>
    <x v="69"/>
    <s v="IT06072200"/>
    <s v="EF-DS-EX Architecture &amp; Security"/>
    <m/>
    <s v="Rename"/>
    <x v="0"/>
    <x v="1"/>
    <s v="MGF"/>
    <s v="todo in 2026"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91">
        <item m="1" x="83"/>
        <item m="1" x="71"/>
        <item m="1" x="77"/>
        <item m="1" x="84"/>
        <item m="1" x="75"/>
        <item m="1" x="85"/>
        <item m="1" x="72"/>
        <item m="1" x="87"/>
        <item m="1" x="70"/>
        <item m="1" x="79"/>
        <item m="1" x="80"/>
        <item m="1" x="86"/>
        <item m="1" x="82"/>
        <item m="1" x="78"/>
        <item m="1" x="81"/>
        <item m="1" x="76"/>
        <item m="1" x="89"/>
        <item m="1" x="74"/>
        <item m="1" x="88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3"/>
        <item x="20"/>
        <item x="24"/>
        <item x="25"/>
        <item x="26"/>
        <item x="27"/>
        <item x="29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8">
        <item x="0"/>
        <item m="1" x="5"/>
        <item m="1" x="3"/>
        <item m="1" x="6"/>
        <item m="1" x="2"/>
        <item m="1" x="4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78" totalsRowShown="0">
  <autoFilter ref="A1:M178" xr:uid="{00000000-000C-0000-FFFF-FFFF00000000}">
    <filterColumn colId="3">
      <filters>
        <filter val="H000"/>
        <filter val="H000004863"/>
        <filter val="H000004864"/>
        <filter val="H000004865"/>
        <filter val="H000004866"/>
        <filter val="H000004867"/>
        <filter val="H000004868"/>
        <filter val="H000004869"/>
        <filter val="H000004870"/>
        <filter val="H000004871"/>
        <filter val="H000004872"/>
        <filter val="H000004873"/>
        <filter val="H000004874"/>
        <filter val="H000004875"/>
        <filter val="H000004876"/>
        <filter val="H000004877"/>
        <filter val="H000004878"/>
        <filter val="H000004879"/>
        <filter val="H000004880"/>
        <filter val="H000004881"/>
        <filter val="H000004882"/>
        <filter val="H000004883"/>
        <filter val="H000004884"/>
        <filter val="H000004885"/>
        <filter val="H000004886"/>
        <filter val="H000004887"/>
        <filter val="H000004888"/>
        <filter val="H000004889"/>
        <filter val="H000004890"/>
        <filter val="H000004891"/>
      </filters>
    </filterColumn>
    <filterColumn colId="6">
      <filters>
        <filter val="New"/>
      </filters>
    </filterColumn>
  </autoFilter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E23" sqref="E23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45" t="s">
        <v>0</v>
      </c>
      <c r="B1" t="s">
        <v>7903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10</v>
      </c>
      <c r="B4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78"/>
  <sheetViews>
    <sheetView tabSelected="1" topLeftCell="A45" zoomScale="115" zoomScaleNormal="115" workbookViewId="0">
      <selection activeCell="D179" sqref="D179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 x14ac:dyDescent="0.25">
      <c r="A2" s="42">
        <v>1</v>
      </c>
      <c r="B2" s="36" t="s">
        <v>4</v>
      </c>
      <c r="C2" s="9" t="s">
        <v>7908</v>
      </c>
      <c r="D2" s="9" t="s">
        <v>7904</v>
      </c>
      <c r="E2" s="38" t="s">
        <v>7910</v>
      </c>
      <c r="F2" s="54" t="s">
        <v>3707</v>
      </c>
      <c r="G2" s="9" t="s">
        <v>14</v>
      </c>
      <c r="H2" s="36">
        <f>IFERROR(VLOOKUP(Table2[[#This Row], [Ticket]],Okey!A:B,2,0),"")</f>
        <v>0</v>
      </c>
      <c r="I2" s="9" t="s">
        <v>7982</v>
      </c>
      <c r="J2" s="36" t="s">
        <v>17</v>
      </c>
      <c r="M2" s="9" t="s">
        <v>1230</v>
      </c>
    </row>
    <row r="3" spans="1:13" hidden="1" x14ac:dyDescent="0.25">
      <c r="A3" s="42">
        <f t="shared" ref="A3:A19" si="0">1+A2</f>
        <v>2</v>
      </c>
      <c r="B3" s="36" t="s">
        <v>4</v>
      </c>
      <c r="C3" s="36" t="s">
        <v>7908</v>
      </c>
      <c r="D3" s="9" t="s">
        <v>7863</v>
      </c>
      <c r="F3" s="9" t="s">
        <v>387</v>
      </c>
      <c r="G3" s="9" t="s">
        <v>13</v>
      </c>
      <c r="H3" s="36" t="s">
        <v>6455</v>
      </c>
      <c r="J3" s="36" t="s">
        <v>17</v>
      </c>
      <c r="K3" s="9" t="s">
        <v>8082</v>
      </c>
      <c r="M3" s="9" t="s">
        <v>4777</v>
      </c>
    </row>
    <row r="4" spans="1:13" hidden="1" x14ac:dyDescent="0.25">
      <c r="A4" s="42">
        <f t="shared" si="0"/>
        <v>3</v>
      </c>
      <c r="B4" s="36" t="s">
        <v>4</v>
      </c>
      <c r="C4" s="36" t="s">
        <v>7908</v>
      </c>
      <c r="D4" s="9" t="s">
        <v>7866</v>
      </c>
      <c r="E4" s="9" t="s">
        <v>7905</v>
      </c>
      <c r="F4" s="9" t="s">
        <v>5725</v>
      </c>
      <c r="G4" s="9" t="s">
        <v>16</v>
      </c>
      <c r="H4" s="36" t="s">
        <v>6455</v>
      </c>
      <c r="J4" s="36" t="s">
        <v>17</v>
      </c>
      <c r="K4" s="36" t="s">
        <v>8083</v>
      </c>
      <c r="M4" s="36" t="s">
        <v>4777</v>
      </c>
    </row>
    <row r="5" spans="1:13" hidden="1" x14ac:dyDescent="0.25">
      <c r="A5" s="42">
        <f t="shared" si="0"/>
        <v>4</v>
      </c>
      <c r="B5" s="36" t="s">
        <v>4</v>
      </c>
      <c r="C5" s="36" t="s">
        <v>7908</v>
      </c>
      <c r="D5" s="9" t="s">
        <v>7867</v>
      </c>
      <c r="E5" s="9" t="s">
        <v>7905</v>
      </c>
      <c r="F5" s="9" t="s">
        <v>5725</v>
      </c>
      <c r="G5" s="36" t="s">
        <v>16</v>
      </c>
      <c r="H5" s="36" t="s">
        <v>6455</v>
      </c>
      <c r="J5" s="36" t="s">
        <v>17</v>
      </c>
      <c r="K5" s="36" t="s">
        <v>8083</v>
      </c>
      <c r="M5" s="36" t="s">
        <v>4777</v>
      </c>
    </row>
    <row r="6" spans="1:13" hidden="1" x14ac:dyDescent="0.25">
      <c r="A6" s="42">
        <f t="shared" si="0"/>
        <v>5</v>
      </c>
      <c r="B6" s="36" t="s">
        <v>4</v>
      </c>
      <c r="C6" s="36" t="s">
        <v>7908</v>
      </c>
      <c r="D6" s="9" t="s">
        <v>7862</v>
      </c>
      <c r="E6" s="9" t="s">
        <v>7905</v>
      </c>
      <c r="F6" s="9" t="s">
        <v>5725</v>
      </c>
      <c r="G6" s="36" t="s">
        <v>16</v>
      </c>
      <c r="H6" s="36" t="s">
        <v>6455</v>
      </c>
      <c r="J6" s="36" t="s">
        <v>17</v>
      </c>
      <c r="K6" s="36" t="s">
        <v>8083</v>
      </c>
      <c r="M6" s="36" t="s">
        <v>4777</v>
      </c>
    </row>
    <row r="7" spans="1:13" hidden="1" x14ac:dyDescent="0.25">
      <c r="A7" s="42">
        <f t="shared" si="0"/>
        <v>6</v>
      </c>
      <c r="B7" s="36" t="s">
        <v>4</v>
      </c>
      <c r="C7" s="36" t="s">
        <v>7908</v>
      </c>
      <c r="D7" s="9" t="s">
        <v>7864</v>
      </c>
      <c r="E7" s="9" t="s">
        <v>7905</v>
      </c>
      <c r="F7" s="9" t="s">
        <v>5725</v>
      </c>
      <c r="G7" s="36" t="s">
        <v>16</v>
      </c>
      <c r="H7" s="36" t="s">
        <v>6455</v>
      </c>
      <c r="J7" s="36" t="s">
        <v>17</v>
      </c>
      <c r="K7" s="36" t="s">
        <v>8083</v>
      </c>
      <c r="M7" s="36" t="s">
        <v>4777</v>
      </c>
    </row>
    <row r="8" spans="1:13" hidden="1" x14ac:dyDescent="0.25">
      <c r="A8" s="42">
        <f t="shared" si="0"/>
        <v>7</v>
      </c>
      <c r="B8" s="36" t="s">
        <v>4</v>
      </c>
      <c r="C8" s="36" t="s">
        <v>7908</v>
      </c>
      <c r="D8" s="9" t="s">
        <v>7861</v>
      </c>
      <c r="E8" s="9" t="s">
        <v>7906</v>
      </c>
      <c r="G8" s="9" t="s">
        <v>15</v>
      </c>
      <c r="H8" s="36" t="s">
        <v>6455</v>
      </c>
      <c r="I8" s="9" t="s">
        <v>7982</v>
      </c>
      <c r="J8" s="36" t="s">
        <v>17</v>
      </c>
      <c r="K8" s="36" t="s">
        <v>8080</v>
      </c>
      <c r="M8" s="36" t="s">
        <v>4777</v>
      </c>
    </row>
    <row r="9" spans="1:13" hidden="1" x14ac:dyDescent="0.25">
      <c r="A9" s="42">
        <f t="shared" si="0"/>
        <v>8</v>
      </c>
      <c r="B9" s="36" t="s">
        <v>4</v>
      </c>
      <c r="C9" s="36" t="s">
        <v>7908</v>
      </c>
      <c r="D9" s="9" t="s">
        <v>7865</v>
      </c>
      <c r="E9" s="9" t="s">
        <v>7907</v>
      </c>
      <c r="G9" s="36" t="s">
        <v>15</v>
      </c>
      <c r="H9" s="36" t="s">
        <v>6455</v>
      </c>
      <c r="I9" s="36" t="s">
        <v>7982</v>
      </c>
      <c r="J9" s="36" t="s">
        <v>17</v>
      </c>
      <c r="K9" s="36" t="s">
        <v>8080</v>
      </c>
      <c r="M9" s="36" t="s">
        <v>4777</v>
      </c>
    </row>
    <row r="10" spans="1:13" hidden="1" x14ac:dyDescent="0.25">
      <c r="A10" s="42">
        <f t="shared" si="0"/>
        <v>9</v>
      </c>
      <c r="B10" s="36" t="s">
        <v>4</v>
      </c>
      <c r="C10" s="36" t="s">
        <v>7908</v>
      </c>
      <c r="D10" s="9" t="s">
        <v>7868</v>
      </c>
      <c r="E10" s="9" t="s">
        <v>7905</v>
      </c>
      <c r="G10" s="36" t="s">
        <v>15</v>
      </c>
      <c r="H10" s="36" t="s">
        <v>6455</v>
      </c>
      <c r="I10" s="36" t="s">
        <v>7982</v>
      </c>
      <c r="J10" s="36" t="s">
        <v>17</v>
      </c>
      <c r="K10" s="36" t="s">
        <v>8080</v>
      </c>
      <c r="M10" s="36" t="s">
        <v>4777</v>
      </c>
    </row>
    <row r="11" spans="1:13" hidden="1" x14ac:dyDescent="0.25">
      <c r="A11" s="42">
        <f t="shared" si="0"/>
        <v>10</v>
      </c>
      <c r="B11" s="36" t="s">
        <v>4</v>
      </c>
      <c r="C11" s="36" t="s">
        <v>7908</v>
      </c>
      <c r="D11" s="9" t="s">
        <v>7869</v>
      </c>
      <c r="E11" s="9" t="s">
        <v>7905</v>
      </c>
      <c r="G11" s="36" t="s">
        <v>15</v>
      </c>
      <c r="H11" s="36" t="s">
        <v>6455</v>
      </c>
      <c r="I11" s="36" t="s">
        <v>7982</v>
      </c>
      <c r="J11" s="36" t="s">
        <v>17</v>
      </c>
      <c r="K11" s="36" t="s">
        <v>8080</v>
      </c>
      <c r="M11" s="36" t="s">
        <v>4777</v>
      </c>
    </row>
    <row r="12" spans="1:13" hidden="1" x14ac:dyDescent="0.25">
      <c r="A12" s="42">
        <f t="shared" si="0"/>
        <v>11</v>
      </c>
      <c r="B12" s="36" t="s">
        <v>4</v>
      </c>
      <c r="C12" s="36" t="s">
        <v>7908</v>
      </c>
      <c r="D12" s="9" t="s">
        <v>7870</v>
      </c>
      <c r="E12" s="9" t="s">
        <v>7905</v>
      </c>
      <c r="G12" s="36" t="s">
        <v>15</v>
      </c>
      <c r="H12" s="36" t="s">
        <v>6455</v>
      </c>
      <c r="I12" s="36" t="s">
        <v>7982</v>
      </c>
      <c r="J12" s="36" t="s">
        <v>17</v>
      </c>
      <c r="K12" s="36" t="s">
        <v>8080</v>
      </c>
      <c r="M12" s="36" t="s">
        <v>4777</v>
      </c>
    </row>
    <row r="13" spans="1:13" hidden="1" x14ac:dyDescent="0.25">
      <c r="A13" s="42">
        <f t="shared" si="0"/>
        <v>12</v>
      </c>
      <c r="B13" s="36" t="s">
        <v>4</v>
      </c>
      <c r="C13" s="36" t="s">
        <v>7908</v>
      </c>
      <c r="D13" s="9" t="s">
        <v>7871</v>
      </c>
      <c r="E13" s="9" t="s">
        <v>7905</v>
      </c>
      <c r="G13" s="36" t="s">
        <v>15</v>
      </c>
      <c r="H13" s="36" t="s">
        <v>6455</v>
      </c>
      <c r="I13" s="36" t="s">
        <v>7982</v>
      </c>
      <c r="J13" s="36" t="s">
        <v>17</v>
      </c>
      <c r="K13" s="36" t="s">
        <v>8080</v>
      </c>
      <c r="M13" s="36" t="s">
        <v>4777</v>
      </c>
    </row>
    <row r="14" spans="1:13" hidden="1" x14ac:dyDescent="0.25">
      <c r="A14" s="42">
        <f t="shared" si="0"/>
        <v>13</v>
      </c>
      <c r="B14" s="36" t="s">
        <v>4</v>
      </c>
      <c r="C14" s="36" t="s">
        <v>7908</v>
      </c>
      <c r="D14" s="9" t="s">
        <v>7878</v>
      </c>
      <c r="E14" s="9" t="s">
        <v>7905</v>
      </c>
      <c r="G14" s="36" t="s">
        <v>15</v>
      </c>
      <c r="H14" s="36" t="s">
        <v>6455</v>
      </c>
      <c r="I14" s="36" t="s">
        <v>7982</v>
      </c>
      <c r="J14" s="36" t="s">
        <v>17</v>
      </c>
      <c r="K14" s="36" t="s">
        <v>8080</v>
      </c>
      <c r="M14" s="36" t="s">
        <v>4777</v>
      </c>
    </row>
    <row r="15" spans="1:13" hidden="1" x14ac:dyDescent="0.25">
      <c r="A15" s="42">
        <f t="shared" si="0"/>
        <v>14</v>
      </c>
      <c r="B15" s="36" t="s">
        <v>4</v>
      </c>
      <c r="C15" s="36" t="s">
        <v>7908</v>
      </c>
      <c r="D15" s="9" t="s">
        <v>7872</v>
      </c>
      <c r="E15" s="9" t="s">
        <v>7905</v>
      </c>
      <c r="G15" s="36" t="s">
        <v>15</v>
      </c>
      <c r="H15" s="36" t="s">
        <v>6455</v>
      </c>
      <c r="I15" s="36" t="s">
        <v>7982</v>
      </c>
      <c r="J15" s="36" t="s">
        <v>17</v>
      </c>
      <c r="K15" s="36" t="s">
        <v>8080</v>
      </c>
      <c r="M15" s="36" t="s">
        <v>4777</v>
      </c>
    </row>
    <row r="16" spans="1:13" hidden="1" x14ac:dyDescent="0.25">
      <c r="A16" s="42">
        <f t="shared" si="0"/>
        <v>15</v>
      </c>
      <c r="B16" s="36" t="s">
        <v>4</v>
      </c>
      <c r="C16" s="36" t="s">
        <v>7908</v>
      </c>
      <c r="D16" s="9" t="s">
        <v>7873</v>
      </c>
      <c r="E16" s="9" t="s">
        <v>7905</v>
      </c>
      <c r="G16" s="36" t="s">
        <v>15</v>
      </c>
      <c r="H16" s="36" t="s">
        <v>6455</v>
      </c>
      <c r="I16" s="36" t="s">
        <v>7982</v>
      </c>
      <c r="J16" s="36" t="s">
        <v>17</v>
      </c>
      <c r="K16" s="36" t="s">
        <v>8080</v>
      </c>
      <c r="M16" s="36" t="s">
        <v>4777</v>
      </c>
    </row>
    <row r="17" spans="1:13" hidden="1" x14ac:dyDescent="0.25">
      <c r="A17" s="42">
        <f t="shared" si="0"/>
        <v>16</v>
      </c>
      <c r="B17" s="36" t="s">
        <v>4</v>
      </c>
      <c r="C17" s="36" t="s">
        <v>7908</v>
      </c>
      <c r="D17" s="9" t="s">
        <v>7874</v>
      </c>
      <c r="E17" s="9" t="s">
        <v>7905</v>
      </c>
      <c r="G17" s="36" t="s">
        <v>15</v>
      </c>
      <c r="H17" s="36" t="s">
        <v>6455</v>
      </c>
      <c r="I17" s="36" t="s">
        <v>7982</v>
      </c>
      <c r="J17" s="36" t="s">
        <v>17</v>
      </c>
      <c r="K17" s="36" t="s">
        <v>8080</v>
      </c>
      <c r="M17" s="36" t="s">
        <v>4777</v>
      </c>
    </row>
    <row r="18" spans="1:13" hidden="1" x14ac:dyDescent="0.25">
      <c r="A18" s="42">
        <f t="shared" si="0"/>
        <v>17</v>
      </c>
      <c r="B18" s="36" t="s">
        <v>4</v>
      </c>
      <c r="C18" s="36" t="s">
        <v>7908</v>
      </c>
      <c r="D18" s="9" t="s">
        <v>7875</v>
      </c>
      <c r="E18" s="9" t="s">
        <v>7905</v>
      </c>
      <c r="G18" s="36" t="s">
        <v>15</v>
      </c>
      <c r="H18" s="36" t="s">
        <v>6455</v>
      </c>
      <c r="I18" s="36" t="s">
        <v>7982</v>
      </c>
      <c r="J18" s="36" t="s">
        <v>17</v>
      </c>
      <c r="K18" s="36" t="s">
        <v>8080</v>
      </c>
      <c r="M18" s="36" t="s">
        <v>4777</v>
      </c>
    </row>
    <row r="19" spans="1:13" hidden="1" x14ac:dyDescent="0.25">
      <c r="A19" s="42">
        <f t="shared" si="0"/>
        <v>18</v>
      </c>
      <c r="B19" s="36" t="s">
        <v>4</v>
      </c>
      <c r="C19" s="36" t="s">
        <v>7908</v>
      </c>
      <c r="D19" s="9" t="s">
        <v>7876</v>
      </c>
      <c r="E19" s="9" t="s">
        <v>7905</v>
      </c>
      <c r="G19" s="36" t="s">
        <v>15</v>
      </c>
      <c r="H19" s="36" t="s">
        <v>6455</v>
      </c>
      <c r="I19" s="36" t="s">
        <v>7982</v>
      </c>
      <c r="J19" s="36" t="s">
        <v>17</v>
      </c>
      <c r="K19" s="36" t="s">
        <v>8080</v>
      </c>
      <c r="M19" s="36" t="s">
        <v>4777</v>
      </c>
    </row>
    <row r="20" spans="1:13" hidden="1" x14ac:dyDescent="0.25">
      <c r="A20" s="42">
        <f t="shared" ref="A20:A83" si="1">1+A19</f>
        <v>19</v>
      </c>
      <c r="B20" s="36" t="s">
        <v>4</v>
      </c>
      <c r="C20" s="36" t="s">
        <v>7908</v>
      </c>
      <c r="D20" s="9" t="s">
        <v>7877</v>
      </c>
      <c r="E20" s="9" t="s">
        <v>7905</v>
      </c>
      <c r="G20" s="36" t="s">
        <v>15</v>
      </c>
      <c r="H20" s="36" t="s">
        <v>6455</v>
      </c>
      <c r="I20" s="36" t="s">
        <v>7982</v>
      </c>
      <c r="J20" s="36" t="s">
        <v>17</v>
      </c>
      <c r="K20" s="36" t="s">
        <v>8080</v>
      </c>
      <c r="M20" s="36" t="s">
        <v>4777</v>
      </c>
    </row>
    <row r="21" spans="1:13" hidden="1" x14ac:dyDescent="0.25">
      <c r="A21" s="42">
        <f t="shared" si="1"/>
        <v>20</v>
      </c>
      <c r="B21" s="36" t="s">
        <v>4</v>
      </c>
      <c r="C21" s="9" t="s">
        <v>7911</v>
      </c>
      <c r="D21" s="9" t="s">
        <v>7912</v>
      </c>
      <c r="F21" s="66" t="s">
        <v>6112</v>
      </c>
      <c r="G21" s="9" t="s">
        <v>13</v>
      </c>
      <c r="H21" s="36" t="str">
        <f>IFERROR(VLOOKUP(Table2[[#This Row], [Ticket]],Okey!A:B,2,0),"")</f>
        <v/>
      </c>
      <c r="I21" s="9" t="s">
        <v>7923</v>
      </c>
      <c r="J21" s="36" t="s">
        <v>17</v>
      </c>
      <c r="K21" s="36" t="s">
        <v>7909</v>
      </c>
      <c r="M21" s="9" t="s">
        <v>4782</v>
      </c>
    </row>
    <row r="22" spans="1:13" x14ac:dyDescent="0.25">
      <c r="A22" s="42">
        <f t="shared" si="1"/>
        <v>21</v>
      </c>
      <c r="B22" s="36" t="s">
        <v>4</v>
      </c>
      <c r="C22" s="9" t="s">
        <v>7913</v>
      </c>
      <c r="D22" s="36" t="s">
        <v>7920</v>
      </c>
      <c r="E22" s="36" t="s">
        <v>7914</v>
      </c>
      <c r="F22" s="9" t="s">
        <v>7915</v>
      </c>
      <c r="G22" s="9" t="s">
        <v>14</v>
      </c>
      <c r="H22" s="36" t="str">
        <f>IFERROR(VLOOKUP(Table2[[#This Row], [Ticket]],Okey!A:B,2,0),"")</f>
        <v/>
      </c>
      <c r="I22" s="9" t="s">
        <v>6455</v>
      </c>
      <c r="J22" s="36" t="s">
        <v>17</v>
      </c>
      <c r="K22" s="36" t="s">
        <v>7909</v>
      </c>
      <c r="M22" s="36" t="s">
        <v>4782</v>
      </c>
    </row>
    <row r="23" spans="1:13" x14ac:dyDescent="0.25">
      <c r="A23" s="42">
        <f t="shared" si="1"/>
        <v>22</v>
      </c>
      <c r="B23" s="36" t="s">
        <v>4</v>
      </c>
      <c r="C23" s="36" t="s">
        <v>7913</v>
      </c>
      <c r="D23" s="36" t="s">
        <v>7921</v>
      </c>
      <c r="E23" s="36" t="s">
        <v>7916</v>
      </c>
      <c r="F23" s="9" t="s">
        <v>7918</v>
      </c>
      <c r="G23" s="36" t="s">
        <v>14</v>
      </c>
      <c r="H23" s="36" t="str">
        <f>IFERROR(VLOOKUP(Table2[[#This Row], [Ticket]],Okey!A:B,2,0),"")</f>
        <v/>
      </c>
      <c r="I23" s="36" t="s">
        <v>6455</v>
      </c>
      <c r="J23" s="36" t="s">
        <v>17</v>
      </c>
      <c r="K23" s="36" t="s">
        <v>7909</v>
      </c>
      <c r="M23" s="36" t="s">
        <v>4782</v>
      </c>
    </row>
    <row r="24" spans="1:13" x14ac:dyDescent="0.25">
      <c r="A24" s="42">
        <f t="shared" si="1"/>
        <v>23</v>
      </c>
      <c r="B24" s="36" t="s">
        <v>4</v>
      </c>
      <c r="C24" s="36" t="s">
        <v>7913</v>
      </c>
      <c r="D24" s="36" t="s">
        <v>7922</v>
      </c>
      <c r="E24" s="36" t="s">
        <v>7917</v>
      </c>
      <c r="F24" s="9" t="s">
        <v>7918</v>
      </c>
      <c r="G24" s="36" t="s">
        <v>14</v>
      </c>
      <c r="H24" s="36" t="str">
        <f>IFERROR(VLOOKUP(Table2[[#This Row], [Ticket]],Okey!A:B,2,0),"")</f>
        <v/>
      </c>
      <c r="I24" s="36" t="s">
        <v>6455</v>
      </c>
      <c r="J24" s="36" t="s">
        <v>17</v>
      </c>
      <c r="K24" s="36" t="s">
        <v>7909</v>
      </c>
      <c r="M24" s="36" t="s">
        <v>4782</v>
      </c>
    </row>
    <row r="25" spans="1:13" hidden="1" x14ac:dyDescent="0.25">
      <c r="A25" s="42">
        <f t="shared" si="1"/>
        <v>24</v>
      </c>
      <c r="B25" s="36" t="s">
        <v>4</v>
      </c>
      <c r="C25" s="36" t="s">
        <v>7913</v>
      </c>
      <c r="D25" s="9" t="s">
        <v>7912</v>
      </c>
      <c r="F25" s="9" t="s">
        <v>6112</v>
      </c>
      <c r="G25" s="36" t="s">
        <v>13</v>
      </c>
      <c r="H25" s="36" t="str">
        <f>IFERROR(VLOOKUP(Table2[[#This Row], [Ticket]],Okey!A:B,2,0),"")</f>
        <v/>
      </c>
      <c r="I25" s="36" t="s">
        <v>7923</v>
      </c>
      <c r="J25" s="36" t="s">
        <v>17</v>
      </c>
      <c r="K25" s="36" t="s">
        <v>7909</v>
      </c>
      <c r="M25" s="36" t="s">
        <v>4782</v>
      </c>
    </row>
    <row r="26" spans="1:13" x14ac:dyDescent="0.25">
      <c r="A26" s="42">
        <f t="shared" si="1"/>
        <v>25</v>
      </c>
      <c r="B26" s="36" t="s">
        <v>4</v>
      </c>
      <c r="C26" s="9" t="s">
        <v>7950</v>
      </c>
      <c r="D26" s="9" t="s">
        <v>7954</v>
      </c>
      <c r="E26" s="9" t="s">
        <v>7924</v>
      </c>
      <c r="F26" s="9" t="s">
        <v>1125</v>
      </c>
      <c r="G26" s="36" t="s">
        <v>14</v>
      </c>
      <c r="H26" s="36" t="s">
        <v>6455</v>
      </c>
      <c r="J26" s="36" t="s">
        <v>19</v>
      </c>
      <c r="K26" s="36" t="s">
        <v>8081</v>
      </c>
      <c r="M26" s="9" t="s">
        <v>7949</v>
      </c>
    </row>
    <row r="27" spans="1:13" x14ac:dyDescent="0.25">
      <c r="A27" s="42">
        <f t="shared" si="1"/>
        <v>26</v>
      </c>
      <c r="B27" s="36" t="s">
        <v>4</v>
      </c>
      <c r="C27" s="36" t="s">
        <v>7950</v>
      </c>
      <c r="D27" s="9" t="s">
        <v>7956</v>
      </c>
      <c r="E27" s="9" t="s">
        <v>7925</v>
      </c>
      <c r="F27" s="9" t="s">
        <v>7954</v>
      </c>
      <c r="G27" s="36" t="s">
        <v>14</v>
      </c>
      <c r="H27" s="36" t="s">
        <v>6455</v>
      </c>
      <c r="J27" s="36" t="s">
        <v>19</v>
      </c>
      <c r="K27" s="36" t="s">
        <v>8081</v>
      </c>
      <c r="M27" s="36" t="s">
        <v>7949</v>
      </c>
    </row>
    <row r="28" spans="1:13" x14ac:dyDescent="0.25">
      <c r="A28" s="42">
        <f t="shared" si="1"/>
        <v>27</v>
      </c>
      <c r="B28" s="36" t="s">
        <v>4</v>
      </c>
      <c r="C28" s="36" t="s">
        <v>7950</v>
      </c>
      <c r="D28" s="9" t="s">
        <v>7957</v>
      </c>
      <c r="E28" s="9" t="s">
        <v>7926</v>
      </c>
      <c r="F28" s="9" t="s">
        <v>7954</v>
      </c>
      <c r="G28" s="36" t="s">
        <v>14</v>
      </c>
      <c r="H28" s="36" t="s">
        <v>6455</v>
      </c>
      <c r="J28" s="36" t="s">
        <v>19</v>
      </c>
      <c r="K28" s="36" t="s">
        <v>8081</v>
      </c>
      <c r="M28" s="36" t="s">
        <v>7949</v>
      </c>
    </row>
    <row r="29" spans="1:13" x14ac:dyDescent="0.25">
      <c r="A29" s="42">
        <f t="shared" si="1"/>
        <v>28</v>
      </c>
      <c r="B29" s="36" t="s">
        <v>4</v>
      </c>
      <c r="C29" s="36" t="s">
        <v>7950</v>
      </c>
      <c r="D29" s="9" t="s">
        <v>7958</v>
      </c>
      <c r="E29" s="9" t="s">
        <v>7928</v>
      </c>
      <c r="F29" s="9" t="s">
        <v>7954</v>
      </c>
      <c r="G29" s="36" t="s">
        <v>14</v>
      </c>
      <c r="H29" s="36" t="s">
        <v>6455</v>
      </c>
      <c r="J29" s="36" t="s">
        <v>19</v>
      </c>
      <c r="K29" s="36" t="s">
        <v>8081</v>
      </c>
      <c r="M29" s="36" t="s">
        <v>7949</v>
      </c>
    </row>
    <row r="30" spans="1:13" x14ac:dyDescent="0.25">
      <c r="A30" s="42">
        <f t="shared" si="1"/>
        <v>29</v>
      </c>
      <c r="B30" s="36" t="s">
        <v>4</v>
      </c>
      <c r="C30" s="36" t="s">
        <v>7950</v>
      </c>
      <c r="D30" s="9" t="s">
        <v>7959</v>
      </c>
      <c r="E30" s="9" t="s">
        <v>7929</v>
      </c>
      <c r="F30" s="9" t="s">
        <v>7954</v>
      </c>
      <c r="G30" s="36" t="s">
        <v>14</v>
      </c>
      <c r="H30" s="36" t="s">
        <v>6455</v>
      </c>
      <c r="J30" s="36" t="s">
        <v>19</v>
      </c>
      <c r="K30" s="36" t="s">
        <v>8081</v>
      </c>
      <c r="M30" s="36" t="s">
        <v>7949</v>
      </c>
    </row>
    <row r="31" spans="1:13" x14ac:dyDescent="0.25">
      <c r="A31" s="42">
        <f t="shared" si="1"/>
        <v>30</v>
      </c>
      <c r="B31" s="36" t="s">
        <v>4</v>
      </c>
      <c r="C31" s="36" t="s">
        <v>7950</v>
      </c>
      <c r="D31" s="9" t="s">
        <v>7960</v>
      </c>
      <c r="E31" s="9" t="s">
        <v>7930</v>
      </c>
      <c r="F31" s="9" t="s">
        <v>7954</v>
      </c>
      <c r="G31" s="36" t="s">
        <v>14</v>
      </c>
      <c r="H31" s="36" t="s">
        <v>6455</v>
      </c>
      <c r="J31" s="36" t="s">
        <v>19</v>
      </c>
      <c r="K31" s="36" t="s">
        <v>8081</v>
      </c>
      <c r="M31" s="36" t="s">
        <v>7949</v>
      </c>
    </row>
    <row r="32" spans="1:13" x14ac:dyDescent="0.25">
      <c r="A32" s="42">
        <f t="shared" si="1"/>
        <v>31</v>
      </c>
      <c r="B32" s="36" t="s">
        <v>4</v>
      </c>
      <c r="C32" s="36" t="s">
        <v>7950</v>
      </c>
      <c r="D32" s="9" t="s">
        <v>7961</v>
      </c>
      <c r="E32" s="9" t="s">
        <v>7932</v>
      </c>
      <c r="F32" s="9" t="s">
        <v>7956</v>
      </c>
      <c r="G32" s="36" t="s">
        <v>14</v>
      </c>
      <c r="H32" s="36" t="s">
        <v>6455</v>
      </c>
      <c r="J32" s="36" t="s">
        <v>19</v>
      </c>
      <c r="K32" s="36" t="s">
        <v>8081</v>
      </c>
      <c r="M32" s="36" t="s">
        <v>7949</v>
      </c>
    </row>
    <row r="33" spans="1:13" x14ac:dyDescent="0.25">
      <c r="A33" s="42">
        <f t="shared" si="1"/>
        <v>32</v>
      </c>
      <c r="B33" s="36" t="s">
        <v>4</v>
      </c>
      <c r="C33" s="36" t="s">
        <v>7950</v>
      </c>
      <c r="D33" s="9" t="s">
        <v>7962</v>
      </c>
      <c r="E33" s="9" t="s">
        <v>7934</v>
      </c>
      <c r="F33" s="9" t="s">
        <v>7956</v>
      </c>
      <c r="G33" s="36" t="s">
        <v>14</v>
      </c>
      <c r="H33" s="36" t="s">
        <v>6455</v>
      </c>
      <c r="J33" s="36" t="s">
        <v>19</v>
      </c>
      <c r="K33" s="36" t="s">
        <v>8081</v>
      </c>
      <c r="M33" s="36" t="s">
        <v>7949</v>
      </c>
    </row>
    <row r="34" spans="1:13" x14ac:dyDescent="0.25">
      <c r="A34" s="42">
        <f t="shared" si="1"/>
        <v>33</v>
      </c>
      <c r="B34" s="36" t="s">
        <v>4</v>
      </c>
      <c r="C34" s="36" t="s">
        <v>7950</v>
      </c>
      <c r="D34" s="9" t="s">
        <v>7963</v>
      </c>
      <c r="E34" s="9" t="s">
        <v>7935</v>
      </c>
      <c r="F34" s="9" t="s">
        <v>7957</v>
      </c>
      <c r="G34" s="36" t="s">
        <v>14</v>
      </c>
      <c r="H34" s="36" t="s">
        <v>6455</v>
      </c>
      <c r="J34" s="36" t="s">
        <v>19</v>
      </c>
      <c r="K34" s="36" t="s">
        <v>8081</v>
      </c>
      <c r="M34" s="36" t="s">
        <v>7949</v>
      </c>
    </row>
    <row r="35" spans="1:13" x14ac:dyDescent="0.25">
      <c r="A35" s="42">
        <f t="shared" si="1"/>
        <v>34</v>
      </c>
      <c r="B35" s="36" t="s">
        <v>4</v>
      </c>
      <c r="C35" s="36" t="s">
        <v>7950</v>
      </c>
      <c r="D35" s="9" t="s">
        <v>7964</v>
      </c>
      <c r="E35" s="9" t="s">
        <v>7936</v>
      </c>
      <c r="F35" s="9" t="s">
        <v>7957</v>
      </c>
      <c r="G35" s="36" t="s">
        <v>14</v>
      </c>
      <c r="H35" s="36" t="s">
        <v>6455</v>
      </c>
      <c r="J35" s="36" t="s">
        <v>19</v>
      </c>
      <c r="K35" s="36" t="s">
        <v>8081</v>
      </c>
      <c r="M35" s="36" t="s">
        <v>7949</v>
      </c>
    </row>
    <row r="36" spans="1:13" x14ac:dyDescent="0.25">
      <c r="A36" s="42">
        <f t="shared" si="1"/>
        <v>35</v>
      </c>
      <c r="B36" s="36" t="s">
        <v>4</v>
      </c>
      <c r="C36" s="36" t="s">
        <v>7950</v>
      </c>
      <c r="D36" s="9" t="s">
        <v>7965</v>
      </c>
      <c r="E36" s="9" t="s">
        <v>7937</v>
      </c>
      <c r="F36" s="9" t="s">
        <v>7957</v>
      </c>
      <c r="G36" s="36" t="s">
        <v>14</v>
      </c>
      <c r="H36" s="36" t="s">
        <v>6455</v>
      </c>
      <c r="J36" s="36" t="s">
        <v>19</v>
      </c>
      <c r="K36" s="36" t="s">
        <v>8081</v>
      </c>
      <c r="M36" s="36" t="s">
        <v>7949</v>
      </c>
    </row>
    <row r="37" spans="1:13" x14ac:dyDescent="0.25">
      <c r="A37" s="42">
        <f t="shared" si="1"/>
        <v>36</v>
      </c>
      <c r="B37" s="36" t="s">
        <v>4</v>
      </c>
      <c r="C37" s="36" t="s">
        <v>7950</v>
      </c>
      <c r="D37" s="9" t="s">
        <v>7966</v>
      </c>
      <c r="E37" s="9" t="s">
        <v>7938</v>
      </c>
      <c r="F37" s="9" t="s">
        <v>7958</v>
      </c>
      <c r="G37" s="36" t="s">
        <v>14</v>
      </c>
      <c r="H37" s="36" t="s">
        <v>6455</v>
      </c>
      <c r="J37" s="36" t="s">
        <v>19</v>
      </c>
      <c r="K37" s="36" t="s">
        <v>8081</v>
      </c>
      <c r="M37" s="36" t="s">
        <v>7949</v>
      </c>
    </row>
    <row r="38" spans="1:13" x14ac:dyDescent="0.25">
      <c r="A38" s="42">
        <f t="shared" si="1"/>
        <v>37</v>
      </c>
      <c r="B38" s="36" t="s">
        <v>4</v>
      </c>
      <c r="C38" s="36" t="s">
        <v>7950</v>
      </c>
      <c r="D38" s="9" t="s">
        <v>7967</v>
      </c>
      <c r="E38" s="9" t="s">
        <v>7939</v>
      </c>
      <c r="F38" s="9" t="s">
        <v>7958</v>
      </c>
      <c r="G38" s="36" t="s">
        <v>14</v>
      </c>
      <c r="H38" s="36" t="s">
        <v>6455</v>
      </c>
      <c r="J38" s="36" t="s">
        <v>19</v>
      </c>
      <c r="K38" s="36" t="s">
        <v>8081</v>
      </c>
      <c r="M38" s="36" t="s">
        <v>7949</v>
      </c>
    </row>
    <row r="39" spans="1:13" x14ac:dyDescent="0.25">
      <c r="A39" s="42">
        <f t="shared" si="1"/>
        <v>38</v>
      </c>
      <c r="B39" s="36" t="s">
        <v>4</v>
      </c>
      <c r="C39" s="36" t="s">
        <v>7950</v>
      </c>
      <c r="D39" s="9" t="s">
        <v>7968</v>
      </c>
      <c r="E39" s="9" t="s">
        <v>7940</v>
      </c>
      <c r="F39" s="9" t="s">
        <v>7958</v>
      </c>
      <c r="G39" s="36" t="s">
        <v>14</v>
      </c>
      <c r="H39" s="36" t="s">
        <v>6455</v>
      </c>
      <c r="J39" s="36" t="s">
        <v>19</v>
      </c>
      <c r="K39" s="36" t="s">
        <v>8081</v>
      </c>
      <c r="M39" s="36" t="s">
        <v>7949</v>
      </c>
    </row>
    <row r="40" spans="1:13" x14ac:dyDescent="0.25">
      <c r="A40" s="42">
        <f t="shared" si="1"/>
        <v>39</v>
      </c>
      <c r="B40" s="36" t="s">
        <v>4</v>
      </c>
      <c r="C40" s="36" t="s">
        <v>7950</v>
      </c>
      <c r="D40" s="9" t="s">
        <v>7969</v>
      </c>
      <c r="E40" s="9" t="s">
        <v>7941</v>
      </c>
      <c r="F40" s="9" t="s">
        <v>7958</v>
      </c>
      <c r="G40" s="36" t="s">
        <v>14</v>
      </c>
      <c r="H40" s="36" t="s">
        <v>6455</v>
      </c>
      <c r="J40" s="36" t="s">
        <v>19</v>
      </c>
      <c r="K40" s="36" t="s">
        <v>8081</v>
      </c>
      <c r="M40" s="36" t="s">
        <v>7949</v>
      </c>
    </row>
    <row r="41" spans="1:13" x14ac:dyDescent="0.25">
      <c r="A41" s="42">
        <f t="shared" si="1"/>
        <v>40</v>
      </c>
      <c r="B41" s="36" t="s">
        <v>4</v>
      </c>
      <c r="C41" s="36" t="s">
        <v>7950</v>
      </c>
      <c r="D41" s="9" t="s">
        <v>7970</v>
      </c>
      <c r="E41" s="9" t="s">
        <v>7942</v>
      </c>
      <c r="F41" s="9" t="s">
        <v>7961</v>
      </c>
      <c r="G41" s="36" t="s">
        <v>14</v>
      </c>
      <c r="H41" s="36" t="s">
        <v>6455</v>
      </c>
      <c r="J41" s="36" t="s">
        <v>19</v>
      </c>
      <c r="K41" s="36" t="s">
        <v>8081</v>
      </c>
      <c r="M41" s="36" t="s">
        <v>7949</v>
      </c>
    </row>
    <row r="42" spans="1:13" x14ac:dyDescent="0.25">
      <c r="A42" s="42">
        <f t="shared" si="1"/>
        <v>41</v>
      </c>
      <c r="B42" s="36" t="s">
        <v>4</v>
      </c>
      <c r="C42" s="36" t="s">
        <v>7950</v>
      </c>
      <c r="D42" s="9" t="s">
        <v>7971</v>
      </c>
      <c r="E42" s="9" t="s">
        <v>7943</v>
      </c>
      <c r="F42" s="9" t="s">
        <v>7962</v>
      </c>
      <c r="G42" s="36" t="s">
        <v>14</v>
      </c>
      <c r="H42" s="36" t="s">
        <v>6455</v>
      </c>
      <c r="J42" s="36" t="s">
        <v>19</v>
      </c>
      <c r="K42" s="36" t="s">
        <v>8081</v>
      </c>
      <c r="M42" s="36" t="s">
        <v>7949</v>
      </c>
    </row>
    <row r="43" spans="1:13" x14ac:dyDescent="0.25">
      <c r="A43" s="42">
        <f t="shared" si="1"/>
        <v>42</v>
      </c>
      <c r="B43" s="36" t="s">
        <v>4</v>
      </c>
      <c r="C43" s="36" t="s">
        <v>7950</v>
      </c>
      <c r="D43" s="9" t="s">
        <v>7972</v>
      </c>
      <c r="E43" s="9" t="s">
        <v>7944</v>
      </c>
      <c r="F43" s="9" t="s">
        <v>7961</v>
      </c>
      <c r="G43" s="36" t="s">
        <v>14</v>
      </c>
      <c r="H43" s="36" t="s">
        <v>6455</v>
      </c>
      <c r="J43" s="36" t="s">
        <v>19</v>
      </c>
      <c r="K43" s="36" t="s">
        <v>8081</v>
      </c>
      <c r="M43" s="36" t="s">
        <v>7949</v>
      </c>
    </row>
    <row r="44" spans="1:13" x14ac:dyDescent="0.25">
      <c r="A44" s="42">
        <f t="shared" si="1"/>
        <v>43</v>
      </c>
      <c r="B44" s="36" t="s">
        <v>4</v>
      </c>
      <c r="C44" s="36" t="s">
        <v>7950</v>
      </c>
      <c r="D44" s="9" t="s">
        <v>7973</v>
      </c>
      <c r="E44" s="9" t="s">
        <v>7945</v>
      </c>
      <c r="F44" s="9" t="s">
        <v>7961</v>
      </c>
      <c r="G44" s="36" t="s">
        <v>14</v>
      </c>
      <c r="H44" s="36" t="s">
        <v>6455</v>
      </c>
      <c r="J44" s="36" t="s">
        <v>19</v>
      </c>
      <c r="K44" s="36" t="s">
        <v>8081</v>
      </c>
      <c r="M44" s="36" t="s">
        <v>7949</v>
      </c>
    </row>
    <row r="45" spans="1:13" x14ac:dyDescent="0.25">
      <c r="A45" s="42">
        <f t="shared" si="1"/>
        <v>44</v>
      </c>
      <c r="B45" s="36" t="s">
        <v>4</v>
      </c>
      <c r="C45" s="36" t="s">
        <v>7950</v>
      </c>
      <c r="D45" s="9" t="s">
        <v>7974</v>
      </c>
      <c r="E45" s="9" t="s">
        <v>7946</v>
      </c>
      <c r="F45" s="9" t="s">
        <v>7961</v>
      </c>
      <c r="G45" s="36" t="s">
        <v>14</v>
      </c>
      <c r="H45" s="36" t="s">
        <v>6455</v>
      </c>
      <c r="J45" s="36" t="s">
        <v>19</v>
      </c>
      <c r="K45" s="36" t="s">
        <v>8081</v>
      </c>
      <c r="M45" s="36" t="s">
        <v>7949</v>
      </c>
    </row>
    <row r="46" spans="1:13" x14ac:dyDescent="0.25">
      <c r="A46" s="42">
        <f t="shared" si="1"/>
        <v>45</v>
      </c>
      <c r="B46" s="36" t="s">
        <v>4</v>
      </c>
      <c r="C46" s="36" t="s">
        <v>7950</v>
      </c>
      <c r="D46" s="9" t="s">
        <v>7975</v>
      </c>
      <c r="E46" s="9" t="s">
        <v>7947</v>
      </c>
      <c r="F46" s="9" t="s">
        <v>7961</v>
      </c>
      <c r="G46" s="36" t="s">
        <v>14</v>
      </c>
      <c r="H46" s="36" t="s">
        <v>6455</v>
      </c>
      <c r="J46" s="36" t="s">
        <v>19</v>
      </c>
      <c r="K46" s="36" t="s">
        <v>8081</v>
      </c>
      <c r="M46" s="36" t="s">
        <v>7949</v>
      </c>
    </row>
    <row r="47" spans="1:13" x14ac:dyDescent="0.25">
      <c r="A47" s="42">
        <f t="shared" si="1"/>
        <v>46</v>
      </c>
      <c r="B47" s="36" t="s">
        <v>4</v>
      </c>
      <c r="C47" s="36" t="s">
        <v>7950</v>
      </c>
      <c r="D47" s="9" t="s">
        <v>7976</v>
      </c>
      <c r="E47" s="9" t="s">
        <v>7944</v>
      </c>
      <c r="F47" s="9" t="s">
        <v>7962</v>
      </c>
      <c r="G47" s="36" t="s">
        <v>14</v>
      </c>
      <c r="H47" s="36" t="s">
        <v>6455</v>
      </c>
      <c r="J47" s="36" t="s">
        <v>19</v>
      </c>
      <c r="K47" s="36" t="s">
        <v>8081</v>
      </c>
      <c r="M47" s="36" t="s">
        <v>7949</v>
      </c>
    </row>
    <row r="48" spans="1:13" x14ac:dyDescent="0.25">
      <c r="A48" s="42">
        <f t="shared" si="1"/>
        <v>47</v>
      </c>
      <c r="B48" s="36" t="s">
        <v>4</v>
      </c>
      <c r="C48" s="36" t="s">
        <v>7950</v>
      </c>
      <c r="D48" s="9" t="s">
        <v>7977</v>
      </c>
      <c r="E48" s="9" t="s">
        <v>7945</v>
      </c>
      <c r="F48" s="9" t="s">
        <v>7962</v>
      </c>
      <c r="G48" s="36" t="s">
        <v>14</v>
      </c>
      <c r="H48" s="36" t="s">
        <v>6455</v>
      </c>
      <c r="J48" s="36" t="s">
        <v>19</v>
      </c>
      <c r="K48" s="36" t="s">
        <v>8081</v>
      </c>
      <c r="M48" s="36" t="s">
        <v>7949</v>
      </c>
    </row>
    <row r="49" spans="1:13" x14ac:dyDescent="0.25">
      <c r="A49" s="42">
        <f t="shared" si="1"/>
        <v>48</v>
      </c>
      <c r="B49" s="36" t="s">
        <v>4</v>
      </c>
      <c r="C49" s="36" t="s">
        <v>7950</v>
      </c>
      <c r="D49" s="9" t="s">
        <v>7978</v>
      </c>
      <c r="E49" s="9" t="s">
        <v>7946</v>
      </c>
      <c r="F49" s="9" t="s">
        <v>7962</v>
      </c>
      <c r="G49" s="36" t="s">
        <v>14</v>
      </c>
      <c r="H49" s="36" t="s">
        <v>6455</v>
      </c>
      <c r="J49" s="36" t="s">
        <v>19</v>
      </c>
      <c r="K49" s="36" t="s">
        <v>8081</v>
      </c>
      <c r="M49" s="36" t="s">
        <v>7949</v>
      </c>
    </row>
    <row r="50" spans="1:13" x14ac:dyDescent="0.25">
      <c r="A50" s="42">
        <f t="shared" si="1"/>
        <v>49</v>
      </c>
      <c r="B50" s="36" t="s">
        <v>4</v>
      </c>
      <c r="C50" s="36" t="s">
        <v>7950</v>
      </c>
      <c r="D50" s="9" t="s">
        <v>7979</v>
      </c>
      <c r="E50" s="9" t="s">
        <v>7947</v>
      </c>
      <c r="F50" s="9" t="s">
        <v>7962</v>
      </c>
      <c r="G50" s="36" t="s">
        <v>14</v>
      </c>
      <c r="H50" s="36" t="s">
        <v>6455</v>
      </c>
      <c r="J50" s="36" t="s">
        <v>19</v>
      </c>
      <c r="K50" s="36" t="s">
        <v>8081</v>
      </c>
      <c r="M50" s="36" t="s">
        <v>7949</v>
      </c>
    </row>
    <row r="51" spans="1:13" x14ac:dyDescent="0.25">
      <c r="A51" s="42">
        <f t="shared" si="1"/>
        <v>50</v>
      </c>
      <c r="B51" s="36" t="s">
        <v>4</v>
      </c>
      <c r="C51" s="36" t="s">
        <v>7950</v>
      </c>
      <c r="D51" s="9" t="s">
        <v>7980</v>
      </c>
      <c r="E51" s="9" t="s">
        <v>7948</v>
      </c>
      <c r="F51" s="9" t="s">
        <v>1125</v>
      </c>
      <c r="G51" s="36" t="s">
        <v>14</v>
      </c>
      <c r="H51" s="36" t="s">
        <v>6455</v>
      </c>
      <c r="J51" s="36" t="s">
        <v>19</v>
      </c>
      <c r="K51" s="36" t="s">
        <v>8081</v>
      </c>
      <c r="M51" s="36" t="s">
        <v>7949</v>
      </c>
    </row>
    <row r="52" spans="1:13" hidden="1" x14ac:dyDescent="0.25">
      <c r="A52" s="42">
        <f t="shared" si="1"/>
        <v>51</v>
      </c>
      <c r="B52" s="36" t="s">
        <v>4</v>
      </c>
      <c r="C52" s="9" t="s">
        <v>7953</v>
      </c>
      <c r="D52" s="36" t="s">
        <v>7981</v>
      </c>
      <c r="E52" s="9" t="s">
        <v>7951</v>
      </c>
      <c r="F52" s="9" t="s">
        <v>1534</v>
      </c>
      <c r="G52" s="36" t="s">
        <v>14</v>
      </c>
      <c r="H52" s="36" t="s">
        <v>6455</v>
      </c>
      <c r="J52" s="36" t="s">
        <v>17</v>
      </c>
      <c r="K52" s="36" t="s">
        <v>8081</v>
      </c>
      <c r="M52" s="9" t="s">
        <v>6354</v>
      </c>
    </row>
    <row r="53" spans="1:13" hidden="1" x14ac:dyDescent="0.25">
      <c r="A53" s="42">
        <f t="shared" si="1"/>
        <v>52</v>
      </c>
      <c r="B53" s="36" t="s">
        <v>4</v>
      </c>
      <c r="C53" s="36" t="s">
        <v>7953</v>
      </c>
      <c r="D53" s="9" t="s">
        <v>7952</v>
      </c>
      <c r="E53" s="9" t="s">
        <v>7951</v>
      </c>
      <c r="F53" s="36" t="s">
        <v>7981</v>
      </c>
      <c r="G53" s="36" t="s">
        <v>14</v>
      </c>
      <c r="H53" s="36" t="s">
        <v>6455</v>
      </c>
      <c r="J53" s="36" t="s">
        <v>17</v>
      </c>
      <c r="K53" s="36" t="s">
        <v>8081</v>
      </c>
      <c r="M53" s="9" t="s">
        <v>6354</v>
      </c>
    </row>
    <row r="54" spans="1:13" hidden="1" x14ac:dyDescent="0.25">
      <c r="A54" s="42">
        <f t="shared" si="1"/>
        <v>53</v>
      </c>
      <c r="B54" s="36" t="s">
        <v>4</v>
      </c>
      <c r="C54" s="9" t="s">
        <v>7985</v>
      </c>
      <c r="D54" s="9" t="s">
        <v>653</v>
      </c>
      <c r="E54" s="9" t="s">
        <v>7983</v>
      </c>
      <c r="G54" s="9" t="s">
        <v>15</v>
      </c>
      <c r="H54" s="36" t="str">
        <f>IFERROR(VLOOKUP(Table2[[#This Row], [Ticket]],Okey!A:B,2,0),"")</f>
        <v/>
      </c>
      <c r="I54" s="36" t="s">
        <v>7982</v>
      </c>
      <c r="J54" s="36" t="s">
        <v>19</v>
      </c>
      <c r="K54" s="36" t="s">
        <v>8080</v>
      </c>
    </row>
    <row r="55" spans="1:13" hidden="1" x14ac:dyDescent="0.25">
      <c r="A55" s="42">
        <f t="shared" si="1"/>
        <v>54</v>
      </c>
      <c r="B55" s="36" t="s">
        <v>4</v>
      </c>
      <c r="C55" s="9" t="s">
        <v>7985</v>
      </c>
      <c r="D55" s="9" t="s">
        <v>1700</v>
      </c>
      <c r="E55" s="9" t="s">
        <v>7984</v>
      </c>
      <c r="G55" s="36" t="s">
        <v>15</v>
      </c>
      <c r="H55" s="36" t="str">
        <f>IFERROR(VLOOKUP(Table2[[#This Row], [Ticket]],Okey!A:B,2,0),"")</f>
        <v/>
      </c>
      <c r="I55" s="36" t="s">
        <v>7982</v>
      </c>
      <c r="J55" s="36" t="s">
        <v>19</v>
      </c>
      <c r="K55" s="36" t="s">
        <v>8080</v>
      </c>
    </row>
    <row r="56" spans="1:13" hidden="1" x14ac:dyDescent="0.25">
      <c r="A56" s="42">
        <f t="shared" si="1"/>
        <v>55</v>
      </c>
      <c r="B56" s="36" t="s">
        <v>4</v>
      </c>
      <c r="C56" s="9" t="s">
        <v>7986</v>
      </c>
      <c r="D56" s="36" t="s">
        <v>8035</v>
      </c>
      <c r="E56" s="9" t="s">
        <v>7987</v>
      </c>
      <c r="F56" s="9" t="s">
        <v>2686</v>
      </c>
      <c r="G56" s="36" t="s">
        <v>14</v>
      </c>
      <c r="H56" s="36" t="s">
        <v>6455</v>
      </c>
      <c r="J56" s="9" t="s">
        <v>20</v>
      </c>
      <c r="K56" s="36" t="s">
        <v>8081</v>
      </c>
      <c r="L56" s="9" t="str">
        <f>LEFT(Table2[[#This Row],[Node]],10)</f>
        <v>P000001381</v>
      </c>
      <c r="M56" s="9" t="s">
        <v>8034</v>
      </c>
    </row>
    <row r="57" spans="1:13" hidden="1" x14ac:dyDescent="0.25">
      <c r="A57" s="42">
        <f t="shared" si="1"/>
        <v>56</v>
      </c>
      <c r="B57" s="36" t="s">
        <v>4</v>
      </c>
      <c r="C57" s="36" t="s">
        <v>7986</v>
      </c>
      <c r="D57" s="36" t="s">
        <v>8036</v>
      </c>
      <c r="E57" s="9" t="s">
        <v>7988</v>
      </c>
      <c r="F57" s="36" t="s">
        <v>2674</v>
      </c>
      <c r="G57" s="36" t="s">
        <v>14</v>
      </c>
      <c r="H57" s="36" t="s">
        <v>6455</v>
      </c>
      <c r="J57" s="36" t="s">
        <v>20</v>
      </c>
      <c r="K57" s="36" t="s">
        <v>8081</v>
      </c>
      <c r="L57" s="36" t="str">
        <f>LEFT(Table2[[#This Row],[Node]],10)</f>
        <v>P000001382</v>
      </c>
      <c r="M57" s="36" t="s">
        <v>8034</v>
      </c>
    </row>
    <row r="58" spans="1:13" hidden="1" x14ac:dyDescent="0.25">
      <c r="A58" s="42">
        <f t="shared" si="1"/>
        <v>57</v>
      </c>
      <c r="B58" s="36" t="s">
        <v>4</v>
      </c>
      <c r="C58" s="36" t="s">
        <v>7986</v>
      </c>
      <c r="D58" s="36" t="s">
        <v>8037</v>
      </c>
      <c r="E58" s="9" t="s">
        <v>7989</v>
      </c>
      <c r="F58" s="36" t="s">
        <v>2674</v>
      </c>
      <c r="G58" s="36" t="s">
        <v>14</v>
      </c>
      <c r="H58" s="36" t="s">
        <v>6455</v>
      </c>
      <c r="J58" s="36" t="s">
        <v>20</v>
      </c>
      <c r="K58" s="36" t="s">
        <v>8081</v>
      </c>
      <c r="L58" s="36" t="str">
        <f>LEFT(Table2[[#This Row],[Node]],10)</f>
        <v>P000001383</v>
      </c>
      <c r="M58" s="36" t="s">
        <v>8034</v>
      </c>
    </row>
    <row r="59" spans="1:13" hidden="1" x14ac:dyDescent="0.25">
      <c r="A59" s="42">
        <f t="shared" si="1"/>
        <v>58</v>
      </c>
      <c r="B59" s="36" t="s">
        <v>4</v>
      </c>
      <c r="C59" s="36" t="s">
        <v>7986</v>
      </c>
      <c r="D59" s="36" t="s">
        <v>8038</v>
      </c>
      <c r="E59" s="9" t="s">
        <v>7990</v>
      </c>
      <c r="F59" s="36" t="s">
        <v>2674</v>
      </c>
      <c r="G59" s="36" t="s">
        <v>14</v>
      </c>
      <c r="H59" s="36" t="s">
        <v>6455</v>
      </c>
      <c r="J59" s="36" t="s">
        <v>20</v>
      </c>
      <c r="K59" s="36" t="s">
        <v>8081</v>
      </c>
      <c r="L59" s="36" t="str">
        <f>LEFT(Table2[[#This Row],[Node]],10)</f>
        <v>P000001384</v>
      </c>
      <c r="M59" s="36" t="s">
        <v>8034</v>
      </c>
    </row>
    <row r="60" spans="1:13" hidden="1" x14ac:dyDescent="0.25">
      <c r="A60" s="42">
        <f t="shared" si="1"/>
        <v>59</v>
      </c>
      <c r="B60" s="36" t="s">
        <v>4</v>
      </c>
      <c r="C60" s="36" t="s">
        <v>7986</v>
      </c>
      <c r="D60" s="36" t="s">
        <v>8039</v>
      </c>
      <c r="E60" s="9" t="s">
        <v>7991</v>
      </c>
      <c r="F60" s="36" t="s">
        <v>2674</v>
      </c>
      <c r="G60" s="36" t="s">
        <v>14</v>
      </c>
      <c r="H60" s="36" t="s">
        <v>6455</v>
      </c>
      <c r="J60" s="36" t="s">
        <v>20</v>
      </c>
      <c r="K60" s="36" t="s">
        <v>8081</v>
      </c>
      <c r="L60" s="36" t="str">
        <f>LEFT(Table2[[#This Row],[Node]],10)</f>
        <v>P000001385</v>
      </c>
      <c r="M60" s="36" t="s">
        <v>8034</v>
      </c>
    </row>
    <row r="61" spans="1:13" hidden="1" x14ac:dyDescent="0.25">
      <c r="A61" s="42">
        <f t="shared" si="1"/>
        <v>60</v>
      </c>
      <c r="B61" s="36" t="s">
        <v>4</v>
      </c>
      <c r="C61" s="36" t="s">
        <v>7986</v>
      </c>
      <c r="D61" s="36" t="s">
        <v>8040</v>
      </c>
      <c r="E61" s="9" t="s">
        <v>7992</v>
      </c>
      <c r="F61" s="36" t="s">
        <v>2674</v>
      </c>
      <c r="G61" s="36" t="s">
        <v>14</v>
      </c>
      <c r="H61" s="36" t="s">
        <v>6455</v>
      </c>
      <c r="J61" s="36" t="s">
        <v>20</v>
      </c>
      <c r="K61" s="36" t="s">
        <v>8081</v>
      </c>
      <c r="L61" s="36" t="str">
        <f>LEFT(Table2[[#This Row],[Node]],10)</f>
        <v>P000001386</v>
      </c>
      <c r="M61" s="36" t="s">
        <v>8034</v>
      </c>
    </row>
    <row r="62" spans="1:13" hidden="1" x14ac:dyDescent="0.25">
      <c r="A62" s="42">
        <f t="shared" si="1"/>
        <v>61</v>
      </c>
      <c r="B62" s="36" t="s">
        <v>4</v>
      </c>
      <c r="C62" s="36" t="s">
        <v>7986</v>
      </c>
      <c r="D62" s="36" t="s">
        <v>8041</v>
      </c>
      <c r="E62" s="9" t="s">
        <v>7993</v>
      </c>
      <c r="F62" s="36" t="s">
        <v>2674</v>
      </c>
      <c r="G62" s="36" t="s">
        <v>14</v>
      </c>
      <c r="H62" s="36" t="s">
        <v>6455</v>
      </c>
      <c r="J62" s="36" t="s">
        <v>20</v>
      </c>
      <c r="K62" s="36" t="s">
        <v>8081</v>
      </c>
      <c r="L62" s="36" t="str">
        <f>LEFT(Table2[[#This Row],[Node]],10)</f>
        <v>P000001387</v>
      </c>
      <c r="M62" s="36" t="s">
        <v>8034</v>
      </c>
    </row>
    <row r="63" spans="1:13" hidden="1" x14ac:dyDescent="0.25">
      <c r="A63" s="42">
        <f t="shared" si="1"/>
        <v>62</v>
      </c>
      <c r="B63" s="36" t="s">
        <v>4</v>
      </c>
      <c r="C63" s="36" t="s">
        <v>7986</v>
      </c>
      <c r="D63" s="36" t="s">
        <v>8042</v>
      </c>
      <c r="E63" s="9" t="s">
        <v>7994</v>
      </c>
      <c r="F63" s="36" t="s">
        <v>2674</v>
      </c>
      <c r="G63" s="36" t="s">
        <v>14</v>
      </c>
      <c r="H63" s="36" t="s">
        <v>6455</v>
      </c>
      <c r="J63" s="36" t="s">
        <v>20</v>
      </c>
      <c r="K63" s="36" t="s">
        <v>8081</v>
      </c>
      <c r="L63" s="36" t="str">
        <f>LEFT(Table2[[#This Row],[Node]],10)</f>
        <v>P000001388</v>
      </c>
      <c r="M63" s="36" t="s">
        <v>8034</v>
      </c>
    </row>
    <row r="64" spans="1:13" hidden="1" x14ac:dyDescent="0.25">
      <c r="A64" s="42">
        <f t="shared" si="1"/>
        <v>63</v>
      </c>
      <c r="B64" s="36" t="s">
        <v>4</v>
      </c>
      <c r="C64" s="36" t="s">
        <v>7986</v>
      </c>
      <c r="D64" s="36" t="s">
        <v>8043</v>
      </c>
      <c r="E64" s="9" t="s">
        <v>7995</v>
      </c>
      <c r="F64" s="9" t="s">
        <v>2674</v>
      </c>
      <c r="G64" s="36" t="s">
        <v>14</v>
      </c>
      <c r="H64" s="36" t="s">
        <v>6455</v>
      </c>
      <c r="J64" s="36" t="s">
        <v>20</v>
      </c>
      <c r="K64" s="36" t="s">
        <v>8081</v>
      </c>
      <c r="L64" s="36" t="str">
        <f>LEFT(Table2[[#This Row],[Node]],10)</f>
        <v>P000001389</v>
      </c>
      <c r="M64" s="36" t="s">
        <v>8034</v>
      </c>
    </row>
    <row r="65" spans="1:13" hidden="1" x14ac:dyDescent="0.25">
      <c r="A65" s="42">
        <f t="shared" si="1"/>
        <v>64</v>
      </c>
      <c r="B65" s="36" t="s">
        <v>4</v>
      </c>
      <c r="C65" s="36" t="s">
        <v>7986</v>
      </c>
      <c r="D65" s="36" t="s">
        <v>8044</v>
      </c>
      <c r="E65" s="9" t="s">
        <v>7996</v>
      </c>
      <c r="F65" s="36" t="s">
        <v>2682</v>
      </c>
      <c r="G65" s="36" t="s">
        <v>14</v>
      </c>
      <c r="H65" s="36" t="s">
        <v>6455</v>
      </c>
      <c r="J65" s="36" t="s">
        <v>20</v>
      </c>
      <c r="K65" s="36" t="s">
        <v>8081</v>
      </c>
      <c r="L65" s="36" t="str">
        <f>LEFT(Table2[[#This Row],[Node]],10)</f>
        <v>P000001390</v>
      </c>
      <c r="M65" s="36" t="s">
        <v>8034</v>
      </c>
    </row>
    <row r="66" spans="1:13" hidden="1" x14ac:dyDescent="0.25">
      <c r="A66" s="42">
        <f t="shared" si="1"/>
        <v>65</v>
      </c>
      <c r="B66" s="36" t="s">
        <v>4</v>
      </c>
      <c r="C66" s="36" t="s">
        <v>7986</v>
      </c>
      <c r="D66" s="36" t="s">
        <v>8045</v>
      </c>
      <c r="E66" s="9" t="s">
        <v>7997</v>
      </c>
      <c r="F66" s="36" t="s">
        <v>2682</v>
      </c>
      <c r="G66" s="36" t="s">
        <v>14</v>
      </c>
      <c r="H66" s="36" t="s">
        <v>6455</v>
      </c>
      <c r="J66" s="36" t="s">
        <v>20</v>
      </c>
      <c r="K66" s="36" t="s">
        <v>8081</v>
      </c>
      <c r="L66" s="36" t="str">
        <f>LEFT(Table2[[#This Row],[Node]],10)</f>
        <v>P000001391</v>
      </c>
      <c r="M66" s="36" t="s">
        <v>8034</v>
      </c>
    </row>
    <row r="67" spans="1:13" hidden="1" x14ac:dyDescent="0.25">
      <c r="A67" s="42">
        <f t="shared" si="1"/>
        <v>66</v>
      </c>
      <c r="B67" s="36" t="s">
        <v>4</v>
      </c>
      <c r="C67" s="36" t="s">
        <v>7986</v>
      </c>
      <c r="D67" s="36" t="s">
        <v>8046</v>
      </c>
      <c r="E67" s="9" t="s">
        <v>7998</v>
      </c>
      <c r="F67" s="36" t="s">
        <v>2682</v>
      </c>
      <c r="G67" s="36" t="s">
        <v>14</v>
      </c>
      <c r="H67" s="36" t="s">
        <v>6455</v>
      </c>
      <c r="J67" s="36" t="s">
        <v>20</v>
      </c>
      <c r="K67" s="36" t="s">
        <v>8081</v>
      </c>
      <c r="L67" s="36" t="str">
        <f>LEFT(Table2[[#This Row],[Node]],10)</f>
        <v>P000001392</v>
      </c>
      <c r="M67" s="36" t="s">
        <v>8034</v>
      </c>
    </row>
    <row r="68" spans="1:13" hidden="1" x14ac:dyDescent="0.25">
      <c r="A68" s="42">
        <f t="shared" si="1"/>
        <v>67</v>
      </c>
      <c r="B68" s="36" t="s">
        <v>4</v>
      </c>
      <c r="C68" s="36" t="s">
        <v>7986</v>
      </c>
      <c r="D68" s="36" t="s">
        <v>8047</v>
      </c>
      <c r="E68" s="9" t="s">
        <v>7999</v>
      </c>
      <c r="F68" s="9" t="s">
        <v>2682</v>
      </c>
      <c r="G68" s="36" t="s">
        <v>14</v>
      </c>
      <c r="H68" s="36" t="s">
        <v>6455</v>
      </c>
      <c r="J68" s="36" t="s">
        <v>20</v>
      </c>
      <c r="K68" s="36" t="s">
        <v>8081</v>
      </c>
      <c r="L68" s="36" t="str">
        <f>LEFT(Table2[[#This Row],[Node]],10)</f>
        <v>P000001393</v>
      </c>
      <c r="M68" s="36" t="s">
        <v>8034</v>
      </c>
    </row>
    <row r="69" spans="1:13" hidden="1" x14ac:dyDescent="0.25">
      <c r="A69" s="42">
        <f t="shared" si="1"/>
        <v>68</v>
      </c>
      <c r="B69" s="36" t="s">
        <v>4</v>
      </c>
      <c r="C69" s="36" t="s">
        <v>7986</v>
      </c>
      <c r="D69" s="36" t="s">
        <v>8048</v>
      </c>
      <c r="E69" s="9" t="s">
        <v>8000</v>
      </c>
      <c r="F69" s="9" t="s">
        <v>2995</v>
      </c>
      <c r="G69" s="36" t="s">
        <v>14</v>
      </c>
      <c r="H69" s="36" t="s">
        <v>6455</v>
      </c>
      <c r="J69" s="36" t="s">
        <v>20</v>
      </c>
      <c r="K69" s="36" t="s">
        <v>8081</v>
      </c>
      <c r="L69" s="36" t="str">
        <f>LEFT(Table2[[#This Row],[Node]],10)</f>
        <v>P000001394</v>
      </c>
      <c r="M69" s="36" t="s">
        <v>8034</v>
      </c>
    </row>
    <row r="70" spans="1:13" hidden="1" x14ac:dyDescent="0.25">
      <c r="A70" s="42">
        <f t="shared" si="1"/>
        <v>69</v>
      </c>
      <c r="B70" s="36" t="s">
        <v>4</v>
      </c>
      <c r="C70" s="36" t="s">
        <v>7986</v>
      </c>
      <c r="D70" s="36" t="s">
        <v>8049</v>
      </c>
      <c r="E70" s="9" t="s">
        <v>8001</v>
      </c>
      <c r="F70" s="36" t="s">
        <v>8048</v>
      </c>
      <c r="G70" s="36" t="s">
        <v>14</v>
      </c>
      <c r="H70" s="36" t="s">
        <v>6455</v>
      </c>
      <c r="J70" s="36" t="s">
        <v>20</v>
      </c>
      <c r="K70" s="36" t="s">
        <v>8081</v>
      </c>
      <c r="L70" s="36" t="str">
        <f>LEFT(Table2[[#This Row],[Node]],10)</f>
        <v>P000001395</v>
      </c>
      <c r="M70" s="36" t="s">
        <v>8034</v>
      </c>
    </row>
    <row r="71" spans="1:13" hidden="1" x14ac:dyDescent="0.25">
      <c r="A71" s="42">
        <f t="shared" si="1"/>
        <v>70</v>
      </c>
      <c r="B71" s="36" t="s">
        <v>4</v>
      </c>
      <c r="C71" s="36" t="s">
        <v>7986</v>
      </c>
      <c r="D71" s="36" t="s">
        <v>8050</v>
      </c>
      <c r="E71" s="9" t="s">
        <v>8002</v>
      </c>
      <c r="F71" s="36" t="s">
        <v>8048</v>
      </c>
      <c r="G71" s="36" t="s">
        <v>14</v>
      </c>
      <c r="H71" s="36" t="s">
        <v>6455</v>
      </c>
      <c r="J71" s="36" t="s">
        <v>20</v>
      </c>
      <c r="K71" s="36" t="s">
        <v>8081</v>
      </c>
      <c r="L71" s="36" t="str">
        <f>LEFT(Table2[[#This Row],[Node]],10)</f>
        <v>P000001396</v>
      </c>
      <c r="M71" s="36" t="s">
        <v>8034</v>
      </c>
    </row>
    <row r="72" spans="1:13" hidden="1" x14ac:dyDescent="0.25">
      <c r="A72" s="42">
        <f t="shared" si="1"/>
        <v>71</v>
      </c>
      <c r="B72" s="36" t="s">
        <v>4</v>
      </c>
      <c r="C72" s="36" t="s">
        <v>7986</v>
      </c>
      <c r="D72" s="36" t="s">
        <v>8051</v>
      </c>
      <c r="E72" s="9" t="s">
        <v>8003</v>
      </c>
      <c r="F72" s="36" t="s">
        <v>8048</v>
      </c>
      <c r="G72" s="36" t="s">
        <v>14</v>
      </c>
      <c r="H72" s="36" t="s">
        <v>6455</v>
      </c>
      <c r="J72" s="36" t="s">
        <v>20</v>
      </c>
      <c r="K72" s="36" t="s">
        <v>8081</v>
      </c>
      <c r="L72" s="36" t="str">
        <f>LEFT(Table2[[#This Row],[Node]],10)</f>
        <v>P000001397</v>
      </c>
      <c r="M72" s="36" t="s">
        <v>8034</v>
      </c>
    </row>
    <row r="73" spans="1:13" hidden="1" x14ac:dyDescent="0.25">
      <c r="A73" s="42">
        <f t="shared" si="1"/>
        <v>72</v>
      </c>
      <c r="B73" s="36" t="s">
        <v>4</v>
      </c>
      <c r="C73" s="36" t="s">
        <v>7986</v>
      </c>
      <c r="D73" s="36" t="s">
        <v>8052</v>
      </c>
      <c r="E73" s="9" t="s">
        <v>8004</v>
      </c>
      <c r="F73" s="36" t="s">
        <v>8048</v>
      </c>
      <c r="G73" s="36" t="s">
        <v>14</v>
      </c>
      <c r="H73" s="36" t="s">
        <v>6455</v>
      </c>
      <c r="J73" s="36" t="s">
        <v>20</v>
      </c>
      <c r="K73" s="36" t="s">
        <v>8081</v>
      </c>
      <c r="L73" s="36" t="str">
        <f>LEFT(Table2[[#This Row],[Node]],10)</f>
        <v>P000001398</v>
      </c>
      <c r="M73" s="36" t="s">
        <v>8034</v>
      </c>
    </row>
    <row r="74" spans="1:13" hidden="1" x14ac:dyDescent="0.25">
      <c r="A74" s="42">
        <f t="shared" si="1"/>
        <v>73</v>
      </c>
      <c r="B74" s="36" t="s">
        <v>4</v>
      </c>
      <c r="C74" s="36" t="s">
        <v>7986</v>
      </c>
      <c r="D74" s="36" t="s">
        <v>8053</v>
      </c>
      <c r="E74" s="9" t="s">
        <v>8005</v>
      </c>
      <c r="F74" s="9" t="s">
        <v>2995</v>
      </c>
      <c r="G74" s="36" t="s">
        <v>14</v>
      </c>
      <c r="H74" s="36" t="s">
        <v>6455</v>
      </c>
      <c r="J74" s="36" t="s">
        <v>20</v>
      </c>
      <c r="K74" s="36" t="s">
        <v>8081</v>
      </c>
      <c r="L74" s="36" t="str">
        <f>LEFT(Table2[[#This Row],[Node]],10)</f>
        <v>P000001399</v>
      </c>
      <c r="M74" s="36" t="s">
        <v>8034</v>
      </c>
    </row>
    <row r="75" spans="1:13" hidden="1" x14ac:dyDescent="0.25">
      <c r="A75" s="42">
        <f t="shared" si="1"/>
        <v>74</v>
      </c>
      <c r="B75" s="36" t="s">
        <v>4</v>
      </c>
      <c r="C75" s="36" t="s">
        <v>7986</v>
      </c>
      <c r="D75" s="36" t="s">
        <v>8054</v>
      </c>
      <c r="E75" s="9" t="s">
        <v>8006</v>
      </c>
      <c r="F75" s="36" t="s">
        <v>8053</v>
      </c>
      <c r="G75" s="36" t="s">
        <v>14</v>
      </c>
      <c r="H75" s="36" t="s">
        <v>6455</v>
      </c>
      <c r="J75" s="36" t="s">
        <v>20</v>
      </c>
      <c r="K75" s="36" t="s">
        <v>8081</v>
      </c>
      <c r="L75" s="36" t="str">
        <f>LEFT(Table2[[#This Row],[Node]],10)</f>
        <v>P000001400</v>
      </c>
      <c r="M75" s="36" t="s">
        <v>8034</v>
      </c>
    </row>
    <row r="76" spans="1:13" hidden="1" x14ac:dyDescent="0.25">
      <c r="A76" s="42">
        <f t="shared" si="1"/>
        <v>75</v>
      </c>
      <c r="B76" s="36" t="s">
        <v>4</v>
      </c>
      <c r="C76" s="36" t="s">
        <v>7986</v>
      </c>
      <c r="D76" s="36" t="s">
        <v>8055</v>
      </c>
      <c r="E76" s="9" t="s">
        <v>8007</v>
      </c>
      <c r="F76" s="36" t="s">
        <v>8054</v>
      </c>
      <c r="G76" s="36" t="s">
        <v>14</v>
      </c>
      <c r="H76" s="36" t="s">
        <v>6455</v>
      </c>
      <c r="J76" s="36" t="s">
        <v>20</v>
      </c>
      <c r="K76" s="36" t="s">
        <v>8081</v>
      </c>
      <c r="L76" s="36" t="str">
        <f>LEFT(Table2[[#This Row],[Node]],10)</f>
        <v>P000001401</v>
      </c>
      <c r="M76" s="36" t="s">
        <v>8034</v>
      </c>
    </row>
    <row r="77" spans="1:13" hidden="1" x14ac:dyDescent="0.25">
      <c r="A77" s="42">
        <f t="shared" si="1"/>
        <v>76</v>
      </c>
      <c r="B77" s="36" t="s">
        <v>4</v>
      </c>
      <c r="C77" s="36" t="s">
        <v>7986</v>
      </c>
      <c r="D77" s="36" t="s">
        <v>8056</v>
      </c>
      <c r="E77" s="9" t="s">
        <v>8008</v>
      </c>
      <c r="F77" s="36" t="s">
        <v>8053</v>
      </c>
      <c r="G77" s="36" t="s">
        <v>14</v>
      </c>
      <c r="H77" s="36" t="s">
        <v>6455</v>
      </c>
      <c r="J77" s="36" t="s">
        <v>20</v>
      </c>
      <c r="K77" s="36" t="s">
        <v>8081</v>
      </c>
      <c r="L77" s="36" t="str">
        <f>LEFT(Table2[[#This Row],[Node]],10)</f>
        <v>P000001402</v>
      </c>
      <c r="M77" s="36" t="s">
        <v>8034</v>
      </c>
    </row>
    <row r="78" spans="1:13" hidden="1" x14ac:dyDescent="0.25">
      <c r="A78" s="42">
        <f t="shared" si="1"/>
        <v>77</v>
      </c>
      <c r="B78" s="36" t="s">
        <v>4</v>
      </c>
      <c r="C78" s="36" t="s">
        <v>7986</v>
      </c>
      <c r="D78" s="36" t="s">
        <v>8057</v>
      </c>
      <c r="E78" s="9" t="s">
        <v>8009</v>
      </c>
      <c r="F78" s="36" t="s">
        <v>8054</v>
      </c>
      <c r="G78" s="36" t="s">
        <v>14</v>
      </c>
      <c r="H78" s="36" t="s">
        <v>6455</v>
      </c>
      <c r="J78" s="36" t="s">
        <v>20</v>
      </c>
      <c r="K78" s="36" t="s">
        <v>8081</v>
      </c>
      <c r="L78" s="36" t="str">
        <f>LEFT(Table2[[#This Row],[Node]],10)</f>
        <v>P000001403</v>
      </c>
      <c r="M78" s="36" t="s">
        <v>8034</v>
      </c>
    </row>
    <row r="79" spans="1:13" hidden="1" x14ac:dyDescent="0.25">
      <c r="A79" s="42">
        <f t="shared" si="1"/>
        <v>78</v>
      </c>
      <c r="B79" s="36" t="s">
        <v>4</v>
      </c>
      <c r="C79" s="36" t="s">
        <v>7986</v>
      </c>
      <c r="D79" s="36" t="s">
        <v>8058</v>
      </c>
      <c r="E79" s="9" t="s">
        <v>8010</v>
      </c>
      <c r="F79" s="36" t="s">
        <v>8053</v>
      </c>
      <c r="G79" s="36" t="s">
        <v>14</v>
      </c>
      <c r="H79" s="36" t="s">
        <v>6455</v>
      </c>
      <c r="J79" s="36" t="s">
        <v>20</v>
      </c>
      <c r="K79" s="36" t="s">
        <v>8081</v>
      </c>
      <c r="L79" s="36" t="str">
        <f>LEFT(Table2[[#This Row],[Node]],10)</f>
        <v>P000001404</v>
      </c>
      <c r="M79" s="36" t="s">
        <v>8034</v>
      </c>
    </row>
    <row r="80" spans="1:13" hidden="1" x14ac:dyDescent="0.25">
      <c r="A80" s="42">
        <f t="shared" si="1"/>
        <v>79</v>
      </c>
      <c r="B80" s="36" t="s">
        <v>4</v>
      </c>
      <c r="C80" s="36" t="s">
        <v>7986</v>
      </c>
      <c r="D80" s="36" t="s">
        <v>8059</v>
      </c>
      <c r="E80" s="9" t="s">
        <v>8011</v>
      </c>
      <c r="F80" s="36" t="s">
        <v>8053</v>
      </c>
      <c r="G80" s="36" t="s">
        <v>14</v>
      </c>
      <c r="H80" s="36" t="s">
        <v>6455</v>
      </c>
      <c r="J80" s="36" t="s">
        <v>20</v>
      </c>
      <c r="K80" s="36" t="s">
        <v>8081</v>
      </c>
      <c r="L80" s="36" t="str">
        <f>LEFT(Table2[[#This Row],[Node]],10)</f>
        <v>P000001405</v>
      </c>
      <c r="M80" s="36" t="s">
        <v>8034</v>
      </c>
    </row>
    <row r="81" spans="1:13" hidden="1" x14ac:dyDescent="0.25">
      <c r="A81" s="42">
        <f t="shared" si="1"/>
        <v>80</v>
      </c>
      <c r="B81" s="36" t="s">
        <v>4</v>
      </c>
      <c r="C81" s="36" t="s">
        <v>7986</v>
      </c>
      <c r="D81" s="36" t="s">
        <v>8060</v>
      </c>
      <c r="E81" s="9" t="s">
        <v>8012</v>
      </c>
      <c r="F81" s="36" t="s">
        <v>8059</v>
      </c>
      <c r="G81" s="36" t="s">
        <v>14</v>
      </c>
      <c r="H81" s="36" t="s">
        <v>6455</v>
      </c>
      <c r="J81" s="36" t="s">
        <v>20</v>
      </c>
      <c r="K81" s="36" t="s">
        <v>8081</v>
      </c>
      <c r="L81" s="36" t="str">
        <f>LEFT(Table2[[#This Row],[Node]],10)</f>
        <v>P000001406</v>
      </c>
      <c r="M81" s="36" t="s">
        <v>8034</v>
      </c>
    </row>
    <row r="82" spans="1:13" hidden="1" x14ac:dyDescent="0.25">
      <c r="A82" s="42">
        <f t="shared" si="1"/>
        <v>81</v>
      </c>
      <c r="B82" s="36" t="s">
        <v>4</v>
      </c>
      <c r="C82" s="36" t="s">
        <v>7986</v>
      </c>
      <c r="D82" s="36" t="s">
        <v>8061</v>
      </c>
      <c r="E82" s="9" t="s">
        <v>8013</v>
      </c>
      <c r="F82" s="36" t="s">
        <v>8053</v>
      </c>
      <c r="G82" s="36" t="s">
        <v>14</v>
      </c>
      <c r="H82" s="36" t="s">
        <v>6455</v>
      </c>
      <c r="J82" s="36" t="s">
        <v>20</v>
      </c>
      <c r="K82" s="36" t="s">
        <v>8081</v>
      </c>
      <c r="L82" s="36" t="str">
        <f>LEFT(Table2[[#This Row],[Node]],10)</f>
        <v>P000001407</v>
      </c>
      <c r="M82" s="36" t="s">
        <v>8034</v>
      </c>
    </row>
    <row r="83" spans="1:13" hidden="1" x14ac:dyDescent="0.25">
      <c r="A83" s="42">
        <f t="shared" si="1"/>
        <v>82</v>
      </c>
      <c r="B83" s="36" t="s">
        <v>4</v>
      </c>
      <c r="C83" s="36" t="s">
        <v>7986</v>
      </c>
      <c r="D83" s="36" t="s">
        <v>8062</v>
      </c>
      <c r="E83" s="9" t="s">
        <v>8014</v>
      </c>
      <c r="F83" s="36" t="s">
        <v>8053</v>
      </c>
      <c r="G83" s="36" t="s">
        <v>14</v>
      </c>
      <c r="H83" s="36" t="s">
        <v>6455</v>
      </c>
      <c r="J83" s="36" t="s">
        <v>20</v>
      </c>
      <c r="K83" s="36" t="s">
        <v>8081</v>
      </c>
      <c r="L83" s="36" t="str">
        <f>LEFT(Table2[[#This Row],[Node]],10)</f>
        <v>P000001408</v>
      </c>
      <c r="M83" s="36" t="s">
        <v>8034</v>
      </c>
    </row>
    <row r="84" spans="1:13" hidden="1" x14ac:dyDescent="0.25">
      <c r="A84" s="42">
        <f t="shared" ref="A84:A147" si="2">1+A83</f>
        <v>83</v>
      </c>
      <c r="B84" s="36" t="s">
        <v>4</v>
      </c>
      <c r="C84" s="36" t="s">
        <v>7986</v>
      </c>
      <c r="D84" s="36" t="s">
        <v>8063</v>
      </c>
      <c r="E84" s="9" t="s">
        <v>8015</v>
      </c>
      <c r="F84" s="36" t="s">
        <v>8053</v>
      </c>
      <c r="G84" s="36" t="s">
        <v>14</v>
      </c>
      <c r="H84" s="36" t="s">
        <v>6455</v>
      </c>
      <c r="J84" s="36" t="s">
        <v>20</v>
      </c>
      <c r="K84" s="36" t="s">
        <v>8081</v>
      </c>
      <c r="L84" s="36" t="str">
        <f>LEFT(Table2[[#This Row],[Node]],10)</f>
        <v>P000001409</v>
      </c>
      <c r="M84" s="36" t="s">
        <v>8034</v>
      </c>
    </row>
    <row r="85" spans="1:13" hidden="1" x14ac:dyDescent="0.25">
      <c r="A85" s="42">
        <f t="shared" si="2"/>
        <v>84</v>
      </c>
      <c r="B85" s="36" t="s">
        <v>4</v>
      </c>
      <c r="C85" s="36" t="s">
        <v>7986</v>
      </c>
      <c r="D85" s="36" t="s">
        <v>8064</v>
      </c>
      <c r="E85" s="9" t="s">
        <v>8016</v>
      </c>
      <c r="F85" s="36" t="s">
        <v>8063</v>
      </c>
      <c r="G85" s="36" t="s">
        <v>14</v>
      </c>
      <c r="H85" s="36" t="s">
        <v>6455</v>
      </c>
      <c r="J85" s="36" t="s">
        <v>20</v>
      </c>
      <c r="K85" s="36" t="s">
        <v>8081</v>
      </c>
      <c r="L85" s="36" t="str">
        <f>LEFT(Table2[[#This Row],[Node]],10)</f>
        <v>P000001410</v>
      </c>
      <c r="M85" s="36" t="s">
        <v>8034</v>
      </c>
    </row>
    <row r="86" spans="1:13" hidden="1" x14ac:dyDescent="0.25">
      <c r="A86" s="42">
        <f t="shared" si="2"/>
        <v>85</v>
      </c>
      <c r="B86" s="36" t="s">
        <v>4</v>
      </c>
      <c r="C86" s="36" t="s">
        <v>7986</v>
      </c>
      <c r="D86" s="36" t="s">
        <v>8065</v>
      </c>
      <c r="E86" s="9" t="s">
        <v>8017</v>
      </c>
      <c r="F86" s="9" t="s">
        <v>2995</v>
      </c>
      <c r="G86" s="36" t="s">
        <v>14</v>
      </c>
      <c r="H86" s="36" t="s">
        <v>6455</v>
      </c>
      <c r="J86" s="36" t="s">
        <v>20</v>
      </c>
      <c r="K86" s="36" t="s">
        <v>8081</v>
      </c>
      <c r="L86" s="36" t="str">
        <f>LEFT(Table2[[#This Row],[Node]],10)</f>
        <v>P000001411</v>
      </c>
      <c r="M86" s="36" t="s">
        <v>8034</v>
      </c>
    </row>
    <row r="87" spans="1:13" hidden="1" x14ac:dyDescent="0.25">
      <c r="A87" s="42">
        <f t="shared" si="2"/>
        <v>86</v>
      </c>
      <c r="B87" s="36" t="s">
        <v>4</v>
      </c>
      <c r="C87" s="36" t="s">
        <v>7986</v>
      </c>
      <c r="D87" s="36" t="s">
        <v>8066</v>
      </c>
      <c r="E87" s="9" t="s">
        <v>8018</v>
      </c>
      <c r="F87" s="9" t="s">
        <v>2995</v>
      </c>
      <c r="G87" s="36" t="s">
        <v>14</v>
      </c>
      <c r="H87" s="36" t="s">
        <v>6455</v>
      </c>
      <c r="J87" s="36" t="s">
        <v>20</v>
      </c>
      <c r="K87" s="36" t="s">
        <v>8081</v>
      </c>
      <c r="L87" s="36" t="str">
        <f>LEFT(Table2[[#This Row],[Node]],10)</f>
        <v>P000001412</v>
      </c>
      <c r="M87" s="36" t="s">
        <v>8034</v>
      </c>
    </row>
    <row r="88" spans="1:13" hidden="1" x14ac:dyDescent="0.25">
      <c r="A88" s="42">
        <f t="shared" si="2"/>
        <v>87</v>
      </c>
      <c r="B88" s="36" t="s">
        <v>4</v>
      </c>
      <c r="C88" s="36" t="s">
        <v>7986</v>
      </c>
      <c r="D88" s="36" t="s">
        <v>8067</v>
      </c>
      <c r="E88" s="9" t="s">
        <v>8019</v>
      </c>
      <c r="F88" s="36" t="s">
        <v>8066</v>
      </c>
      <c r="G88" s="36" t="s">
        <v>14</v>
      </c>
      <c r="H88" s="36" t="s">
        <v>6455</v>
      </c>
      <c r="J88" s="36" t="s">
        <v>20</v>
      </c>
      <c r="K88" s="36" t="s">
        <v>8081</v>
      </c>
      <c r="L88" s="36" t="str">
        <f>LEFT(Table2[[#This Row],[Node]],10)</f>
        <v>P000001413</v>
      </c>
      <c r="M88" s="36" t="s">
        <v>8034</v>
      </c>
    </row>
    <row r="89" spans="1:13" hidden="1" x14ac:dyDescent="0.25">
      <c r="A89" s="42">
        <f t="shared" si="2"/>
        <v>88</v>
      </c>
      <c r="B89" s="36" t="s">
        <v>4</v>
      </c>
      <c r="C89" s="36" t="s">
        <v>7986</v>
      </c>
      <c r="D89" s="36" t="s">
        <v>8068</v>
      </c>
      <c r="E89" s="9" t="s">
        <v>8020</v>
      </c>
      <c r="F89" s="36" t="s">
        <v>8066</v>
      </c>
      <c r="G89" s="36" t="s">
        <v>14</v>
      </c>
      <c r="H89" s="36" t="s">
        <v>6455</v>
      </c>
      <c r="J89" s="36" t="s">
        <v>20</v>
      </c>
      <c r="K89" s="36" t="s">
        <v>8081</v>
      </c>
      <c r="L89" s="36" t="str">
        <f>LEFT(Table2[[#This Row],[Node]],10)</f>
        <v>P000001414</v>
      </c>
      <c r="M89" s="36" t="s">
        <v>8034</v>
      </c>
    </row>
    <row r="90" spans="1:13" hidden="1" x14ac:dyDescent="0.25">
      <c r="A90" s="42">
        <f t="shared" si="2"/>
        <v>89</v>
      </c>
      <c r="B90" s="36" t="s">
        <v>4</v>
      </c>
      <c r="C90" s="36" t="s">
        <v>7986</v>
      </c>
      <c r="D90" s="36" t="s">
        <v>8069</v>
      </c>
      <c r="E90" s="9" t="s">
        <v>8021</v>
      </c>
      <c r="F90" s="36" t="s">
        <v>8066</v>
      </c>
      <c r="G90" s="36" t="s">
        <v>14</v>
      </c>
      <c r="H90" s="36" t="s">
        <v>6455</v>
      </c>
      <c r="J90" s="36" t="s">
        <v>20</v>
      </c>
      <c r="K90" s="36" t="s">
        <v>8081</v>
      </c>
      <c r="L90" s="36" t="str">
        <f>LEFT(Table2[[#This Row],[Node]],10)</f>
        <v>P000001415</v>
      </c>
      <c r="M90" s="36" t="s">
        <v>8034</v>
      </c>
    </row>
    <row r="91" spans="1:13" hidden="1" x14ac:dyDescent="0.25">
      <c r="A91" s="42">
        <f t="shared" si="2"/>
        <v>90</v>
      </c>
      <c r="B91" s="36" t="s">
        <v>4</v>
      </c>
      <c r="C91" s="36" t="s">
        <v>7986</v>
      </c>
      <c r="D91" s="36" t="s">
        <v>2684</v>
      </c>
      <c r="F91" s="9" t="s">
        <v>3170</v>
      </c>
      <c r="G91" s="9" t="s">
        <v>13</v>
      </c>
      <c r="H91" s="36" t="s">
        <v>6455</v>
      </c>
      <c r="J91" s="36" t="s">
        <v>20</v>
      </c>
      <c r="K91" s="36" t="s">
        <v>8082</v>
      </c>
      <c r="L91" s="36" t="str">
        <f>LEFT(Table2[[#This Row],[Node]],10)</f>
        <v>P000000494</v>
      </c>
      <c r="M91" s="36" t="s">
        <v>8034</v>
      </c>
    </row>
    <row r="92" spans="1:13" hidden="1" x14ac:dyDescent="0.25">
      <c r="A92" s="42">
        <f t="shared" si="2"/>
        <v>91</v>
      </c>
      <c r="B92" s="36" t="s">
        <v>4</v>
      </c>
      <c r="C92" s="36" t="s">
        <v>7986</v>
      </c>
      <c r="D92" s="36" t="s">
        <v>2245</v>
      </c>
      <c r="F92" s="9" t="s">
        <v>8070</v>
      </c>
      <c r="G92" s="36" t="s">
        <v>13</v>
      </c>
      <c r="H92" s="36" t="s">
        <v>6455</v>
      </c>
      <c r="J92" s="36" t="s">
        <v>20</v>
      </c>
      <c r="K92" s="36" t="s">
        <v>8082</v>
      </c>
      <c r="L92" s="36" t="str">
        <f>LEFT(Table2[[#This Row],[Node]],10)</f>
        <v>P000000259</v>
      </c>
      <c r="M92" s="36" t="s">
        <v>8034</v>
      </c>
    </row>
    <row r="93" spans="1:13" hidden="1" x14ac:dyDescent="0.25">
      <c r="A93" s="42">
        <f t="shared" si="2"/>
        <v>92</v>
      </c>
      <c r="B93" s="36" t="s">
        <v>4</v>
      </c>
      <c r="C93" s="36" t="s">
        <v>7986</v>
      </c>
      <c r="D93" s="36" t="s">
        <v>2250</v>
      </c>
      <c r="F93" s="9" t="s">
        <v>8070</v>
      </c>
      <c r="G93" s="36" t="s">
        <v>13</v>
      </c>
      <c r="H93" s="36" t="s">
        <v>6455</v>
      </c>
      <c r="J93" s="36" t="s">
        <v>20</v>
      </c>
      <c r="K93" s="36" t="s">
        <v>8082</v>
      </c>
      <c r="L93" s="36" t="str">
        <f>LEFT(Table2[[#This Row],[Node]],10)</f>
        <v>P000000269</v>
      </c>
      <c r="M93" s="36" t="s">
        <v>8034</v>
      </c>
    </row>
    <row r="94" spans="1:13" hidden="1" x14ac:dyDescent="0.25">
      <c r="A94" s="42">
        <f t="shared" si="2"/>
        <v>93</v>
      </c>
      <c r="B94" s="36" t="s">
        <v>4</v>
      </c>
      <c r="C94" s="36" t="s">
        <v>7986</v>
      </c>
      <c r="D94" s="36" t="s">
        <v>2995</v>
      </c>
      <c r="F94" s="9" t="s">
        <v>2435</v>
      </c>
      <c r="G94" s="36" t="s">
        <v>13</v>
      </c>
      <c r="H94" s="36" t="s">
        <v>6455</v>
      </c>
      <c r="J94" s="36" t="s">
        <v>20</v>
      </c>
      <c r="K94" s="36" t="s">
        <v>8082</v>
      </c>
      <c r="L94" s="36" t="str">
        <f>LEFT(Table2[[#This Row],[Node]],10)</f>
        <v>P000000466</v>
      </c>
      <c r="M94" s="36" t="s">
        <v>8034</v>
      </c>
    </row>
    <row r="95" spans="1:13" hidden="1" x14ac:dyDescent="0.25">
      <c r="A95" s="42">
        <f t="shared" si="2"/>
        <v>94</v>
      </c>
      <c r="B95" s="36" t="s">
        <v>4</v>
      </c>
      <c r="C95" s="36" t="s">
        <v>7986</v>
      </c>
      <c r="D95" s="36" t="s">
        <v>2020</v>
      </c>
      <c r="F95" s="36" t="s">
        <v>8035</v>
      </c>
      <c r="G95" s="36" t="s">
        <v>13</v>
      </c>
      <c r="H95" s="36" t="s">
        <v>6455</v>
      </c>
      <c r="J95" s="36" t="s">
        <v>20</v>
      </c>
      <c r="K95" s="36" t="s">
        <v>8082</v>
      </c>
      <c r="L95" s="36" t="str">
        <f>LEFT(Table2[[#This Row],[Node]],10)</f>
        <v>P000000087</v>
      </c>
      <c r="M95" s="36" t="s">
        <v>8034</v>
      </c>
    </row>
    <row r="96" spans="1:13" hidden="1" x14ac:dyDescent="0.25">
      <c r="A96" s="42">
        <f t="shared" si="2"/>
        <v>95</v>
      </c>
      <c r="B96" s="36" t="s">
        <v>4</v>
      </c>
      <c r="C96" s="36" t="s">
        <v>7986</v>
      </c>
      <c r="D96" s="36" t="s">
        <v>2081</v>
      </c>
      <c r="F96" s="9" t="s">
        <v>2686</v>
      </c>
      <c r="G96" s="36" t="s">
        <v>13</v>
      </c>
      <c r="H96" s="36" t="s">
        <v>6455</v>
      </c>
      <c r="J96" s="36" t="s">
        <v>20</v>
      </c>
      <c r="K96" s="36" t="s">
        <v>8082</v>
      </c>
      <c r="L96" s="36" t="str">
        <f>LEFT(Table2[[#This Row],[Node]],10)</f>
        <v>P000000526</v>
      </c>
      <c r="M96" s="36" t="s">
        <v>8034</v>
      </c>
    </row>
    <row r="97" spans="1:13" hidden="1" x14ac:dyDescent="0.25">
      <c r="A97" s="42">
        <f t="shared" si="2"/>
        <v>96</v>
      </c>
      <c r="B97" s="36" t="s">
        <v>4</v>
      </c>
      <c r="C97" s="36" t="s">
        <v>7986</v>
      </c>
      <c r="D97" s="36" t="s">
        <v>2312</v>
      </c>
      <c r="F97" s="9" t="s">
        <v>2686</v>
      </c>
      <c r="G97" s="36" t="s">
        <v>13</v>
      </c>
      <c r="H97" s="36" t="s">
        <v>6455</v>
      </c>
      <c r="J97" s="36" t="s">
        <v>20</v>
      </c>
      <c r="K97" s="36" t="s">
        <v>8082</v>
      </c>
      <c r="L97" s="36" t="str">
        <f>LEFT(Table2[[#This Row],[Node]],10)</f>
        <v>P000000513</v>
      </c>
      <c r="M97" s="36" t="s">
        <v>8034</v>
      </c>
    </row>
    <row r="98" spans="1:13" hidden="1" x14ac:dyDescent="0.25">
      <c r="A98" s="42">
        <f t="shared" si="2"/>
        <v>97</v>
      </c>
      <c r="B98" s="36" t="s">
        <v>4</v>
      </c>
      <c r="C98" s="36" t="s">
        <v>7986</v>
      </c>
      <c r="D98" s="36" t="s">
        <v>2161</v>
      </c>
      <c r="F98" s="9" t="s">
        <v>2686</v>
      </c>
      <c r="G98" s="36" t="s">
        <v>13</v>
      </c>
      <c r="H98" s="36" t="s">
        <v>6455</v>
      </c>
      <c r="J98" s="36" t="s">
        <v>20</v>
      </c>
      <c r="K98" s="36" t="s">
        <v>8082</v>
      </c>
      <c r="L98" s="36" t="str">
        <f>LEFT(Table2[[#This Row],[Node]],10)</f>
        <v>P000000520</v>
      </c>
      <c r="M98" s="36" t="s">
        <v>8034</v>
      </c>
    </row>
    <row r="99" spans="1:13" hidden="1" x14ac:dyDescent="0.25">
      <c r="A99" s="42">
        <f t="shared" si="2"/>
        <v>98</v>
      </c>
      <c r="B99" s="36" t="s">
        <v>4</v>
      </c>
      <c r="C99" s="36" t="s">
        <v>7986</v>
      </c>
      <c r="D99" s="36" t="s">
        <v>2223</v>
      </c>
      <c r="F99" s="9" t="s">
        <v>2686</v>
      </c>
      <c r="G99" s="36" t="s">
        <v>13</v>
      </c>
      <c r="H99" s="36" t="s">
        <v>6455</v>
      </c>
      <c r="J99" s="36" t="s">
        <v>20</v>
      </c>
      <c r="K99" s="36" t="s">
        <v>8082</v>
      </c>
      <c r="L99" s="36" t="str">
        <f>LEFT(Table2[[#This Row],[Node]],10)</f>
        <v>P000000522</v>
      </c>
      <c r="M99" s="36" t="s">
        <v>8034</v>
      </c>
    </row>
    <row r="100" spans="1:13" hidden="1" x14ac:dyDescent="0.25">
      <c r="A100" s="42">
        <f t="shared" si="2"/>
        <v>99</v>
      </c>
      <c r="B100" s="36" t="s">
        <v>4</v>
      </c>
      <c r="C100" s="36" t="s">
        <v>7986</v>
      </c>
      <c r="D100" s="36" t="s">
        <v>8071</v>
      </c>
      <c r="F100" s="9" t="s">
        <v>2223</v>
      </c>
      <c r="G100" s="36" t="s">
        <v>13</v>
      </c>
      <c r="H100" s="36" t="s">
        <v>6455</v>
      </c>
      <c r="J100" s="36" t="s">
        <v>20</v>
      </c>
      <c r="K100" s="36" t="s">
        <v>8082</v>
      </c>
      <c r="L100" s="36" t="str">
        <f>LEFT(Table2[[#This Row],[Node]],10)</f>
        <v>P000001171</v>
      </c>
      <c r="M100" s="36" t="s">
        <v>8034</v>
      </c>
    </row>
    <row r="101" spans="1:13" hidden="1" x14ac:dyDescent="0.25">
      <c r="A101" s="42">
        <f t="shared" si="2"/>
        <v>100</v>
      </c>
      <c r="B101" s="36" t="s">
        <v>4</v>
      </c>
      <c r="C101" s="36" t="s">
        <v>7986</v>
      </c>
      <c r="D101" s="36" t="s">
        <v>4357</v>
      </c>
      <c r="F101" s="9" t="s">
        <v>2674</v>
      </c>
      <c r="G101" s="36" t="s">
        <v>13</v>
      </c>
      <c r="H101" s="36" t="s">
        <v>6455</v>
      </c>
      <c r="J101" s="36" t="s">
        <v>20</v>
      </c>
      <c r="K101" s="36" t="s">
        <v>8082</v>
      </c>
      <c r="L101" s="36" t="str">
        <f>LEFT(Table2[[#This Row],[Node]],10)</f>
        <v>P000000506</v>
      </c>
      <c r="M101" s="36" t="s">
        <v>8034</v>
      </c>
    </row>
    <row r="102" spans="1:13" hidden="1" x14ac:dyDescent="0.25">
      <c r="A102" s="42">
        <f t="shared" si="2"/>
        <v>101</v>
      </c>
      <c r="B102" s="36" t="s">
        <v>4</v>
      </c>
      <c r="C102" s="36" t="s">
        <v>7986</v>
      </c>
      <c r="D102" s="36" t="s">
        <v>4868</v>
      </c>
      <c r="F102" s="9" t="s">
        <v>2674</v>
      </c>
      <c r="G102" s="36" t="s">
        <v>13</v>
      </c>
      <c r="H102" s="36" t="s">
        <v>6455</v>
      </c>
      <c r="J102" s="36" t="s">
        <v>20</v>
      </c>
      <c r="K102" s="36" t="s">
        <v>8082</v>
      </c>
      <c r="L102" s="36" t="str">
        <f>LEFT(Table2[[#This Row],[Node]],10)</f>
        <v>P000001280</v>
      </c>
      <c r="M102" s="36" t="s">
        <v>8034</v>
      </c>
    </row>
    <row r="103" spans="1:13" hidden="1" x14ac:dyDescent="0.25">
      <c r="A103" s="42">
        <f t="shared" si="2"/>
        <v>102</v>
      </c>
      <c r="B103" s="36" t="s">
        <v>4</v>
      </c>
      <c r="C103" s="36" t="s">
        <v>7986</v>
      </c>
      <c r="D103" s="36" t="s">
        <v>8072</v>
      </c>
      <c r="F103" s="9" t="s">
        <v>4868</v>
      </c>
      <c r="G103" s="36" t="s">
        <v>13</v>
      </c>
      <c r="H103" s="36" t="s">
        <v>6455</v>
      </c>
      <c r="J103" s="36" t="s">
        <v>20</v>
      </c>
      <c r="K103" s="36" t="s">
        <v>8082</v>
      </c>
      <c r="L103" s="36" t="str">
        <f>LEFT(Table2[[#This Row],[Node]],10)</f>
        <v>P000001146</v>
      </c>
      <c r="M103" s="36" t="s">
        <v>8034</v>
      </c>
    </row>
    <row r="104" spans="1:13" hidden="1" x14ac:dyDescent="0.25">
      <c r="A104" s="42">
        <f t="shared" si="2"/>
        <v>103</v>
      </c>
      <c r="B104" s="36" t="s">
        <v>4</v>
      </c>
      <c r="C104" s="36" t="s">
        <v>7986</v>
      </c>
      <c r="D104" s="36" t="s">
        <v>8073</v>
      </c>
      <c r="F104" s="9" t="s">
        <v>4868</v>
      </c>
      <c r="G104" s="36" t="s">
        <v>13</v>
      </c>
      <c r="H104" s="36" t="s">
        <v>6455</v>
      </c>
      <c r="J104" s="36" t="s">
        <v>20</v>
      </c>
      <c r="K104" s="36" t="s">
        <v>8082</v>
      </c>
      <c r="L104" s="36" t="str">
        <f>LEFT(Table2[[#This Row],[Node]],10)</f>
        <v>P000001150</v>
      </c>
      <c r="M104" s="36" t="s">
        <v>8034</v>
      </c>
    </row>
    <row r="105" spans="1:13" hidden="1" x14ac:dyDescent="0.25">
      <c r="A105" s="42">
        <f t="shared" si="2"/>
        <v>104</v>
      </c>
      <c r="B105" s="36" t="s">
        <v>4</v>
      </c>
      <c r="C105" s="36" t="s">
        <v>7986</v>
      </c>
      <c r="D105" s="36" t="s">
        <v>8074</v>
      </c>
      <c r="F105" s="9" t="s">
        <v>4868</v>
      </c>
      <c r="G105" s="36" t="s">
        <v>13</v>
      </c>
      <c r="H105" s="36" t="s">
        <v>6455</v>
      </c>
      <c r="J105" s="36" t="s">
        <v>20</v>
      </c>
      <c r="K105" s="36" t="s">
        <v>8082</v>
      </c>
      <c r="L105" s="36" t="str">
        <f>LEFT(Table2[[#This Row],[Node]],10)</f>
        <v>P000001154</v>
      </c>
      <c r="M105" s="36" t="s">
        <v>8034</v>
      </c>
    </row>
    <row r="106" spans="1:13" hidden="1" x14ac:dyDescent="0.25">
      <c r="A106" s="42">
        <f t="shared" si="2"/>
        <v>105</v>
      </c>
      <c r="B106" s="36" t="s">
        <v>4</v>
      </c>
      <c r="C106" s="36" t="s">
        <v>7986</v>
      </c>
      <c r="D106" s="36" t="s">
        <v>2079</v>
      </c>
      <c r="F106" s="36" t="s">
        <v>8044</v>
      </c>
      <c r="G106" s="36" t="s">
        <v>13</v>
      </c>
      <c r="H106" s="36" t="s">
        <v>6455</v>
      </c>
      <c r="J106" s="36" t="s">
        <v>20</v>
      </c>
      <c r="K106" s="36" t="s">
        <v>8082</v>
      </c>
      <c r="L106" s="36" t="str">
        <f>LEFT(Table2[[#This Row],[Node]],10)</f>
        <v>P000000800</v>
      </c>
      <c r="M106" s="36" t="s">
        <v>8034</v>
      </c>
    </row>
    <row r="107" spans="1:13" hidden="1" x14ac:dyDescent="0.25">
      <c r="A107" s="42">
        <f t="shared" si="2"/>
        <v>106</v>
      </c>
      <c r="B107" s="36" t="s">
        <v>4</v>
      </c>
      <c r="C107" s="36" t="s">
        <v>7986</v>
      </c>
      <c r="D107" s="36" t="s">
        <v>2310</v>
      </c>
      <c r="F107" s="36" t="s">
        <v>8044</v>
      </c>
      <c r="G107" s="36" t="s">
        <v>13</v>
      </c>
      <c r="H107" s="36" t="s">
        <v>6455</v>
      </c>
      <c r="J107" s="36" t="s">
        <v>20</v>
      </c>
      <c r="K107" s="36" t="s">
        <v>8082</v>
      </c>
      <c r="L107" s="36" t="str">
        <f>LEFT(Table2[[#This Row],[Node]],10)</f>
        <v>P000000904</v>
      </c>
      <c r="M107" s="36" t="s">
        <v>8034</v>
      </c>
    </row>
    <row r="108" spans="1:13" hidden="1" x14ac:dyDescent="0.25">
      <c r="A108" s="42">
        <f t="shared" si="2"/>
        <v>107</v>
      </c>
      <c r="B108" s="36" t="s">
        <v>4</v>
      </c>
      <c r="C108" s="36" t="s">
        <v>7986</v>
      </c>
      <c r="D108" s="36" t="s">
        <v>2221</v>
      </c>
      <c r="F108" s="9" t="s">
        <v>8045</v>
      </c>
      <c r="G108" s="36" t="s">
        <v>13</v>
      </c>
      <c r="H108" s="36" t="s">
        <v>6455</v>
      </c>
      <c r="J108" s="36" t="s">
        <v>20</v>
      </c>
      <c r="K108" s="36" t="s">
        <v>8082</v>
      </c>
      <c r="L108" s="36" t="str">
        <f>LEFT(Table2[[#This Row],[Node]],10)</f>
        <v>P000000865</v>
      </c>
      <c r="M108" s="36" t="s">
        <v>8034</v>
      </c>
    </row>
    <row r="109" spans="1:13" hidden="1" x14ac:dyDescent="0.25">
      <c r="A109" s="42">
        <f t="shared" si="2"/>
        <v>108</v>
      </c>
      <c r="B109" s="36" t="s">
        <v>4</v>
      </c>
      <c r="C109" s="36" t="s">
        <v>7986</v>
      </c>
      <c r="D109" s="36" t="s">
        <v>2159</v>
      </c>
      <c r="F109" s="9" t="s">
        <v>8045</v>
      </c>
      <c r="G109" s="36" t="s">
        <v>13</v>
      </c>
      <c r="H109" s="36" t="s">
        <v>6455</v>
      </c>
      <c r="J109" s="36" t="s">
        <v>20</v>
      </c>
      <c r="K109" s="36" t="s">
        <v>8082</v>
      </c>
      <c r="L109" s="36" t="str">
        <f>LEFT(Table2[[#This Row],[Node]],10)</f>
        <v>P000000837</v>
      </c>
      <c r="M109" s="36" t="s">
        <v>8034</v>
      </c>
    </row>
    <row r="110" spans="1:13" hidden="1" x14ac:dyDescent="0.25">
      <c r="A110" s="42">
        <f t="shared" si="2"/>
        <v>109</v>
      </c>
      <c r="B110" s="36" t="s">
        <v>4</v>
      </c>
      <c r="C110" s="36" t="s">
        <v>7986</v>
      </c>
      <c r="D110" s="36" t="s">
        <v>4359</v>
      </c>
      <c r="F110" s="9" t="s">
        <v>8045</v>
      </c>
      <c r="G110" s="36" t="s">
        <v>13</v>
      </c>
      <c r="H110" s="36" t="s">
        <v>6455</v>
      </c>
      <c r="J110" s="36" t="s">
        <v>20</v>
      </c>
      <c r="K110" s="36" t="s">
        <v>8082</v>
      </c>
      <c r="L110" s="36" t="str">
        <f>LEFT(Table2[[#This Row],[Node]],10)</f>
        <v>P000000507</v>
      </c>
      <c r="M110" s="36" t="s">
        <v>8034</v>
      </c>
    </row>
    <row r="111" spans="1:13" hidden="1" x14ac:dyDescent="0.25">
      <c r="A111" s="42">
        <f t="shared" si="2"/>
        <v>110</v>
      </c>
      <c r="B111" s="36" t="s">
        <v>4</v>
      </c>
      <c r="C111" s="36" t="s">
        <v>7986</v>
      </c>
      <c r="D111" s="36" t="s">
        <v>4873</v>
      </c>
      <c r="F111" s="9" t="s">
        <v>2682</v>
      </c>
      <c r="G111" s="36" t="s">
        <v>13</v>
      </c>
      <c r="H111" s="36" t="s">
        <v>6455</v>
      </c>
      <c r="J111" s="36" t="s">
        <v>20</v>
      </c>
      <c r="K111" s="36" t="s">
        <v>8082</v>
      </c>
      <c r="L111" s="36" t="str">
        <f>LEFT(Table2[[#This Row],[Node]],10)</f>
        <v>P000001283</v>
      </c>
      <c r="M111" s="36" t="s">
        <v>8034</v>
      </c>
    </row>
    <row r="112" spans="1:13" hidden="1" x14ac:dyDescent="0.25">
      <c r="A112" s="42">
        <f t="shared" si="2"/>
        <v>111</v>
      </c>
      <c r="B112" s="36" t="s">
        <v>4</v>
      </c>
      <c r="C112" s="36" t="s">
        <v>7986</v>
      </c>
      <c r="D112" s="36" t="s">
        <v>2676</v>
      </c>
      <c r="F112" s="36" t="s">
        <v>8048</v>
      </c>
      <c r="G112" s="36" t="s">
        <v>13</v>
      </c>
      <c r="H112" s="36" t="s">
        <v>6455</v>
      </c>
      <c r="J112" s="36" t="s">
        <v>20</v>
      </c>
      <c r="K112" s="36" t="s">
        <v>8082</v>
      </c>
      <c r="L112" s="36" t="str">
        <f>LEFT(Table2[[#This Row],[Node]],10)</f>
        <v>P000000478</v>
      </c>
      <c r="M112" s="36" t="s">
        <v>8034</v>
      </c>
    </row>
    <row r="113" spans="1:13" hidden="1" x14ac:dyDescent="0.25">
      <c r="A113" s="42">
        <f t="shared" si="2"/>
        <v>112</v>
      </c>
      <c r="B113" s="36" t="s">
        <v>4</v>
      </c>
      <c r="C113" s="36" t="s">
        <v>7986</v>
      </c>
      <c r="D113" s="36" t="s">
        <v>2732</v>
      </c>
      <c r="F113" s="36" t="s">
        <v>8048</v>
      </c>
      <c r="G113" s="36" t="s">
        <v>13</v>
      </c>
      <c r="H113" s="36" t="s">
        <v>6455</v>
      </c>
      <c r="J113" s="36" t="s">
        <v>20</v>
      </c>
      <c r="K113" s="36" t="s">
        <v>8082</v>
      </c>
      <c r="L113" s="36" t="str">
        <f>LEFT(Table2[[#This Row],[Node]],10)</f>
        <v>P000000584</v>
      </c>
      <c r="M113" s="36" t="s">
        <v>8034</v>
      </c>
    </row>
    <row r="114" spans="1:13" hidden="1" x14ac:dyDescent="0.25">
      <c r="A114" s="42">
        <f t="shared" si="2"/>
        <v>113</v>
      </c>
      <c r="B114" s="36" t="s">
        <v>4</v>
      </c>
      <c r="C114" s="36" t="s">
        <v>7986</v>
      </c>
      <c r="D114" s="36" t="s">
        <v>4871</v>
      </c>
      <c r="F114" s="9" t="s">
        <v>2732</v>
      </c>
      <c r="G114" s="36" t="s">
        <v>13</v>
      </c>
      <c r="H114" s="36" t="s">
        <v>6455</v>
      </c>
      <c r="J114" s="36" t="s">
        <v>20</v>
      </c>
      <c r="K114" s="36" t="s">
        <v>8082</v>
      </c>
      <c r="L114" s="36" t="str">
        <f>LEFT(Table2[[#This Row],[Node]],10)</f>
        <v>P000001282</v>
      </c>
      <c r="M114" s="36" t="s">
        <v>8034</v>
      </c>
    </row>
    <row r="115" spans="1:13" hidden="1" x14ac:dyDescent="0.25">
      <c r="A115" s="42">
        <f t="shared" si="2"/>
        <v>114</v>
      </c>
      <c r="B115" s="36" t="s">
        <v>4</v>
      </c>
      <c r="C115" s="36" t="s">
        <v>7986</v>
      </c>
      <c r="D115" s="36" t="s">
        <v>2025</v>
      </c>
      <c r="F115" s="9" t="s">
        <v>8054</v>
      </c>
      <c r="G115" s="36" t="s">
        <v>13</v>
      </c>
      <c r="H115" s="36" t="s">
        <v>6455</v>
      </c>
      <c r="J115" s="36" t="s">
        <v>20</v>
      </c>
      <c r="K115" s="36" t="s">
        <v>8082</v>
      </c>
      <c r="L115" s="36" t="str">
        <f>LEFT(Table2[[#This Row],[Node]],10)</f>
        <v>P000000097</v>
      </c>
      <c r="M115" s="36" t="s">
        <v>8034</v>
      </c>
    </row>
    <row r="116" spans="1:13" hidden="1" x14ac:dyDescent="0.25">
      <c r="A116" s="42">
        <f t="shared" si="2"/>
        <v>115</v>
      </c>
      <c r="B116" s="36" t="s">
        <v>4</v>
      </c>
      <c r="C116" s="36" t="s">
        <v>7986</v>
      </c>
      <c r="D116" s="36" t="s">
        <v>2045</v>
      </c>
      <c r="F116" s="9" t="s">
        <v>8054</v>
      </c>
      <c r="G116" s="36" t="s">
        <v>13</v>
      </c>
      <c r="H116" s="36" t="s">
        <v>6455</v>
      </c>
      <c r="J116" s="36" t="s">
        <v>20</v>
      </c>
      <c r="K116" s="36" t="s">
        <v>8082</v>
      </c>
      <c r="L116" s="36" t="str">
        <f>LEFT(Table2[[#This Row],[Node]],10)</f>
        <v>P000000137</v>
      </c>
      <c r="M116" s="36" t="s">
        <v>8034</v>
      </c>
    </row>
    <row r="117" spans="1:13" hidden="1" x14ac:dyDescent="0.25">
      <c r="A117" s="42">
        <f t="shared" si="2"/>
        <v>116</v>
      </c>
      <c r="B117" s="36" t="s">
        <v>4</v>
      </c>
      <c r="C117" s="36" t="s">
        <v>7986</v>
      </c>
      <c r="D117" s="36" t="s">
        <v>2030</v>
      </c>
      <c r="F117" s="9" t="s">
        <v>8056</v>
      </c>
      <c r="G117" s="36" t="s">
        <v>13</v>
      </c>
      <c r="H117" s="36" t="s">
        <v>6455</v>
      </c>
      <c r="J117" s="36" t="s">
        <v>20</v>
      </c>
      <c r="K117" s="36" t="s">
        <v>8082</v>
      </c>
      <c r="L117" s="36" t="str">
        <f>LEFT(Table2[[#This Row],[Node]],10)</f>
        <v>P000000107</v>
      </c>
      <c r="M117" s="36" t="s">
        <v>8034</v>
      </c>
    </row>
    <row r="118" spans="1:13" hidden="1" x14ac:dyDescent="0.25">
      <c r="A118" s="42">
        <f t="shared" si="2"/>
        <v>117</v>
      </c>
      <c r="B118" s="36" t="s">
        <v>4</v>
      </c>
      <c r="C118" s="36" t="s">
        <v>7986</v>
      </c>
      <c r="D118" s="36" t="s">
        <v>2035</v>
      </c>
      <c r="F118" s="9" t="s">
        <v>8056</v>
      </c>
      <c r="G118" s="36" t="s">
        <v>13</v>
      </c>
      <c r="H118" s="36" t="s">
        <v>6455</v>
      </c>
      <c r="J118" s="36" t="s">
        <v>20</v>
      </c>
      <c r="K118" s="36" t="s">
        <v>8082</v>
      </c>
      <c r="L118" s="36" t="str">
        <f>LEFT(Table2[[#This Row],[Node]],10)</f>
        <v>P000000117</v>
      </c>
      <c r="M118" s="36" t="s">
        <v>8034</v>
      </c>
    </row>
    <row r="119" spans="1:13" hidden="1" x14ac:dyDescent="0.25">
      <c r="A119" s="42">
        <f t="shared" si="2"/>
        <v>118</v>
      </c>
      <c r="B119" s="36" t="s">
        <v>4</v>
      </c>
      <c r="C119" s="36" t="s">
        <v>7986</v>
      </c>
      <c r="D119" s="36" t="s">
        <v>2177</v>
      </c>
      <c r="F119" s="9" t="s">
        <v>8058</v>
      </c>
      <c r="G119" s="36" t="s">
        <v>13</v>
      </c>
      <c r="H119" s="36" t="s">
        <v>6455</v>
      </c>
      <c r="J119" s="36" t="s">
        <v>20</v>
      </c>
      <c r="K119" s="36" t="s">
        <v>8082</v>
      </c>
      <c r="L119" s="36" t="str">
        <f>LEFT(Table2[[#This Row],[Node]],10)</f>
        <v>P000000229</v>
      </c>
      <c r="M119" s="36" t="s">
        <v>8034</v>
      </c>
    </row>
    <row r="120" spans="1:13" hidden="1" x14ac:dyDescent="0.25">
      <c r="A120" s="42">
        <f t="shared" si="2"/>
        <v>119</v>
      </c>
      <c r="B120" s="36" t="s">
        <v>4</v>
      </c>
      <c r="C120" s="36" t="s">
        <v>7986</v>
      </c>
      <c r="D120" s="36" t="s">
        <v>8075</v>
      </c>
      <c r="F120" s="9" t="s">
        <v>8058</v>
      </c>
      <c r="G120" s="36" t="s">
        <v>13</v>
      </c>
      <c r="H120" s="36" t="s">
        <v>6455</v>
      </c>
      <c r="J120" s="36" t="s">
        <v>20</v>
      </c>
      <c r="K120" s="36" t="s">
        <v>8082</v>
      </c>
      <c r="L120" s="36" t="str">
        <f>LEFT(Table2[[#This Row],[Node]],10)</f>
        <v>P000000521</v>
      </c>
      <c r="M120" s="36" t="s">
        <v>8034</v>
      </c>
    </row>
    <row r="121" spans="1:13" hidden="1" x14ac:dyDescent="0.25">
      <c r="A121" s="42">
        <f t="shared" si="2"/>
        <v>120</v>
      </c>
      <c r="B121" s="36" t="s">
        <v>4</v>
      </c>
      <c r="C121" s="36" t="s">
        <v>7986</v>
      </c>
      <c r="D121" s="36" t="s">
        <v>2015</v>
      </c>
      <c r="F121" s="9" t="s">
        <v>8059</v>
      </c>
      <c r="G121" s="36" t="s">
        <v>13</v>
      </c>
      <c r="H121" s="36" t="s">
        <v>6455</v>
      </c>
      <c r="J121" s="36" t="s">
        <v>20</v>
      </c>
      <c r="K121" s="36" t="s">
        <v>8082</v>
      </c>
      <c r="L121" s="36" t="str">
        <f>LEFT(Table2[[#This Row],[Node]],10)</f>
        <v>P000000056</v>
      </c>
      <c r="M121" s="36" t="s">
        <v>8034</v>
      </c>
    </row>
    <row r="122" spans="1:13" hidden="1" x14ac:dyDescent="0.25">
      <c r="A122" s="42">
        <f t="shared" si="2"/>
        <v>121</v>
      </c>
      <c r="B122" s="36" t="s">
        <v>4</v>
      </c>
      <c r="C122" s="36" t="s">
        <v>7986</v>
      </c>
      <c r="D122" s="36" t="s">
        <v>5834</v>
      </c>
      <c r="F122" s="9" t="s">
        <v>8059</v>
      </c>
      <c r="G122" s="36" t="s">
        <v>13</v>
      </c>
      <c r="H122" s="36" t="s">
        <v>6455</v>
      </c>
      <c r="J122" s="36" t="s">
        <v>20</v>
      </c>
      <c r="K122" s="36" t="s">
        <v>8082</v>
      </c>
      <c r="L122" s="36" t="str">
        <f>LEFT(Table2[[#This Row],[Node]],10)</f>
        <v>P000001168</v>
      </c>
      <c r="M122" s="36" t="s">
        <v>8034</v>
      </c>
    </row>
    <row r="123" spans="1:13" hidden="1" x14ac:dyDescent="0.25">
      <c r="A123" s="42">
        <f t="shared" si="2"/>
        <v>122</v>
      </c>
      <c r="B123" s="36" t="s">
        <v>4</v>
      </c>
      <c r="C123" s="36" t="s">
        <v>7986</v>
      </c>
      <c r="D123" s="36" t="s">
        <v>2182</v>
      </c>
      <c r="F123" s="9" t="s">
        <v>8059</v>
      </c>
      <c r="G123" s="36" t="s">
        <v>13</v>
      </c>
      <c r="H123" s="36" t="s">
        <v>6455</v>
      </c>
      <c r="J123" s="36" t="s">
        <v>20</v>
      </c>
      <c r="K123" s="36" t="s">
        <v>8082</v>
      </c>
      <c r="L123" s="36" t="str">
        <f>LEFT(Table2[[#This Row],[Node]],10)</f>
        <v>P000000239</v>
      </c>
      <c r="M123" s="36" t="s">
        <v>8034</v>
      </c>
    </row>
    <row r="124" spans="1:13" hidden="1" x14ac:dyDescent="0.25">
      <c r="A124" s="42">
        <f t="shared" si="2"/>
        <v>123</v>
      </c>
      <c r="B124" s="36" t="s">
        <v>4</v>
      </c>
      <c r="C124" s="36" t="s">
        <v>7986</v>
      </c>
      <c r="D124" s="36" t="s">
        <v>2187</v>
      </c>
      <c r="F124" s="9" t="s">
        <v>8062</v>
      </c>
      <c r="G124" s="36" t="s">
        <v>13</v>
      </c>
      <c r="H124" s="36" t="s">
        <v>6455</v>
      </c>
      <c r="J124" s="36" t="s">
        <v>20</v>
      </c>
      <c r="K124" s="36" t="s">
        <v>8082</v>
      </c>
      <c r="L124" s="36" t="str">
        <f>LEFT(Table2[[#This Row],[Node]],10)</f>
        <v>P000000279</v>
      </c>
      <c r="M124" s="36" t="s">
        <v>8034</v>
      </c>
    </row>
    <row r="125" spans="1:13" hidden="1" x14ac:dyDescent="0.25">
      <c r="A125" s="42">
        <f t="shared" si="2"/>
        <v>124</v>
      </c>
      <c r="B125" s="36" t="s">
        <v>4</v>
      </c>
      <c r="C125" s="36" t="s">
        <v>7986</v>
      </c>
      <c r="D125" s="36" t="s">
        <v>2287</v>
      </c>
      <c r="F125" s="9" t="s">
        <v>8062</v>
      </c>
      <c r="G125" s="36" t="s">
        <v>13</v>
      </c>
      <c r="H125" s="36" t="s">
        <v>6455</v>
      </c>
      <c r="J125" s="36" t="s">
        <v>20</v>
      </c>
      <c r="K125" s="36" t="s">
        <v>8082</v>
      </c>
      <c r="L125" s="36" t="str">
        <f>LEFT(Table2[[#This Row],[Node]],10)</f>
        <v>P000000525</v>
      </c>
      <c r="M125" s="36" t="s">
        <v>8034</v>
      </c>
    </row>
    <row r="126" spans="1:13" hidden="1" x14ac:dyDescent="0.25">
      <c r="A126" s="42">
        <f t="shared" si="2"/>
        <v>125</v>
      </c>
      <c r="B126" s="36" t="s">
        <v>4</v>
      </c>
      <c r="C126" s="36" t="s">
        <v>7986</v>
      </c>
      <c r="D126" s="36" t="s">
        <v>2040</v>
      </c>
      <c r="F126" s="9" t="s">
        <v>8062</v>
      </c>
      <c r="G126" s="36" t="s">
        <v>13</v>
      </c>
      <c r="H126" s="36" t="s">
        <v>6455</v>
      </c>
      <c r="J126" s="36" t="s">
        <v>20</v>
      </c>
      <c r="K126" s="36" t="s">
        <v>8082</v>
      </c>
      <c r="L126" s="36" t="str">
        <f>LEFT(Table2[[#This Row],[Node]],10)</f>
        <v>P000000127</v>
      </c>
      <c r="M126" s="36" t="s">
        <v>8034</v>
      </c>
    </row>
    <row r="127" spans="1:13" hidden="1" x14ac:dyDescent="0.25">
      <c r="A127" s="42">
        <f t="shared" si="2"/>
        <v>126</v>
      </c>
      <c r="B127" s="36" t="s">
        <v>4</v>
      </c>
      <c r="C127" s="36" t="s">
        <v>7986</v>
      </c>
      <c r="D127" s="36" t="s">
        <v>2273</v>
      </c>
      <c r="F127" s="9" t="s">
        <v>8063</v>
      </c>
      <c r="G127" s="36" t="s">
        <v>13</v>
      </c>
      <c r="H127" s="36" t="s">
        <v>6455</v>
      </c>
      <c r="J127" s="36" t="s">
        <v>20</v>
      </c>
      <c r="K127" s="36" t="s">
        <v>8082</v>
      </c>
      <c r="L127" s="36" t="str">
        <f>LEFT(Table2[[#This Row],[Node]],10)</f>
        <v>P000000524</v>
      </c>
      <c r="M127" s="36" t="s">
        <v>8034</v>
      </c>
    </row>
    <row r="128" spans="1:13" hidden="1" x14ac:dyDescent="0.25">
      <c r="A128" s="42">
        <f t="shared" si="2"/>
        <v>127</v>
      </c>
      <c r="B128" s="36" t="s">
        <v>4</v>
      </c>
      <c r="C128" s="36" t="s">
        <v>7986</v>
      </c>
      <c r="D128" s="36" t="s">
        <v>2255</v>
      </c>
      <c r="F128" s="9" t="s">
        <v>8063</v>
      </c>
      <c r="G128" s="36" t="s">
        <v>13</v>
      </c>
      <c r="H128" s="36" t="s">
        <v>6455</v>
      </c>
      <c r="J128" s="36" t="s">
        <v>20</v>
      </c>
      <c r="K128" s="36" t="s">
        <v>8082</v>
      </c>
      <c r="L128" s="36" t="str">
        <f>LEFT(Table2[[#This Row],[Node]],10)</f>
        <v>P000000523</v>
      </c>
      <c r="M128" s="36" t="s">
        <v>8034</v>
      </c>
    </row>
    <row r="129" spans="1:13" hidden="1" x14ac:dyDescent="0.25">
      <c r="A129" s="42">
        <f t="shared" si="2"/>
        <v>128</v>
      </c>
      <c r="B129" s="36" t="s">
        <v>4</v>
      </c>
      <c r="C129" s="36" t="s">
        <v>7986</v>
      </c>
      <c r="D129" s="36" t="s">
        <v>2172</v>
      </c>
      <c r="F129" s="9" t="s">
        <v>8063</v>
      </c>
      <c r="G129" s="36" t="s">
        <v>13</v>
      </c>
      <c r="H129" s="36" t="s">
        <v>6455</v>
      </c>
      <c r="J129" s="36" t="s">
        <v>20</v>
      </c>
      <c r="K129" s="36" t="s">
        <v>8082</v>
      </c>
      <c r="L129" s="36" t="str">
        <f>LEFT(Table2[[#This Row],[Node]],10)</f>
        <v>P000000209</v>
      </c>
      <c r="M129" s="36" t="s">
        <v>8034</v>
      </c>
    </row>
    <row r="130" spans="1:13" hidden="1" x14ac:dyDescent="0.25">
      <c r="A130" s="42">
        <f t="shared" si="2"/>
        <v>129</v>
      </c>
      <c r="B130" s="36" t="s">
        <v>4</v>
      </c>
      <c r="C130" s="36" t="s">
        <v>7986</v>
      </c>
      <c r="D130" s="36" t="s">
        <v>4865</v>
      </c>
      <c r="F130" s="9" t="s">
        <v>8065</v>
      </c>
      <c r="G130" s="36" t="s">
        <v>13</v>
      </c>
      <c r="H130" s="36" t="s">
        <v>6455</v>
      </c>
      <c r="J130" s="36" t="s">
        <v>20</v>
      </c>
      <c r="K130" s="36" t="s">
        <v>8082</v>
      </c>
      <c r="L130" s="36" t="str">
        <f>LEFT(Table2[[#This Row],[Node]],10)</f>
        <v>P000001278</v>
      </c>
      <c r="M130" s="36" t="s">
        <v>8034</v>
      </c>
    </row>
    <row r="131" spans="1:13" hidden="1" x14ac:dyDescent="0.25">
      <c r="A131" s="42">
        <f t="shared" si="2"/>
        <v>130</v>
      </c>
      <c r="B131" s="36" t="s">
        <v>4</v>
      </c>
      <c r="C131" s="36" t="s">
        <v>7986</v>
      </c>
      <c r="D131" s="36" t="s">
        <v>2443</v>
      </c>
      <c r="F131" s="9" t="s">
        <v>8065</v>
      </c>
      <c r="G131" s="36" t="s">
        <v>13</v>
      </c>
      <c r="H131" s="36" t="s">
        <v>6455</v>
      </c>
      <c r="J131" s="36" t="s">
        <v>20</v>
      </c>
      <c r="K131" s="36" t="s">
        <v>8082</v>
      </c>
      <c r="L131" s="36" t="str">
        <f>LEFT(Table2[[#This Row],[Node]],10)</f>
        <v>P000000966</v>
      </c>
      <c r="M131" s="36" t="s">
        <v>8034</v>
      </c>
    </row>
    <row r="132" spans="1:13" hidden="1" x14ac:dyDescent="0.25">
      <c r="A132" s="42">
        <f t="shared" si="2"/>
        <v>131</v>
      </c>
      <c r="B132" s="36" t="s">
        <v>4</v>
      </c>
      <c r="C132" s="36" t="s">
        <v>7986</v>
      </c>
      <c r="D132" s="36" t="s">
        <v>2501</v>
      </c>
      <c r="F132" s="9" t="s">
        <v>2443</v>
      </c>
      <c r="G132" s="36" t="s">
        <v>13</v>
      </c>
      <c r="H132" s="36" t="s">
        <v>6455</v>
      </c>
      <c r="J132" s="36" t="s">
        <v>20</v>
      </c>
      <c r="K132" s="36" t="s">
        <v>8082</v>
      </c>
      <c r="L132" s="36" t="str">
        <f>LEFT(Table2[[#This Row],[Node]],10)</f>
        <v>P000000994</v>
      </c>
      <c r="M132" s="36" t="s">
        <v>8034</v>
      </c>
    </row>
    <row r="133" spans="1:13" hidden="1" x14ac:dyDescent="0.25">
      <c r="A133" s="42">
        <f t="shared" si="2"/>
        <v>132</v>
      </c>
      <c r="B133" s="36" t="s">
        <v>4</v>
      </c>
      <c r="C133" s="36" t="s">
        <v>7986</v>
      </c>
      <c r="D133" s="36" t="s">
        <v>2474</v>
      </c>
      <c r="F133" s="9" t="s">
        <v>2443</v>
      </c>
      <c r="G133" s="36" t="s">
        <v>13</v>
      </c>
      <c r="H133" s="36" t="s">
        <v>6455</v>
      </c>
      <c r="J133" s="36" t="s">
        <v>20</v>
      </c>
      <c r="K133" s="36" t="s">
        <v>8082</v>
      </c>
      <c r="L133" s="36" t="str">
        <f>LEFT(Table2[[#This Row],[Node]],10)</f>
        <v>P000000981</v>
      </c>
      <c r="M133" s="36" t="s">
        <v>8034</v>
      </c>
    </row>
    <row r="134" spans="1:13" hidden="1" x14ac:dyDescent="0.25">
      <c r="A134" s="42">
        <f t="shared" si="2"/>
        <v>133</v>
      </c>
      <c r="B134" s="36" t="s">
        <v>4</v>
      </c>
      <c r="C134" s="36" t="s">
        <v>7986</v>
      </c>
      <c r="D134" s="36" t="s">
        <v>2484</v>
      </c>
      <c r="F134" s="9" t="s">
        <v>2443</v>
      </c>
      <c r="G134" s="36" t="s">
        <v>13</v>
      </c>
      <c r="H134" s="36" t="s">
        <v>6455</v>
      </c>
      <c r="J134" s="36" t="s">
        <v>20</v>
      </c>
      <c r="K134" s="36" t="s">
        <v>8082</v>
      </c>
      <c r="L134" s="36" t="str">
        <f>LEFT(Table2[[#This Row],[Node]],10)</f>
        <v>P000000986</v>
      </c>
      <c r="M134" s="36" t="s">
        <v>8034</v>
      </c>
    </row>
    <row r="135" spans="1:13" hidden="1" x14ac:dyDescent="0.25">
      <c r="A135" s="42">
        <f t="shared" si="2"/>
        <v>134</v>
      </c>
      <c r="B135" s="36" t="s">
        <v>4</v>
      </c>
      <c r="C135" s="36" t="s">
        <v>7986</v>
      </c>
      <c r="D135" s="36" t="s">
        <v>4870</v>
      </c>
      <c r="F135" s="9" t="s">
        <v>8065</v>
      </c>
      <c r="G135" s="36" t="s">
        <v>13</v>
      </c>
      <c r="H135" s="36" t="s">
        <v>6455</v>
      </c>
      <c r="J135" s="36" t="s">
        <v>20</v>
      </c>
      <c r="K135" s="36" t="s">
        <v>8082</v>
      </c>
      <c r="L135" s="36" t="str">
        <f>LEFT(Table2[[#This Row],[Node]],10)</f>
        <v>P000001281</v>
      </c>
      <c r="M135" s="36" t="s">
        <v>8034</v>
      </c>
    </row>
    <row r="136" spans="1:13" hidden="1" x14ac:dyDescent="0.25">
      <c r="A136" s="42">
        <f t="shared" si="2"/>
        <v>135</v>
      </c>
      <c r="B136" s="36" t="s">
        <v>4</v>
      </c>
      <c r="C136" s="36" t="s">
        <v>7986</v>
      </c>
      <c r="D136" s="36" t="s">
        <v>2382</v>
      </c>
      <c r="F136" s="9" t="s">
        <v>8067</v>
      </c>
      <c r="G136" s="36" t="s">
        <v>13</v>
      </c>
      <c r="H136" s="36" t="s">
        <v>6455</v>
      </c>
      <c r="J136" s="36" t="s">
        <v>20</v>
      </c>
      <c r="K136" s="36" t="s">
        <v>8082</v>
      </c>
      <c r="L136" s="36" t="str">
        <f>LEFT(Table2[[#This Row],[Node]],10)</f>
        <v>P000000517</v>
      </c>
      <c r="M136" s="36" t="s">
        <v>8034</v>
      </c>
    </row>
    <row r="137" spans="1:13" hidden="1" x14ac:dyDescent="0.25">
      <c r="A137" s="42">
        <f t="shared" si="2"/>
        <v>136</v>
      </c>
      <c r="B137" s="36" t="s">
        <v>4</v>
      </c>
      <c r="C137" s="36" t="s">
        <v>7986</v>
      </c>
      <c r="D137" s="36" t="s">
        <v>2105</v>
      </c>
      <c r="F137" s="9" t="s">
        <v>8067</v>
      </c>
      <c r="G137" s="36" t="s">
        <v>13</v>
      </c>
      <c r="H137" s="36" t="s">
        <v>6455</v>
      </c>
      <c r="J137" s="36" t="s">
        <v>20</v>
      </c>
      <c r="K137" s="36" t="s">
        <v>8082</v>
      </c>
      <c r="L137" s="36" t="str">
        <f>LEFT(Table2[[#This Row],[Node]],10)</f>
        <v>P000000249</v>
      </c>
      <c r="M137" s="36" t="s">
        <v>8034</v>
      </c>
    </row>
    <row r="138" spans="1:13" hidden="1" x14ac:dyDescent="0.25">
      <c r="A138" s="42">
        <f t="shared" si="2"/>
        <v>137</v>
      </c>
      <c r="B138" s="36" t="s">
        <v>4</v>
      </c>
      <c r="C138" s="36" t="s">
        <v>7986</v>
      </c>
      <c r="D138" s="36" t="s">
        <v>2096</v>
      </c>
      <c r="F138" s="9" t="s">
        <v>8067</v>
      </c>
      <c r="G138" s="36" t="s">
        <v>13</v>
      </c>
      <c r="H138" s="36" t="s">
        <v>6455</v>
      </c>
      <c r="J138" s="36" t="s">
        <v>20</v>
      </c>
      <c r="K138" s="36" t="s">
        <v>8082</v>
      </c>
      <c r="L138" s="36" t="str">
        <f>LEFT(Table2[[#This Row],[Node]],10)</f>
        <v>P000000808</v>
      </c>
      <c r="M138" s="36" t="s">
        <v>8034</v>
      </c>
    </row>
    <row r="139" spans="1:13" hidden="1" x14ac:dyDescent="0.25">
      <c r="A139" s="42">
        <f t="shared" si="2"/>
        <v>138</v>
      </c>
      <c r="B139" s="36" t="s">
        <v>4</v>
      </c>
      <c r="C139" s="36" t="s">
        <v>7986</v>
      </c>
      <c r="D139" s="36" t="s">
        <v>2321</v>
      </c>
      <c r="F139" s="9" t="s">
        <v>8067</v>
      </c>
      <c r="G139" s="36" t="s">
        <v>13</v>
      </c>
      <c r="H139" s="36" t="s">
        <v>6455</v>
      </c>
      <c r="J139" s="36" t="s">
        <v>20</v>
      </c>
      <c r="K139" s="36" t="s">
        <v>8082</v>
      </c>
      <c r="L139" s="36" t="str">
        <f>LEFT(Table2[[#This Row],[Node]],10)</f>
        <v>P000000909</v>
      </c>
      <c r="M139" s="36" t="s">
        <v>8034</v>
      </c>
    </row>
    <row r="140" spans="1:13" hidden="1" x14ac:dyDescent="0.25">
      <c r="A140" s="42">
        <f t="shared" si="2"/>
        <v>139</v>
      </c>
      <c r="B140" s="36" t="s">
        <v>4</v>
      </c>
      <c r="C140" s="36" t="s">
        <v>7986</v>
      </c>
      <c r="D140" s="36" t="s">
        <v>2125</v>
      </c>
      <c r="F140" s="9" t="s">
        <v>8068</v>
      </c>
      <c r="G140" s="36" t="s">
        <v>13</v>
      </c>
      <c r="H140" s="36" t="s">
        <v>6455</v>
      </c>
      <c r="J140" s="36" t="s">
        <v>20</v>
      </c>
      <c r="K140" s="36" t="s">
        <v>8082</v>
      </c>
      <c r="L140" s="36" t="str">
        <f>LEFT(Table2[[#This Row],[Node]],10)</f>
        <v>P000000528</v>
      </c>
      <c r="M140" s="36" t="s">
        <v>8034</v>
      </c>
    </row>
    <row r="141" spans="1:13" hidden="1" x14ac:dyDescent="0.25">
      <c r="A141" s="42">
        <f t="shared" si="2"/>
        <v>140</v>
      </c>
      <c r="B141" s="36" t="s">
        <v>4</v>
      </c>
      <c r="C141" s="36" t="s">
        <v>7986</v>
      </c>
      <c r="D141" s="36" t="s">
        <v>2090</v>
      </c>
      <c r="F141" s="9" t="s">
        <v>8068</v>
      </c>
      <c r="G141" s="36" t="s">
        <v>13</v>
      </c>
      <c r="H141" s="36" t="s">
        <v>6455</v>
      </c>
      <c r="J141" s="36" t="s">
        <v>20</v>
      </c>
      <c r="K141" s="36" t="s">
        <v>8082</v>
      </c>
      <c r="L141" s="36" t="str">
        <f>LEFT(Table2[[#This Row],[Node]],10)</f>
        <v>P000000805</v>
      </c>
      <c r="M141" s="36" t="s">
        <v>8034</v>
      </c>
    </row>
    <row r="142" spans="1:13" hidden="1" x14ac:dyDescent="0.25">
      <c r="A142" s="42">
        <f t="shared" si="2"/>
        <v>141</v>
      </c>
      <c r="B142" s="36" t="s">
        <v>4</v>
      </c>
      <c r="C142" s="36" t="s">
        <v>7986</v>
      </c>
      <c r="D142" s="36" t="s">
        <v>2340</v>
      </c>
      <c r="F142" s="9" t="s">
        <v>8068</v>
      </c>
      <c r="G142" s="36" t="s">
        <v>13</v>
      </c>
      <c r="H142" s="36" t="s">
        <v>6455</v>
      </c>
      <c r="J142" s="36" t="s">
        <v>20</v>
      </c>
      <c r="K142" s="36" t="s">
        <v>8082</v>
      </c>
      <c r="L142" s="36" t="str">
        <f>LEFT(Table2[[#This Row],[Node]],10)</f>
        <v>P000000515</v>
      </c>
      <c r="M142" s="36" t="s">
        <v>8034</v>
      </c>
    </row>
    <row r="143" spans="1:13" hidden="1" x14ac:dyDescent="0.25">
      <c r="A143" s="42">
        <f t="shared" si="2"/>
        <v>142</v>
      </c>
      <c r="B143" s="36" t="s">
        <v>4</v>
      </c>
      <c r="C143" s="36" t="s">
        <v>7986</v>
      </c>
      <c r="D143" s="36" t="s">
        <v>2325</v>
      </c>
      <c r="F143" s="9" t="s">
        <v>8068</v>
      </c>
      <c r="G143" s="36" t="s">
        <v>13</v>
      </c>
      <c r="H143" s="36" t="s">
        <v>6455</v>
      </c>
      <c r="J143" s="36" t="s">
        <v>20</v>
      </c>
      <c r="K143" s="36" t="s">
        <v>8082</v>
      </c>
      <c r="L143" s="36" t="str">
        <f>LEFT(Table2[[#This Row],[Node]],10)</f>
        <v>P000000514</v>
      </c>
      <c r="M143" s="36" t="s">
        <v>8034</v>
      </c>
    </row>
    <row r="144" spans="1:13" hidden="1" x14ac:dyDescent="0.25">
      <c r="A144" s="42">
        <f t="shared" si="2"/>
        <v>143</v>
      </c>
      <c r="B144" s="36" t="s">
        <v>4</v>
      </c>
      <c r="C144" s="36" t="s">
        <v>7986</v>
      </c>
      <c r="D144" s="36" t="s">
        <v>2110</v>
      </c>
      <c r="F144" s="9" t="s">
        <v>8069</v>
      </c>
      <c r="G144" s="36" t="s">
        <v>13</v>
      </c>
      <c r="H144" s="36" t="s">
        <v>6455</v>
      </c>
      <c r="J144" s="36" t="s">
        <v>20</v>
      </c>
      <c r="K144" s="36" t="s">
        <v>8082</v>
      </c>
      <c r="L144" s="36" t="str">
        <f>LEFT(Table2[[#This Row],[Node]],10)</f>
        <v>P000000527</v>
      </c>
      <c r="M144" s="36" t="s">
        <v>8034</v>
      </c>
    </row>
    <row r="145" spans="1:13" hidden="1" x14ac:dyDescent="0.25">
      <c r="A145" s="42">
        <f t="shared" si="2"/>
        <v>144</v>
      </c>
      <c r="B145" s="36" t="s">
        <v>4</v>
      </c>
      <c r="C145" s="36" t="s">
        <v>7986</v>
      </c>
      <c r="D145" s="36" t="s">
        <v>2401</v>
      </c>
      <c r="F145" s="9" t="s">
        <v>8069</v>
      </c>
      <c r="G145" s="36" t="s">
        <v>13</v>
      </c>
      <c r="H145" s="36" t="s">
        <v>6455</v>
      </c>
      <c r="J145" s="36" t="s">
        <v>20</v>
      </c>
      <c r="K145" s="36" t="s">
        <v>8082</v>
      </c>
      <c r="L145" s="36" t="str">
        <f>LEFT(Table2[[#This Row],[Node]],10)</f>
        <v>P000000518</v>
      </c>
      <c r="M145" s="36" t="s">
        <v>8034</v>
      </c>
    </row>
    <row r="146" spans="1:13" hidden="1" x14ac:dyDescent="0.25">
      <c r="A146" s="42">
        <f t="shared" si="2"/>
        <v>145</v>
      </c>
      <c r="B146" s="36" t="s">
        <v>4</v>
      </c>
      <c r="C146" s="36" t="s">
        <v>7986</v>
      </c>
      <c r="D146" s="36" t="s">
        <v>2359</v>
      </c>
      <c r="F146" s="9" t="s">
        <v>8069</v>
      </c>
      <c r="G146" s="36" t="s">
        <v>13</v>
      </c>
      <c r="H146" s="36" t="s">
        <v>6455</v>
      </c>
      <c r="J146" s="36" t="s">
        <v>20</v>
      </c>
      <c r="K146" s="36" t="s">
        <v>8082</v>
      </c>
      <c r="L146" s="36" t="str">
        <f>LEFT(Table2[[#This Row],[Node]],10)</f>
        <v>P000000516</v>
      </c>
      <c r="M146" s="36" t="s">
        <v>8034</v>
      </c>
    </row>
    <row r="147" spans="1:13" hidden="1" x14ac:dyDescent="0.25">
      <c r="A147" s="42">
        <f t="shared" si="2"/>
        <v>146</v>
      </c>
      <c r="B147" s="36" t="s">
        <v>4</v>
      </c>
      <c r="C147" s="36" t="s">
        <v>7986</v>
      </c>
      <c r="D147" s="36" t="s">
        <v>2053</v>
      </c>
      <c r="F147" s="9" t="s">
        <v>8066</v>
      </c>
      <c r="G147" s="36" t="s">
        <v>13</v>
      </c>
      <c r="H147" s="36" t="s">
        <v>6455</v>
      </c>
      <c r="J147" s="36" t="s">
        <v>20</v>
      </c>
      <c r="K147" s="36" t="s">
        <v>8082</v>
      </c>
      <c r="L147" s="36" t="str">
        <f>LEFT(Table2[[#This Row],[Node]],10)</f>
        <v>P000000149</v>
      </c>
      <c r="M147" s="36" t="s">
        <v>8034</v>
      </c>
    </row>
    <row r="148" spans="1:13" hidden="1" x14ac:dyDescent="0.25">
      <c r="A148" s="42">
        <f t="shared" ref="A148:A178" si="3">1+A147</f>
        <v>147</v>
      </c>
      <c r="B148" s="36" t="s">
        <v>4</v>
      </c>
      <c r="C148" s="36" t="s">
        <v>7986</v>
      </c>
      <c r="D148" s="36" t="s">
        <v>4868</v>
      </c>
      <c r="E148" s="9" t="s">
        <v>8076</v>
      </c>
      <c r="G148" s="9" t="s">
        <v>15</v>
      </c>
      <c r="H148" s="36" t="str">
        <f>IFERROR(VLOOKUP(Table2[[#This Row], [Ticket]],Okey!A:B,2,0),"")</f>
        <v/>
      </c>
      <c r="I148" s="36" t="s">
        <v>7982</v>
      </c>
      <c r="J148" s="36" t="s">
        <v>20</v>
      </c>
      <c r="K148" s="36" t="s">
        <v>8080</v>
      </c>
      <c r="L148" s="36" t="str">
        <f>LEFT(Table2[[#This Row],[Node]],10)</f>
        <v>P000001280</v>
      </c>
      <c r="M148" s="36" t="s">
        <v>8034</v>
      </c>
    </row>
    <row r="149" spans="1:13" hidden="1" x14ac:dyDescent="0.25">
      <c r="A149" s="42">
        <f t="shared" si="3"/>
        <v>148</v>
      </c>
      <c r="B149" s="36" t="s">
        <v>4</v>
      </c>
      <c r="C149" s="36" t="s">
        <v>7986</v>
      </c>
      <c r="D149" s="36" t="s">
        <v>8075</v>
      </c>
      <c r="E149" s="9" t="s">
        <v>8077</v>
      </c>
      <c r="G149" s="36" t="s">
        <v>15</v>
      </c>
      <c r="H149" s="36" t="str">
        <f>IFERROR(VLOOKUP(Table2[[#This Row], [Ticket]],Okey!A:B,2,0),"")</f>
        <v/>
      </c>
      <c r="I149" s="36" t="s">
        <v>7982</v>
      </c>
      <c r="J149" s="36" t="s">
        <v>20</v>
      </c>
      <c r="K149" s="36" t="s">
        <v>8080</v>
      </c>
      <c r="L149" s="36" t="str">
        <f>LEFT(Table2[[#This Row],[Node]],10)</f>
        <v>P000000521</v>
      </c>
      <c r="M149" s="36" t="s">
        <v>8034</v>
      </c>
    </row>
    <row r="150" spans="1:13" hidden="1" x14ac:dyDescent="0.25">
      <c r="A150" s="42">
        <f t="shared" si="3"/>
        <v>149</v>
      </c>
      <c r="B150" s="36" t="s">
        <v>4</v>
      </c>
      <c r="C150" s="36" t="s">
        <v>7986</v>
      </c>
      <c r="D150" s="36" t="s">
        <v>3241</v>
      </c>
      <c r="E150" s="9" t="s">
        <v>8078</v>
      </c>
      <c r="G150" s="36" t="s">
        <v>15</v>
      </c>
      <c r="H150" s="36" t="str">
        <f>IFERROR(VLOOKUP(Table2[[#This Row], [Ticket]],Okey!A:B,2,0),"")</f>
        <v/>
      </c>
      <c r="I150" s="36" t="s">
        <v>7982</v>
      </c>
      <c r="J150" s="36" t="s">
        <v>20</v>
      </c>
      <c r="K150" s="36" t="s">
        <v>8080</v>
      </c>
      <c r="L150" s="36" t="str">
        <f>LEFT(Table2[[#This Row],[Node]],10)</f>
        <v>P000000486</v>
      </c>
      <c r="M150" s="36" t="s">
        <v>8034</v>
      </c>
    </row>
    <row r="151" spans="1:13" hidden="1" x14ac:dyDescent="0.25">
      <c r="A151" s="42">
        <f t="shared" si="3"/>
        <v>150</v>
      </c>
      <c r="B151" s="36" t="s">
        <v>4</v>
      </c>
      <c r="C151" s="36" t="s">
        <v>7986</v>
      </c>
      <c r="D151" s="36" t="s">
        <v>3243</v>
      </c>
      <c r="E151" s="9" t="s">
        <v>8033</v>
      </c>
      <c r="G151" s="36" t="s">
        <v>15</v>
      </c>
      <c r="H151" s="36" t="str">
        <f>IFERROR(VLOOKUP(Table2[[#This Row], [Ticket]],Okey!A:B,2,0),"")</f>
        <v/>
      </c>
      <c r="I151" s="36" t="s">
        <v>7982</v>
      </c>
      <c r="J151" s="36" t="s">
        <v>20</v>
      </c>
      <c r="K151" s="36" t="s">
        <v>8080</v>
      </c>
      <c r="L151" s="36" t="str">
        <f>LEFT(Table2[[#This Row],[Node]],10)</f>
        <v>P000000488</v>
      </c>
      <c r="M151" s="36" t="s">
        <v>8034</v>
      </c>
    </row>
    <row r="152" spans="1:13" hidden="1" x14ac:dyDescent="0.25">
      <c r="A152" s="42">
        <f t="shared" si="3"/>
        <v>151</v>
      </c>
      <c r="B152" s="36" t="s">
        <v>4</v>
      </c>
      <c r="C152" s="36" t="s">
        <v>7986</v>
      </c>
      <c r="D152" s="36" t="s">
        <v>3237</v>
      </c>
      <c r="E152" s="9" t="s">
        <v>8079</v>
      </c>
      <c r="G152" s="36" t="s">
        <v>15</v>
      </c>
      <c r="H152" s="36" t="str">
        <f>IFERROR(VLOOKUP(Table2[[#This Row], [Ticket]],Okey!A:B,2,0),"")</f>
        <v/>
      </c>
      <c r="I152" s="36" t="s">
        <v>7982</v>
      </c>
      <c r="J152" s="36" t="s">
        <v>20</v>
      </c>
      <c r="K152" s="36" t="s">
        <v>8080</v>
      </c>
      <c r="L152" s="36" t="str">
        <f>LEFT(Table2[[#This Row],[Node]],10)</f>
        <v>P000000484</v>
      </c>
      <c r="M152" s="36" t="s">
        <v>8034</v>
      </c>
    </row>
    <row r="153" spans="1:13" hidden="1" x14ac:dyDescent="0.25">
      <c r="A153" s="42">
        <f t="shared" si="3"/>
        <v>152</v>
      </c>
      <c r="B153" s="36" t="s">
        <v>4</v>
      </c>
      <c r="C153" s="9" t="s">
        <v>8084</v>
      </c>
      <c r="D153" s="9" t="s">
        <v>7981</v>
      </c>
      <c r="F153" s="9" t="s">
        <v>6241</v>
      </c>
      <c r="G153" s="9" t="s">
        <v>13</v>
      </c>
      <c r="H153" s="36" t="str">
        <f>IFERROR(VLOOKUP(Table2[[#This Row], [Ticket]],Okey!A:B,2,0),"")</f>
        <v/>
      </c>
      <c r="J153" s="9" t="s">
        <v>17</v>
      </c>
      <c r="M153" s="9" t="s">
        <v>6354</v>
      </c>
    </row>
    <row r="154" spans="1:13" x14ac:dyDescent="0.25">
      <c r="A154" s="42">
        <f t="shared" si="3"/>
        <v>153</v>
      </c>
      <c r="B154" s="36" t="s">
        <v>4</v>
      </c>
      <c r="C154" s="9" t="s">
        <v>8085</v>
      </c>
      <c r="D154" s="9" t="s">
        <v>8086</v>
      </c>
      <c r="E154" s="9" t="s">
        <v>8087</v>
      </c>
      <c r="F154" s="9" t="s">
        <v>1147</v>
      </c>
      <c r="G154" s="9" t="s">
        <v>14</v>
      </c>
      <c r="H154" s="36" t="str">
        <f>IFERROR(VLOOKUP(Table2[[#This Row], [Ticket]],Okey!A:B,2,0),"")</f>
        <v/>
      </c>
      <c r="J154" s="36" t="s">
        <v>19</v>
      </c>
      <c r="K154" s="9" t="s">
        <v>7909</v>
      </c>
      <c r="M154" s="9" t="s">
        <v>8131</v>
      </c>
    </row>
    <row r="155" spans="1:13" x14ac:dyDescent="0.25">
      <c r="A155" s="42">
        <f t="shared" si="3"/>
        <v>154</v>
      </c>
      <c r="B155" s="36" t="s">
        <v>4</v>
      </c>
      <c r="C155" s="36" t="s">
        <v>8085</v>
      </c>
      <c r="D155" s="9" t="s">
        <v>8088</v>
      </c>
      <c r="E155" s="9" t="s">
        <v>8089</v>
      </c>
      <c r="F155" s="9" t="s">
        <v>8086</v>
      </c>
      <c r="G155" s="36" t="s">
        <v>14</v>
      </c>
      <c r="H155" s="36" t="str">
        <f>IFERROR(VLOOKUP(Table2[[#This Row], [Ticket]],Okey!A:B,2,0),"")</f>
        <v/>
      </c>
      <c r="J155" s="36" t="s">
        <v>19</v>
      </c>
      <c r="K155" s="36" t="s">
        <v>7909</v>
      </c>
      <c r="M155" s="36" t="s">
        <v>8131</v>
      </c>
    </row>
    <row r="156" spans="1:13" x14ac:dyDescent="0.25">
      <c r="A156" s="42">
        <f t="shared" si="3"/>
        <v>155</v>
      </c>
      <c r="B156" s="36" t="s">
        <v>4</v>
      </c>
      <c r="C156" s="36" t="s">
        <v>8085</v>
      </c>
      <c r="D156" s="9" t="s">
        <v>8090</v>
      </c>
      <c r="E156" s="9" t="s">
        <v>8091</v>
      </c>
      <c r="F156" s="9" t="s">
        <v>8086</v>
      </c>
      <c r="G156" s="36" t="s">
        <v>14</v>
      </c>
      <c r="H156" s="36" t="str">
        <f>IFERROR(VLOOKUP(Table2[[#This Row], [Ticket]],Okey!A:B,2,0),"")</f>
        <v/>
      </c>
      <c r="J156" s="36" t="s">
        <v>19</v>
      </c>
      <c r="K156" s="36" t="s">
        <v>7909</v>
      </c>
      <c r="M156" s="36" t="s">
        <v>8131</v>
      </c>
    </row>
    <row r="157" spans="1:13" x14ac:dyDescent="0.25">
      <c r="A157" s="42">
        <f t="shared" si="3"/>
        <v>156</v>
      </c>
      <c r="B157" s="36" t="s">
        <v>4</v>
      </c>
      <c r="C157" s="36" t="s">
        <v>8085</v>
      </c>
      <c r="D157" s="9" t="s">
        <v>8092</v>
      </c>
      <c r="E157" s="9" t="s">
        <v>8093</v>
      </c>
      <c r="F157" s="9" t="s">
        <v>8086</v>
      </c>
      <c r="G157" s="36" t="s">
        <v>14</v>
      </c>
      <c r="H157" s="36" t="str">
        <f>IFERROR(VLOOKUP(Table2[[#This Row], [Ticket]],Okey!A:B,2,0),"")</f>
        <v/>
      </c>
      <c r="J157" s="36" t="s">
        <v>19</v>
      </c>
      <c r="K157" s="36" t="s">
        <v>7909</v>
      </c>
      <c r="M157" s="36" t="s">
        <v>8131</v>
      </c>
    </row>
    <row r="158" spans="1:13" x14ac:dyDescent="0.25">
      <c r="A158" s="42">
        <f t="shared" si="3"/>
        <v>157</v>
      </c>
      <c r="B158" s="36" t="s">
        <v>4</v>
      </c>
      <c r="C158" s="36" t="s">
        <v>8085</v>
      </c>
      <c r="D158" s="9" t="s">
        <v>8094</v>
      </c>
      <c r="E158" s="9" t="s">
        <v>8095</v>
      </c>
      <c r="F158" s="9" t="s">
        <v>8086</v>
      </c>
      <c r="G158" s="36" t="s">
        <v>14</v>
      </c>
      <c r="H158" s="36" t="str">
        <f>IFERROR(VLOOKUP(Table2[[#This Row], [Ticket]],Okey!A:B,2,0),"")</f>
        <v/>
      </c>
      <c r="J158" s="36" t="s">
        <v>19</v>
      </c>
      <c r="K158" s="36" t="s">
        <v>7909</v>
      </c>
      <c r="M158" s="36" t="s">
        <v>8131</v>
      </c>
    </row>
    <row r="159" spans="1:13" x14ac:dyDescent="0.25">
      <c r="A159" s="42">
        <f t="shared" si="3"/>
        <v>158</v>
      </c>
      <c r="B159" s="36" t="s">
        <v>4</v>
      </c>
      <c r="C159" s="36" t="s">
        <v>8085</v>
      </c>
      <c r="D159" s="9" t="s">
        <v>8096</v>
      </c>
      <c r="E159" s="9" t="s">
        <v>8097</v>
      </c>
      <c r="F159" s="9" t="s">
        <v>8086</v>
      </c>
      <c r="G159" s="36" t="s">
        <v>14</v>
      </c>
      <c r="H159" s="36" t="str">
        <f>IFERROR(VLOOKUP(Table2[[#This Row], [Ticket]],Okey!A:B,2,0),"")</f>
        <v/>
      </c>
      <c r="J159" s="36" t="s">
        <v>19</v>
      </c>
      <c r="K159" s="36" t="s">
        <v>7909</v>
      </c>
      <c r="M159" s="36" t="s">
        <v>8131</v>
      </c>
    </row>
    <row r="160" spans="1:13" x14ac:dyDescent="0.25">
      <c r="A160" s="42">
        <f t="shared" si="3"/>
        <v>159</v>
      </c>
      <c r="B160" s="36" t="s">
        <v>4</v>
      </c>
      <c r="C160" s="36" t="s">
        <v>8085</v>
      </c>
      <c r="D160" s="9" t="s">
        <v>8098</v>
      </c>
      <c r="E160" s="9" t="s">
        <v>8099</v>
      </c>
      <c r="F160" s="9" t="s">
        <v>8088</v>
      </c>
      <c r="G160" s="36" t="s">
        <v>14</v>
      </c>
      <c r="H160" s="36" t="str">
        <f>IFERROR(VLOOKUP(Table2[[#This Row], [Ticket]],Okey!A:B,2,0),"")</f>
        <v/>
      </c>
      <c r="J160" s="36" t="s">
        <v>19</v>
      </c>
      <c r="K160" s="36" t="s">
        <v>7909</v>
      </c>
      <c r="M160" s="36" t="s">
        <v>8131</v>
      </c>
    </row>
    <row r="161" spans="1:13" x14ac:dyDescent="0.25">
      <c r="A161" s="42">
        <f t="shared" si="3"/>
        <v>160</v>
      </c>
      <c r="B161" s="36" t="s">
        <v>4</v>
      </c>
      <c r="C161" s="36" t="s">
        <v>8085</v>
      </c>
      <c r="D161" s="9" t="s">
        <v>8100</v>
      </c>
      <c r="E161" s="9" t="s">
        <v>8101</v>
      </c>
      <c r="F161" s="9" t="s">
        <v>8088</v>
      </c>
      <c r="G161" s="36" t="s">
        <v>14</v>
      </c>
      <c r="H161" s="36" t="str">
        <f>IFERROR(VLOOKUP(Table2[[#This Row], [Ticket]],Okey!A:B,2,0),"")</f>
        <v/>
      </c>
      <c r="J161" s="36" t="s">
        <v>19</v>
      </c>
      <c r="K161" s="36" t="s">
        <v>7909</v>
      </c>
      <c r="M161" s="36" t="s">
        <v>8131</v>
      </c>
    </row>
    <row r="162" spans="1:13" x14ac:dyDescent="0.25">
      <c r="A162" s="42">
        <f t="shared" si="3"/>
        <v>161</v>
      </c>
      <c r="B162" s="36" t="s">
        <v>4</v>
      </c>
      <c r="C162" s="36" t="s">
        <v>8085</v>
      </c>
      <c r="D162" s="9" t="s">
        <v>8102</v>
      </c>
      <c r="E162" s="9" t="s">
        <v>8103</v>
      </c>
      <c r="F162" s="9" t="s">
        <v>8090</v>
      </c>
      <c r="G162" s="36" t="s">
        <v>14</v>
      </c>
      <c r="H162" s="36" t="str">
        <f>IFERROR(VLOOKUP(Table2[[#This Row], [Ticket]],Okey!A:B,2,0),"")</f>
        <v/>
      </c>
      <c r="J162" s="36" t="s">
        <v>19</v>
      </c>
      <c r="K162" s="36" t="s">
        <v>7909</v>
      </c>
      <c r="M162" s="36" t="s">
        <v>8131</v>
      </c>
    </row>
    <row r="163" spans="1:13" x14ac:dyDescent="0.25">
      <c r="A163" s="42">
        <f t="shared" si="3"/>
        <v>162</v>
      </c>
      <c r="B163" s="36" t="s">
        <v>4</v>
      </c>
      <c r="C163" s="36" t="s">
        <v>8085</v>
      </c>
      <c r="D163" s="9" t="s">
        <v>8104</v>
      </c>
      <c r="E163" s="9" t="s">
        <v>8105</v>
      </c>
      <c r="F163" s="9" t="s">
        <v>8090</v>
      </c>
      <c r="G163" s="36" t="s">
        <v>14</v>
      </c>
      <c r="H163" s="36" t="str">
        <f>IFERROR(VLOOKUP(Table2[[#This Row], [Ticket]],Okey!A:B,2,0),"")</f>
        <v/>
      </c>
      <c r="J163" s="36" t="s">
        <v>19</v>
      </c>
      <c r="K163" s="36" t="s">
        <v>7909</v>
      </c>
      <c r="M163" s="36" t="s">
        <v>8131</v>
      </c>
    </row>
    <row r="164" spans="1:13" x14ac:dyDescent="0.25">
      <c r="A164" s="42">
        <f t="shared" si="3"/>
        <v>163</v>
      </c>
      <c r="B164" s="36" t="s">
        <v>4</v>
      </c>
      <c r="C164" s="36" t="s">
        <v>8085</v>
      </c>
      <c r="D164" s="9" t="s">
        <v>8106</v>
      </c>
      <c r="E164" s="9" t="s">
        <v>8107</v>
      </c>
      <c r="F164" s="9" t="s">
        <v>8090</v>
      </c>
      <c r="G164" s="36" t="s">
        <v>14</v>
      </c>
      <c r="H164" s="36" t="str">
        <f>IFERROR(VLOOKUP(Table2[[#This Row], [Ticket]],Okey!A:B,2,0),"")</f>
        <v/>
      </c>
      <c r="J164" s="36" t="s">
        <v>19</v>
      </c>
      <c r="K164" s="36" t="s">
        <v>7909</v>
      </c>
      <c r="M164" s="36" t="s">
        <v>8131</v>
      </c>
    </row>
    <row r="165" spans="1:13" x14ac:dyDescent="0.25">
      <c r="A165" s="42">
        <f t="shared" si="3"/>
        <v>164</v>
      </c>
      <c r="B165" s="36" t="s">
        <v>4</v>
      </c>
      <c r="C165" s="36" t="s">
        <v>8085</v>
      </c>
      <c r="D165" s="9" t="s">
        <v>8108</v>
      </c>
      <c r="E165" s="9" t="s">
        <v>8109</v>
      </c>
      <c r="F165" s="9" t="s">
        <v>8092</v>
      </c>
      <c r="G165" s="36" t="s">
        <v>14</v>
      </c>
      <c r="H165" s="36" t="str">
        <f>IFERROR(VLOOKUP(Table2[[#This Row], [Ticket]],Okey!A:B,2,0),"")</f>
        <v/>
      </c>
      <c r="J165" s="36" t="s">
        <v>19</v>
      </c>
      <c r="K165" s="36" t="s">
        <v>7909</v>
      </c>
      <c r="M165" s="36" t="s">
        <v>8131</v>
      </c>
    </row>
    <row r="166" spans="1:13" x14ac:dyDescent="0.25">
      <c r="A166" s="42">
        <f t="shared" si="3"/>
        <v>165</v>
      </c>
      <c r="B166" s="36" t="s">
        <v>4</v>
      </c>
      <c r="C166" s="36" t="s">
        <v>8085</v>
      </c>
      <c r="D166" s="9" t="s">
        <v>8110</v>
      </c>
      <c r="E166" s="9" t="s">
        <v>8111</v>
      </c>
      <c r="F166" s="9" t="s">
        <v>8092</v>
      </c>
      <c r="G166" s="36" t="s">
        <v>14</v>
      </c>
      <c r="H166" s="36" t="str">
        <f>IFERROR(VLOOKUP(Table2[[#This Row], [Ticket]],Okey!A:B,2,0),"")</f>
        <v/>
      </c>
      <c r="J166" s="36" t="s">
        <v>19</v>
      </c>
      <c r="K166" s="36" t="s">
        <v>7909</v>
      </c>
      <c r="M166" s="36" t="s">
        <v>8131</v>
      </c>
    </row>
    <row r="167" spans="1:13" x14ac:dyDescent="0.25">
      <c r="A167" s="42">
        <f t="shared" si="3"/>
        <v>166</v>
      </c>
      <c r="B167" s="36" t="s">
        <v>4</v>
      </c>
      <c r="C167" s="36" t="s">
        <v>8085</v>
      </c>
      <c r="D167" s="9" t="s">
        <v>8112</v>
      </c>
      <c r="E167" s="9" t="s">
        <v>8113</v>
      </c>
      <c r="F167" s="9" t="s">
        <v>8092</v>
      </c>
      <c r="G167" s="36" t="s">
        <v>14</v>
      </c>
      <c r="H167" s="36" t="str">
        <f>IFERROR(VLOOKUP(Table2[[#This Row], [Ticket]],Okey!A:B,2,0),"")</f>
        <v/>
      </c>
      <c r="J167" s="36" t="s">
        <v>19</v>
      </c>
      <c r="K167" s="36" t="s">
        <v>7909</v>
      </c>
      <c r="M167" s="36" t="s">
        <v>8131</v>
      </c>
    </row>
    <row r="168" spans="1:13" x14ac:dyDescent="0.25">
      <c r="A168" s="42">
        <f t="shared" si="3"/>
        <v>167</v>
      </c>
      <c r="B168" s="36" t="s">
        <v>4</v>
      </c>
      <c r="C168" s="36" t="s">
        <v>8085</v>
      </c>
      <c r="D168" s="9" t="s">
        <v>8114</v>
      </c>
      <c r="E168" s="9" t="s">
        <v>8115</v>
      </c>
      <c r="F168" s="9" t="s">
        <v>8092</v>
      </c>
      <c r="G168" s="36" t="s">
        <v>14</v>
      </c>
      <c r="H168" s="36" t="str">
        <f>IFERROR(VLOOKUP(Table2[[#This Row], [Ticket]],Okey!A:B,2,0),"")</f>
        <v/>
      </c>
      <c r="J168" s="36" t="s">
        <v>19</v>
      </c>
      <c r="K168" s="36" t="s">
        <v>7909</v>
      </c>
      <c r="M168" s="36" t="s">
        <v>8131</v>
      </c>
    </row>
    <row r="169" spans="1:13" x14ac:dyDescent="0.25">
      <c r="A169" s="42">
        <f t="shared" si="3"/>
        <v>168</v>
      </c>
      <c r="B169" s="36" t="s">
        <v>4</v>
      </c>
      <c r="C169" s="36" t="s">
        <v>8085</v>
      </c>
      <c r="D169" s="9" t="s">
        <v>8116</v>
      </c>
      <c r="E169" s="9" t="s">
        <v>8117</v>
      </c>
      <c r="F169" s="9" t="s">
        <v>8098</v>
      </c>
      <c r="G169" s="36" t="s">
        <v>14</v>
      </c>
      <c r="H169" s="36" t="str">
        <f>IFERROR(VLOOKUP(Table2[[#This Row], [Ticket]],Okey!A:B,2,0),"")</f>
        <v/>
      </c>
      <c r="J169" s="36" t="s">
        <v>19</v>
      </c>
      <c r="K169" s="36" t="s">
        <v>7909</v>
      </c>
      <c r="M169" s="36" t="s">
        <v>8131</v>
      </c>
    </row>
    <row r="170" spans="1:13" x14ac:dyDescent="0.25">
      <c r="A170" s="42">
        <f t="shared" si="3"/>
        <v>169</v>
      </c>
      <c r="B170" s="36" t="s">
        <v>4</v>
      </c>
      <c r="C170" s="36" t="s">
        <v>8085</v>
      </c>
      <c r="D170" s="9" t="s">
        <v>8118</v>
      </c>
      <c r="E170" s="9" t="s">
        <v>8117</v>
      </c>
      <c r="F170" s="9" t="s">
        <v>8100</v>
      </c>
      <c r="G170" s="36" t="s">
        <v>14</v>
      </c>
      <c r="H170" s="36" t="str">
        <f>IFERROR(VLOOKUP(Table2[[#This Row], [Ticket]],Okey!A:B,2,0),"")</f>
        <v/>
      </c>
      <c r="J170" s="36" t="s">
        <v>19</v>
      </c>
      <c r="K170" s="36" t="s">
        <v>7909</v>
      </c>
      <c r="M170" s="36" t="s">
        <v>8131</v>
      </c>
    </row>
    <row r="171" spans="1:13" x14ac:dyDescent="0.25">
      <c r="A171" s="42">
        <f t="shared" si="3"/>
        <v>170</v>
      </c>
      <c r="B171" s="36" t="s">
        <v>4</v>
      </c>
      <c r="C171" s="36" t="s">
        <v>8085</v>
      </c>
      <c r="D171" s="9" t="s">
        <v>8119</v>
      </c>
      <c r="E171" s="9" t="s">
        <v>8120</v>
      </c>
      <c r="F171" s="9" t="s">
        <v>8116</v>
      </c>
      <c r="G171" s="36" t="s">
        <v>14</v>
      </c>
      <c r="H171" s="36" t="str">
        <f>IFERROR(VLOOKUP(Table2[[#This Row], [Ticket]],Okey!A:B,2,0),"")</f>
        <v/>
      </c>
      <c r="J171" s="36" t="s">
        <v>19</v>
      </c>
      <c r="K171" s="36" t="s">
        <v>7909</v>
      </c>
      <c r="M171" s="36" t="s">
        <v>8131</v>
      </c>
    </row>
    <row r="172" spans="1:13" x14ac:dyDescent="0.25">
      <c r="A172" s="42">
        <f t="shared" si="3"/>
        <v>171</v>
      </c>
      <c r="B172" s="36" t="s">
        <v>4</v>
      </c>
      <c r="C172" s="36" t="s">
        <v>8085</v>
      </c>
      <c r="D172" s="9" t="s">
        <v>8121</v>
      </c>
      <c r="E172" s="9" t="s">
        <v>8122</v>
      </c>
      <c r="F172" s="9" t="s">
        <v>8116</v>
      </c>
      <c r="G172" s="36" t="s">
        <v>14</v>
      </c>
      <c r="H172" s="36" t="str">
        <f>IFERROR(VLOOKUP(Table2[[#This Row], [Ticket]],Okey!A:B,2,0),"")</f>
        <v/>
      </c>
      <c r="J172" s="36" t="s">
        <v>19</v>
      </c>
      <c r="K172" s="36" t="s">
        <v>7909</v>
      </c>
      <c r="M172" s="36" t="s">
        <v>8131</v>
      </c>
    </row>
    <row r="173" spans="1:13" x14ac:dyDescent="0.25">
      <c r="A173" s="42">
        <f t="shared" si="3"/>
        <v>172</v>
      </c>
      <c r="B173" s="36" t="s">
        <v>4</v>
      </c>
      <c r="C173" s="36" t="s">
        <v>8085</v>
      </c>
      <c r="D173" s="9" t="s">
        <v>8123</v>
      </c>
      <c r="E173" s="9" t="s">
        <v>8124</v>
      </c>
      <c r="F173" s="9" t="s">
        <v>8116</v>
      </c>
      <c r="G173" s="36" t="s">
        <v>14</v>
      </c>
      <c r="H173" s="36" t="str">
        <f>IFERROR(VLOOKUP(Table2[[#This Row], [Ticket]],Okey!A:B,2,0),"")</f>
        <v/>
      </c>
      <c r="J173" s="36" t="s">
        <v>19</v>
      </c>
      <c r="K173" s="36" t="s">
        <v>7909</v>
      </c>
      <c r="M173" s="36" t="s">
        <v>8131</v>
      </c>
    </row>
    <row r="174" spans="1:13" x14ac:dyDescent="0.25">
      <c r="A174" s="42">
        <f t="shared" si="3"/>
        <v>173</v>
      </c>
      <c r="B174" s="36" t="s">
        <v>4</v>
      </c>
      <c r="C174" s="36" t="s">
        <v>8085</v>
      </c>
      <c r="D174" s="9" t="s">
        <v>8125</v>
      </c>
      <c r="E174" s="9" t="s">
        <v>8126</v>
      </c>
      <c r="F174" s="9" t="s">
        <v>8116</v>
      </c>
      <c r="G174" s="36" t="s">
        <v>14</v>
      </c>
      <c r="H174" s="36" t="str">
        <f>IFERROR(VLOOKUP(Table2[[#This Row], [Ticket]],Okey!A:B,2,0),"")</f>
        <v/>
      </c>
      <c r="J174" s="36" t="s">
        <v>19</v>
      </c>
      <c r="K174" s="36" t="s">
        <v>7909</v>
      </c>
      <c r="M174" s="36" t="s">
        <v>8131</v>
      </c>
    </row>
    <row r="175" spans="1:13" x14ac:dyDescent="0.25">
      <c r="A175" s="42">
        <f t="shared" si="3"/>
        <v>174</v>
      </c>
      <c r="B175" s="36" t="s">
        <v>4</v>
      </c>
      <c r="C175" s="36" t="s">
        <v>8085</v>
      </c>
      <c r="D175" s="9" t="s">
        <v>8127</v>
      </c>
      <c r="E175" s="9" t="s">
        <v>8120</v>
      </c>
      <c r="F175" s="9" t="s">
        <v>8116</v>
      </c>
      <c r="G175" s="36" t="s">
        <v>14</v>
      </c>
      <c r="H175" s="36" t="str">
        <f>IFERROR(VLOOKUP(Table2[[#This Row], [Ticket]],Okey!A:B,2,0),"")</f>
        <v/>
      </c>
      <c r="J175" s="36" t="s">
        <v>19</v>
      </c>
      <c r="K175" s="36" t="s">
        <v>7909</v>
      </c>
      <c r="M175" s="36" t="s">
        <v>8131</v>
      </c>
    </row>
    <row r="176" spans="1:13" x14ac:dyDescent="0.25">
      <c r="A176" s="42">
        <f t="shared" si="3"/>
        <v>175</v>
      </c>
      <c r="B176" s="36" t="s">
        <v>4</v>
      </c>
      <c r="C176" s="36" t="s">
        <v>8085</v>
      </c>
      <c r="D176" s="9" t="s">
        <v>8128</v>
      </c>
      <c r="E176" s="9" t="s">
        <v>8122</v>
      </c>
      <c r="F176" s="9" t="s">
        <v>8116</v>
      </c>
      <c r="G176" s="36" t="s">
        <v>14</v>
      </c>
      <c r="H176" s="36" t="str">
        <f>IFERROR(VLOOKUP(Table2[[#This Row], [Ticket]],Okey!A:B,2,0),"")</f>
        <v/>
      </c>
      <c r="J176" s="36" t="s">
        <v>19</v>
      </c>
      <c r="K176" s="36" t="s">
        <v>7909</v>
      </c>
      <c r="M176" s="36" t="s">
        <v>8131</v>
      </c>
    </row>
    <row r="177" spans="1:13" x14ac:dyDescent="0.25">
      <c r="A177" s="42">
        <f t="shared" si="3"/>
        <v>176</v>
      </c>
      <c r="B177" s="36" t="s">
        <v>4</v>
      </c>
      <c r="C177" s="36" t="s">
        <v>8085</v>
      </c>
      <c r="D177" s="9" t="s">
        <v>8129</v>
      </c>
      <c r="E177" s="9" t="s">
        <v>8124</v>
      </c>
      <c r="F177" s="9" t="s">
        <v>8116</v>
      </c>
      <c r="G177" s="36" t="s">
        <v>14</v>
      </c>
      <c r="H177" s="36" t="str">
        <f>IFERROR(VLOOKUP(Table2[[#This Row], [Ticket]],Okey!A:B,2,0),"")</f>
        <v/>
      </c>
      <c r="J177" s="36" t="s">
        <v>19</v>
      </c>
      <c r="K177" s="36" t="s">
        <v>7909</v>
      </c>
      <c r="M177" s="36" t="s">
        <v>8131</v>
      </c>
    </row>
    <row r="178" spans="1:13" x14ac:dyDescent="0.25">
      <c r="A178" s="42">
        <f t="shared" si="3"/>
        <v>177</v>
      </c>
      <c r="B178" s="36" t="s">
        <v>4</v>
      </c>
      <c r="C178" s="36" t="s">
        <v>8085</v>
      </c>
      <c r="D178" s="9" t="s">
        <v>8130</v>
      </c>
      <c r="E178" s="9" t="s">
        <v>8126</v>
      </c>
      <c r="F178" s="9" t="s">
        <v>8116</v>
      </c>
      <c r="G178" s="36" t="s">
        <v>14</v>
      </c>
      <c r="H178" s="36" t="str">
        <f>IFERROR(VLOOKUP(Table2[[#This Row], [Ticket]],Okey!A:B,2,0),"")</f>
        <v/>
      </c>
      <c r="J178" s="36" t="s">
        <v>19</v>
      </c>
      <c r="K178" s="36" t="s">
        <v>7909</v>
      </c>
      <c r="M178" s="36" t="s">
        <v>8131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32FC8-E38F-416D-A8C1-FF4D15A17789}">
  <dimension ref="A1:B63"/>
  <sheetViews>
    <sheetView workbookViewId="0">
      <selection activeCell="B2" sqref="B2"/>
    </sheetView>
  </sheetViews>
  <sheetFormatPr defaultRowHeight="15" x14ac:dyDescent="0.25"/>
  <cols>
    <col min="1" max="1" width="11.28515625" bestFit="1" customWidth="1"/>
  </cols>
  <sheetData>
    <row r="1" spans="1:2" x14ac:dyDescent="0.25">
      <c r="A1">
        <v>1000</v>
      </c>
      <c r="B1" t="s">
        <v>7919</v>
      </c>
    </row>
    <row r="2" spans="1:2" x14ac:dyDescent="0.25">
      <c r="A2" t="s">
        <v>387</v>
      </c>
      <c r="B2" t="s">
        <v>7863</v>
      </c>
    </row>
    <row r="3" spans="1:2" x14ac:dyDescent="0.25">
      <c r="A3" t="s">
        <v>5725</v>
      </c>
      <c r="B3" t="s">
        <v>7866</v>
      </c>
    </row>
    <row r="4" spans="1:2" x14ac:dyDescent="0.25">
      <c r="A4" t="s">
        <v>5725</v>
      </c>
      <c r="B4" t="s">
        <v>7867</v>
      </c>
    </row>
    <row r="5" spans="1:2" x14ac:dyDescent="0.25">
      <c r="A5" t="s">
        <v>5725</v>
      </c>
      <c r="B5" t="s">
        <v>7862</v>
      </c>
    </row>
    <row r="6" spans="1:2" x14ac:dyDescent="0.25">
      <c r="A6" t="s">
        <v>5725</v>
      </c>
      <c r="B6" t="s">
        <v>7864</v>
      </c>
    </row>
    <row r="7" spans="1:2" x14ac:dyDescent="0.25">
      <c r="A7" t="s">
        <v>3170</v>
      </c>
      <c r="B7" t="s">
        <v>2684</v>
      </c>
    </row>
    <row r="8" spans="1:2" x14ac:dyDescent="0.25">
      <c r="A8" t="s">
        <v>8070</v>
      </c>
      <c r="B8" t="s">
        <v>2245</v>
      </c>
    </row>
    <row r="9" spans="1:2" x14ac:dyDescent="0.25">
      <c r="A9" t="s">
        <v>8070</v>
      </c>
      <c r="B9" t="s">
        <v>2250</v>
      </c>
    </row>
    <row r="10" spans="1:2" x14ac:dyDescent="0.25">
      <c r="A10" t="s">
        <v>2435</v>
      </c>
      <c r="B10" t="s">
        <v>2995</v>
      </c>
    </row>
    <row r="11" spans="1:2" x14ac:dyDescent="0.25">
      <c r="A11" t="s">
        <v>8035</v>
      </c>
      <c r="B11" t="s">
        <v>2020</v>
      </c>
    </row>
    <row r="12" spans="1:2" x14ac:dyDescent="0.25">
      <c r="A12" t="s">
        <v>2686</v>
      </c>
      <c r="B12" t="s">
        <v>2081</v>
      </c>
    </row>
    <row r="13" spans="1:2" x14ac:dyDescent="0.25">
      <c r="A13" t="s">
        <v>2686</v>
      </c>
      <c r="B13" t="s">
        <v>2312</v>
      </c>
    </row>
    <row r="14" spans="1:2" x14ac:dyDescent="0.25">
      <c r="A14" t="s">
        <v>2686</v>
      </c>
      <c r="B14" t="s">
        <v>2161</v>
      </c>
    </row>
    <row r="15" spans="1:2" x14ac:dyDescent="0.25">
      <c r="A15" t="s">
        <v>2686</v>
      </c>
      <c r="B15" t="s">
        <v>2223</v>
      </c>
    </row>
    <row r="16" spans="1:2" x14ac:dyDescent="0.25">
      <c r="A16" t="s">
        <v>2223</v>
      </c>
      <c r="B16" t="s">
        <v>8071</v>
      </c>
    </row>
    <row r="17" spans="1:2" x14ac:dyDescent="0.25">
      <c r="A17" t="s">
        <v>2674</v>
      </c>
      <c r="B17" t="s">
        <v>4357</v>
      </c>
    </row>
    <row r="18" spans="1:2" x14ac:dyDescent="0.25">
      <c r="A18" t="s">
        <v>2674</v>
      </c>
      <c r="B18" t="s">
        <v>4868</v>
      </c>
    </row>
    <row r="19" spans="1:2" x14ac:dyDescent="0.25">
      <c r="A19" t="s">
        <v>4868</v>
      </c>
      <c r="B19" t="s">
        <v>8072</v>
      </c>
    </row>
    <row r="20" spans="1:2" x14ac:dyDescent="0.25">
      <c r="A20" t="s">
        <v>4868</v>
      </c>
      <c r="B20" t="s">
        <v>8073</v>
      </c>
    </row>
    <row r="21" spans="1:2" x14ac:dyDescent="0.25">
      <c r="A21" t="s">
        <v>4868</v>
      </c>
      <c r="B21" t="s">
        <v>8074</v>
      </c>
    </row>
    <row r="22" spans="1:2" x14ac:dyDescent="0.25">
      <c r="A22" t="s">
        <v>8044</v>
      </c>
      <c r="B22" t="s">
        <v>2079</v>
      </c>
    </row>
    <row r="23" spans="1:2" x14ac:dyDescent="0.25">
      <c r="A23" t="s">
        <v>8044</v>
      </c>
      <c r="B23" t="s">
        <v>2310</v>
      </c>
    </row>
    <row r="24" spans="1:2" x14ac:dyDescent="0.25">
      <c r="A24" t="s">
        <v>8045</v>
      </c>
      <c r="B24" t="s">
        <v>2221</v>
      </c>
    </row>
    <row r="25" spans="1:2" x14ac:dyDescent="0.25">
      <c r="A25" t="s">
        <v>8045</v>
      </c>
      <c r="B25" t="s">
        <v>2159</v>
      </c>
    </row>
    <row r="26" spans="1:2" x14ac:dyDescent="0.25">
      <c r="A26" t="s">
        <v>8045</v>
      </c>
      <c r="B26" t="s">
        <v>4359</v>
      </c>
    </row>
    <row r="27" spans="1:2" x14ac:dyDescent="0.25">
      <c r="A27" t="s">
        <v>2682</v>
      </c>
      <c r="B27" t="s">
        <v>4873</v>
      </c>
    </row>
    <row r="28" spans="1:2" x14ac:dyDescent="0.25">
      <c r="A28" t="s">
        <v>8048</v>
      </c>
      <c r="B28" t="s">
        <v>2676</v>
      </c>
    </row>
    <row r="29" spans="1:2" x14ac:dyDescent="0.25">
      <c r="A29" t="s">
        <v>8048</v>
      </c>
      <c r="B29" t="s">
        <v>2732</v>
      </c>
    </row>
    <row r="30" spans="1:2" x14ac:dyDescent="0.25">
      <c r="A30" t="s">
        <v>2732</v>
      </c>
      <c r="B30" t="s">
        <v>4871</v>
      </c>
    </row>
    <row r="31" spans="1:2" x14ac:dyDescent="0.25">
      <c r="A31" t="s">
        <v>8054</v>
      </c>
      <c r="B31" t="s">
        <v>2025</v>
      </c>
    </row>
    <row r="32" spans="1:2" x14ac:dyDescent="0.25">
      <c r="A32" t="s">
        <v>8054</v>
      </c>
      <c r="B32" t="s">
        <v>2045</v>
      </c>
    </row>
    <row r="33" spans="1:2" x14ac:dyDescent="0.25">
      <c r="A33" t="s">
        <v>8056</v>
      </c>
      <c r="B33" t="s">
        <v>2030</v>
      </c>
    </row>
    <row r="34" spans="1:2" x14ac:dyDescent="0.25">
      <c r="A34" t="s">
        <v>8056</v>
      </c>
      <c r="B34" t="s">
        <v>2035</v>
      </c>
    </row>
    <row r="35" spans="1:2" x14ac:dyDescent="0.25">
      <c r="A35" t="s">
        <v>8058</v>
      </c>
      <c r="B35" t="s">
        <v>2177</v>
      </c>
    </row>
    <row r="36" spans="1:2" x14ac:dyDescent="0.25">
      <c r="A36" t="s">
        <v>8058</v>
      </c>
      <c r="B36" t="s">
        <v>8075</v>
      </c>
    </row>
    <row r="37" spans="1:2" x14ac:dyDescent="0.25">
      <c r="A37" t="s">
        <v>8059</v>
      </c>
      <c r="B37" t="s">
        <v>2015</v>
      </c>
    </row>
    <row r="38" spans="1:2" x14ac:dyDescent="0.25">
      <c r="A38" t="s">
        <v>8059</v>
      </c>
      <c r="B38" t="s">
        <v>5834</v>
      </c>
    </row>
    <row r="39" spans="1:2" x14ac:dyDescent="0.25">
      <c r="A39" t="s">
        <v>8059</v>
      </c>
      <c r="B39" t="s">
        <v>2182</v>
      </c>
    </row>
    <row r="40" spans="1:2" x14ac:dyDescent="0.25">
      <c r="A40" t="s">
        <v>8062</v>
      </c>
      <c r="B40" t="s">
        <v>2187</v>
      </c>
    </row>
    <row r="41" spans="1:2" x14ac:dyDescent="0.25">
      <c r="A41" t="s">
        <v>8062</v>
      </c>
      <c r="B41" t="s">
        <v>2287</v>
      </c>
    </row>
    <row r="42" spans="1:2" x14ac:dyDescent="0.25">
      <c r="A42" t="s">
        <v>8062</v>
      </c>
      <c r="B42" t="s">
        <v>2040</v>
      </c>
    </row>
    <row r="43" spans="1:2" x14ac:dyDescent="0.25">
      <c r="A43" t="s">
        <v>8063</v>
      </c>
      <c r="B43" t="s">
        <v>2273</v>
      </c>
    </row>
    <row r="44" spans="1:2" x14ac:dyDescent="0.25">
      <c r="A44" t="s">
        <v>8063</v>
      </c>
      <c r="B44" t="s">
        <v>2255</v>
      </c>
    </row>
    <row r="45" spans="1:2" x14ac:dyDescent="0.25">
      <c r="A45" t="s">
        <v>8063</v>
      </c>
      <c r="B45" t="s">
        <v>2172</v>
      </c>
    </row>
    <row r="46" spans="1:2" x14ac:dyDescent="0.25">
      <c r="A46" t="s">
        <v>8065</v>
      </c>
      <c r="B46" t="s">
        <v>4865</v>
      </c>
    </row>
    <row r="47" spans="1:2" x14ac:dyDescent="0.25">
      <c r="A47" t="s">
        <v>8065</v>
      </c>
      <c r="B47" t="s">
        <v>2443</v>
      </c>
    </row>
    <row r="48" spans="1:2" x14ac:dyDescent="0.25">
      <c r="A48" t="s">
        <v>2443</v>
      </c>
      <c r="B48" t="s">
        <v>2501</v>
      </c>
    </row>
    <row r="49" spans="1:2" x14ac:dyDescent="0.25">
      <c r="A49" t="s">
        <v>2443</v>
      </c>
      <c r="B49" t="s">
        <v>2474</v>
      </c>
    </row>
    <row r="50" spans="1:2" x14ac:dyDescent="0.25">
      <c r="A50" t="s">
        <v>2443</v>
      </c>
      <c r="B50" t="s">
        <v>2484</v>
      </c>
    </row>
    <row r="51" spans="1:2" x14ac:dyDescent="0.25">
      <c r="A51" t="s">
        <v>8065</v>
      </c>
      <c r="B51" t="s">
        <v>4870</v>
      </c>
    </row>
    <row r="52" spans="1:2" x14ac:dyDescent="0.25">
      <c r="A52" t="s">
        <v>8067</v>
      </c>
      <c r="B52" t="s">
        <v>2382</v>
      </c>
    </row>
    <row r="53" spans="1:2" x14ac:dyDescent="0.25">
      <c r="A53" t="s">
        <v>8067</v>
      </c>
      <c r="B53" t="s">
        <v>2105</v>
      </c>
    </row>
    <row r="54" spans="1:2" x14ac:dyDescent="0.25">
      <c r="A54" t="s">
        <v>8067</v>
      </c>
      <c r="B54" t="s">
        <v>2096</v>
      </c>
    </row>
    <row r="55" spans="1:2" x14ac:dyDescent="0.25">
      <c r="A55" t="s">
        <v>8067</v>
      </c>
      <c r="B55" t="s">
        <v>2321</v>
      </c>
    </row>
    <row r="56" spans="1:2" x14ac:dyDescent="0.25">
      <c r="A56" t="s">
        <v>8068</v>
      </c>
      <c r="B56" t="s">
        <v>2125</v>
      </c>
    </row>
    <row r="57" spans="1:2" x14ac:dyDescent="0.25">
      <c r="A57" t="s">
        <v>8068</v>
      </c>
      <c r="B57" t="s">
        <v>2090</v>
      </c>
    </row>
    <row r="58" spans="1:2" x14ac:dyDescent="0.25">
      <c r="A58" t="s">
        <v>8068</v>
      </c>
      <c r="B58" t="s">
        <v>2340</v>
      </c>
    </row>
    <row r="59" spans="1:2" x14ac:dyDescent="0.25">
      <c r="A59" t="s">
        <v>8068</v>
      </c>
      <c r="B59" t="s">
        <v>2325</v>
      </c>
    </row>
    <row r="60" spans="1:2" x14ac:dyDescent="0.25">
      <c r="A60" t="s">
        <v>8069</v>
      </c>
      <c r="B60" t="s">
        <v>2110</v>
      </c>
    </row>
    <row r="61" spans="1:2" x14ac:dyDescent="0.25">
      <c r="A61" t="s">
        <v>8069</v>
      </c>
      <c r="B61" t="s">
        <v>2401</v>
      </c>
    </row>
    <row r="62" spans="1:2" x14ac:dyDescent="0.25">
      <c r="A62" t="s">
        <v>8069</v>
      </c>
      <c r="B62" t="s">
        <v>2359</v>
      </c>
    </row>
    <row r="63" spans="1:2" x14ac:dyDescent="0.25">
      <c r="A63" t="s">
        <v>8066</v>
      </c>
      <c r="B63" t="s">
        <v>2053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DEF7C-A501-45F2-9530-E030E5295779}">
  <dimension ref="A1:G88"/>
  <sheetViews>
    <sheetView workbookViewId="0">
      <selection activeCell="A88" sqref="A1:G88"/>
    </sheetView>
  </sheetViews>
  <sheetFormatPr defaultRowHeight="15" x14ac:dyDescent="0.25"/>
  <cols>
    <col min="1" max="1" width="11.28515625" bestFit="1" customWidth="1"/>
    <col min="2" max="2" width="40.28515625" bestFit="1" customWidth="1"/>
  </cols>
  <sheetData>
    <row r="1" spans="1:7" x14ac:dyDescent="0.25">
      <c r="A1">
        <v>1000</v>
      </c>
    </row>
    <row r="2" spans="1:7" x14ac:dyDescent="0.25">
      <c r="A2" t="s">
        <v>7866</v>
      </c>
      <c r="B2" t="s">
        <v>7905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7867</v>
      </c>
      <c r="B3" t="s">
        <v>7905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7862</v>
      </c>
      <c r="B4" t="s">
        <v>7905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7864</v>
      </c>
      <c r="B5" t="s">
        <v>7905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7861</v>
      </c>
      <c r="B6" t="s">
        <v>7906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7865</v>
      </c>
      <c r="B7" t="s">
        <v>7907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7868</v>
      </c>
      <c r="B8" t="s">
        <v>7905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7869</v>
      </c>
      <c r="B9" t="s">
        <v>7905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7870</v>
      </c>
      <c r="B10" t="s">
        <v>7905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7871</v>
      </c>
      <c r="B11" t="s">
        <v>7905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7878</v>
      </c>
      <c r="B12" t="s">
        <v>7905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7872</v>
      </c>
      <c r="B13" t="s">
        <v>7905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7873</v>
      </c>
      <c r="B14" t="s">
        <v>7905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7874</v>
      </c>
      <c r="B15" t="s">
        <v>7905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7875</v>
      </c>
      <c r="B16" t="s">
        <v>7905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7" spans="1:7" x14ac:dyDescent="0.25">
      <c r="A17" t="s">
        <v>7876</v>
      </c>
      <c r="B17" t="s">
        <v>7905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</row>
    <row r="18" spans="1:7" x14ac:dyDescent="0.25">
      <c r="A18" t="s">
        <v>7877</v>
      </c>
      <c r="B18" t="s">
        <v>7905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</row>
    <row r="19" spans="1:7" x14ac:dyDescent="0.25">
      <c r="A19" t="s">
        <v>7954</v>
      </c>
      <c r="B19" t="s">
        <v>7924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</row>
    <row r="20" spans="1:7" x14ac:dyDescent="0.25">
      <c r="A20" t="s">
        <v>7956</v>
      </c>
      <c r="B20" t="s">
        <v>7925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</row>
    <row r="21" spans="1:7" x14ac:dyDescent="0.25">
      <c r="A21" t="s">
        <v>7957</v>
      </c>
      <c r="B21" t="s">
        <v>7926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</row>
    <row r="22" spans="1:7" x14ac:dyDescent="0.25">
      <c r="A22" t="s">
        <v>7958</v>
      </c>
      <c r="B22" t="s">
        <v>7928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</row>
    <row r="23" spans="1:7" x14ac:dyDescent="0.25">
      <c r="A23" t="s">
        <v>7959</v>
      </c>
      <c r="B23" t="s">
        <v>7929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</row>
    <row r="24" spans="1:7" x14ac:dyDescent="0.25">
      <c r="A24" t="s">
        <v>7960</v>
      </c>
      <c r="B24" t="s">
        <v>7930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</row>
    <row r="25" spans="1:7" x14ac:dyDescent="0.25">
      <c r="A25" t="s">
        <v>7961</v>
      </c>
      <c r="B25" t="s">
        <v>7932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</row>
    <row r="26" spans="1:7" x14ac:dyDescent="0.25">
      <c r="A26" t="s">
        <v>7962</v>
      </c>
      <c r="B26" t="s">
        <v>7934</v>
      </c>
      <c r="C26" t="s">
        <v>4938</v>
      </c>
      <c r="D26" t="s">
        <v>4938</v>
      </c>
      <c r="E26" t="s">
        <v>4938</v>
      </c>
      <c r="F26" t="s">
        <v>4938</v>
      </c>
      <c r="G26" t="s">
        <v>4938</v>
      </c>
    </row>
    <row r="27" spans="1:7" x14ac:dyDescent="0.25">
      <c r="A27" t="s">
        <v>7963</v>
      </c>
      <c r="B27" t="s">
        <v>7935</v>
      </c>
      <c r="C27" t="s">
        <v>4938</v>
      </c>
      <c r="D27" t="s">
        <v>4938</v>
      </c>
      <c r="E27" t="s">
        <v>4938</v>
      </c>
      <c r="F27" t="s">
        <v>4938</v>
      </c>
      <c r="G27" t="s">
        <v>4938</v>
      </c>
    </row>
    <row r="28" spans="1:7" x14ac:dyDescent="0.25">
      <c r="A28" t="s">
        <v>7964</v>
      </c>
      <c r="B28" t="s">
        <v>7936</v>
      </c>
      <c r="C28" t="s">
        <v>4938</v>
      </c>
      <c r="D28" t="s">
        <v>4938</v>
      </c>
      <c r="E28" t="s">
        <v>4938</v>
      </c>
      <c r="F28" t="s">
        <v>4938</v>
      </c>
      <c r="G28" t="s">
        <v>4938</v>
      </c>
    </row>
    <row r="29" spans="1:7" x14ac:dyDescent="0.25">
      <c r="A29" t="s">
        <v>7965</v>
      </c>
      <c r="B29" t="s">
        <v>7937</v>
      </c>
      <c r="C29" t="s">
        <v>4938</v>
      </c>
      <c r="D29" t="s">
        <v>4938</v>
      </c>
      <c r="E29" t="s">
        <v>4938</v>
      </c>
      <c r="F29" t="s">
        <v>4938</v>
      </c>
      <c r="G29" t="s">
        <v>4938</v>
      </c>
    </row>
    <row r="30" spans="1:7" x14ac:dyDescent="0.25">
      <c r="A30" t="s">
        <v>7966</v>
      </c>
      <c r="B30" t="s">
        <v>7938</v>
      </c>
      <c r="C30" t="s">
        <v>4938</v>
      </c>
      <c r="D30" t="s">
        <v>4938</v>
      </c>
      <c r="E30" t="s">
        <v>4938</v>
      </c>
      <c r="F30" t="s">
        <v>4938</v>
      </c>
      <c r="G30" t="s">
        <v>4938</v>
      </c>
    </row>
    <row r="31" spans="1:7" x14ac:dyDescent="0.25">
      <c r="A31" t="s">
        <v>7967</v>
      </c>
      <c r="B31" t="s">
        <v>7939</v>
      </c>
      <c r="C31" t="s">
        <v>4938</v>
      </c>
      <c r="D31" t="s">
        <v>4938</v>
      </c>
      <c r="E31" t="s">
        <v>4938</v>
      </c>
      <c r="F31" t="s">
        <v>4938</v>
      </c>
      <c r="G31" t="s">
        <v>4938</v>
      </c>
    </row>
    <row r="32" spans="1:7" x14ac:dyDescent="0.25">
      <c r="A32" t="s">
        <v>7968</v>
      </c>
      <c r="B32" t="s">
        <v>7940</v>
      </c>
      <c r="C32" t="s">
        <v>4938</v>
      </c>
      <c r="D32" t="s">
        <v>4938</v>
      </c>
      <c r="E32" t="s">
        <v>4938</v>
      </c>
      <c r="F32" t="s">
        <v>4938</v>
      </c>
      <c r="G32" t="s">
        <v>4938</v>
      </c>
    </row>
    <row r="33" spans="1:7" x14ac:dyDescent="0.25">
      <c r="A33" t="s">
        <v>7969</v>
      </c>
      <c r="B33" t="s">
        <v>7941</v>
      </c>
      <c r="C33" t="s">
        <v>4938</v>
      </c>
      <c r="D33" t="s">
        <v>4938</v>
      </c>
      <c r="E33" t="s">
        <v>4938</v>
      </c>
      <c r="F33" t="s">
        <v>4938</v>
      </c>
      <c r="G33" t="s">
        <v>4938</v>
      </c>
    </row>
    <row r="34" spans="1:7" x14ac:dyDescent="0.25">
      <c r="A34" t="s">
        <v>7970</v>
      </c>
      <c r="B34" t="s">
        <v>7942</v>
      </c>
      <c r="C34" t="s">
        <v>4938</v>
      </c>
      <c r="D34" t="s">
        <v>4938</v>
      </c>
      <c r="E34" t="s">
        <v>4938</v>
      </c>
      <c r="F34" t="s">
        <v>4938</v>
      </c>
      <c r="G34" t="s">
        <v>4938</v>
      </c>
    </row>
    <row r="35" spans="1:7" x14ac:dyDescent="0.25">
      <c r="A35" t="s">
        <v>7971</v>
      </c>
      <c r="B35" t="s">
        <v>7943</v>
      </c>
      <c r="C35" t="s">
        <v>4938</v>
      </c>
      <c r="D35" t="s">
        <v>4938</v>
      </c>
      <c r="E35" t="s">
        <v>4938</v>
      </c>
      <c r="F35" t="s">
        <v>4938</v>
      </c>
      <c r="G35" t="s">
        <v>4938</v>
      </c>
    </row>
    <row r="36" spans="1:7" x14ac:dyDescent="0.25">
      <c r="A36" t="s">
        <v>7972</v>
      </c>
      <c r="B36" t="s">
        <v>7944</v>
      </c>
      <c r="C36" t="s">
        <v>4938</v>
      </c>
      <c r="D36" t="s">
        <v>4938</v>
      </c>
      <c r="E36" t="s">
        <v>4938</v>
      </c>
      <c r="F36" t="s">
        <v>4938</v>
      </c>
      <c r="G36" t="s">
        <v>4938</v>
      </c>
    </row>
    <row r="37" spans="1:7" x14ac:dyDescent="0.25">
      <c r="A37" t="s">
        <v>7973</v>
      </c>
      <c r="B37" t="s">
        <v>7945</v>
      </c>
      <c r="C37" t="s">
        <v>4938</v>
      </c>
      <c r="D37" t="s">
        <v>4938</v>
      </c>
      <c r="E37" t="s">
        <v>4938</v>
      </c>
      <c r="F37" t="s">
        <v>4938</v>
      </c>
      <c r="G37" t="s">
        <v>4938</v>
      </c>
    </row>
    <row r="38" spans="1:7" x14ac:dyDescent="0.25">
      <c r="A38" t="s">
        <v>7974</v>
      </c>
      <c r="B38" t="s">
        <v>7946</v>
      </c>
      <c r="C38" t="s">
        <v>4938</v>
      </c>
      <c r="D38" t="s">
        <v>4938</v>
      </c>
      <c r="E38" t="s">
        <v>4938</v>
      </c>
      <c r="F38" t="s">
        <v>4938</v>
      </c>
      <c r="G38" t="s">
        <v>4938</v>
      </c>
    </row>
    <row r="39" spans="1:7" x14ac:dyDescent="0.25">
      <c r="A39" t="s">
        <v>7975</v>
      </c>
      <c r="B39" t="s">
        <v>7947</v>
      </c>
      <c r="C39" t="s">
        <v>4938</v>
      </c>
      <c r="D39" t="s">
        <v>4938</v>
      </c>
      <c r="E39" t="s">
        <v>4938</v>
      </c>
      <c r="F39" t="s">
        <v>4938</v>
      </c>
      <c r="G39" t="s">
        <v>4938</v>
      </c>
    </row>
    <row r="40" spans="1:7" x14ac:dyDescent="0.25">
      <c r="A40" t="s">
        <v>7976</v>
      </c>
      <c r="B40" t="s">
        <v>7944</v>
      </c>
      <c r="C40" t="s">
        <v>4938</v>
      </c>
      <c r="D40" t="s">
        <v>4938</v>
      </c>
      <c r="E40" t="s">
        <v>4938</v>
      </c>
      <c r="F40" t="s">
        <v>4938</v>
      </c>
      <c r="G40" t="s">
        <v>4938</v>
      </c>
    </row>
    <row r="41" spans="1:7" x14ac:dyDescent="0.25">
      <c r="A41" t="s">
        <v>7977</v>
      </c>
      <c r="B41" t="s">
        <v>7945</v>
      </c>
      <c r="C41" t="s">
        <v>4938</v>
      </c>
      <c r="D41" t="s">
        <v>4938</v>
      </c>
      <c r="E41" t="s">
        <v>4938</v>
      </c>
      <c r="F41" t="s">
        <v>4938</v>
      </c>
      <c r="G41" t="s">
        <v>4938</v>
      </c>
    </row>
    <row r="42" spans="1:7" x14ac:dyDescent="0.25">
      <c r="A42" t="s">
        <v>7978</v>
      </c>
      <c r="B42" t="s">
        <v>7946</v>
      </c>
      <c r="C42" t="s">
        <v>4938</v>
      </c>
      <c r="D42" t="s">
        <v>4938</v>
      </c>
      <c r="E42" t="s">
        <v>4938</v>
      </c>
      <c r="F42" t="s">
        <v>4938</v>
      </c>
      <c r="G42" t="s">
        <v>4938</v>
      </c>
    </row>
    <row r="43" spans="1:7" x14ac:dyDescent="0.25">
      <c r="A43" t="s">
        <v>7979</v>
      </c>
      <c r="B43" t="s">
        <v>7947</v>
      </c>
      <c r="C43" t="s">
        <v>4938</v>
      </c>
      <c r="D43" t="s">
        <v>4938</v>
      </c>
      <c r="E43" t="s">
        <v>4938</v>
      </c>
      <c r="F43" t="s">
        <v>4938</v>
      </c>
      <c r="G43" t="s">
        <v>4938</v>
      </c>
    </row>
    <row r="44" spans="1:7" x14ac:dyDescent="0.25">
      <c r="A44" t="s">
        <v>7980</v>
      </c>
      <c r="B44" t="s">
        <v>7948</v>
      </c>
      <c r="C44" t="s">
        <v>4938</v>
      </c>
      <c r="D44" t="s">
        <v>4938</v>
      </c>
      <c r="E44" t="s">
        <v>4938</v>
      </c>
      <c r="F44" t="s">
        <v>4938</v>
      </c>
      <c r="G44" t="s">
        <v>4938</v>
      </c>
    </row>
    <row r="45" spans="1:7" x14ac:dyDescent="0.25">
      <c r="A45" t="s">
        <v>7981</v>
      </c>
      <c r="B45" t="s">
        <v>7951</v>
      </c>
      <c r="C45" t="s">
        <v>4938</v>
      </c>
      <c r="D45" t="s">
        <v>4938</v>
      </c>
      <c r="E45" t="s">
        <v>4938</v>
      </c>
      <c r="F45" t="s">
        <v>4938</v>
      </c>
      <c r="G45" t="s">
        <v>4938</v>
      </c>
    </row>
    <row r="46" spans="1:7" x14ac:dyDescent="0.25">
      <c r="A46" t="s">
        <v>7952</v>
      </c>
      <c r="B46" t="s">
        <v>7951</v>
      </c>
      <c r="C46" t="s">
        <v>4938</v>
      </c>
      <c r="D46" t="s">
        <v>4938</v>
      </c>
      <c r="E46" t="s">
        <v>4938</v>
      </c>
      <c r="F46" t="s">
        <v>4938</v>
      </c>
      <c r="G46" t="s">
        <v>4938</v>
      </c>
    </row>
    <row r="47" spans="1:7" x14ac:dyDescent="0.25">
      <c r="A47" t="s">
        <v>653</v>
      </c>
      <c r="B47" t="s">
        <v>7983</v>
      </c>
      <c r="C47" t="s">
        <v>4938</v>
      </c>
      <c r="D47" t="s">
        <v>4938</v>
      </c>
      <c r="E47" t="s">
        <v>4938</v>
      </c>
      <c r="F47" t="s">
        <v>4938</v>
      </c>
      <c r="G47" t="s">
        <v>4938</v>
      </c>
    </row>
    <row r="48" spans="1:7" x14ac:dyDescent="0.25">
      <c r="A48" t="s">
        <v>1700</v>
      </c>
      <c r="B48" t="s">
        <v>7984</v>
      </c>
      <c r="C48" t="s">
        <v>4938</v>
      </c>
      <c r="D48" t="s">
        <v>4938</v>
      </c>
      <c r="E48" t="s">
        <v>4938</v>
      </c>
      <c r="F48" t="s">
        <v>4938</v>
      </c>
      <c r="G48" t="s">
        <v>4938</v>
      </c>
    </row>
    <row r="49" spans="1:7" x14ac:dyDescent="0.25">
      <c r="A49" t="s">
        <v>8035</v>
      </c>
      <c r="B49" t="s">
        <v>7987</v>
      </c>
      <c r="C49" t="s">
        <v>4938</v>
      </c>
      <c r="D49" t="s">
        <v>4938</v>
      </c>
      <c r="E49" t="s">
        <v>4938</v>
      </c>
      <c r="F49" t="s">
        <v>4938</v>
      </c>
      <c r="G49" t="s">
        <v>4938</v>
      </c>
    </row>
    <row r="50" spans="1:7" x14ac:dyDescent="0.25">
      <c r="A50" t="s">
        <v>8036</v>
      </c>
      <c r="B50" t="s">
        <v>7988</v>
      </c>
      <c r="C50" t="s">
        <v>4938</v>
      </c>
      <c r="D50" t="s">
        <v>4938</v>
      </c>
      <c r="E50" t="s">
        <v>4938</v>
      </c>
      <c r="F50" t="s">
        <v>4938</v>
      </c>
      <c r="G50" t="s">
        <v>4938</v>
      </c>
    </row>
    <row r="51" spans="1:7" x14ac:dyDescent="0.25">
      <c r="A51" t="s">
        <v>8037</v>
      </c>
      <c r="B51" t="s">
        <v>7989</v>
      </c>
      <c r="C51" t="s">
        <v>4938</v>
      </c>
      <c r="D51" t="s">
        <v>4938</v>
      </c>
      <c r="E51" t="s">
        <v>4938</v>
      </c>
      <c r="F51" t="s">
        <v>4938</v>
      </c>
      <c r="G51" t="s">
        <v>4938</v>
      </c>
    </row>
    <row r="52" spans="1:7" x14ac:dyDescent="0.25">
      <c r="A52" t="s">
        <v>8038</v>
      </c>
      <c r="B52" t="s">
        <v>7990</v>
      </c>
      <c r="C52" t="s">
        <v>4938</v>
      </c>
      <c r="D52" t="s">
        <v>4938</v>
      </c>
      <c r="E52" t="s">
        <v>4938</v>
      </c>
      <c r="F52" t="s">
        <v>4938</v>
      </c>
      <c r="G52" t="s">
        <v>4938</v>
      </c>
    </row>
    <row r="53" spans="1:7" x14ac:dyDescent="0.25">
      <c r="A53" t="s">
        <v>8039</v>
      </c>
      <c r="B53" t="s">
        <v>7991</v>
      </c>
      <c r="C53" t="s">
        <v>4938</v>
      </c>
      <c r="D53" t="s">
        <v>4938</v>
      </c>
      <c r="E53" t="s">
        <v>4938</v>
      </c>
      <c r="F53" t="s">
        <v>4938</v>
      </c>
      <c r="G53" t="s">
        <v>4938</v>
      </c>
    </row>
    <row r="54" spans="1:7" x14ac:dyDescent="0.25">
      <c r="A54" t="s">
        <v>8040</v>
      </c>
      <c r="B54" t="s">
        <v>7992</v>
      </c>
      <c r="C54" t="s">
        <v>4938</v>
      </c>
      <c r="D54" t="s">
        <v>4938</v>
      </c>
      <c r="E54" t="s">
        <v>4938</v>
      </c>
      <c r="F54" t="s">
        <v>4938</v>
      </c>
      <c r="G54" t="s">
        <v>4938</v>
      </c>
    </row>
    <row r="55" spans="1:7" x14ac:dyDescent="0.25">
      <c r="A55" t="s">
        <v>8041</v>
      </c>
      <c r="B55" t="s">
        <v>7993</v>
      </c>
      <c r="C55" t="s">
        <v>4938</v>
      </c>
      <c r="D55" t="s">
        <v>4938</v>
      </c>
      <c r="E55" t="s">
        <v>4938</v>
      </c>
      <c r="F55" t="s">
        <v>4938</v>
      </c>
      <c r="G55" t="s">
        <v>4938</v>
      </c>
    </row>
    <row r="56" spans="1:7" x14ac:dyDescent="0.25">
      <c r="A56" t="s">
        <v>8042</v>
      </c>
      <c r="B56" t="s">
        <v>7994</v>
      </c>
      <c r="C56" t="s">
        <v>4938</v>
      </c>
      <c r="D56" t="s">
        <v>4938</v>
      </c>
      <c r="E56" t="s">
        <v>4938</v>
      </c>
      <c r="F56" t="s">
        <v>4938</v>
      </c>
      <c r="G56" t="s">
        <v>4938</v>
      </c>
    </row>
    <row r="57" spans="1:7" x14ac:dyDescent="0.25">
      <c r="A57" t="s">
        <v>8043</v>
      </c>
      <c r="B57" t="s">
        <v>7995</v>
      </c>
      <c r="C57" t="s">
        <v>4938</v>
      </c>
      <c r="D57" t="s">
        <v>4938</v>
      </c>
      <c r="E57" t="s">
        <v>4938</v>
      </c>
      <c r="F57" t="s">
        <v>4938</v>
      </c>
      <c r="G57" t="s">
        <v>4938</v>
      </c>
    </row>
    <row r="58" spans="1:7" x14ac:dyDescent="0.25">
      <c r="A58" t="s">
        <v>8044</v>
      </c>
      <c r="B58" t="s">
        <v>7996</v>
      </c>
      <c r="C58" t="s">
        <v>4938</v>
      </c>
      <c r="D58" t="s">
        <v>4938</v>
      </c>
      <c r="E58" t="s">
        <v>4938</v>
      </c>
      <c r="F58" t="s">
        <v>4938</v>
      </c>
      <c r="G58" t="s">
        <v>4938</v>
      </c>
    </row>
    <row r="59" spans="1:7" x14ac:dyDescent="0.25">
      <c r="A59" t="s">
        <v>8045</v>
      </c>
      <c r="B59" t="s">
        <v>7997</v>
      </c>
      <c r="C59" t="s">
        <v>4938</v>
      </c>
      <c r="D59" t="s">
        <v>4938</v>
      </c>
      <c r="E59" t="s">
        <v>4938</v>
      </c>
      <c r="F59" t="s">
        <v>4938</v>
      </c>
      <c r="G59" t="s">
        <v>4938</v>
      </c>
    </row>
    <row r="60" spans="1:7" x14ac:dyDescent="0.25">
      <c r="A60" t="s">
        <v>8046</v>
      </c>
      <c r="B60" t="s">
        <v>7998</v>
      </c>
      <c r="C60" t="s">
        <v>4938</v>
      </c>
      <c r="D60" t="s">
        <v>4938</v>
      </c>
      <c r="E60" t="s">
        <v>4938</v>
      </c>
      <c r="F60" t="s">
        <v>4938</v>
      </c>
      <c r="G60" t="s">
        <v>4938</v>
      </c>
    </row>
    <row r="61" spans="1:7" x14ac:dyDescent="0.25">
      <c r="A61" t="s">
        <v>8047</v>
      </c>
      <c r="B61" t="s">
        <v>7999</v>
      </c>
      <c r="C61" t="s">
        <v>4938</v>
      </c>
      <c r="D61" t="s">
        <v>4938</v>
      </c>
      <c r="E61" t="s">
        <v>4938</v>
      </c>
      <c r="F61" t="s">
        <v>4938</v>
      </c>
      <c r="G61" t="s">
        <v>4938</v>
      </c>
    </row>
    <row r="62" spans="1:7" x14ac:dyDescent="0.25">
      <c r="A62" t="s">
        <v>8048</v>
      </c>
      <c r="B62" t="s">
        <v>8000</v>
      </c>
      <c r="C62" t="s">
        <v>4938</v>
      </c>
      <c r="D62" t="s">
        <v>4938</v>
      </c>
      <c r="E62" t="s">
        <v>4938</v>
      </c>
      <c r="F62" t="s">
        <v>4938</v>
      </c>
      <c r="G62" t="s">
        <v>4938</v>
      </c>
    </row>
    <row r="63" spans="1:7" x14ac:dyDescent="0.25">
      <c r="A63" t="s">
        <v>8049</v>
      </c>
      <c r="B63" t="s">
        <v>8001</v>
      </c>
      <c r="C63" t="s">
        <v>4938</v>
      </c>
      <c r="D63" t="s">
        <v>4938</v>
      </c>
      <c r="E63" t="s">
        <v>4938</v>
      </c>
      <c r="F63" t="s">
        <v>4938</v>
      </c>
      <c r="G63" t="s">
        <v>4938</v>
      </c>
    </row>
    <row r="64" spans="1:7" x14ac:dyDescent="0.25">
      <c r="A64" t="s">
        <v>8050</v>
      </c>
      <c r="B64" t="s">
        <v>8002</v>
      </c>
      <c r="C64" t="s">
        <v>4938</v>
      </c>
      <c r="D64" t="s">
        <v>4938</v>
      </c>
      <c r="E64" t="s">
        <v>4938</v>
      </c>
      <c r="F64" t="s">
        <v>4938</v>
      </c>
      <c r="G64" t="s">
        <v>4938</v>
      </c>
    </row>
    <row r="65" spans="1:7" x14ac:dyDescent="0.25">
      <c r="A65" t="s">
        <v>8051</v>
      </c>
      <c r="B65" t="s">
        <v>8003</v>
      </c>
      <c r="C65" t="s">
        <v>4938</v>
      </c>
      <c r="D65" t="s">
        <v>4938</v>
      </c>
      <c r="E65" t="s">
        <v>4938</v>
      </c>
      <c r="F65" t="s">
        <v>4938</v>
      </c>
      <c r="G65" t="s">
        <v>4938</v>
      </c>
    </row>
    <row r="66" spans="1:7" x14ac:dyDescent="0.25">
      <c r="A66" t="s">
        <v>8052</v>
      </c>
      <c r="B66" t="s">
        <v>8004</v>
      </c>
      <c r="C66" t="s">
        <v>4938</v>
      </c>
      <c r="D66" t="s">
        <v>4938</v>
      </c>
      <c r="E66" t="s">
        <v>4938</v>
      </c>
      <c r="F66" t="s">
        <v>4938</v>
      </c>
      <c r="G66" t="s">
        <v>4938</v>
      </c>
    </row>
    <row r="67" spans="1:7" x14ac:dyDescent="0.25">
      <c r="A67" t="s">
        <v>8053</v>
      </c>
      <c r="B67" t="s">
        <v>8005</v>
      </c>
      <c r="C67" t="s">
        <v>4938</v>
      </c>
      <c r="D67" t="s">
        <v>4938</v>
      </c>
      <c r="E67" t="s">
        <v>4938</v>
      </c>
      <c r="F67" t="s">
        <v>4938</v>
      </c>
      <c r="G67" t="s">
        <v>4938</v>
      </c>
    </row>
    <row r="68" spans="1:7" x14ac:dyDescent="0.25">
      <c r="A68" t="s">
        <v>8054</v>
      </c>
      <c r="B68" t="s">
        <v>8006</v>
      </c>
      <c r="C68" t="s">
        <v>4938</v>
      </c>
      <c r="D68" t="s">
        <v>4938</v>
      </c>
      <c r="E68" t="s">
        <v>4938</v>
      </c>
      <c r="F68" t="s">
        <v>4938</v>
      </c>
      <c r="G68" t="s">
        <v>4938</v>
      </c>
    </row>
    <row r="69" spans="1:7" x14ac:dyDescent="0.25">
      <c r="A69" t="s">
        <v>8055</v>
      </c>
      <c r="B69" t="s">
        <v>8007</v>
      </c>
      <c r="C69" t="s">
        <v>4938</v>
      </c>
      <c r="D69" t="s">
        <v>4938</v>
      </c>
      <c r="E69" t="s">
        <v>4938</v>
      </c>
      <c r="F69" t="s">
        <v>4938</v>
      </c>
      <c r="G69" t="s">
        <v>4938</v>
      </c>
    </row>
    <row r="70" spans="1:7" x14ac:dyDescent="0.25">
      <c r="A70" t="s">
        <v>8056</v>
      </c>
      <c r="B70" t="s">
        <v>8008</v>
      </c>
      <c r="C70" t="s">
        <v>4938</v>
      </c>
      <c r="D70" t="s">
        <v>4938</v>
      </c>
      <c r="E70" t="s">
        <v>4938</v>
      </c>
      <c r="F70" t="s">
        <v>4938</v>
      </c>
      <c r="G70" t="s">
        <v>4938</v>
      </c>
    </row>
    <row r="71" spans="1:7" x14ac:dyDescent="0.25">
      <c r="A71" t="s">
        <v>8057</v>
      </c>
      <c r="B71" t="s">
        <v>8009</v>
      </c>
      <c r="C71" t="s">
        <v>4938</v>
      </c>
      <c r="D71" t="s">
        <v>4938</v>
      </c>
      <c r="E71" t="s">
        <v>4938</v>
      </c>
      <c r="F71" t="s">
        <v>4938</v>
      </c>
      <c r="G71" t="s">
        <v>4938</v>
      </c>
    </row>
    <row r="72" spans="1:7" x14ac:dyDescent="0.25">
      <c r="A72" t="s">
        <v>8058</v>
      </c>
      <c r="B72" t="s">
        <v>8010</v>
      </c>
      <c r="C72" t="s">
        <v>4938</v>
      </c>
      <c r="D72" t="s">
        <v>4938</v>
      </c>
      <c r="E72" t="s">
        <v>4938</v>
      </c>
      <c r="F72" t="s">
        <v>4938</v>
      </c>
      <c r="G72" t="s">
        <v>4938</v>
      </c>
    </row>
    <row r="73" spans="1:7" x14ac:dyDescent="0.25">
      <c r="A73" t="s">
        <v>8059</v>
      </c>
      <c r="B73" t="s">
        <v>8011</v>
      </c>
      <c r="C73" t="s">
        <v>4938</v>
      </c>
      <c r="D73" t="s">
        <v>4938</v>
      </c>
      <c r="E73" t="s">
        <v>4938</v>
      </c>
      <c r="F73" t="s">
        <v>4938</v>
      </c>
      <c r="G73" t="s">
        <v>4938</v>
      </c>
    </row>
    <row r="74" spans="1:7" x14ac:dyDescent="0.25">
      <c r="A74" t="s">
        <v>8060</v>
      </c>
      <c r="B74" t="s">
        <v>8012</v>
      </c>
      <c r="C74" t="s">
        <v>4938</v>
      </c>
      <c r="D74" t="s">
        <v>4938</v>
      </c>
      <c r="E74" t="s">
        <v>4938</v>
      </c>
      <c r="F74" t="s">
        <v>4938</v>
      </c>
      <c r="G74" t="s">
        <v>4938</v>
      </c>
    </row>
    <row r="75" spans="1:7" x14ac:dyDescent="0.25">
      <c r="A75" t="s">
        <v>8061</v>
      </c>
      <c r="B75" t="s">
        <v>8013</v>
      </c>
      <c r="C75" t="s">
        <v>4938</v>
      </c>
      <c r="D75" t="s">
        <v>4938</v>
      </c>
      <c r="E75" t="s">
        <v>4938</v>
      </c>
      <c r="F75" t="s">
        <v>4938</v>
      </c>
      <c r="G75" t="s">
        <v>4938</v>
      </c>
    </row>
    <row r="76" spans="1:7" x14ac:dyDescent="0.25">
      <c r="A76" t="s">
        <v>8062</v>
      </c>
      <c r="B76" t="s">
        <v>8014</v>
      </c>
      <c r="C76" t="s">
        <v>4938</v>
      </c>
      <c r="D76" t="s">
        <v>4938</v>
      </c>
      <c r="E76" t="s">
        <v>4938</v>
      </c>
      <c r="F76" t="s">
        <v>4938</v>
      </c>
      <c r="G76" t="s">
        <v>4938</v>
      </c>
    </row>
    <row r="77" spans="1:7" x14ac:dyDescent="0.25">
      <c r="A77" t="s">
        <v>8063</v>
      </c>
      <c r="B77" t="s">
        <v>8015</v>
      </c>
      <c r="C77" t="s">
        <v>4938</v>
      </c>
      <c r="D77" t="s">
        <v>4938</v>
      </c>
      <c r="E77" t="s">
        <v>4938</v>
      </c>
      <c r="F77" t="s">
        <v>4938</v>
      </c>
      <c r="G77" t="s">
        <v>4938</v>
      </c>
    </row>
    <row r="78" spans="1:7" x14ac:dyDescent="0.25">
      <c r="A78" t="s">
        <v>8064</v>
      </c>
      <c r="B78" t="s">
        <v>8016</v>
      </c>
      <c r="C78" t="s">
        <v>4938</v>
      </c>
      <c r="D78" t="s">
        <v>4938</v>
      </c>
      <c r="E78" t="s">
        <v>4938</v>
      </c>
      <c r="F78" t="s">
        <v>4938</v>
      </c>
      <c r="G78" t="s">
        <v>4938</v>
      </c>
    </row>
    <row r="79" spans="1:7" x14ac:dyDescent="0.25">
      <c r="A79" t="s">
        <v>8065</v>
      </c>
      <c r="B79" t="s">
        <v>8017</v>
      </c>
      <c r="C79" t="s">
        <v>4938</v>
      </c>
      <c r="D79" t="s">
        <v>4938</v>
      </c>
      <c r="E79" t="s">
        <v>4938</v>
      </c>
      <c r="F79" t="s">
        <v>4938</v>
      </c>
      <c r="G79" t="s">
        <v>4938</v>
      </c>
    </row>
    <row r="80" spans="1:7" x14ac:dyDescent="0.25">
      <c r="A80" t="s">
        <v>8066</v>
      </c>
      <c r="B80" t="s">
        <v>8018</v>
      </c>
      <c r="C80" t="s">
        <v>4938</v>
      </c>
      <c r="D80" t="s">
        <v>4938</v>
      </c>
      <c r="E80" t="s">
        <v>4938</v>
      </c>
      <c r="F80" t="s">
        <v>4938</v>
      </c>
      <c r="G80" t="s">
        <v>4938</v>
      </c>
    </row>
    <row r="81" spans="1:7" x14ac:dyDescent="0.25">
      <c r="A81" t="s">
        <v>8067</v>
      </c>
      <c r="B81" t="s">
        <v>8019</v>
      </c>
      <c r="C81" t="s">
        <v>4938</v>
      </c>
      <c r="D81" t="s">
        <v>4938</v>
      </c>
      <c r="E81" t="s">
        <v>4938</v>
      </c>
      <c r="F81" t="s">
        <v>4938</v>
      </c>
      <c r="G81" t="s">
        <v>4938</v>
      </c>
    </row>
    <row r="82" spans="1:7" x14ac:dyDescent="0.25">
      <c r="A82" t="s">
        <v>8068</v>
      </c>
      <c r="B82" t="s">
        <v>8020</v>
      </c>
      <c r="C82" t="s">
        <v>4938</v>
      </c>
      <c r="D82" t="s">
        <v>4938</v>
      </c>
      <c r="E82" t="s">
        <v>4938</v>
      </c>
      <c r="F82" t="s">
        <v>4938</v>
      </c>
      <c r="G82" t="s">
        <v>4938</v>
      </c>
    </row>
    <row r="83" spans="1:7" x14ac:dyDescent="0.25">
      <c r="A83" t="s">
        <v>8069</v>
      </c>
      <c r="B83" t="s">
        <v>8021</v>
      </c>
      <c r="C83" t="s">
        <v>4938</v>
      </c>
      <c r="D83" t="s">
        <v>4938</v>
      </c>
      <c r="E83" t="s">
        <v>4938</v>
      </c>
      <c r="F83" t="s">
        <v>4938</v>
      </c>
      <c r="G83" t="s">
        <v>4938</v>
      </c>
    </row>
    <row r="84" spans="1:7" x14ac:dyDescent="0.25">
      <c r="A84" t="s">
        <v>4868</v>
      </c>
      <c r="B84" t="s">
        <v>8076</v>
      </c>
      <c r="C84" t="s">
        <v>4938</v>
      </c>
      <c r="D84" t="s">
        <v>4938</v>
      </c>
      <c r="E84" t="s">
        <v>4938</v>
      </c>
      <c r="F84" t="s">
        <v>4938</v>
      </c>
      <c r="G84" t="s">
        <v>4938</v>
      </c>
    </row>
    <row r="85" spans="1:7" x14ac:dyDescent="0.25">
      <c r="A85" t="s">
        <v>8075</v>
      </c>
      <c r="B85" t="s">
        <v>8077</v>
      </c>
      <c r="C85" t="s">
        <v>4938</v>
      </c>
      <c r="D85" t="s">
        <v>4938</v>
      </c>
      <c r="E85" t="s">
        <v>4938</v>
      </c>
      <c r="F85" t="s">
        <v>4938</v>
      </c>
      <c r="G85" t="s">
        <v>4938</v>
      </c>
    </row>
    <row r="86" spans="1:7" x14ac:dyDescent="0.25">
      <c r="A86" t="s">
        <v>3241</v>
      </c>
      <c r="B86" t="s">
        <v>8078</v>
      </c>
      <c r="C86" t="s">
        <v>4938</v>
      </c>
      <c r="D86" t="s">
        <v>4938</v>
      </c>
      <c r="E86" t="s">
        <v>4938</v>
      </c>
      <c r="F86" t="s">
        <v>4938</v>
      </c>
      <c r="G86" t="s">
        <v>4938</v>
      </c>
    </row>
    <row r="87" spans="1:7" x14ac:dyDescent="0.25">
      <c r="A87" t="s">
        <v>3243</v>
      </c>
      <c r="B87" t="s">
        <v>8033</v>
      </c>
      <c r="C87" t="s">
        <v>4938</v>
      </c>
      <c r="D87" t="s">
        <v>4938</v>
      </c>
      <c r="E87" t="s">
        <v>4938</v>
      </c>
      <c r="F87" t="s">
        <v>4938</v>
      </c>
      <c r="G87" t="s">
        <v>4938</v>
      </c>
    </row>
    <row r="88" spans="1:7" x14ac:dyDescent="0.25">
      <c r="A88" t="s">
        <v>3237</v>
      </c>
      <c r="B88" t="s">
        <v>8079</v>
      </c>
      <c r="C88" t="s">
        <v>4938</v>
      </c>
      <c r="D88" t="s">
        <v>4938</v>
      </c>
      <c r="E88" t="s">
        <v>4938</v>
      </c>
      <c r="F88" t="s">
        <v>4938</v>
      </c>
      <c r="G88" t="s">
        <v>4938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7069-2FD0-43B8-A006-A974E44049BD}">
  <dimension ref="A1:N57"/>
  <sheetViews>
    <sheetView topLeftCell="A7" workbookViewId="0">
      <selection activeCell="B1" sqref="B1:B57"/>
    </sheetView>
  </sheetViews>
  <sheetFormatPr defaultRowHeight="15" x14ac:dyDescent="0.25"/>
  <cols>
    <col min="1" max="1" width="51.5703125" bestFit="1" customWidth="1"/>
  </cols>
  <sheetData>
    <row r="1" spans="1:14" x14ac:dyDescent="0.25">
      <c r="A1" t="s">
        <v>8029</v>
      </c>
      <c r="B1" t="str">
        <f>IFERROR(VLOOKUP(A1,M:N,2,0),LEFT(A1,10))</f>
        <v>P000000555</v>
      </c>
      <c r="M1" t="s">
        <v>7987</v>
      </c>
      <c r="N1" t="s">
        <v>8035</v>
      </c>
    </row>
    <row r="2" spans="1:14" x14ac:dyDescent="0.25">
      <c r="A2" t="s">
        <v>8030</v>
      </c>
      <c r="B2" t="str">
        <f t="shared" ref="B2:B56" si="0">IFERROR(VLOOKUP(A2,M:N,2,0),LEFT(A2,10))</f>
        <v>P000000642</v>
      </c>
      <c r="M2" t="s">
        <v>7988</v>
      </c>
      <c r="N2" t="s">
        <v>8036</v>
      </c>
    </row>
    <row r="3" spans="1:14" x14ac:dyDescent="0.25">
      <c r="A3" t="s">
        <v>8030</v>
      </c>
      <c r="B3" t="str">
        <f t="shared" si="0"/>
        <v>P000000642</v>
      </c>
      <c r="M3" t="s">
        <v>7989</v>
      </c>
      <c r="N3" t="s">
        <v>8037</v>
      </c>
    </row>
    <row r="4" spans="1:14" x14ac:dyDescent="0.25">
      <c r="A4" t="s">
        <v>8031</v>
      </c>
      <c r="B4" t="str">
        <f t="shared" si="0"/>
        <v>P000000000</v>
      </c>
      <c r="M4" t="s">
        <v>7990</v>
      </c>
      <c r="N4" t="s">
        <v>8038</v>
      </c>
    </row>
    <row r="5" spans="1:14" x14ac:dyDescent="0.25">
      <c r="A5" t="s">
        <v>8035</v>
      </c>
      <c r="B5" t="str">
        <f t="shared" si="0"/>
        <v>P000001381</v>
      </c>
      <c r="M5" t="s">
        <v>7991</v>
      </c>
      <c r="N5" t="s">
        <v>8039</v>
      </c>
    </row>
    <row r="6" spans="1:14" x14ac:dyDescent="0.25">
      <c r="A6" t="s">
        <v>8022</v>
      </c>
      <c r="B6" t="str">
        <f t="shared" si="0"/>
        <v>P000000578</v>
      </c>
      <c r="M6" t="s">
        <v>7992</v>
      </c>
      <c r="N6" t="s">
        <v>8040</v>
      </c>
    </row>
    <row r="7" spans="1:14" x14ac:dyDescent="0.25">
      <c r="A7" t="s">
        <v>8022</v>
      </c>
      <c r="B7" t="str">
        <f t="shared" si="0"/>
        <v>P000000578</v>
      </c>
      <c r="M7" t="s">
        <v>7993</v>
      </c>
      <c r="N7" t="s">
        <v>8041</v>
      </c>
    </row>
    <row r="8" spans="1:14" x14ac:dyDescent="0.25">
      <c r="A8" t="s">
        <v>8022</v>
      </c>
      <c r="B8" t="str">
        <f t="shared" si="0"/>
        <v>P000000578</v>
      </c>
      <c r="M8" t="s">
        <v>7994</v>
      </c>
      <c r="N8" t="s">
        <v>8042</v>
      </c>
    </row>
    <row r="9" spans="1:14" x14ac:dyDescent="0.25">
      <c r="A9" t="s">
        <v>8022</v>
      </c>
      <c r="B9" t="str">
        <f t="shared" si="0"/>
        <v>P000000578</v>
      </c>
      <c r="M9" t="s">
        <v>7995</v>
      </c>
      <c r="N9" t="s">
        <v>8043</v>
      </c>
    </row>
    <row r="10" spans="1:14" x14ac:dyDescent="0.25">
      <c r="A10" t="s">
        <v>8025</v>
      </c>
      <c r="B10" t="str">
        <f t="shared" si="0"/>
        <v>P000000522</v>
      </c>
      <c r="M10" t="s">
        <v>7996</v>
      </c>
      <c r="N10" t="s">
        <v>8044</v>
      </c>
    </row>
    <row r="11" spans="1:14" x14ac:dyDescent="0.25">
      <c r="A11" t="s">
        <v>8023</v>
      </c>
      <c r="B11" t="str">
        <f t="shared" si="0"/>
        <v>P000000467</v>
      </c>
      <c r="M11" t="s">
        <v>7997</v>
      </c>
      <c r="N11" t="s">
        <v>8045</v>
      </c>
    </row>
    <row r="12" spans="1:14" x14ac:dyDescent="0.25">
      <c r="A12" t="s">
        <v>8023</v>
      </c>
      <c r="B12" t="str">
        <f t="shared" si="0"/>
        <v>P000000467</v>
      </c>
      <c r="M12" t="s">
        <v>7998</v>
      </c>
      <c r="N12" t="s">
        <v>8046</v>
      </c>
    </row>
    <row r="13" spans="1:14" x14ac:dyDescent="0.25">
      <c r="A13" t="s">
        <v>8026</v>
      </c>
      <c r="B13" t="str">
        <f t="shared" si="0"/>
        <v>P000001280</v>
      </c>
      <c r="M13" t="s">
        <v>7999</v>
      </c>
      <c r="N13" t="s">
        <v>8047</v>
      </c>
    </row>
    <row r="14" spans="1:14" x14ac:dyDescent="0.25">
      <c r="A14" t="s">
        <v>8026</v>
      </c>
      <c r="B14" t="str">
        <f t="shared" si="0"/>
        <v>P000001280</v>
      </c>
      <c r="M14" t="s">
        <v>8000</v>
      </c>
      <c r="N14" t="s">
        <v>8048</v>
      </c>
    </row>
    <row r="15" spans="1:14" x14ac:dyDescent="0.25">
      <c r="A15" t="s">
        <v>8026</v>
      </c>
      <c r="B15" t="str">
        <f t="shared" si="0"/>
        <v>P000001280</v>
      </c>
      <c r="M15" t="s">
        <v>8001</v>
      </c>
      <c r="N15" t="s">
        <v>8049</v>
      </c>
    </row>
    <row r="16" spans="1:14" x14ac:dyDescent="0.25">
      <c r="A16" t="s">
        <v>8044</v>
      </c>
      <c r="B16" t="str">
        <f t="shared" si="0"/>
        <v>P000001390</v>
      </c>
      <c r="M16" t="s">
        <v>8002</v>
      </c>
      <c r="N16" t="s">
        <v>8050</v>
      </c>
    </row>
    <row r="17" spans="1:14" x14ac:dyDescent="0.25">
      <c r="A17" t="s">
        <v>8044</v>
      </c>
      <c r="B17" t="str">
        <f t="shared" si="0"/>
        <v>P000001390</v>
      </c>
      <c r="M17" t="s">
        <v>8003</v>
      </c>
      <c r="N17" t="s">
        <v>8051</v>
      </c>
    </row>
    <row r="18" spans="1:14" x14ac:dyDescent="0.25">
      <c r="A18" t="s">
        <v>7997</v>
      </c>
      <c r="B18" t="str">
        <f t="shared" si="0"/>
        <v>P000001391</v>
      </c>
      <c r="M18" t="s">
        <v>8004</v>
      </c>
      <c r="N18" t="s">
        <v>8052</v>
      </c>
    </row>
    <row r="19" spans="1:14" x14ac:dyDescent="0.25">
      <c r="A19" t="s">
        <v>7997</v>
      </c>
      <c r="B19" t="str">
        <f t="shared" si="0"/>
        <v>P000001391</v>
      </c>
      <c r="M19" t="s">
        <v>8005</v>
      </c>
      <c r="N19" t="s">
        <v>8053</v>
      </c>
    </row>
    <row r="20" spans="1:14" x14ac:dyDescent="0.25">
      <c r="A20" t="s">
        <v>7997</v>
      </c>
      <c r="B20" t="str">
        <f t="shared" si="0"/>
        <v>P000001391</v>
      </c>
      <c r="M20" t="s">
        <v>8006</v>
      </c>
      <c r="N20" t="s">
        <v>8054</v>
      </c>
    </row>
    <row r="21" spans="1:14" x14ac:dyDescent="0.25">
      <c r="A21" t="s">
        <v>8024</v>
      </c>
      <c r="B21" t="str">
        <f t="shared" si="0"/>
        <v>P000000483</v>
      </c>
      <c r="M21" t="s">
        <v>8007</v>
      </c>
      <c r="N21" t="s">
        <v>8055</v>
      </c>
    </row>
    <row r="22" spans="1:14" x14ac:dyDescent="0.25">
      <c r="A22" t="s">
        <v>8048</v>
      </c>
      <c r="B22" t="str">
        <f t="shared" si="0"/>
        <v>P000001394</v>
      </c>
      <c r="M22" t="s">
        <v>8008</v>
      </c>
      <c r="N22" t="s">
        <v>8056</v>
      </c>
    </row>
    <row r="23" spans="1:14" x14ac:dyDescent="0.25">
      <c r="A23" t="s">
        <v>8048</v>
      </c>
      <c r="B23" t="str">
        <f t="shared" si="0"/>
        <v>P000001394</v>
      </c>
      <c r="M23" t="s">
        <v>8009</v>
      </c>
      <c r="N23" t="s">
        <v>8057</v>
      </c>
    </row>
    <row r="24" spans="1:14" x14ac:dyDescent="0.25">
      <c r="A24" t="s">
        <v>8027</v>
      </c>
      <c r="B24" t="str">
        <f t="shared" si="0"/>
        <v>P000000584</v>
      </c>
      <c r="M24" t="s">
        <v>8010</v>
      </c>
      <c r="N24" t="s">
        <v>8058</v>
      </c>
    </row>
    <row r="25" spans="1:14" x14ac:dyDescent="0.25">
      <c r="A25" t="s">
        <v>8006</v>
      </c>
      <c r="B25" t="str">
        <f t="shared" si="0"/>
        <v>P000001400</v>
      </c>
      <c r="M25" t="s">
        <v>8011</v>
      </c>
      <c r="N25" t="s">
        <v>8059</v>
      </c>
    </row>
    <row r="26" spans="1:14" x14ac:dyDescent="0.25">
      <c r="A26" t="s">
        <v>8006</v>
      </c>
      <c r="B26" t="str">
        <f t="shared" si="0"/>
        <v>P000001400</v>
      </c>
      <c r="M26" t="s">
        <v>8012</v>
      </c>
      <c r="N26" t="s">
        <v>8060</v>
      </c>
    </row>
    <row r="27" spans="1:14" x14ac:dyDescent="0.25">
      <c r="A27" t="s">
        <v>8008</v>
      </c>
      <c r="B27" t="str">
        <f t="shared" si="0"/>
        <v>P000001402</v>
      </c>
      <c r="M27" t="s">
        <v>8013</v>
      </c>
      <c r="N27" t="s">
        <v>8061</v>
      </c>
    </row>
    <row r="28" spans="1:14" x14ac:dyDescent="0.25">
      <c r="A28" t="s">
        <v>8008</v>
      </c>
      <c r="B28" t="str">
        <f t="shared" si="0"/>
        <v>P000001402</v>
      </c>
      <c r="M28" t="s">
        <v>8014</v>
      </c>
      <c r="N28" t="s">
        <v>8062</v>
      </c>
    </row>
    <row r="29" spans="1:14" x14ac:dyDescent="0.25">
      <c r="A29" t="s">
        <v>8010</v>
      </c>
      <c r="B29" t="str">
        <f t="shared" si="0"/>
        <v>P000001404</v>
      </c>
      <c r="M29" t="s">
        <v>8015</v>
      </c>
      <c r="N29" t="s">
        <v>8063</v>
      </c>
    </row>
    <row r="30" spans="1:14" x14ac:dyDescent="0.25">
      <c r="A30" t="s">
        <v>8010</v>
      </c>
      <c r="B30" t="str">
        <f t="shared" si="0"/>
        <v>P000001404</v>
      </c>
      <c r="M30" t="s">
        <v>8016</v>
      </c>
      <c r="N30" t="s">
        <v>8064</v>
      </c>
    </row>
    <row r="31" spans="1:14" x14ac:dyDescent="0.25">
      <c r="A31" t="s">
        <v>8011</v>
      </c>
      <c r="B31" t="str">
        <f t="shared" si="0"/>
        <v>P000001405</v>
      </c>
      <c r="M31" t="s">
        <v>8017</v>
      </c>
      <c r="N31" t="s">
        <v>8065</v>
      </c>
    </row>
    <row r="32" spans="1:14" x14ac:dyDescent="0.25">
      <c r="A32" t="s">
        <v>8011</v>
      </c>
      <c r="B32" t="str">
        <f t="shared" si="0"/>
        <v>P000001405</v>
      </c>
      <c r="M32" t="s">
        <v>8018</v>
      </c>
      <c r="N32" t="s">
        <v>8066</v>
      </c>
    </row>
    <row r="33" spans="1:14" x14ac:dyDescent="0.25">
      <c r="A33" t="s">
        <v>8011</v>
      </c>
      <c r="B33" t="str">
        <f t="shared" si="0"/>
        <v>P000001405</v>
      </c>
      <c r="M33" t="s">
        <v>8019</v>
      </c>
      <c r="N33" t="s">
        <v>8067</v>
      </c>
    </row>
    <row r="34" spans="1:14" x14ac:dyDescent="0.25">
      <c r="A34" t="s">
        <v>8014</v>
      </c>
      <c r="B34" t="str">
        <f t="shared" si="0"/>
        <v>P000001408</v>
      </c>
      <c r="M34" t="s">
        <v>8020</v>
      </c>
      <c r="N34" t="s">
        <v>8068</v>
      </c>
    </row>
    <row r="35" spans="1:14" x14ac:dyDescent="0.25">
      <c r="A35" t="s">
        <v>8014</v>
      </c>
      <c r="B35" t="str">
        <f t="shared" si="0"/>
        <v>P000001408</v>
      </c>
      <c r="M35" t="s">
        <v>8021</v>
      </c>
      <c r="N35" t="s">
        <v>8069</v>
      </c>
    </row>
    <row r="36" spans="1:14" x14ac:dyDescent="0.25">
      <c r="A36" t="s">
        <v>8014</v>
      </c>
      <c r="B36" t="str">
        <f t="shared" si="0"/>
        <v>P000001408</v>
      </c>
    </row>
    <row r="37" spans="1:14" x14ac:dyDescent="0.25">
      <c r="A37" t="s">
        <v>8015</v>
      </c>
      <c r="B37" t="str">
        <f t="shared" si="0"/>
        <v>P000001409</v>
      </c>
    </row>
    <row r="38" spans="1:14" x14ac:dyDescent="0.25">
      <c r="A38" t="s">
        <v>8015</v>
      </c>
      <c r="B38" t="str">
        <f t="shared" si="0"/>
        <v>P000001409</v>
      </c>
    </row>
    <row r="39" spans="1:14" x14ac:dyDescent="0.25">
      <c r="A39" t="s">
        <v>8015</v>
      </c>
      <c r="B39" t="str">
        <f t="shared" si="0"/>
        <v>P000001409</v>
      </c>
    </row>
    <row r="40" spans="1:14" x14ac:dyDescent="0.25">
      <c r="A40" t="s">
        <v>8017</v>
      </c>
      <c r="B40" t="str">
        <f t="shared" si="0"/>
        <v>P000001411</v>
      </c>
    </row>
    <row r="41" spans="1:14" x14ac:dyDescent="0.25">
      <c r="A41" t="s">
        <v>8017</v>
      </c>
      <c r="B41" t="str">
        <f t="shared" si="0"/>
        <v>P000001411</v>
      </c>
    </row>
    <row r="42" spans="1:14" x14ac:dyDescent="0.25">
      <c r="A42" t="s">
        <v>8028</v>
      </c>
      <c r="B42" t="str">
        <f t="shared" si="0"/>
        <v>P000000966</v>
      </c>
    </row>
    <row r="43" spans="1:14" x14ac:dyDescent="0.25">
      <c r="A43" t="s">
        <v>8028</v>
      </c>
      <c r="B43" t="str">
        <f t="shared" si="0"/>
        <v>P000000966</v>
      </c>
    </row>
    <row r="44" spans="1:14" x14ac:dyDescent="0.25">
      <c r="A44" t="s">
        <v>8028</v>
      </c>
      <c r="B44" t="str">
        <f t="shared" si="0"/>
        <v>P000000966</v>
      </c>
    </row>
    <row r="45" spans="1:14" x14ac:dyDescent="0.25">
      <c r="A45" t="s">
        <v>8017</v>
      </c>
      <c r="B45" t="str">
        <f t="shared" si="0"/>
        <v>P000001411</v>
      </c>
    </row>
    <row r="46" spans="1:14" x14ac:dyDescent="0.25">
      <c r="A46" t="s">
        <v>8019</v>
      </c>
      <c r="B46" t="str">
        <f t="shared" si="0"/>
        <v>P000001413</v>
      </c>
    </row>
    <row r="47" spans="1:14" x14ac:dyDescent="0.25">
      <c r="A47" t="s">
        <v>8019</v>
      </c>
      <c r="B47" t="str">
        <f t="shared" si="0"/>
        <v>P000001413</v>
      </c>
    </row>
    <row r="48" spans="1:14" x14ac:dyDescent="0.25">
      <c r="A48" t="s">
        <v>8019</v>
      </c>
      <c r="B48" t="str">
        <f t="shared" si="0"/>
        <v>P000001413</v>
      </c>
    </row>
    <row r="49" spans="1:2" x14ac:dyDescent="0.25">
      <c r="A49" t="s">
        <v>8019</v>
      </c>
      <c r="B49" t="str">
        <f t="shared" si="0"/>
        <v>P000001413</v>
      </c>
    </row>
    <row r="50" spans="1:2" x14ac:dyDescent="0.25">
      <c r="A50" t="s">
        <v>8020</v>
      </c>
      <c r="B50" t="str">
        <f t="shared" si="0"/>
        <v>P000001414</v>
      </c>
    </row>
    <row r="51" spans="1:2" x14ac:dyDescent="0.25">
      <c r="A51" t="s">
        <v>8020</v>
      </c>
      <c r="B51" t="str">
        <f t="shared" si="0"/>
        <v>P000001414</v>
      </c>
    </row>
    <row r="52" spans="1:2" x14ac:dyDescent="0.25">
      <c r="A52" t="s">
        <v>8020</v>
      </c>
      <c r="B52" t="str">
        <f t="shared" si="0"/>
        <v>P000001414</v>
      </c>
    </row>
    <row r="53" spans="1:2" x14ac:dyDescent="0.25">
      <c r="A53" t="s">
        <v>8020</v>
      </c>
      <c r="B53" t="str">
        <f t="shared" si="0"/>
        <v>P000001414</v>
      </c>
    </row>
    <row r="54" spans="1:2" x14ac:dyDescent="0.25">
      <c r="A54" t="s">
        <v>8021</v>
      </c>
      <c r="B54" t="str">
        <f t="shared" si="0"/>
        <v>P000001415</v>
      </c>
    </row>
    <row r="55" spans="1:2" x14ac:dyDescent="0.25">
      <c r="A55" t="s">
        <v>8021</v>
      </c>
      <c r="B55" t="str">
        <f t="shared" si="0"/>
        <v>P000001415</v>
      </c>
    </row>
    <row r="56" spans="1:2" x14ac:dyDescent="0.25">
      <c r="A56" t="s">
        <v>8021</v>
      </c>
      <c r="B56" t="str">
        <f t="shared" si="0"/>
        <v>P000001415</v>
      </c>
    </row>
    <row r="57" spans="1:2" x14ac:dyDescent="0.25">
      <c r="A57" t="s">
        <v>8032</v>
      </c>
      <c r="B57" t="s">
        <v>8066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BA1F7-D493-42D8-800C-07BF117DABCB}">
  <dimension ref="A1:C35"/>
  <sheetViews>
    <sheetView workbookViewId="0">
      <selection sqref="A1:A35"/>
    </sheetView>
  </sheetViews>
  <sheetFormatPr defaultRowHeight="15" x14ac:dyDescent="0.25"/>
  <cols>
    <col min="1" max="1" width="11.140625" bestFit="1" customWidth="1"/>
  </cols>
  <sheetData>
    <row r="1" spans="1:3" x14ac:dyDescent="0.25">
      <c r="A1" t="str">
        <f>"P00000"&amp;C1</f>
        <v>P000001381</v>
      </c>
      <c r="B1" t="s">
        <v>7987</v>
      </c>
      <c r="C1">
        <v>1381</v>
      </c>
    </row>
    <row r="2" spans="1:3" x14ac:dyDescent="0.25">
      <c r="A2" t="str">
        <f t="shared" ref="A2:A35" si="0">"P00000"&amp;C2</f>
        <v>P000001382</v>
      </c>
      <c r="B2" t="s">
        <v>7988</v>
      </c>
      <c r="C2">
        <f>+C1+1</f>
        <v>1382</v>
      </c>
    </row>
    <row r="3" spans="1:3" x14ac:dyDescent="0.25">
      <c r="A3" t="str">
        <f t="shared" si="0"/>
        <v>P000001383</v>
      </c>
      <c r="B3" t="s">
        <v>7989</v>
      </c>
      <c r="C3">
        <f t="shared" ref="C3:C35" si="1">+C2+1</f>
        <v>1383</v>
      </c>
    </row>
    <row r="4" spans="1:3" x14ac:dyDescent="0.25">
      <c r="A4" t="str">
        <f t="shared" si="0"/>
        <v>P000001384</v>
      </c>
      <c r="B4" t="s">
        <v>7990</v>
      </c>
      <c r="C4">
        <f t="shared" si="1"/>
        <v>1384</v>
      </c>
    </row>
    <row r="5" spans="1:3" x14ac:dyDescent="0.25">
      <c r="A5" t="str">
        <f t="shared" si="0"/>
        <v>P000001385</v>
      </c>
      <c r="B5" t="s">
        <v>7991</v>
      </c>
      <c r="C5">
        <f t="shared" si="1"/>
        <v>1385</v>
      </c>
    </row>
    <row r="6" spans="1:3" x14ac:dyDescent="0.25">
      <c r="A6" t="str">
        <f t="shared" si="0"/>
        <v>P000001386</v>
      </c>
      <c r="B6" t="s">
        <v>7992</v>
      </c>
      <c r="C6">
        <f t="shared" si="1"/>
        <v>1386</v>
      </c>
    </row>
    <row r="7" spans="1:3" x14ac:dyDescent="0.25">
      <c r="A7" t="str">
        <f t="shared" si="0"/>
        <v>P000001387</v>
      </c>
      <c r="B7" t="s">
        <v>7993</v>
      </c>
      <c r="C7">
        <f t="shared" si="1"/>
        <v>1387</v>
      </c>
    </row>
    <row r="8" spans="1:3" x14ac:dyDescent="0.25">
      <c r="A8" t="str">
        <f t="shared" si="0"/>
        <v>P000001388</v>
      </c>
      <c r="B8" t="s">
        <v>7994</v>
      </c>
      <c r="C8">
        <f t="shared" si="1"/>
        <v>1388</v>
      </c>
    </row>
    <row r="9" spans="1:3" x14ac:dyDescent="0.25">
      <c r="A9" t="str">
        <f t="shared" si="0"/>
        <v>P000001389</v>
      </c>
      <c r="B9" t="s">
        <v>7995</v>
      </c>
      <c r="C9">
        <f t="shared" si="1"/>
        <v>1389</v>
      </c>
    </row>
    <row r="10" spans="1:3" x14ac:dyDescent="0.25">
      <c r="A10" t="str">
        <f t="shared" si="0"/>
        <v>P000001390</v>
      </c>
      <c r="B10" t="s">
        <v>7996</v>
      </c>
      <c r="C10">
        <f t="shared" si="1"/>
        <v>1390</v>
      </c>
    </row>
    <row r="11" spans="1:3" x14ac:dyDescent="0.25">
      <c r="A11" t="str">
        <f t="shared" si="0"/>
        <v>P000001391</v>
      </c>
      <c r="B11" t="s">
        <v>7997</v>
      </c>
      <c r="C11">
        <f t="shared" si="1"/>
        <v>1391</v>
      </c>
    </row>
    <row r="12" spans="1:3" x14ac:dyDescent="0.25">
      <c r="A12" t="str">
        <f t="shared" si="0"/>
        <v>P000001392</v>
      </c>
      <c r="B12" t="s">
        <v>7998</v>
      </c>
      <c r="C12">
        <f t="shared" si="1"/>
        <v>1392</v>
      </c>
    </row>
    <row r="13" spans="1:3" x14ac:dyDescent="0.25">
      <c r="A13" t="str">
        <f t="shared" si="0"/>
        <v>P000001393</v>
      </c>
      <c r="B13" t="s">
        <v>7999</v>
      </c>
      <c r="C13">
        <f t="shared" si="1"/>
        <v>1393</v>
      </c>
    </row>
    <row r="14" spans="1:3" x14ac:dyDescent="0.25">
      <c r="A14" t="str">
        <f t="shared" si="0"/>
        <v>P000001394</v>
      </c>
      <c r="B14" t="s">
        <v>8000</v>
      </c>
      <c r="C14">
        <f t="shared" si="1"/>
        <v>1394</v>
      </c>
    </row>
    <row r="15" spans="1:3" x14ac:dyDescent="0.25">
      <c r="A15" t="str">
        <f t="shared" si="0"/>
        <v>P000001395</v>
      </c>
      <c r="B15" t="s">
        <v>8001</v>
      </c>
      <c r="C15">
        <f t="shared" si="1"/>
        <v>1395</v>
      </c>
    </row>
    <row r="16" spans="1:3" x14ac:dyDescent="0.25">
      <c r="A16" t="str">
        <f t="shared" si="0"/>
        <v>P000001396</v>
      </c>
      <c r="B16" t="s">
        <v>8002</v>
      </c>
      <c r="C16">
        <f t="shared" si="1"/>
        <v>1396</v>
      </c>
    </row>
    <row r="17" spans="1:3" x14ac:dyDescent="0.25">
      <c r="A17" t="str">
        <f t="shared" si="0"/>
        <v>P000001397</v>
      </c>
      <c r="B17" t="s">
        <v>8003</v>
      </c>
      <c r="C17">
        <f t="shared" si="1"/>
        <v>1397</v>
      </c>
    </row>
    <row r="18" spans="1:3" x14ac:dyDescent="0.25">
      <c r="A18" t="str">
        <f t="shared" si="0"/>
        <v>P000001398</v>
      </c>
      <c r="B18" t="s">
        <v>8004</v>
      </c>
      <c r="C18">
        <f t="shared" si="1"/>
        <v>1398</v>
      </c>
    </row>
    <row r="19" spans="1:3" x14ac:dyDescent="0.25">
      <c r="A19" t="str">
        <f t="shared" si="0"/>
        <v>P000001399</v>
      </c>
      <c r="B19" t="s">
        <v>8005</v>
      </c>
      <c r="C19">
        <f t="shared" si="1"/>
        <v>1399</v>
      </c>
    </row>
    <row r="20" spans="1:3" x14ac:dyDescent="0.25">
      <c r="A20" t="str">
        <f t="shared" si="0"/>
        <v>P000001400</v>
      </c>
      <c r="B20" t="s">
        <v>8006</v>
      </c>
      <c r="C20">
        <f t="shared" si="1"/>
        <v>1400</v>
      </c>
    </row>
    <row r="21" spans="1:3" x14ac:dyDescent="0.25">
      <c r="A21" t="str">
        <f t="shared" si="0"/>
        <v>P000001401</v>
      </c>
      <c r="B21" t="s">
        <v>8007</v>
      </c>
      <c r="C21">
        <f t="shared" si="1"/>
        <v>1401</v>
      </c>
    </row>
    <row r="22" spans="1:3" x14ac:dyDescent="0.25">
      <c r="A22" t="str">
        <f t="shared" si="0"/>
        <v>P000001402</v>
      </c>
      <c r="B22" t="s">
        <v>8008</v>
      </c>
      <c r="C22">
        <f t="shared" si="1"/>
        <v>1402</v>
      </c>
    </row>
    <row r="23" spans="1:3" x14ac:dyDescent="0.25">
      <c r="A23" t="str">
        <f t="shared" si="0"/>
        <v>P000001403</v>
      </c>
      <c r="B23" t="s">
        <v>8009</v>
      </c>
      <c r="C23">
        <f t="shared" si="1"/>
        <v>1403</v>
      </c>
    </row>
    <row r="24" spans="1:3" x14ac:dyDescent="0.25">
      <c r="A24" t="str">
        <f t="shared" si="0"/>
        <v>P000001404</v>
      </c>
      <c r="B24" t="s">
        <v>8010</v>
      </c>
      <c r="C24">
        <f t="shared" si="1"/>
        <v>1404</v>
      </c>
    </row>
    <row r="25" spans="1:3" x14ac:dyDescent="0.25">
      <c r="A25" t="str">
        <f t="shared" si="0"/>
        <v>P000001405</v>
      </c>
      <c r="B25" t="s">
        <v>8011</v>
      </c>
      <c r="C25">
        <f t="shared" si="1"/>
        <v>1405</v>
      </c>
    </row>
    <row r="26" spans="1:3" x14ac:dyDescent="0.25">
      <c r="A26" t="str">
        <f t="shared" si="0"/>
        <v>P000001406</v>
      </c>
      <c r="B26" t="s">
        <v>8012</v>
      </c>
      <c r="C26">
        <f t="shared" si="1"/>
        <v>1406</v>
      </c>
    </row>
    <row r="27" spans="1:3" x14ac:dyDescent="0.25">
      <c r="A27" t="str">
        <f t="shared" si="0"/>
        <v>P000001407</v>
      </c>
      <c r="B27" t="s">
        <v>8013</v>
      </c>
      <c r="C27">
        <f t="shared" si="1"/>
        <v>1407</v>
      </c>
    </row>
    <row r="28" spans="1:3" x14ac:dyDescent="0.25">
      <c r="A28" t="str">
        <f t="shared" si="0"/>
        <v>P000001408</v>
      </c>
      <c r="B28" t="s">
        <v>8014</v>
      </c>
      <c r="C28">
        <f t="shared" si="1"/>
        <v>1408</v>
      </c>
    </row>
    <row r="29" spans="1:3" x14ac:dyDescent="0.25">
      <c r="A29" t="str">
        <f t="shared" si="0"/>
        <v>P000001409</v>
      </c>
      <c r="B29" t="s">
        <v>8015</v>
      </c>
      <c r="C29">
        <f t="shared" si="1"/>
        <v>1409</v>
      </c>
    </row>
    <row r="30" spans="1:3" x14ac:dyDescent="0.25">
      <c r="A30" t="str">
        <f t="shared" si="0"/>
        <v>P000001410</v>
      </c>
      <c r="B30" t="s">
        <v>8016</v>
      </c>
      <c r="C30">
        <f t="shared" si="1"/>
        <v>1410</v>
      </c>
    </row>
    <row r="31" spans="1:3" x14ac:dyDescent="0.25">
      <c r="A31" t="str">
        <f t="shared" si="0"/>
        <v>P000001411</v>
      </c>
      <c r="B31" t="s">
        <v>8017</v>
      </c>
      <c r="C31">
        <f t="shared" si="1"/>
        <v>1411</v>
      </c>
    </row>
    <row r="32" spans="1:3" x14ac:dyDescent="0.25">
      <c r="A32" t="str">
        <f t="shared" si="0"/>
        <v>P000001412</v>
      </c>
      <c r="B32" t="s">
        <v>8018</v>
      </c>
      <c r="C32">
        <f t="shared" si="1"/>
        <v>1412</v>
      </c>
    </row>
    <row r="33" spans="1:3" x14ac:dyDescent="0.25">
      <c r="A33" t="str">
        <f t="shared" si="0"/>
        <v>P000001413</v>
      </c>
      <c r="B33" t="s">
        <v>8019</v>
      </c>
      <c r="C33">
        <f t="shared" si="1"/>
        <v>1413</v>
      </c>
    </row>
    <row r="34" spans="1:3" x14ac:dyDescent="0.25">
      <c r="A34" t="str">
        <f t="shared" si="0"/>
        <v>P000001414</v>
      </c>
      <c r="B34" t="s">
        <v>8020</v>
      </c>
      <c r="C34">
        <f t="shared" si="1"/>
        <v>1414</v>
      </c>
    </row>
    <row r="35" spans="1:3" x14ac:dyDescent="0.25">
      <c r="A35" t="str">
        <f t="shared" si="0"/>
        <v>P000001415</v>
      </c>
      <c r="B35" t="s">
        <v>8021</v>
      </c>
      <c r="C35">
        <f t="shared" si="1"/>
        <v>1415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D7D0F-EF2E-4984-96B8-325E87192E7F}">
  <dimension ref="A1:I26"/>
  <sheetViews>
    <sheetView workbookViewId="0">
      <selection activeCell="I26" sqref="I1:I26"/>
    </sheetView>
  </sheetViews>
  <sheetFormatPr defaultRowHeight="15" x14ac:dyDescent="0.25"/>
  <cols>
    <col min="1" max="1" width="11.28515625" bestFit="1" customWidth="1"/>
    <col min="2" max="2" width="40.28515625" bestFit="1" customWidth="1"/>
    <col min="3" max="3" width="40.28515625" customWidth="1"/>
    <col min="4" max="4" width="11.28515625" bestFit="1" customWidth="1"/>
    <col min="5" max="5" width="40.28515625" bestFit="1" customWidth="1"/>
  </cols>
  <sheetData>
    <row r="1" spans="1:9" x14ac:dyDescent="0.25">
      <c r="A1" t="s">
        <v>7954</v>
      </c>
      <c r="B1" t="s">
        <v>7924</v>
      </c>
      <c r="C1" t="str">
        <f>A1</f>
        <v>H000004866</v>
      </c>
      <c r="D1" t="s">
        <v>1125</v>
      </c>
      <c r="E1" t="e">
        <v>#N/A</v>
      </c>
      <c r="F1" s="47" t="s">
        <v>7955</v>
      </c>
      <c r="G1">
        <v>4866</v>
      </c>
      <c r="I1" t="s">
        <v>1125</v>
      </c>
    </row>
    <row r="2" spans="1:9" x14ac:dyDescent="0.25">
      <c r="A2" t="s">
        <v>7956</v>
      </c>
      <c r="B2" t="s">
        <v>7925</v>
      </c>
      <c r="C2" t="str">
        <f t="shared" ref="C2:C26" si="0">A2</f>
        <v>H000004867</v>
      </c>
      <c r="D2" t="s">
        <v>939</v>
      </c>
      <c r="E2" t="s">
        <v>7924</v>
      </c>
      <c r="F2" s="47" t="s">
        <v>7955</v>
      </c>
      <c r="G2">
        <f>+G1+1</f>
        <v>4867</v>
      </c>
      <c r="I2" t="str">
        <f>VLOOKUP(E2,B:C,2,0)</f>
        <v>H000004866</v>
      </c>
    </row>
    <row r="3" spans="1:9" x14ac:dyDescent="0.25">
      <c r="A3" t="s">
        <v>7957</v>
      </c>
      <c r="B3" t="s">
        <v>7926</v>
      </c>
      <c r="C3" t="str">
        <f t="shared" si="0"/>
        <v>H000004868</v>
      </c>
      <c r="D3" t="s">
        <v>939</v>
      </c>
      <c r="E3" t="s">
        <v>7924</v>
      </c>
      <c r="F3" s="47" t="s">
        <v>7955</v>
      </c>
      <c r="G3">
        <f t="shared" ref="G3:G26" si="1">+G2+1</f>
        <v>4868</v>
      </c>
      <c r="I3" t="str">
        <f t="shared" ref="I3:I25" si="2">VLOOKUP(E3,B:C,2,0)</f>
        <v>H000004866</v>
      </c>
    </row>
    <row r="4" spans="1:9" x14ac:dyDescent="0.25">
      <c r="A4" t="s">
        <v>7958</v>
      </c>
      <c r="B4" t="s">
        <v>7928</v>
      </c>
      <c r="C4" t="str">
        <f t="shared" si="0"/>
        <v>H000004869</v>
      </c>
      <c r="D4" t="s">
        <v>939</v>
      </c>
      <c r="E4" t="s">
        <v>7924</v>
      </c>
      <c r="F4" s="47" t="s">
        <v>7955</v>
      </c>
      <c r="G4">
        <f t="shared" si="1"/>
        <v>4869</v>
      </c>
      <c r="I4" t="str">
        <f t="shared" si="2"/>
        <v>H000004866</v>
      </c>
    </row>
    <row r="5" spans="1:9" x14ac:dyDescent="0.25">
      <c r="A5" t="s">
        <v>7959</v>
      </c>
      <c r="B5" t="s">
        <v>7929</v>
      </c>
      <c r="C5" t="str">
        <f t="shared" si="0"/>
        <v>H000004870</v>
      </c>
      <c r="D5" t="s">
        <v>939</v>
      </c>
      <c r="E5" t="s">
        <v>7924</v>
      </c>
      <c r="F5" s="47" t="s">
        <v>7955</v>
      </c>
      <c r="G5">
        <f t="shared" si="1"/>
        <v>4870</v>
      </c>
      <c r="I5" t="str">
        <f t="shared" si="2"/>
        <v>H000004866</v>
      </c>
    </row>
    <row r="6" spans="1:9" x14ac:dyDescent="0.25">
      <c r="A6" t="s">
        <v>7960</v>
      </c>
      <c r="B6" t="s">
        <v>7930</v>
      </c>
      <c r="C6" t="str">
        <f t="shared" si="0"/>
        <v>H000004871</v>
      </c>
      <c r="D6" t="s">
        <v>939</v>
      </c>
      <c r="E6" t="s">
        <v>7924</v>
      </c>
      <c r="F6" s="47" t="s">
        <v>7955</v>
      </c>
      <c r="G6">
        <f t="shared" si="1"/>
        <v>4871</v>
      </c>
      <c r="I6" t="str">
        <f t="shared" si="2"/>
        <v>H000004866</v>
      </c>
    </row>
    <row r="7" spans="1:9" x14ac:dyDescent="0.25">
      <c r="A7" t="s">
        <v>7961</v>
      </c>
      <c r="B7" t="s">
        <v>7932</v>
      </c>
      <c r="C7" t="str">
        <f t="shared" si="0"/>
        <v>H000004872</v>
      </c>
      <c r="D7" t="s">
        <v>941</v>
      </c>
      <c r="E7" t="s">
        <v>7925</v>
      </c>
      <c r="F7" s="47" t="s">
        <v>7955</v>
      </c>
      <c r="G7">
        <f t="shared" si="1"/>
        <v>4872</v>
      </c>
      <c r="I7" t="str">
        <f t="shared" si="2"/>
        <v>H000004867</v>
      </c>
    </row>
    <row r="8" spans="1:9" x14ac:dyDescent="0.25">
      <c r="A8" t="s">
        <v>7962</v>
      </c>
      <c r="B8" t="s">
        <v>7934</v>
      </c>
      <c r="C8" t="str">
        <f t="shared" si="0"/>
        <v>H000004873</v>
      </c>
      <c r="D8" t="s">
        <v>941</v>
      </c>
      <c r="E8" t="s">
        <v>7925</v>
      </c>
      <c r="F8" s="47" t="s">
        <v>7955</v>
      </c>
      <c r="G8">
        <f t="shared" si="1"/>
        <v>4873</v>
      </c>
      <c r="I8" t="str">
        <f t="shared" si="2"/>
        <v>H000004867</v>
      </c>
    </row>
    <row r="9" spans="1:9" x14ac:dyDescent="0.25">
      <c r="A9" t="s">
        <v>7963</v>
      </c>
      <c r="B9" t="s">
        <v>7935</v>
      </c>
      <c r="C9" t="str">
        <f t="shared" si="0"/>
        <v>H000004874</v>
      </c>
      <c r="D9" t="s">
        <v>943</v>
      </c>
      <c r="E9" t="s">
        <v>7926</v>
      </c>
      <c r="F9" s="47" t="s">
        <v>7955</v>
      </c>
      <c r="G9">
        <f t="shared" si="1"/>
        <v>4874</v>
      </c>
      <c r="I9" t="str">
        <f t="shared" si="2"/>
        <v>H000004868</v>
      </c>
    </row>
    <row r="10" spans="1:9" x14ac:dyDescent="0.25">
      <c r="A10" t="s">
        <v>7964</v>
      </c>
      <c r="B10" t="s">
        <v>7936</v>
      </c>
      <c r="C10" t="str">
        <f t="shared" si="0"/>
        <v>H000004875</v>
      </c>
      <c r="D10" t="s">
        <v>943</v>
      </c>
      <c r="E10" t="s">
        <v>7926</v>
      </c>
      <c r="F10" s="47" t="s">
        <v>7955</v>
      </c>
      <c r="G10">
        <f t="shared" si="1"/>
        <v>4875</v>
      </c>
      <c r="I10" t="str">
        <f t="shared" si="2"/>
        <v>H000004868</v>
      </c>
    </row>
    <row r="11" spans="1:9" x14ac:dyDescent="0.25">
      <c r="A11" t="s">
        <v>7965</v>
      </c>
      <c r="B11" t="s">
        <v>7937</v>
      </c>
      <c r="C11" t="str">
        <f t="shared" si="0"/>
        <v>H000004876</v>
      </c>
      <c r="D11" t="s">
        <v>943</v>
      </c>
      <c r="E11" t="s">
        <v>7926</v>
      </c>
      <c r="F11" s="47" t="s">
        <v>7955</v>
      </c>
      <c r="G11">
        <f t="shared" si="1"/>
        <v>4876</v>
      </c>
      <c r="I11" t="str">
        <f t="shared" si="2"/>
        <v>H000004868</v>
      </c>
    </row>
    <row r="12" spans="1:9" x14ac:dyDescent="0.25">
      <c r="A12" t="s">
        <v>7966</v>
      </c>
      <c r="B12" t="s">
        <v>7938</v>
      </c>
      <c r="C12" t="str">
        <f t="shared" si="0"/>
        <v>H000004877</v>
      </c>
      <c r="D12" t="s">
        <v>7927</v>
      </c>
      <c r="E12" t="s">
        <v>7928</v>
      </c>
      <c r="F12" s="47" t="s">
        <v>7955</v>
      </c>
      <c r="G12">
        <f t="shared" si="1"/>
        <v>4877</v>
      </c>
      <c r="I12" t="str">
        <f t="shared" si="2"/>
        <v>H000004869</v>
      </c>
    </row>
    <row r="13" spans="1:9" x14ac:dyDescent="0.25">
      <c r="A13" t="s">
        <v>7967</v>
      </c>
      <c r="B13" t="s">
        <v>7939</v>
      </c>
      <c r="C13" t="str">
        <f t="shared" si="0"/>
        <v>H000004878</v>
      </c>
      <c r="D13" t="s">
        <v>7927</v>
      </c>
      <c r="E13" t="s">
        <v>7928</v>
      </c>
      <c r="F13" s="47" t="s">
        <v>7955</v>
      </c>
      <c r="G13">
        <f t="shared" si="1"/>
        <v>4878</v>
      </c>
      <c r="I13" t="str">
        <f t="shared" si="2"/>
        <v>H000004869</v>
      </c>
    </row>
    <row r="14" spans="1:9" x14ac:dyDescent="0.25">
      <c r="A14" t="s">
        <v>7968</v>
      </c>
      <c r="B14" t="s">
        <v>7940</v>
      </c>
      <c r="C14" t="str">
        <f t="shared" si="0"/>
        <v>H000004879</v>
      </c>
      <c r="D14" t="s">
        <v>7927</v>
      </c>
      <c r="E14" t="s">
        <v>7928</v>
      </c>
      <c r="F14" s="47" t="s">
        <v>7955</v>
      </c>
      <c r="G14">
        <f t="shared" si="1"/>
        <v>4879</v>
      </c>
      <c r="I14" t="str">
        <f t="shared" si="2"/>
        <v>H000004869</v>
      </c>
    </row>
    <row r="15" spans="1:9" x14ac:dyDescent="0.25">
      <c r="A15" t="s">
        <v>7969</v>
      </c>
      <c r="B15" t="s">
        <v>7941</v>
      </c>
      <c r="C15" t="str">
        <f t="shared" si="0"/>
        <v>H000004880</v>
      </c>
      <c r="D15" t="s">
        <v>7927</v>
      </c>
      <c r="E15" t="s">
        <v>7928</v>
      </c>
      <c r="F15" s="47" t="s">
        <v>7955</v>
      </c>
      <c r="G15">
        <f t="shared" si="1"/>
        <v>4880</v>
      </c>
      <c r="I15" t="str">
        <f t="shared" si="2"/>
        <v>H000004869</v>
      </c>
    </row>
    <row r="16" spans="1:9" x14ac:dyDescent="0.25">
      <c r="A16" t="s">
        <v>7970</v>
      </c>
      <c r="B16" t="s">
        <v>7942</v>
      </c>
      <c r="C16" t="str">
        <f t="shared" si="0"/>
        <v>H000004881</v>
      </c>
      <c r="D16" t="s">
        <v>7931</v>
      </c>
      <c r="E16" t="s">
        <v>7932</v>
      </c>
      <c r="F16" s="47" t="s">
        <v>7955</v>
      </c>
      <c r="G16">
        <f t="shared" si="1"/>
        <v>4881</v>
      </c>
      <c r="I16" t="str">
        <f t="shared" si="2"/>
        <v>H000004872</v>
      </c>
    </row>
    <row r="17" spans="1:9" x14ac:dyDescent="0.25">
      <c r="A17" t="s">
        <v>7971</v>
      </c>
      <c r="B17" t="s">
        <v>7943</v>
      </c>
      <c r="C17" t="str">
        <f t="shared" si="0"/>
        <v>H000004882</v>
      </c>
      <c r="D17" t="s">
        <v>7933</v>
      </c>
      <c r="E17" t="s">
        <v>7934</v>
      </c>
      <c r="F17" s="47" t="s">
        <v>7955</v>
      </c>
      <c r="G17">
        <f t="shared" si="1"/>
        <v>4882</v>
      </c>
      <c r="I17" t="str">
        <f t="shared" si="2"/>
        <v>H000004873</v>
      </c>
    </row>
    <row r="18" spans="1:9" x14ac:dyDescent="0.25">
      <c r="A18" t="s">
        <v>7972</v>
      </c>
      <c r="B18" t="s">
        <v>7944</v>
      </c>
      <c r="C18" t="str">
        <f t="shared" si="0"/>
        <v>H000004883</v>
      </c>
      <c r="D18" t="s">
        <v>7931</v>
      </c>
      <c r="E18" t="s">
        <v>7932</v>
      </c>
      <c r="F18" s="47" t="s">
        <v>7955</v>
      </c>
      <c r="G18">
        <f t="shared" si="1"/>
        <v>4883</v>
      </c>
      <c r="I18" t="str">
        <f t="shared" si="2"/>
        <v>H000004872</v>
      </c>
    </row>
    <row r="19" spans="1:9" x14ac:dyDescent="0.25">
      <c r="A19" t="s">
        <v>7973</v>
      </c>
      <c r="B19" t="s">
        <v>7945</v>
      </c>
      <c r="C19" t="str">
        <f t="shared" si="0"/>
        <v>H000004884</v>
      </c>
      <c r="D19" t="s">
        <v>7931</v>
      </c>
      <c r="E19" t="s">
        <v>7932</v>
      </c>
      <c r="F19" s="47" t="s">
        <v>7955</v>
      </c>
      <c r="G19">
        <f t="shared" si="1"/>
        <v>4884</v>
      </c>
      <c r="I19" t="str">
        <f t="shared" si="2"/>
        <v>H000004872</v>
      </c>
    </row>
    <row r="20" spans="1:9" x14ac:dyDescent="0.25">
      <c r="A20" t="s">
        <v>7974</v>
      </c>
      <c r="B20" t="s">
        <v>7946</v>
      </c>
      <c r="C20" t="str">
        <f t="shared" si="0"/>
        <v>H000004885</v>
      </c>
      <c r="D20" t="s">
        <v>7931</v>
      </c>
      <c r="E20" t="s">
        <v>7932</v>
      </c>
      <c r="F20" s="47" t="s">
        <v>7955</v>
      </c>
      <c r="G20">
        <f t="shared" si="1"/>
        <v>4885</v>
      </c>
      <c r="I20" t="str">
        <f t="shared" si="2"/>
        <v>H000004872</v>
      </c>
    </row>
    <row r="21" spans="1:9" x14ac:dyDescent="0.25">
      <c r="A21" t="s">
        <v>7975</v>
      </c>
      <c r="B21" t="s">
        <v>7947</v>
      </c>
      <c r="C21" t="str">
        <f t="shared" si="0"/>
        <v>H000004886</v>
      </c>
      <c r="D21" t="s">
        <v>7931</v>
      </c>
      <c r="E21" t="s">
        <v>7932</v>
      </c>
      <c r="F21" s="47" t="s">
        <v>7955</v>
      </c>
      <c r="G21">
        <f t="shared" si="1"/>
        <v>4886</v>
      </c>
      <c r="I21" t="str">
        <f t="shared" si="2"/>
        <v>H000004872</v>
      </c>
    </row>
    <row r="22" spans="1:9" x14ac:dyDescent="0.25">
      <c r="A22" t="s">
        <v>7976</v>
      </c>
      <c r="B22" t="s">
        <v>7944</v>
      </c>
      <c r="C22" t="str">
        <f t="shared" si="0"/>
        <v>H000004887</v>
      </c>
      <c r="D22" t="s">
        <v>7933</v>
      </c>
      <c r="E22" t="s">
        <v>7934</v>
      </c>
      <c r="F22" s="47" t="s">
        <v>7955</v>
      </c>
      <c r="G22">
        <f t="shared" si="1"/>
        <v>4887</v>
      </c>
      <c r="I22" t="str">
        <f t="shared" si="2"/>
        <v>H000004873</v>
      </c>
    </row>
    <row r="23" spans="1:9" x14ac:dyDescent="0.25">
      <c r="A23" t="s">
        <v>7977</v>
      </c>
      <c r="B23" t="s">
        <v>7945</v>
      </c>
      <c r="C23" t="str">
        <f t="shared" si="0"/>
        <v>H000004888</v>
      </c>
      <c r="D23" t="s">
        <v>7933</v>
      </c>
      <c r="E23" t="s">
        <v>7934</v>
      </c>
      <c r="F23" s="47" t="s">
        <v>7955</v>
      </c>
      <c r="G23">
        <f t="shared" si="1"/>
        <v>4888</v>
      </c>
      <c r="I23" t="str">
        <f t="shared" si="2"/>
        <v>H000004873</v>
      </c>
    </row>
    <row r="24" spans="1:9" x14ac:dyDescent="0.25">
      <c r="A24" t="s">
        <v>7978</v>
      </c>
      <c r="B24" t="s">
        <v>7946</v>
      </c>
      <c r="C24" t="str">
        <f t="shared" si="0"/>
        <v>H000004889</v>
      </c>
      <c r="D24" t="s">
        <v>7933</v>
      </c>
      <c r="E24" t="s">
        <v>7934</v>
      </c>
      <c r="F24" s="47" t="s">
        <v>7955</v>
      </c>
      <c r="G24">
        <f t="shared" si="1"/>
        <v>4889</v>
      </c>
      <c r="I24" t="str">
        <f t="shared" si="2"/>
        <v>H000004873</v>
      </c>
    </row>
    <row r="25" spans="1:9" x14ac:dyDescent="0.25">
      <c r="A25" t="s">
        <v>7979</v>
      </c>
      <c r="B25" t="s">
        <v>7947</v>
      </c>
      <c r="C25" t="str">
        <f t="shared" si="0"/>
        <v>H000004890</v>
      </c>
      <c r="D25" t="s">
        <v>7933</v>
      </c>
      <c r="E25" t="s">
        <v>7934</v>
      </c>
      <c r="F25" s="47" t="s">
        <v>7955</v>
      </c>
      <c r="G25">
        <f t="shared" si="1"/>
        <v>4890</v>
      </c>
      <c r="I25" t="str">
        <f t="shared" si="2"/>
        <v>H000004873</v>
      </c>
    </row>
    <row r="26" spans="1:9" x14ac:dyDescent="0.25">
      <c r="A26" t="s">
        <v>7980</v>
      </c>
      <c r="B26" t="s">
        <v>7948</v>
      </c>
      <c r="C26" t="str">
        <f t="shared" si="0"/>
        <v>H000004891</v>
      </c>
      <c r="D26" t="s">
        <v>1125</v>
      </c>
      <c r="E26" t="e">
        <v>#N/A</v>
      </c>
      <c r="F26" s="47" t="s">
        <v>7955</v>
      </c>
      <c r="G26">
        <f t="shared" si="1"/>
        <v>4891</v>
      </c>
      <c r="I26" t="s">
        <v>1125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53E43-8612-43E9-B38C-9DD6AD087995}">
  <dimension ref="A1:G11"/>
  <sheetViews>
    <sheetView workbookViewId="0">
      <selection activeCell="O40" sqref="O40"/>
    </sheetView>
  </sheetViews>
  <sheetFormatPr defaultRowHeight="15" x14ac:dyDescent="0.25"/>
  <cols>
    <col min="1" max="1" width="16.42578125" bestFit="1" customWidth="1"/>
  </cols>
  <sheetData>
    <row r="1" spans="1:7" x14ac:dyDescent="0.25">
      <c r="A1">
        <v>1000</v>
      </c>
      <c r="B1" t="s">
        <v>7919</v>
      </c>
    </row>
    <row r="2" spans="1:7" x14ac:dyDescent="0.25">
      <c r="A2" t="s">
        <v>7920</v>
      </c>
      <c r="B2" t="s">
        <v>7914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7921</v>
      </c>
      <c r="B3" t="s">
        <v>7916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7922</v>
      </c>
      <c r="B4" t="s">
        <v>7917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8" spans="1:7" x14ac:dyDescent="0.25">
      <c r="A8">
        <v>1000</v>
      </c>
      <c r="B8" t="s">
        <v>7919</v>
      </c>
    </row>
    <row r="9" spans="1:7" x14ac:dyDescent="0.25">
      <c r="A9" t="s">
        <v>7915</v>
      </c>
      <c r="B9" t="s">
        <v>7920</v>
      </c>
    </row>
    <row r="10" spans="1:7" x14ac:dyDescent="0.25">
      <c r="A10" t="s">
        <v>7918</v>
      </c>
      <c r="B10" t="s">
        <v>7921</v>
      </c>
    </row>
    <row r="11" spans="1:7" x14ac:dyDescent="0.25">
      <c r="A11" t="s">
        <v>7918</v>
      </c>
      <c r="B11" t="s">
        <v>7922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F1052-6D10-4101-8000-C2734EC0542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>
        <f>IFERROR(VLOOKUP(Table2[[#This Row], [Ticket]],Okey!A:B,2,0),"")</f>
        <v>0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>
        <f>IFERROR(VLOOKUP(Table2[[#This Row], [Ticket]],Okey!A:B,2,0),"")</f>
        <v>0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>
        <f>IFERROR(VLOOKUP(Table2[[#This Row], [Ticket]],Okey!A:B,2,0),"")</f>
        <v>0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>
        <f>IFERROR(VLOOKUP(Table2[[#This Row], [Ticket]],Okey!A:B,2,0),"")</f>
        <v>0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>
        <f>IFERROR(VLOOKUP(Table2[[#This Row], [Ticket]],Okey!A:B,2,0),"")</f>
        <v>0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>
        <f>IFERROR(VLOOKUP(Table2[[#This Row], [Ticket]],Okey!A:B,2,0),"")</f>
        <v>0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>
        <f>IFERROR(VLOOKUP(Table2[[#This Row], [Ticket]],Okey!A:B,2,0),"")</f>
        <v>0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>
        <f>IFERROR(VLOOKUP(Table2[[#This Row], [Ticket]],Okey!A:B,2,0),"")</f>
        <v>0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>
        <f>IFERROR(VLOOKUP(Table2[[#This Row], [Ticket]],Okey!A:B,2,0),"")</f>
        <v>0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>
        <f>IFERROR(VLOOKUP(Table2[[#This Row], [Ticket]],Okey!A:B,2,0),"")</f>
        <v>0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>
        <f>IFERROR(VLOOKUP(Table2[[#This Row], [Ticket]],Okey!A:B,2,0),"")</f>
        <v>0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>
        <f>IFERROR(VLOOKUP(Table2[[#This Row], [Ticket]],Okey!A:B,2,0),"")</f>
        <v>0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>
        <f>IFERROR(VLOOKUP(Table2[[#This Row], [Ticket]],Okey!A:B,2,0),"")</f>
        <v>0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>
        <f>IFERROR(VLOOKUP(Table2[[#This Row], [Ticket]],Okey!A:B,2,0),"")</f>
        <v>0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>
        <f>IFERROR(VLOOKUP(Table2[[#This Row], [Ticket]],Okey!A:B,2,0),"")</f>
        <v>0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>
        <f>IFERROR(VLOOKUP(Table2[[#This Row], [Ticket]],Okey!A:B,2,0),"")</f>
        <v>0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>
        <f>IFERROR(VLOOKUP(Table2[[#This Row], [Ticket]],Okey!A:B,2,0),"")</f>
        <v>0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>
        <f>IFERROR(VLOOKUP(Table2[[#This Row], [Ticket]],Okey!A:B,2,0),"")</f>
        <v>0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>
        <f>IFERROR(VLOOKUP(Table2[[#This Row], [Ticket]],Okey!A:B,2,0),"")</f>
        <v>0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/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/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/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/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/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/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/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/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/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/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/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/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/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/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/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/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/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/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/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/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/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/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/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/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/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/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/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/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/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/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/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/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/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/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/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/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/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/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/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/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/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/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/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/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/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/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/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/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/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/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/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/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/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/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/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/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/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/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/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/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/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/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/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/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/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/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/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/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/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/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/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/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/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/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/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/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/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/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/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/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/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/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/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/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/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/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/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/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/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/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/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/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/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/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/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/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/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/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/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/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/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/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/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/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/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/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/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/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/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/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/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/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/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/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/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/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/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/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/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/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/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/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/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/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/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/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/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/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/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/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/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/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/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/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/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/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/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/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/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/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/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/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/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/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/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/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/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/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/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/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/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/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/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/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/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/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/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/>
      </c>
      <c r="I179" s="13" t="s">
        <v>276</v>
      </c>
      <c r="J179" s="22" t="e">
        <f>VLOOKUP(Table2[[#This Row], [Author]],People!A:B,2,0)</f>
        <v>#VALUE!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/>
      </c>
      <c r="I180" s="11" t="s">
        <v>276</v>
      </c>
      <c r="J180" s="19" t="e">
        <f>VLOOKUP(Table2[[#This Row], [Author]],People!A:B,2,0)</f>
        <v>#VALUE!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/>
      </c>
      <c r="I181" s="13" t="s">
        <v>276</v>
      </c>
      <c r="J181" s="22" t="e">
        <f>VLOOKUP(Table2[[#This Row], [Author]],People!A:B,2,0)</f>
        <v>#VALUE!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/>
      </c>
      <c r="I182" s="11" t="s">
        <v>276</v>
      </c>
      <c r="J182" s="19" t="e">
        <f>VLOOKUP(Table2[[#This Row], [Author]],People!A:B,2,0)</f>
        <v>#VALUE!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/>
      </c>
      <c r="I183" s="13" t="s">
        <v>276</v>
      </c>
      <c r="J183" s="22" t="e">
        <f>VLOOKUP(Table2[[#This Row], [Author]],People!A:B,2,0)</f>
        <v>#VALUE!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/>
      </c>
      <c r="I184" s="11" t="s">
        <v>276</v>
      </c>
      <c r="J184" s="19" t="e">
        <f>VLOOKUP(Table2[[#This Row], [Author]],People!A:B,2,0)</f>
        <v>#VALUE!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/>
      </c>
      <c r="I185" s="13" t="s">
        <v>276</v>
      </c>
      <c r="J185" s="22" t="e">
        <f>VLOOKUP(Table2[[#This Row], [Author]],People!A:B,2,0)</f>
        <v>#VALUE!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/>
      </c>
      <c r="I186" s="11" t="s">
        <v>276</v>
      </c>
      <c r="J186" s="19" t="e">
        <f>VLOOKUP(Table2[[#This Row], [Author]],People!A:B,2,0)</f>
        <v>#VALUE!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/>
      </c>
      <c r="I187" s="13" t="s">
        <v>276</v>
      </c>
      <c r="J187" s="22" t="e">
        <f>VLOOKUP(Table2[[#This Row], [Author]],People!A:B,2,0)</f>
        <v>#VALUE!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/>
      </c>
      <c r="I188" s="11" t="s">
        <v>276</v>
      </c>
      <c r="J188" s="19" t="e">
        <f>VLOOKUP(Table2[[#This Row], [Author]],People!A:B,2,0)</f>
        <v>#VALUE!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/>
      </c>
      <c r="I189" s="13" t="s">
        <v>276</v>
      </c>
      <c r="J189" s="22" t="e">
        <f>VLOOKUP(Table2[[#This Row], [Author]],People!A:B,2,0)</f>
        <v>#VALUE!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/>
      </c>
      <c r="I190" s="11" t="s">
        <v>276</v>
      </c>
      <c r="J190" s="19" t="e">
        <f>VLOOKUP(Table2[[#This Row], [Author]],People!A:B,2,0)</f>
        <v>#VALUE!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/>
      </c>
      <c r="I191" s="13" t="s">
        <v>276</v>
      </c>
      <c r="J191" s="22" t="e">
        <f>VLOOKUP(Table2[[#This Row], [Author]],People!A:B,2,0)</f>
        <v>#VALUE!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/>
      </c>
      <c r="I192" s="11" t="s">
        <v>276</v>
      </c>
      <c r="J192" s="19" t="e">
        <f>VLOOKUP(Table2[[#This Row], [Author]],People!A:B,2,0)</f>
        <v>#VALUE!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/>
      </c>
      <c r="I193" s="13" t="s">
        <v>276</v>
      </c>
      <c r="J193" s="22" t="e">
        <f>VLOOKUP(Table2[[#This Row], [Author]],People!A:B,2,0)</f>
        <v>#VALUE!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/>
      </c>
      <c r="I194" s="11" t="s">
        <v>276</v>
      </c>
      <c r="J194" s="19" t="e">
        <f>VLOOKUP(Table2[[#This Row], [Author]],People!A:B,2,0)</f>
        <v>#VALUE!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/>
      </c>
      <c r="I195" s="13" t="s">
        <v>276</v>
      </c>
      <c r="J195" s="22" t="e">
        <f>VLOOKUP(Table2[[#This Row], [Author]],People!A:B,2,0)</f>
        <v>#VALUE!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#VALUE!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#VALUE!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#VALUE!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#VALUE!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#VALUE!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#VALUE!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#VALUE!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#VALUE!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#VALUE!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e">
        <f>VLOOKUP(Table2[[#This Row], [Author]],People!A:B,2,0)</f>
        <v>#VALUE!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e">
        <f>VLOOKUP(Table2[[#This Row], [Author]],People!A:B,2,0)</f>
        <v>#VALUE!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e">
        <f>VLOOKUP(Table2[[#This Row], [Author]],People!A:B,2,0)</f>
        <v>#VALUE!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e">
        <f>VLOOKUP(Table2[[#This Row], [Author]],People!A:B,2,0)</f>
        <v>#VALUE!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e">
        <f>VLOOKUP(Table2[[#This Row], [Author]],People!A:B,2,0)</f>
        <v>#VALUE!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e">
        <f>VLOOKUP(Table2[[#This Row], [Author]],People!A:B,2,0)</f>
        <v>#VALUE!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e">
        <f>VLOOKUP(Table2[[#This Row], [Author]],People!A:B,2,0)</f>
        <v>#VALUE!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e">
        <f>VLOOKUP(Table2[[#This Row], [Author]],People!A:B,2,0)</f>
        <v>#VALUE!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e">
        <f>VLOOKUP(Table2[[#This Row], [Author]],People!A:B,2,0)</f>
        <v>#VALUE!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e">
        <f>VLOOKUP(Table2[[#This Row], [Author]],People!A:B,2,0)</f>
        <v>#VALUE!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e">
        <f>VLOOKUP(Table2[[#This Row], [Author]],People!A:B,2,0)</f>
        <v>#VALUE!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e">
        <f>VLOOKUP(Table2[[#This Row], [Author]],People!A:B,2,0)</f>
        <v>#VALUE!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e">
        <f>VLOOKUP(Table2[[#This Row], [Author]],People!A:B,2,0)</f>
        <v>#VALUE!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e">
        <f>VLOOKUP(Table2[[#This Row], [Author]],People!A:B,2,0)</f>
        <v>#VALUE!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e">
        <f>VLOOKUP(Table2[[#This Row], [Author]],People!A:B,2,0)</f>
        <v>#VALUE!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e">
        <f>VLOOKUP(Table2[[#This Row], [Author]],People!A:B,2,0)</f>
        <v>#VALUE!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e">
        <f>VLOOKUP(Table2[[#This Row], [Author]],People!A:B,2,0)</f>
        <v>#VALUE!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e">
        <f>VLOOKUP(Table2[[#This Row], [Author]],People!A:B,2,0)</f>
        <v>#VALUE!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e">
        <f>VLOOKUP(Table2[[#This Row], [Author]],People!A:B,2,0)</f>
        <v>#VALUE!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e">
        <f>VLOOKUP(Table2[[#This Row], [Author]],People!A:B,2,0)</f>
        <v>#VALUE!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e">
        <f>VLOOKUP(Table2[[#This Row], [Author]],People!A:B,2,0)</f>
        <v>#VALUE!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e">
        <f>VLOOKUP(Table2[[#This Row], [Author]],People!A:B,2,0)</f>
        <v>#VALUE!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e">
        <f>VLOOKUP(Table2[[#This Row], [Author]],People!A:B,2,0)</f>
        <v>#VALUE!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e">
        <f>VLOOKUP(Table2[[#This Row], [Author]],People!A:B,2,0)</f>
        <v>#VALUE!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e">
        <f>VLOOKUP(Table2[[#This Row], [Author]],People!A:B,2,0)</f>
        <v>#VALUE!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e">
        <f>VLOOKUP(Table2[[#This Row], [Author]],People!A:B,2,0)</f>
        <v>#VALUE!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e">
        <f>VLOOKUP(Table2[[#This Row], [Author]],People!A:B,2,0)</f>
        <v>#VALUE!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e">
        <f>VLOOKUP(Table2[[#This Row], [Author]],People!A:B,2,0)</f>
        <v>#VALUE!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e">
        <f>VLOOKUP(Table2[[#This Row], [Author]],People!A:B,2,0)</f>
        <v>#VALUE!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e">
        <f>VLOOKUP(Table2[[#This Row], [Author]],People!A:B,2,0)</f>
        <v>#VALUE!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e">
        <f>VLOOKUP(Table2[[#This Row], [Author]],People!A:B,2,0)</f>
        <v>#VALUE!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e">
        <f>VLOOKUP(Table2[[#This Row], [Author]],People!A:B,2,0)</f>
        <v>#VALUE!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e">
        <f>VLOOKUP(Table2[[#This Row], [Author]],People!A:B,2,0)</f>
        <v>#VALUE!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e">
        <f>VLOOKUP(Table2[[#This Row], [Author]],People!A:B,2,0)</f>
        <v>#VALUE!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e">
        <f>VLOOKUP(Table2[[#This Row], [Author]],People!A:B,2,0)</f>
        <v>#VALUE!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e">
        <f>VLOOKUP(Table2[[#This Row], [Author]],People!A:B,2,0)</f>
        <v>#VALUE!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e">
        <f>VLOOKUP(Table2[[#This Row], [Author]],People!A:B,2,0)</f>
        <v>#VALUE!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e">
        <f>VLOOKUP(Table2[[#This Row], [Author]],People!A:B,2,0)</f>
        <v>#VALUE!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e">
        <f>VLOOKUP(Table2[[#This Row], [Author]],People!A:B,2,0)</f>
        <v>#VALUE!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e">
        <f>VLOOKUP(Table2[[#This Row], [Author]],People!A:B,2,0)</f>
        <v>#VALUE!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e">
        <f>VLOOKUP(Table2[[#This Row], [Author]],People!A:B,2,0)</f>
        <v>#VALUE!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e">
        <f>VLOOKUP(Table2[[#This Row], [Author]],People!A:B,2,0)</f>
        <v>#VALUE!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e">
        <f>VLOOKUP(Table2[[#This Row], [Author]],People!A:B,2,0)</f>
        <v>#VALUE!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e">
        <f>VLOOKUP(Table2[[#This Row], [Author]],People!A:B,2,0)</f>
        <v>#VALUE!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e">
        <f>VLOOKUP(Table2[[#This Row], [Author]],People!A:B,2,0)</f>
        <v>#VALUE!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e">
        <f>VLOOKUP(Table2[[#This Row], [Author]],People!A:B,2,0)</f>
        <v>#VALUE!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e">
        <f>VLOOKUP(Table2[[#This Row], [Author]],People!A:B,2,0)</f>
        <v>#VALUE!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e">
        <f>VLOOKUP(Table2[[#This Row], [Author]],People!A:B,2,0)</f>
        <v>#VALUE!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e">
        <f>VLOOKUP(Table2[[#This Row], [Author]],People!A:B,2,0)</f>
        <v>#VALUE!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e">
        <f>VLOOKUP(Table2[[#This Row], [Author]],People!A:B,2,0)</f>
        <v>#VALUE!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e">
        <f>VLOOKUP(Table2[[#This Row], [Author]],People!A:B,2,0)</f>
        <v>#VALUE!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e">
        <f>VLOOKUP(Table2[[#This Row], [Author]],People!A:B,2,0)</f>
        <v>#VALUE!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e">
        <f>VLOOKUP(Table2[[#This Row], [Author]],People!A:B,2,0)</f>
        <v>#VALUE!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e">
        <f>VLOOKUP(Table2[[#This Row], [Author]],People!A:B,2,0)</f>
        <v>#VALUE!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e">
        <f>VLOOKUP(Table2[[#This Row], [Author]],People!A:B,2,0)</f>
        <v>#VALUE!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e">
        <f>VLOOKUP(Table2[[#This Row], [Author]],People!A:B,2,0)</f>
        <v>#VALUE!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e">
        <f>VLOOKUP(Table2[[#This Row], [Author]],People!A:B,2,0)</f>
        <v>#VALUE!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e">
        <f>VLOOKUP(Table2[[#This Row], [Author]],People!A:B,2,0)</f>
        <v>#VALUE!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e">
        <f>VLOOKUP(Table2[[#This Row], [Author]],People!A:B,2,0)</f>
        <v>#VALUE!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e">
        <f>VLOOKUP(Table2[[#This Row], [Author]],People!A:B,2,0)</f>
        <v>#VALUE!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e">
        <f>VLOOKUP(Table2[[#This Row], [Author]],People!A:B,2,0)</f>
        <v>#VALUE!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e">
        <f>VLOOKUP(Table2[[#This Row], [Author]],People!A:B,2,0)</f>
        <v>#VALUE!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e">
        <f>VLOOKUP(Table2[[#This Row], [Author]],People!A:B,2,0)</f>
        <v>#VALUE!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e">
        <f>VLOOKUP(Table2[[#This Row], [Author]],People!A:B,2,0)</f>
        <v>#VALUE!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e">
        <f>VLOOKUP(Table2[[#This Row], [Author]],People!A:B,2,0)</f>
        <v>#VALUE!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e">
        <f>VLOOKUP(Table2[[#This Row], [Author]],People!A:B,2,0)</f>
        <v>#VALUE!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e">
        <f>VLOOKUP(Table2[[#This Row], [Author]],People!A:B,2,0)</f>
        <v>#VALUE!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e">
        <f>VLOOKUP(Table2[[#This Row], [Author]],People!A:B,2,0)</f>
        <v>#VALUE!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e">
        <f>VLOOKUP(Table2[[#This Row], [Author]],People!A:B,2,0)</f>
        <v>#VALUE!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e">
        <f>VLOOKUP(Table2[[#This Row], [Author]],People!A:B,2,0)</f>
        <v>#VALUE!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e">
        <f>VLOOKUP(Table2[[#This Row], [Author]],People!A:B,2,0)</f>
        <v>#VALUE!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e">
        <f>VLOOKUP(Table2[[#This Row], [Author]],People!A:B,2,0)</f>
        <v>#VALUE!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e">
        <f>VLOOKUP(Table2[[#This Row], [Author]],People!A:B,2,0)</f>
        <v>#VALUE!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e">
        <f>VLOOKUP(Table2[[#This Row], [Author]],People!A:B,2,0)</f>
        <v>#VALUE!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e">
        <f>VLOOKUP(Table2[[#This Row], [Author]],People!A:B,2,0)</f>
        <v>#VALUE!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e">
        <f>VLOOKUP(Table2[[#This Row], [Author]],People!A:B,2,0)</f>
        <v>#VALUE!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e">
        <f>VLOOKUP(Table2[[#This Row], [Author]],People!A:B,2,0)</f>
        <v>#VALUE!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e">
        <f>VLOOKUP(Table2[[#This Row], [Author]],People!A:B,2,0)</f>
        <v>#VALUE!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e">
        <f>VLOOKUP(Table2[[#This Row], [Author]],People!A:B,2,0)</f>
        <v>#VALUE!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e">
        <f>VLOOKUP(Table2[[#This Row], [Author]],People!A:B,2,0)</f>
        <v>#VALUE!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e">
        <f>VLOOKUP(Table2[[#This Row], [Author]],People!A:B,2,0)</f>
        <v>#VALUE!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e">
        <f>VLOOKUP(Table2[[#This Row], [Author]],People!A:B,2,0)</f>
        <v>#VALUE!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e">
        <f>VLOOKUP(Table2[[#This Row], [Author]],People!A:B,2,0)</f>
        <v>#VALUE!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e">
        <f>VLOOKUP(Table2[[#This Row], [Author]],People!A:B,2,0)</f>
        <v>#VALUE!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e">
        <f>VLOOKUP(Table2[[#This Row], [Author]],People!A:B,2,0)</f>
        <v>#VALUE!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e">
        <f>VLOOKUP(Table2[[#This Row], [Author]],People!A:B,2,0)</f>
        <v>#VALUE!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e">
        <f>VLOOKUP(Table2[[#This Row], [Author]],People!A:B,2,0)</f>
        <v>#VALUE!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e">
        <f>VLOOKUP(Table2[[#This Row], [Author]],People!A:B,2,0)</f>
        <v>#VALUE!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e">
        <f>VLOOKUP(Table2[[#This Row], [Author]],People!A:B,2,0)</f>
        <v>#VALUE!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e">
        <f>VLOOKUP(Table2[[#This Row], [Author]],People!A:B,2,0)</f>
        <v>#VALUE!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e">
        <f>VLOOKUP(Table2[[#This Row], [Author]],People!A:B,2,0)</f>
        <v>#VALUE!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e">
        <f>VLOOKUP(Table2[[#This Row], [Author]],People!A:B,2,0)</f>
        <v>#VALUE!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e">
        <f>VLOOKUP(Table2[[#This Row], [Author]],People!A:B,2,0)</f>
        <v>#VALUE!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e">
        <f>VLOOKUP(Table2[[#This Row], [Author]],People!A:B,2,0)</f>
        <v>#VALUE!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e">
        <f>VLOOKUP(Table2[[#This Row], [Author]],People!A:B,2,0)</f>
        <v>#VALUE!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e">
        <f>VLOOKUP(Table2[[#This Row], [Author]],People!A:B,2,0)</f>
        <v>#VALUE!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e">
        <f>VLOOKUP(Table2[[#This Row], [Author]],People!A:B,2,0)</f>
        <v>#VALUE!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e">
        <f>VLOOKUP(Table2[[#This Row], [Author]],People!A:B,2,0)</f>
        <v>#VALUE!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e">
        <f>VLOOKUP(Table2[[#This Row], [Author]],People!A:B,2,0)</f>
        <v>#VALUE!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e">
        <f>VLOOKUP(Table2[[#This Row], [Author]],People!A:B,2,0)</f>
        <v>#VALUE!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e">
        <f>VLOOKUP(Table2[[#This Row], [Author]],People!A:B,2,0)</f>
        <v>#VALUE!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e">
        <f>VLOOKUP(Table2[[#This Row], [Author]],People!A:B,2,0)</f>
        <v>#VALUE!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e">
        <f>VLOOKUP(Table2[[#This Row], [Author]],People!A:B,2,0)</f>
        <v>#VALUE!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e">
        <f>VLOOKUP(Table2[[#This Row], [Author]],People!A:B,2,0)</f>
        <v>#VALUE!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e">
        <f>VLOOKUP(Table2[[#This Row], [Author]],People!A:B,2,0)</f>
        <v>#VALUE!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e">
        <f>VLOOKUP(Table2[[#This Row], [Author]],People!A:B,2,0)</f>
        <v>#VALUE!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e">
        <f>VLOOKUP(Table2[[#This Row], [Author]],People!A:B,2,0)</f>
        <v>#VALUE!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e">
        <f>VLOOKUP(Table2[[#This Row], [Author]],People!A:B,2,0)</f>
        <v>#VALUE!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e">
        <f>VLOOKUP(Table2[[#This Row], [Author]],People!A:B,2,0)</f>
        <v>#VALUE!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e">
        <f>VLOOKUP(Table2[[#This Row], [Author]],People!A:B,2,0)</f>
        <v>#VALUE!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e">
        <f>VLOOKUP(Table2[[#This Row], [Author]],People!A:B,2,0)</f>
        <v>#VALUE!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e">
        <f>VLOOKUP(Table2[[#This Row], [Author]],People!A:B,2,0)</f>
        <v>#VALUE!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e">
        <f>VLOOKUP(Table2[[#This Row], [Author]],People!A:B,2,0)</f>
        <v>#VALUE!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e">
        <f>VLOOKUP(Table2[[#This Row], [Author]],People!A:B,2,0)</f>
        <v>#VALUE!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e">
        <f>VLOOKUP(Table2[[#This Row], [Author]],People!A:B,2,0)</f>
        <v>#VALUE!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e">
        <f>VLOOKUP(Table2[[#This Row], [Author]],People!A:B,2,0)</f>
        <v>#VALUE!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e">
        <f>VLOOKUP(Table2[[#This Row], [Author]],People!A:B,2,0)</f>
        <v>#VALUE!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e">
        <f>VLOOKUP(Table2[[#This Row], [Author]],People!A:B,2,0)</f>
        <v>#VALUE!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e">
        <f>VLOOKUP(Table2[[#This Row], [Author]],People!A:B,2,0)</f>
        <v>#VALUE!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e">
        <f>VLOOKUP(Table2[[#This Row], [Author]],People!A:B,2,0)</f>
        <v>#VALUE!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e">
        <f>VLOOKUP(Table2[[#This Row], [Author]],People!A:B,2,0)</f>
        <v>#VALUE!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e">
        <f>VLOOKUP(Table2[[#This Row], [Author]],People!A:B,2,0)</f>
        <v>#VALUE!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e">
        <f>VLOOKUP(Table2[[#This Row], [Author]],People!A:B,2,0)</f>
        <v>#VALUE!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e">
        <f>VLOOKUP(Table2[[#This Row], [Author]],People!A:B,2,0)</f>
        <v>#VALUE!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e">
        <f>VLOOKUP(Table2[[#This Row], [Author]],People!A:B,2,0)</f>
        <v>#VALUE!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e">
        <f>VLOOKUP(Table2[[#This Row], [Author]],People!A:B,2,0)</f>
        <v>#VALUE!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e">
        <f>VLOOKUP(Table2[[#This Row], [Author]],People!A:B,2,0)</f>
        <v>#VALUE!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e">
        <f>VLOOKUP(Table2[[#This Row], [Author]],People!A:B,2,0)</f>
        <v>#VALUE!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e">
        <f>VLOOKUP(Table2[[#This Row], [Author]],People!A:B,2,0)</f>
        <v>#VALUE!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e">
        <f>VLOOKUP(Table2[[#This Row], [Author]],People!A:B,2,0)</f>
        <v>#VALUE!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e">
        <f>VLOOKUP(Table2[[#This Row], [Author]],People!A:B,2,0)</f>
        <v>#VALUE!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e">
        <f>VLOOKUP(Table2[[#This Row], [Author]],People!A:B,2,0)</f>
        <v>#VALUE!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e">
        <f>VLOOKUP(Table2[[#This Row], [Author]],People!A:B,2,0)</f>
        <v>#VALUE!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e">
        <f>VLOOKUP(Table2[[#This Row], [Author]],People!A:B,2,0)</f>
        <v>#VALUE!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e">
        <f>VLOOKUP(Table2[[#This Row], [Author]],People!A:B,2,0)</f>
        <v>#VALUE!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e">
        <f>VLOOKUP(Table2[[#This Row], [Author]],People!A:B,2,0)</f>
        <v>#VALUE!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e">
        <f>VLOOKUP(Table2[[#This Row], [Author]],People!A:B,2,0)</f>
        <v>#VALUE!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e">
        <f>VLOOKUP(Table2[[#This Row], [Author]],People!A:B,2,0)</f>
        <v>#VALUE!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e">
        <f>VLOOKUP(Table2[[#This Row], [Author]],People!A:B,2,0)</f>
        <v>#VALUE!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e">
        <f>VLOOKUP(Table2[[#This Row], [Author]],People!A:B,2,0)</f>
        <v>#VALUE!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e">
        <f>VLOOKUP(Table2[[#This Row], [Author]],People!A:B,2,0)</f>
        <v>#VALUE!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e">
        <f>VLOOKUP(Table2[[#This Row], [Author]],People!A:B,2,0)</f>
        <v>#VALUE!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e">
        <f>VLOOKUP(Table2[[#This Row], [Author]],People!A:B,2,0)</f>
        <v>#VALUE!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e">
        <f>VLOOKUP(Table2[[#This Row], [Author]],People!A:B,2,0)</f>
        <v>#VALUE!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e">
        <f>VLOOKUP(Table2[[#This Row], [Author]],People!A:B,2,0)</f>
        <v>#VALUE!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e">
        <f>VLOOKUP(Table2[[#This Row], [Author]],People!A:B,2,0)</f>
        <v>#VALUE!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e">
        <f>VLOOKUP(Table2[[#This Row], [Author]],People!A:B,2,0)</f>
        <v>#VALUE!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e">
        <f>VLOOKUP(Table2[[#This Row], [Author]],People!A:B,2,0)</f>
        <v>#VALUE!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e">
        <f>VLOOKUP(Table2[[#This Row], [Author]],People!A:B,2,0)</f>
        <v>#VALUE!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e">
        <f>VLOOKUP(Table2[[#This Row], [Author]],People!A:B,2,0)</f>
        <v>#VALUE!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e">
        <f>VLOOKUP(Table2[[#This Row], [Author]],People!A:B,2,0)</f>
        <v>#VALUE!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e">
        <f>VLOOKUP(Table2[[#This Row], [Author]],People!A:B,2,0)</f>
        <v>#VALUE!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e">
        <f>VLOOKUP(Table2[[#This Row], [Author]],People!A:B,2,0)</f>
        <v>#VALUE!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e">
        <f>VLOOKUP(Table2[[#This Row], [Author]],People!A:B,2,0)</f>
        <v>#VALUE!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e">
        <f>VLOOKUP(Table2[[#This Row], [Author]],People!A:B,2,0)</f>
        <v>#VALUE!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e">
        <f>VLOOKUP(Table2[[#This Row], [Author]],People!A:B,2,0)</f>
        <v>#VALUE!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e">
        <f>VLOOKUP(Table2[[#This Row], [Author]],People!A:B,2,0)</f>
        <v>#VALUE!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e">
        <f>VLOOKUP(Table2[[#This Row], [Author]],People!A:B,2,0)</f>
        <v>#VALUE!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e">
        <f>VLOOKUP(Table2[[#This Row], [Author]],People!A:B,2,0)</f>
        <v>#VALUE!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e">
        <f>VLOOKUP(Table2[[#This Row], [Author]],People!A:B,2,0)</f>
        <v>#VALUE!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e">
        <f>VLOOKUP(Table2[[#This Row], [Author]],People!A:B,2,0)</f>
        <v>#VALUE!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e">
        <f>VLOOKUP(Table2[[#This Row], [Author]],People!A:B,2,0)</f>
        <v>#VALUE!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e">
        <f>VLOOKUP(Table2[[#This Row], [Author]],People!A:B,2,0)</f>
        <v>#VALUE!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e">
        <f>VLOOKUP(Table2[[#This Row], [Author]],People!A:B,2,0)</f>
        <v>#VALUE!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e">
        <f>VLOOKUP(Table2[[#This Row], [Author]],People!A:B,2,0)</f>
        <v>#VALUE!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e">
        <f>VLOOKUP(Table2[[#This Row], [Author]],People!A:B,2,0)</f>
        <v>#VALUE!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e">
        <f>VLOOKUP(Table2[[#This Row], [Author]],People!A:B,2,0)</f>
        <v>#VALUE!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e">
        <f>VLOOKUP(Table2[[#This Row], [Author]],People!A:B,2,0)</f>
        <v>#VALUE!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e">
        <f>VLOOKUP(Table2[[#This Row], [Author]],People!A:B,2,0)</f>
        <v>#VALUE!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e">
        <f>VLOOKUP(Table2[[#This Row], [Author]],People!A:B,2,0)</f>
        <v>#VALUE!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e">
        <f>VLOOKUP(Table2[[#This Row], [Author]],People!A:B,2,0)</f>
        <v>#VALUE!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e">
        <f>VLOOKUP(Table2[[#This Row], [Author]],People!A:B,2,0)</f>
        <v>#VALUE!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e">
        <f>VLOOKUP(Table2[[#This Row], [Author]],People!A:B,2,0)</f>
        <v>#VALUE!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e">
        <f>VLOOKUP(Table2[[#This Row], [Author]],People!A:B,2,0)</f>
        <v>#VALUE!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e">
        <f>VLOOKUP(Table2[[#This Row], [Author]],People!A:B,2,0)</f>
        <v>#VALUE!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e">
        <f>VLOOKUP(Table2[[#This Row], [Author]],People!A:B,2,0)</f>
        <v>#VALUE!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e">
        <f>VLOOKUP(Table2[[#This Row], [Author]],People!A:B,2,0)</f>
        <v>#VALUE!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e">
        <f>VLOOKUP(Table2[[#This Row], [Author]],People!A:B,2,0)</f>
        <v>#VALUE!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e">
        <f>VLOOKUP(Table2[[#This Row], [Author]],People!A:B,2,0)</f>
        <v>#VALUE!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e">
        <f>VLOOKUP(Table2[[#This Row], [Author]],People!A:B,2,0)</f>
        <v>#VALUE!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e">
        <f>VLOOKUP(Table2[[#This Row], [Author]],People!A:B,2,0)</f>
        <v>#VALUE!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e">
        <f>VLOOKUP(Table2[[#This Row], [Author]],People!A:B,2,0)</f>
        <v>#VALUE!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e">
        <f>VLOOKUP(Table2[[#This Row], [Author]],People!A:B,2,0)</f>
        <v>#VALUE!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e">
        <f>VLOOKUP(Table2[[#This Row], [Author]],People!A:B,2,0)</f>
        <v>#VALUE!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e">
        <f>VLOOKUP(Table2[[#This Row], [Author]],People!A:B,2,0)</f>
        <v>#VALUE!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e">
        <f>VLOOKUP(Table2[[#This Row], [Author]],People!A:B,2,0)</f>
        <v>#VALUE!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e">
        <f>VLOOKUP(Table2[[#This Row], [Author]],People!A:B,2,0)</f>
        <v>#VALUE!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e">
        <f>VLOOKUP(Table2[[#This Row], [Author]],People!A:B,2,0)</f>
        <v>#VALUE!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e">
        <f>VLOOKUP(Table2[[#This Row], [Author]],People!A:B,2,0)</f>
        <v>#VALUE!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e">
        <f>VLOOKUP(Table2[[#This Row], [Author]],People!A:B,2,0)</f>
        <v>#VALUE!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e">
        <f>VLOOKUP(Table2[[#This Row], [Author]],People!A:B,2,0)</f>
        <v>#VALUE!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e">
        <f>VLOOKUP(Table2[[#This Row], [Author]],People!A:B,2,0)</f>
        <v>#VALUE!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e">
        <f>VLOOKUP(Table2[[#This Row], [Author]],People!A:B,2,0)</f>
        <v>#VALUE!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e">
        <f>VLOOKUP(Table2[[#This Row], [Author]],People!A:B,2,0)</f>
        <v>#VALUE!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e">
        <f>VLOOKUP(Table2[[#This Row], [Author]],People!A:B,2,0)</f>
        <v>#VALUE!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e">
        <f>VLOOKUP(Table2[[#This Row], [Author]],People!A:B,2,0)</f>
        <v>#VALUE!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e">
        <f>VLOOKUP(Table2[[#This Row], [Author]],People!A:B,2,0)</f>
        <v>#VALUE!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e">
        <f>VLOOKUP(Table2[[#This Row], [Author]],People!A:B,2,0)</f>
        <v>#VALUE!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e">
        <f>VLOOKUP(Table2[[#This Row], [Author]],People!A:B,2,0)</f>
        <v>#VALUE!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e">
        <f>VLOOKUP(Table2[[#This Row], [Author]],People!A:B,2,0)</f>
        <v>#VALUE!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e">
        <f>VLOOKUP(Table2[[#This Row], [Author]],People!A:B,2,0)</f>
        <v>#VALUE!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e">
        <f>VLOOKUP(Table2[[#This Row], [Author]],People!A:B,2,0)</f>
        <v>#VALUE!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e">
        <f>VLOOKUP(Table2[[#This Row], [Author]],People!A:B,2,0)</f>
        <v>#VALUE!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e">
        <f>VLOOKUP(Table2[[#This Row], [Author]],People!A:B,2,0)</f>
        <v>#VALUE!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e">
        <f>VLOOKUP(Table2[[#This Row], [Author]],People!A:B,2,0)</f>
        <v>#VALUE!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e">
        <f>VLOOKUP(Table2[[#This Row], [Author]],People!A:B,2,0)</f>
        <v>#VALUE!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e">
        <f>VLOOKUP(Table2[[#This Row], [Author]],People!A:B,2,0)</f>
        <v>#VALUE!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e">
        <f>VLOOKUP(Table2[[#This Row], [Author]],People!A:B,2,0)</f>
        <v>#VALUE!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e">
        <f>VLOOKUP(Table2[[#This Row], [Author]],People!A:B,2,0)</f>
        <v>#VALUE!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e">
        <f>VLOOKUP(Table2[[#This Row], [Author]],People!A:B,2,0)</f>
        <v>#VALUE!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e">
        <f>VLOOKUP(Table2[[#This Row], [Author]],People!A:B,2,0)</f>
        <v>#VALUE!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e">
        <f>VLOOKUP(Table2[[#This Row], [Author]],People!A:B,2,0)</f>
        <v>#VALUE!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e">
        <f>VLOOKUP(Table2[[#This Row], [Author]],People!A:B,2,0)</f>
        <v>#VALUE!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e">
        <f>VLOOKUP(Table2[[#This Row], [Author]],People!A:B,2,0)</f>
        <v>#VALUE!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e">
        <f>VLOOKUP(Table2[[#This Row], [Author]],People!A:B,2,0)</f>
        <v>#VALUE!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e">
        <f>VLOOKUP(Table2[[#This Row], [Author]],People!A:B,2,0)</f>
        <v>#VALUE!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e">
        <f>VLOOKUP(Table2[[#This Row], [Author]],People!A:B,2,0)</f>
        <v>#VALUE!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e">
        <f>VLOOKUP(Table2[[#This Row], [Author]],People!A:B,2,0)</f>
        <v>#VALUE!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e">
        <f>VLOOKUP(Table2[[#This Row], [Author]],People!A:B,2,0)</f>
        <v>#VALUE!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e">
        <f>VLOOKUP(Table2[[#This Row], [Author]],People!A:B,2,0)</f>
        <v>#VALUE!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e">
        <f>VLOOKUP(Table2[[#This Row], [Author]],People!A:B,2,0)</f>
        <v>#VALUE!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e">
        <f>VLOOKUP(Table2[[#This Row], [Author]],People!A:B,2,0)</f>
        <v>#VALUE!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e">
        <f>VLOOKUP(Table2[[#This Row], [Author]],People!A:B,2,0)</f>
        <v>#VALUE!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e">
        <f>VLOOKUP(Table2[[#This Row], [Author]],People!A:B,2,0)</f>
        <v>#VALUE!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e">
        <f>VLOOKUP(Table2[[#This Row], [Author]],People!A:B,2,0)</f>
        <v>#VALUE!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e">
        <f>VLOOKUP(Table2[[#This Row], [Author]],People!A:B,2,0)</f>
        <v>#VALUE!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e">
        <f>VLOOKUP(Table2[[#This Row], [Author]],People!A:B,2,0)</f>
        <v>#VALUE!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e">
        <f>VLOOKUP(Table2[[#This Row], [Author]],People!A:B,2,0)</f>
        <v>#VALUE!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e">
        <f>VLOOKUP(Table2[[#This Row], [Author]],People!A:B,2,0)</f>
        <v>#VALUE!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e">
        <f>VLOOKUP(Table2[[#This Row], [Author]],People!A:B,2,0)</f>
        <v>#VALUE!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e">
        <f>VLOOKUP(Table2[[#This Row], [Author]],People!A:B,2,0)</f>
        <v>#VALUE!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e">
        <f>VLOOKUP(Table2[[#This Row], [Author]],People!A:B,2,0)</f>
        <v>#VALUE!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e">
        <f>VLOOKUP(Table2[[#This Row], [Author]],People!A:B,2,0)</f>
        <v>#VALUE!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e">
        <f>VLOOKUP(Table2[[#This Row], [Author]],People!A:B,2,0)</f>
        <v>#VALUE!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e">
        <f>VLOOKUP(Table2[[#This Row], [Author]],People!A:B,2,0)</f>
        <v>#VALUE!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e">
        <f>VLOOKUP(Table2[[#This Row], [Author]],People!A:B,2,0)</f>
        <v>#VALUE!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e">
        <f>VLOOKUP(Table2[[#This Row], [Author]],People!A:B,2,0)</f>
        <v>#VALUE!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e">
        <f>VLOOKUP(Table2[[#This Row], [Author]],People!A:B,2,0)</f>
        <v>#VALUE!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e">
        <f>VLOOKUP(Table2[[#This Row], [Author]],People!A:B,2,0)</f>
        <v>#VALUE!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e">
        <f>VLOOKUP(Table2[[#This Row], [Author]],People!A:B,2,0)</f>
        <v>#VALUE!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e">
        <f>VLOOKUP(Table2[[#This Row], [Author]],People!A:B,2,0)</f>
        <v>#VALUE!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e">
        <f>VLOOKUP(Table2[[#This Row], [Author]],People!A:B,2,0)</f>
        <v>#VALUE!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e">
        <f>VLOOKUP(Table2[[#This Row], [Author]],People!A:B,2,0)</f>
        <v>#VALUE!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e">
        <f>VLOOKUP(Table2[[#This Row], [Author]],People!A:B,2,0)</f>
        <v>#VALUE!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e">
        <f>VLOOKUP(Table2[[#This Row], [Author]],People!A:B,2,0)</f>
        <v>#VALUE!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e">
        <f>VLOOKUP(Table2[[#This Row], [Author]],People!A:B,2,0)</f>
        <v>#VALUE!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e">
        <f>VLOOKUP(Table2[[#This Row], [Author]],People!A:B,2,0)</f>
        <v>#VALUE!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e">
        <f>VLOOKUP(Table2[[#This Row], [Author]],People!A:B,2,0)</f>
        <v>#VALUE!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e">
        <f>VLOOKUP(Table2[[#This Row], [Author]],People!A:B,2,0)</f>
        <v>#VALUE!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e">
        <f>VLOOKUP(Table2[[#This Row], [Author]],People!A:B,2,0)</f>
        <v>#VALUE!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e">
        <f>VLOOKUP(Table2[[#This Row], [Author]],People!A:B,2,0)</f>
        <v>#VALUE!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e">
        <f>VLOOKUP(Table2[[#This Row], [Author]],People!A:B,2,0)</f>
        <v>#VALUE!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e">
        <f>VLOOKUP(Table2[[#This Row], [Author]],People!A:B,2,0)</f>
        <v>#VALUE!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e">
        <f>VLOOKUP(Table2[[#This Row], [Author]],People!A:B,2,0)</f>
        <v>#VALUE!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e">
        <f>VLOOKUP(Table2[[#This Row], [Author]],People!A:B,2,0)</f>
        <v>#VALUE!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e">
        <f>VLOOKUP(Table2[[#This Row], [Author]],People!A:B,2,0)</f>
        <v>#VALUE!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e">
        <f>VLOOKUP(Table2[[#This Row], [Author]],People!A:B,2,0)</f>
        <v>#VALUE!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e">
        <f>VLOOKUP(Table2[[#This Row], [Author]],People!A:B,2,0)</f>
        <v>#VALUE!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e">
        <f>VLOOKUP(Table2[[#This Row], [Author]],People!A:B,2,0)</f>
        <v>#VALUE!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e">
        <f>VLOOKUP(Table2[[#This Row], [Author]],People!A:B,2,0)</f>
        <v>#VALUE!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e">
        <f>VLOOKUP(Table2[[#This Row], [Author]],People!A:B,2,0)</f>
        <v>#VALUE!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e">
        <f>VLOOKUP(Table2[[#This Row], [Author]],People!A:B,2,0)</f>
        <v>#VALUE!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e">
        <f>VLOOKUP(Table2[[#This Row], [Author]],People!A:B,2,0)</f>
        <v>#VALUE!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e">
        <f>VLOOKUP(Table2[[#This Row], [Author]],People!A:B,2,0)</f>
        <v>#VALUE!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e">
        <f>VLOOKUP(Table2[[#This Row], [Author]],People!A:B,2,0)</f>
        <v>#VALUE!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e">
        <f>VLOOKUP(Table2[[#This Row], [Author]],People!A:B,2,0)</f>
        <v>#VALUE!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e">
        <f>VLOOKUP(Table2[[#This Row], [Author]],People!A:B,2,0)</f>
        <v>#VALUE!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e">
        <f>VLOOKUP(Table2[[#This Row], [Author]],People!A:B,2,0)</f>
        <v>#VALUE!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e">
        <f>VLOOKUP(Table2[[#This Row], [Author]],People!A:B,2,0)</f>
        <v>#VALUE!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e">
        <f>VLOOKUP(Table2[[#This Row], [Author]],People!A:B,2,0)</f>
        <v>#VALUE!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e">
        <f>VLOOKUP(Table2[[#This Row], [Author]],People!A:B,2,0)</f>
        <v>#VALUE!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e">
        <f>VLOOKUP(Table2[[#This Row], [Author]],People!A:B,2,0)</f>
        <v>#VALUE!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e">
        <f>VLOOKUP(Table2[[#This Row], [Author]],People!A:B,2,0)</f>
        <v>#VALUE!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e">
        <f>VLOOKUP(Table2[[#This Row], [Author]],People!A:B,2,0)</f>
        <v>#VALUE!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e">
        <f>VLOOKUP(Table2[[#This Row], [Author]],People!A:B,2,0)</f>
        <v>#VALUE!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e">
        <f>VLOOKUP(Table2[[#This Row], [Author]],People!A:B,2,0)</f>
        <v>#VALUE!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e">
        <f>VLOOKUP(Table2[[#This Row], [Author]],People!A:B,2,0)</f>
        <v>#VALUE!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e">
        <f>VLOOKUP(Table2[[#This Row], [Author]],People!A:B,2,0)</f>
        <v>#VALUE!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e">
        <f>VLOOKUP(Table2[[#This Row], [Author]],People!A:B,2,0)</f>
        <v>#VALUE!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e">
        <f>VLOOKUP(Table2[[#This Row], [Author]],People!A:B,2,0)</f>
        <v>#VALUE!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e">
        <f>VLOOKUP(Table2[[#This Row], [Author]],People!A:B,2,0)</f>
        <v>#VALUE!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e">
        <f>VLOOKUP(Table2[[#This Row], [Author]],People!A:B,2,0)</f>
        <v>#VALUE!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e">
        <f>VLOOKUP(Table2[[#This Row], [Author]],People!A:B,2,0)</f>
        <v>#VALUE!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e">
        <f>VLOOKUP(Table2[[#This Row], [Author]],People!A:B,2,0)</f>
        <v>#VALUE!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e">
        <f>VLOOKUP(Table2[[#This Row], [Author]],People!A:B,2,0)</f>
        <v>#VALUE!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e">
        <f>VLOOKUP(Table2[[#This Row], [Author]],People!A:B,2,0)</f>
        <v>#VALUE!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e">
        <f>VLOOKUP(Table2[[#This Row], [Author]],People!A:B,2,0)</f>
        <v>#VALUE!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e">
        <f>VLOOKUP(Table2[[#This Row], [Author]],People!A:B,2,0)</f>
        <v>#VALUE!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e">
        <f>VLOOKUP(Table2[[#This Row], [Author]],People!A:B,2,0)</f>
        <v>#VALUE!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e">
        <f>VLOOKUP(Table2[[#This Row], [Author]],People!A:B,2,0)</f>
        <v>#VALUE!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e">
        <f>VLOOKUP(Table2[[#This Row], [Author]],People!A:B,2,0)</f>
        <v>#VALUE!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e">
        <f>VLOOKUP(Table2[[#This Row], [Author]],People!A:B,2,0)</f>
        <v>#VALUE!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e">
        <f>VLOOKUP(Table2[[#This Row], [Author]],People!A:B,2,0)</f>
        <v>#VALUE!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e">
        <f>VLOOKUP(Table2[[#This Row], [Author]],People!A:B,2,0)</f>
        <v>#VALUE!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e">
        <f>VLOOKUP(Table2[[#This Row], [Author]],People!A:B,2,0)</f>
        <v>#VALUE!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e">
        <f>VLOOKUP(Table2[[#This Row], [Author]],People!A:B,2,0)</f>
        <v>#VALUE!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e">
        <f>VLOOKUP(Table2[[#This Row], [Author]],People!A:B,2,0)</f>
        <v>#VALUE!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e">
        <f>VLOOKUP(Table2[[#This Row], [Author]],People!A:B,2,0)</f>
        <v>#VALUE!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e">
        <f>VLOOKUP(Table2[[#This Row], [Author]],People!A:B,2,0)</f>
        <v>#VALUE!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e">
        <f>VLOOKUP(Table2[[#This Row], [Author]],People!A:B,2,0)</f>
        <v>#VALUE!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e">
        <f>VLOOKUP(Table2[[#This Row], [Author]],People!A:B,2,0)</f>
        <v>#VALUE!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e">
        <f>VLOOKUP(Table2[[#This Row], [Author]],People!A:B,2,0)</f>
        <v>#VALUE!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e">
        <f>VLOOKUP(Table2[[#This Row], [Author]],People!A:B,2,0)</f>
        <v>#VALUE!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e">
        <f>VLOOKUP(Table2[[#This Row], [Author]],People!A:B,2,0)</f>
        <v>#VALUE!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e">
        <f>VLOOKUP(Table2[[#This Row], [Author]],People!A:B,2,0)</f>
        <v>#VALUE!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e">
        <f>VLOOKUP(Table2[[#This Row], [Author]],People!A:B,2,0)</f>
        <v>#VALUE!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e">
        <f>VLOOKUP(Table2[[#This Row], [Author]],People!A:B,2,0)</f>
        <v>#VALUE!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e">
        <f>VLOOKUP(Table2[[#This Row], [Author]],People!A:B,2,0)</f>
        <v>#VALUE!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e">
        <f>VLOOKUP(Table2[[#This Row], [Author]],People!A:B,2,0)</f>
        <v>#VALUE!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e">
        <f>VLOOKUP(Table2[[#This Row], [Author]],People!A:B,2,0)</f>
        <v>#VALUE!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e">
        <f>VLOOKUP(Table2[[#This Row], [Author]],People!A:B,2,0)</f>
        <v>#VALUE!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e">
        <f>VLOOKUP(Table2[[#This Row], [Author]],People!A:B,2,0)</f>
        <v>#VALUE!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e">
        <f>VLOOKUP(Table2[[#This Row], [Author]],People!A:B,2,0)</f>
        <v>#VALUE!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e">
        <f>VLOOKUP(Table2[[#This Row], [Author]],People!A:B,2,0)</f>
        <v>#VALUE!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e">
        <f>VLOOKUP(Table2[[#This Row], [Author]],People!A:B,2,0)</f>
        <v>#VALUE!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e">
        <f>VLOOKUP(Table2[[#This Row], [Author]],People!A:B,2,0)</f>
        <v>#VALUE!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e">
        <f>VLOOKUP(Table2[[#This Row], [Author]],People!A:B,2,0)</f>
        <v>#VALUE!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e">
        <f>VLOOKUP(Table2[[#This Row], [Author]],People!A:B,2,0)</f>
        <v>#VALUE!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e">
        <f>VLOOKUP(Table2[[#This Row], [Author]],People!A:B,2,0)</f>
        <v>#VALUE!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e">
        <f>VLOOKUP(Table2[[#This Row], [Author]],People!A:B,2,0)</f>
        <v>#VALUE!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e">
        <f>VLOOKUP(Table2[[#This Row], [Author]],People!A:B,2,0)</f>
        <v>#VALUE!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e">
        <f>VLOOKUP(Table2[[#This Row], [Author]],People!A:B,2,0)</f>
        <v>#VALUE!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e">
        <f>VLOOKUP(Table2[[#This Row], [Author]],People!A:B,2,0)</f>
        <v>#VALUE!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e">
        <f>VLOOKUP(Table2[[#This Row], [Author]],People!A:B,2,0)</f>
        <v>#VALUE!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e">
        <f>VLOOKUP(Table2[[#This Row], [Author]],People!A:B,2,0)</f>
        <v>#VALUE!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e">
        <f>VLOOKUP(Table2[[#This Row], [Author]],People!A:B,2,0)</f>
        <v>#VALUE!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e">
        <f>VLOOKUP(Table2[[#This Row], [Author]],People!A:B,2,0)</f>
        <v>#VALUE!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e">
        <f>VLOOKUP(Table2[[#This Row], [Author]],People!A:B,2,0)</f>
        <v>#VALUE!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e">
        <f>VLOOKUP(Table2[[#This Row], [Author]],People!A:B,2,0)</f>
        <v>#VALUE!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e">
        <f>VLOOKUP(Table2[[#This Row], [Author]],People!A:B,2,0)</f>
        <v>#VALUE!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e">
        <f>VLOOKUP(Table2[[#This Row], [Author]],People!A:B,2,0)</f>
        <v>#VALUE!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e">
        <f>VLOOKUP(Table2[[#This Row], [Author]],People!A:B,2,0)</f>
        <v>#VALUE!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e">
        <f>VLOOKUP(Table2[[#This Row], [Author]],People!A:B,2,0)</f>
        <v>#VALUE!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e">
        <f>VLOOKUP(Table2[[#This Row], [Author]],People!A:B,2,0)</f>
        <v>#VALUE!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e">
        <f>VLOOKUP(Table2[[#This Row], [Author]],People!A:B,2,0)</f>
        <v>#VALUE!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e">
        <f>VLOOKUP(Table2[[#This Row], [Author]],People!A:B,2,0)</f>
        <v>#VALUE!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e">
        <f>VLOOKUP(Table2[[#This Row], [Author]],People!A:B,2,0)</f>
        <v>#VALUE!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e">
        <f>VLOOKUP(Table2[[#This Row], [Author]],People!A:B,2,0)</f>
        <v>#VALUE!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e">
        <f>VLOOKUP(Table2[[#This Row], [Author]],People!A:B,2,0)</f>
        <v>#VALUE!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e">
        <f>VLOOKUP(Table2[[#This Row], [Author]],People!A:B,2,0)</f>
        <v>#VALUE!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e">
        <f>VLOOKUP(Table2[[#This Row], [Author]],People!A:B,2,0)</f>
        <v>#VALUE!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e">
        <f>VLOOKUP(Table2[[#This Row], [Author]],People!A:B,2,0)</f>
        <v>#VALUE!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e">
        <f>VLOOKUP(Table2[[#This Row], [Author]],People!A:B,2,0)</f>
        <v>#VALUE!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e">
        <f>VLOOKUP(Table2[[#This Row], [Author]],People!A:B,2,0)</f>
        <v>#VALUE!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e">
        <f>VLOOKUP(Table2[[#This Row], [Author]],People!A:B,2,0)</f>
        <v>#VALUE!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e">
        <f>VLOOKUP(Table2[[#This Row], [Author]],People!A:B,2,0)</f>
        <v>#VALUE!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e">
        <f>VLOOKUP(Table2[[#This Row], [Author]],People!A:B,2,0)</f>
        <v>#VALUE!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e">
        <f>VLOOKUP(Table2[[#This Row], [Author]],People!A:B,2,0)</f>
        <v>#VALUE!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e">
        <f>VLOOKUP(Table2[[#This Row], [Author]],People!A:B,2,0)</f>
        <v>#VALUE!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e">
        <f>VLOOKUP(Table2[[#This Row], [Author]],People!A:B,2,0)</f>
        <v>#VALUE!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e">
        <f>VLOOKUP(Table2[[#This Row], [Author]],People!A:B,2,0)</f>
        <v>#VALUE!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e">
        <f>VLOOKUP(Table2[[#This Row], [Author]],People!A:B,2,0)</f>
        <v>#VALUE!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e">
        <f>VLOOKUP(Table2[[#This Row], [Author]],People!A:B,2,0)</f>
        <v>#VALUE!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e">
        <f>VLOOKUP(Table2[[#This Row], [Author]],People!A:B,2,0)</f>
        <v>#VALUE!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e">
        <f>VLOOKUP(Table2[[#This Row], [Author]],People!A:B,2,0)</f>
        <v>#VALUE!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e">
        <f>VLOOKUP(Table2[[#This Row], [Author]],People!A:B,2,0)</f>
        <v>#VALUE!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e">
        <f>VLOOKUP(Table2[[#This Row], [Author]],People!A:B,2,0)</f>
        <v>#VALUE!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e">
        <f>VLOOKUP(Table2[[#This Row], [Author]],People!A:B,2,0)</f>
        <v>#VALUE!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e">
        <f>VLOOKUP(Table2[[#This Row], [Author]],People!A:B,2,0)</f>
        <v>#VALUE!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e">
        <f>VLOOKUP(Table2[[#This Row], [Author]],People!A:B,2,0)</f>
        <v>#VALUE!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e">
        <f>VLOOKUP(Table2[[#This Row], [Author]],People!A:B,2,0)</f>
        <v>#VALUE!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e">
        <f>VLOOKUP(Table2[[#This Row], [Author]],People!A:B,2,0)</f>
        <v>#VALUE!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e">
        <f>VLOOKUP(Table2[[#This Row], [Author]],People!A:B,2,0)</f>
        <v>#VALUE!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e">
        <f>VLOOKUP(Table2[[#This Row], [Author]],People!A:B,2,0)</f>
        <v>#VALUE!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e">
        <f>VLOOKUP(Table2[[#This Row], [Author]],People!A:B,2,0)</f>
        <v>#VALUE!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e">
        <f>VLOOKUP(Table2[[#This Row], [Author]],People!A:B,2,0)</f>
        <v>#VALUE!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e">
        <f>VLOOKUP(Table2[[#This Row], [Author]],People!A:B,2,0)</f>
        <v>#VALUE!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e">
        <f>VLOOKUP(Table2[[#This Row], [Author]],People!A:B,2,0)</f>
        <v>#VALUE!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e">
        <f>VLOOKUP(Table2[[#This Row], [Author]],People!A:B,2,0)</f>
        <v>#VALUE!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e">
        <f>VLOOKUP(Table2[[#This Row], [Author]],People!A:B,2,0)</f>
        <v>#VALUE!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e">
        <f>VLOOKUP(Table2[[#This Row], [Author]],People!A:B,2,0)</f>
        <v>#VALUE!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e">
        <f>VLOOKUP(Table2[[#This Row], [Author]],People!A:B,2,0)</f>
        <v>#VALUE!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e">
        <f>VLOOKUP(Table2[[#This Row], [Author]],People!A:B,2,0)</f>
        <v>#VALUE!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e">
        <f>VLOOKUP(Table2[[#This Row], [Author]],People!A:B,2,0)</f>
        <v>#VALUE!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e">
        <f>VLOOKUP(Table2[[#This Row], [Author]],People!A:B,2,0)</f>
        <v>#VALUE!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e">
        <f>VLOOKUP(Table2[[#This Row], [Author]],People!A:B,2,0)</f>
        <v>#VALUE!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e">
        <f>VLOOKUP(Table2[[#This Row], [Author]],People!A:B,2,0)</f>
        <v>#VALUE!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e">
        <f>VLOOKUP(Table2[[#This Row], [Author]],People!A:B,2,0)</f>
        <v>#VALUE!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e">
        <f>VLOOKUP(Table2[[#This Row], [Author]],People!A:B,2,0)</f>
        <v>#VALUE!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e">
        <f>VLOOKUP(Table2[[#This Row], [Author]],People!A:B,2,0)</f>
        <v>#VALUE!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e">
        <f>VLOOKUP(Table2[[#This Row], [Author]],People!A:B,2,0)</f>
        <v>#VALUE!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e">
        <f>VLOOKUP(Table2[[#This Row], [Author]],People!A:B,2,0)</f>
        <v>#VALUE!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e">
        <f>VLOOKUP(Table2[[#This Row], [Author]],People!A:B,2,0)</f>
        <v>#VALUE!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e">
        <f>VLOOKUP(Table2[[#This Row], [Author]],People!A:B,2,0)</f>
        <v>#VALUE!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e">
        <f>VLOOKUP(Table2[[#This Row], [Author]],People!A:B,2,0)</f>
        <v>#VALUE!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e">
        <f>VLOOKUP(Table2[[#This Row], [Author]],People!A:B,2,0)</f>
        <v>#VALUE!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e">
        <f>VLOOKUP(Table2[[#This Row], [Author]],People!A:B,2,0)</f>
        <v>#VALUE!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e">
        <f>VLOOKUP(Table2[[#This Row], [Author]],People!A:B,2,0)</f>
        <v>#VALUE!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e">
        <f>VLOOKUP(Table2[[#This Row], [Author]],People!A:B,2,0)</f>
        <v>#VALUE!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e">
        <f>VLOOKUP(Table2[[#This Row], [Author]],People!A:B,2,0)</f>
        <v>#VALUE!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e">
        <f>VLOOKUP(Table2[[#This Row], [Author]],People!A:B,2,0)</f>
        <v>#VALUE!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e">
        <f>VLOOKUP(Table2[[#This Row], [Author]],People!A:B,2,0)</f>
        <v>#VALUE!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e">
        <f>VLOOKUP(Table2[[#This Row], [Author]],People!A:B,2,0)</f>
        <v>#VALUE!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e">
        <f>VLOOKUP(Table2[[#This Row], [Author]],People!A:B,2,0)</f>
        <v>#VALUE!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e">
        <f>VLOOKUP(Table2[[#This Row], [Author]],People!A:B,2,0)</f>
        <v>#VALUE!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#VALUE!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#VALUE!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#VALUE!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#VALUE!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#VALUE!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#VALUE!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#VALUE!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#VALUE!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#VALUE!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#VALUE!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#VALUE!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#VALUE!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#VALUE!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#VALUE!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#VALUE!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#VALUE!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#VALUE!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#VALUE!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#VALUE!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#VALUE!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#VALUE!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#VALUE!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#VALUE!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#VALUE!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#VALUE!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#VALUE!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#VALUE!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#VALUE!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#VALUE!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#VALUE!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#VALUE!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#VALUE!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#VALUE!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#VALUE!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#VALUE!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#VALUE!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#VALUE!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#VALUE!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#VALUE!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#VALUE!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#VALUE!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#VALUE!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#VALUE!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#VALUE!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#VALUE!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#VALUE!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#VALUE!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#VALUE!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#VALUE!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#VALUE!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#VALUE!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#VALUE!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#VALUE!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#VALUE!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#VALUE!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#VALUE!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#VALUE!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#VALUE!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#VALUE!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#VALUE!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#VALUE!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#VALUE!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#VALUE!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#VALUE!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#VALUE!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#VALUE!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#VALUE!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#VALUE!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#VALUE!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#VALUE!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#VALUE!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#VALUE!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#VALUE!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#VALUE!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#VALUE!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#VALUE!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#VALUE!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#VALUE!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#VALUE!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#VALUE!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#VALUE!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#VALUE!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#VALUE!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#VALUE!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#VALUE!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#VALUE!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#VALUE!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#VALUE!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#VALUE!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#VALUE!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#VALUE!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#VALUE!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#VALUE!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#VALUE!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#VALUE!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#VALUE!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#VALUE!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#VALUE!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#VALUE!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#VALUE!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#VALUE!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#VALUE!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#VALUE!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#VALUE!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#VALUE!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#VALUE!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#VALUE!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#VALUE!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#VALUE!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#VALUE!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#VALUE!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#VALUE!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#VALUE!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#VALUE!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#VALUE!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#VALUE!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#VALUE!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#VALUE!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#VALUE!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#VALUE!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#VALUE!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#VALUE!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#VALUE!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#VALUE!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#VALUE!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#VALUE!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#VALUE!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#VALUE!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#VALUE!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#VALUE!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#VALUE!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#VALUE!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#VALUE!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#VALUE!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#VALUE!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#VALUE!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#VALUE!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#VALUE!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#VALUE!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#VALUE!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#VALUE!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#VALUE!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#VALUE!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#VALUE!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#VALUE!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#VALUE!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#VALUE!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#VALUE!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#VALUE!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#VALUE!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#VALUE!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#VALUE!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#VALUE!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#VALUE!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#VALUE!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#VALUE!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#VALUE!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#VALUE!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#VALUE!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#VALUE!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#VALUE!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#VALUE!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#VALUE!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#VALUE!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#VALUE!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#VALUE!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#VALUE!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#VALUE!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#VALUE!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#VALUE!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#VALUE!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#VALUE!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#VALUE!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#VALUE!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#VALUE!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#VALUE!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#VALUE!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#VALUE!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#VALUE!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#VALUE!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#VALUE!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#VALUE!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#VALUE!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#VALUE!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#VALUE!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#VALUE!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#VALUE!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#VALUE!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#VALUE!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#VALUE!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#VALUE!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#VALUE!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#VALUE!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#VALUE!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#VALUE!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#VALUE!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#VALUE!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#VALUE!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#VALUE!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#VALUE!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#VALUE!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#VALUE!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e">
        <f>VLOOKUP(Table2[[#This Row], [Author]],People!A:B,2,0)</f>
        <v>#VALUE!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e">
        <f>VLOOKUP(Table2[[#This Row], [Author]],People!A:B,2,0)</f>
        <v>#VALUE!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e">
        <f>VLOOKUP(Table2[[#This Row], [Author]],People!A:B,2,0)</f>
        <v>#VALUE!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e">
        <f>VLOOKUP(Table2[[#This Row], [Author]],People!A:B,2,0)</f>
        <v>#VALUE!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e">
        <f>VLOOKUP(Table2[[#This Row], [Author]],People!A:B,2,0)</f>
        <v>#VALUE!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e">
        <f>VLOOKUP(Table2[[#This Row], [Author]],People!A:B,2,0)</f>
        <v>#VALUE!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e">
        <f>VLOOKUP(Table2[[#This Row], [Author]],People!A:B,2,0)</f>
        <v>#VALUE!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e">
        <f>VLOOKUP(Table2[[#This Row], [Author]],People!A:B,2,0)</f>
        <v>#VALUE!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e">
        <f>VLOOKUP(Table2[[#This Row], [Author]],People!A:B,2,0)</f>
        <v>#VALUE!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e">
        <f>VLOOKUP(Table2[[#This Row], [Author]],People!A:B,2,0)</f>
        <v>#VALUE!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e">
        <f>VLOOKUP(Table2[[#This Row], [Author]],People!A:B,2,0)</f>
        <v>#VALUE!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e">
        <f>VLOOKUP(Table2[[#This Row], [Author]],People!A:B,2,0)</f>
        <v>#VALUE!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e">
        <f>VLOOKUP(Table2[[#This Row], [Author]],People!A:B,2,0)</f>
        <v>#VALUE!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e">
        <f>VLOOKUP(Table2[[#This Row], [Author]],People!A:B,2,0)</f>
        <v>#VALUE!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e">
        <f>VLOOKUP(Table2[[#This Row], [Author]],People!A:B,2,0)</f>
        <v>#VALUE!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e">
        <f>VLOOKUP(Table2[[#This Row], [Author]],People!A:B,2,0)</f>
        <v>#VALUE!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e">
        <f>VLOOKUP(Table2[[#This Row], [Author]],People!A:B,2,0)</f>
        <v>#VALUE!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e">
        <f>VLOOKUP(Table2[[#This Row], [Author]],People!A:B,2,0)</f>
        <v>#VALUE!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e">
        <f>VLOOKUP(Table2[[#This Row], [Author]],People!A:B,2,0)</f>
        <v>#VALUE!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e">
        <f>VLOOKUP(Table2[[#This Row], [Author]],People!A:B,2,0)</f>
        <v>#VALUE!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e">
        <f>VLOOKUP(Table2[[#This Row], [Author]],People!A:B,2,0)</f>
        <v>#VALUE!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e">
        <f>VLOOKUP(Table2[[#This Row], [Author]],People!A:B,2,0)</f>
        <v>#VALUE!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e">
        <f>VLOOKUP(Table2[[#This Row], [Author]],People!A:B,2,0)</f>
        <v>#VALUE!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e">
        <f>VLOOKUP(Table2[[#This Row], [Author]],People!A:B,2,0)</f>
        <v>#VALUE!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e">
        <f>VLOOKUP(Table2[[#This Row], [Author]],People!A:B,2,0)</f>
        <v>#VALUE!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e">
        <f>VLOOKUP(Table2[[#This Row], [Author]],People!A:B,2,0)</f>
        <v>#VALUE!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#VALUE!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/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/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/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/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/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/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/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/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/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/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/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/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/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/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/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/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/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/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/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/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/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/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/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/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/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/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/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/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/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/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/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/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/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/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/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/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/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/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/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/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/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/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/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/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/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/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/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/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/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/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/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/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/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/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/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/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/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/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/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/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/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/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/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/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/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/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/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/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/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/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/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/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/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/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/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/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/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/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/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/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/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/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/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/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/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/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/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/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/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/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/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/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/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/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/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/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/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/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/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/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/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/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/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/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/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/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/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/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/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/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/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/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/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/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/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/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/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/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/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/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/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/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/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/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/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/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/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/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/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/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/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/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/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/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/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/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/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/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/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/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/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/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/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/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/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/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/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/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/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/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/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/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/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/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/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/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/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/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/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/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/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/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/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/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/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/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/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/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/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/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/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/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/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/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/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/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/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/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/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/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/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/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/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/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/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/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/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/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/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/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/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/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/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/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/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/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/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/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/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/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/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/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/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/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/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/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/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/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/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/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/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/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/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/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/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/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/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/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/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/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/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/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/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/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/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/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/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/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/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/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/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/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/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/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/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/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/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/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/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/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/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/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/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/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/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/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/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/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/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/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87"/>
  <sheetViews>
    <sheetView topLeftCell="A244" workbookViewId="0">
      <selection activeCell="A288" sqref="A288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  <row r="287" spans="1:2" x14ac:dyDescent="0.25">
      <c r="A287" s="47" t="s">
        <v>7908</v>
      </c>
      <c r="B287" s="3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3</vt:i4>
      </vt:variant>
    </vt:vector>
  </HeadingPairs>
  <TitlesOfParts>
    <vt:vector size="21" baseType="lpstr">
      <vt:lpstr>pvt</vt:lpstr>
      <vt:lpstr>STUCT1</vt:lpstr>
      <vt:lpstr>Sheet7</vt:lpstr>
      <vt:lpstr>Sheet6</vt:lpstr>
      <vt:lpstr>Sheet5</vt:lpstr>
      <vt:lpstr>Sheet4</vt:lpstr>
      <vt:lpstr>Sheet3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2026-01-14T18:42:40Z</dcterms:modified>
</cp:coreProperties>
</file>